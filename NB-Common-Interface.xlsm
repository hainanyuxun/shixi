
<file path=[Content_Types].xml><?xml version="1.0" encoding="utf-8"?>
<Types xmlns="http://schemas.openxmlformats.org/package/2006/content-type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comments1.xml" ContentType="application/vnd.openxmlformats-officedocument.spreadsheetml.comments+xml"/>
  <Override PartName="/xl/threadedComments/threadedComment1.xml" ContentType="application/vnd.ms-excel.threadedcomments+xml"/>
  <Override PartName="/xl/documenttasks/documenttask1.xml" ContentType="application/vnd.ms-excel.documenttask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 ContentType="application/binary"/>
  <Override PartName="/xl/commentsmeta0" ContentType="application/binary"/>
  <Override PartName="/xl/commentsmeta1" ContentType="application/binary"/>
  <Override PartName="/xl/commentsmeta2"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workbookPr defaultThemeVersion="166925"/>
  <mc:AlternateContent xmlns:mc="http://schemas.openxmlformats.org/markup-compatibility/2006">
    <mc:Choice Requires="x15">
      <x15ac:absPath xmlns:x15ac="http://schemas.microsoft.com/office/spreadsheetml/2010/11/ac" url="C:\Users\citang\Documents\"/>
    </mc:Choice>
  </mc:AlternateContent>
  <xr:revisionPtr revIDLastSave="0" documentId="13_ncr:1_{58885FD4-FEAC-4F63-B796-DDB85470842B}" xr6:coauthVersionLast="47" xr6:coauthVersionMax="47" xr10:uidLastSave="{00000000-0000-0000-0000-000000000000}"/>
  <bookViews>
    <workbookView xWindow="-110" yWindow="-110" windowWidth="19420" windowHeight="10300" xr2:uid="{00000000-000D-0000-FFFF-FFFF00000000}"/>
  </bookViews>
  <sheets>
    <sheet name="Change Control Summary" sheetId="1" r:id="rId1"/>
    <sheet name="Instructions" sheetId="2" r:id="rId2"/>
    <sheet name="Open Items" sheetId="3" r:id="rId3"/>
    <sheet name="Notes" sheetId="4" r:id="rId4"/>
    <sheet name="SourceFields" sheetId="5" r:id="rId5"/>
    <sheet name="KeyReviewSheet" sheetId="6" r:id="rId6"/>
    <sheet name="SourceFieldDetails" sheetId="7" r:id="rId7"/>
    <sheet name="MasterFieldCIMappingsheet" sheetId="8" state="hidden" r:id="rId8"/>
    <sheet name="UserToAgsPermission ETL" sheetId="80" r:id="rId9"/>
    <sheet name="1. ACCOUNT" sheetId="9" r:id="rId10"/>
    <sheet name="2a. PROFITLOSSLITE - PLL" sheetId="10" r:id="rId11"/>
    <sheet name="13. ACCOUNTGROUPSECURE" sheetId="47" r:id="rId12"/>
    <sheet name="12.FAMILY To ACCOUNTGROUPSECURE" sheetId="46" r:id="rId13"/>
    <sheet name="2b. PROFITLOSSLITE-PLLTAXM" sheetId="76" r:id="rId14"/>
    <sheet name="4. TRANSACTIONS" sheetId="11" r:id="rId15"/>
    <sheet name="4.1.TRANS (Projected Income)" sheetId="12" state="hidden" r:id="rId16"/>
    <sheet name="5. SMCOMMON" sheetId="13" r:id="rId17"/>
    <sheet name="5a. SMCOMMON (Index Bench)" sheetId="14" r:id="rId18"/>
    <sheet name="6a USERGROUP" sheetId="82" r:id="rId19"/>
    <sheet name="6b USERGROUP_BEAMUSER - NEW" sheetId="89" r:id="rId20"/>
    <sheet name="6b USERGROUP_BEAMUSER" sheetId="83" r:id="rId21"/>
    <sheet name="6c USERGROUP_ACL - NEW" sheetId="90" r:id="rId22"/>
    <sheet name="6c USERGROUP_ACL" sheetId="85" r:id="rId23"/>
    <sheet name="6d USERGROUPUSERROLES - NEW" sheetId="91" r:id="rId24"/>
    <sheet name="6d USERGROUPUSERROLES" sheetId="84" r:id="rId25"/>
    <sheet name="7a. PERFSUMMARY" sheetId="15" r:id="rId26"/>
    <sheet name="7b. PERFSUMMARY-Characteristics" sheetId="88" r:id="rId27"/>
    <sheet name="8a. BenchmarkDaily" sheetId="16" r:id="rId28"/>
    <sheet name="8b. BENCHMARK-Jupiter only Mark" sheetId="17" state="hidden" r:id="rId29"/>
    <sheet name="8b1. BENCHMARK-Jupiter only Mar" sheetId="18" state="hidden" r:id="rId30"/>
    <sheet name="8c. BenchmarkObjectAssociation" sheetId="19" r:id="rId31"/>
    <sheet name="8d. RESET_BenchmarkObjectAssoc" sheetId="77" r:id="rId32"/>
    <sheet name="8e. TEMP_BenchmarkObjectAssoc" sheetId="81" r:id="rId33"/>
    <sheet name="SNAPSHOT INVALIDATION" sheetId="78" r:id="rId34"/>
    <sheet name="SNAPSHOTACCTGRPSEC INVALIDATION" sheetId="79" r:id="rId35"/>
    <sheet name="9. FAMILY" sheetId="20" r:id="rId36"/>
    <sheet name="10. FAMILYMEMBER" sheetId="21" r:id="rId37"/>
    <sheet name="11. FAMILYMEMBER to ACCOUNT" sheetId="22" r:id="rId38"/>
    <sheet name="17. USERS" sheetId="23" r:id="rId39"/>
    <sheet name="17a. USERDATA" sheetId="74" r:id="rId40"/>
    <sheet name="18. USER to ACCOUNT " sheetId="24" r:id="rId41"/>
    <sheet name="20. USER to SECROLE" sheetId="25" r:id="rId42"/>
    <sheet name="51. SecUserMayBecome" sheetId="71" r:id="rId43"/>
    <sheet name="23. PARTYOFINTEREST (Internal)" sheetId="26" r:id="rId44"/>
    <sheet name="24. POI to ACCOUNT (Internal)" sheetId="27" r:id="rId45"/>
    <sheet name="23b. PARTYOFINTEREST (External)" sheetId="30" r:id="rId46"/>
    <sheet name="24b. POI to ACCOUNT (External)" sheetId="31" r:id="rId47"/>
    <sheet name="25a. POI_ACCOUNTROLES(External)" sheetId="73" r:id="rId48"/>
    <sheet name="(DISABLED) 23a.RELMGR(INTERNAL)" sheetId="28" state="hidden" r:id="rId49"/>
    <sheet name="(DISABLED)24a.RM_ACCT(INTERNAL)" sheetId="29" state="hidden" r:id="rId50"/>
    <sheet name="23d. RELMGR (Team)" sheetId="75" r:id="rId51"/>
    <sheet name="24c. POI to ACCOUNT (Team)" sheetId="72" r:id="rId52"/>
    <sheet name="25b. POI_ACCOUNT ROLES (Team)" sheetId="33" r:id="rId53"/>
    <sheet name="TRANSACTIONS (TRX NB only)" sheetId="35" state="hidden" r:id="rId54"/>
    <sheet name="USERS (Ext NB Only)" sheetId="36" state="hidden" r:id="rId55"/>
    <sheet name="USER to ACCOUNT (Ext NB Only)" sheetId="37" state="hidden" r:id="rId56"/>
    <sheet name="USERtoCLIENT ROLE (Ext NB Only)" sheetId="38" state="hidden" r:id="rId57"/>
    <sheet name="26. AGGREGATETRANSACTION" sheetId="39" r:id="rId58"/>
    <sheet name="3. PROFITLOSS" sheetId="40" state="hidden" r:id="rId59"/>
    <sheet name="6a. SMFIXEDINCOME" sheetId="41" state="hidden" r:id="rId60"/>
    <sheet name="6b. SMFUND" sheetId="42" state="hidden" r:id="rId61"/>
    <sheet name="7b. PERFORMANCEDAILY" sheetId="43" state="hidden" r:id="rId62"/>
    <sheet name="8c. INDUSTRY" sheetId="44" state="hidden" r:id="rId63"/>
    <sheet name="11. FAMILY to USER" sheetId="45" state="hidden" r:id="rId64"/>
    <sheet name="15. FIRM" sheetId="49" state="hidden" r:id="rId65"/>
    <sheet name="16. FUND" sheetId="50" state="hidden" r:id="rId66"/>
    <sheet name="19. USER to ACCOUNTGROUP" sheetId="51" state="hidden" r:id="rId67"/>
    <sheet name="21.SECURITYDECOMPOSITION" sheetId="52" state="hidden" r:id="rId68"/>
    <sheet name="22.MARKETDATAHISTORY" sheetId="53" state="hidden" r:id="rId69"/>
    <sheet name="25. POI to FAMILY " sheetId="54" state="hidden" r:id="rId70"/>
    <sheet name="27. DAILY" sheetId="55" state="hidden" r:id="rId71"/>
    <sheet name="28. CODESETSECURE" sheetId="56" r:id="rId72"/>
    <sheet name="29. INCOMETAX" sheetId="57" state="hidden" r:id="rId73"/>
    <sheet name="30. WIREINSTRUCTIONS" sheetId="58" r:id="rId74"/>
    <sheet name="31. CURRENTPRICE" sheetId="59" state="hidden" r:id="rId75"/>
    <sheet name="32. HOLIDAYCALENDARDATE" sheetId="60" state="hidden" r:id="rId76"/>
    <sheet name="33. FEERESULTS" sheetId="61" state="hidden" r:id="rId77"/>
    <sheet name="34. NCABALANCE" sheetId="62" state="hidden" r:id="rId78"/>
    <sheet name="35. PIPES" sheetId="63" state="hidden" r:id="rId79"/>
    <sheet name="36. SECURITIESOFINTEREST" sheetId="64" state="hidden" r:id="rId80"/>
    <sheet name="39. MODELPORTFOLIO" sheetId="65" state="hidden" r:id="rId81"/>
    <sheet name="40. MODELPORTFOLIOHOLDING" sheetId="66" state="hidden" r:id="rId82"/>
    <sheet name="41. ADDRESS" sheetId="67" state="hidden" r:id="rId83"/>
    <sheet name="42. COMMENTABLE" sheetId="68" r:id="rId84"/>
    <sheet name="50. BENEFICIARYBANK" sheetId="69" r:id="rId85"/>
    <sheet name="52. PARTYOFINTERESTCODE" sheetId="70" r:id="rId86"/>
    <sheet name="53. AccountCode" sheetId="86" r:id="rId87"/>
    <sheet name="54. BeamAccountOverride" sheetId="87" r:id="rId88"/>
    <sheet name="55. USERVIEW" sheetId="92" r:id="rId89"/>
    <sheet name="56. USERVIEWPREFERENCE" sheetId="93" r:id="rId90"/>
    <sheet name="PROFITLOSSLITE (ALT NB only)" sheetId="34" state="hidden" r:id="rId91"/>
    <sheet name="57. MODELPORTFOLIO" sheetId="94" r:id="rId92"/>
    <sheet name="58. MODELPORTFOLIOHOLDING" sheetId="95" r:id="rId93"/>
    <sheet name="Sheet1" sheetId="96" r:id="rId94"/>
  </sheets>
  <externalReferences>
    <externalReference r:id="rId95"/>
  </externalReferences>
  <definedNames>
    <definedName name="_xlnm._FilterDatabase" localSheetId="48" hidden="1">'(DISABLED) 23a.RELMGR(INTERNAL)'!$A$3:$X$103</definedName>
    <definedName name="_xlnm._FilterDatabase" localSheetId="49" hidden="1">'(DISABLED)24a.RM_ACCT(INTERNAL)'!$A$4:$X$22</definedName>
    <definedName name="_xlnm._FilterDatabase" localSheetId="9" hidden="1">'1. ACCOUNT'!$E$3:$AB$3</definedName>
    <definedName name="_xlnm._FilterDatabase" localSheetId="36" hidden="1">'10. FAMILYMEMBER'!$A$2:$AB$91</definedName>
    <definedName name="_xlnm._FilterDatabase" localSheetId="63" hidden="1">'11. FAMILY to USER'!$A$2:$T$20</definedName>
    <definedName name="_xlnm._FilterDatabase" localSheetId="37" hidden="1">'11. FAMILYMEMBER to ACCOUNT'!$A$2:$AB$22</definedName>
    <definedName name="_xlnm._FilterDatabase" localSheetId="12" hidden="1">'12.FAMILY To ACCOUNTGROUPSECURE'!$A$3:$S$23</definedName>
    <definedName name="_xlnm._FilterDatabase" localSheetId="11" hidden="1">'13. ACCOUNTGROUPSECURE'!$A$3:$S$45</definedName>
    <definedName name="_xlnm._FilterDatabase" localSheetId="38" hidden="1">'17. USERS'!$E$2:$AE$66</definedName>
    <definedName name="_xlnm._FilterDatabase" localSheetId="40" hidden="1">'18. USER to ACCOUNT '!$A$3:$AE$20</definedName>
    <definedName name="_xlnm._FilterDatabase" localSheetId="41" hidden="1">'20. USER to SECROLE'!$A$3:$AE$5</definedName>
    <definedName name="_xlnm._FilterDatabase" localSheetId="67" hidden="1">'21.SECURITYDECOMPOSITION'!$A$2:$Z$23</definedName>
    <definedName name="_xlnm._FilterDatabase" localSheetId="68" hidden="1">'22.MARKETDATAHISTORY'!$A$2:$AA$59</definedName>
    <definedName name="_xlnm._FilterDatabase" localSheetId="43" hidden="1">'23. PARTYOFINTEREST (Internal)'!$A$2:$AB$99</definedName>
    <definedName name="_xlnm._FilterDatabase" localSheetId="45" hidden="1">'23b. PARTYOFINTEREST (External)'!$A$2:$AB$99</definedName>
    <definedName name="_xlnm._FilterDatabase" localSheetId="50" hidden="1">'23d. RELMGR (Team)'!$E$2:$AB$102</definedName>
    <definedName name="_xlnm._FilterDatabase" localSheetId="44" hidden="1">'24. POI to ACCOUNT (Internal)'!$E$4:$AB$22</definedName>
    <definedName name="_xlnm._FilterDatabase" localSheetId="46" hidden="1">'24b. POI to ACCOUNT (External)'!$E$4:$AB$22</definedName>
    <definedName name="_xlnm._FilterDatabase" localSheetId="51" hidden="1">'24c. POI to ACCOUNT (Team)'!$A$4:$AB$22</definedName>
    <definedName name="_xlnm._FilterDatabase" localSheetId="47" hidden="1">'25a. POI_ACCOUNTROLES(External)'!$E$4:$AB$21</definedName>
    <definedName name="_xlnm._FilterDatabase" localSheetId="52" hidden="1">'25b. POI_ACCOUNT ROLES (Team)'!$E$4:$AB$21</definedName>
    <definedName name="_xlnm._FilterDatabase" localSheetId="57" hidden="1">'26. AGGREGATETRANSACTION'!$A$4:$N$35</definedName>
    <definedName name="_xlnm._FilterDatabase" localSheetId="71" hidden="1">'28. CODESETSECURE'!$A$2:$AA$27</definedName>
    <definedName name="_xlnm._FilterDatabase" localSheetId="10" hidden="1">'2a. PROFITLOSSLITE - PLL'!$A$3:$AG$197</definedName>
    <definedName name="_xlnm._FilterDatabase" localSheetId="13" hidden="1">'2b. PROFITLOSSLITE-PLLTAXM'!$A$3:$AG$182</definedName>
    <definedName name="_xlnm._FilterDatabase" localSheetId="58" hidden="1">'3. PROFITLOSS'!$A$2:$AE$366</definedName>
    <definedName name="_xlnm._FilterDatabase" localSheetId="73" hidden="1">'30. WIREINSTRUCTIONS'!$A$3:$Q$31</definedName>
    <definedName name="_xlnm._FilterDatabase" localSheetId="74" hidden="1">'31. CURRENTPRICE'!$A$2:$T$24</definedName>
    <definedName name="_xlnm._FilterDatabase" localSheetId="75" hidden="1">'32. HOLIDAYCALENDARDATE'!$A$1:$T$16</definedName>
    <definedName name="_xlnm._FilterDatabase" localSheetId="76" hidden="1">'33. FEERESULTS'!$A$2:$M$50</definedName>
    <definedName name="_xlnm._FilterDatabase" localSheetId="77" hidden="1">'34. NCABALANCE'!$A$2:$Q$70</definedName>
    <definedName name="_xlnm._FilterDatabase" localSheetId="78" hidden="1">'35. PIPES'!$A$2:$P$18</definedName>
    <definedName name="_xlnm._FilterDatabase" localSheetId="80" hidden="1">'39. MODELPORTFOLIO'!$A$2:$Z$37</definedName>
    <definedName name="_xlnm._FilterDatabase" localSheetId="14" hidden="1">'4. TRANSACTIONS'!$A$3:$AB$229</definedName>
    <definedName name="_xlnm._FilterDatabase" localSheetId="15" hidden="1">'4.1.TRANS (Projected Income)'!$A$3:$AB$226</definedName>
    <definedName name="_xlnm._FilterDatabase" localSheetId="81" hidden="1">'40. MODELPORTFOLIOHOLDING'!$A$2:$Z$34</definedName>
    <definedName name="_xlnm._FilterDatabase" localSheetId="82" hidden="1">'41. ADDRESS'!$A$1:$P$2</definedName>
    <definedName name="_xlnm._FilterDatabase" localSheetId="83" hidden="1">'42. COMMENTABLE'!$A$8:$Z$30</definedName>
    <definedName name="_xlnm._FilterDatabase" localSheetId="16" hidden="1">'5. SMCOMMON'!$A$2:$Z$79</definedName>
    <definedName name="_xlnm._FilterDatabase" localSheetId="84" hidden="1">'50. BENEFICIARYBANK'!$A$2:$AB$100</definedName>
    <definedName name="_xlnm._FilterDatabase" localSheetId="42" hidden="1">'51. SecUserMayBecome'!$A$3:$Z$21</definedName>
    <definedName name="_xlnm._FilterDatabase" localSheetId="85" hidden="1">'52. PARTYOFINTERESTCODE'!$A$2:$AB$18</definedName>
    <definedName name="_xlnm._FilterDatabase" localSheetId="91" hidden="1">'57. MODELPORTFOLIO'!$A$2:$Z$2</definedName>
    <definedName name="_xlnm._FilterDatabase" localSheetId="92" hidden="1">'58. MODELPORTFOLIOHOLDING'!$A$4:$AD$38</definedName>
    <definedName name="_xlnm._FilterDatabase" localSheetId="17" hidden="1">'5a. SMCOMMON (Index Bench)'!$A$2:$Z$79</definedName>
    <definedName name="_xlnm._FilterDatabase" localSheetId="18" hidden="1">'6a USERGROUP'!$A$2:$AB$2</definedName>
    <definedName name="_xlnm._FilterDatabase" localSheetId="59" hidden="1">'6a. SMFIXEDINCOME'!$E$2:$S$103</definedName>
    <definedName name="_xlnm._FilterDatabase" localSheetId="25" hidden="1">'7a. PERFSUMMARY'!$A$3:$AC$3</definedName>
    <definedName name="_xlnm._FilterDatabase" localSheetId="61" hidden="1">'7b. PERFORMANCEDAILY'!$E$3:$Q$315</definedName>
    <definedName name="_xlnm._FilterDatabase" localSheetId="26" hidden="1">'7b. PERFSUMMARY-Characteristics'!$A$3:$AC$3</definedName>
    <definedName name="_xlnm._FilterDatabase" localSheetId="27" hidden="1">'8a. BenchmarkDaily'!$A$2:$AB$101</definedName>
    <definedName name="_xlnm._FilterDatabase" localSheetId="28" hidden="1">'8b. BENCHMARK-Jupiter only Mark'!$A$4:$AB$168</definedName>
    <definedName name="_xlnm._FilterDatabase" localSheetId="29" hidden="1">'8b1. BENCHMARK-Jupiter only Mar'!$E$2:$S$66</definedName>
    <definedName name="_xlnm._FilterDatabase" localSheetId="30" hidden="1">'8c. BenchmarkObjectAssociation'!$A$4:$AB$22</definedName>
    <definedName name="_xlnm._FilterDatabase" localSheetId="31" hidden="1">'8d. RESET_BenchmarkObjectAssoc'!$A$3:$AB$21</definedName>
    <definedName name="_xlnm._FilterDatabase" localSheetId="32" hidden="1">'8e. TEMP_BenchmarkObjectAssoc'!$A$3:$AB$21</definedName>
    <definedName name="_xlnm._FilterDatabase" localSheetId="35" hidden="1">'9. FAMILY'!$A$2:$AB$44</definedName>
    <definedName name="_xlnm._FilterDatabase" localSheetId="90" hidden="1">'PROFITLOSSLITE (ALT NB only)'!$A$2:$AB$183</definedName>
    <definedName name="_xlnm._FilterDatabase" localSheetId="33" hidden="1">'SNAPSHOT INVALIDATION'!$A$3:$AD$99</definedName>
    <definedName name="_xlnm._FilterDatabase" localSheetId="34" hidden="1">'SNAPSHOTACCTGRPSEC INVALIDATION'!$A$3:$AD$99</definedName>
    <definedName name="_xlnm._FilterDatabase" localSheetId="53" hidden="1">'TRANSACTIONS (TRX NB only)'!$E$1:$T$225</definedName>
    <definedName name="_xlnm._FilterDatabase" localSheetId="55" hidden="1">'USER to ACCOUNT (Ext NB Only)'!$E$2:$AB$2</definedName>
    <definedName name="_xlnm._FilterDatabase" localSheetId="54" hidden="1">'USERS (Ext NB Only)'!$E$2:$AE$65</definedName>
    <definedName name="_xlnm._FilterDatabase" localSheetId="56" hidden="1">'USERtoCLIENT ROLE (Ext NB Only)'!$E$2:$AB$2</definedName>
    <definedName name="Google_Sheet_Link_541913227" hidden="1">ReqFieldDef</definedName>
    <definedName name="Google_Sheet_Link_913708042" hidden="1">SMCOMMONLOOKUP</definedName>
    <definedName name="ReqFieldDef" localSheetId="27">#REF!</definedName>
    <definedName name="ReqFieldDef">Notes!$B$2</definedName>
    <definedName name="SM" localSheetId="41">#REF!</definedName>
    <definedName name="SM" localSheetId="44">#REF!</definedName>
    <definedName name="SM" localSheetId="90">#REF!</definedName>
    <definedName name="SM" localSheetId="53">#REF!</definedName>
    <definedName name="SM" localSheetId="55">#REF!</definedName>
    <definedName name="SM" localSheetId="54">#REF!</definedName>
    <definedName name="SM" localSheetId="56">#REF!</definedName>
    <definedName name="SM">#REF!</definedName>
    <definedName name="SMCOMMONLOOKUP" localSheetId="27">#REF!</definedName>
    <definedName name="SMCOMMONLOOKUP">Notes!$B$11</definedName>
    <definedName name="test">#REF!</definedName>
    <definedName name="wsNames">GET.WORKBOOK(1)&amp;T(NOW())</definedName>
    <definedName name="Z_5AED5CC6_BADE_4D41_B3E1_C21683AD65CD_.wvu.FilterData" localSheetId="36" hidden="1">'10. FAMILYMEMBER'!$A$2:$AB$91</definedName>
    <definedName name="Z_5AED5CC6_BADE_4D41_B3E1_C21683AD65CD_.wvu.FilterData" localSheetId="27" hidden="1">'8a. BenchmarkDaily'!$E$1:$U$101</definedName>
  </definedNames>
  <calcPr calcId="191028"/>
  <customWorkbookViews>
    <customWorkbookView name="Filter 1" guid="{5AED5CC6-BADE-4D41-B3E1-C21683AD65CD}" maximized="1" windowWidth="0" windowHeight="0" activeSheetId="0"/>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104" roundtripDataSignature="AMtx7miK/nizsg88SnM7LhZoQDlVaGIceA=="/>
    </ext>
  </extLst>
</workbook>
</file>

<file path=xl/calcChain.xml><?xml version="1.0" encoding="utf-8"?>
<calcChain xmlns="http://schemas.openxmlformats.org/spreadsheetml/2006/main">
  <c r="W197" i="10" l="1"/>
  <c r="V197" i="10"/>
  <c r="W196" i="10"/>
  <c r="V196" i="10"/>
  <c r="W195" i="10"/>
  <c r="V195" i="10"/>
  <c r="W194" i="10"/>
  <c r="V194" i="10"/>
  <c r="W193" i="10"/>
  <c r="V193" i="10"/>
  <c r="W192" i="10"/>
  <c r="V192" i="10"/>
  <c r="W191" i="10"/>
  <c r="V191" i="10"/>
  <c r="W190" i="10"/>
  <c r="V190" i="10"/>
  <c r="W189" i="10"/>
  <c r="V189" i="10"/>
  <c r="W188" i="10"/>
  <c r="V188" i="10"/>
  <c r="W187" i="10"/>
  <c r="V187" i="10"/>
  <c r="W186" i="10"/>
  <c r="V186" i="10"/>
  <c r="W185" i="10"/>
  <c r="V185" i="10"/>
  <c r="W184" i="10"/>
  <c r="V184" i="10"/>
  <c r="W183" i="10"/>
  <c r="V183" i="10"/>
  <c r="W182" i="10"/>
  <c r="V182" i="10"/>
  <c r="W181" i="10"/>
  <c r="V181" i="10"/>
  <c r="W180" i="10"/>
  <c r="V180" i="10"/>
  <c r="W179" i="10"/>
  <c r="V179" i="10"/>
  <c r="W178" i="10"/>
  <c r="V178" i="10"/>
  <c r="W177" i="10"/>
  <c r="V177" i="10"/>
  <c r="W176" i="10"/>
  <c r="V176" i="10"/>
  <c r="W175" i="10"/>
  <c r="V175" i="10"/>
  <c r="W174" i="10"/>
  <c r="V174" i="10"/>
  <c r="W173" i="10"/>
  <c r="V173" i="10"/>
  <c r="W172" i="10"/>
  <c r="V172" i="10"/>
  <c r="W171" i="10"/>
  <c r="V171" i="10"/>
  <c r="W170" i="10"/>
  <c r="V170" i="10"/>
  <c r="W169" i="10"/>
  <c r="V169" i="10"/>
  <c r="W168" i="10"/>
  <c r="V168" i="10"/>
  <c r="W167" i="10"/>
  <c r="V167" i="10"/>
  <c r="W166" i="10"/>
  <c r="V166" i="10"/>
  <c r="W165" i="10"/>
  <c r="V165" i="10"/>
  <c r="W164" i="10"/>
  <c r="V164" i="10"/>
  <c r="W163" i="10"/>
  <c r="V163" i="10"/>
  <c r="W162" i="10"/>
  <c r="V162" i="10"/>
  <c r="W161" i="10"/>
  <c r="V161" i="10"/>
  <c r="W160" i="10"/>
  <c r="V160" i="10"/>
  <c r="W159" i="10"/>
  <c r="V159" i="10"/>
  <c r="W158" i="10"/>
  <c r="V158" i="10"/>
  <c r="W157" i="10"/>
  <c r="V157" i="10"/>
  <c r="W156" i="10"/>
  <c r="V156" i="10"/>
  <c r="W155" i="10"/>
  <c r="V155" i="10"/>
  <c r="W154" i="10"/>
  <c r="V154" i="10"/>
  <c r="W153" i="10"/>
  <c r="V153" i="10"/>
  <c r="W152" i="10"/>
  <c r="V152" i="10"/>
  <c r="W151" i="10"/>
  <c r="V151" i="10"/>
  <c r="W150" i="10"/>
  <c r="V150" i="10"/>
  <c r="W149" i="10"/>
  <c r="V149" i="10"/>
  <c r="W148" i="10"/>
  <c r="V148" i="10"/>
  <c r="W147" i="10"/>
  <c r="V147" i="10"/>
  <c r="W146" i="10"/>
  <c r="V146" i="10"/>
  <c r="W145" i="10"/>
  <c r="V145" i="10"/>
  <c r="W144" i="10"/>
  <c r="V144" i="10"/>
  <c r="W143" i="10"/>
  <c r="V143" i="10"/>
  <c r="W142" i="10"/>
  <c r="V142" i="10"/>
  <c r="W141" i="10"/>
  <c r="V141" i="10"/>
  <c r="W140" i="10"/>
  <c r="V140" i="10"/>
  <c r="W139" i="10"/>
  <c r="V139" i="10"/>
  <c r="W138" i="10"/>
  <c r="V138" i="10"/>
  <c r="W137" i="10"/>
  <c r="V137" i="10"/>
  <c r="W136" i="10"/>
  <c r="V136" i="10"/>
  <c r="W135" i="10"/>
  <c r="V135" i="10"/>
  <c r="W134" i="10"/>
  <c r="V134" i="10"/>
  <c r="W133" i="10"/>
  <c r="V133" i="10"/>
  <c r="W132" i="10"/>
  <c r="V132" i="10"/>
  <c r="W131" i="10"/>
  <c r="V131" i="10"/>
  <c r="W130" i="10"/>
  <c r="V130" i="10"/>
  <c r="W129" i="10"/>
  <c r="V129" i="10"/>
  <c r="W128" i="10"/>
  <c r="V128" i="10"/>
  <c r="W127" i="10"/>
  <c r="V127" i="10"/>
  <c r="W126" i="10"/>
  <c r="V126" i="10"/>
  <c r="W125" i="10"/>
  <c r="V125" i="10"/>
  <c r="W124" i="10"/>
  <c r="V124" i="10"/>
  <c r="W123" i="10"/>
  <c r="V123" i="10"/>
  <c r="W122" i="10"/>
  <c r="V122" i="10"/>
  <c r="W121" i="10"/>
  <c r="V121" i="10"/>
  <c r="W120" i="10"/>
  <c r="V120" i="10"/>
  <c r="W119" i="10"/>
  <c r="V119" i="10"/>
  <c r="W118" i="10"/>
  <c r="V118" i="10"/>
  <c r="W117" i="10"/>
  <c r="V117" i="10"/>
  <c r="W116" i="10"/>
  <c r="V116" i="10"/>
  <c r="W115" i="10"/>
  <c r="V115" i="10"/>
  <c r="W114" i="10"/>
  <c r="V114" i="10"/>
  <c r="W113" i="10"/>
  <c r="V113" i="10"/>
  <c r="W112" i="10"/>
  <c r="V112" i="10"/>
  <c r="W111" i="10"/>
  <c r="V111" i="10"/>
  <c r="W110" i="10"/>
  <c r="V110" i="10"/>
  <c r="W109" i="10"/>
  <c r="V109" i="10"/>
  <c r="W108" i="10"/>
  <c r="V108" i="10"/>
  <c r="W107" i="10"/>
  <c r="V107" i="10"/>
  <c r="W106" i="10"/>
  <c r="V106" i="10"/>
  <c r="W105" i="10"/>
  <c r="V105" i="10"/>
  <c r="W104" i="10"/>
  <c r="V104" i="10"/>
  <c r="W103" i="10"/>
  <c r="V103" i="10"/>
  <c r="W102" i="10"/>
  <c r="V102" i="10"/>
  <c r="W101" i="10"/>
  <c r="V101" i="10"/>
  <c r="W100" i="10"/>
  <c r="V100" i="10"/>
  <c r="W99" i="10"/>
  <c r="V99" i="10"/>
  <c r="W98" i="10"/>
  <c r="V98" i="10"/>
  <c r="W97" i="10"/>
  <c r="V97" i="10"/>
  <c r="W96" i="10"/>
  <c r="V96" i="10"/>
  <c r="W95" i="10"/>
  <c r="V95" i="10"/>
  <c r="W94" i="10"/>
  <c r="V94" i="10"/>
  <c r="W93" i="10"/>
  <c r="V93" i="10"/>
  <c r="W92" i="10"/>
  <c r="V92" i="10"/>
  <c r="W91" i="10"/>
  <c r="V91" i="10"/>
  <c r="W90" i="10"/>
  <c r="V90" i="10"/>
  <c r="W87" i="10"/>
  <c r="V87" i="10"/>
  <c r="W86" i="10"/>
  <c r="V86" i="10"/>
  <c r="W85" i="10"/>
  <c r="V85" i="10"/>
  <c r="W83" i="10"/>
  <c r="V83" i="10"/>
  <c r="W82" i="10"/>
  <c r="V82" i="10"/>
  <c r="W81" i="10"/>
  <c r="V81" i="10"/>
  <c r="W78" i="10"/>
  <c r="V78" i="10"/>
  <c r="W77" i="10"/>
  <c r="V77" i="10"/>
  <c r="W76" i="10"/>
  <c r="V76" i="10"/>
  <c r="W75" i="10"/>
  <c r="V75" i="10"/>
  <c r="W74" i="10"/>
  <c r="V74" i="10"/>
  <c r="W73" i="10"/>
  <c r="V73" i="10"/>
  <c r="W72" i="10"/>
  <c r="V72" i="10"/>
  <c r="W67" i="10"/>
  <c r="V67" i="10"/>
  <c r="W66" i="10"/>
  <c r="V66" i="10"/>
  <c r="W65" i="10"/>
  <c r="V65" i="10"/>
  <c r="W64" i="10"/>
  <c r="V64" i="10"/>
  <c r="W59" i="10"/>
  <c r="V59" i="10"/>
  <c r="W58" i="10"/>
  <c r="V58" i="10"/>
  <c r="W57" i="10"/>
  <c r="V57" i="10"/>
  <c r="W56" i="10"/>
  <c r="V56" i="10"/>
  <c r="W55" i="10"/>
  <c r="V55" i="10"/>
  <c r="W54" i="10"/>
  <c r="V54" i="10"/>
  <c r="W53" i="10"/>
  <c r="V53" i="10"/>
  <c r="W52" i="10"/>
  <c r="V52" i="10"/>
  <c r="W51" i="10"/>
  <c r="V51" i="10"/>
  <c r="W50" i="10"/>
  <c r="V50" i="10"/>
  <c r="W48" i="10"/>
  <c r="V48" i="10"/>
  <c r="W47" i="10"/>
  <c r="V47" i="10"/>
  <c r="W46" i="10"/>
  <c r="V46" i="10"/>
  <c r="W45" i="10"/>
  <c r="V45" i="10"/>
  <c r="W40" i="10"/>
  <c r="V40" i="10"/>
  <c r="W6" i="10"/>
  <c r="V6" i="10"/>
  <c r="W38" i="10"/>
  <c r="V38" i="10"/>
  <c r="W37" i="10"/>
  <c r="V37" i="10"/>
  <c r="W36" i="10"/>
  <c r="V36" i="10"/>
  <c r="W35" i="10"/>
  <c r="V35" i="10"/>
  <c r="W34" i="10"/>
  <c r="V34" i="10"/>
  <c r="W33" i="10"/>
  <c r="V33" i="10"/>
  <c r="W32" i="10"/>
  <c r="V32" i="10"/>
  <c r="W31" i="10"/>
  <c r="V31" i="10"/>
  <c r="W30" i="10"/>
  <c r="V30" i="10"/>
  <c r="W29" i="10"/>
  <c r="V29" i="10"/>
  <c r="W28" i="10"/>
  <c r="V28" i="10"/>
  <c r="W27" i="10"/>
  <c r="V27" i="10"/>
  <c r="W26" i="10"/>
  <c r="V26" i="10"/>
  <c r="W25" i="10"/>
  <c r="V25" i="10"/>
  <c r="W24" i="10"/>
  <c r="V24" i="10"/>
  <c r="W23" i="10"/>
  <c r="V23" i="10"/>
  <c r="W22" i="10"/>
  <c r="V22" i="10"/>
  <c r="W21" i="10"/>
  <c r="V21" i="10"/>
  <c r="W20" i="10"/>
  <c r="V20" i="10"/>
  <c r="W19" i="10"/>
  <c r="V19" i="10"/>
  <c r="W18" i="10"/>
  <c r="V18" i="10"/>
  <c r="W17" i="10"/>
  <c r="V17" i="10"/>
  <c r="W16" i="10"/>
  <c r="V16" i="10"/>
  <c r="W15" i="10"/>
  <c r="V15" i="10"/>
  <c r="W14" i="10"/>
  <c r="V14" i="10"/>
  <c r="W10" i="10"/>
  <c r="V10" i="10"/>
  <c r="W9" i="10"/>
  <c r="V9" i="10"/>
  <c r="W8" i="10"/>
  <c r="V8" i="10"/>
  <c r="W5" i="10"/>
  <c r="V5" i="10"/>
  <c r="W4" i="10"/>
  <c r="V4" i="10"/>
  <c r="W102" i="9"/>
  <c r="V102" i="9"/>
  <c r="W96" i="9"/>
  <c r="V96" i="9"/>
  <c r="W95" i="9"/>
  <c r="V95" i="9"/>
  <c r="W94" i="9"/>
  <c r="V94" i="9"/>
  <c r="W101" i="9"/>
  <c r="V101" i="9"/>
  <c r="W92" i="9"/>
  <c r="V92" i="9"/>
  <c r="W91" i="9"/>
  <c r="V91" i="9"/>
  <c r="W90" i="9"/>
  <c r="V90" i="9"/>
  <c r="W89" i="9"/>
  <c r="V89" i="9"/>
  <c r="W88" i="9"/>
  <c r="V88" i="9"/>
  <c r="W87" i="9"/>
  <c r="V87" i="9"/>
  <c r="W86" i="9"/>
  <c r="V86" i="9"/>
  <c r="W85" i="9"/>
  <c r="V85" i="9"/>
  <c r="W84" i="9"/>
  <c r="V84" i="9"/>
  <c r="W83" i="9"/>
  <c r="V83" i="9"/>
  <c r="W82" i="9"/>
  <c r="V82" i="9"/>
  <c r="W81" i="9"/>
  <c r="V81" i="9"/>
  <c r="W80" i="9"/>
  <c r="V80" i="9"/>
  <c r="W100" i="9"/>
  <c r="V100" i="9"/>
  <c r="W78" i="9"/>
  <c r="V78" i="9"/>
  <c r="W77" i="9"/>
  <c r="V77" i="9"/>
  <c r="W98" i="9"/>
  <c r="V98" i="9"/>
  <c r="W97" i="9"/>
  <c r="V97" i="9"/>
  <c r="W93" i="9"/>
  <c r="V93" i="9"/>
  <c r="W73" i="9"/>
  <c r="V73" i="9"/>
  <c r="W76" i="9"/>
  <c r="V76" i="9"/>
  <c r="W71" i="9"/>
  <c r="V71" i="9"/>
  <c r="W64" i="9"/>
  <c r="V64" i="9"/>
  <c r="W63" i="9"/>
  <c r="V63" i="9"/>
  <c r="W62" i="9"/>
  <c r="V62" i="9"/>
  <c r="W65" i="9"/>
  <c r="V65" i="9"/>
  <c r="W61" i="9"/>
  <c r="V61" i="9"/>
  <c r="W59" i="9"/>
  <c r="V59" i="9"/>
  <c r="W58" i="9"/>
  <c r="V58" i="9"/>
  <c r="W57" i="9"/>
  <c r="V57" i="9"/>
  <c r="W56" i="9"/>
  <c r="V56" i="9"/>
  <c r="W55" i="9"/>
  <c r="V55" i="9"/>
  <c r="W54" i="9"/>
  <c r="V54" i="9"/>
  <c r="W53" i="9"/>
  <c r="V53" i="9"/>
  <c r="W52" i="9"/>
  <c r="V52" i="9"/>
  <c r="W51" i="9"/>
  <c r="V51" i="9"/>
  <c r="W50" i="9"/>
  <c r="V50" i="9"/>
  <c r="W49" i="9"/>
  <c r="V49" i="9"/>
  <c r="W45" i="9"/>
  <c r="V45" i="9"/>
  <c r="W44" i="9"/>
  <c r="V44" i="9"/>
  <c r="W43" i="9"/>
  <c r="V43" i="9"/>
  <c r="W42" i="9"/>
  <c r="V42" i="9"/>
  <c r="W41" i="9"/>
  <c r="V41" i="9"/>
  <c r="W40" i="9"/>
  <c r="V40" i="9"/>
  <c r="W39" i="9"/>
  <c r="V39" i="9"/>
  <c r="W38" i="9"/>
  <c r="V38" i="9"/>
  <c r="W37" i="9"/>
  <c r="V37" i="9"/>
  <c r="W36" i="9"/>
  <c r="V36" i="9"/>
  <c r="W35" i="9"/>
  <c r="V35" i="9"/>
  <c r="W34" i="9"/>
  <c r="V34" i="9"/>
  <c r="W33" i="9"/>
  <c r="V33" i="9"/>
  <c r="W32" i="9"/>
  <c r="V32" i="9"/>
  <c r="W31" i="9"/>
  <c r="V31" i="9"/>
  <c r="W30" i="9"/>
  <c r="V30" i="9"/>
  <c r="W28" i="9"/>
  <c r="V28" i="9"/>
  <c r="W27" i="9"/>
  <c r="V27" i="9"/>
  <c r="W25" i="9"/>
  <c r="V25" i="9"/>
  <c r="W24" i="9"/>
  <c r="V24" i="9"/>
  <c r="W22" i="9"/>
  <c r="V22" i="9"/>
  <c r="W21" i="9"/>
  <c r="V21" i="9"/>
  <c r="W20" i="9"/>
  <c r="V20" i="9"/>
  <c r="W19" i="9"/>
  <c r="V19" i="9"/>
  <c r="W18" i="9"/>
  <c r="V18" i="9"/>
  <c r="W17" i="9"/>
  <c r="V17" i="9"/>
  <c r="W16" i="9"/>
  <c r="V16" i="9"/>
  <c r="W15" i="9"/>
  <c r="V15" i="9"/>
  <c r="W13" i="9"/>
  <c r="V13" i="9"/>
  <c r="W12" i="9"/>
  <c r="V12" i="9"/>
  <c r="W11" i="9"/>
  <c r="V11" i="9"/>
  <c r="W10" i="9"/>
  <c r="V10" i="9"/>
  <c r="W9" i="9"/>
  <c r="V9" i="9"/>
  <c r="W8" i="9"/>
  <c r="V8" i="9"/>
  <c r="W7" i="9"/>
  <c r="V7" i="9"/>
  <c r="W6" i="9"/>
  <c r="V6" i="9"/>
  <c r="W5" i="9"/>
  <c r="V5" i="9"/>
  <c r="W4" i="9"/>
  <c r="V4" i="9"/>
  <c r="G480" i="8"/>
  <c r="G479" i="8"/>
  <c r="G478" i="8"/>
  <c r="G477" i="8"/>
  <c r="G476" i="8"/>
  <c r="G475" i="8"/>
  <c r="G474" i="8"/>
  <c r="G473" i="8"/>
  <c r="G472" i="8"/>
  <c r="G471" i="8"/>
  <c r="G470" i="8"/>
  <c r="G469" i="8"/>
  <c r="G468" i="8"/>
  <c r="G467" i="8"/>
  <c r="G466" i="8"/>
  <c r="G465" i="8"/>
  <c r="G464" i="8"/>
  <c r="G463" i="8"/>
  <c r="G462" i="8"/>
  <c r="G461" i="8"/>
  <c r="G460" i="8"/>
  <c r="G459" i="8"/>
  <c r="G458" i="8"/>
  <c r="G457" i="8"/>
  <c r="G456" i="8"/>
  <c r="G455" i="8"/>
  <c r="G454" i="8"/>
  <c r="G453" i="8"/>
  <c r="G452" i="8"/>
  <c r="G451" i="8"/>
  <c r="G450" i="8"/>
  <c r="G449" i="8"/>
  <c r="G448" i="8"/>
  <c r="G447" i="8"/>
  <c r="G446" i="8"/>
  <c r="G445" i="8"/>
  <c r="G444" i="8"/>
  <c r="G443" i="8"/>
  <c r="G442" i="8"/>
  <c r="G441" i="8"/>
  <c r="G440" i="8"/>
  <c r="G439" i="8"/>
  <c r="G438" i="8"/>
  <c r="G437" i="8"/>
  <c r="G436" i="8"/>
  <c r="G435" i="8"/>
  <c r="G434" i="8"/>
  <c r="G433" i="8"/>
  <c r="G432" i="8"/>
  <c r="G431" i="8"/>
  <c r="G430" i="8"/>
  <c r="G429" i="8"/>
  <c r="G428" i="8"/>
  <c r="G427" i="8"/>
  <c r="G426" i="8"/>
  <c r="G425" i="8"/>
  <c r="G419" i="8"/>
  <c r="G418" i="8"/>
  <c r="G417" i="8"/>
  <c r="G416" i="8"/>
  <c r="G415" i="8"/>
  <c r="G414" i="8"/>
  <c r="G413" i="8"/>
  <c r="G412" i="8"/>
  <c r="G411" i="8"/>
  <c r="G410" i="8"/>
  <c r="G409" i="8"/>
  <c r="G408" i="8"/>
  <c r="G407" i="8"/>
  <c r="G406" i="8"/>
  <c r="G405" i="8"/>
  <c r="G404" i="8"/>
  <c r="G403" i="8"/>
  <c r="G402" i="8"/>
  <c r="G401" i="8"/>
  <c r="G400" i="8"/>
  <c r="G399" i="8"/>
  <c r="G398" i="8"/>
  <c r="G397" i="8"/>
  <c r="G396" i="8"/>
  <c r="G395" i="8"/>
  <c r="G388" i="8"/>
  <c r="G387" i="8"/>
  <c r="G386" i="8"/>
  <c r="G385" i="8"/>
  <c r="G384" i="8"/>
  <c r="G383" i="8"/>
  <c r="G382" i="8"/>
  <c r="G381" i="8"/>
  <c r="G380" i="8"/>
  <c r="G379" i="8"/>
  <c r="G378" i="8"/>
  <c r="G377" i="8"/>
  <c r="G376" i="8"/>
  <c r="G375" i="8"/>
  <c r="G374" i="8"/>
  <c r="G373" i="8"/>
  <c r="G372" i="8"/>
  <c r="G371" i="8"/>
  <c r="G370" i="8"/>
  <c r="G369" i="8"/>
  <c r="G368" i="8"/>
  <c r="G367" i="8"/>
  <c r="G366" i="8"/>
  <c r="G365" i="8"/>
  <c r="G364" i="8"/>
  <c r="G363" i="8"/>
  <c r="G362" i="8"/>
  <c r="G361" i="8"/>
  <c r="G360" i="8"/>
  <c r="G359" i="8"/>
  <c r="G358" i="8"/>
  <c r="G357" i="8"/>
  <c r="G356" i="8"/>
  <c r="G355" i="8"/>
  <c r="G354" i="8"/>
  <c r="G353" i="8"/>
  <c r="G352" i="8"/>
  <c r="G351" i="8"/>
  <c r="G350" i="8"/>
  <c r="G349" i="8"/>
  <c r="G348" i="8"/>
  <c r="G347" i="8"/>
  <c r="G346" i="8"/>
  <c r="G345" i="8"/>
  <c r="G344" i="8"/>
  <c r="G343" i="8"/>
  <c r="G342" i="8"/>
  <c r="G341" i="8"/>
  <c r="G340" i="8"/>
  <c r="G339" i="8"/>
  <c r="G338" i="8"/>
  <c r="G337" i="8"/>
  <c r="G336" i="8"/>
  <c r="G335" i="8"/>
  <c r="G334" i="8"/>
  <c r="G333" i="8"/>
  <c r="G332" i="8"/>
  <c r="G331" i="8"/>
  <c r="G330" i="8"/>
  <c r="G329" i="8"/>
  <c r="G328" i="8"/>
  <c r="G327" i="8"/>
  <c r="G326" i="8"/>
  <c r="G325" i="8"/>
  <c r="G324" i="8"/>
  <c r="G323" i="8"/>
  <c r="G322" i="8"/>
  <c r="G321" i="8"/>
  <c r="G320" i="8"/>
  <c r="G319" i="8"/>
  <c r="G318" i="8"/>
  <c r="G317" i="8"/>
  <c r="G316" i="8"/>
  <c r="G315" i="8"/>
  <c r="G314" i="8"/>
  <c r="G313" i="8"/>
  <c r="G312" i="8"/>
  <c r="G311" i="8"/>
  <c r="G310" i="8"/>
  <c r="G309" i="8"/>
  <c r="G308" i="8"/>
  <c r="G307" i="8"/>
  <c r="G306" i="8"/>
  <c r="G305" i="8"/>
  <c r="G304" i="8"/>
  <c r="G303" i="8"/>
  <c r="G302" i="8"/>
  <c r="G301" i="8"/>
  <c r="G300" i="8"/>
  <c r="G299" i="8"/>
  <c r="G298" i="8"/>
  <c r="G297" i="8"/>
  <c r="G296" i="8"/>
  <c r="G295" i="8"/>
  <c r="G294" i="8"/>
  <c r="G293" i="8"/>
  <c r="G292" i="8"/>
  <c r="G291" i="8"/>
  <c r="G290" i="8"/>
  <c r="G289" i="8"/>
  <c r="G288" i="8"/>
  <c r="G287" i="8"/>
  <c r="G286" i="8"/>
  <c r="G285" i="8"/>
  <c r="G284" i="8"/>
  <c r="G283" i="8"/>
  <c r="G282" i="8"/>
  <c r="G281" i="8"/>
  <c r="G280" i="8"/>
  <c r="G279" i="8"/>
  <c r="G278" i="8"/>
  <c r="G277" i="8"/>
  <c r="G276" i="8"/>
  <c r="G275" i="8"/>
  <c r="G274" i="8"/>
  <c r="G273" i="8"/>
  <c r="G272" i="8"/>
  <c r="G271" i="8"/>
  <c r="G270" i="8"/>
  <c r="G269" i="8"/>
  <c r="G268" i="8"/>
  <c r="G267" i="8"/>
  <c r="G266" i="8"/>
  <c r="G265" i="8"/>
  <c r="G264" i="8"/>
  <c r="G263" i="8"/>
  <c r="G262" i="8"/>
  <c r="G261" i="8"/>
  <c r="G260" i="8"/>
  <c r="G259" i="8"/>
  <c r="G258" i="8"/>
  <c r="G257" i="8"/>
  <c r="G256" i="8"/>
  <c r="G255" i="8"/>
  <c r="G254" i="8"/>
  <c r="G253" i="8"/>
  <c r="G252" i="8"/>
  <c r="G251" i="8"/>
  <c r="G250" i="8"/>
  <c r="G249" i="8"/>
  <c r="G248" i="8"/>
  <c r="G247" i="8"/>
  <c r="G246" i="8"/>
  <c r="G245" i="8"/>
  <c r="G244" i="8"/>
  <c r="G243" i="8"/>
  <c r="G242" i="8"/>
  <c r="G241" i="8"/>
  <c r="G240" i="8"/>
  <c r="G239" i="8"/>
  <c r="G238" i="8"/>
  <c r="G237" i="8"/>
  <c r="G236" i="8"/>
  <c r="G235" i="8"/>
  <c r="G234" i="8"/>
  <c r="G233" i="8"/>
  <c r="G232" i="8"/>
  <c r="G231" i="8"/>
  <c r="G230" i="8"/>
  <c r="G229" i="8"/>
  <c r="G228" i="8"/>
  <c r="G227" i="8"/>
  <c r="G226" i="8"/>
  <c r="G225" i="8"/>
  <c r="G224" i="8"/>
  <c r="G223" i="8"/>
  <c r="G222" i="8"/>
  <c r="G221" i="8"/>
  <c r="G220" i="8"/>
  <c r="G219" i="8"/>
  <c r="G218" i="8"/>
  <c r="G217" i="8"/>
  <c r="G216" i="8"/>
  <c r="G215" i="8"/>
  <c r="G214" i="8"/>
  <c r="G213" i="8"/>
  <c r="G212" i="8"/>
  <c r="G211" i="8"/>
  <c r="G210" i="8"/>
  <c r="G209" i="8"/>
  <c r="G208" i="8"/>
  <c r="G207" i="8"/>
  <c r="G206" i="8"/>
  <c r="G205" i="8"/>
  <c r="G204" i="8"/>
  <c r="G203" i="8"/>
  <c r="G202" i="8"/>
  <c r="G201" i="8"/>
  <c r="G200" i="8"/>
  <c r="G199" i="8"/>
  <c r="G198" i="8"/>
  <c r="G197" i="8"/>
  <c r="G196" i="8"/>
  <c r="G195" i="8"/>
  <c r="G194" i="8"/>
  <c r="G193" i="8"/>
  <c r="G192" i="8"/>
  <c r="G191" i="8"/>
  <c r="G190" i="8"/>
  <c r="G189" i="8"/>
  <c r="G188" i="8"/>
  <c r="G187" i="8"/>
  <c r="G186" i="8"/>
  <c r="G185" i="8"/>
  <c r="G184" i="8"/>
  <c r="G183" i="8"/>
  <c r="G182" i="8"/>
  <c r="G181" i="8"/>
  <c r="G180" i="8"/>
  <c r="G179" i="8"/>
  <c r="G178" i="8"/>
  <c r="G177" i="8"/>
  <c r="G176" i="8"/>
  <c r="G175" i="8"/>
  <c r="G174" i="8"/>
  <c r="G173" i="8"/>
  <c r="G172" i="8"/>
  <c r="G171" i="8"/>
  <c r="G170" i="8"/>
  <c r="G169" i="8"/>
  <c r="G168" i="8"/>
  <c r="G167" i="8"/>
  <c r="G166" i="8"/>
  <c r="G165" i="8"/>
  <c r="G164" i="8"/>
  <c r="G163" i="8"/>
  <c r="G162" i="8"/>
  <c r="G161" i="8"/>
  <c r="G160" i="8"/>
  <c r="G159" i="8"/>
  <c r="G158" i="8"/>
  <c r="G157" i="8"/>
  <c r="G156" i="8"/>
  <c r="G155" i="8"/>
  <c r="G154" i="8"/>
  <c r="G153" i="8"/>
  <c r="G152" i="8"/>
  <c r="G151" i="8"/>
  <c r="G150" i="8"/>
  <c r="G149" i="8"/>
  <c r="G148" i="8"/>
  <c r="G147" i="8"/>
  <c r="G146" i="8"/>
  <c r="G145" i="8"/>
  <c r="G144" i="8"/>
  <c r="G143" i="8"/>
  <c r="G142" i="8"/>
  <c r="G141" i="8"/>
  <c r="G140" i="8"/>
  <c r="G139" i="8"/>
  <c r="G138" i="8"/>
  <c r="G137" i="8"/>
  <c r="G136" i="8"/>
  <c r="G135" i="8"/>
  <c r="G134" i="8"/>
  <c r="G133" i="8"/>
  <c r="G132" i="8"/>
  <c r="G131" i="8"/>
  <c r="G130" i="8"/>
  <c r="G129" i="8"/>
  <c r="G128" i="8"/>
  <c r="G127" i="8"/>
  <c r="G126" i="8"/>
  <c r="G125" i="8"/>
  <c r="G124" i="8"/>
  <c r="G123" i="8"/>
  <c r="G122" i="8"/>
  <c r="G121" i="8"/>
  <c r="G120" i="8"/>
  <c r="G119" i="8"/>
  <c r="G116" i="8"/>
  <c r="G115" i="8"/>
  <c r="G114" i="8"/>
  <c r="G113" i="8"/>
  <c r="G112" i="8"/>
  <c r="G111" i="8"/>
  <c r="G110" i="8"/>
  <c r="G109" i="8"/>
  <c r="G108" i="8"/>
  <c r="G107" i="8"/>
  <c r="G106" i="8"/>
  <c r="G105" i="8"/>
  <c r="G104" i="8"/>
  <c r="G103" i="8"/>
  <c r="G102" i="8"/>
  <c r="G101" i="8"/>
  <c r="G100" i="8"/>
  <c r="G99" i="8"/>
  <c r="G98" i="8"/>
  <c r="G97" i="8"/>
  <c r="G96" i="8"/>
  <c r="G95" i="8"/>
  <c r="G94" i="8"/>
  <c r="G93" i="8"/>
  <c r="G92" i="8"/>
  <c r="G91" i="8"/>
  <c r="G90" i="8"/>
  <c r="G89" i="8"/>
  <c r="G88" i="8"/>
  <c r="G87" i="8"/>
  <c r="G86" i="8"/>
  <c r="G85" i="8"/>
  <c r="G84" i="8"/>
  <c r="G83" i="8"/>
  <c r="G82" i="8"/>
  <c r="G81" i="8"/>
  <c r="G80" i="8"/>
  <c r="G79" i="8"/>
  <c r="G78" i="8"/>
  <c r="G77" i="8"/>
  <c r="G76" i="8"/>
  <c r="G75" i="8"/>
  <c r="G74" i="8"/>
  <c r="G73" i="8"/>
  <c r="G72" i="8"/>
  <c r="G71" i="8"/>
  <c r="G70" i="8"/>
  <c r="G69" i="8"/>
  <c r="G68" i="8"/>
  <c r="G67" i="8"/>
  <c r="G66" i="8"/>
  <c r="G65" i="8"/>
  <c r="G64" i="8"/>
  <c r="G63" i="8"/>
  <c r="G62" i="8"/>
  <c r="G61" i="8"/>
  <c r="G60" i="8"/>
  <c r="G59" i="8"/>
  <c r="G58" i="8"/>
  <c r="G57" i="8"/>
  <c r="G56" i="8"/>
  <c r="G55" i="8"/>
  <c r="G54" i="8"/>
  <c r="G53" i="8"/>
  <c r="G52" i="8"/>
  <c r="G51" i="8"/>
  <c r="G50" i="8"/>
  <c r="G49" i="8"/>
  <c r="G48" i="8"/>
  <c r="G47" i="8"/>
  <c r="G46" i="8"/>
  <c r="G45" i="8"/>
  <c r="G44" i="8"/>
  <c r="G43" i="8"/>
  <c r="G42" i="8"/>
  <c r="G41" i="8"/>
  <c r="G40" i="8"/>
  <c r="G39" i="8"/>
  <c r="G38" i="8"/>
  <c r="G37" i="8"/>
  <c r="G36" i="8"/>
  <c r="G35" i="8"/>
  <c r="G34" i="8"/>
  <c r="G33" i="8"/>
  <c r="G32" i="8"/>
  <c r="G31" i="8"/>
  <c r="G30" i="8"/>
  <c r="G29" i="8"/>
  <c r="G28" i="8"/>
  <c r="G27" i="8"/>
  <c r="G26" i="8"/>
  <c r="G25" i="8"/>
  <c r="G24" i="8"/>
  <c r="G23" i="8"/>
  <c r="G22" i="8"/>
  <c r="G21" i="8"/>
  <c r="G20" i="8"/>
  <c r="G19" i="8"/>
  <c r="G18" i="8"/>
  <c r="G17" i="8"/>
  <c r="G16" i="8"/>
  <c r="G15" i="8"/>
  <c r="G14" i="8"/>
  <c r="G13" i="8"/>
  <c r="G12" i="8"/>
  <c r="G11" i="8"/>
  <c r="G10" i="8"/>
  <c r="G9" i="8"/>
  <c r="G8" i="8"/>
  <c r="G7" i="8"/>
  <c r="G6" i="8"/>
  <c r="G5" i="8"/>
  <c r="G4" i="8"/>
  <c r="G3" i="8"/>
  <c r="D1" i="6"/>
  <c r="E1" i="6" s="1"/>
  <c r="F1" i="6" s="1"/>
  <c r="G1" i="6" s="1"/>
  <c r="H1" i="6" s="1"/>
  <c r="F75" i="96" a="1"/>
  <c r="F45" i="96" a="1"/>
  <c r="F47" i="96" a="1"/>
  <c r="F74" i="96" a="1"/>
  <c r="F37" i="96" a="1"/>
  <c r="F80" i="96" a="1"/>
  <c r="F39" i="96" a="1"/>
  <c r="F3" i="96" a="1"/>
  <c r="A11" i="96" a="1"/>
  <c r="J479" i="8"/>
  <c r="A13" i="96" a="1"/>
  <c r="A22" i="96" a="1"/>
  <c r="A36" i="96" a="1"/>
  <c r="A3" i="96" a="1"/>
  <c r="A9" i="96" a="1"/>
  <c r="M478" i="8"/>
  <c r="A18" i="96" a="1"/>
  <c r="A20" i="96" a="1"/>
  <c r="A12" i="96" a="1"/>
  <c r="A24" i="96" a="1"/>
  <c r="F25" i="96" a="1"/>
  <c r="S479" i="8"/>
  <c r="R477" i="8"/>
  <c r="F84" i="96" a="1"/>
  <c r="A33" i="96" a="1"/>
  <c r="A37" i="96" a="1"/>
  <c r="F19" i="96" a="1"/>
  <c r="F22" i="96" a="1"/>
  <c r="F69" i="96" a="1"/>
  <c r="F76" i="96" a="1"/>
  <c r="A2" i="96" a="1"/>
  <c r="F28" i="96" a="1"/>
  <c r="S478" i="8"/>
  <c r="A38" i="96" a="1"/>
  <c r="A39" i="96" a="1"/>
  <c r="F61" i="96" a="1"/>
  <c r="F32" i="96" a="1"/>
  <c r="F92" i="96" a="1"/>
  <c r="F44" i="96" a="1"/>
  <c r="F68" i="96" a="1"/>
  <c r="F93" i="96" a="1"/>
  <c r="F5" i="96" a="1"/>
  <c r="A19" i="96" a="1"/>
  <c r="J477" i="8"/>
  <c r="F34" i="96" a="1"/>
  <c r="F78" i="96" a="1"/>
  <c r="F95" i="96" a="1"/>
  <c r="F48" i="96" a="1"/>
  <c r="F60" i="96" a="1"/>
  <c r="F89" i="96" a="1"/>
  <c r="A14" i="96" a="1"/>
  <c r="Q478" i="8"/>
  <c r="F2" i="96" a="1"/>
  <c r="J478" i="8"/>
  <c r="R479" i="8"/>
  <c r="F63" i="96" a="1"/>
  <c r="F35" i="96" a="1"/>
  <c r="F42" i="96" a="1"/>
  <c r="F87" i="96" a="1"/>
  <c r="M477" i="8"/>
  <c r="F18" i="96" a="1"/>
  <c r="F20" i="96" a="1"/>
  <c r="A35" i="96" a="1"/>
  <c r="F49" i="96" a="1"/>
  <c r="F86" i="96" a="1"/>
  <c r="F99" i="96" a="1"/>
  <c r="A5" i="96" a="1"/>
  <c r="A17" i="96" a="1"/>
  <c r="A44" i="96" a="1"/>
  <c r="F4" i="96" a="1"/>
  <c r="A43" i="96" a="1"/>
  <c r="F36" i="96" a="1"/>
  <c r="A42" i="96" a="1"/>
  <c r="A4" i="96" a="1"/>
  <c r="S477" i="8"/>
  <c r="F57" i="96" a="1"/>
  <c r="F70" i="96" a="1"/>
  <c r="F1" i="96" a="1"/>
  <c r="R478" i="8"/>
  <c r="A29" i="96" a="1"/>
  <c r="A28" i="96" a="1"/>
  <c r="F26" i="96" a="1"/>
  <c r="F96" i="96" a="1"/>
  <c r="F81" i="96" a="1"/>
  <c r="F51" i="96" a="1"/>
  <c r="F54" i="96" a="1"/>
  <c r="F62" i="96" a="1"/>
  <c r="F98" i="96" a="1"/>
  <c r="F71" i="96" a="1"/>
  <c r="F30" i="96" a="1"/>
  <c r="A7" i="96" a="1"/>
  <c r="F21" i="96" a="1"/>
  <c r="F15" i="96" a="1"/>
  <c r="A10" i="96" a="1"/>
  <c r="A30" i="96" a="1"/>
  <c r="F7" i="96" a="1"/>
  <c r="A21" i="96" a="1"/>
  <c r="F23" i="96" a="1"/>
  <c r="R480" i="8"/>
  <c r="F53" i="96" a="1"/>
  <c r="F40" i="96" a="1"/>
  <c r="F56" i="96" a="1"/>
  <c r="F90" i="96" a="1"/>
  <c r="F55" i="96" a="1"/>
  <c r="F17" i="96" a="1"/>
  <c r="Q480" i="8"/>
  <c r="A41" i="96" a="1"/>
  <c r="Q479" i="8"/>
  <c r="A46" i="96" a="1"/>
  <c r="Q477" i="8"/>
  <c r="F24" i="96" a="1"/>
  <c r="F65" i="96" a="1"/>
  <c r="A31" i="96" a="1"/>
  <c r="F91" i="96" a="1"/>
  <c r="F64" i="96" a="1"/>
  <c r="F41" i="96" a="1"/>
  <c r="F79" i="96" a="1"/>
  <c r="F38" i="96" a="1"/>
  <c r="A8" i="96" a="1"/>
  <c r="M479" i="8"/>
  <c r="A32" i="96" a="1"/>
  <c r="F27" i="96" a="1"/>
  <c r="A25" i="96" a="1"/>
  <c r="F8" i="96" a="1"/>
  <c r="A34" i="96" a="1"/>
  <c r="F10" i="96" a="1"/>
  <c r="F97" i="96" a="1"/>
  <c r="F31" i="96" a="1"/>
  <c r="F83" i="96" a="1"/>
  <c r="F66" i="96" a="1"/>
  <c r="F82" i="96" a="1"/>
  <c r="A27" i="96" a="1"/>
  <c r="F9" i="96" a="1"/>
  <c r="A16" i="96" a="1"/>
  <c r="F29" i="96" a="1"/>
  <c r="J480" i="8"/>
  <c r="A6" i="96" a="1"/>
  <c r="F14" i="96" a="1"/>
  <c r="F85" i="96" a="1"/>
  <c r="F72" i="96" a="1"/>
  <c r="F73" i="96" a="1"/>
  <c r="F52" i="96" a="1"/>
  <c r="F59" i="96" a="1"/>
  <c r="F11" i="96" a="1"/>
  <c r="A23" i="96" a="1"/>
  <c r="F16" i="96" a="1"/>
  <c r="F12" i="96" a="1"/>
  <c r="A1" i="96" a="1"/>
  <c r="A40" i="96" a="1"/>
  <c r="F88" i="96" a="1"/>
  <c r="F77" i="96" a="1"/>
  <c r="F58" i="96" a="1"/>
  <c r="F43" i="96" a="1"/>
  <c r="F46" i="96" a="1"/>
  <c r="A26" i="96" a="1"/>
  <c r="F6" i="96" a="1"/>
  <c r="S480" i="8"/>
  <c r="F33" i="96" a="1"/>
  <c r="F67" i="96" a="1"/>
  <c r="A45" i="96" a="1"/>
  <c r="M480" i="8"/>
  <c r="A15" i="96" a="1"/>
  <c r="F13" i="96" a="1"/>
  <c r="F99" i="96" l="1"/>
  <c r="F87" i="96"/>
  <c r="F89" i="96"/>
  <c r="F93" i="96"/>
  <c r="F39" i="96"/>
  <c r="F67" i="96"/>
  <c r="F46" i="96"/>
  <c r="F65" i="96"/>
  <c r="F82" i="96"/>
  <c r="F38" i="96"/>
  <c r="F55" i="96"/>
  <c r="F71" i="96"/>
  <c r="F76" i="96"/>
  <c r="F42" i="96"/>
  <c r="F60" i="96"/>
  <c r="F68" i="96"/>
  <c r="F80" i="96"/>
  <c r="F1" i="96"/>
  <c r="F43" i="96"/>
  <c r="F59" i="96"/>
  <c r="F66" i="96"/>
  <c r="F79" i="96"/>
  <c r="F90" i="96"/>
  <c r="F98" i="96"/>
  <c r="F86" i="96"/>
  <c r="F35" i="96"/>
  <c r="F48" i="96"/>
  <c r="F44" i="96"/>
  <c r="F37" i="96"/>
  <c r="F70" i="96"/>
  <c r="F36" i="96"/>
  <c r="F52" i="96"/>
  <c r="F83" i="96"/>
  <c r="F41" i="96"/>
  <c r="F56" i="96"/>
  <c r="F62" i="96"/>
  <c r="F69" i="96"/>
  <c r="F84" i="96"/>
  <c r="F95" i="96"/>
  <c r="F92" i="96"/>
  <c r="F74" i="96"/>
  <c r="F33" i="96"/>
  <c r="F58" i="96"/>
  <c r="F73" i="96"/>
  <c r="F31" i="96"/>
  <c r="F64" i="96"/>
  <c r="F40" i="96"/>
  <c r="F54" i="96"/>
  <c r="F49" i="96"/>
  <c r="F63" i="96"/>
  <c r="F78" i="96"/>
  <c r="F32" i="96"/>
  <c r="F47" i="96"/>
  <c r="F57" i="96"/>
  <c r="F77" i="96"/>
  <c r="F72" i="96"/>
  <c r="F97" i="96"/>
  <c r="F91" i="96"/>
  <c r="F53" i="96"/>
  <c r="F51" i="96"/>
  <c r="F81" i="96"/>
  <c r="F96" i="96"/>
  <c r="F34" i="96"/>
  <c r="F61" i="96"/>
  <c r="F45" i="96"/>
  <c r="F75" i="96"/>
  <c r="F88" i="96"/>
  <c r="F85" i="96"/>
  <c r="F18" i="96"/>
  <c r="F14" i="96"/>
  <c r="F7" i="96"/>
  <c r="F12" i="96"/>
  <c r="F6" i="96"/>
  <c r="F19" i="96"/>
  <c r="F29" i="96"/>
  <c r="F23" i="96"/>
  <c r="F11" i="96"/>
  <c r="F5" i="96"/>
  <c r="F17" i="96"/>
  <c r="F28" i="96"/>
  <c r="F22" i="96"/>
  <c r="F10" i="96"/>
  <c r="F4" i="96"/>
  <c r="F24" i="96"/>
  <c r="F16" i="96"/>
  <c r="F25" i="96"/>
  <c r="F27" i="96"/>
  <c r="F21" i="96"/>
  <c r="F9" i="96"/>
  <c r="F3" i="96"/>
  <c r="F30" i="96"/>
  <c r="F15" i="96"/>
  <c r="F13" i="96"/>
  <c r="F26" i="96"/>
  <c r="F20" i="96"/>
  <c r="F8" i="96"/>
  <c r="F2" i="96"/>
  <c r="A2" i="96"/>
  <c r="A20" i="96"/>
  <c r="A37" i="96"/>
  <c r="A25" i="96"/>
  <c r="A13" i="96"/>
  <c r="A31" i="96"/>
  <c r="A19" i="96"/>
  <c r="A7" i="96"/>
  <c r="A42" i="96"/>
  <c r="A30" i="96"/>
  <c r="A24" i="96"/>
  <c r="A12" i="96"/>
  <c r="A6" i="96"/>
  <c r="A36" i="96"/>
  <c r="A18" i="96"/>
  <c r="A41" i="96"/>
  <c r="A29" i="96"/>
  <c r="A23" i="96"/>
  <c r="A11" i="96"/>
  <c r="A5" i="96"/>
  <c r="A43" i="96"/>
  <c r="A35" i="96"/>
  <c r="A17" i="96"/>
  <c r="A40" i="96"/>
  <c r="A34" i="96"/>
  <c r="A28" i="96"/>
  <c r="A22" i="96"/>
  <c r="A10" i="96"/>
  <c r="A4" i="96"/>
  <c r="A16" i="96"/>
  <c r="A45" i="96"/>
  <c r="A33" i="96"/>
  <c r="A27" i="96"/>
  <c r="A21" i="96"/>
  <c r="A9" i="96"/>
  <c r="A3" i="96"/>
  <c r="A46" i="96"/>
  <c r="A39" i="96"/>
  <c r="A15" i="96"/>
  <c r="A44" i="96"/>
  <c r="A38" i="96"/>
  <c r="A32" i="96"/>
  <c r="A26" i="96"/>
  <c r="A14" i="96"/>
  <c r="A8" i="96"/>
  <c r="A1" i="96"/>
  <c r="O477" i="8"/>
  <c r="K477" i="8" s="1"/>
  <c r="O479" i="8"/>
  <c r="K479" i="8" s="1"/>
  <c r="O478" i="8"/>
  <c r="K478" i="8" s="1"/>
  <c r="O480" i="8"/>
  <c r="K480" i="8" s="1"/>
  <c r="Y428" i="8"/>
  <c r="M58" i="8"/>
  <c r="S19" i="8"/>
  <c r="J56" i="8"/>
  <c r="S105" i="8"/>
  <c r="R286" i="8"/>
  <c r="Q274" i="8"/>
  <c r="J271" i="8"/>
  <c r="R120" i="8"/>
  <c r="D50" i="6"/>
  <c r="Q166" i="8"/>
  <c r="C17" i="6"/>
  <c r="Q28" i="8"/>
  <c r="C58" i="6"/>
  <c r="M412" i="8"/>
  <c r="Q147" i="8"/>
  <c r="Q240" i="8"/>
  <c r="Q219" i="8"/>
  <c r="Q261" i="8"/>
  <c r="Q302" i="8"/>
  <c r="Q455" i="8"/>
  <c r="S91" i="8"/>
  <c r="S298" i="8"/>
  <c r="M81" i="8"/>
  <c r="R250" i="8"/>
  <c r="R3" i="8"/>
  <c r="O271" i="8" l="1"/>
  <c r="K271" i="8"/>
  <c r="O56" i="8"/>
  <c r="K56" i="8"/>
  <c r="Q259" i="8"/>
  <c r="R263" i="8"/>
  <c r="M4" i="8"/>
  <c r="M149" i="8"/>
  <c r="C65" i="6"/>
  <c r="J297" i="8"/>
  <c r="J226" i="8"/>
  <c r="S45" i="8"/>
  <c r="Q376" i="8"/>
  <c r="S48" i="8"/>
  <c r="Q389" i="8"/>
  <c r="M387" i="8"/>
  <c r="Q295" i="8"/>
  <c r="R87" i="8"/>
  <c r="J321" i="8"/>
  <c r="R108" i="8"/>
  <c r="K226" i="8" l="1"/>
  <c r="O226" i="8"/>
  <c r="K297" i="8"/>
  <c r="O297" i="8"/>
  <c r="K321" i="8"/>
  <c r="O321" i="8"/>
  <c r="M458" i="8"/>
  <c r="J196" i="8"/>
  <c r="J30" i="8"/>
  <c r="S403" i="8"/>
  <c r="S387" i="8"/>
  <c r="J427" i="8"/>
  <c r="C26" i="6"/>
  <c r="R291" i="8"/>
  <c r="H45" i="6"/>
  <c r="M86" i="8"/>
  <c r="S414" i="8"/>
  <c r="J362" i="8"/>
  <c r="Q100" i="8"/>
  <c r="J125" i="8"/>
  <c r="G92" i="6"/>
  <c r="R119" i="8"/>
  <c r="S199" i="8"/>
  <c r="Q121" i="8"/>
  <c r="R240" i="8"/>
  <c r="R213" i="8"/>
  <c r="S331" i="8"/>
  <c r="C30" i="6"/>
  <c r="R324" i="8"/>
  <c r="Q283" i="8"/>
  <c r="R300" i="8"/>
  <c r="J28" i="8"/>
  <c r="S437" i="8"/>
  <c r="D20" i="6"/>
  <c r="Q269" i="8"/>
  <c r="J462" i="8"/>
  <c r="E28" i="6"/>
  <c r="G83" i="6"/>
  <c r="S385" i="8"/>
  <c r="J243" i="8"/>
  <c r="R115" i="8"/>
  <c r="R357" i="8"/>
  <c r="Q4" i="8"/>
  <c r="D92" i="6"/>
  <c r="G17" i="6"/>
  <c r="M144" i="8"/>
  <c r="E29" i="6"/>
  <c r="M215" i="8"/>
  <c r="R429" i="8"/>
  <c r="Q183" i="8"/>
  <c r="J33" i="8"/>
  <c r="R469" i="8"/>
  <c r="J350" i="8"/>
  <c r="F90" i="6"/>
  <c r="J91" i="8"/>
  <c r="Q267" i="8"/>
  <c r="J423" i="8"/>
  <c r="Q377" i="8"/>
  <c r="M341" i="8"/>
  <c r="M108" i="8"/>
  <c r="S44" i="8"/>
  <c r="J50" i="8"/>
  <c r="J117" i="8"/>
  <c r="M107" i="8"/>
  <c r="J244" i="8"/>
  <c r="R178" i="8"/>
  <c r="G117" i="6"/>
  <c r="J408" i="8"/>
  <c r="J411" i="8"/>
  <c r="C20" i="6"/>
  <c r="R112" i="8"/>
  <c r="E83" i="6"/>
  <c r="D76" i="6"/>
  <c r="G20" i="6"/>
  <c r="S97" i="8"/>
  <c r="M298" i="8"/>
  <c r="R156" i="8"/>
  <c r="S229" i="8"/>
  <c r="Q80" i="8"/>
  <c r="S141" i="8"/>
  <c r="G18" i="6"/>
  <c r="S222" i="8"/>
  <c r="J460" i="8"/>
  <c r="R12" i="8"/>
  <c r="S259" i="8"/>
  <c r="S192" i="8"/>
  <c r="S130" i="8"/>
  <c r="G56" i="6"/>
  <c r="R64" i="8"/>
  <c r="J414" i="8"/>
  <c r="J65" i="8"/>
  <c r="J166" i="8"/>
  <c r="Q234" i="8"/>
  <c r="J286" i="8"/>
  <c r="M460" i="8"/>
  <c r="R41" i="8"/>
  <c r="Q11" i="8"/>
  <c r="M113" i="8"/>
  <c r="M378" i="8"/>
  <c r="G67" i="6"/>
  <c r="E89" i="6"/>
  <c r="S12" i="8"/>
  <c r="S86" i="8"/>
  <c r="M330" i="8"/>
  <c r="M315" i="8"/>
  <c r="J157" i="8"/>
  <c r="J383" i="8"/>
  <c r="Q126" i="8"/>
  <c r="J24" i="8"/>
  <c r="F20" i="6"/>
  <c r="R366" i="8"/>
  <c r="S150" i="8"/>
  <c r="Q415" i="8"/>
  <c r="M209" i="8"/>
  <c r="S296" i="8"/>
  <c r="Q374" i="8"/>
  <c r="M373" i="8"/>
  <c r="S278" i="8"/>
  <c r="S308" i="8"/>
  <c r="R72" i="8"/>
  <c r="G97" i="6"/>
  <c r="M276" i="8"/>
  <c r="Q327" i="8"/>
  <c r="S420" i="8"/>
  <c r="J451" i="8"/>
  <c r="F10" i="6"/>
  <c r="E48" i="6"/>
  <c r="R472" i="8"/>
  <c r="F34" i="6"/>
  <c r="M231" i="8"/>
  <c r="S473" i="8"/>
  <c r="Q401" i="8"/>
  <c r="J176" i="8"/>
  <c r="C57" i="6"/>
  <c r="M210" i="8"/>
  <c r="R404" i="8"/>
  <c r="R127" i="8"/>
  <c r="R190" i="8"/>
  <c r="Q343" i="8"/>
  <c r="R75" i="8"/>
  <c r="S289" i="8"/>
  <c r="M257" i="8"/>
  <c r="S232" i="8"/>
  <c r="Q197" i="8"/>
  <c r="J59" i="8"/>
  <c r="M182" i="8"/>
  <c r="R67" i="8"/>
  <c r="S178" i="8"/>
  <c r="M115" i="8"/>
  <c r="S184" i="8"/>
  <c r="R163" i="8"/>
  <c r="M393" i="8"/>
  <c r="S84" i="8"/>
  <c r="S441" i="8"/>
  <c r="E91" i="6"/>
  <c r="S360" i="8"/>
  <c r="F72" i="6"/>
  <c r="Q104" i="8"/>
  <c r="S90" i="8"/>
  <c r="R98" i="8"/>
  <c r="S314" i="8"/>
  <c r="Q282" i="8"/>
  <c r="M338" i="8"/>
  <c r="Q10" i="8"/>
  <c r="E67" i="6"/>
  <c r="R446" i="8"/>
  <c r="R302" i="8"/>
  <c r="S238" i="8"/>
  <c r="S467" i="8"/>
  <c r="G82" i="6"/>
  <c r="J89" i="8"/>
  <c r="D72" i="6"/>
  <c r="S207" i="8"/>
  <c r="R345" i="8"/>
  <c r="Q176" i="8"/>
  <c r="G29" i="6"/>
  <c r="R126" i="8"/>
  <c r="M331" i="8"/>
  <c r="S65" i="8"/>
  <c r="S98" i="8"/>
  <c r="Q67" i="8"/>
  <c r="Q213" i="8"/>
  <c r="S143" i="8"/>
  <c r="J122" i="8"/>
  <c r="S131" i="8"/>
  <c r="M45" i="8"/>
  <c r="M103" i="8"/>
  <c r="Q277" i="8"/>
  <c r="Q255" i="8"/>
  <c r="Q201" i="8"/>
  <c r="Q83" i="8"/>
  <c r="Q289" i="8"/>
  <c r="D37" i="6"/>
  <c r="C68" i="6"/>
  <c r="F46" i="6"/>
  <c r="Q404" i="8"/>
  <c r="J148" i="8"/>
  <c r="M217" i="8"/>
  <c r="J295" i="8"/>
  <c r="S30" i="8"/>
  <c r="J86" i="8"/>
  <c r="M10" i="8"/>
  <c r="J235" i="8"/>
  <c r="S432" i="8"/>
  <c r="D64" i="6"/>
  <c r="S405" i="8"/>
  <c r="D80" i="6"/>
  <c r="M455" i="8"/>
  <c r="R414" i="8"/>
  <c r="M291" i="8"/>
  <c r="M22" i="8"/>
  <c r="M194" i="8"/>
  <c r="S201" i="8"/>
  <c r="S203" i="8"/>
  <c r="D8" i="6"/>
  <c r="S136" i="8"/>
  <c r="M117" i="8"/>
  <c r="M431" i="8"/>
  <c r="S288" i="8"/>
  <c r="S363" i="8"/>
  <c r="S31" i="8"/>
  <c r="Q445" i="8"/>
  <c r="S165" i="8"/>
  <c r="M28" i="8"/>
  <c r="M142" i="8"/>
  <c r="R287" i="8"/>
  <c r="J469" i="8"/>
  <c r="M365" i="8"/>
  <c r="G42" i="6"/>
  <c r="J135" i="8"/>
  <c r="Q310" i="8"/>
  <c r="S408" i="8"/>
  <c r="J69" i="8"/>
  <c r="M225" i="8"/>
  <c r="S100" i="8"/>
  <c r="S147" i="8"/>
  <c r="S465" i="8"/>
  <c r="M329" i="8"/>
  <c r="M292" i="8"/>
  <c r="S273" i="8"/>
  <c r="S132" i="8"/>
  <c r="J380" i="8"/>
  <c r="R467" i="8"/>
  <c r="Q364" i="8"/>
  <c r="R350" i="8"/>
  <c r="Q407" i="8"/>
  <c r="M128" i="8"/>
  <c r="M196" i="8"/>
  <c r="C54" i="6"/>
  <c r="S175" i="8"/>
  <c r="Q206" i="8"/>
  <c r="R337" i="8"/>
  <c r="S446" i="8"/>
  <c r="R11" i="8"/>
  <c r="R137" i="8"/>
  <c r="E35" i="6"/>
  <c r="R298" i="8"/>
  <c r="R239" i="8"/>
  <c r="F65" i="6"/>
  <c r="S442" i="8"/>
  <c r="R248" i="8"/>
  <c r="M199" i="8"/>
  <c r="R376" i="8"/>
  <c r="Q227" i="8"/>
  <c r="J172" i="8"/>
  <c r="D57" i="6"/>
  <c r="S306" i="8"/>
  <c r="J57" i="8"/>
  <c r="J237" i="8"/>
  <c r="R434" i="8"/>
  <c r="M385" i="8"/>
  <c r="M370" i="8"/>
  <c r="M451" i="8"/>
  <c r="E8" i="6"/>
  <c r="H58" i="6"/>
  <c r="S466" i="8"/>
  <c r="S302" i="8"/>
  <c r="G28" i="6"/>
  <c r="M351" i="8"/>
  <c r="S231" i="8"/>
  <c r="F66" i="6"/>
  <c r="H33" i="6"/>
  <c r="S153" i="8"/>
  <c r="R50" i="8"/>
  <c r="M219" i="8"/>
  <c r="R282" i="8"/>
  <c r="C64" i="6"/>
  <c r="Q181" i="8"/>
  <c r="R349" i="8"/>
  <c r="M367" i="8"/>
  <c r="J404" i="8"/>
  <c r="S263" i="8"/>
  <c r="Q180" i="8"/>
  <c r="S206" i="8"/>
  <c r="S246" i="8"/>
  <c r="F26" i="6"/>
  <c r="R78" i="8"/>
  <c r="S274" i="8"/>
  <c r="J132" i="8"/>
  <c r="J62" i="8"/>
  <c r="Q361" i="8"/>
  <c r="H103" i="6"/>
  <c r="R218" i="8"/>
  <c r="S371" i="8"/>
  <c r="H34" i="6"/>
  <c r="M283" i="8"/>
  <c r="M256" i="8"/>
  <c r="H10" i="6"/>
  <c r="M272" i="8"/>
  <c r="S227" i="8"/>
  <c r="Q63" i="8"/>
  <c r="R116" i="8"/>
  <c r="R4" i="8"/>
  <c r="J44" i="8"/>
  <c r="G65" i="6"/>
  <c r="M158" i="8"/>
  <c r="J443" i="8"/>
  <c r="E59" i="6"/>
  <c r="Q472" i="8"/>
  <c r="E82" i="6"/>
  <c r="R419" i="8"/>
  <c r="S211" i="8"/>
  <c r="D52" i="6"/>
  <c r="M85" i="8"/>
  <c r="S179" i="8"/>
  <c r="E36" i="6"/>
  <c r="J63" i="8"/>
  <c r="G54" i="6"/>
  <c r="F18" i="6"/>
  <c r="F68" i="6"/>
  <c r="G80" i="6"/>
  <c r="R14" i="8"/>
  <c r="Q403" i="8"/>
  <c r="Q331" i="8"/>
  <c r="M98" i="8"/>
  <c r="G39" i="6"/>
  <c r="S457" i="8"/>
  <c r="Q82" i="8"/>
  <c r="M84" i="8"/>
  <c r="H114" i="6"/>
  <c r="M162" i="8"/>
  <c r="H59" i="6"/>
  <c r="E41" i="6"/>
  <c r="M163" i="8"/>
  <c r="S291" i="8"/>
  <c r="R312" i="8"/>
  <c r="M106" i="8"/>
  <c r="Q470" i="8"/>
  <c r="Q438" i="8"/>
  <c r="C11" i="6"/>
  <c r="Q458" i="8"/>
  <c r="R297" i="8"/>
  <c r="J467" i="8"/>
  <c r="S4" i="8"/>
  <c r="M138" i="8"/>
  <c r="S313" i="8"/>
  <c r="Q409" i="8"/>
  <c r="E85" i="6"/>
  <c r="G25" i="6"/>
  <c r="M264" i="8"/>
  <c r="C115" i="6"/>
  <c r="E92" i="6"/>
  <c r="J198" i="8"/>
  <c r="J428" i="8"/>
  <c r="S234" i="8"/>
  <c r="S418" i="8"/>
  <c r="Q171" i="8"/>
  <c r="Q125" i="8"/>
  <c r="M226" i="8"/>
  <c r="S365" i="8"/>
  <c r="S284" i="8"/>
  <c r="Q341" i="8"/>
  <c r="J209" i="8"/>
  <c r="Q51" i="8"/>
  <c r="S169" i="8"/>
  <c r="S68" i="8"/>
  <c r="J418" i="8"/>
  <c r="R102" i="8"/>
  <c r="J282" i="8"/>
  <c r="S342" i="8"/>
  <c r="M187" i="8"/>
  <c r="Q44" i="8"/>
  <c r="Q387" i="8"/>
  <c r="R203" i="8"/>
  <c r="J308" i="8"/>
  <c r="M263" i="8"/>
  <c r="E26" i="6"/>
  <c r="Q222" i="8"/>
  <c r="J144" i="8"/>
  <c r="J476" i="8"/>
  <c r="S125" i="8"/>
  <c r="J170" i="8"/>
  <c r="M466" i="8"/>
  <c r="D42" i="6"/>
  <c r="F11" i="6"/>
  <c r="S99" i="8"/>
  <c r="R390" i="8"/>
  <c r="R45" i="8"/>
  <c r="G9" i="6"/>
  <c r="S448" i="8"/>
  <c r="J399" i="8"/>
  <c r="J361" i="8"/>
  <c r="R35" i="8"/>
  <c r="S106" i="8"/>
  <c r="J180" i="8"/>
  <c r="J102" i="8"/>
  <c r="M377" i="8"/>
  <c r="J233" i="8"/>
  <c r="Q329" i="8"/>
  <c r="C67" i="6"/>
  <c r="M390" i="8"/>
  <c r="Q130" i="8"/>
  <c r="J247" i="8"/>
  <c r="M383" i="8"/>
  <c r="R387" i="8"/>
  <c r="J470" i="8"/>
  <c r="S359" i="8"/>
  <c r="J29" i="8"/>
  <c r="R161" i="8"/>
  <c r="D34" i="6"/>
  <c r="H108" i="6"/>
  <c r="G72" i="6"/>
  <c r="F57" i="6"/>
  <c r="C84" i="6"/>
  <c r="J99" i="8"/>
  <c r="M281" i="8"/>
  <c r="Q50" i="8"/>
  <c r="Q149" i="8"/>
  <c r="S67" i="8"/>
  <c r="F84" i="6"/>
  <c r="R131" i="8"/>
  <c r="M311" i="8"/>
  <c r="J113" i="8"/>
  <c r="S25" i="8"/>
  <c r="M443" i="8"/>
  <c r="J432" i="8"/>
  <c r="Q459" i="8"/>
  <c r="S304" i="8"/>
  <c r="R383" i="8"/>
  <c r="M221" i="8"/>
  <c r="M270" i="8"/>
  <c r="S341" i="8"/>
  <c r="S35" i="8"/>
  <c r="Q453" i="8"/>
  <c r="J265" i="8"/>
  <c r="J394" i="8"/>
  <c r="Q43" i="8"/>
  <c r="S241" i="8"/>
  <c r="Q233" i="8"/>
  <c r="M33" i="8"/>
  <c r="R384" i="8"/>
  <c r="J107" i="8"/>
  <c r="D91" i="6"/>
  <c r="D10" i="6"/>
  <c r="Q461" i="8"/>
  <c r="M268" i="8"/>
  <c r="J369" i="8"/>
  <c r="R168" i="8"/>
  <c r="C48" i="6"/>
  <c r="S196" i="8"/>
  <c r="S56" i="8"/>
  <c r="J471" i="8"/>
  <c r="R29" i="8"/>
  <c r="Q203" i="8"/>
  <c r="M309" i="8"/>
  <c r="J70" i="8"/>
  <c r="G51" i="6"/>
  <c r="Q32" i="8"/>
  <c r="J354" i="8"/>
  <c r="M424" i="8"/>
  <c r="M130" i="8"/>
  <c r="J456" i="8"/>
  <c r="G35" i="6"/>
  <c r="H85" i="6"/>
  <c r="S413" i="8"/>
  <c r="R279" i="8"/>
  <c r="M139" i="8"/>
  <c r="M273" i="8"/>
  <c r="J199" i="8"/>
  <c r="J459" i="8"/>
  <c r="R346" i="8"/>
  <c r="J289" i="8"/>
  <c r="R62" i="8"/>
  <c r="R196" i="8"/>
  <c r="J267" i="8"/>
  <c r="H51" i="6"/>
  <c r="D53" i="6"/>
  <c r="M109" i="8"/>
  <c r="Q447" i="8"/>
  <c r="G55" i="6"/>
  <c r="H102" i="6"/>
  <c r="J357" i="8"/>
  <c r="R96" i="8"/>
  <c r="M428" i="8"/>
  <c r="M252" i="8"/>
  <c r="S146" i="8"/>
  <c r="R194" i="8"/>
  <c r="S249" i="8"/>
  <c r="R332" i="8"/>
  <c r="M214" i="8"/>
  <c r="J96" i="8"/>
  <c r="S372" i="8"/>
  <c r="J5" i="8"/>
  <c r="R181" i="8"/>
  <c r="D84" i="6"/>
  <c r="J123" i="8"/>
  <c r="S127" i="8"/>
  <c r="R321" i="8"/>
  <c r="D51" i="6"/>
  <c r="H30" i="6"/>
  <c r="M296" i="8"/>
  <c r="R230" i="8"/>
  <c r="S173" i="8"/>
  <c r="G114" i="6"/>
  <c r="R322" i="8"/>
  <c r="Q288" i="8"/>
  <c r="M232" i="8"/>
  <c r="S316" i="8"/>
  <c r="D7" i="6"/>
  <c r="R212" i="8"/>
  <c r="J206" i="8"/>
  <c r="M88" i="8"/>
  <c r="M394" i="8"/>
  <c r="M240" i="8"/>
  <c r="M260" i="8"/>
  <c r="M312" i="8"/>
  <c r="S255" i="8"/>
  <c r="J377" i="8"/>
  <c r="F39" i="6"/>
  <c r="S176" i="8"/>
  <c r="Q182" i="8"/>
  <c r="S472" i="8"/>
  <c r="R70" i="8"/>
  <c r="R160" i="8"/>
  <c r="H37" i="6"/>
  <c r="R311" i="8"/>
  <c r="Q351" i="8"/>
  <c r="M244" i="8"/>
  <c r="S390" i="8"/>
  <c r="J223" i="8"/>
  <c r="S126" i="8"/>
  <c r="Q273" i="8"/>
  <c r="Q113" i="8"/>
  <c r="R107" i="8"/>
  <c r="J429" i="8"/>
  <c r="M203" i="8"/>
  <c r="J335" i="8"/>
  <c r="S7" i="8"/>
  <c r="M213" i="8"/>
  <c r="H18" i="6"/>
  <c r="R369" i="8"/>
  <c r="S18" i="8"/>
  <c r="J346" i="8"/>
  <c r="S36" i="8"/>
  <c r="S33" i="8"/>
  <c r="Q362" i="8"/>
  <c r="E109" i="6"/>
  <c r="Q345" i="8"/>
  <c r="S43" i="8"/>
  <c r="M40" i="8"/>
  <c r="M382" i="8"/>
  <c r="M396" i="8"/>
  <c r="Q323" i="8"/>
  <c r="Q339" i="8"/>
  <c r="C90" i="6"/>
  <c r="J118" i="8"/>
  <c r="M74" i="8"/>
  <c r="S220" i="8"/>
  <c r="M348" i="8"/>
  <c r="R113" i="8"/>
  <c r="R236" i="8"/>
  <c r="D33" i="6"/>
  <c r="M201" i="8"/>
  <c r="C97" i="6"/>
  <c r="J34" i="8"/>
  <c r="D79" i="6"/>
  <c r="R99" i="8"/>
  <c r="Q221" i="8"/>
  <c r="J415" i="8"/>
  <c r="F79" i="6"/>
  <c r="S214" i="8"/>
  <c r="C55" i="6"/>
  <c r="J6" i="8"/>
  <c r="C29" i="6"/>
  <c r="M262" i="8"/>
  <c r="M236" i="8"/>
  <c r="J143" i="8"/>
  <c r="Q250" i="8"/>
  <c r="Q245" i="8"/>
  <c r="G26" i="6"/>
  <c r="Q69" i="8"/>
  <c r="M23" i="8"/>
  <c r="R228" i="8"/>
  <c r="R395" i="8"/>
  <c r="G69" i="6"/>
  <c r="S235" i="8"/>
  <c r="J307" i="8"/>
  <c r="R359" i="8"/>
  <c r="Q370" i="8"/>
  <c r="R205" i="8"/>
  <c r="Q108" i="8"/>
  <c r="M148" i="8"/>
  <c r="R21" i="8"/>
  <c r="S189" i="8"/>
  <c r="Q342" i="8"/>
  <c r="Q85" i="8"/>
  <c r="S455" i="8"/>
  <c r="S353" i="8"/>
  <c r="C70" i="6"/>
  <c r="R440" i="8"/>
  <c r="C27" i="6"/>
  <c r="Q202" i="8"/>
  <c r="S369" i="8"/>
  <c r="M368" i="8"/>
  <c r="J73" i="8"/>
  <c r="R421" i="8"/>
  <c r="Q319" i="8"/>
  <c r="F27" i="6"/>
  <c r="Q137" i="8"/>
  <c r="S286" i="8"/>
  <c r="R356" i="8"/>
  <c r="R224" i="8"/>
  <c r="M59" i="8"/>
  <c r="J241" i="8"/>
  <c r="Q117" i="8"/>
  <c r="C82" i="6"/>
  <c r="M41" i="8"/>
  <c r="C60" i="6"/>
  <c r="R408" i="8"/>
  <c r="Q160" i="8"/>
  <c r="M179" i="8"/>
  <c r="S83" i="8"/>
  <c r="M250" i="8"/>
  <c r="S195" i="8"/>
  <c r="J304" i="8"/>
  <c r="M97" i="8"/>
  <c r="S404" i="8"/>
  <c r="S243" i="8"/>
  <c r="S9" i="8"/>
  <c r="J325" i="8"/>
  <c r="M155" i="8"/>
  <c r="R399" i="8"/>
  <c r="Q249" i="8"/>
  <c r="M118" i="8"/>
  <c r="M421" i="8"/>
  <c r="S6" i="8"/>
  <c r="Q55" i="8"/>
  <c r="Q186" i="8"/>
  <c r="J315" i="8"/>
  <c r="S123" i="8"/>
  <c r="R358" i="8"/>
  <c r="D108" i="6"/>
  <c r="H40" i="6"/>
  <c r="S251" i="8"/>
  <c r="H20" i="6"/>
  <c r="S276" i="8"/>
  <c r="Q27" i="8"/>
  <c r="S230" i="8"/>
  <c r="J438" i="8"/>
  <c r="M327" i="8"/>
  <c r="S135" i="8"/>
  <c r="S435" i="8"/>
  <c r="R325" i="8"/>
  <c r="M465" i="8"/>
  <c r="G27" i="6"/>
  <c r="S329" i="8"/>
  <c r="S400" i="8"/>
  <c r="M299" i="8"/>
  <c r="S244" i="8"/>
  <c r="J22" i="8"/>
  <c r="J228" i="8"/>
  <c r="E78" i="6"/>
  <c r="Q356" i="8"/>
  <c r="R154" i="8"/>
  <c r="J330" i="8"/>
  <c r="J213" i="8"/>
  <c r="M410" i="8"/>
  <c r="Q313" i="8"/>
  <c r="M30" i="8"/>
  <c r="J13" i="8"/>
  <c r="J320" i="8"/>
  <c r="M290" i="8"/>
  <c r="M172" i="8"/>
  <c r="J457" i="8"/>
  <c r="J266" i="8"/>
  <c r="M193" i="8"/>
  <c r="S320" i="8"/>
  <c r="R59" i="8"/>
  <c r="R424" i="8"/>
  <c r="M344" i="8"/>
  <c r="R56" i="8"/>
  <c r="D71" i="6"/>
  <c r="J53" i="8"/>
  <c r="R233" i="8"/>
  <c r="S292" i="8"/>
  <c r="Q360" i="8"/>
  <c r="S463" i="8"/>
  <c r="M284" i="8"/>
  <c r="E27" i="6"/>
  <c r="Q58" i="8"/>
  <c r="S82" i="8"/>
  <c r="J336" i="8"/>
  <c r="Q30" i="8"/>
  <c r="Q466" i="8"/>
  <c r="J126" i="8"/>
  <c r="M101" i="8"/>
  <c r="C33" i="6"/>
  <c r="M71" i="8"/>
  <c r="R9" i="8"/>
  <c r="M417" i="8"/>
  <c r="J214" i="8"/>
  <c r="S407" i="8"/>
  <c r="R457" i="8"/>
  <c r="J184" i="8"/>
  <c r="C77" i="6"/>
  <c r="J93" i="8"/>
  <c r="Q92" i="8"/>
  <c r="M293" i="8"/>
  <c r="J258" i="8"/>
  <c r="J98" i="8"/>
  <c r="S322" i="8"/>
  <c r="M198" i="8"/>
  <c r="S180" i="8"/>
  <c r="D38" i="6"/>
  <c r="Q162" i="8"/>
  <c r="Q378" i="8"/>
  <c r="Q187" i="8"/>
  <c r="G71" i="6"/>
  <c r="R53" i="8"/>
  <c r="S384" i="8"/>
  <c r="R330" i="8"/>
  <c r="S462" i="8"/>
  <c r="R82" i="8"/>
  <c r="R122" i="8"/>
  <c r="R295" i="8"/>
  <c r="M94" i="8"/>
  <c r="Q98" i="8"/>
  <c r="R471" i="8"/>
  <c r="R32" i="8"/>
  <c r="H41" i="6"/>
  <c r="R378" i="8"/>
  <c r="Q23" i="8"/>
  <c r="S411" i="8"/>
  <c r="Q88" i="8"/>
  <c r="R150" i="8"/>
  <c r="R430" i="8"/>
  <c r="R280" i="8"/>
  <c r="C7" i="6"/>
  <c r="M207" i="8"/>
  <c r="R374" i="8"/>
  <c r="R256" i="8"/>
  <c r="Q59" i="8"/>
  <c r="S52" i="8"/>
  <c r="R389" i="8"/>
  <c r="R85" i="8"/>
  <c r="Q170" i="8"/>
  <c r="S59" i="8"/>
  <c r="S10" i="8"/>
  <c r="Q285" i="8"/>
  <c r="M132" i="8"/>
  <c r="Q443" i="8"/>
  <c r="J100" i="8"/>
  <c r="S362" i="8"/>
  <c r="G38" i="6"/>
  <c r="M314" i="8"/>
  <c r="H8" i="6"/>
  <c r="J400" i="8"/>
  <c r="M125" i="8"/>
  <c r="S305" i="8"/>
  <c r="C9" i="6"/>
  <c r="J41" i="8"/>
  <c r="J363" i="8"/>
  <c r="S116" i="8"/>
  <c r="M146" i="8"/>
  <c r="S32" i="8"/>
  <c r="C19" i="6"/>
  <c r="S137" i="8"/>
  <c r="Q298" i="8"/>
  <c r="R117" i="8"/>
  <c r="Q235" i="8"/>
  <c r="Q138" i="8"/>
  <c r="J15" i="8"/>
  <c r="J288" i="8"/>
  <c r="Q399" i="8"/>
  <c r="M67" i="8"/>
  <c r="H55" i="6"/>
  <c r="Q358" i="8"/>
  <c r="R26" i="8"/>
  <c r="M313" i="8"/>
  <c r="S475" i="8"/>
  <c r="J16" i="8"/>
  <c r="S450" i="8"/>
  <c r="M143" i="8"/>
  <c r="F91" i="6"/>
  <c r="H47" i="6"/>
  <c r="Q348" i="8"/>
  <c r="J127" i="8"/>
  <c r="J264" i="8"/>
  <c r="M319" i="8"/>
  <c r="Q426" i="8"/>
  <c r="M228" i="8"/>
  <c r="M248" i="8"/>
  <c r="Q169" i="8"/>
  <c r="H35" i="6"/>
  <c r="J218" i="8"/>
  <c r="S111" i="8"/>
  <c r="Q325" i="8"/>
  <c r="S248" i="8"/>
  <c r="J38" i="8"/>
  <c r="M27" i="8"/>
  <c r="Q132" i="8"/>
  <c r="Q474" i="8"/>
  <c r="M145" i="8"/>
  <c r="S166" i="8"/>
  <c r="C28" i="6"/>
  <c r="G91" i="6"/>
  <c r="C81" i="6"/>
  <c r="M400" i="8"/>
  <c r="R111" i="8"/>
  <c r="Q209" i="8"/>
  <c r="R273" i="8"/>
  <c r="C53" i="6"/>
  <c r="Q271" i="8"/>
  <c r="Q6" i="8"/>
  <c r="J211" i="8"/>
  <c r="S200" i="8"/>
  <c r="Q372" i="8"/>
  <c r="S260" i="8"/>
  <c r="M435" i="8"/>
  <c r="S46" i="8"/>
  <c r="R397" i="8"/>
  <c r="Q110" i="8"/>
  <c r="R283" i="8"/>
  <c r="J131" i="8"/>
  <c r="M462" i="8"/>
  <c r="Q452" i="8"/>
  <c r="D95" i="6"/>
  <c r="R169" i="8"/>
  <c r="Q38" i="8"/>
  <c r="Q216" i="8"/>
  <c r="J146" i="8"/>
  <c r="Q184" i="8"/>
  <c r="R284" i="8"/>
  <c r="Q127" i="8"/>
  <c r="J92" i="8"/>
  <c r="F53" i="6"/>
  <c r="Q175" i="8"/>
  <c r="M340" i="8"/>
  <c r="H53" i="6"/>
  <c r="E108" i="6"/>
  <c r="S128" i="8"/>
  <c r="M308" i="8"/>
  <c r="J311" i="8"/>
  <c r="S461" i="8"/>
  <c r="Q178" i="8"/>
  <c r="M430" i="8"/>
  <c r="R165" i="8"/>
  <c r="J305" i="8"/>
  <c r="S321" i="8"/>
  <c r="J348" i="8"/>
  <c r="J212" i="8"/>
  <c r="J23" i="8"/>
  <c r="M342" i="8"/>
  <c r="S64" i="8"/>
  <c r="J475" i="8"/>
  <c r="M392" i="8"/>
  <c r="Q168" i="8"/>
  <c r="E43" i="6"/>
  <c r="M34" i="8"/>
  <c r="S346" i="8"/>
  <c r="R462" i="8"/>
  <c r="J232" i="8"/>
  <c r="J174" i="8"/>
  <c r="M255" i="8"/>
  <c r="S89" i="8"/>
  <c r="R139" i="8"/>
  <c r="F43" i="6"/>
  <c r="R335" i="8"/>
  <c r="S336" i="8"/>
  <c r="M218" i="8"/>
  <c r="S60" i="8"/>
  <c r="M35" i="8"/>
  <c r="M133" i="8"/>
  <c r="S163" i="8"/>
  <c r="S323" i="8"/>
  <c r="J431" i="8"/>
  <c r="S425" i="8"/>
  <c r="R432" i="8"/>
  <c r="M202" i="8"/>
  <c r="Q194" i="8"/>
  <c r="R79" i="8"/>
  <c r="D11" i="6"/>
  <c r="R166" i="8"/>
  <c r="J220" i="8"/>
  <c r="R173" i="8"/>
  <c r="F70" i="6"/>
  <c r="R25" i="8"/>
  <c r="M175" i="8"/>
  <c r="M336" i="8"/>
  <c r="R227" i="8"/>
  <c r="R43" i="8"/>
  <c r="R413" i="8"/>
  <c r="S212" i="8"/>
  <c r="S167" i="8"/>
  <c r="J372" i="8"/>
  <c r="R360" i="8"/>
  <c r="F58" i="6"/>
  <c r="F67" i="6"/>
  <c r="S245" i="8"/>
  <c r="M168" i="8"/>
  <c r="R269" i="8"/>
  <c r="C66" i="6"/>
  <c r="E58" i="6"/>
  <c r="R474" i="8"/>
  <c r="S118" i="8"/>
  <c r="J407" i="8"/>
  <c r="S368" i="8"/>
  <c r="J58" i="8"/>
  <c r="M407" i="8"/>
  <c r="M475" i="8"/>
  <c r="J337" i="8"/>
  <c r="S354" i="8"/>
  <c r="E53" i="6"/>
  <c r="Q21" i="8"/>
  <c r="J375" i="8"/>
  <c r="C96" i="6"/>
  <c r="R22" i="8"/>
  <c r="R144" i="8"/>
  <c r="S270" i="8"/>
  <c r="M208" i="8"/>
  <c r="Q369" i="8"/>
  <c r="M92" i="8"/>
  <c r="J76" i="8"/>
  <c r="E18" i="6"/>
  <c r="S456" i="8"/>
  <c r="R445" i="8"/>
  <c r="J389" i="8"/>
  <c r="Q177" i="8"/>
  <c r="J343" i="8"/>
  <c r="J208" i="8"/>
  <c r="Q195" i="8"/>
  <c r="J142" i="8"/>
  <c r="J334" i="8"/>
  <c r="G64" i="6"/>
  <c r="M156" i="8"/>
  <c r="M166" i="8"/>
  <c r="R186" i="8"/>
  <c r="J182" i="8"/>
  <c r="M347" i="8"/>
  <c r="S37" i="8"/>
  <c r="Q185" i="8"/>
  <c r="Q434" i="8"/>
  <c r="F8" i="6"/>
  <c r="M468" i="8"/>
  <c r="R371" i="8"/>
  <c r="S357" i="8"/>
  <c r="R362" i="8"/>
  <c r="R28" i="8"/>
  <c r="D45" i="6"/>
  <c r="Q60" i="8"/>
  <c r="R92" i="8"/>
  <c r="M442" i="8"/>
  <c r="R152" i="8"/>
  <c r="M259" i="8"/>
  <c r="R5" i="8"/>
  <c r="J104" i="8"/>
  <c r="R8" i="8"/>
  <c r="Q411" i="8"/>
  <c r="J251" i="8"/>
  <c r="Q425" i="8"/>
  <c r="F41" i="6"/>
  <c r="M49" i="8"/>
  <c r="J402" i="8"/>
  <c r="M140" i="8"/>
  <c r="M302" i="8"/>
  <c r="S219" i="8"/>
  <c r="J328" i="8"/>
  <c r="Q123" i="8"/>
  <c r="E33" i="6"/>
  <c r="J153" i="8"/>
  <c r="S460" i="8"/>
  <c r="G44" i="6"/>
  <c r="S40" i="8"/>
  <c r="R128" i="8"/>
  <c r="Q61" i="8"/>
  <c r="R380" i="8"/>
  <c r="Q115" i="8"/>
  <c r="J322" i="8"/>
  <c r="Q103" i="8"/>
  <c r="R179" i="8"/>
  <c r="M334" i="8"/>
  <c r="F55" i="6"/>
  <c r="R260" i="8"/>
  <c r="D96" i="6"/>
  <c r="S453" i="8"/>
  <c r="M241" i="8"/>
  <c r="C118" i="6"/>
  <c r="S160" i="8"/>
  <c r="R402" i="8"/>
  <c r="S170" i="8"/>
  <c r="S49" i="8"/>
  <c r="M391" i="8"/>
  <c r="M469" i="8"/>
  <c r="Q167" i="8"/>
  <c r="R37" i="8"/>
  <c r="J194" i="8"/>
  <c r="Q396" i="8"/>
  <c r="M472" i="8"/>
  <c r="R441" i="8"/>
  <c r="M87" i="8"/>
  <c r="S312" i="8"/>
  <c r="R226" i="8"/>
  <c r="G47" i="6"/>
  <c r="C41" i="6"/>
  <c r="M8" i="8"/>
  <c r="J318" i="8"/>
  <c r="S69" i="8"/>
  <c r="Q476" i="8"/>
  <c r="Q287" i="8"/>
  <c r="Q65" i="8"/>
  <c r="J405" i="8"/>
  <c r="R288" i="8"/>
  <c r="Q237" i="8"/>
  <c r="R276" i="8"/>
  <c r="R20" i="8"/>
  <c r="S444" i="8"/>
  <c r="S290" i="8"/>
  <c r="Q380" i="8"/>
  <c r="J345" i="8"/>
  <c r="R24" i="8"/>
  <c r="R327" i="8"/>
  <c r="J105" i="8"/>
  <c r="Q423" i="8"/>
  <c r="G57" i="6"/>
  <c r="S157" i="8"/>
  <c r="J342" i="8"/>
  <c r="S443" i="8"/>
  <c r="J81" i="8"/>
  <c r="M20" i="8"/>
  <c r="Q205" i="8"/>
  <c r="J441" i="8"/>
  <c r="C34" i="6"/>
  <c r="R93" i="8"/>
  <c r="F51" i="6"/>
  <c r="G58" i="6"/>
  <c r="Q248" i="8"/>
  <c r="R437" i="8"/>
  <c r="M321" i="8"/>
  <c r="E70" i="6"/>
  <c r="R249" i="8"/>
  <c r="S267" i="8"/>
  <c r="E7" i="6"/>
  <c r="M62" i="8"/>
  <c r="M280" i="8"/>
  <c r="S388" i="8"/>
  <c r="D19" i="6"/>
  <c r="M14" i="8"/>
  <c r="R403" i="8"/>
  <c r="R61" i="8"/>
  <c r="Q238" i="8"/>
  <c r="F77" i="6"/>
  <c r="S182" i="8"/>
  <c r="J239" i="8"/>
  <c r="S85" i="8"/>
  <c r="M68" i="8"/>
  <c r="M123" i="8"/>
  <c r="M12" i="8"/>
  <c r="F44" i="6"/>
  <c r="D102" i="6"/>
  <c r="M471" i="8"/>
  <c r="R294" i="8"/>
  <c r="J154" i="8"/>
  <c r="R265" i="8"/>
  <c r="S171" i="8"/>
  <c r="J116" i="8"/>
  <c r="E95" i="6"/>
  <c r="C8" i="6"/>
  <c r="R34" i="8"/>
  <c r="M359" i="8"/>
  <c r="M235" i="8"/>
  <c r="M427" i="8"/>
  <c r="R18" i="8"/>
  <c r="J3" i="8"/>
  <c r="R175" i="8"/>
  <c r="M375" i="8"/>
  <c r="Q355" i="8"/>
  <c r="J317" i="8"/>
  <c r="D89" i="6"/>
  <c r="Q54" i="8"/>
  <c r="S145" i="8"/>
  <c r="F47" i="6"/>
  <c r="R476" i="8"/>
  <c r="Q76" i="8"/>
  <c r="Q12" i="8"/>
  <c r="J364" i="8"/>
  <c r="E64" i="6"/>
  <c r="S428" i="8"/>
  <c r="Q116" i="8"/>
  <c r="J189" i="8"/>
  <c r="Q19" i="8"/>
  <c r="S431" i="8"/>
  <c r="Q311" i="8"/>
  <c r="D40" i="6"/>
  <c r="E40" i="6"/>
  <c r="M326" i="8"/>
  <c r="H44" i="6"/>
  <c r="S381" i="8"/>
  <c r="J234" i="8"/>
  <c r="S383" i="8"/>
  <c r="R209" i="8"/>
  <c r="R180" i="8"/>
  <c r="J276" i="8"/>
  <c r="S283" i="8"/>
  <c r="S221" i="8"/>
  <c r="R293" i="8"/>
  <c r="S282" i="8"/>
  <c r="R277" i="8"/>
  <c r="C40" i="6"/>
  <c r="Q291" i="8"/>
  <c r="R410" i="8"/>
  <c r="R88" i="8"/>
  <c r="S95" i="8"/>
  <c r="J395" i="8"/>
  <c r="F80" i="6"/>
  <c r="R443" i="8"/>
  <c r="Q153" i="8"/>
  <c r="R355" i="8"/>
  <c r="R125" i="8"/>
  <c r="S330" i="8"/>
  <c r="R301" i="8"/>
  <c r="G36" i="6"/>
  <c r="S27" i="8"/>
  <c r="S272" i="8"/>
  <c r="Q207" i="8"/>
  <c r="M170" i="8"/>
  <c r="Q457" i="8"/>
  <c r="Q357" i="8"/>
  <c r="R44" i="8"/>
  <c r="Q365" i="8"/>
  <c r="M222" i="8"/>
  <c r="J152" i="8"/>
  <c r="R365" i="8"/>
  <c r="R15" i="8"/>
  <c r="Q338" i="8"/>
  <c r="R436" i="8"/>
  <c r="Q140" i="8"/>
  <c r="R65" i="8"/>
  <c r="J278" i="8"/>
  <c r="S364" i="8"/>
  <c r="J159" i="8"/>
  <c r="Q448" i="8"/>
  <c r="J270" i="8"/>
  <c r="Q94" i="8"/>
  <c r="Q74" i="8"/>
  <c r="M188" i="8"/>
  <c r="Q56" i="8"/>
  <c r="Q62" i="8"/>
  <c r="J333" i="8"/>
  <c r="G48" i="6"/>
  <c r="S225" i="8"/>
  <c r="R42" i="8"/>
  <c r="M376" i="8"/>
  <c r="J283" i="8"/>
  <c r="Q46" i="8"/>
  <c r="D68" i="6"/>
  <c r="Q451" i="8"/>
  <c r="Q189" i="8"/>
  <c r="F85" i="6"/>
  <c r="J155" i="8"/>
  <c r="M3" i="8"/>
  <c r="Q231" i="8"/>
  <c r="J303" i="8"/>
  <c r="S113" i="8"/>
  <c r="M174" i="8"/>
  <c r="R158" i="8"/>
  <c r="R183" i="8"/>
  <c r="D66" i="6"/>
  <c r="C109" i="6"/>
  <c r="R453" i="8"/>
  <c r="S434" i="8"/>
  <c r="R38" i="8"/>
  <c r="R417" i="8"/>
  <c r="R420" i="8"/>
  <c r="S63" i="8"/>
  <c r="R341" i="8"/>
  <c r="Q78" i="8"/>
  <c r="S421" i="8"/>
  <c r="Q229" i="8"/>
  <c r="M48" i="8"/>
  <c r="M39" i="8"/>
  <c r="S158" i="8"/>
  <c r="S309" i="8"/>
  <c r="J340" i="8"/>
  <c r="G96" i="6"/>
  <c r="J169" i="8"/>
  <c r="Q128" i="8"/>
  <c r="Q418" i="8"/>
  <c r="S20" i="8"/>
  <c r="M295" i="8"/>
  <c r="R105" i="8"/>
  <c r="R379" i="8"/>
  <c r="S254" i="8"/>
  <c r="C102" i="6"/>
  <c r="M164" i="8"/>
  <c r="E90" i="6"/>
  <c r="R454" i="8"/>
  <c r="M26" i="8"/>
  <c r="J25" i="8"/>
  <c r="E117" i="6"/>
  <c r="J210" i="8"/>
  <c r="Q36" i="8"/>
  <c r="S26" i="8"/>
  <c r="F103" i="6"/>
  <c r="S317" i="8"/>
  <c r="H48" i="6"/>
  <c r="C35" i="6"/>
  <c r="C44" i="6"/>
  <c r="R210" i="8"/>
  <c r="S386" i="8"/>
  <c r="C38" i="6"/>
  <c r="Q305" i="8"/>
  <c r="E65" i="6"/>
  <c r="S208" i="8"/>
  <c r="R329" i="8"/>
  <c r="M64" i="8"/>
  <c r="M332" i="8"/>
  <c r="Q101" i="8"/>
  <c r="Q471" i="8"/>
  <c r="D16" i="6"/>
  <c r="R427" i="8"/>
  <c r="S110" i="8"/>
  <c r="Q294" i="8"/>
  <c r="M454" i="8"/>
  <c r="F114" i="6"/>
  <c r="R19" i="8"/>
  <c r="R167" i="8"/>
  <c r="S57" i="8"/>
  <c r="S218" i="8"/>
  <c r="M452" i="8"/>
  <c r="R162" i="8"/>
  <c r="G43" i="6"/>
  <c r="H29" i="6"/>
  <c r="Q318" i="8"/>
  <c r="M5" i="8"/>
  <c r="J141" i="8"/>
  <c r="M397" i="8"/>
  <c r="Q135" i="8"/>
  <c r="Q120" i="8"/>
  <c r="R385" i="8"/>
  <c r="Q199" i="8"/>
  <c r="M303" i="8"/>
  <c r="M16" i="8"/>
  <c r="J224" i="8"/>
  <c r="J111" i="8"/>
  <c r="R135" i="8"/>
  <c r="R52" i="8"/>
  <c r="S319" i="8"/>
  <c r="S367" i="8"/>
  <c r="S58" i="8"/>
  <c r="G78" i="6"/>
  <c r="S162" i="8"/>
  <c r="M422" i="8"/>
  <c r="F50" i="6"/>
  <c r="Q173" i="8"/>
  <c r="J378" i="8"/>
  <c r="M63" i="8"/>
  <c r="R254" i="8"/>
  <c r="R373" i="8"/>
  <c r="R464" i="8"/>
  <c r="R348" i="8"/>
  <c r="M448" i="8"/>
  <c r="Q439" i="8"/>
  <c r="S107" i="8"/>
  <c r="Q276" i="8"/>
  <c r="J326" i="8"/>
  <c r="R377" i="8"/>
  <c r="M441" i="8"/>
  <c r="J84" i="8"/>
  <c r="Q334" i="8"/>
  <c r="M414" i="8"/>
  <c r="M134" i="8"/>
  <c r="J329" i="8"/>
  <c r="J200" i="8"/>
  <c r="J64" i="8"/>
  <c r="R439" i="8"/>
  <c r="Q230" i="8"/>
  <c r="R290" i="8"/>
  <c r="J168" i="8"/>
  <c r="R364" i="8"/>
  <c r="J353" i="8"/>
  <c r="M406" i="8"/>
  <c r="J397" i="8"/>
  <c r="R199" i="8"/>
  <c r="J285" i="8"/>
  <c r="F52" i="6"/>
  <c r="J61" i="8"/>
  <c r="J204" i="8"/>
  <c r="Q312" i="8"/>
  <c r="G116" i="6"/>
  <c r="M54" i="8"/>
  <c r="S226" i="8"/>
  <c r="R309" i="8"/>
  <c r="C16" i="6"/>
  <c r="S271" i="8"/>
  <c r="S76" i="8"/>
  <c r="M46" i="8"/>
  <c r="J341" i="8"/>
  <c r="R238" i="8"/>
  <c r="J298" i="8"/>
  <c r="S149" i="8"/>
  <c r="R208" i="8"/>
  <c r="S92" i="8"/>
  <c r="M404" i="8"/>
  <c r="D90" i="6"/>
  <c r="F54" i="6"/>
  <c r="M95" i="8"/>
  <c r="F118" i="6"/>
  <c r="Q388" i="8"/>
  <c r="S397" i="8"/>
  <c r="R396" i="8"/>
  <c r="Q402" i="8"/>
  <c r="S17" i="8"/>
  <c r="Q405" i="8"/>
  <c r="S340" i="8"/>
  <c r="S318" i="8"/>
  <c r="J445" i="8"/>
  <c r="Q335" i="8"/>
  <c r="J9" i="8"/>
  <c r="Q20" i="8"/>
  <c r="R308" i="8"/>
  <c r="S391" i="8"/>
  <c r="J188" i="8"/>
  <c r="M43" i="8"/>
  <c r="D55" i="6"/>
  <c r="J306" i="8"/>
  <c r="J447" i="8"/>
  <c r="R272" i="8"/>
  <c r="M7" i="8"/>
  <c r="Q18" i="8"/>
  <c r="R68" i="8"/>
  <c r="R394" i="8"/>
  <c r="J192" i="8"/>
  <c r="Q165" i="8"/>
  <c r="E34" i="6"/>
  <c r="F116" i="6"/>
  <c r="R475" i="8"/>
  <c r="J384" i="8"/>
  <c r="Q225" i="8"/>
  <c r="C50" i="6"/>
  <c r="D29" i="6"/>
  <c r="S261" i="8"/>
  <c r="Q304" i="8"/>
  <c r="H17" i="6"/>
  <c r="R200" i="8"/>
  <c r="G49" i="6"/>
  <c r="M105" i="8"/>
  <c r="J352" i="8"/>
  <c r="G40" i="6"/>
  <c r="M449" i="8"/>
  <c r="C39" i="6"/>
  <c r="M285" i="8"/>
  <c r="S22" i="8"/>
  <c r="Q156" i="8"/>
  <c r="S5" i="8"/>
  <c r="M306" i="8"/>
  <c r="Q347" i="8"/>
  <c r="M211" i="8"/>
  <c r="S324" i="8"/>
  <c r="S77" i="8"/>
  <c r="J193" i="8"/>
  <c r="F38" i="6"/>
  <c r="J66" i="8"/>
  <c r="H9" i="6"/>
  <c r="S265" i="8"/>
  <c r="D35" i="6"/>
  <c r="R222" i="8"/>
  <c r="R73" i="8"/>
  <c r="J332" i="8"/>
  <c r="R124" i="8"/>
  <c r="R132" i="8"/>
  <c r="R442" i="8"/>
  <c r="J242" i="8"/>
  <c r="M355" i="8"/>
  <c r="F21" i="6"/>
  <c r="J4" i="8"/>
  <c r="R426" i="8"/>
  <c r="E16" i="6"/>
  <c r="G8" i="6"/>
  <c r="Q296" i="8"/>
  <c r="Q428" i="8"/>
  <c r="S134" i="8"/>
  <c r="M91" i="8"/>
  <c r="R97" i="8"/>
  <c r="S393" i="8"/>
  <c r="J129" i="8"/>
  <c r="E42" i="6"/>
  <c r="Q256" i="8"/>
  <c r="Q254" i="8"/>
  <c r="R201" i="8"/>
  <c r="Q224" i="8"/>
  <c r="J14" i="8"/>
  <c r="M122" i="8"/>
  <c r="Q350" i="8"/>
  <c r="R151" i="8"/>
  <c r="S202" i="8"/>
  <c r="S233" i="8"/>
  <c r="J78" i="8"/>
  <c r="M453" i="8"/>
  <c r="Q29" i="8"/>
  <c r="G11" i="6"/>
  <c r="R310" i="8"/>
  <c r="J296" i="8"/>
  <c r="R344" i="8"/>
  <c r="D65" i="6"/>
  <c r="S396" i="8"/>
  <c r="J406" i="8"/>
  <c r="S168" i="8"/>
  <c r="R121" i="8"/>
  <c r="S139" i="8"/>
  <c r="M11" i="8"/>
  <c r="Q7" i="8"/>
  <c r="Q266" i="8"/>
  <c r="S62" i="8"/>
  <c r="M57" i="8"/>
  <c r="S301" i="8"/>
  <c r="S294" i="8"/>
  <c r="Q368" i="8"/>
  <c r="J387" i="8"/>
  <c r="Q5" i="8"/>
  <c r="C56" i="6"/>
  <c r="J273" i="8"/>
  <c r="J179" i="8"/>
  <c r="F89" i="6"/>
  <c r="M152" i="8"/>
  <c r="S361" i="8"/>
  <c r="M135" i="8"/>
  <c r="M286" i="8"/>
  <c r="R143" i="8"/>
  <c r="M176" i="8"/>
  <c r="J388" i="8"/>
  <c r="C92" i="6"/>
  <c r="R217" i="8"/>
  <c r="S285" i="8"/>
  <c r="M76" i="8"/>
  <c r="M79" i="8"/>
  <c r="F19" i="6"/>
  <c r="J225" i="8"/>
  <c r="Q159" i="8"/>
  <c r="F96" i="6"/>
  <c r="R159" i="8"/>
  <c r="E21" i="6"/>
  <c r="J281" i="8"/>
  <c r="R343" i="8"/>
  <c r="H84" i="6"/>
  <c r="Q307" i="8"/>
  <c r="J79" i="8"/>
  <c r="Q421" i="8"/>
  <c r="S303" i="8"/>
  <c r="M205" i="8"/>
  <c r="Q328" i="8"/>
  <c r="R361" i="8"/>
  <c r="C79" i="6"/>
  <c r="S152" i="8"/>
  <c r="F117" i="6"/>
  <c r="S458" i="8"/>
  <c r="S469" i="8"/>
  <c r="S120" i="8"/>
  <c r="D70" i="6"/>
  <c r="S468" i="8"/>
  <c r="Q163" i="8"/>
  <c r="J83" i="8"/>
  <c r="R450" i="8"/>
  <c r="E9" i="6"/>
  <c r="M212" i="8"/>
  <c r="Q158" i="8"/>
  <c r="S299" i="8"/>
  <c r="Q111" i="8"/>
  <c r="S256" i="8"/>
  <c r="S307" i="8"/>
  <c r="S148" i="8"/>
  <c r="R258" i="8"/>
  <c r="J339" i="8"/>
  <c r="Q75" i="8"/>
  <c r="Q218" i="8"/>
  <c r="M251" i="8"/>
  <c r="E66" i="6"/>
  <c r="M361" i="8"/>
  <c r="Q220" i="8"/>
  <c r="S427" i="8"/>
  <c r="S247" i="8"/>
  <c r="S188" i="8"/>
  <c r="S93" i="8"/>
  <c r="J259" i="8"/>
  <c r="Q292" i="8"/>
  <c r="R468" i="8"/>
  <c r="S406" i="8"/>
  <c r="S268" i="8"/>
  <c r="Q309" i="8"/>
  <c r="M73" i="8"/>
  <c r="M242" i="8"/>
  <c r="M165" i="8"/>
  <c r="S345" i="8"/>
  <c r="J409" i="8"/>
  <c r="R370" i="8"/>
  <c r="S332" i="8"/>
  <c r="J12" i="8"/>
  <c r="Q456" i="8"/>
  <c r="S133" i="8"/>
  <c r="J202" i="8"/>
  <c r="R275" i="8"/>
  <c r="D109" i="6"/>
  <c r="H60" i="6"/>
  <c r="Q300" i="8"/>
  <c r="J134" i="8"/>
  <c r="S375" i="8"/>
  <c r="Q264" i="8"/>
  <c r="M141" i="8"/>
  <c r="R264" i="8"/>
  <c r="C46" i="6"/>
  <c r="M186" i="8"/>
  <c r="Q393" i="8"/>
  <c r="H117" i="6"/>
  <c r="Q284" i="8"/>
  <c r="Q359" i="8"/>
  <c r="E19" i="6"/>
  <c r="S339" i="8"/>
  <c r="Q270" i="8"/>
  <c r="S72" i="8"/>
  <c r="S451" i="8"/>
  <c r="R31" i="8"/>
  <c r="M206" i="8"/>
  <c r="S449" i="8"/>
  <c r="Q142" i="8"/>
  <c r="E84" i="6"/>
  <c r="J88" i="8"/>
  <c r="M185" i="8"/>
  <c r="Q37" i="8"/>
  <c r="Q412" i="8"/>
  <c r="F76" i="6"/>
  <c r="S417" i="8"/>
  <c r="J324" i="8"/>
  <c r="E96" i="6"/>
  <c r="Q139" i="8"/>
  <c r="J338" i="8"/>
  <c r="S38" i="8"/>
  <c r="C51" i="6"/>
  <c r="D115" i="6"/>
  <c r="C47" i="6"/>
  <c r="Q462" i="8"/>
  <c r="J260" i="8"/>
  <c r="J376" i="8"/>
  <c r="J268" i="8"/>
  <c r="M288" i="8"/>
  <c r="Q239" i="8"/>
  <c r="R451" i="8"/>
  <c r="M249" i="8"/>
  <c r="J236" i="8"/>
  <c r="Q164" i="8"/>
  <c r="J331" i="8"/>
  <c r="J21" i="8"/>
  <c r="E71" i="6"/>
  <c r="M171" i="8"/>
  <c r="R147" i="8"/>
  <c r="S23" i="8"/>
  <c r="C6" i="6"/>
  <c r="R225" i="8"/>
  <c r="J20" i="8"/>
  <c r="E54" i="6"/>
  <c r="R447" i="8"/>
  <c r="Q444" i="8"/>
  <c r="M320" i="8"/>
  <c r="S217" i="8"/>
  <c r="C95" i="6"/>
  <c r="S356" i="8"/>
  <c r="E45" i="6"/>
  <c r="M61" i="8"/>
  <c r="M380" i="8"/>
  <c r="F69" i="6"/>
  <c r="F78" i="6"/>
  <c r="S281" i="8"/>
  <c r="R216" i="8"/>
  <c r="S101" i="8"/>
  <c r="G109" i="6"/>
  <c r="R354" i="8"/>
  <c r="G70" i="6"/>
  <c r="F108" i="6"/>
  <c r="R244" i="8"/>
  <c r="R133" i="8"/>
  <c r="D30" i="6"/>
  <c r="S328" i="8"/>
  <c r="J227" i="8"/>
  <c r="R149" i="8"/>
  <c r="S81" i="8"/>
  <c r="R393" i="8"/>
  <c r="H115" i="6"/>
  <c r="M32" i="8"/>
  <c r="S258" i="8"/>
  <c r="J309" i="8"/>
  <c r="R347" i="8"/>
  <c r="R318" i="8"/>
  <c r="R77" i="8"/>
  <c r="M345" i="8"/>
  <c r="E76" i="6"/>
  <c r="M322" i="8"/>
  <c r="Q260" i="8"/>
  <c r="Q172" i="8"/>
  <c r="J11" i="8"/>
  <c r="H109" i="6"/>
  <c r="M147" i="8"/>
  <c r="Q450" i="8"/>
  <c r="M413" i="8"/>
  <c r="S80" i="8"/>
  <c r="S351" i="8"/>
  <c r="G77" i="6"/>
  <c r="J250" i="8"/>
  <c r="J124" i="8"/>
  <c r="S191" i="8"/>
  <c r="Q473" i="8"/>
  <c r="J101" i="8"/>
  <c r="R182" i="8"/>
  <c r="J466" i="8"/>
  <c r="M360" i="8"/>
  <c r="R435" i="8"/>
  <c r="M181" i="8"/>
  <c r="H36" i="6"/>
  <c r="Q73" i="8"/>
  <c r="M389" i="8"/>
  <c r="J373" i="8"/>
  <c r="E56" i="6"/>
  <c r="Q150" i="8"/>
  <c r="M267" i="8"/>
  <c r="Q119" i="8"/>
  <c r="S334" i="8"/>
  <c r="R204" i="8"/>
  <c r="F49" i="6"/>
  <c r="Q200" i="8"/>
  <c r="Q71" i="8"/>
  <c r="J351" i="8"/>
  <c r="J413" i="8"/>
  <c r="R473" i="8"/>
  <c r="R176" i="8"/>
  <c r="Q281" i="8"/>
  <c r="J39" i="8"/>
  <c r="M82" i="8"/>
  <c r="R231" i="8"/>
  <c r="Q253" i="8"/>
  <c r="Q25" i="8"/>
  <c r="M253" i="8"/>
  <c r="J435" i="8"/>
  <c r="C83" i="6"/>
  <c r="J291" i="8"/>
  <c r="Q106" i="8"/>
  <c r="M353" i="8"/>
  <c r="Q210" i="8"/>
  <c r="C85" i="6"/>
  <c r="M44" i="8"/>
  <c r="Q191" i="8"/>
  <c r="S161" i="8"/>
  <c r="M189" i="8"/>
  <c r="S124" i="8"/>
  <c r="R411" i="8"/>
  <c r="J139" i="8"/>
  <c r="R140" i="8"/>
  <c r="S228" i="8"/>
  <c r="Q68" i="8"/>
  <c r="M116" i="8"/>
  <c r="S224" i="8"/>
  <c r="J458" i="8"/>
  <c r="S250" i="8"/>
  <c r="Q397" i="8"/>
  <c r="Q212" i="8"/>
  <c r="R90" i="8"/>
  <c r="M401" i="8"/>
  <c r="J448" i="8"/>
  <c r="M153" i="8"/>
  <c r="Q340" i="8"/>
  <c r="J156" i="8"/>
  <c r="S194" i="8"/>
  <c r="R94" i="8"/>
  <c r="S325" i="8"/>
  <c r="D56" i="6"/>
  <c r="Q290" i="8"/>
  <c r="R104" i="8"/>
  <c r="J356" i="8"/>
  <c r="J231" i="8"/>
  <c r="J433" i="8"/>
  <c r="S280" i="8"/>
  <c r="S41" i="8"/>
  <c r="G53" i="6"/>
  <c r="Q391" i="8"/>
  <c r="M126" i="8"/>
  <c r="S402" i="8"/>
  <c r="R57" i="8"/>
  <c r="S156" i="8"/>
  <c r="J67" i="8"/>
  <c r="J167" i="8"/>
  <c r="R214" i="8"/>
  <c r="H57" i="6"/>
  <c r="Q246" i="8"/>
  <c r="M346" i="8"/>
  <c r="Q136" i="8"/>
  <c r="R368" i="8"/>
  <c r="Q297" i="8"/>
  <c r="Q280" i="8"/>
  <c r="M371" i="8"/>
  <c r="Q430" i="8"/>
  <c r="J381" i="8"/>
  <c r="Q398" i="8"/>
  <c r="J119" i="8"/>
  <c r="G33" i="6"/>
  <c r="R40" i="8"/>
  <c r="R86" i="8"/>
  <c r="J183" i="8"/>
  <c r="R83" i="8"/>
  <c r="M110" i="8"/>
  <c r="J442" i="8"/>
  <c r="S382" i="8"/>
  <c r="D41" i="6"/>
  <c r="C76" i="6"/>
  <c r="J151" i="8"/>
  <c r="C69" i="6"/>
  <c r="F56" i="6"/>
  <c r="M445" i="8"/>
  <c r="R331" i="8"/>
  <c r="H56" i="6"/>
  <c r="S187" i="8"/>
  <c r="S266" i="8"/>
  <c r="Q14" i="8"/>
  <c r="J392" i="8"/>
  <c r="H118" i="6"/>
  <c r="R326" i="8"/>
  <c r="Q263" i="8"/>
  <c r="M474" i="8"/>
  <c r="S423" i="8"/>
  <c r="J27" i="8"/>
  <c r="Q8" i="8"/>
  <c r="M184" i="8"/>
  <c r="R215" i="8"/>
  <c r="J327" i="8"/>
  <c r="J230" i="8"/>
  <c r="Q148" i="8"/>
  <c r="M363" i="8"/>
  <c r="J110" i="8"/>
  <c r="Q34" i="8"/>
  <c r="H54" i="6"/>
  <c r="M364" i="8"/>
  <c r="S347" i="8"/>
  <c r="J115" i="8"/>
  <c r="Q217" i="8"/>
  <c r="S348" i="8"/>
  <c r="G10" i="6"/>
  <c r="R103" i="8"/>
  <c r="J401" i="8"/>
  <c r="M294" i="8"/>
  <c r="S355" i="8"/>
  <c r="Q17" i="8"/>
  <c r="D44" i="6"/>
  <c r="M357" i="8"/>
  <c r="D17" i="6"/>
  <c r="M190" i="8"/>
  <c r="G21" i="6"/>
  <c r="F92" i="6"/>
  <c r="M384" i="8"/>
  <c r="S253" i="8"/>
  <c r="R232" i="8"/>
  <c r="R220" i="8"/>
  <c r="F6" i="6"/>
  <c r="Q332" i="8"/>
  <c r="R184" i="8"/>
  <c r="F36" i="6"/>
  <c r="Q251" i="8"/>
  <c r="H19" i="6"/>
  <c r="D85" i="6"/>
  <c r="Q143" i="8"/>
  <c r="Q214" i="8"/>
  <c r="M437" i="8"/>
  <c r="J136" i="8"/>
  <c r="M195" i="8"/>
  <c r="R229" i="8"/>
  <c r="S440" i="8"/>
  <c r="R221" i="8"/>
  <c r="H38" i="6"/>
  <c r="S164" i="8"/>
  <c r="D26" i="6"/>
  <c r="F30" i="6"/>
  <c r="Q84" i="8"/>
  <c r="M161" i="8"/>
  <c r="E46" i="6"/>
  <c r="M77" i="8"/>
  <c r="S28" i="8"/>
  <c r="S311" i="8"/>
  <c r="R352" i="8"/>
  <c r="Q107" i="8"/>
  <c r="R84" i="8"/>
  <c r="R465" i="8"/>
  <c r="R289" i="8"/>
  <c r="Q410" i="8"/>
  <c r="J371" i="8"/>
  <c r="M450" i="8"/>
  <c r="F9" i="6"/>
  <c r="J133" i="8"/>
  <c r="M55" i="8"/>
  <c r="S471" i="8"/>
  <c r="Q196" i="8"/>
  <c r="Q192" i="8"/>
  <c r="S209" i="8"/>
  <c r="R33" i="8"/>
  <c r="Q95" i="8"/>
  <c r="J245" i="8"/>
  <c r="M278" i="8"/>
  <c r="Q406" i="8"/>
  <c r="M83" i="8"/>
  <c r="E81" i="6"/>
  <c r="S459" i="8"/>
  <c r="R268" i="8"/>
  <c r="R423" i="8"/>
  <c r="S237" i="8"/>
  <c r="M38" i="8"/>
  <c r="J301" i="8"/>
  <c r="H11" i="6"/>
  <c r="Q424" i="8"/>
  <c r="Q47" i="8"/>
  <c r="S287" i="8"/>
  <c r="S399" i="8"/>
  <c r="S55" i="8"/>
  <c r="R193" i="8"/>
  <c r="R91" i="8"/>
  <c r="Q417" i="8"/>
  <c r="J412" i="8"/>
  <c r="F71" i="6"/>
  <c r="S193" i="8"/>
  <c r="Q469" i="8"/>
  <c r="E80" i="6"/>
  <c r="D6" i="6"/>
  <c r="R47" i="8"/>
  <c r="Q26" i="8"/>
  <c r="Q314" i="8"/>
  <c r="Q475" i="8"/>
  <c r="J137" i="8"/>
  <c r="J393" i="8"/>
  <c r="R459" i="8"/>
  <c r="M150" i="8"/>
  <c r="J398" i="8"/>
  <c r="S277" i="8"/>
  <c r="C36" i="6"/>
  <c r="M47" i="8"/>
  <c r="G102" i="6"/>
  <c r="R351" i="8"/>
  <c r="C80" i="6"/>
  <c r="J36" i="8"/>
  <c r="R13" i="8"/>
  <c r="J109" i="8"/>
  <c r="S215" i="8"/>
  <c r="S236" i="8"/>
  <c r="G95" i="6"/>
  <c r="S429" i="8"/>
  <c r="J440" i="8"/>
  <c r="M29" i="8"/>
  <c r="R336" i="8"/>
  <c r="Q39" i="8"/>
  <c r="Q9" i="8"/>
  <c r="D48" i="6"/>
  <c r="M243" i="8"/>
  <c r="M405" i="8"/>
  <c r="J391" i="8"/>
  <c r="J366" i="8"/>
  <c r="H6" i="6"/>
  <c r="J187" i="8"/>
  <c r="J49" i="8"/>
  <c r="E103" i="6"/>
  <c r="M356" i="8"/>
  <c r="Q22" i="8"/>
  <c r="R39" i="8"/>
  <c r="Q87" i="8"/>
  <c r="Q86" i="8"/>
  <c r="Q354" i="8"/>
  <c r="R118" i="8"/>
  <c r="R313" i="8"/>
  <c r="Q33" i="8"/>
  <c r="S54" i="8"/>
  <c r="R207" i="8"/>
  <c r="J26" i="8"/>
  <c r="J312" i="8"/>
  <c r="E44" i="6"/>
  <c r="M426" i="8"/>
  <c r="R392" i="8"/>
  <c r="Q379" i="8"/>
  <c r="R237" i="8"/>
  <c r="Q375" i="8"/>
  <c r="S374" i="8"/>
  <c r="M289" i="8"/>
  <c r="J420" i="8"/>
  <c r="M151" i="8"/>
  <c r="E79" i="6"/>
  <c r="M463" i="8"/>
  <c r="E55" i="6"/>
  <c r="S204" i="8"/>
  <c r="M439" i="8"/>
  <c r="M358" i="8"/>
  <c r="Q226" i="8"/>
  <c r="Q420" i="8"/>
  <c r="D67" i="6"/>
  <c r="J37" i="8"/>
  <c r="M297" i="8"/>
  <c r="G60" i="6"/>
  <c r="R241" i="8"/>
  <c r="J18" i="8"/>
  <c r="M434" i="8"/>
  <c r="R177" i="8"/>
  <c r="J90" i="8"/>
  <c r="J417" i="8"/>
  <c r="S115" i="8"/>
  <c r="M227" i="8"/>
  <c r="J94" i="8"/>
  <c r="J263" i="8"/>
  <c r="M398" i="8"/>
  <c r="M372" i="8"/>
  <c r="Q211" i="8"/>
  <c r="Q316" i="8"/>
  <c r="D59" i="6"/>
  <c r="M418" i="8"/>
  <c r="J314" i="8"/>
  <c r="S297" i="8"/>
  <c r="R146" i="8"/>
  <c r="E57" i="6"/>
  <c r="F29" i="6"/>
  <c r="Q427" i="8"/>
  <c r="Q105" i="8"/>
  <c r="J323" i="8"/>
  <c r="S39" i="8"/>
  <c r="Q465" i="8"/>
  <c r="M25" i="8"/>
  <c r="E102" i="6"/>
  <c r="Q384" i="8"/>
  <c r="M157" i="8"/>
  <c r="R106" i="8"/>
  <c r="J45" i="8"/>
  <c r="S78" i="8"/>
  <c r="M70" i="8"/>
  <c r="R363" i="8"/>
  <c r="R391" i="8"/>
  <c r="R30" i="8"/>
  <c r="S181" i="8"/>
  <c r="S264" i="8"/>
  <c r="J108" i="8"/>
  <c r="E30" i="6"/>
  <c r="J248" i="8"/>
  <c r="R259" i="8"/>
  <c r="S66" i="8"/>
  <c r="G118" i="6"/>
  <c r="M178" i="8"/>
  <c r="S14" i="8"/>
  <c r="Q322" i="8"/>
  <c r="S210" i="8"/>
  <c r="D117" i="6"/>
  <c r="S109" i="8"/>
  <c r="C45" i="6"/>
  <c r="M440" i="8"/>
  <c r="J302" i="8"/>
  <c r="Q352" i="8"/>
  <c r="C116" i="6"/>
  <c r="H16" i="6"/>
  <c r="J106" i="8"/>
  <c r="S122" i="8"/>
  <c r="S11" i="8"/>
  <c r="J60" i="8"/>
  <c r="M65" i="8"/>
  <c r="E11" i="6"/>
  <c r="S370" i="8"/>
  <c r="J85" i="8"/>
  <c r="Q31" i="8"/>
  <c r="M127" i="8"/>
  <c r="M112" i="8"/>
  <c r="J19" i="8"/>
  <c r="S129" i="8"/>
  <c r="E10" i="6"/>
  <c r="M395" i="8"/>
  <c r="Q24" i="8"/>
  <c r="R304" i="8"/>
  <c r="J222" i="8"/>
  <c r="J424" i="8"/>
  <c r="M402" i="8"/>
  <c r="R89" i="8"/>
  <c r="M352" i="8"/>
  <c r="Q326" i="8"/>
  <c r="M261" i="8"/>
  <c r="J439" i="8"/>
  <c r="S430" i="8"/>
  <c r="J161" i="8"/>
  <c r="R407" i="8"/>
  <c r="Q258" i="8"/>
  <c r="M136" i="8"/>
  <c r="M271" i="8"/>
  <c r="M335" i="8"/>
  <c r="S300" i="8"/>
  <c r="M433" i="8"/>
  <c r="H52" i="6"/>
  <c r="M436" i="8"/>
  <c r="S51" i="8"/>
  <c r="Q223" i="8"/>
  <c r="S344" i="8"/>
  <c r="M204" i="8"/>
  <c r="S464" i="8"/>
  <c r="R431" i="8"/>
  <c r="J292" i="8"/>
  <c r="M473" i="8"/>
  <c r="C25" i="6"/>
  <c r="G103" i="6"/>
  <c r="R206" i="8"/>
  <c r="J465" i="8"/>
  <c r="M425" i="8"/>
  <c r="J455" i="8"/>
  <c r="Q97" i="8"/>
  <c r="C91" i="6"/>
  <c r="J390" i="8"/>
  <c r="Q252" i="8"/>
  <c r="R292" i="8"/>
  <c r="Q441" i="8"/>
  <c r="Q367" i="8"/>
  <c r="R406" i="8"/>
  <c r="Q390" i="8"/>
  <c r="J181" i="8"/>
  <c r="M318" i="8"/>
  <c r="F64" i="6"/>
  <c r="Q275" i="8"/>
  <c r="J138" i="8"/>
  <c r="Q463" i="8"/>
  <c r="J175" i="8"/>
  <c r="C78" i="6"/>
  <c r="M366" i="8"/>
  <c r="J257" i="8"/>
  <c r="R342" i="8"/>
  <c r="M447" i="8"/>
  <c r="R189" i="8"/>
  <c r="G108" i="6"/>
  <c r="F45" i="6"/>
  <c r="S121" i="8"/>
  <c r="J35" i="8"/>
  <c r="R6" i="8"/>
  <c r="G115" i="6"/>
  <c r="Q129" i="8"/>
  <c r="F40" i="6"/>
  <c r="R171" i="8"/>
  <c r="M234" i="8"/>
  <c r="M317" i="8"/>
  <c r="D81" i="6"/>
  <c r="J347" i="8"/>
  <c r="D27" i="6"/>
  <c r="M282" i="8"/>
  <c r="S151" i="8"/>
  <c r="Q317" i="8"/>
  <c r="M131" i="8"/>
  <c r="R334" i="8"/>
  <c r="Q40" i="8"/>
  <c r="D25" i="6"/>
  <c r="R16" i="8"/>
  <c r="R185" i="8"/>
  <c r="S96" i="8"/>
  <c r="S242" i="8"/>
  <c r="M266" i="8"/>
  <c r="R170" i="8"/>
  <c r="Q174" i="8"/>
  <c r="R470" i="8"/>
  <c r="D60" i="6"/>
  <c r="R23" i="8"/>
  <c r="S366" i="8"/>
  <c r="Q141" i="8"/>
  <c r="S186" i="8"/>
  <c r="F82" i="6"/>
  <c r="M31" i="8"/>
  <c r="Q102" i="8"/>
  <c r="R100" i="8"/>
  <c r="R418" i="8"/>
  <c r="S185" i="8"/>
  <c r="D54" i="6"/>
  <c r="J205" i="8"/>
  <c r="M89" i="8"/>
  <c r="S412" i="8"/>
  <c r="Q133" i="8"/>
  <c r="Q152" i="8"/>
  <c r="S352" i="8"/>
  <c r="M180" i="8"/>
  <c r="Q89" i="8"/>
  <c r="M369" i="8"/>
  <c r="J74" i="8"/>
  <c r="J473" i="8"/>
  <c r="S42" i="8"/>
  <c r="J454" i="8"/>
  <c r="J416" i="8"/>
  <c r="Q414" i="8"/>
  <c r="M415" i="8"/>
  <c r="J436" i="8"/>
  <c r="Q204" i="8"/>
  <c r="S216" i="8"/>
  <c r="R428" i="8"/>
  <c r="J287" i="8"/>
  <c r="M305" i="8"/>
  <c r="S53" i="8"/>
  <c r="M96" i="8"/>
  <c r="Q381" i="8"/>
  <c r="M56" i="8"/>
  <c r="M323" i="8"/>
  <c r="Q99" i="8"/>
  <c r="H46" i="6"/>
  <c r="R333" i="8"/>
  <c r="E17" i="6"/>
  <c r="M446" i="8"/>
  <c r="M403" i="8"/>
  <c r="M230" i="8"/>
  <c r="D21" i="6"/>
  <c r="M173" i="8"/>
  <c r="E69" i="6"/>
  <c r="M310" i="8"/>
  <c r="M420" i="8"/>
  <c r="Q91" i="8"/>
  <c r="J77" i="8"/>
  <c r="Q432" i="8"/>
  <c r="E6" i="6"/>
  <c r="F17" i="6"/>
  <c r="D82" i="6"/>
  <c r="S438" i="8"/>
  <c r="M461" i="8"/>
  <c r="R367" i="8"/>
  <c r="R339" i="8"/>
  <c r="Q190" i="8"/>
  <c r="S295" i="8"/>
  <c r="J367" i="8"/>
  <c r="J403" i="8"/>
  <c r="J149" i="8"/>
  <c r="H7" i="6"/>
  <c r="J238" i="8"/>
  <c r="S476" i="8"/>
  <c r="F16" i="6"/>
  <c r="Q81" i="8"/>
  <c r="R246" i="8"/>
  <c r="J68" i="8"/>
  <c r="G50" i="6"/>
  <c r="J277" i="8"/>
  <c r="M277" i="8"/>
  <c r="R63" i="8"/>
  <c r="M265" i="8"/>
  <c r="M99" i="8"/>
  <c r="J461" i="8"/>
  <c r="S327" i="8"/>
  <c r="M224" i="8"/>
  <c r="S16" i="8"/>
  <c r="J217" i="8"/>
  <c r="M51" i="8"/>
  <c r="Q268" i="8"/>
  <c r="R271" i="8"/>
  <c r="Q154" i="8"/>
  <c r="Q262" i="8"/>
  <c r="M36" i="8"/>
  <c r="J349" i="8"/>
  <c r="S197" i="8"/>
  <c r="J150" i="8"/>
  <c r="R141" i="8"/>
  <c r="Q244" i="8"/>
  <c r="M274" i="8"/>
  <c r="M19" i="8"/>
  <c r="J72" i="8"/>
  <c r="R235" i="8"/>
  <c r="J219" i="8"/>
  <c r="R134" i="8"/>
  <c r="Q293" i="8"/>
  <c r="Q53" i="8"/>
  <c r="M17" i="8"/>
  <c r="M254" i="8"/>
  <c r="S70" i="8"/>
  <c r="Q64" i="8"/>
  <c r="M409" i="8"/>
  <c r="Q96" i="8"/>
  <c r="Q306" i="8"/>
  <c r="R353" i="8"/>
  <c r="J385" i="8"/>
  <c r="J197" i="8"/>
  <c r="S102" i="8"/>
  <c r="S94" i="8"/>
  <c r="Q371" i="8"/>
  <c r="Q446" i="8"/>
  <c r="R188" i="8"/>
  <c r="Q236" i="8"/>
  <c r="Q151" i="8"/>
  <c r="R192" i="8"/>
  <c r="R458" i="8"/>
  <c r="R155" i="8"/>
  <c r="J359" i="8"/>
  <c r="J130" i="8"/>
  <c r="S252" i="8"/>
  <c r="S74" i="8"/>
  <c r="R198" i="8"/>
  <c r="S15" i="8"/>
  <c r="Q336" i="8"/>
  <c r="S350" i="8"/>
  <c r="Q241" i="8"/>
  <c r="Q114" i="8"/>
  <c r="S71" i="8"/>
  <c r="M343" i="8"/>
  <c r="J252" i="8"/>
  <c r="M339" i="8"/>
  <c r="S315" i="8"/>
  <c r="M324" i="8"/>
  <c r="S155" i="8"/>
  <c r="R17" i="8"/>
  <c r="R46" i="8"/>
  <c r="D69" i="6"/>
  <c r="R372" i="8"/>
  <c r="H42" i="6"/>
  <c r="Q48" i="8"/>
  <c r="J8" i="8"/>
  <c r="R164" i="8"/>
  <c r="Q308" i="8"/>
  <c r="R191" i="8"/>
  <c r="M100" i="8"/>
  <c r="J75" i="8"/>
  <c r="S240" i="8"/>
  <c r="J468" i="8"/>
  <c r="Q303" i="8"/>
  <c r="Q392" i="8"/>
  <c r="J195" i="8"/>
  <c r="M223" i="8"/>
  <c r="M386" i="8"/>
  <c r="S275" i="8"/>
  <c r="G41" i="6"/>
  <c r="Q324" i="8"/>
  <c r="H26" i="6"/>
  <c r="F35" i="6"/>
  <c r="R95" i="8"/>
  <c r="S190" i="8"/>
  <c r="Q16" i="8"/>
  <c r="R48" i="8"/>
  <c r="J43" i="8"/>
  <c r="R255" i="8"/>
  <c r="S419" i="8"/>
  <c r="M18" i="8"/>
  <c r="C49" i="6"/>
  <c r="R382" i="8"/>
  <c r="R7" i="8"/>
  <c r="M325" i="8"/>
  <c r="J396" i="8"/>
  <c r="Q435" i="8"/>
  <c r="S34" i="8"/>
  <c r="E47" i="6"/>
  <c r="G59" i="6"/>
  <c r="Q155" i="8"/>
  <c r="Q13" i="8"/>
  <c r="G45" i="6"/>
  <c r="Q460" i="8"/>
  <c r="Q315" i="8"/>
  <c r="J449" i="8"/>
  <c r="Q422" i="8"/>
  <c r="Q386" i="8"/>
  <c r="J103" i="8"/>
  <c r="Q467" i="8"/>
  <c r="Q395" i="8"/>
  <c r="J434" i="8"/>
  <c r="J82" i="8"/>
  <c r="Q320" i="8"/>
  <c r="C37" i="6"/>
  <c r="R51" i="8"/>
  <c r="G90" i="6"/>
  <c r="J173" i="8"/>
  <c r="F102" i="6"/>
  <c r="S310" i="8"/>
  <c r="M399" i="8"/>
  <c r="E20" i="6"/>
  <c r="R388" i="8"/>
  <c r="R412" i="8"/>
  <c r="J310" i="8"/>
  <c r="S335" i="8"/>
  <c r="J55" i="8"/>
  <c r="R54" i="8"/>
  <c r="S439" i="8"/>
  <c r="S75" i="8"/>
  <c r="R142" i="8"/>
  <c r="D36" i="6"/>
  <c r="F37" i="6"/>
  <c r="S326" i="8"/>
  <c r="G46" i="6"/>
  <c r="S50" i="8"/>
  <c r="J293" i="8"/>
  <c r="C43" i="6"/>
  <c r="F33" i="6"/>
  <c r="J410" i="8"/>
  <c r="Q353" i="8"/>
  <c r="H27" i="6"/>
  <c r="D114" i="6"/>
  <c r="R148" i="8"/>
  <c r="R307" i="8"/>
  <c r="R319" i="8"/>
  <c r="M192" i="8"/>
  <c r="J272" i="8"/>
  <c r="R60" i="8"/>
  <c r="F97" i="6"/>
  <c r="S454" i="8"/>
  <c r="Q49" i="8"/>
  <c r="S159" i="8"/>
  <c r="M229" i="8"/>
  <c r="S422" i="8"/>
  <c r="Q146" i="8"/>
  <c r="J54" i="8"/>
  <c r="Q41" i="8"/>
  <c r="Q131" i="8"/>
  <c r="J355" i="8"/>
  <c r="J163" i="8"/>
  <c r="F109" i="6"/>
  <c r="R314" i="8"/>
  <c r="R415" i="8"/>
  <c r="H25" i="6"/>
  <c r="D18" i="6"/>
  <c r="Q436" i="8"/>
  <c r="J419" i="8"/>
  <c r="R438" i="8"/>
  <c r="J140" i="8"/>
  <c r="J437" i="8"/>
  <c r="J71" i="8"/>
  <c r="M316" i="8"/>
  <c r="J255" i="8"/>
  <c r="M216" i="8"/>
  <c r="R261" i="8"/>
  <c r="Q70" i="8"/>
  <c r="E37" i="6"/>
  <c r="M53" i="8"/>
  <c r="R76" i="8"/>
  <c r="J425" i="8"/>
  <c r="R320" i="8"/>
  <c r="S394" i="8"/>
  <c r="M269" i="8"/>
  <c r="J207" i="8"/>
  <c r="R452" i="8"/>
  <c r="J249" i="8"/>
  <c r="Q134" i="8"/>
  <c r="R267" i="8"/>
  <c r="F42" i="6"/>
  <c r="R317" i="8"/>
  <c r="C59" i="6"/>
  <c r="R409" i="8"/>
  <c r="J121" i="8"/>
  <c r="R381" i="8"/>
  <c r="J284" i="8"/>
  <c r="R101" i="8"/>
  <c r="C114" i="6"/>
  <c r="S108" i="8"/>
  <c r="M200" i="8"/>
  <c r="M104" i="8"/>
  <c r="C71" i="6"/>
  <c r="D103" i="6"/>
  <c r="F28" i="6"/>
  <c r="R281" i="8"/>
  <c r="F95" i="6"/>
  <c r="S183" i="8"/>
  <c r="S337" i="8"/>
  <c r="M381" i="8"/>
  <c r="S410" i="8"/>
  <c r="J474" i="8"/>
  <c r="Q144" i="8"/>
  <c r="Q232" i="8"/>
  <c r="G68" i="6"/>
  <c r="M328" i="8"/>
  <c r="J313" i="8"/>
  <c r="M80" i="8"/>
  <c r="E68" i="6"/>
  <c r="R36" i="8"/>
  <c r="C18" i="6"/>
  <c r="S373" i="8"/>
  <c r="R71" i="8"/>
  <c r="R157" i="8"/>
  <c r="C72" i="6"/>
  <c r="R460" i="8"/>
  <c r="Q279" i="8"/>
  <c r="Q385" i="8"/>
  <c r="E116" i="6"/>
  <c r="E60" i="6"/>
  <c r="J452" i="8"/>
  <c r="R145" i="8"/>
  <c r="R340" i="8"/>
  <c r="D39" i="6"/>
  <c r="F115" i="6"/>
  <c r="J450" i="8"/>
  <c r="J80" i="8"/>
  <c r="G79" i="6"/>
  <c r="J203" i="8"/>
  <c r="M238" i="8"/>
  <c r="J185" i="8"/>
  <c r="Q247" i="8"/>
  <c r="M467" i="8"/>
  <c r="J120" i="8"/>
  <c r="R138" i="8"/>
  <c r="J386" i="8"/>
  <c r="G6" i="6"/>
  <c r="Q400" i="8"/>
  <c r="G76" i="6"/>
  <c r="Q413" i="8"/>
  <c r="C117" i="6"/>
  <c r="S205" i="8"/>
  <c r="M72" i="8"/>
  <c r="S239" i="8"/>
  <c r="R58" i="8"/>
  <c r="Q45" i="8"/>
  <c r="C42" i="6"/>
  <c r="Q346" i="8"/>
  <c r="S144" i="8"/>
  <c r="G19" i="6"/>
  <c r="J261" i="8"/>
  <c r="Q145" i="8"/>
  <c r="S13" i="8"/>
  <c r="R463" i="8"/>
  <c r="D58" i="6"/>
  <c r="M69" i="8"/>
  <c r="M416" i="8"/>
  <c r="Q383" i="8"/>
  <c r="M120" i="8"/>
  <c r="Q90" i="8"/>
  <c r="M432" i="8"/>
  <c r="R69" i="8"/>
  <c r="M337" i="8"/>
  <c r="J274" i="8"/>
  <c r="M374" i="8"/>
  <c r="S172" i="8"/>
  <c r="J229" i="8"/>
  <c r="S88" i="8"/>
  <c r="R66" i="8"/>
  <c r="M239" i="8"/>
  <c r="H43" i="6"/>
  <c r="M464" i="8"/>
  <c r="S138" i="8"/>
  <c r="D49" i="6"/>
  <c r="M197" i="8"/>
  <c r="M78" i="8"/>
  <c r="J294" i="8"/>
  <c r="J374" i="8"/>
  <c r="M154" i="8"/>
  <c r="J114" i="8"/>
  <c r="R81" i="8"/>
  <c r="R74" i="8"/>
  <c r="J426" i="8"/>
  <c r="J316" i="8"/>
  <c r="G16" i="6"/>
  <c r="J464" i="8"/>
  <c r="J128" i="8"/>
  <c r="D83" i="6"/>
  <c r="S416" i="8"/>
  <c r="H49" i="6"/>
  <c r="J453" i="8"/>
  <c r="Q464" i="8"/>
  <c r="J7" i="8"/>
  <c r="Q179" i="8"/>
  <c r="M6" i="8"/>
  <c r="S333" i="8"/>
  <c r="S8" i="8"/>
  <c r="R306" i="8"/>
  <c r="R449" i="8"/>
  <c r="M21" i="8"/>
  <c r="G34" i="6"/>
  <c r="S21" i="8"/>
  <c r="G66" i="6"/>
  <c r="Q433" i="8"/>
  <c r="S269" i="8"/>
  <c r="C52" i="6"/>
  <c r="R338" i="8"/>
  <c r="Q188" i="8"/>
  <c r="Q429" i="8"/>
  <c r="Q321" i="8"/>
  <c r="J279" i="8"/>
  <c r="J147" i="8"/>
  <c r="D46" i="6"/>
  <c r="D78" i="6"/>
  <c r="S447" i="8"/>
  <c r="Q15" i="8"/>
  <c r="J246" i="8"/>
  <c r="J382" i="8"/>
  <c r="Q93" i="8"/>
  <c r="R110" i="8"/>
  <c r="Q242" i="8"/>
  <c r="R303" i="8"/>
  <c r="S103" i="8"/>
  <c r="J365" i="8"/>
  <c r="M333" i="8"/>
  <c r="S257" i="8"/>
  <c r="R211" i="8"/>
  <c r="Q431" i="8"/>
  <c r="G89" i="6"/>
  <c r="R433" i="8"/>
  <c r="R448" i="8"/>
  <c r="R461" i="8"/>
  <c r="J290" i="8"/>
  <c r="M15" i="8"/>
  <c r="M470" i="8"/>
  <c r="M349" i="8"/>
  <c r="Q272" i="8"/>
  <c r="M66" i="8"/>
  <c r="R400" i="8"/>
  <c r="E115" i="6"/>
  <c r="M60" i="8"/>
  <c r="J300" i="8"/>
  <c r="Q72" i="8"/>
  <c r="S358" i="8"/>
  <c r="J319" i="8"/>
  <c r="M119" i="8"/>
  <c r="J360" i="8"/>
  <c r="Q337" i="8"/>
  <c r="S470" i="8"/>
  <c r="S376" i="8"/>
  <c r="E52" i="6"/>
  <c r="Q79" i="8"/>
  <c r="Q118" i="8"/>
  <c r="J430" i="8"/>
  <c r="S117" i="8"/>
  <c r="E97" i="6"/>
  <c r="H92" i="6"/>
  <c r="E50" i="6"/>
  <c r="H39" i="6"/>
  <c r="M457" i="8"/>
  <c r="R270" i="8"/>
  <c r="J191" i="8"/>
  <c r="M24" i="8"/>
  <c r="M37" i="8"/>
  <c r="M408" i="8"/>
  <c r="R247" i="8"/>
  <c r="R305" i="8"/>
  <c r="E38" i="6"/>
  <c r="J40" i="8"/>
  <c r="F81" i="6"/>
  <c r="S389" i="8"/>
  <c r="J422" i="8"/>
  <c r="M220" i="8"/>
  <c r="Q42" i="8"/>
  <c r="Q299" i="8"/>
  <c r="M111" i="8"/>
  <c r="S262" i="8"/>
  <c r="S213" i="8"/>
  <c r="Q416" i="8"/>
  <c r="R444" i="8"/>
  <c r="R49" i="8"/>
  <c r="M275" i="8"/>
  <c r="J95" i="8"/>
  <c r="Q442" i="8"/>
  <c r="J444" i="8"/>
  <c r="M459" i="8"/>
  <c r="J240" i="8"/>
  <c r="S433" i="8"/>
  <c r="Q3" i="8"/>
  <c r="Q454" i="8"/>
  <c r="G7" i="6"/>
  <c r="S119" i="8"/>
  <c r="R252" i="8"/>
  <c r="Q382" i="8"/>
  <c r="R405" i="8"/>
  <c r="Q109" i="8"/>
  <c r="S395" i="8"/>
  <c r="J253" i="8"/>
  <c r="S474" i="8"/>
  <c r="E118" i="6"/>
  <c r="M183" i="8"/>
  <c r="Q77" i="8"/>
  <c r="G37" i="6"/>
  <c r="S377" i="8"/>
  <c r="D28" i="6"/>
  <c r="R251" i="8"/>
  <c r="Q449" i="8"/>
  <c r="Q265" i="8"/>
  <c r="S114" i="8"/>
  <c r="J162" i="8"/>
  <c r="M246" i="8"/>
  <c r="J215" i="8"/>
  <c r="Q394" i="8"/>
  <c r="J87" i="8"/>
  <c r="S223" i="8"/>
  <c r="Q208" i="8"/>
  <c r="G81" i="6"/>
  <c r="E25" i="6"/>
  <c r="R266" i="8"/>
  <c r="S349" i="8"/>
  <c r="M52" i="8"/>
  <c r="J171" i="8"/>
  <c r="J275" i="8"/>
  <c r="Q278" i="8"/>
  <c r="M304" i="8"/>
  <c r="J47" i="8"/>
  <c r="J32" i="8"/>
  <c r="J145" i="8"/>
  <c r="S426" i="8"/>
  <c r="J48" i="8"/>
  <c r="M121" i="8"/>
  <c r="M13" i="8"/>
  <c r="H50" i="6"/>
  <c r="H116" i="6"/>
  <c r="S140" i="8"/>
  <c r="M102" i="8"/>
  <c r="D97" i="6"/>
  <c r="S198" i="8"/>
  <c r="S452" i="8"/>
  <c r="Q440" i="8"/>
  <c r="R242" i="8"/>
  <c r="R416" i="8"/>
  <c r="R172" i="8"/>
  <c r="R425" i="8"/>
  <c r="Q122" i="8"/>
  <c r="M301" i="8"/>
  <c r="S142" i="8"/>
  <c r="M423" i="8"/>
  <c r="R234" i="8"/>
  <c r="Q349" i="8"/>
  <c r="R219" i="8"/>
  <c r="J262" i="8"/>
  <c r="D43" i="6"/>
  <c r="R80" i="8"/>
  <c r="J216" i="8"/>
  <c r="M279" i="8"/>
  <c r="R315" i="8"/>
  <c r="M114" i="8"/>
  <c r="D118" i="6"/>
  <c r="J370" i="8"/>
  <c r="S401" i="8"/>
  <c r="J299" i="8"/>
  <c r="J463" i="8"/>
  <c r="M245" i="8"/>
  <c r="S61" i="8"/>
  <c r="Q161" i="8"/>
  <c r="Q157" i="8"/>
  <c r="M93" i="8"/>
  <c r="C103" i="6"/>
  <c r="S424" i="8"/>
  <c r="R202" i="8"/>
  <c r="S3" i="8"/>
  <c r="R55" i="8"/>
  <c r="R323" i="8"/>
  <c r="R257" i="8"/>
  <c r="Q373" i="8"/>
  <c r="J221" i="8"/>
  <c r="M137" i="8"/>
  <c r="M160" i="8"/>
  <c r="D116" i="6"/>
  <c r="S112" i="8"/>
  <c r="M167" i="8"/>
  <c r="E39" i="6"/>
  <c r="J256" i="8"/>
  <c r="R195" i="8"/>
  <c r="R253" i="8"/>
  <c r="J112" i="8"/>
  <c r="E72" i="6"/>
  <c r="M456" i="8"/>
  <c r="M129" i="8"/>
  <c r="M42" i="8"/>
  <c r="Q112" i="8"/>
  <c r="M90" i="8"/>
  <c r="M124" i="8"/>
  <c r="S73" i="8"/>
  <c r="S279" i="8"/>
  <c r="M169" i="8"/>
  <c r="R174" i="8"/>
  <c r="C21" i="6"/>
  <c r="M287" i="8"/>
  <c r="S24" i="8"/>
  <c r="S177" i="8"/>
  <c r="M237" i="8"/>
  <c r="S380" i="8"/>
  <c r="R245" i="8"/>
  <c r="F48" i="6"/>
  <c r="Q57" i="8"/>
  <c r="M362" i="8"/>
  <c r="G30" i="6"/>
  <c r="Q408" i="8"/>
  <c r="M438" i="8"/>
  <c r="S154" i="8"/>
  <c r="R274" i="8"/>
  <c r="M429" i="8"/>
  <c r="S445" i="8"/>
  <c r="Q437" i="8"/>
  <c r="J31" i="8"/>
  <c r="S104" i="8"/>
  <c r="R278" i="8"/>
  <c r="S378" i="8"/>
  <c r="R243" i="8"/>
  <c r="R328" i="8"/>
  <c r="Q468" i="8"/>
  <c r="Q286" i="8"/>
  <c r="R153" i="8"/>
  <c r="S87" i="8"/>
  <c r="Q193" i="8"/>
  <c r="J97" i="8"/>
  <c r="C10" i="6"/>
  <c r="S398" i="8"/>
  <c r="Q228" i="8"/>
  <c r="F25" i="6"/>
  <c r="J158" i="8"/>
  <c r="R114" i="8"/>
  <c r="R129" i="8"/>
  <c r="M444" i="8"/>
  <c r="J186" i="8"/>
  <c r="R10" i="8"/>
  <c r="M50" i="8"/>
  <c r="R109" i="8"/>
  <c r="R223" i="8"/>
  <c r="Q366" i="8"/>
  <c r="Q66" i="8"/>
  <c r="M350" i="8"/>
  <c r="R187" i="8"/>
  <c r="S436" i="8"/>
  <c r="E77" i="6"/>
  <c r="J160" i="8"/>
  <c r="J165" i="8"/>
  <c r="S415" i="8"/>
  <c r="G52" i="6"/>
  <c r="C108" i="6"/>
  <c r="M191" i="8"/>
  <c r="Q52" i="8"/>
  <c r="R136" i="8"/>
  <c r="J472" i="8"/>
  <c r="R386" i="8"/>
  <c r="S174" i="8"/>
  <c r="Q330" i="8"/>
  <c r="J379" i="8"/>
  <c r="M159" i="8"/>
  <c r="J51" i="8"/>
  <c r="J190" i="8"/>
  <c r="S343" i="8"/>
  <c r="J344" i="8"/>
  <c r="R455" i="8"/>
  <c r="M300" i="8"/>
  <c r="F59" i="6"/>
  <c r="R401" i="8"/>
  <c r="J17" i="8"/>
  <c r="R466" i="8"/>
  <c r="E51" i="6"/>
  <c r="S409" i="8"/>
  <c r="S392" i="8"/>
  <c r="F7" i="6"/>
  <c r="H21" i="6"/>
  <c r="S79" i="8"/>
  <c r="J368" i="8"/>
  <c r="Q344" i="8"/>
  <c r="J358" i="8"/>
  <c r="M9" i="8"/>
  <c r="M476" i="8"/>
  <c r="M177" i="8"/>
  <c r="S293" i="8"/>
  <c r="R285" i="8"/>
  <c r="M247" i="8"/>
  <c r="R197" i="8"/>
  <c r="R296" i="8"/>
  <c r="J164" i="8"/>
  <c r="S47" i="8"/>
  <c r="M354" i="8"/>
  <c r="D9" i="6"/>
  <c r="J178" i="8"/>
  <c r="R123" i="8"/>
  <c r="D77" i="6"/>
  <c r="J446" i="8"/>
  <c r="S379" i="8"/>
  <c r="J280" i="8"/>
  <c r="Q243" i="8"/>
  <c r="C89" i="6"/>
  <c r="J46" i="8"/>
  <c r="Q363" i="8"/>
  <c r="J269" i="8"/>
  <c r="M411" i="8"/>
  <c r="R27" i="8"/>
  <c r="J10" i="8"/>
  <c r="R422" i="8"/>
  <c r="S29" i="8"/>
  <c r="Q215" i="8"/>
  <c r="M388" i="8"/>
  <c r="Q35" i="8"/>
  <c r="M379" i="8"/>
  <c r="S338" i="8"/>
  <c r="Q333" i="8"/>
  <c r="Q124" i="8"/>
  <c r="R398" i="8"/>
  <c r="R456" i="8"/>
  <c r="R262" i="8"/>
  <c r="Q198" i="8"/>
  <c r="M233" i="8"/>
  <c r="R316" i="8"/>
  <c r="J254" i="8"/>
  <c r="J177" i="8"/>
  <c r="E49" i="6"/>
  <c r="M75" i="8"/>
  <c r="F60" i="6"/>
  <c r="J201" i="8"/>
  <c r="D47" i="6"/>
  <c r="R130" i="8"/>
  <c r="M258" i="8"/>
  <c r="Q419" i="8"/>
  <c r="M419" i="8"/>
  <c r="J52" i="8"/>
  <c r="Q257" i="8"/>
  <c r="R375" i="8"/>
  <c r="F83" i="6"/>
  <c r="M307" i="8"/>
  <c r="E114" i="6"/>
  <c r="Q301" i="8"/>
  <c r="R299" i="8"/>
  <c r="J421" i="8"/>
  <c r="J42" i="8"/>
  <c r="O42" i="8" l="1"/>
  <c r="K42" i="8"/>
  <c r="O421" i="8"/>
  <c r="K421" i="8"/>
  <c r="K52" i="8"/>
  <c r="O52" i="8"/>
  <c r="O201" i="8"/>
  <c r="K201" i="8"/>
  <c r="K177" i="8"/>
  <c r="O177" i="8"/>
  <c r="K254" i="8"/>
  <c r="O254" i="8"/>
  <c r="K10" i="8"/>
  <c r="O10" i="8"/>
  <c r="O269" i="8"/>
  <c r="K269" i="8"/>
  <c r="O46" i="8"/>
  <c r="K46" i="8"/>
  <c r="K280" i="8"/>
  <c r="O280" i="8"/>
  <c r="O446" i="8"/>
  <c r="K446" i="8"/>
  <c r="K178" i="8"/>
  <c r="O178" i="8"/>
  <c r="O164" i="8"/>
  <c r="K164" i="8"/>
  <c r="K358" i="8"/>
  <c r="O358" i="8"/>
  <c r="K368" i="8"/>
  <c r="O368" i="8"/>
  <c r="O17" i="8"/>
  <c r="K17" i="8"/>
  <c r="O344" i="8"/>
  <c r="K344" i="8"/>
  <c r="K190" i="8"/>
  <c r="O190" i="8"/>
  <c r="O51" i="8"/>
  <c r="K51" i="8"/>
  <c r="K379" i="8"/>
  <c r="O379" i="8"/>
  <c r="O472" i="8"/>
  <c r="K472" i="8"/>
  <c r="K165" i="8"/>
  <c r="O165" i="8"/>
  <c r="O160" i="8"/>
  <c r="K160" i="8"/>
  <c r="K186" i="8"/>
  <c r="O186" i="8"/>
  <c r="O158" i="8"/>
  <c r="K158" i="8"/>
  <c r="K97" i="8"/>
  <c r="O97" i="8"/>
  <c r="O31" i="8"/>
  <c r="K31" i="8"/>
  <c r="O112" i="8"/>
  <c r="K112" i="8"/>
  <c r="K256" i="8"/>
  <c r="O256" i="8"/>
  <c r="O221" i="8"/>
  <c r="K221" i="8"/>
  <c r="O463" i="8"/>
  <c r="K463" i="8"/>
  <c r="K299" i="8"/>
  <c r="O299" i="8"/>
  <c r="O370" i="8"/>
  <c r="K370" i="8"/>
  <c r="O216" i="8"/>
  <c r="K216" i="8"/>
  <c r="K262" i="8"/>
  <c r="O262" i="8"/>
  <c r="K48" i="8"/>
  <c r="O48" i="8"/>
  <c r="K145" i="8"/>
  <c r="O145" i="8"/>
  <c r="O32" i="8"/>
  <c r="K32" i="8"/>
  <c r="O47" i="8"/>
  <c r="K47" i="8"/>
  <c r="K275" i="8"/>
  <c r="O275" i="8"/>
  <c r="O171" i="8"/>
  <c r="K171" i="8"/>
  <c r="O87" i="8"/>
  <c r="K87" i="8"/>
  <c r="K215" i="8"/>
  <c r="O215" i="8"/>
  <c r="O162" i="8"/>
  <c r="K162" i="8"/>
  <c r="O253" i="8"/>
  <c r="K253" i="8"/>
  <c r="K240" i="8"/>
  <c r="O240" i="8"/>
  <c r="K444" i="8"/>
  <c r="O444" i="8"/>
  <c r="O95" i="8"/>
  <c r="K95" i="8"/>
  <c r="O422" i="8"/>
  <c r="K422" i="8"/>
  <c r="K40" i="8"/>
  <c r="O40" i="8"/>
  <c r="O191" i="8"/>
  <c r="K191" i="8"/>
  <c r="O430" i="8"/>
  <c r="K430" i="8"/>
  <c r="O360" i="8"/>
  <c r="K360" i="8"/>
  <c r="O319" i="8"/>
  <c r="K319" i="8"/>
  <c r="K300" i="8"/>
  <c r="O300" i="8"/>
  <c r="O290" i="8"/>
  <c r="K290" i="8"/>
  <c r="K365" i="8"/>
  <c r="O365" i="8"/>
  <c r="K382" i="8"/>
  <c r="O382" i="8"/>
  <c r="O246" i="8"/>
  <c r="K246" i="8"/>
  <c r="O147" i="8"/>
  <c r="K147" i="8"/>
  <c r="K279" i="8"/>
  <c r="O279" i="8"/>
  <c r="O7" i="8"/>
  <c r="K7" i="8"/>
  <c r="K453" i="8"/>
  <c r="O453" i="8"/>
  <c r="K128" i="8"/>
  <c r="O128" i="8"/>
  <c r="O464" i="8"/>
  <c r="K464" i="8"/>
  <c r="K316" i="8"/>
  <c r="O316" i="8"/>
  <c r="K426" i="8"/>
  <c r="O426" i="8"/>
  <c r="K114" i="8"/>
  <c r="O114" i="8"/>
  <c r="O374" i="8"/>
  <c r="K374" i="8"/>
  <c r="K294" i="8"/>
  <c r="O294" i="8"/>
  <c r="K229" i="8"/>
  <c r="O229" i="8"/>
  <c r="O274" i="8"/>
  <c r="K274" i="8"/>
  <c r="K261" i="8"/>
  <c r="O261" i="8"/>
  <c r="O386" i="8"/>
  <c r="K386" i="8"/>
  <c r="O120" i="8"/>
  <c r="K120" i="8"/>
  <c r="O185" i="8"/>
  <c r="K185" i="8"/>
  <c r="K203" i="8"/>
  <c r="O203" i="8"/>
  <c r="K80" i="8"/>
  <c r="O80" i="8"/>
  <c r="K450" i="8"/>
  <c r="O450" i="8"/>
  <c r="O452" i="8"/>
  <c r="K452" i="8"/>
  <c r="O313" i="8"/>
  <c r="K313" i="8"/>
  <c r="K474" i="8"/>
  <c r="O474" i="8"/>
  <c r="O284" i="8"/>
  <c r="K284" i="8"/>
  <c r="K121" i="8"/>
  <c r="O121" i="8"/>
  <c r="O249" i="8"/>
  <c r="K249" i="8"/>
  <c r="O207" i="8"/>
  <c r="K207" i="8"/>
  <c r="K425" i="8"/>
  <c r="O425" i="8"/>
  <c r="O255" i="8"/>
  <c r="K255" i="8"/>
  <c r="K71" i="8"/>
  <c r="O71" i="8"/>
  <c r="K437" i="8"/>
  <c r="O437" i="8"/>
  <c r="O140" i="8"/>
  <c r="K140" i="8"/>
  <c r="O419" i="8"/>
  <c r="K419" i="8"/>
  <c r="O163" i="8"/>
  <c r="K163" i="8"/>
  <c r="K355" i="8"/>
  <c r="O355" i="8"/>
  <c r="K54" i="8"/>
  <c r="O54" i="8"/>
  <c r="O272" i="8"/>
  <c r="K272" i="8"/>
  <c r="O410" i="8"/>
  <c r="K410" i="8"/>
  <c r="K293" i="8"/>
  <c r="O293" i="8"/>
  <c r="K55" i="8"/>
  <c r="O55" i="8"/>
  <c r="O310" i="8"/>
  <c r="K310" i="8"/>
  <c r="K173" i="8"/>
  <c r="O173" i="8"/>
  <c r="O82" i="8"/>
  <c r="K82" i="8"/>
  <c r="O434" i="8"/>
  <c r="K434" i="8"/>
  <c r="O103" i="8"/>
  <c r="K103" i="8"/>
  <c r="O449" i="8"/>
  <c r="K449" i="8"/>
  <c r="O396" i="8"/>
  <c r="K396" i="8"/>
  <c r="O43" i="8"/>
  <c r="K43" i="8"/>
  <c r="O195" i="8"/>
  <c r="K195" i="8"/>
  <c r="O468" i="8"/>
  <c r="K468" i="8"/>
  <c r="K75" i="8"/>
  <c r="O75" i="8"/>
  <c r="O8" i="8"/>
  <c r="K8" i="8"/>
  <c r="O252" i="8"/>
  <c r="K252" i="8"/>
  <c r="K130" i="8"/>
  <c r="O130" i="8"/>
  <c r="K359" i="8"/>
  <c r="O359" i="8"/>
  <c r="K197" i="8"/>
  <c r="O197" i="8"/>
  <c r="K385" i="8"/>
  <c r="O385" i="8"/>
  <c r="K219" i="8"/>
  <c r="O219" i="8"/>
  <c r="O72" i="8"/>
  <c r="K72" i="8"/>
  <c r="K150" i="8"/>
  <c r="O150" i="8"/>
  <c r="O349" i="8"/>
  <c r="K349" i="8"/>
  <c r="O217" i="8"/>
  <c r="K217" i="8"/>
  <c r="K461" i="8"/>
  <c r="O461" i="8"/>
  <c r="O277" i="8"/>
  <c r="K277" i="8"/>
  <c r="K68" i="8"/>
  <c r="O68" i="8"/>
  <c r="O238" i="8"/>
  <c r="K238" i="8"/>
  <c r="O149" i="8"/>
  <c r="K149" i="8"/>
  <c r="K403" i="8"/>
  <c r="O403" i="8"/>
  <c r="K367" i="8"/>
  <c r="O367" i="8"/>
  <c r="K77" i="8"/>
  <c r="O77" i="8"/>
  <c r="K287" i="8"/>
  <c r="O287" i="8"/>
  <c r="O436" i="8"/>
  <c r="K436" i="8"/>
  <c r="K416" i="8"/>
  <c r="O416" i="8"/>
  <c r="K454" i="8"/>
  <c r="O454" i="8"/>
  <c r="O473" i="8"/>
  <c r="K473" i="8"/>
  <c r="K74" i="8"/>
  <c r="O74" i="8"/>
  <c r="O205" i="8"/>
  <c r="K205" i="8"/>
  <c r="O347" i="8"/>
  <c r="K347" i="8"/>
  <c r="K35" i="8"/>
  <c r="O35" i="8"/>
  <c r="O257" i="8"/>
  <c r="K257" i="8"/>
  <c r="K175" i="8"/>
  <c r="O175" i="8"/>
  <c r="K138" i="8"/>
  <c r="O138" i="8"/>
  <c r="K181" i="8"/>
  <c r="O181" i="8"/>
  <c r="K390" i="8"/>
  <c r="O390" i="8"/>
  <c r="K455" i="8"/>
  <c r="O455" i="8"/>
  <c r="O465" i="8"/>
  <c r="K465" i="8"/>
  <c r="O292" i="8"/>
  <c r="K292" i="8"/>
  <c r="K161" i="8"/>
  <c r="O161" i="8"/>
  <c r="K439" i="8"/>
  <c r="O439" i="8"/>
  <c r="O424" i="8"/>
  <c r="K424" i="8"/>
  <c r="K222" i="8"/>
  <c r="O222" i="8"/>
  <c r="O19" i="8"/>
  <c r="K19" i="8"/>
  <c r="O85" i="8"/>
  <c r="K85" i="8"/>
  <c r="O60" i="8"/>
  <c r="K60" i="8"/>
  <c r="O106" i="8"/>
  <c r="K106" i="8"/>
  <c r="K302" i="8"/>
  <c r="O302" i="8"/>
  <c r="K248" i="8"/>
  <c r="O248" i="8"/>
  <c r="K108" i="8"/>
  <c r="O108" i="8"/>
  <c r="O45" i="8"/>
  <c r="K45" i="8"/>
  <c r="O323" i="8"/>
  <c r="K323" i="8"/>
  <c r="K314" i="8"/>
  <c r="O314" i="8"/>
  <c r="K263" i="8"/>
  <c r="O263" i="8"/>
  <c r="K94" i="8"/>
  <c r="O94" i="8"/>
  <c r="O417" i="8"/>
  <c r="K417" i="8"/>
  <c r="K90" i="8"/>
  <c r="O90" i="8"/>
  <c r="O18" i="8"/>
  <c r="K18" i="8"/>
  <c r="O37" i="8"/>
  <c r="K37" i="8"/>
  <c r="O420" i="8"/>
  <c r="K420" i="8"/>
  <c r="K312" i="8"/>
  <c r="O312" i="8"/>
  <c r="K26" i="8"/>
  <c r="O26" i="8"/>
  <c r="K49" i="8"/>
  <c r="O49" i="8"/>
  <c r="O187" i="8"/>
  <c r="K187" i="8"/>
  <c r="O366" i="8"/>
  <c r="K366" i="8"/>
  <c r="K391" i="8"/>
  <c r="O391" i="8"/>
  <c r="O440" i="8"/>
  <c r="K440" i="8"/>
  <c r="O109" i="8"/>
  <c r="K109" i="8"/>
  <c r="K36" i="8"/>
  <c r="O36" i="8"/>
  <c r="K398" i="8"/>
  <c r="O398" i="8"/>
  <c r="K393" i="8"/>
  <c r="O393" i="8"/>
  <c r="K137" i="8"/>
  <c r="O137" i="8"/>
  <c r="K412" i="8"/>
  <c r="O412" i="8"/>
  <c r="K301" i="8"/>
  <c r="O301" i="8"/>
  <c r="O245" i="8"/>
  <c r="K245" i="8"/>
  <c r="O133" i="8"/>
  <c r="K133" i="8"/>
  <c r="K371" i="8"/>
  <c r="O371" i="8"/>
  <c r="K136" i="8"/>
  <c r="O136" i="8"/>
  <c r="K401" i="8"/>
  <c r="O401" i="8"/>
  <c r="K115" i="8"/>
  <c r="O115" i="8"/>
  <c r="O110" i="8"/>
  <c r="K110" i="8"/>
  <c r="O230" i="8"/>
  <c r="K230" i="8"/>
  <c r="O327" i="8"/>
  <c r="K327" i="8"/>
  <c r="O27" i="8"/>
  <c r="K27" i="8"/>
  <c r="K392" i="8"/>
  <c r="O392" i="8"/>
  <c r="K151" i="8"/>
  <c r="O151" i="8"/>
  <c r="O442" i="8"/>
  <c r="K442" i="8"/>
  <c r="O183" i="8"/>
  <c r="K183" i="8"/>
  <c r="O119" i="8"/>
  <c r="K119" i="8"/>
  <c r="O381" i="8"/>
  <c r="K381" i="8"/>
  <c r="K167" i="8"/>
  <c r="O167" i="8"/>
  <c r="K67" i="8"/>
  <c r="O67" i="8"/>
  <c r="K433" i="8"/>
  <c r="O433" i="8"/>
  <c r="O231" i="8"/>
  <c r="K231" i="8"/>
  <c r="K356" i="8"/>
  <c r="O356" i="8"/>
  <c r="O156" i="8"/>
  <c r="K156" i="8"/>
  <c r="K448" i="8"/>
  <c r="O448" i="8"/>
  <c r="K458" i="8"/>
  <c r="O458" i="8"/>
  <c r="O139" i="8"/>
  <c r="K139" i="8"/>
  <c r="O291" i="8"/>
  <c r="K291" i="8"/>
  <c r="K435" i="8"/>
  <c r="O435" i="8"/>
  <c r="K39" i="8"/>
  <c r="O39" i="8"/>
  <c r="K413" i="8"/>
  <c r="O413" i="8"/>
  <c r="O351" i="8"/>
  <c r="K351" i="8"/>
  <c r="O373" i="8"/>
  <c r="K373" i="8"/>
  <c r="O466" i="8"/>
  <c r="K466" i="8"/>
  <c r="O101" i="8"/>
  <c r="K101" i="8"/>
  <c r="O124" i="8"/>
  <c r="K124" i="8"/>
  <c r="O250" i="8"/>
  <c r="K250" i="8"/>
  <c r="O11" i="8"/>
  <c r="K11" i="8"/>
  <c r="O309" i="8"/>
  <c r="K309" i="8"/>
  <c r="O227" i="8"/>
  <c r="K227" i="8"/>
  <c r="O20" i="8"/>
  <c r="K20" i="8"/>
  <c r="O21" i="8"/>
  <c r="K21" i="8"/>
  <c r="O331" i="8"/>
  <c r="K331" i="8"/>
  <c r="K236" i="8"/>
  <c r="O236" i="8"/>
  <c r="K268" i="8"/>
  <c r="O268" i="8"/>
  <c r="O376" i="8"/>
  <c r="K376" i="8"/>
  <c r="O260" i="8"/>
  <c r="K260" i="8"/>
  <c r="K338" i="8"/>
  <c r="O338" i="8"/>
  <c r="O324" i="8"/>
  <c r="K324" i="8"/>
  <c r="K88" i="8"/>
  <c r="O88" i="8"/>
  <c r="O134" i="8"/>
  <c r="K134" i="8"/>
  <c r="K202" i="8"/>
  <c r="O202" i="8"/>
  <c r="K12" i="8"/>
  <c r="O12" i="8"/>
  <c r="K409" i="8"/>
  <c r="O409" i="8"/>
  <c r="O259" i="8"/>
  <c r="K259" i="8"/>
  <c r="K339" i="8"/>
  <c r="O339" i="8"/>
  <c r="O83" i="8"/>
  <c r="K83" i="8"/>
  <c r="K79" i="8"/>
  <c r="O79" i="8"/>
  <c r="K281" i="8"/>
  <c r="O281" i="8"/>
  <c r="O225" i="8"/>
  <c r="K225" i="8"/>
  <c r="O388" i="8"/>
  <c r="K388" i="8"/>
  <c r="K179" i="8"/>
  <c r="O179" i="8"/>
  <c r="K273" i="8"/>
  <c r="O273" i="8"/>
  <c r="K387" i="8"/>
  <c r="O387" i="8"/>
  <c r="K406" i="8"/>
  <c r="O406" i="8"/>
  <c r="O296" i="8"/>
  <c r="K296" i="8"/>
  <c r="K78" i="8"/>
  <c r="O78" i="8"/>
  <c r="O14" i="8"/>
  <c r="K14" i="8"/>
  <c r="O129" i="8"/>
  <c r="K129" i="8"/>
  <c r="O4" i="8"/>
  <c r="K4" i="8"/>
  <c r="K242" i="8"/>
  <c r="O242" i="8"/>
  <c r="O332" i="8"/>
  <c r="K332" i="8"/>
  <c r="K66" i="8"/>
  <c r="O66" i="8"/>
  <c r="O193" i="8"/>
  <c r="K193" i="8"/>
  <c r="O352" i="8"/>
  <c r="K352" i="8"/>
  <c r="K384" i="8"/>
  <c r="O384" i="8"/>
  <c r="O192" i="8"/>
  <c r="K192" i="8"/>
  <c r="K447" i="8"/>
  <c r="O447" i="8"/>
  <c r="O306" i="8"/>
  <c r="K306" i="8"/>
  <c r="O188" i="8"/>
  <c r="K188" i="8"/>
  <c r="O9" i="8"/>
  <c r="K9" i="8"/>
  <c r="K445" i="8"/>
  <c r="O445" i="8"/>
  <c r="K298" i="8"/>
  <c r="O298" i="8"/>
  <c r="O341" i="8"/>
  <c r="K341" i="8"/>
  <c r="O204" i="8"/>
  <c r="K204" i="8"/>
  <c r="O61" i="8"/>
  <c r="K61" i="8"/>
  <c r="O285" i="8"/>
  <c r="K285" i="8"/>
  <c r="K397" i="8"/>
  <c r="O397" i="8"/>
  <c r="O353" i="8"/>
  <c r="K353" i="8"/>
  <c r="O168" i="8"/>
  <c r="K168" i="8"/>
  <c r="O64" i="8"/>
  <c r="K64" i="8"/>
  <c r="K200" i="8"/>
  <c r="O200" i="8"/>
  <c r="O329" i="8"/>
  <c r="K329" i="8"/>
  <c r="O84" i="8"/>
  <c r="K84" i="8"/>
  <c r="K326" i="8"/>
  <c r="O326" i="8"/>
  <c r="K378" i="8"/>
  <c r="O378" i="8"/>
  <c r="K111" i="8"/>
  <c r="O111" i="8"/>
  <c r="O224" i="8"/>
  <c r="K224" i="8"/>
  <c r="O141" i="8"/>
  <c r="K141" i="8"/>
  <c r="K210" i="8"/>
  <c r="O210" i="8"/>
  <c r="K25" i="8"/>
  <c r="O25" i="8"/>
  <c r="K169" i="8"/>
  <c r="O169" i="8"/>
  <c r="K340" i="8"/>
  <c r="O340" i="8"/>
  <c r="K303" i="8"/>
  <c r="O303" i="8"/>
  <c r="K155" i="8"/>
  <c r="O155" i="8"/>
  <c r="O283" i="8"/>
  <c r="K283" i="8"/>
  <c r="O333" i="8"/>
  <c r="K333" i="8"/>
  <c r="K270" i="8"/>
  <c r="O270" i="8"/>
  <c r="O159" i="8"/>
  <c r="K159" i="8"/>
  <c r="O278" i="8"/>
  <c r="K278" i="8"/>
  <c r="K152" i="8"/>
  <c r="O152" i="8"/>
  <c r="K395" i="8"/>
  <c r="O395" i="8"/>
  <c r="O276" i="8"/>
  <c r="K276" i="8"/>
  <c r="O234" i="8"/>
  <c r="K234" i="8"/>
  <c r="K189" i="8"/>
  <c r="O189" i="8"/>
  <c r="K364" i="8"/>
  <c r="O364" i="8"/>
  <c r="K317" i="8"/>
  <c r="O317" i="8"/>
  <c r="O3" i="8"/>
  <c r="K3" i="8"/>
  <c r="K116" i="8"/>
  <c r="O116" i="8"/>
  <c r="O154" i="8"/>
  <c r="K154" i="8"/>
  <c r="O239" i="8"/>
  <c r="K239" i="8"/>
  <c r="O441" i="8"/>
  <c r="K441" i="8"/>
  <c r="O81" i="8"/>
  <c r="K81" i="8"/>
  <c r="K342" i="8"/>
  <c r="O342" i="8"/>
  <c r="O105" i="8"/>
  <c r="K105" i="8"/>
  <c r="K345" i="8"/>
  <c r="O345" i="8"/>
  <c r="K405" i="8"/>
  <c r="O405" i="8"/>
  <c r="K318" i="8"/>
  <c r="O318" i="8"/>
  <c r="K194" i="8"/>
  <c r="O194" i="8"/>
  <c r="O322" i="8"/>
  <c r="K322" i="8"/>
  <c r="K153" i="8"/>
  <c r="O153" i="8"/>
  <c r="O328" i="8"/>
  <c r="K328" i="8"/>
  <c r="K402" i="8"/>
  <c r="O402" i="8"/>
  <c r="K251" i="8"/>
  <c r="O251" i="8"/>
  <c r="O104" i="8"/>
  <c r="K104" i="8"/>
  <c r="K182" i="8"/>
  <c r="O182" i="8"/>
  <c r="K334" i="8"/>
  <c r="O334" i="8"/>
  <c r="K142" i="8"/>
  <c r="O142" i="8"/>
  <c r="O208" i="8"/>
  <c r="K208" i="8"/>
  <c r="O343" i="8"/>
  <c r="K343" i="8"/>
  <c r="O389" i="8"/>
  <c r="K389" i="8"/>
  <c r="O76" i="8"/>
  <c r="K76" i="8"/>
  <c r="O375" i="8"/>
  <c r="K375" i="8"/>
  <c r="O337" i="8"/>
  <c r="K337" i="8"/>
  <c r="K58" i="8"/>
  <c r="O58" i="8"/>
  <c r="K407" i="8"/>
  <c r="O407" i="8"/>
  <c r="O372" i="8"/>
  <c r="K372" i="8"/>
  <c r="K220" i="8"/>
  <c r="O220" i="8"/>
  <c r="K431" i="8"/>
  <c r="O431" i="8"/>
  <c r="K174" i="8"/>
  <c r="O174" i="8"/>
  <c r="K232" i="8"/>
  <c r="O232" i="8"/>
  <c r="K475" i="8"/>
  <c r="O475" i="8"/>
  <c r="O23" i="8"/>
  <c r="K23" i="8"/>
  <c r="O212" i="8"/>
  <c r="K212" i="8"/>
  <c r="O348" i="8"/>
  <c r="K348" i="8"/>
  <c r="O305" i="8"/>
  <c r="K305" i="8"/>
  <c r="K311" i="8"/>
  <c r="O311" i="8"/>
  <c r="K92" i="8"/>
  <c r="O92" i="8"/>
  <c r="K146" i="8"/>
  <c r="O146" i="8"/>
  <c r="O131" i="8"/>
  <c r="K131" i="8"/>
  <c r="K211" i="8"/>
  <c r="O211" i="8"/>
  <c r="O38" i="8"/>
  <c r="K38" i="8"/>
  <c r="K218" i="8"/>
  <c r="O218" i="8"/>
  <c r="O264" i="8"/>
  <c r="K264" i="8"/>
  <c r="K127" i="8"/>
  <c r="O127" i="8"/>
  <c r="K16" i="8"/>
  <c r="O16" i="8"/>
  <c r="K288" i="8"/>
  <c r="O288" i="8"/>
  <c r="O15" i="8"/>
  <c r="K15" i="8"/>
  <c r="K363" i="8"/>
  <c r="O363" i="8"/>
  <c r="O41" i="8"/>
  <c r="K41" i="8"/>
  <c r="K400" i="8"/>
  <c r="O400" i="8"/>
  <c r="K100" i="8"/>
  <c r="O100" i="8"/>
  <c r="O98" i="8"/>
  <c r="K98" i="8"/>
  <c r="K258" i="8"/>
  <c r="O258" i="8"/>
  <c r="O93" i="8"/>
  <c r="K93" i="8"/>
  <c r="K184" i="8"/>
  <c r="O184" i="8"/>
  <c r="K214" i="8"/>
  <c r="O214" i="8"/>
  <c r="O126" i="8"/>
  <c r="K126" i="8"/>
  <c r="O336" i="8"/>
  <c r="K336" i="8"/>
  <c r="O53" i="8"/>
  <c r="K53" i="8"/>
  <c r="K266" i="8"/>
  <c r="O266" i="8"/>
  <c r="O457" i="8"/>
  <c r="K457" i="8"/>
  <c r="O320" i="8"/>
  <c r="K320" i="8"/>
  <c r="O13" i="8"/>
  <c r="K13" i="8"/>
  <c r="O213" i="8"/>
  <c r="K213" i="8"/>
  <c r="K330" i="8"/>
  <c r="O330" i="8"/>
  <c r="K228" i="8"/>
  <c r="O228" i="8"/>
  <c r="K22" i="8"/>
  <c r="O22" i="8"/>
  <c r="K438" i="8"/>
  <c r="O438" i="8"/>
  <c r="K315" i="8"/>
  <c r="O315" i="8"/>
  <c r="K325" i="8"/>
  <c r="O325" i="8"/>
  <c r="O304" i="8"/>
  <c r="K304" i="8"/>
  <c r="O241" i="8"/>
  <c r="K241" i="8"/>
  <c r="K73" i="8"/>
  <c r="O73" i="8"/>
  <c r="K307" i="8"/>
  <c r="O307" i="8"/>
  <c r="K143" i="8"/>
  <c r="O143" i="8"/>
  <c r="K6" i="8"/>
  <c r="O6" i="8"/>
  <c r="O415" i="8"/>
  <c r="K415" i="8"/>
  <c r="K34" i="8"/>
  <c r="O34" i="8"/>
  <c r="K118" i="8"/>
  <c r="O118" i="8"/>
  <c r="K346" i="8"/>
  <c r="O346" i="8"/>
  <c r="O335" i="8"/>
  <c r="K335" i="8"/>
  <c r="O429" i="8"/>
  <c r="K429" i="8"/>
  <c r="K223" i="8"/>
  <c r="O223" i="8"/>
  <c r="K377" i="8"/>
  <c r="O377" i="8"/>
  <c r="O206" i="8"/>
  <c r="K206" i="8"/>
  <c r="K123" i="8"/>
  <c r="O123" i="8"/>
  <c r="O5" i="8"/>
  <c r="K5" i="8"/>
  <c r="O96" i="8"/>
  <c r="K96" i="8"/>
  <c r="K357" i="8"/>
  <c r="O357" i="8"/>
  <c r="O267" i="8"/>
  <c r="K267" i="8"/>
  <c r="K289" i="8"/>
  <c r="O289" i="8"/>
  <c r="K459" i="8"/>
  <c r="O459" i="8"/>
  <c r="O199" i="8"/>
  <c r="K199" i="8"/>
  <c r="K456" i="8"/>
  <c r="O456" i="8"/>
  <c r="K354" i="8"/>
  <c r="O354" i="8"/>
  <c r="K70" i="8"/>
  <c r="O70" i="8"/>
  <c r="K471" i="8"/>
  <c r="O471" i="8"/>
  <c r="K369" i="8"/>
  <c r="O369" i="8"/>
  <c r="K107" i="8"/>
  <c r="O107" i="8"/>
  <c r="O394" i="8"/>
  <c r="K394" i="8"/>
  <c r="O265" i="8"/>
  <c r="K265" i="8"/>
  <c r="O432" i="8"/>
  <c r="K432" i="8"/>
  <c r="K113" i="8"/>
  <c r="O113" i="8"/>
  <c r="O99" i="8"/>
  <c r="K99" i="8"/>
  <c r="O29" i="8"/>
  <c r="K29" i="8"/>
  <c r="O470" i="8"/>
  <c r="K470" i="8"/>
  <c r="K247" i="8"/>
  <c r="O247" i="8"/>
  <c r="K233" i="8"/>
  <c r="O233" i="8"/>
  <c r="O102" i="8"/>
  <c r="K102" i="8"/>
  <c r="K180" i="8"/>
  <c r="O180" i="8"/>
  <c r="O361" i="8"/>
  <c r="K361" i="8"/>
  <c r="K399" i="8"/>
  <c r="O399" i="8"/>
  <c r="O170" i="8"/>
  <c r="K170" i="8"/>
  <c r="O476" i="8"/>
  <c r="K476" i="8"/>
  <c r="K144" i="8"/>
  <c r="O144" i="8"/>
  <c r="O308" i="8"/>
  <c r="K308" i="8"/>
  <c r="O282" i="8"/>
  <c r="K282" i="8"/>
  <c r="O418" i="8"/>
  <c r="K418" i="8"/>
  <c r="K209" i="8"/>
  <c r="O209" i="8"/>
  <c r="O428" i="8"/>
  <c r="K428" i="8"/>
  <c r="K198" i="8"/>
  <c r="O198" i="8"/>
  <c r="K467" i="8"/>
  <c r="O467" i="8"/>
  <c r="K63" i="8"/>
  <c r="O63" i="8"/>
  <c r="K443" i="8"/>
  <c r="O443" i="8"/>
  <c r="O44" i="8"/>
  <c r="K44" i="8"/>
  <c r="O62" i="8"/>
  <c r="K62" i="8"/>
  <c r="K132" i="8"/>
  <c r="O132" i="8"/>
  <c r="K404" i="8"/>
  <c r="O404" i="8"/>
  <c r="O237" i="8"/>
  <c r="K237" i="8"/>
  <c r="K57" i="8"/>
  <c r="O57" i="8"/>
  <c r="O172" i="8"/>
  <c r="K172" i="8"/>
  <c r="O380" i="8"/>
  <c r="K380" i="8"/>
  <c r="K69" i="8"/>
  <c r="O69" i="8"/>
  <c r="O135" i="8"/>
  <c r="K135" i="8"/>
  <c r="K469" i="8"/>
  <c r="O469" i="8"/>
  <c r="O235" i="8"/>
  <c r="K235" i="8"/>
  <c r="K86" i="8"/>
  <c r="O86" i="8"/>
  <c r="O295" i="8"/>
  <c r="K295" i="8"/>
  <c r="O148" i="8"/>
  <c r="K148" i="8"/>
  <c r="O122" i="8"/>
  <c r="K122" i="8"/>
  <c r="K89" i="8"/>
  <c r="O89" i="8"/>
  <c r="O59" i="8"/>
  <c r="K59" i="8"/>
  <c r="K176" i="8"/>
  <c r="O176" i="8"/>
  <c r="O451" i="8"/>
  <c r="K451" i="8"/>
  <c r="K24" i="8"/>
  <c r="O24" i="8"/>
  <c r="O383" i="8"/>
  <c r="K383" i="8"/>
  <c r="K157" i="8"/>
  <c r="O157" i="8"/>
  <c r="O286" i="8"/>
  <c r="K286" i="8"/>
  <c r="O166" i="8"/>
  <c r="K166" i="8"/>
  <c r="O65" i="8"/>
  <c r="K65" i="8"/>
  <c r="K414" i="8"/>
  <c r="O414" i="8"/>
  <c r="O460" i="8"/>
  <c r="K460" i="8"/>
  <c r="K411" i="8"/>
  <c r="O411" i="8"/>
  <c r="O408" i="8"/>
  <c r="K408" i="8"/>
  <c r="O244" i="8"/>
  <c r="K244" i="8"/>
  <c r="O117" i="8"/>
  <c r="K117" i="8"/>
  <c r="K50" i="8"/>
  <c r="O50" i="8"/>
  <c r="O423" i="8"/>
  <c r="K423" i="8"/>
  <c r="O91" i="8"/>
  <c r="K91" i="8"/>
  <c r="O350" i="8"/>
  <c r="K350" i="8"/>
  <c r="K33" i="8"/>
  <c r="O33" i="8"/>
  <c r="K243" i="8"/>
  <c r="O243" i="8"/>
  <c r="O462" i="8"/>
  <c r="K462" i="8"/>
  <c r="O28" i="8"/>
  <c r="K28" i="8"/>
  <c r="O125" i="8"/>
  <c r="K125" i="8"/>
  <c r="O362" i="8"/>
  <c r="K362" i="8"/>
  <c r="O427" i="8"/>
  <c r="K427" i="8"/>
  <c r="O30" i="8"/>
  <c r="K30" i="8"/>
  <c r="O196" i="8"/>
  <c r="K196"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tc={F28E6486-BE81-4346-B356-DF63E45B68E9}</author>
    <author/>
  </authors>
  <commentList>
    <comment ref="F23" authorId="0" shapeId="0" xr:uid="{F28E6486-BE81-4346-B356-DF63E45B68E9}">
      <text>
        <t>[Threaded comment]
Your version of Excel allows you to read this threaded comment; however, any edits to it will get removed if the file is opened in a newer version of Excel. Learn more: https://go.microsoft.com/fwlink/?linkid=870924
[Tasks]
There is a task anchored to this comment that cannot be viewed in your client.
Comment:
    @Ke Wan  please review this update (I added the row with AccountStrategyName)  which is the change to allow the Account-level Strategy to be added to the Portfolio Overview and Statement of Changes reports in Sprint 9. The field is already in the DB and added to Im.Account.  Fady is coding the changes to the 2 services that power the reports this week.
Reply:
    @Robert Lynch CI change looks good. Thanks Rob.</t>
      </text>
    </comment>
    <comment ref="Q49" authorId="1" shapeId="0" xr:uid="{00000000-0006-0000-0800-000004000000}">
      <text>
        <r>
          <rPr>
            <sz val="10"/>
            <color rgb="FF000000"/>
            <rFont val="Arial"/>
            <family val="2"/>
          </rPr>
          <t>======
ID#AAAAD-NxWjM
Tania Ranguelova    (2019-11-27 21:01:49)
+ayempada@investcloud.com Aravina, can you please make change, thank you!
_Assigned to Aravinda Yempada_</t>
        </r>
      </text>
    </comment>
    <comment ref="E52" authorId="1" shapeId="0" xr:uid="{00000000-0006-0000-0800-000003000000}">
      <text>
        <r>
          <rPr>
            <sz val="10"/>
            <color rgb="FF000000"/>
            <rFont val="Arial"/>
            <family val="2"/>
          </rPr>
          <t>======
ID#AAAAJLOkoD8
Asaf Shkalim    (2020-03-04 21:12:53)
+ayempada@investcloud.com make the Classification2 value propagate from the MQMA shell to the GREEN IC account record's Classification2 field.
------
ID#AAAAJLOkoEA
Asaf Shkalim    (2020-03-04 21:13:02)
+ayempada@investcloud.com
------
ID#AAAAJLDHCig
Asaf Shkalim    (2020-03-05 12:19:49)
+ayempada@investcloud.com   We want to propagate CLASSIFICATION2, not CLASSIFICATION1, i've updated the highlighted row.</t>
        </r>
      </text>
    </comment>
    <comment ref="H88" authorId="1" shapeId="0" xr:uid="{00000000-0006-0000-0800-000002000000}">
      <text>
        <r>
          <rPr>
            <sz val="10"/>
            <color rgb="FF000000"/>
            <rFont val="Arial"/>
            <family val="2"/>
          </rPr>
          <t>======
ID#AAAAGes-aOc
Asaf Shkalim    (2020-05-04 18:05:38)
+ayempada@investcloud.com
_Assigned to Aravinda Yempada_</t>
        </r>
      </text>
    </comment>
    <comment ref="P93" authorId="1" shapeId="0" xr:uid="{00000000-0006-0000-0800-000005000000}">
      <text>
        <r>
          <rPr>
            <sz val="10"/>
            <color rgb="FF000000"/>
            <rFont val="Arial"/>
            <family val="2"/>
          </rPr>
          <t>======
ID#AAAAD4XRc1s
Abbas Moosavi    (2019-10-28 15:53:22)
+phua@investcloud.com 
+ayempada@investcloud.com 
please make the following changes
_Assigned to Aravinda Yempada_</t>
        </r>
      </text>
    </comment>
    <comment ref="P97" authorId="1" shapeId="0" xr:uid="{00000000-0006-0000-0800-000006000000}">
      <text>
        <r>
          <rPr>
            <sz val="10"/>
            <color rgb="FF000000"/>
            <rFont val="Arial"/>
            <family val="2"/>
          </rPr>
          <t>======
ID#AAAAD4XRc1k
Abbas Moosavi    (2019-10-28 15:52:59)
+ayempada@investcloud.com 
+phua@investcloud.com 
please make the following changes
_Assigned to Aravinda Yempada_</t>
        </r>
      </text>
    </comment>
    <comment ref="Q102" authorId="1" shapeId="0" xr:uid="{00000000-0006-0000-0800-000001000000}">
      <text>
        <r>
          <rPr>
            <sz val="10"/>
            <color rgb="FF000000"/>
            <rFont val="Arial"/>
            <family val="2"/>
          </rPr>
          <t>======
ID#AAAAKRjAjn4
Joshua Wykell    (2020-09-21 16:22:50)
@rnewman@investcloud.com Both this and altsystemid3 have similar logic. It's not clear to me what the link is between accountplus and accountinfo and mqma here.
_Assigned to Roger Newman_</t>
        </r>
      </text>
    </comment>
  </commentList>
  <extLst>
    <ext xmlns:r="http://schemas.openxmlformats.org/officeDocument/2006/relationships" uri="GoogleSheetsCustomDataVersion1">
      <go:sheetsCustomData xmlns:go="http://customooxmlschemas.google.com/" r:id="rId1" roundtripDataSignature="AMtx7mixWYFQBaQNWDyAM3bNpoHqiQjRpA=="/>
    </ext>
  </extL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P98" authorId="0" shapeId="0" xr:uid="{00000000-0006-0000-0E00-000001000000}">
      <text>
        <r>
          <rPr>
            <sz val="10"/>
            <color rgb="FF000000"/>
            <rFont val="Arial"/>
            <family val="2"/>
          </rPr>
          <t>======
ID#AAAADNvaLSo
Robert Lynch    (2019-07-05 22:05:43)
+tsanderson@investcloud.com for accounts and account groups, this needs to be AccountFriendlyName and AccountGroupSecureDescription, so that we can use this column uniformly on reports.  "Total Portfolio" should be logic on the BIRT reports, because later when they want a report to show Account Group at the Total then Accounts, we will have to program logic around this requirement.
cc: +jjensen@investcloud.com +kwan@investcloud.com +hshojasadati@investcloud.com +jnicholls@investcloud.com
_Assigned to Deleted user_</t>
        </r>
      </text>
    </comment>
  </commentList>
  <extLst>
    <ext xmlns:r="http://schemas.openxmlformats.org/officeDocument/2006/relationships" uri="GoogleSheetsCustomDataVersion1">
      <go:sheetsCustomData xmlns:go="http://customooxmlschemas.google.com/" r:id="rId1" roundtripDataSignature="AMtx7mg3dJP65DMJ35X/HngFa5QpnbItUg=="/>
    </ext>
  </extL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I90" authorId="0" shapeId="0" xr:uid="{00000000-0006-0000-1000-000002000000}">
      <text>
        <r>
          <rPr>
            <sz val="10"/>
            <color rgb="FF000000"/>
            <rFont val="Arial"/>
            <family val="2"/>
          </rPr>
          <t>======
ID#AAAAD2vtV6w
Joshua Wykell    (2019-10-15 20:43:43)
+tranguelova@investcloud.com Where are the input mappings?
------
ID#AAAAD20ShP0
Tania Ranguelova    (2019-10-15 22:43:53)
Updated, thank you!</t>
        </r>
      </text>
    </comment>
    <comment ref="I133" authorId="0" shapeId="0" xr:uid="{00000000-0006-0000-1000-000001000000}">
      <text>
        <r>
          <rPr>
            <sz val="10"/>
            <color rgb="FF000000"/>
            <rFont val="Arial"/>
            <family val="2"/>
          </rPr>
          <t>======
ID#AAAAD2tQ5Jg
Joshua Wykell    (2019-10-16 13:55:03)
+tranguelova@investcloud.com Based on your sample file this should have a comment saying that the date will be in the 'MM/dd/YYYY' format and will need to be converted to ISO
_Assigned to Tania Ranguelova_</t>
        </r>
      </text>
    </comment>
  </commentList>
  <extLst>
    <ext xmlns:r="http://schemas.openxmlformats.org/officeDocument/2006/relationships" uri="GoogleSheetsCustomDataVersion1">
      <go:sheetsCustomData xmlns:go="http://customooxmlschemas.google.com/" r:id="rId1" roundtripDataSignature="AMtx7mhetSP/QmL+6wXYb/7LmzDWgJwmDg=="/>
    </ext>
  </extL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s>
  <commentList>
    <comment ref="Q50" authorId="0" shapeId="0" xr:uid="{F6B5D6F3-3FE9-4B73-9F9E-1645713B507E}">
      <text>
        <r>
          <rPr>
            <sz val="10"/>
            <color rgb="FF000000"/>
            <rFont val="Arial"/>
            <family val="2"/>
          </rPr>
          <t>======
ID#AAAAD-NxWjM
Tania Ranguelova    (2019-11-27 21:01:49)
+ayempada@investcloud.com Aravina, can you please make change, thank you!
_Assigned to Aravinda Yempada_</t>
        </r>
      </text>
    </comment>
    <comment ref="E53" authorId="0" shapeId="0" xr:uid="{9F5D8F7B-468E-4E06-BAD7-0FBD4341AC79}">
      <text>
        <r>
          <rPr>
            <sz val="10"/>
            <color rgb="FF000000"/>
            <rFont val="Arial"/>
            <family val="2"/>
          </rPr>
          <t>======
ID#AAAAJLOkoD8
Asaf Shkalim    (2020-03-04 21:12:53)
+ayempada@investcloud.com make the Classification2 value propagate from the MQMA shell to the GREEN IC account record's Classification2 field.
------
ID#AAAAJLOkoEA
Asaf Shkalim    (2020-03-04 21:13:02)
+ayempada@investcloud.com
------
ID#AAAAJLDHCig
Asaf Shkalim    (2020-03-05 12:19:49)
+ayempada@investcloud.com   We want to propagate CLASSIFICATION2, not CLASSIFICATION1, i've updated the highlighted row.</t>
        </r>
      </text>
    </comment>
    <comment ref="P74" authorId="0" shapeId="0" xr:uid="{1052C1B9-ABD4-45DB-B13D-2B231173FECB}">
      <text>
        <r>
          <rPr>
            <sz val="10"/>
            <color rgb="FF000000"/>
            <rFont val="Arial"/>
            <family val="2"/>
          </rPr>
          <t>======
ID#AAAAD4XRc1s
Abbas Moosavi    (2019-10-28 15:53:22)
+phua@investcloud.com 
+ayempada@investcloud.com 
please make the following changes
_Assigned to Aravinda Yempada_</t>
        </r>
      </text>
    </comment>
    <comment ref="P75" authorId="0" shapeId="0" xr:uid="{F1E6619C-B2AA-4E57-BE53-73F68092CF2B}">
      <text>
        <r>
          <rPr>
            <sz val="10"/>
            <color rgb="FF000000"/>
            <rFont val="Arial"/>
            <family val="2"/>
          </rPr>
          <t>======
ID#AAAAD4XRc1k
Abbas Moosavi    (2019-10-28 15:52:59)
+ayempada@investcloud.com 
+phua@investcloud.com 
please make the following changes
_Assigned to Aravinda Yempada_</t>
        </r>
      </text>
    </comment>
    <comment ref="H88" authorId="0" shapeId="0" xr:uid="{A54CC244-F685-48A7-A29E-6F3B289B84A1}">
      <text>
        <r>
          <rPr>
            <sz val="10"/>
            <color rgb="FF000000"/>
            <rFont val="Arial"/>
            <family val="2"/>
          </rPr>
          <t>======
ID#AAAAGes-aOc
Asaf Shkalim    (2020-05-04 18:05:38)
+ayempada@investcloud.com
_Assigned to Aravinda Yempada_</t>
        </r>
      </text>
    </comment>
    <comment ref="Q97" authorId="0" shapeId="0" xr:uid="{5720361D-4BA7-48E8-95FA-723EC5B31B2A}">
      <text>
        <r>
          <rPr>
            <sz val="10"/>
            <color rgb="FF000000"/>
            <rFont val="Arial"/>
            <family val="2"/>
          </rPr>
          <t>======
ID#AAAAKRjAjn4
Joshua Wykell    (2020-09-21 16:22:50)
@rnewman@investcloud.com Both this and altsystemid3 have similar logic. It's not clear to me what the link is between accountplus and accountinfo and mqma here.
_Assigned to Roger Newman_</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
  </authors>
  <commentList>
    <comment ref="Q50" authorId="0" shapeId="0" xr:uid="{8E8FF140-292B-4A28-BB5D-6A632F18784F}">
      <text>
        <r>
          <rPr>
            <sz val="10"/>
            <color rgb="FF000000"/>
            <rFont val="Arial"/>
            <family val="2"/>
          </rPr>
          <t>======
ID#AAAAD-NxWjM
Tania Ranguelova    (2019-11-27 21:01:49)
+ayempada@investcloud.com Aravina, can you please make change, thank you!
_Assigned to Aravinda Yempada_</t>
        </r>
      </text>
    </comment>
    <comment ref="E53" authorId="0" shapeId="0" xr:uid="{8D758D5D-442D-43CD-85BC-9506AF965DA9}">
      <text>
        <r>
          <rPr>
            <sz val="10"/>
            <color rgb="FF000000"/>
            <rFont val="Arial"/>
            <family val="2"/>
          </rPr>
          <t>======
ID#AAAAJLOkoD8
Asaf Shkalim    (2020-03-04 21:12:53)
+ayempada@investcloud.com make the Classification2 value propagate from the MQMA shell to the GREEN IC account record's Classification2 field.
------
ID#AAAAJLOkoEA
Asaf Shkalim    (2020-03-04 21:13:02)
+ayempada@investcloud.com
------
ID#AAAAJLDHCig
Asaf Shkalim    (2020-03-05 12:19:49)
+ayempada@investcloud.com   We want to propagate CLASSIFICATION2, not CLASSIFICATION1, i've updated the highlighted row.</t>
        </r>
      </text>
    </comment>
    <comment ref="P74" authorId="0" shapeId="0" xr:uid="{63224997-29F2-4257-8194-F18AF9C45AB0}">
      <text>
        <r>
          <rPr>
            <sz val="10"/>
            <color rgb="FF000000"/>
            <rFont val="Arial"/>
            <family val="2"/>
          </rPr>
          <t>======
ID#AAAAD4XRc1s
Abbas Moosavi    (2019-10-28 15:53:22)
+phua@investcloud.com 
+ayempada@investcloud.com 
please make the following changes
_Assigned to Aravinda Yempada_</t>
        </r>
      </text>
    </comment>
    <comment ref="P75" authorId="0" shapeId="0" xr:uid="{0F373A1E-C060-4D9C-A207-E763865C0AA5}">
      <text>
        <r>
          <rPr>
            <sz val="10"/>
            <color rgb="FF000000"/>
            <rFont val="Arial"/>
            <family val="2"/>
          </rPr>
          <t>======
ID#AAAAD4XRc1k
Abbas Moosavi    (2019-10-28 15:52:59)
+ayempada@investcloud.com 
+phua@investcloud.com 
please make the following changes
_Assigned to Aravinda Yempada_</t>
        </r>
      </text>
    </comment>
    <comment ref="H88" authorId="0" shapeId="0" xr:uid="{7440674A-8355-4F90-BA62-EA6B8EFE164E}">
      <text>
        <r>
          <rPr>
            <sz val="10"/>
            <color rgb="FF000000"/>
            <rFont val="Arial"/>
            <family val="2"/>
          </rPr>
          <t>======
ID#AAAAGes-aOc
Asaf Shkalim    (2020-05-04 18:05:38)
+ayempada@investcloud.com
_Assigned to Aravinda Yempada_</t>
        </r>
      </text>
    </comment>
    <comment ref="Q97" authorId="0" shapeId="0" xr:uid="{D2520E78-2A72-43EC-956C-07D2643D0D03}">
      <text>
        <r>
          <rPr>
            <sz val="10"/>
            <color rgb="FF000000"/>
            <rFont val="Arial"/>
            <family val="2"/>
          </rPr>
          <t>======
ID#AAAAKRjAjn4
Joshua Wykell    (2020-09-21 16:22:50)
@rnewman@investcloud.com Both this and altsystemid3 have similar logic. It's not clear to me what the link is between accountplus and accountinfo and mqma here.
_Assigned to Roger Newman_</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<sst xmlns="http://schemas.openxmlformats.org/spreadsheetml/2006/main" count="43537" uniqueCount="6023">
  <si>
    <t>Cance</t>
  </si>
  <si>
    <t>Date</t>
  </si>
  <si>
    <t xml:space="preserve">Comments </t>
  </si>
  <si>
    <t>Author</t>
  </si>
  <si>
    <t>v0.5</t>
  </si>
  <si>
    <t>Updated ACCOUNT Tab to include (1 change USERDEFINEDDATE1). 
Highlighted - PLL tab to include 17 add'l fields based on the Unregestered Alts PDD-10).</t>
  </si>
  <si>
    <t>J. Riquelme</t>
  </si>
  <si>
    <t>v0.6</t>
  </si>
  <si>
    <t xml:space="preserve">Updated PLL TRX , Perfsummary, BM, BM Associations, FM &amp; POI based on discussions with IC.  Please see inidividual tabs or the MasterfieldCImappingsheet for list of fields updated.  
</t>
  </si>
  <si>
    <t>v0.7</t>
  </si>
  <si>
    <t xml:space="preserve">Updated Benchmark &amp; Family Tabs.  No impact to IC. These were informational changes on NB end only. </t>
  </si>
  <si>
    <t>v0.71</t>
  </si>
  <si>
    <t>IC added 2 additional columns to the Account &amp; PLL CI tab to include the mapping to the Portal fields as needed for QA data validation</t>
  </si>
  <si>
    <t>R. Price</t>
  </si>
  <si>
    <t>v0.8</t>
  </si>
  <si>
    <t xml:space="preserve">Per agreement with IC renamed file v0.8 to follow numbering.  Also, based on confirm from IC we updated the Transactions tab to map custodianreference &amp; txnclassificationlevel 1 as they requested.  Lastly corrected typo in PerfSummary tab (sharperatio was mispelled as previously). </t>
  </si>
  <si>
    <t>v0.9</t>
  </si>
  <si>
    <t xml:space="preserve">Updated PLL &amp; TRX tabs to include altsecid3 to pass classifierid to solve for issue#249.  Also updated comments in the PERFSUMMARY Tab to change logic in etl to pass AGSTYPE instead of "Account Group" when sending perf for the Account Group Level.  Lastly updated comments in the ACCOUNT tab to show that on the IC side will have USERDEFINEDID1 mapped to ACCOUNTOPENDATE because their business logic expects Account Inception date to be passed in that field and they have mapped our ACCOUNTOPENDATE to a Userdefinedid1 field since it's not being leveraged in their current business logic.  Any changes will need to be addressed post 1a. </t>
  </si>
  <si>
    <t>v1.0</t>
  </si>
  <si>
    <t>Updated PLL &amp; TRX tabs to include changes to altsecid3 and added altsecid2, strategycode and strategyname as these will be required for additonal reporting</t>
  </si>
  <si>
    <t>v1.1</t>
  </si>
  <si>
    <t xml:space="preserve">Updated Performance Summary Layout to include ACL1-3 based on request from IC. </t>
  </si>
  <si>
    <t>v1.2</t>
  </si>
  <si>
    <t>Updated ACCOUNT Tab to include changes from Spec review for Account Group Automation.
Updated PLL tab to include changes from Spec review for Unregistered Alts.
Updated SMCommon Tab to include logic required for ETL. 
Updated Benchmark Association Tab to include logic required for ETL.</t>
  </si>
  <si>
    <t>T. Sanderson</t>
  </si>
  <si>
    <t>v.2.1</t>
  </si>
  <si>
    <t>6/26//2019</t>
  </si>
  <si>
    <t>Removed ClassifierID and ClassifierType from the Benchmark Association table.</t>
  </si>
  <si>
    <t>Profit and Loss Lite Table: Removed BOOKALTSESTVALUEPERIODEND
Transactions Table: Added field: MANAGED
Benchmark Table: Changed requirement for CONTRIBUTIONITDUNITVALUE to Project Required. Added new CONTRIBUTIONPREVIOUSYEAR.</t>
  </si>
  <si>
    <t>Transactions: Removed BOOKREALIZEDGL from "net new" fields.</t>
  </si>
  <si>
    <t>v2.1</t>
  </si>
  <si>
    <t>CodeSetSecure: Added Mapping for CodeSetSecure (Benchmark List)
PerfSummary: Added expected file to include PERFAGG_SI 
Benchmark: Added expected file to include BM_NONSTD_SI</t>
  </si>
  <si>
    <t>Account: Denoted fields reserved for Jupiter project functionality. 
PerformanceSummary: Added mapping info for CONTRIBUTIONPREVIOUSYEAR
BenchmarkDaily: Added mapping for BOOKTWRPREVIOUSYEAR</t>
  </si>
  <si>
    <t>BenchmarkDaily: Added notes in SECURITYMASTERFID</t>
  </si>
  <si>
    <t>Transactions: Added logic for TXNClassificationLevel1. (Cell G1)</t>
  </si>
  <si>
    <t>Profit and Loss Lite: Added note on PLLALT_ME_ files.</t>
  </si>
  <si>
    <t>PNLLite &amp; Transaction: Added mapping for AltSecId1 and StrategyCode2</t>
  </si>
  <si>
    <t>Transaction: Added note to load files independently and in sequence rather than merged.</t>
  </si>
  <si>
    <t>Addeed Legal State to FamilyMember, Jupiter functionality(pending ETL change)</t>
  </si>
  <si>
    <t>T.Ranguelova</t>
  </si>
  <si>
    <t>Updated Benchmark and Account tab for Jupiter Benchmarks.  
 - For Benchmark, the CUSIP is now mapped to the benchmark TICKER
 - For Account, the PerfBeginDate recieved a mapping/logic</t>
  </si>
  <si>
    <t>A.Shkalim</t>
  </si>
  <si>
    <t>Profit and Loss Lite: Changed inbound month end file names to PLLME_*.txt and PLLALTME_*.txt.</t>
  </si>
  <si>
    <t>T Sanderson</t>
  </si>
  <si>
    <t>Place all available field and file names into AvailableFieldStatus</t>
  </si>
  <si>
    <t>Open Items</t>
  </si>
  <si>
    <t>#</t>
  </si>
  <si>
    <t>Description</t>
  </si>
  <si>
    <t>InvestCloud Response</t>
  </si>
  <si>
    <t>Client Response</t>
  </si>
  <si>
    <t>Status</t>
  </si>
  <si>
    <t>Resolved?</t>
  </si>
  <si>
    <t>Note 1: Required Field Definitions</t>
  </si>
  <si>
    <t>Generated</t>
  </si>
  <si>
    <t>System-generated field value automatically by InvestCloud. No mapping required</t>
  </si>
  <si>
    <t>Optional</t>
  </si>
  <si>
    <t>Mapping not required. Should be mapped if data is available.</t>
  </si>
  <si>
    <t>Calculated</t>
  </si>
  <si>
    <t>Business field that is calculated by InvestCloud. Do not Map</t>
  </si>
  <si>
    <t>Optional-Recommended</t>
  </si>
  <si>
    <t>Optional, but commonly used for reporting and portal views</t>
  </si>
  <si>
    <t>Required</t>
  </si>
  <si>
    <t>Mandatory Field. Must be mapped</t>
  </si>
  <si>
    <t>Configured</t>
  </si>
  <si>
    <t>Value defined by the ETL process or configured by InvestCloud. Special logic may need to be defined.</t>
  </si>
  <si>
    <t>Note 2: Lookup via 5.SMCOMMON / 6.SMFIXEDINCOME</t>
  </si>
  <si>
    <t>Option 1</t>
  </si>
  <si>
    <t>Client requests that InvestCloud load the value provided/mapped in this file as specified.</t>
  </si>
  <si>
    <t>Option 2</t>
  </si>
  <si>
    <t>Client requests that InvestCloud perform a lookup (using ENTERPRISESYMBOL) and populate this value from the value in the respective field supplied in 5.SMCOMMON or 6.SMFIXEDINCOME from the record with the same ENTERPRISE SYMBOL. FOR ALL RECORDS</t>
  </si>
  <si>
    <t>Option 3</t>
  </si>
  <si>
    <t>Client requests that InvestCloud perform a lookup (using ENTERPRISESYMBOL) and populate this value from the value in the respective field supplied in 5.SMCOMMON or 6.SMFIXEDINCOME from the record with the same ENTERPRISE SYMBOL. FOR RECORDS WHERE THE VALUE IS BLANK OR NULL</t>
  </si>
  <si>
    <t>Option 4</t>
  </si>
  <si>
    <t xml:space="preserve">Do not map/load.  </t>
  </si>
  <si>
    <t>Full / Delta</t>
  </si>
  <si>
    <t>Account</t>
  </si>
  <si>
    <t>Full</t>
  </si>
  <si>
    <t>PL Lite</t>
  </si>
  <si>
    <t>Deltas</t>
  </si>
  <si>
    <t>Transactions</t>
  </si>
  <si>
    <t>Performance</t>
  </si>
  <si>
    <t>Benchmark</t>
  </si>
  <si>
    <t>Benchmark Assn</t>
  </si>
  <si>
    <t>Industry (Benchmarks by Sector)</t>
  </si>
  <si>
    <t>Family</t>
  </si>
  <si>
    <t>Family Member</t>
  </si>
  <si>
    <t>Family Member to Account</t>
  </si>
  <si>
    <t>POI</t>
  </si>
  <si>
    <t>POI to account</t>
  </si>
  <si>
    <t>Users</t>
  </si>
  <si>
    <t>User to Account</t>
  </si>
  <si>
    <t>User to Client Role</t>
  </si>
  <si>
    <t>Account Group Secure</t>
  </si>
  <si>
    <t>Party of Interest</t>
  </si>
  <si>
    <t>Model Portfolio</t>
  </si>
  <si>
    <t>Model Portfolio Holding</t>
  </si>
  <si>
    <t>Full:</t>
  </si>
  <si>
    <t>This is recommended when the database behaves such that new records are created and existing records are updated.</t>
  </si>
  <si>
    <t>Delta:</t>
  </si>
  <si>
    <t>This is recommended when the database behaves such that all records are considered new and are written to the database. Delta files should be a snapshot of how the data looks on a given day.</t>
  </si>
  <si>
    <t>FileName or Source</t>
  </si>
  <si>
    <t>Field Name</t>
  </si>
  <si>
    <t>Field Type</t>
  </si>
  <si>
    <t>Field Definition</t>
  </si>
  <si>
    <t>SourceField Detail Reference</t>
  </si>
  <si>
    <t>Comment</t>
  </si>
  <si>
    <t>Is Mapped</t>
  </si>
  <si>
    <t>Custom Client Mappings</t>
  </si>
  <si>
    <t>Used</t>
  </si>
  <si>
    <t>Client Data Mapping</t>
  </si>
  <si>
    <t>Comments</t>
  </si>
  <si>
    <t>Note</t>
  </si>
  <si>
    <t>Sample Data</t>
  </si>
  <si>
    <t>Definition</t>
  </si>
  <si>
    <t>1. ACCOUNT</t>
  </si>
  <si>
    <t>ACCOUNTFRIENDLYNAME</t>
  </si>
  <si>
    <t>ACCOUNTNAME</t>
  </si>
  <si>
    <t>ACCOUNTNUMBER</t>
  </si>
  <si>
    <t>ACCOUNTSHORTNAME</t>
  </si>
  <si>
    <t>ACCOUNTSTATE</t>
  </si>
  <si>
    <t>BOOKCCY</t>
  </si>
  <si>
    <t>2. PROFITLOSSLITE</t>
  </si>
  <si>
    <t>TENANTNAME</t>
  </si>
  <si>
    <t>TENANTID</t>
  </si>
  <si>
    <t>ID</t>
  </si>
  <si>
    <t>BE_ASOF</t>
  </si>
  <si>
    <t>ENTERPRISESYMBOL</t>
  </si>
  <si>
    <t>3. PROFITLOSS</t>
  </si>
  <si>
    <t>LSINDICATOR</t>
  </si>
  <si>
    <t>LOCALCCY</t>
  </si>
  <si>
    <t>4. TRANSACTIONS</t>
  </si>
  <si>
    <t>BOOKAMOUNT</t>
  </si>
  <si>
    <t>BOOKNETCASH</t>
  </si>
  <si>
    <t>BOOKPRICE</t>
  </si>
  <si>
    <t>BOOKREALIZEDGL</t>
  </si>
  <si>
    <t>EVENTCODE</t>
  </si>
  <si>
    <t>EVENTDATE</t>
  </si>
  <si>
    <t>EVENTTYPE</t>
  </si>
  <si>
    <t>FACCOUNTREFERENCE</t>
  </si>
  <si>
    <t>FOREIGNTRANSACTIONKEY</t>
  </si>
  <si>
    <t>LOCALAMOUNT</t>
  </si>
  <si>
    <t>LOCALNETCASH</t>
  </si>
  <si>
    <t>LOCALPRICE</t>
  </si>
  <si>
    <t>LOCALREALIZEDGL</t>
  </si>
  <si>
    <t>QUANTITY</t>
  </si>
  <si>
    <t>SETTLEMENTCCY</t>
  </si>
  <si>
    <t>STANDARDTRADEFLAG</t>
  </si>
  <si>
    <t>TAXLOTREFERENCE</t>
  </si>
  <si>
    <t>TRADEDATE</t>
  </si>
  <si>
    <t>EVENTDESCCODE</t>
  </si>
  <si>
    <t>ASSETCLASSLEVEL1</t>
  </si>
  <si>
    <t>SECURITYSECTORLEVEL1</t>
  </si>
  <si>
    <t>PRIMARYSECURITYSYMBOL</t>
  </si>
  <si>
    <t>SECURITYDESCRIPTION</t>
  </si>
  <si>
    <t>5. SMCOMMON</t>
  </si>
  <si>
    <t>LOCALCCYOFTRADING</t>
  </si>
  <si>
    <t>PRICECURRENCY</t>
  </si>
  <si>
    <t>SECURITYNAME</t>
  </si>
  <si>
    <t>SECURITYTYPE</t>
  </si>
  <si>
    <t>7a. PERFSUMMARY</t>
  </si>
  <si>
    <t>FUNDSHORTNAME</t>
  </si>
  <si>
    <t>CLASSIFIERNAME</t>
  </si>
  <si>
    <t>CLASSIFIERTYPE</t>
  </si>
  <si>
    <t>PERIODBEGINDATE</t>
  </si>
  <si>
    <t>PERIODENDDATE</t>
  </si>
  <si>
    <t>RECORDTYPEIDENTIFIER</t>
  </si>
  <si>
    <t>9. FAMILY</t>
  </si>
  <si>
    <t>FAMILYNAME</t>
  </si>
  <si>
    <t>FAMILYCODE</t>
  </si>
  <si>
    <t>GROUPCODE</t>
  </si>
  <si>
    <t>ACCOUNTGROUPSECURESHORTNAME</t>
  </si>
  <si>
    <t>10. FAMILYMEMBER</t>
  </si>
  <si>
    <t>FAMILY</t>
  </si>
  <si>
    <t>FAMILYMEMBERCODE</t>
  </si>
  <si>
    <t>FULLNAME</t>
  </si>
  <si>
    <t>11.FAMILYMEMBER to ACCOUNT</t>
  </si>
  <si>
    <t>12.FAMILY to ACCOUNTGROUPSECURE</t>
  </si>
  <si>
    <t>13. AccountGroupSecure</t>
  </si>
  <si>
    <t>ACCOUNTGROUPSECUREDESCRIPTION</t>
  </si>
  <si>
    <t>ACCOUNTGROUPSECURENAME</t>
  </si>
  <si>
    <t>ACCOUNTGROUPSECURETYPE</t>
  </si>
  <si>
    <t>Security Types</t>
  </si>
  <si>
    <t>Code</t>
  </si>
  <si>
    <t xml:space="preserve">Type </t>
  </si>
  <si>
    <t>EQ</t>
  </si>
  <si>
    <t xml:space="preserve">Equities </t>
  </si>
  <si>
    <t xml:space="preserve">Common stocks, preferred stocks, rights, warrants </t>
  </si>
  <si>
    <t>FI</t>
  </si>
  <si>
    <t xml:space="preserve">Fixed Income </t>
  </si>
  <si>
    <t xml:space="preserve">Treasury bonds, treasury notes, corporate bonds, municipal bonds, notes, zeros coupon bonds, fixed annuities </t>
  </si>
  <si>
    <t>TB</t>
  </si>
  <si>
    <t xml:space="preserve">T-Bills </t>
  </si>
  <si>
    <t xml:space="preserve">Treasury bills </t>
  </si>
  <si>
    <t>MU</t>
  </si>
  <si>
    <t xml:space="preserve">Mutual Funds </t>
  </si>
  <si>
    <t xml:space="preserve">Mutual funds (except money market mutual funds), closed-end funds </t>
  </si>
  <si>
    <t>CD</t>
  </si>
  <si>
    <t xml:space="preserve">CDs </t>
  </si>
  <si>
    <t xml:space="preserve">Certificates of deposit, interest-bearing commercial paper </t>
  </si>
  <si>
    <t>CP</t>
  </si>
  <si>
    <t xml:space="preserve">Commercial Paper </t>
  </si>
  <si>
    <t xml:space="preserve">Discounted commercial paper </t>
  </si>
  <si>
    <t>OP</t>
  </si>
  <si>
    <t xml:space="preserve">Options </t>
  </si>
  <si>
    <t xml:space="preserve">Option calls and puts, but not futures </t>
  </si>
  <si>
    <t>UT</t>
  </si>
  <si>
    <t xml:space="preserve">Unit Trusts </t>
  </si>
  <si>
    <t xml:space="preserve">Unit investment trusts, including GNMA unit trusts </t>
  </si>
  <si>
    <t>MB</t>
  </si>
  <si>
    <t xml:space="preserve">Mortgage- Backed </t>
  </si>
  <si>
    <t xml:space="preserve">GNMA, FHLMC, and FNMA mortgage pass-through securities, CMOs </t>
  </si>
  <si>
    <t>OT</t>
  </si>
  <si>
    <t xml:space="preserve">User-Defined </t>
  </si>
  <si>
    <t xml:space="preserve">Limited partnerships, insurance, variable annuities, real estate, REITs </t>
  </si>
  <si>
    <t>MF</t>
  </si>
  <si>
    <t xml:space="preserve">Money Funds </t>
  </si>
  <si>
    <t xml:space="preserve">Money market mutual funds, bank money funds </t>
  </si>
  <si>
    <t>IN</t>
  </si>
  <si>
    <t>Index</t>
  </si>
  <si>
    <t>'User Defined'</t>
  </si>
  <si>
    <t>all others</t>
  </si>
  <si>
    <t>I = J</t>
  </si>
  <si>
    <t>J = N</t>
  </si>
  <si>
    <t>CI Tab</t>
  </si>
  <si>
    <t>Required Field</t>
  </si>
  <si>
    <t>Name</t>
  </si>
  <si>
    <t>Type</t>
  </si>
  <si>
    <t>Nullable?</t>
  </si>
  <si>
    <t>Col#</t>
  </si>
  <si>
    <t>NBDD Vdate</t>
  </si>
  <si>
    <r>
      <rPr>
        <sz val="10"/>
        <color rgb="FF000000"/>
        <rFont val="Arial"/>
        <family val="2"/>
      </rPr>
      <t>IC ETL Mapping (</t>
    </r>
    <r>
      <rPr>
        <b/>
        <sz val="10"/>
        <color rgb="FF000000"/>
        <rFont val="Arial"/>
        <family val="2"/>
      </rPr>
      <t>NB Data Dictionary v1.0</t>
    </r>
    <r>
      <rPr>
        <sz val="10"/>
        <color rgb="FF000000"/>
        <rFont val="Arial"/>
        <family val="2"/>
      </rPr>
      <t>)</t>
    </r>
  </si>
  <si>
    <t>NB Field Map Name</t>
  </si>
  <si>
    <t>IC ETL/ NB Map?</t>
  </si>
  <si>
    <t>Comments on Mismatch</t>
  </si>
  <si>
    <t>NB Col#</t>
  </si>
  <si>
    <t>NB ETL Field Name (based on sample 3/14)</t>
  </si>
  <si>
    <t>NB Map/NB ETL?</t>
  </si>
  <si>
    <t>Version Name</t>
  </si>
  <si>
    <t>Change Comments</t>
  </si>
  <si>
    <t>Change Status</t>
  </si>
  <si>
    <t>Change Approved on:</t>
  </si>
  <si>
    <t>Changed Approved by:</t>
  </si>
  <si>
    <t>VARCHAR2(100 BYTE)</t>
  </si>
  <si>
    <t>Yes</t>
  </si>
  <si>
    <t>Done</t>
  </si>
  <si>
    <t>R. Price (NB Master Compare 3.8)</t>
  </si>
  <si>
    <t>VARCHAR2(200 BYTE)</t>
  </si>
  <si>
    <t>VARCHAR2(50 BYTE)</t>
  </si>
  <si>
    <t>ACCOUNTSTATUS</t>
  </si>
  <si>
    <t>VARCHAR2(20 BYTE)</t>
  </si>
  <si>
    <t>VARCHAR2(5 BYTE)</t>
  </si>
  <si>
    <t>ACCOUNTCLOSEDATE</t>
  </si>
  <si>
    <t>TIMESTAMP(6)</t>
  </si>
  <si>
    <t>ACCOUNTMANAGER</t>
  </si>
  <si>
    <t>ACCOUNTOPENDATE</t>
  </si>
  <si>
    <t>DATE</t>
  </si>
  <si>
    <t>R. Price (DD V1.0)</t>
  </si>
  <si>
    <t>ACCOUNTOWNERDESC</t>
  </si>
  <si>
    <t>ACCOUNTOWNERTYPE</t>
  </si>
  <si>
    <t>ACCOUNTTYPE</t>
  </si>
  <si>
    <t>CLASSIFICATION1</t>
  </si>
  <si>
    <t>DEFAULTLOTRELIEFMETHOD</t>
  </si>
  <si>
    <t>VARCHAR2(8 BYTE)</t>
  </si>
  <si>
    <t>DOMICILECOUNTRY</t>
  </si>
  <si>
    <t>VARCHAR2(30 BYTE)</t>
  </si>
  <si>
    <t>LOCATION</t>
  </si>
  <si>
    <t>PBCODE</t>
  </si>
  <si>
    <t>ACCOUNTDIVISIONCODE</t>
  </si>
  <si>
    <t>ACCOUNTDIVISIONNAME</t>
  </si>
  <si>
    <t>ALTSYSTEMID1</t>
  </si>
  <si>
    <t>CLASSIFICATION2</t>
  </si>
  <si>
    <t>CUSTOMERTAXSTATUS</t>
  </si>
  <si>
    <t>DOMICILESTATE</t>
  </si>
  <si>
    <t>VARCHAR2(2 BYTE)</t>
  </si>
  <si>
    <t>PBNAME</t>
  </si>
  <si>
    <t>DISCRETIONARYSTATUS</t>
  </si>
  <si>
    <t>VARCHAR2(20)</t>
  </si>
  <si>
    <t>PROXYVOTING</t>
  </si>
  <si>
    <t>VARCHAR2(1)</t>
  </si>
  <si>
    <t>3/12 - Verbal confirm from IC that these match (will update once we get new list of fields names in their ETLs)</t>
  </si>
  <si>
    <t>USERDEFINEDDATE1</t>
  </si>
  <si>
    <t>New field - CC NB01</t>
  </si>
  <si>
    <t>PERFORMANCEINCEPTIONDATE</t>
  </si>
  <si>
    <t>BILLINGINCEPTIONDATE</t>
  </si>
  <si>
    <t>LASTASSETTRANSFERINDATE</t>
  </si>
  <si>
    <t>LASTASSETTRANSFEROUTDATE</t>
  </si>
  <si>
    <t>NOMOREBUSINESSDATE</t>
  </si>
  <si>
    <t>INVESTMENTADVISORYTERMDATE</t>
  </si>
  <si>
    <t>LASTASSETTRANSFERINACCOUNT</t>
  </si>
  <si>
    <t>VARCHAR(50)</t>
  </si>
  <si>
    <t>LASTASSETTRANSFEROUTACCOUNT</t>
  </si>
  <si>
    <t>PRIMARYTAXID</t>
  </si>
  <si>
    <t>SECONDARYTAXID</t>
  </si>
  <si>
    <t>SECONDARYOWNERDESCRIPTION</t>
  </si>
  <si>
    <t>process_date</t>
  </si>
  <si>
    <t>firm_iso_code</t>
  </si>
  <si>
    <t>BOOKCCYDESC</t>
  </si>
  <si>
    <t>firm_curr_desc</t>
  </si>
  <si>
    <t>PLANNER</t>
  </si>
  <si>
    <t>advisor_name</t>
  </si>
  <si>
    <t>PORTFOLIOMANAGER</t>
  </si>
  <si>
    <t>mgr_name</t>
  </si>
  <si>
    <t>br_acct</t>
  </si>
  <si>
    <t>RPTCCY</t>
  </si>
  <si>
    <t>rpt_iso_code</t>
  </si>
  <si>
    <t>RPTCCYDESC</t>
  </si>
  <si>
    <t>rpt_curr_desc</t>
  </si>
  <si>
    <t>asset_class_desc</t>
  </si>
  <si>
    <t>ASSETCLASSLEVEL2</t>
  </si>
  <si>
    <t>asset_class_2_desc</t>
  </si>
  <si>
    <t>ASSETCLASSLEVEL3</t>
  </si>
  <si>
    <t>sub_asset_cl_desc</t>
  </si>
  <si>
    <t>SWEEPVEHICLEDESC</t>
  </si>
  <si>
    <t>sweep_sec_desc</t>
  </si>
  <si>
    <t>sec_no</t>
  </si>
  <si>
    <t>sec_symbol</t>
  </si>
  <si>
    <t>TICKER</t>
  </si>
  <si>
    <t>sec_ticker</t>
  </si>
  <si>
    <t>CUSIP</t>
  </si>
  <si>
    <t>sec_cusip</t>
  </si>
  <si>
    <t>SEDOL</t>
  </si>
  <si>
    <t>sec_sedol</t>
  </si>
  <si>
    <t>ISIN</t>
  </si>
  <si>
    <t>sec_isin</t>
  </si>
  <si>
    <t>VARCHAR2(255 BYTE)</t>
  </si>
  <si>
    <t>sec_desc</t>
  </si>
  <si>
    <t>SECURITYALTSHORTDESCRIPTION</t>
  </si>
  <si>
    <t>short_name</t>
  </si>
  <si>
    <t>LOCALPRICEPERIODEND</t>
  </si>
  <si>
    <t>NUMBER(20,5)</t>
  </si>
  <si>
    <t>close_pr</t>
  </si>
  <si>
    <t>FXRATE</t>
  </si>
  <si>
    <t>firm_mv_xrate</t>
  </si>
  <si>
    <t>BOOKPRICEPERIODEND</t>
  </si>
  <si>
    <t>firm_close_pr</t>
  </si>
  <si>
    <t>RPTPRICEPERIODEND</t>
  </si>
  <si>
    <t>rpt_close_pr</t>
  </si>
  <si>
    <t>iso_code</t>
  </si>
  <si>
    <t>B.Ng/MLC</t>
  </si>
  <si>
    <t>LOCALCCYDESC</t>
  </si>
  <si>
    <t>curr_desc</t>
  </si>
  <si>
    <t>COUNTRYOFISSUANCE</t>
  </si>
  <si>
    <t>country_iss</t>
  </si>
  <si>
    <t>COUNTRYOFRISK</t>
  </si>
  <si>
    <t>country_ops</t>
  </si>
  <si>
    <t>POSITIONTYPE</t>
  </si>
  <si>
    <t>VARCHAR2(40 BYTE)</t>
  </si>
  <si>
    <t>sec_type_desc</t>
  </si>
  <si>
    <t>indust_level1</t>
  </si>
  <si>
    <t>SECURITYSECTORLEVEL2</t>
  </si>
  <si>
    <t>indust_level2</t>
  </si>
  <si>
    <t>SECURITYSECTORLEVEL3</t>
  </si>
  <si>
    <t>indust_level3</t>
  </si>
  <si>
    <t>MOODYSRATING</t>
  </si>
  <si>
    <t>moody_rating</t>
  </si>
  <si>
    <t>SPRATING</t>
  </si>
  <si>
    <t>sp_rating</t>
  </si>
  <si>
    <t>ANNUALINCOMERATE</t>
  </si>
  <si>
    <t>ann_div_cpn</t>
  </si>
  <si>
    <t>MKTYIELD</t>
  </si>
  <si>
    <t>cur_yld</t>
  </si>
  <si>
    <t>INVESTMENTMATURITYDATE</t>
  </si>
  <si>
    <t>matexp_date</t>
  </si>
  <si>
    <t>COUPON</t>
  </si>
  <si>
    <t>NUMBER(38,12)</t>
  </si>
  <si>
    <t>coupon</t>
  </si>
  <si>
    <t>YIELDTOMATURITY</t>
  </si>
  <si>
    <t>yld_to_mat</t>
  </si>
  <si>
    <t>YIELDTOWORST</t>
  </si>
  <si>
    <t>yld_to_worst</t>
  </si>
  <si>
    <t>YIELDTOCOSTTAXADJUSTED</t>
  </si>
  <si>
    <t>yld_to_cost</t>
  </si>
  <si>
    <t>FACTOR</t>
  </si>
  <si>
    <t>cur_factor</t>
  </si>
  <si>
    <t>MKTDURATION</t>
  </si>
  <si>
    <t>cur_dur</t>
  </si>
  <si>
    <t>BONDINSURER</t>
  </si>
  <si>
    <t>insurer</t>
  </si>
  <si>
    <t>UNDERLYERPRIMARYSECURITYSYMBOL</t>
  </si>
  <si>
    <t>und_sec_symbol</t>
  </si>
  <si>
    <t>UNDERLYERSECURITYDESCRIPTION</t>
  </si>
  <si>
    <t>und_sec_desc</t>
  </si>
  <si>
    <t>taxlot_id</t>
  </si>
  <si>
    <t>TAXLOTOPENDATE</t>
  </si>
  <si>
    <t>trd_date</t>
  </si>
  <si>
    <t>units</t>
  </si>
  <si>
    <t>ORIGINALFACE</t>
  </si>
  <si>
    <t>orig_face</t>
  </si>
  <si>
    <t>AVERAGELOCALUNITCOST</t>
  </si>
  <si>
    <t>unit_cost</t>
  </si>
  <si>
    <t>AVERAGEBOOKUNITCOST</t>
  </si>
  <si>
    <t>firm_unit_cost</t>
  </si>
  <si>
    <t>AVERAGERPTUNITCOST</t>
  </si>
  <si>
    <t>rpt_unit_cost</t>
  </si>
  <si>
    <t>ORIGINALCOST</t>
  </si>
  <si>
    <t>orig_cost</t>
  </si>
  <si>
    <t>PURCHASEYIELD</t>
  </si>
  <si>
    <t>orig_yield</t>
  </si>
  <si>
    <t>LOCALAMORTIZEDCOSTPERIODEND</t>
  </si>
  <si>
    <t>tot_cost</t>
  </si>
  <si>
    <t>BOOKAMORTIZEDCOSTPERIODEND</t>
  </si>
  <si>
    <t>firm_tot_cost</t>
  </si>
  <si>
    <t>RPTAMORTIZEDCOSTPERIODEND</t>
  </si>
  <si>
    <t>rpt_tot_cost</t>
  </si>
  <si>
    <t>LOCALMARKETVALUEPERIODEND</t>
  </si>
  <si>
    <t>mkt_val</t>
  </si>
  <si>
    <t>Mary Louise Costantini</t>
  </si>
  <si>
    <t>BOOKMARKETVALUEPERIODEND</t>
  </si>
  <si>
    <t>firm_mkt_val</t>
  </si>
  <si>
    <t>RPTMARKETVALUEPERIODEND</t>
  </si>
  <si>
    <t>rpt_mkt_val</t>
  </si>
  <si>
    <t>LOCALACCRUEDINTPERIODEND</t>
  </si>
  <si>
    <t>accr_int</t>
  </si>
  <si>
    <t>BOOKACCRUEDINTPERIODEND</t>
  </si>
  <si>
    <t>firm_accr_int</t>
  </si>
  <si>
    <t>RPTACCRUEDINTPERIODEND</t>
  </si>
  <si>
    <t xml:space="preserve">3/13 - Verbal confirm from IC that they will update their ETL (NB had a typo).  Will update once received. </t>
  </si>
  <si>
    <t>rpt_accr_int</t>
  </si>
  <si>
    <t>LOCALANNUALINCOME</t>
  </si>
  <si>
    <t>annual_income</t>
  </si>
  <si>
    <t>ANNUALINCOME</t>
  </si>
  <si>
    <t>firm_annual_income</t>
  </si>
  <si>
    <t>RPTANNUALINCOME</t>
  </si>
  <si>
    <t>rpt_annual_income</t>
  </si>
  <si>
    <t>BOOKUGL</t>
  </si>
  <si>
    <t>firm_unrealized_gl</t>
  </si>
  <si>
    <t>RPTUGL</t>
  </si>
  <si>
    <t>rpt_unrealized_gl</t>
  </si>
  <si>
    <t>FEDTAXCOSTUNKNOWN</t>
  </si>
  <si>
    <t>VARCHAR2(3 BYTE)</t>
  </si>
  <si>
    <t>cost_required</t>
  </si>
  <si>
    <t>MANAGED</t>
  </si>
  <si>
    <t>VARCHAR2(1 BYTE)</t>
  </si>
  <si>
    <t>sec_xtend</t>
  </si>
  <si>
    <t>STATEMENTBASIS</t>
  </si>
  <si>
    <t>trade_or_settle</t>
  </si>
  <si>
    <t>TAXLOTCOVERED</t>
  </si>
  <si>
    <t>covered_lot</t>
  </si>
  <si>
    <t>NEW - Requested by NB</t>
  </si>
  <si>
    <t>TOTALVALUE</t>
  </si>
  <si>
    <t>3/13 - New field (IC not coding for this yet)</t>
  </si>
  <si>
    <t>total_value</t>
  </si>
  <si>
    <t>BEGINNINGNAV</t>
  </si>
  <si>
    <t>beginning_nav</t>
  </si>
  <si>
    <t>BEGINNINGNAVDATE</t>
  </si>
  <si>
    <t>beginning_nav_date</t>
  </si>
  <si>
    <t>ENDINGNAV</t>
  </si>
  <si>
    <t>ending_nav</t>
  </si>
  <si>
    <t>ENDINGNAVDATE</t>
  </si>
  <si>
    <t>ending_nav_date</t>
  </si>
  <si>
    <t>CONTRIBUTIONSPOSTNAV</t>
  </si>
  <si>
    <t>contributions_post_nav</t>
  </si>
  <si>
    <t>DISTRIBUTIONSPOSTNAV</t>
  </si>
  <si>
    <t>distributions_post_nav</t>
  </si>
  <si>
    <t>COMMITTEDCAPITAL</t>
  </si>
  <si>
    <t>committed_capital</t>
  </si>
  <si>
    <t>COMMITMENTDATE</t>
  </si>
  <si>
    <t>commitment_date</t>
  </si>
  <si>
    <t>CONTRIBUTIONSSINCEINCEPTION</t>
  </si>
  <si>
    <t>contributions_si</t>
  </si>
  <si>
    <t>DISTRIBUTIONSSINCEINCEPTION</t>
  </si>
  <si>
    <t>distributions_si</t>
  </si>
  <si>
    <t>RECALLABLEDISTRIBUTIONS</t>
  </si>
  <si>
    <t>recallable_distributions_si</t>
  </si>
  <si>
    <t>REMAININGCOMMITMENT</t>
  </si>
  <si>
    <t>remaining_commitment</t>
  </si>
  <si>
    <t>ESTIMATEDMVCHANGEPOSTNAV</t>
  </si>
  <si>
    <t>estimated_mv_change_post_nav</t>
  </si>
  <si>
    <t>ESTIMATEDMVCHANGEPOSTNAVDATE</t>
  </si>
  <si>
    <t>estimated_mv_change_post_nav_date</t>
  </si>
  <si>
    <t>INITIALSUBSCRIPTIONDATE</t>
  </si>
  <si>
    <t>inception_date</t>
  </si>
  <si>
    <t>UNFUNDEDCOMMITMENT</t>
  </si>
  <si>
    <t>unfunded_commitment</t>
  </si>
  <si>
    <t>ALTSPRODUCTTYPE</t>
  </si>
  <si>
    <t>alts_product_type</t>
  </si>
  <si>
    <t>DEALDESCRIPTION</t>
  </si>
  <si>
    <t>registered_status</t>
  </si>
  <si>
    <t>NETSUBSINPERIOD</t>
  </si>
  <si>
    <t>net_subs_post_cap</t>
  </si>
  <si>
    <t>NETSUBSSINCEINCEPTION</t>
  </si>
  <si>
    <t>net_subs_since_inception</t>
  </si>
  <si>
    <t>MOIC</t>
  </si>
  <si>
    <t>moic</t>
  </si>
  <si>
    <t>NETPROFITLOSS</t>
  </si>
  <si>
    <t>net_profit_loss</t>
  </si>
  <si>
    <t>ALTSECID3</t>
  </si>
  <si>
    <t>3/25 - added to solve for issue#249</t>
  </si>
  <si>
    <t>classifierid2</t>
  </si>
  <si>
    <t>ALTSECID2</t>
  </si>
  <si>
    <t>classifierid</t>
  </si>
  <si>
    <t>STRATEGYCODE</t>
  </si>
  <si>
    <t>product_number</t>
  </si>
  <si>
    <t>STRATEGYNAME</t>
  </si>
  <si>
    <t>product_description</t>
  </si>
  <si>
    <t>NAV</t>
  </si>
  <si>
    <t>NAVDATE</t>
  </si>
  <si>
    <t>REGISTEREDSTATUS</t>
  </si>
  <si>
    <t>MANAGERNAME</t>
  </si>
  <si>
    <t>CUSTODIANACCOUNTNAME</t>
  </si>
  <si>
    <t>target_name</t>
  </si>
  <si>
    <t>CUSTODIANNAME</t>
  </si>
  <si>
    <t>cust_name</t>
  </si>
  <si>
    <t>3/13 - PENDING w/IC not clear on why they mapped to Custdian ref instead.</t>
  </si>
  <si>
    <t>cust_br_acct</t>
  </si>
  <si>
    <t>TRANSFERFROMACCOUNT</t>
  </si>
  <si>
    <t>x_br_acct</t>
  </si>
  <si>
    <t>asset_class</t>
  </si>
  <si>
    <t>asset_class2</t>
  </si>
  <si>
    <t>sub_asset_class</t>
  </si>
  <si>
    <t>ticker</t>
  </si>
  <si>
    <t>cusip</t>
  </si>
  <si>
    <t>Brandon Ng (NB)</t>
  </si>
  <si>
    <t>isin</t>
  </si>
  <si>
    <t>sec_iso_code</t>
  </si>
  <si>
    <t>level1</t>
  </si>
  <si>
    <t>level2</t>
  </si>
  <si>
    <t>level3</t>
  </si>
  <si>
    <t>mat_date</t>
  </si>
  <si>
    <t>cpn_rate</t>
  </si>
  <si>
    <t>CALLDATE</t>
  </si>
  <si>
    <t>call_date</t>
  </si>
  <si>
    <t>CALLPRICE</t>
  </si>
  <si>
    <t>call_price</t>
  </si>
  <si>
    <t>VARIABLERATEFLAG</t>
  </si>
  <si>
    <t>variable_flag</t>
  </si>
  <si>
    <t>und_ticker</t>
  </si>
  <si>
    <t>ACCRUEDINCPERIODSTART</t>
  </si>
  <si>
    <t xml:space="preserve">3/13 - Verbal confirm from IC that they will update their ETL (IC had a typo).  Will update once received. </t>
  </si>
  <si>
    <t>current_ex_date</t>
  </si>
  <si>
    <t>ACCRUEDINCPERIODEND</t>
  </si>
  <si>
    <t>current_pay_date</t>
  </si>
  <si>
    <t>ann_income</t>
  </si>
  <si>
    <t>FOREIGNACCOUNTINGKEY</t>
  </si>
  <si>
    <t>jrl_trans_no</t>
  </si>
  <si>
    <t>NUMBER(10,0)</t>
  </si>
  <si>
    <t>port_trans_no</t>
  </si>
  <si>
    <t>MULTWAYPAIROFFTAXLOTREFERENCE</t>
  </si>
  <si>
    <t>xref_trans_no</t>
  </si>
  <si>
    <t>ORIGFOREIGNACCOUNTINGKEY</t>
  </si>
  <si>
    <t>jrl_rev_trans_no</t>
  </si>
  <si>
    <t>ORIGFOREIGNTRANSACTIONKEY</t>
  </si>
  <si>
    <t>port_rev_trans_no</t>
  </si>
  <si>
    <t>tran_type_drcr</t>
  </si>
  <si>
    <t>EVENTFRIENDLYNAME</t>
  </si>
  <si>
    <t>tran_type_desc</t>
  </si>
  <si>
    <t>REVERSALEVENTTYPE</t>
  </si>
  <si>
    <t>rev_type</t>
  </si>
  <si>
    <t>rpt_group</t>
  </si>
  <si>
    <t>rpt_group_desc</t>
  </si>
  <si>
    <t>DIVIDENDFLAG</t>
  </si>
  <si>
    <t>div_flag</t>
  </si>
  <si>
    <t>is_a_trade</t>
  </si>
  <si>
    <t>long_short_indicator</t>
  </si>
  <si>
    <t>CLOSEMETHOD</t>
  </si>
  <si>
    <t>accounting_method</t>
  </si>
  <si>
    <t>FINANCIALACCOUNTTYPECODE</t>
  </si>
  <si>
    <t>acct_type</t>
  </si>
  <si>
    <t>FINANCIALACCOUNTBOOKTYPE</t>
  </si>
  <si>
    <t>acct_type_desc</t>
  </si>
  <si>
    <t>ACTUALSETTLEMENTDATE</t>
  </si>
  <si>
    <t>stl_date</t>
  </si>
  <si>
    <t>eff_date</t>
  </si>
  <si>
    <t>EVENTADJUSTEDSTATE</t>
  </si>
  <si>
    <t>entry_date</t>
  </si>
  <si>
    <t>POSTEDDATE</t>
  </si>
  <si>
    <t>post_date</t>
  </si>
  <si>
    <t>CONTRACTDATE</t>
  </si>
  <si>
    <t>contract_stl_date</t>
  </si>
  <si>
    <t>EXPECTEDSETTLEMENTDATE</t>
  </si>
  <si>
    <t>exp_stl_date</t>
  </si>
  <si>
    <t>REVERSALAWAREDATE</t>
  </si>
  <si>
    <t>rev_date</t>
  </si>
  <si>
    <t>ORIGINALTAXLOTDATE</t>
  </si>
  <si>
    <t>open_trd_date</t>
  </si>
  <si>
    <t>EXDIVIDENDDATE</t>
  </si>
  <si>
    <t>ex_date</t>
  </si>
  <si>
    <t>PAYABLEDATE</t>
  </si>
  <si>
    <t>pay_date</t>
  </si>
  <si>
    <t>DIVIDENDPAYMENTRATE</t>
  </si>
  <si>
    <t>div_rate</t>
  </si>
  <si>
    <t>CASHORINVESTMENTCCY</t>
  </si>
  <si>
    <t>curr_id</t>
  </si>
  <si>
    <t>stl_curr_id</t>
  </si>
  <si>
    <t>BROKERNAME2</t>
  </si>
  <si>
    <t>executing_broker</t>
  </si>
  <si>
    <t>BROKERNAME1</t>
  </si>
  <si>
    <t>clearing_broker</t>
  </si>
  <si>
    <t>TCOMMENT</t>
  </si>
  <si>
    <t>VARCHAR2(500 BYTE)</t>
  </si>
  <si>
    <t>trans_desc</t>
  </si>
  <si>
    <t>firm_price</t>
  </si>
  <si>
    <t>LOCALCARRYINGVALUE</t>
  </si>
  <si>
    <t>BOOKCARRYINGVALUE</t>
  </si>
  <si>
    <t>firm_cost</t>
  </si>
  <si>
    <t>BOOKFEDTAXCOST</t>
  </si>
  <si>
    <t>firm_fed_cost</t>
  </si>
  <si>
    <t>BOOKFEDCOSTPOSTDISPADJ</t>
  </si>
  <si>
    <t>firm_close_cost</t>
  </si>
  <si>
    <t>LOCALFEDCOSTPOSTDISPADJ</t>
  </si>
  <si>
    <t>cost_adj_amt</t>
  </si>
  <si>
    <t>net</t>
  </si>
  <si>
    <t>net_cash</t>
  </si>
  <si>
    <t>firm_net</t>
  </si>
  <si>
    <t>firm_net_cash</t>
  </si>
  <si>
    <t>BOOKNETPAYABLE</t>
  </si>
  <si>
    <t>firm_net_payable</t>
  </si>
  <si>
    <t>BOOKNETRECEIVABLE</t>
  </si>
  <si>
    <t>firm_net_receivable</t>
  </si>
  <si>
    <t>BOOKCASHFLOW</t>
  </si>
  <si>
    <t>firm_cash_flow</t>
  </si>
  <si>
    <t>BOOKDISPOSEDVALUE</t>
  </si>
  <si>
    <t>firm_close_value</t>
  </si>
  <si>
    <t>BOOKLEDGERCASH</t>
  </si>
  <si>
    <t>firm_cash_impact</t>
  </si>
  <si>
    <t>LOCALGROSSCASH</t>
  </si>
  <si>
    <t>local_gross</t>
  </si>
  <si>
    <t>BOOKGROSSCASH</t>
  </si>
  <si>
    <t>firm_gross</t>
  </si>
  <si>
    <t>LOCALACCRUEDINCOME</t>
  </si>
  <si>
    <t>LOCALPURCHASEDSOLDINTEREST</t>
  </si>
  <si>
    <t xml:space="preserve">3/12 - Verbal confirm from IC that these match (will update once we get new list of fields names in their ETLs) - looks like there's a space at end causing mismatch. </t>
  </si>
  <si>
    <t>ps_accrued</t>
  </si>
  <si>
    <t>BOOKPURCHASEDSOLDINTEREST</t>
  </si>
  <si>
    <t>firm_ps_accrued</t>
  </si>
  <si>
    <t>ACCRUEDINCFXRATE</t>
  </si>
  <si>
    <t>firm_accr_xrate</t>
  </si>
  <si>
    <t>LOCALBROKERCOMMISSION</t>
  </si>
  <si>
    <t>comm_signed</t>
  </si>
  <si>
    <t>BOOKBROKERCOMMISSION</t>
  </si>
  <si>
    <t>firm_comm</t>
  </si>
  <si>
    <t>BOOKSECFEE</t>
  </si>
  <si>
    <t>firm_sec_fees</t>
  </si>
  <si>
    <t>BOOKNRAWITHHOLDING</t>
  </si>
  <si>
    <t>firm_nra_wh</t>
  </si>
  <si>
    <t>BOOKNRAWITHHOLDINGTAX</t>
  </si>
  <si>
    <t>firm_nra_wh_irs</t>
  </si>
  <si>
    <t>BOOKNRAWITHHOLDINGBYUS</t>
  </si>
  <si>
    <t>firm_nra_wh_us</t>
  </si>
  <si>
    <t>BOOKTAXWITHHELD</t>
  </si>
  <si>
    <t>firm_wh_amt</t>
  </si>
  <si>
    <t>BOOKFOREIGNTAX</t>
  </si>
  <si>
    <t>firm_foreign_tax</t>
  </si>
  <si>
    <t>SPOTFWDFXRATE</t>
  </si>
  <si>
    <t>fx_rate</t>
  </si>
  <si>
    <t>BOOKGAINLOSSPROCEEDS</t>
  </si>
  <si>
    <t>firm_tot_gl</t>
  </si>
  <si>
    <t>BOOKTOTALGAIN</t>
  </si>
  <si>
    <t>firm_total_gain</t>
  </si>
  <si>
    <t>BOOKTOTALLOSS</t>
  </si>
  <si>
    <t>firm_total_loss</t>
  </si>
  <si>
    <t>BOOKLONGTERMGL</t>
  </si>
  <si>
    <t>firm_long_gl</t>
  </si>
  <si>
    <t>BOOKNATIONALLONGGL</t>
  </si>
  <si>
    <t>firm_fed_long_gl</t>
  </si>
  <si>
    <t>LOCALLONGTERMGL</t>
  </si>
  <si>
    <t>long_gl</t>
  </si>
  <si>
    <t>BOOKSHORTTERMGL</t>
  </si>
  <si>
    <t>firm_short_gl</t>
  </si>
  <si>
    <t>BOOKNATIONALSHORTGL</t>
  </si>
  <si>
    <t>firm_fed_short_gl</t>
  </si>
  <si>
    <t>LOCALSHORTTERMGL</t>
  </si>
  <si>
    <t>short_gl</t>
  </si>
  <si>
    <t>firm_sec_gl</t>
  </si>
  <si>
    <t>sec_gl</t>
  </si>
  <si>
    <t>BOOKREALIZEDFXGL</t>
  </si>
  <si>
    <t>firm_fx_gl</t>
  </si>
  <si>
    <t>BOOKSECTION988GL</t>
  </si>
  <si>
    <t>firm_s988_gl</t>
  </si>
  <si>
    <t>BOOKREALIZEDCAPITALGL</t>
  </si>
  <si>
    <t>firm_real_gl</t>
  </si>
  <si>
    <t>LOCALGAINLOSSPROCEEDS</t>
  </si>
  <si>
    <t>local_tot_gl</t>
  </si>
  <si>
    <t>BOOKACCRUEDINCOME</t>
  </si>
  <si>
    <t>firm_accrued</t>
  </si>
  <si>
    <t>CUSTODIANREFERENCE</t>
  </si>
  <si>
    <t>Jennifer Riquelme</t>
  </si>
  <si>
    <t>TXNCLASSIFICATIONLEVEL1</t>
  </si>
  <si>
    <t>3/13 - PENDING w/IC unclear in NB is supposed to send twice (in this field + event code?)</t>
  </si>
  <si>
    <t>VARCHAR2(50),</t>
  </si>
  <si>
    <t>N</t>
  </si>
  <si>
    <t>VARCHAR2(100),</t>
  </si>
  <si>
    <t>Y</t>
  </si>
  <si>
    <t>NUMBER(20,5),</t>
  </si>
  <si>
    <t>rule_no</t>
  </si>
  <si>
    <t>VARCHAR2(40),</t>
  </si>
  <si>
    <t>3/14 - change introduced in w/perf &amp; BM changes</t>
  </si>
  <si>
    <t>classifiertype</t>
  </si>
  <si>
    <t>classifiername</t>
  </si>
  <si>
    <t>VARCHAR2(5),</t>
  </si>
  <si>
    <t>perf_iso_code</t>
  </si>
  <si>
    <t>DATE,</t>
  </si>
  <si>
    <t>inc_date</t>
  </si>
  <si>
    <t>current_date</t>
  </si>
  <si>
    <t>CONTRIBUTIONLAST1DAY</t>
  </si>
  <si>
    <t>1day_ror</t>
  </si>
  <si>
    <t>CONTRIBUTIONLAST1MONTH</t>
  </si>
  <si>
    <t>1month_ror</t>
  </si>
  <si>
    <t>CONTRIBUTIONLAST2MONTHS</t>
  </si>
  <si>
    <t>2month_ror</t>
  </si>
  <si>
    <t>CONTRIBUTIONLAST3MONTHS</t>
  </si>
  <si>
    <t>3month_ror</t>
  </si>
  <si>
    <t>CONTRIBUTIONLAST4MONTHS</t>
  </si>
  <si>
    <t>4month_ror</t>
  </si>
  <si>
    <t>CONTRIBUTIONLAST5MONTHS</t>
  </si>
  <si>
    <t>5month_ror</t>
  </si>
  <si>
    <t>CONTRIBUTIONLAST6MONTHS</t>
  </si>
  <si>
    <t>6month_ror</t>
  </si>
  <si>
    <t>CONTRIBUTIONLAST7MONTHS</t>
  </si>
  <si>
    <t>7month_ror</t>
  </si>
  <si>
    <t>CONTRIBUTIONLAST8MONTHS</t>
  </si>
  <si>
    <t>8month_ror</t>
  </si>
  <si>
    <t>CONTRIBUTIONLAST9MONTHS</t>
  </si>
  <si>
    <t>9month_ror</t>
  </si>
  <si>
    <t>CONTRIBUTIONLAST10MONTHS</t>
  </si>
  <si>
    <t>10month_ror</t>
  </si>
  <si>
    <t>CONTRIBUTIONLAST11MONTHS</t>
  </si>
  <si>
    <t>11month_ror</t>
  </si>
  <si>
    <t>CONTRIBUTIONLAST12MONTHS</t>
  </si>
  <si>
    <t>12month_ror</t>
  </si>
  <si>
    <t>CONTRIBUTIONMTD</t>
  </si>
  <si>
    <t>mtd_ror</t>
  </si>
  <si>
    <t>CONTRIBUTIONQTD</t>
  </si>
  <si>
    <t>qtd_ror</t>
  </si>
  <si>
    <t>CONTRIBUTIONYTD</t>
  </si>
  <si>
    <t>ytd_ror</t>
  </si>
  <si>
    <t>CONTRIBUTIONLAST1YEAR</t>
  </si>
  <si>
    <t>ann_1yr_ror</t>
  </si>
  <si>
    <t>CONTRIBUTIONLAST2YEAR</t>
  </si>
  <si>
    <t>ann_2yr_ror</t>
  </si>
  <si>
    <t>CONTRIBUTIONLAST3YEARS</t>
  </si>
  <si>
    <t>ann_3yr_ror</t>
  </si>
  <si>
    <t>CONTRIBUTIONLAST4YEAR</t>
  </si>
  <si>
    <t>ann_4yr_ror</t>
  </si>
  <si>
    <t>CONTRIBUTIONLAST5YEARS</t>
  </si>
  <si>
    <t>ann_5yr_ror</t>
  </si>
  <si>
    <t>CONTRIBUTIONLAST6YEAR</t>
  </si>
  <si>
    <t>ann_6yr_ror</t>
  </si>
  <si>
    <t>CONTRIBUTIONLAST7YEAR</t>
  </si>
  <si>
    <t>ann_7yr_ror</t>
  </si>
  <si>
    <t>CONTRIBUTIONLAST8YEAR</t>
  </si>
  <si>
    <t>ann_8yr_ror</t>
  </si>
  <si>
    <t>CONTRIBUTIONLAST9YEAR</t>
  </si>
  <si>
    <t>ann_9yr_ror</t>
  </si>
  <si>
    <t>CONTRIBUTIONLAST10YEAR</t>
  </si>
  <si>
    <t>ann_10yr_ror</t>
  </si>
  <si>
    <t>CONTRIBUTIONLAST15YEAR</t>
  </si>
  <si>
    <t>ann_15yr_ror</t>
  </si>
  <si>
    <t>CONTRIBUTIONLAST25YEAR</t>
  </si>
  <si>
    <t>ann_25yr_ror</t>
  </si>
  <si>
    <t>CONTRIBUTIONITD</t>
  </si>
  <si>
    <t>ann_inc_ror</t>
  </si>
  <si>
    <t>CONTRIBUTIONITDUNITVALUE</t>
  </si>
  <si>
    <t>inc_cum_ror</t>
  </si>
  <si>
    <t>BOOKMARKETVALUEEND</t>
  </si>
  <si>
    <t>end_mkt_val</t>
  </si>
  <si>
    <t>BOOKMVBEGINDTD</t>
  </si>
  <si>
    <t>dtd_mkt_val</t>
  </si>
  <si>
    <t>BOOKMVBEGINLAST1MONTH</t>
  </si>
  <si>
    <t>1m_mkt_val</t>
  </si>
  <si>
    <t>BOOKMVBEGINLAST3MONTHS</t>
  </si>
  <si>
    <t>3m_mkt_val</t>
  </si>
  <si>
    <t>BOOKMVBEGINLAST6MONTHS</t>
  </si>
  <si>
    <t>6m_mkt_val</t>
  </si>
  <si>
    <t>BOOKMVBEGINLAST9MONTHS</t>
  </si>
  <si>
    <t>9m_mkt_val</t>
  </si>
  <si>
    <t>BOOKMVBEGINLAST12MONTHS</t>
  </si>
  <si>
    <t>12m_mkt_val</t>
  </si>
  <si>
    <t>BOOKMVBEGINMTD</t>
  </si>
  <si>
    <t>mtd_mkt_val</t>
  </si>
  <si>
    <t>BOOKMVBEGINQTD</t>
  </si>
  <si>
    <t>qtd_mkt_val</t>
  </si>
  <si>
    <t>BOOKMVBEGINYTD</t>
  </si>
  <si>
    <t>ytd_mkt_val</t>
  </si>
  <si>
    <t>BOOKMVBEGINLAST1YEAR</t>
  </si>
  <si>
    <t>1yr_mkt_val</t>
  </si>
  <si>
    <t>BOOKMVBEGINLAST3YEARS</t>
  </si>
  <si>
    <t>3yr_mkt_val</t>
  </si>
  <si>
    <t>BOOKMVBEGINLAST5YEARS</t>
  </si>
  <si>
    <t>5yr_mkt_val</t>
  </si>
  <si>
    <t>BOOKMVBEGINLAST10YEAR</t>
  </si>
  <si>
    <t>10yr_mkt_val</t>
  </si>
  <si>
    <t>BOOKMVBEGINITD</t>
  </si>
  <si>
    <t>inc_mkt_val</t>
  </si>
  <si>
    <t>BOOKMARKETVALUEBEGIN</t>
  </si>
  <si>
    <t>beg_mkt_val</t>
  </si>
  <si>
    <t>BOOKNETCASHFLOWDTD</t>
  </si>
  <si>
    <t>dtd_net_flow</t>
  </si>
  <si>
    <t>BOOKNETCASHFLOWLAST1MONTH</t>
  </si>
  <si>
    <t>1m_net_flow</t>
  </si>
  <si>
    <t>BOOKNETCASHFLOWLAST3MONTHS</t>
  </si>
  <si>
    <t>3m_net_flow</t>
  </si>
  <si>
    <t>BOOKNETCASHFLOWLAST6MONTHS</t>
  </si>
  <si>
    <t>6m_net_flow</t>
  </si>
  <si>
    <t>BOOKNETCASHFLOWLAST9MONTHS</t>
  </si>
  <si>
    <t>9m_net_flow</t>
  </si>
  <si>
    <t>BOOKNETCASHFLOWLAST12MONTHS</t>
  </si>
  <si>
    <t>12m_net_flow</t>
  </si>
  <si>
    <t>BOOKNETCASHFLOWLAST1YEAR</t>
  </si>
  <si>
    <t>1yr_net_flow</t>
  </si>
  <si>
    <t>BOOKNETCASHFLOWLAST3YEARS</t>
  </si>
  <si>
    <t>3yr_net_flow</t>
  </si>
  <si>
    <t>BOOKNETCASHFLOWLAST5YEARS</t>
  </si>
  <si>
    <t>5yr_net_flow</t>
  </si>
  <si>
    <t>BOOKNETCASHFLOWLAST10YEAR</t>
  </si>
  <si>
    <t>10yr_net_flow</t>
  </si>
  <si>
    <t>BOOKNETCASHFLOWMTD</t>
  </si>
  <si>
    <t>mtd_net_flow</t>
  </si>
  <si>
    <t>BOOKNETCASHFLOWQTD</t>
  </si>
  <si>
    <t>qtd_net_flow</t>
  </si>
  <si>
    <t>BOOKNETCASHFLOWYTD</t>
  </si>
  <si>
    <t>ytd_net_flow</t>
  </si>
  <si>
    <t>BOOKNETCASHFLOWITD</t>
  </si>
  <si>
    <t>itd_net_flow</t>
  </si>
  <si>
    <t>BOOKFEES</t>
  </si>
  <si>
    <t>fees</t>
  </si>
  <si>
    <t>BOOKINCOME</t>
  </si>
  <si>
    <t>income</t>
  </si>
  <si>
    <t>BOOKPROFITLOSS</t>
  </si>
  <si>
    <t>profit_loss</t>
  </si>
  <si>
    <t>BOOKPROFITLOSSDTD</t>
  </si>
  <si>
    <t>dtd_profit_loss</t>
  </si>
  <si>
    <t>BOOKPROFITLOSSLAST1MONTH</t>
  </si>
  <si>
    <t>1m_profit_loss</t>
  </si>
  <si>
    <t>BOOKPROFITLOSSLAST3MONTHS</t>
  </si>
  <si>
    <t>3m_profit_loss</t>
  </si>
  <si>
    <t>BOOKPROFITLOSSLAST6MONTHS</t>
  </si>
  <si>
    <t>6m_profit_loss</t>
  </si>
  <si>
    <t>BOOKPROFITLOSSLAST9MONTHS</t>
  </si>
  <si>
    <t>9m_profit_loss</t>
  </si>
  <si>
    <t>BOOKPROFITLOSSLAST12MONTHS</t>
  </si>
  <si>
    <t>12m_profit_loss</t>
  </si>
  <si>
    <t>BOOKPROFITLOSSLAST1YEAR</t>
  </si>
  <si>
    <t>1yr_profit_loss</t>
  </si>
  <si>
    <t>BOOKPROFITLOSSLAST3YEARS</t>
  </si>
  <si>
    <t>3yr_profit_loss</t>
  </si>
  <si>
    <t>BOOKPROFITLOSSLAST5YEARS</t>
  </si>
  <si>
    <t>5yr_profit_loss</t>
  </si>
  <si>
    <t>BOOKPROFITLOSSLAST10YEAR</t>
  </si>
  <si>
    <t>10yr_profit_loss</t>
  </si>
  <si>
    <t>BOOKPROFITLOSSMTD</t>
  </si>
  <si>
    <t>mtd_profit_loss</t>
  </si>
  <si>
    <t>BOOKPROFITLOSSQTD</t>
  </si>
  <si>
    <t>qtd_profit_loss</t>
  </si>
  <si>
    <t>BOOKPROFITLOSSYTD</t>
  </si>
  <si>
    <t>ytd_profit_loss</t>
  </si>
  <si>
    <t>BOOKPROFITLOSSITD</t>
  </si>
  <si>
    <t>itd_profit_loss</t>
  </si>
  <si>
    <t>CONTRIBUTIONCCY</t>
  </si>
  <si>
    <t>contribution</t>
  </si>
  <si>
    <t>New</t>
  </si>
  <si>
    <t>BETA</t>
  </si>
  <si>
    <t>NUMBER (3,3)</t>
  </si>
  <si>
    <t>3/14 - PENDING IC coding changes (part of risk metrics PDD &amp; pilot 1a SDS)</t>
  </si>
  <si>
    <t>beta</t>
  </si>
  <si>
    <t>SHARPERATIO</t>
  </si>
  <si>
    <t>sharpratio</t>
  </si>
  <si>
    <t>STANDARDDEVIATION</t>
  </si>
  <si>
    <t>standarddeviation</t>
  </si>
  <si>
    <t>CLASSIFIERIDENTIFER</t>
  </si>
  <si>
    <t>VARCHAR2 (100)</t>
  </si>
  <si>
    <t>3/14 - PENDING IC coding changes (part of AG PDD &amp; pilot 1a SDS)</t>
  </si>
  <si>
    <t>ags_shortname</t>
  </si>
  <si>
    <t>8a. BENCHMARK</t>
  </si>
  <si>
    <t>Project</t>
  </si>
  <si>
    <t>benchmarkid</t>
  </si>
  <si>
    <t>BENCHMARKNAME</t>
  </si>
  <si>
    <t>VARCHAR2(60 BYTE)</t>
  </si>
  <si>
    <t>benchmarkdescription</t>
  </si>
  <si>
    <t>INCEPTIONDATE</t>
  </si>
  <si>
    <t>EFFECTIVEDATE</t>
  </si>
  <si>
    <t>ind_date</t>
  </si>
  <si>
    <t>BOOKTWRPERIOD</t>
  </si>
  <si>
    <t>BOOKTWR1MONTH</t>
  </si>
  <si>
    <t>BOOKTWR2MONTHS</t>
  </si>
  <si>
    <t>BOOKTWR3MONTHS</t>
  </si>
  <si>
    <t>BOOKTWR4MONTHS</t>
  </si>
  <si>
    <t>BOOKTWR5MONTHS</t>
  </si>
  <si>
    <t>BOOKTWR6MONTHS</t>
  </si>
  <si>
    <t>BOOKTWR7MONTHS</t>
  </si>
  <si>
    <t>BOOKTWR8MONTHS</t>
  </si>
  <si>
    <t>BOOKTWR9MONTHS</t>
  </si>
  <si>
    <t>BOOKTWR10MONTHS</t>
  </si>
  <si>
    <t>BOOKTWR11MONTHS</t>
  </si>
  <si>
    <t>BOOKTWRMONTH</t>
  </si>
  <si>
    <t>BOOKTWRQUARTER</t>
  </si>
  <si>
    <t>BOOKTWRYEAR</t>
  </si>
  <si>
    <t>BOOKTWR1YEAR</t>
  </si>
  <si>
    <t>BOOKTWR2YEARS</t>
  </si>
  <si>
    <t>BOOKTWR3YEARS</t>
  </si>
  <si>
    <t>BOOK5YEARS</t>
  </si>
  <si>
    <t>BOOKTWR7YEARS</t>
  </si>
  <si>
    <t>BOOKTWR10YEARS</t>
  </si>
  <si>
    <t>ANNBOOKTWRITD</t>
  </si>
  <si>
    <t>8b. BENCHMARKASSOCIATION</t>
  </si>
  <si>
    <t>BENCHMARKIDENTIFIER</t>
  </si>
  <si>
    <t>PRIORITY</t>
  </si>
  <si>
    <t>NUMBER(10,0),</t>
  </si>
  <si>
    <t>sequence</t>
  </si>
  <si>
    <t>Newly added</t>
  </si>
  <si>
    <t>VARCHAR2 (50)</t>
  </si>
  <si>
    <t>RELATIONSHIP_GROUP_ID</t>
  </si>
  <si>
    <t>VARCHAR2 (60)</t>
  </si>
  <si>
    <t>No</t>
  </si>
  <si>
    <t>RELATIONSHIP_GROUP_NAME</t>
  </si>
  <si>
    <t>CATEGORY</t>
  </si>
  <si>
    <t>RELATIONSHIPMANAGER</t>
  </si>
  <si>
    <t>TEAM_OWNER</t>
  </si>
  <si>
    <t>RELATIONSHIP_GROUP_MEMBER_ID</t>
  </si>
  <si>
    <t>VARCHAR2(350 BYTE)</t>
  </si>
  <si>
    <t>RELATIONSHIP_GROUP_MEMBER_NAME</t>
  </si>
  <si>
    <t xml:space="preserve">3/12 - Verbal confirm from IC that these match (will update once we get new list of fields names in their ETLs) - this caused mismatch because they have add'l text in the column. </t>
  </si>
  <si>
    <t>POIFOREIGNREFERENCE</t>
  </si>
  <si>
    <t>PERSON_ENTITY_ID</t>
  </si>
  <si>
    <t>FIRSTNAME</t>
  </si>
  <si>
    <t>FIRST_NAME</t>
  </si>
  <si>
    <t>LASTNAME</t>
  </si>
  <si>
    <t>LAST_NAME</t>
  </si>
  <si>
    <t>LEGALNAME</t>
  </si>
  <si>
    <t>VARCHAR2(150 BYTE)</t>
  </si>
  <si>
    <t>NAME</t>
  </si>
  <si>
    <t>ADDRESS1</t>
  </si>
  <si>
    <t>VARCHAR2(750 BYTE)</t>
  </si>
  <si>
    <t>MAILING_STREET</t>
  </si>
  <si>
    <t>CITY</t>
  </si>
  <si>
    <t>VARCHAR2(45 BYTE)</t>
  </si>
  <si>
    <t>MAILING_CITY</t>
  </si>
  <si>
    <t>STATE</t>
  </si>
  <si>
    <t>MAILING_STATE</t>
  </si>
  <si>
    <t>ZIPCODE</t>
  </si>
  <si>
    <t>VARCHAR2(15 BYTE)</t>
  </si>
  <si>
    <t>MAILING_ZIPCODE</t>
  </si>
  <si>
    <t>COUNTRYOFRESIDENCECODE</t>
  </si>
  <si>
    <t>MAILING_COUNTRY</t>
  </si>
  <si>
    <t>PHONE1</t>
  </si>
  <si>
    <t>MOBILE_PHONE</t>
  </si>
  <si>
    <t>ALTID1</t>
  </si>
  <si>
    <t>INFORMAL_GREETING</t>
  </si>
  <si>
    <t>BIRTHDAY</t>
  </si>
  <si>
    <t>BIRTH_DATE</t>
  </si>
  <si>
    <t>GREETING</t>
  </si>
  <si>
    <t>VARCHAR2(800 BYTE)</t>
  </si>
  <si>
    <t>FORMAL_GREETING</t>
  </si>
  <si>
    <t>MIDDLENAME</t>
  </si>
  <si>
    <t>MIDDLE_NAME</t>
  </si>
  <si>
    <t>PHONE2</t>
  </si>
  <si>
    <t>ALTERNATE_PHONE</t>
  </si>
  <si>
    <t>SALUTATION</t>
  </si>
  <si>
    <t>TITLE</t>
  </si>
  <si>
    <t>CORPORATE_TITLE</t>
  </si>
  <si>
    <t>EMAIL1</t>
  </si>
  <si>
    <t>EMAIL</t>
  </si>
  <si>
    <t>New-Jupiter</t>
  </si>
  <si>
    <t>LEGAL_STREET</t>
  </si>
  <si>
    <t>N/A</t>
  </si>
  <si>
    <t>LEGAL_CITY</t>
  </si>
  <si>
    <t>LEGAL_ZIPCODE</t>
  </si>
  <si>
    <t>LEGAL_COUNTRY</t>
  </si>
  <si>
    <t>TAX_BRACKET</t>
  </si>
  <si>
    <t>COUNTRYOFCITIZENSHIPCODE</t>
  </si>
  <si>
    <t>11. FAMILYMEMBER to ACCOUNT</t>
  </si>
  <si>
    <t>BR_ACCT</t>
  </si>
  <si>
    <t>17. USERS</t>
  </si>
  <si>
    <t>EMAILADDRESS</t>
  </si>
  <si>
    <t>emailaddress</t>
  </si>
  <si>
    <t>firstname</t>
  </si>
  <si>
    <t>middlename</t>
  </si>
  <si>
    <t>lastname</t>
  </si>
  <si>
    <t>USERNAME</t>
  </si>
  <si>
    <t>username</t>
  </si>
  <si>
    <t>address1</t>
  </si>
  <si>
    <t>ADDRESS2</t>
  </si>
  <si>
    <t>address2</t>
  </si>
  <si>
    <t>city</t>
  </si>
  <si>
    <t>STATEPROVINCE</t>
  </si>
  <si>
    <t>stateprovince</t>
  </si>
  <si>
    <t>ZIPPOSTALCODE</t>
  </si>
  <si>
    <t>zippostalcode</t>
  </si>
  <si>
    <t>PRIMARYPHONENUMBER</t>
  </si>
  <si>
    <t>primaryphonenumber</t>
  </si>
  <si>
    <t>PRIMARYPHONENUMBEREXT</t>
  </si>
  <si>
    <t>primaryphonenumberext</t>
  </si>
  <si>
    <t>COUNTRYORREGION</t>
  </si>
  <si>
    <t>countryorregion</t>
  </si>
  <si>
    <t>PREFERREDNAME</t>
  </si>
  <si>
    <t>preferredname</t>
  </si>
  <si>
    <t>altid1</t>
  </si>
  <si>
    <t>ALTID2</t>
  </si>
  <si>
    <t>altid2</t>
  </si>
  <si>
    <t>ALTID3</t>
  </si>
  <si>
    <t>altid3</t>
  </si>
  <si>
    <t>phone2</t>
  </si>
  <si>
    <t>PHONE3</t>
  </si>
  <si>
    <t>phone3</t>
  </si>
  <si>
    <t>STATUS</t>
  </si>
  <si>
    <t>VARCHAR2(10 BYTE)</t>
  </si>
  <si>
    <t>status</t>
  </si>
  <si>
    <t>ANSWERTOSECRETQUESTION</t>
  </si>
  <si>
    <t>answertosecretquestion</t>
  </si>
  <si>
    <t>ANSWERTOSECRETQUESTION2</t>
  </si>
  <si>
    <t>answertosecretquestion2</t>
  </si>
  <si>
    <t>ANSWERTOSECRETQUESTION3</t>
  </si>
  <si>
    <t>answertosecretquestion3</t>
  </si>
  <si>
    <t>SECRETQUESTION</t>
  </si>
  <si>
    <t>secretquestion</t>
  </si>
  <si>
    <t>SECRETQUESTION2</t>
  </si>
  <si>
    <t>secretquestion2</t>
  </si>
  <si>
    <t>SECRETQUESTION3</t>
  </si>
  <si>
    <t>secretquestion3</t>
  </si>
  <si>
    <t xml:space="preserve">18. USER to ACCOUNT </t>
  </si>
  <si>
    <t>ACCOUNTID</t>
  </si>
  <si>
    <t>accountshortname</t>
  </si>
  <si>
    <t>Project Required</t>
  </si>
  <si>
    <t>tenantid</t>
  </si>
  <si>
    <t>20. USER to CLIENT ROLE</t>
  </si>
  <si>
    <t>CLIENTROLENAME</t>
  </si>
  <si>
    <t>clientrolename</t>
  </si>
  <si>
    <t>23. PARTYOFINTEREST</t>
  </si>
  <si>
    <t>3/12 - Difference in case</t>
  </si>
  <si>
    <t>salutation</t>
  </si>
  <si>
    <t>fullname</t>
  </si>
  <si>
    <t>PARTYROLE</t>
  </si>
  <si>
    <t>partyrole</t>
  </si>
  <si>
    <t>SHORTNAME</t>
  </si>
  <si>
    <t>shortname</t>
  </si>
  <si>
    <t>email1</t>
  </si>
  <si>
    <t>title</t>
  </si>
  <si>
    <t>tenantname</t>
  </si>
  <si>
    <t>PARTYTYPE</t>
  </si>
  <si>
    <t>partytype</t>
  </si>
  <si>
    <t>3/14 - Newly add at NB due to SDS for Pilot reports</t>
  </si>
  <si>
    <t>FAX</t>
  </si>
  <si>
    <t>COUNTRYOFRESIDENCEID</t>
  </si>
  <si>
    <t>24. POI to ACCOUNT</t>
  </si>
  <si>
    <t xml:space="preserve"> </t>
  </si>
  <si>
    <t>This is the last ETL that runs in NEB010</t>
  </si>
  <si>
    <t>WWH Link:</t>
  </si>
  <si>
    <t>Neuberger Berman Data Integration Spec - User to AccountGroupSecure Permission Logic.docx</t>
  </si>
  <si>
    <t>Source File Mappings</t>
  </si>
  <si>
    <t>Change History</t>
  </si>
  <si>
    <t>Orange Label</t>
  </si>
  <si>
    <t>In Orange</t>
  </si>
  <si>
    <t>Blue Label</t>
  </si>
  <si>
    <t>In Blue</t>
  </si>
  <si>
    <t>Default Value</t>
  </si>
  <si>
    <t>Col #</t>
  </si>
  <si>
    <t>Mapped?</t>
  </si>
  <si>
    <t>Portal location client</t>
  </si>
  <si>
    <t>Portal location Advisor</t>
  </si>
  <si>
    <t>NB No.</t>
  </si>
  <si>
    <t>NB Misc Notes</t>
  </si>
  <si>
    <t>None</t>
  </si>
  <si>
    <t>ACCT_MMDDYYYYHHmmSS.txt</t>
  </si>
  <si>
    <t>nmb_date</t>
  </si>
  <si>
    <t>05/22/2018</t>
  </si>
  <si>
    <t>Date the account was closed</t>
  </si>
  <si>
    <t xml:space="preserve">Common InterfaceACCOUNT  - NB v0.0 </t>
  </si>
  <si>
    <t>Initial Mapping</t>
  </si>
  <si>
    <t>ACCOUNTCLOSEREASON</t>
  </si>
  <si>
    <t>Description or category for acount closure reason</t>
  </si>
  <si>
    <t>N/A Not Mapped</t>
  </si>
  <si>
    <t>CHAR(3)</t>
  </si>
  <si>
    <t>operating_unit</t>
  </si>
  <si>
    <t>Business unit code.</t>
  </si>
  <si>
    <t>CHAR(30)</t>
  </si>
  <si>
    <t>operating_unit_desc</t>
  </si>
  <si>
    <t>Multi Asset Clients ISG</t>
  </si>
  <si>
    <t>Business unit name.</t>
  </si>
  <si>
    <t>CHAR(16)</t>
  </si>
  <si>
    <t>A truncated copy of the target name on the account</t>
  </si>
  <si>
    <t>sort_name</t>
  </si>
  <si>
    <t>BERNAL SILVA MIC</t>
  </si>
  <si>
    <t>The name of the Account that is friendly to the fund, defined by the fund.</t>
  </si>
  <si>
    <t>ACCOUNTLASTREVIEWDATE</t>
  </si>
  <si>
    <t>Date Account last reviewed.</t>
  </si>
  <si>
    <t>manager.last_name
manager.last_name</t>
  </si>
  <si>
    <t>ISG</t>
  </si>
  <si>
    <t>The Investment Advisor / Representative code for the account</t>
  </si>
  <si>
    <t>x</t>
  </si>
  <si>
    <t>ACCOUNTMANDATE</t>
  </si>
  <si>
    <t>Account Mandate used for Jupiter</t>
  </si>
  <si>
    <t>Account mandate description</t>
  </si>
  <si>
    <t>VARCHAR(124,31)</t>
  </si>
  <si>
    <t>Title of account</t>
  </si>
  <si>
    <t>account_title</t>
  </si>
  <si>
    <t xml:space="preserve">MICHAEL R </t>
  </si>
  <si>
    <t>The full legal name of the account</t>
  </si>
  <si>
    <t>CHAR(8)</t>
  </si>
  <si>
    <t>unique NB account number</t>
  </si>
  <si>
    <t>52305681</t>
  </si>
  <si>
    <t>The account number of the prime broker account or custody account (may be Conifer, Goldman, MS etc)</t>
  </si>
  <si>
    <t>ACCOUNTOBJECTIVE</t>
  </si>
  <si>
    <t>MQMA onboarding</t>
  </si>
  <si>
    <t>Asset Class</t>
  </si>
  <si>
    <t>If Client file ACCT_MMDDYYYYHHmmSS.txt field "ACCOUNTSOURCE" = IC Green, then apply the below logic:
Logic: Using Client file ACCT_MMDDYYYYHHmmSS.txt field "ALTSYSTEMID1" lookup the vs Im.AccountPlus field "ALTSYSTEMID1" We only for Accounts that fall into the below parameters that have an "ALTSYSTEMID1"
AccountSource = MQMA IC
AccountStatus = OPEN
Populate this field the value in Im.AccountInfo field "ACCOUNTOBJECTIVE" of the record located.
If no match, keep this field blank.</t>
  </si>
  <si>
    <t>International Equity</t>
  </si>
  <si>
    <t>DATE(MM/DD/YYYY)</t>
  </si>
  <si>
    <t>Inception Date of the Account</t>
  </si>
  <si>
    <t>Date the account was opened</t>
  </si>
  <si>
    <t>01/01/2018</t>
  </si>
  <si>
    <t>Common Interface NB v0.9</t>
  </si>
  <si>
    <t>CHAR(15) / CHAR(30)</t>
  </si>
  <si>
    <t>contact_master.fname+
conatct_master.lname /
contact_master.entity_name</t>
  </si>
  <si>
    <t>MICHAEL R BERNAL SILVA</t>
  </si>
  <si>
    <t>Open text to describe the owner of the account</t>
  </si>
  <si>
    <t>CHAR(10)</t>
  </si>
  <si>
    <t>derive from client_type</t>
  </si>
  <si>
    <t>Person</t>
  </si>
  <si>
    <t>Description or categorization of the type of owner of the account.</t>
  </si>
  <si>
    <t>ACCOUNTREOPENDATE</t>
  </si>
  <si>
    <t>Date the account was reopened</t>
  </si>
  <si>
    <t>The short name or code (readable) for accounts to aid in matching, identifying and queries. Must be unique across all accounts.</t>
  </si>
  <si>
    <t>ACCOUNTSOURCE</t>
  </si>
  <si>
    <t>If input.AccountSource = "IC Green"
  map "GREEN IC"
Else, map "ODYSSEY"</t>
  </si>
  <si>
    <t>Account Source</t>
  </si>
  <si>
    <t>Description for the source of the account, maybe used to distinguish between employees and other clients.</t>
  </si>
  <si>
    <t>IS_MANAGED_ACCOUNT</t>
  </si>
  <si>
    <t>F – former investment advisory 
C – trust custody 
N – non-managed 
Y – Investment advisory 
S - Strategy</t>
  </si>
  <si>
    <t>A for Active</t>
  </si>
  <si>
    <t>CHAR(6)</t>
  </si>
  <si>
    <t>No More Business flag</t>
  </si>
  <si>
    <t>nmb</t>
  </si>
  <si>
    <t>NEUDP - 5217 For AccountStatus=Active tranform Value to "OPEN"</t>
  </si>
  <si>
    <t>Closed</t>
  </si>
  <si>
    <t>Current status of the account</t>
  </si>
  <si>
    <t>ACCOUNTSTRATEGYNAME</t>
  </si>
  <si>
    <t>CHAR(100)</t>
  </si>
  <si>
    <t>Defines the Strategy at the Account level</t>
  </si>
  <si>
    <t>Multi Strategy</t>
  </si>
  <si>
    <t>Current Account-level Strategy</t>
  </si>
  <si>
    <t>?</t>
  </si>
  <si>
    <t>NB requested for Account level Reporting</t>
  </si>
  <si>
    <t>ACCOUNTSUBDIVISIONCODE</t>
  </si>
  <si>
    <t>[Reserved]
MAPPED FROM MQMA</t>
  </si>
  <si>
    <t>[Reserved for Jupiter Functionality]</t>
  </si>
  <si>
    <t>Salesforce Id</t>
  </si>
  <si>
    <t>If Client file ACCT_MMDDYYYYHHmmSS.txt field "ACCOUNTSOURCE" = IC Green, then apply the below logic:
Logic: Using Client file ACCT_MMDDYYYYHHmmSS.txt field "ALTSYSTEMID1" lookup the vs Im.AccountPlus field "ALTSYSTEMID1" We only for Accounts that fall into the below parameters that have an "ALTSYSTEMID1"
AccountSource = MQMA IC
AccountStatus = OPEN
Populate this field the value in Im.AccountInfo field "ACCOUNTSUBDIVISIONCODE" of the record located.
If no match, keep this field blank.</t>
  </si>
  <si>
    <t>0010B00001vjEzyQAE</t>
  </si>
  <si>
    <t>Sub-business unit code.</t>
  </si>
  <si>
    <t>ACCOUNTSUBDIVISIONNAME</t>
  </si>
  <si>
    <t>If Client file ACCT_MMDDYYYYHHmmSS.txt field "ACCOUNTSOURCE" = IC Green, then apply the below logic:
Logic: Using Client file ACCT_MMDDYYYYHHmmSS.txt field "ALTSYSTEMID1" lookup the vs Im.AccountPlus field "ALTSYSTEMID1" We only for Accounts that fall into the below parameters that have an "ALTSYSTEMID1"
AccountSource = MQMA IC
AccountStatus = OPEN
Populate this field the value in Im.AccountInfo field "ACCOUNTSUBDIVISIONNAME" of the record located.
If no match, keep this field blank.</t>
  </si>
  <si>
    <t>a094O00001uJ1yWQAS-a0A4O000029dF5IUAU</t>
  </si>
  <si>
    <t>Sub-business unit name.</t>
  </si>
  <si>
    <t>ACCOUNTSUBOBJECTIVE</t>
  </si>
  <si>
    <t>ACCOUNTSTRATEGY (LAST MQMA QUESTION)</t>
  </si>
  <si>
    <t>Tax Strategy</t>
  </si>
  <si>
    <t>If Client file ACCT_MMDDYYYYHHmmSS.txt field "ACCOUNTSOURCE" = IC Green, then apply the below logic:
Logic: Using Client file ACCT_MMDDYYYYHHmmSS.txt field "ALTSYSTEMID1" lookup the vs Im.AccountPlus field "ALTSYSTEMID1" We only for Accounts that fall into the below parameters that have an "ALTSYSTEMID1"
AccountSource = MQMA IC
AccountStatus = OPEN
Populate this field the value in Im.AccountInfo field "ACCOUNTSUBOBJECTIVE" of the record located.
If no match, keep this field blank.</t>
  </si>
  <si>
    <t>Gain Deferral</t>
  </si>
  <si>
    <t>CHAR(50)</t>
  </si>
  <si>
    <t>client_type_desc</t>
  </si>
  <si>
    <t>Joint Right Of Survivorship</t>
  </si>
  <si>
    <t>For reporting purposes, the type of account: e.g. Taxable, IRA, Prime Broker</t>
  </si>
  <si>
    <t>ALLOWCASHTRANSFER</t>
  </si>
  <si>
    <t>CHAR(1)</t>
  </si>
  <si>
    <t>TBD</t>
  </si>
  <si>
    <t>Allow Cash Transfers on this account (to be depreciated and replaced with Aspects)</t>
  </si>
  <si>
    <t>Plan for mapping</t>
  </si>
  <si>
    <t>ALTACCOUNTFRIEDNLYNAME</t>
  </si>
  <si>
    <t>cust_ac_no/new_br_acct</t>
  </si>
  <si>
    <t>NBJ041157</t>
  </si>
  <si>
    <t>Alternative System Identifiers for reconciliation with 3rd parties</t>
  </si>
  <si>
    <t>ALTSYSTEMID2</t>
  </si>
  <si>
    <t>Common Interface NB v2</t>
  </si>
  <si>
    <t>Use for AccountGroupAutomation</t>
  </si>
  <si>
    <t>ALTSYSTEMID3</t>
  </si>
  <si>
    <t>MAPPED FROM MQMA</t>
  </si>
  <si>
    <t>[Reserved for Jupiter Functionality]
Manager Code</t>
  </si>
  <si>
    <t>Manager Code</t>
  </si>
  <si>
    <r>
      <rPr>
        <sz val="10"/>
        <color rgb="FF000000"/>
        <rFont val="Helvetica Neue"/>
      </rPr>
      <t>If Client file ACCT_MMDDYYYYHHmmSS.txt field "ACCOUNTSOURCE" = IC Green, then apply the below logic:
Logic: Using Client file ACCT_MMDDYYYYHHmmSS.txt field "ALTSYSTEMID1" lookup the vs Im.AccountPlus field "ALTSYSTEMID1" We only for Accounts that fall into the below parameters that have an "ALTSYSTEMID1"
AccountSource = MQMA IC
AccountStatus = OPEN
Populate this field the value in Im.AccountInfo field "</t>
    </r>
    <r>
      <rPr>
        <b/>
        <sz val="10"/>
        <color rgb="FF000000"/>
        <rFont val="Helvetica Neue"/>
      </rPr>
      <t>ALTSYSTEMID4</t>
    </r>
    <r>
      <rPr>
        <sz val="10"/>
        <color rgb="FF000000"/>
        <rFont val="Helvetica Neue"/>
      </rPr>
      <t>" of the record located.
If no match, keep this field blank.</t>
    </r>
  </si>
  <si>
    <t>BHIEMF3</t>
  </si>
  <si>
    <t>The mapping of ALTSYSTEMID4 (MQMA) to ALTSYSTEMID3 
is intentional and NOT a typo!</t>
  </si>
  <si>
    <t>ALTSYSTEMID4</t>
  </si>
  <si>
    <t>ALTSYSTEMID5</t>
  </si>
  <si>
    <t>ALTSYSTEMID6</t>
  </si>
  <si>
    <t>[Reserved for Jupiter Functionality]
Program Name</t>
  </si>
  <si>
    <t>Program Name</t>
  </si>
  <si>
    <t>If Client file ACCT_MMDDYYYYHHmmSS.txt field "ACCOUNTSOURCE" = IC Green, then apply the below logic:
Logic: Using Client file ACCT_MMDDYYYYHHmmSS.txt field "ALTSYSTEMID1" lookup the vs Im.AccountPlus field "ALTSYSTEMID1" We only for Accounts that fall into the below parameters that have an "ALTSYSTEMID1"
AccountSource = MQMA IC
AccountStatus = OPEN
Populate this field the value in Im.AccountInfo field "ALTSYSTEMID6" of the record located.
If no match, keep this field blank.</t>
  </si>
  <si>
    <t>Tax Managed Startegies (TaxM)</t>
  </si>
  <si>
    <t>ALTSYSTEMID7</t>
  </si>
  <si>
    <t>[Reserved for Jupiter Functionality]
Account Name</t>
  </si>
  <si>
    <t>Account Name</t>
  </si>
  <si>
    <t>If Client file ACCT_MMDDYYYYHHmmSS.txt field "ACCOUNTSOURCE" = IC Green, then apply the below logic:
Logic: Using Client file ACCT_MMDDYYYYHHmmSS.txt field "ALTSYSTEMID1" lookup the vs Im.AccountPlus field "ALTSYSTEMID1" We only for Accounts that fall into the below parameters that have an "ALTSYSTEMID1"
AccountSource = MQMA IC
AccountStatus = OPEN
Populate this field the value in Im.AccountInfo field "ALTSYSTEMID7" of the record located.
If no match, keep this field blank.</t>
  </si>
  <si>
    <t>Annamalai Ramaswamy</t>
  </si>
  <si>
    <t>ALTSYSTEMID8</t>
  </si>
  <si>
    <t>-</t>
  </si>
  <si>
    <t>IF altsystemid4 is NULL
     Then ALTSYSTEMID8 = CONCAT(ALTSYSTEMID2,ACCOUNTTYPE)
IF ALTSYSTEMID4 IS NOT NULL
    THEN SORT (ALTSYSTEMID2,ALTSYSTEMID4)
    AND ALTSYSTEMID8 = CONCAT([sorted tax ids],ACCOUNTTYPE)</t>
  </si>
  <si>
    <t>Required logic for account group automation</t>
  </si>
  <si>
    <t>ALTSYSTEMID9</t>
  </si>
  <si>
    <t>IF ALTSYSTEMID4 IS NULL
    THEN ALTSYSTEMID9 = “S”
IF ALTSYSTEMID4 is NOT NULL
    THEN ALTSYSTEMID9 = “D”</t>
  </si>
  <si>
    <t>BE_APPVERSION</t>
  </si>
  <si>
    <t>InvestCloud Use Only: Do Not Map</t>
  </si>
  <si>
    <t>BE_CREATIME</t>
  </si>
  <si>
    <t>BE_PROGNAME</t>
  </si>
  <si>
    <t>BE_SOURCE</t>
  </si>
  <si>
    <t>BE_UPDTTIME</t>
  </si>
  <si>
    <t>BE_USERNAME</t>
  </si>
  <si>
    <t>BE_VERNO</t>
  </si>
  <si>
    <t>Common Interface NB v1.2</t>
  </si>
  <si>
    <t>Updated based on CC-NB 01 needed for accountgroupautomation</t>
  </si>
  <si>
    <t>ISO currency code for the base currency of the account</t>
  </si>
  <si>
    <t>base_curr_id</t>
  </si>
  <si>
    <t>USD</t>
  </si>
  <si>
    <t>The currency of denomination of the account</t>
  </si>
  <si>
    <t>CAPITALATRISK</t>
  </si>
  <si>
    <t>NUMBER(22,5)</t>
  </si>
  <si>
    <t>[Reserved]</t>
  </si>
  <si>
    <t>If Client file ACCT_MMDDYYYYHHmmSS.txt field "ACCOUNTSOURCE" = IC Green, then apply the below logic:
Logic: Using Client file ACCT_MMDDYYYYHHmmSS.txt field "ALTSYSTEMID1" lookup the vs Im.AccountPlus field "ALTSYSTEMID1" We only for Accounts that fall into the below parameters that have an "ALTSYSTEMID1"
AccountSource = MQMA IC
AccountStatus = OPEN
Populate this field the value in Im.AccountInfo field "CAPITALATIRSK" of the record located.
If no match, keep this field blank.</t>
  </si>
  <si>
    <t>CAPITALCOMMITMENTAMOUNT</t>
  </si>
  <si>
    <t>Lookup vs Im.AccountInfo field CapitalCommitmentAmount</t>
  </si>
  <si>
    <t>Mandate</t>
  </si>
  <si>
    <t>If Client file ACCT_MMDDYYYYHHmmSS.txt field "ACCOUNTSOURCE" = IC Green, then apply the below logic:
Logic: Using Client file ACCT_MMDDYYYYHHmmSS.txt field "ALTSYSTEMID1" lookup the vs Im.AccountPlus field "ALTSYSTEMID1" We only for Accounts that fall into the below parameters that have an "ALTSYSTEMID1"
AccountSource = MQMA IC
AccountStatus = OPEN
Populate this field the value in Im.AccountInfo field "CapitalCommitmentAmount" of the record located.
If no match, keep this field blank.</t>
  </si>
  <si>
    <t>Capital Commitment on account</t>
  </si>
  <si>
    <t>CAPITALCOMMITMENTDATE</t>
  </si>
  <si>
    <t>Date of Capital Committed</t>
  </si>
  <si>
    <t>CLASSACTIONINCL</t>
  </si>
  <si>
    <t>Account’s assets included on class actions (flag).</t>
  </si>
  <si>
    <t>CHAR(40)</t>
  </si>
  <si>
    <t>client_type_cat</t>
  </si>
  <si>
    <t>JOINT</t>
  </si>
  <si>
    <t>Account Classification (Flexible)</t>
  </si>
  <si>
    <t>[Reserved for Jupiter Functionality]
Benchmark Name</t>
  </si>
  <si>
    <t>If Client file ACCT_MMDDYYYYHHmmSS.txt field "ACCOUNTSOURCE" = IC Green, then apply the below logic:
Logic: Using Client file ACCT_MMDDYYYYHHmmSS.txt field "ALTSYSTEMID1" lookup the vs Im.AccountPlus field "ALTSYSTEMID1" We only for Accounts that fall into the below parameters that have an "ALTSYSTEMID1"
AccountSource = MQMA IC
AccountStatus = OPEN
Populate this field the value in Im.AccountInfo field "CLASSIFICATION2" of the record located.
If no match, keep this field blank.</t>
  </si>
  <si>
    <t>MSCI EAFE</t>
  </si>
  <si>
    <t>CLASSIFICATION3</t>
  </si>
  <si>
    <t>[Reserved for Jupiter Functionality]
Transition Analysis</t>
  </si>
  <si>
    <t>Transition Analysis</t>
  </si>
  <si>
    <t>If Client file ACCT_MMDDYYYYHHmmSS.txt field "ACCOUNTSOURCE" = IC Green, then apply the below logic:
Logic: Using Client file ACCT_MMDDYYYYHHmmSS.txt field "ALTSYSTEMID1" lookup the vs Im.AccountPlus field "ALTSYSTEMID1" We only for Accounts that fall into the below parameters that have an "ALTSYSTEMID1"
AccountSource = MQMA IC
AccountStatus = OPEN
Populate this field the value in Im.AccountInfo field "CLASSIFICATION3" of the record located.
If no match, keep this field blank.</t>
  </si>
  <si>
    <t>Low Tracking Error</t>
  </si>
  <si>
    <t>CLASSIFICATION4</t>
  </si>
  <si>
    <t>[Reserved for Jupiter Functionality]
Investment Strategy</t>
  </si>
  <si>
    <t>Investment Strategy</t>
  </si>
  <si>
    <t>If Client file ACCT_MMDDYYYYHHmmSS.txt field "ACCOUNTSOURCE" = IC Green, then apply the below logic:
Logic: Using Client file ACCT_MMDDYYYYHHmmSS.txt field "ALTSYSTEMID1" lookup the vs Im.AccountPlus field "ALTSYSTEMID1" We only for Accounts that fall into the below parameters that have an "ALTSYSTEMID1"
AccountSource = MQMA IC
AccountStatus = OPEN
Populate this field the value in Im.AccountInfo field "CLASSIFICATION4" of the record located.
If no match, keep this field blank.</t>
  </si>
  <si>
    <t>Mu;ti-Factor</t>
  </si>
  <si>
    <t>CLASSIFICATION5</t>
  </si>
  <si>
    <t>[Reserved for Jupiter Functionality]
ESG Implementation</t>
  </si>
  <si>
    <t>If Client file ACCT_MMDDYYYYHHmmSS.txt field "ACCOUNTSOURCE" = IC Green, then apply the below logic:
Logic: Using Client file ACCT_MMDDYYYYHHmmSS.txt field "ALTSYSTEMID1" lookup the vs Im.AccountPlus field "ALTSYSTEMID1" We only for Accounts that fall into the below parameters that have an "ALTSYSTEMID1"
AccountSource = MQMA IC
AccountStatus = OPEN
Populate this field the value in Im.AccountInfo field "CLASSIFICATION5" of the record located.
If no match, keep this field blank.</t>
  </si>
  <si>
    <t>ESG Tilt</t>
  </si>
  <si>
    <t>CHAR(15)</t>
  </si>
  <si>
    <t>portdir.tax</t>
  </si>
  <si>
    <t>Taxable</t>
  </si>
  <si>
    <t>Client tax status for the purposes of the specific account.</t>
  </si>
  <si>
    <t>STTS</t>
  </si>
  <si>
    <t>e.g. LIFO, FIFO, HIFO, Average Cost, etc.</t>
  </si>
  <si>
    <t>CHAR(20)</t>
  </si>
  <si>
    <t>inv_adv</t>
  </si>
  <si>
    <t>Discretionary</t>
  </si>
  <si>
    <t>Discretionary account status e.g. Full etc.</t>
  </si>
  <si>
    <t>DocumentAccessCode</t>
  </si>
  <si>
    <t>TR_TRUST_CAP</t>
  </si>
  <si>
    <t>VARCHAR2(8)</t>
  </si>
  <si>
    <t>ISO Country Code</t>
  </si>
  <si>
    <t>geo_desc</t>
  </si>
  <si>
    <t>US</t>
  </si>
  <si>
    <t>Country where the account is registered/based</t>
  </si>
  <si>
    <t>ENDOFDAY</t>
  </si>
  <si>
    <t>The GMT time at which owning financial instiution ends its day</t>
  </si>
  <si>
    <t>FYSTARTDATE</t>
  </si>
  <si>
    <t>The first date of the fiscal year for the account</t>
  </si>
  <si>
    <t>CHAR(2)</t>
  </si>
  <si>
    <t>geo(state code based on geo)</t>
  </si>
  <si>
    <t>FL</t>
  </si>
  <si>
    <t>State where the account is registered/based,</t>
  </si>
  <si>
    <t>ICACCOUNTTYPE</t>
  </si>
  <si>
    <t>ICExcludeGreenFlag</t>
  </si>
  <si>
    <t>If input.ACCOUNTSOURCE is null OR is NOT "IC Green", map "Y"
 Else, leave blank</t>
  </si>
  <si>
    <t>See comment</t>
  </si>
  <si>
    <t>InvestorConsultant</t>
  </si>
  <si>
    <t>See Comment</t>
  </si>
  <si>
    <t>ACCT
Field Advisor_Team
For EA Account - Im.user.PrewfferredName</t>
  </si>
  <si>
    <t>NEUDP - 1667:
For Internal account = ACCT FILE field “Advisor Team”
For external Account = The user that create the cif 
1.2. Logic : 
1.2.1. Update field InvestmentConsultant in Im.AccountPlus
for each account check if the account is Internal account or External account - If tenant name is NuebergerBerman then “Internal” Else “External” 
For Internal account - from file ACCT for each account check field Advisor_Team if filed is not null update field  InvestmentConsultant
For External Account - For each account  go to Im.User get field PreferendName.</t>
  </si>
  <si>
    <t>LEGALENTITYID</t>
  </si>
  <si>
    <t>LOCKEDSTATUS</t>
  </si>
  <si>
    <t xml:space="preserve">NEUDP - 1847 
The field uses to identifiled Locked Status during the CIF WF 
Value "Y" = Locked
Value "N" = Unlocked </t>
  </si>
  <si>
    <t>region_desc</t>
  </si>
  <si>
    <t>North America</t>
  </si>
  <si>
    <t>Short Name for the location of the account owner</t>
  </si>
  <si>
    <t>POSTINGSYSTEM</t>
  </si>
  <si>
    <t>InvestCloud Use Only: Do Not Map; If supplied MUST be in ALL CAPS and only the following are valid entries: PALADYNE, GENEVA, AXYS, EZE, ACTIV, POSITIONKEEPING</t>
  </si>
  <si>
    <t>PREFERREDSECURITYIDENTIFIER</t>
  </si>
  <si>
    <t>If available, this is the security identifier that is displayed on reports (Options include TICKER, CUSIP, SEDOL, PRIMARYSECURITYSYMBOL, ISIN, ENTERPRISESYMBOL)</t>
  </si>
  <si>
    <t>NEWISSUESTATUS</t>
  </si>
  <si>
    <t>MQMA Onboarding</t>
  </si>
  <si>
    <t>[Rerved for Jupiter Functionality]
Supplemental Value Field Name</t>
  </si>
  <si>
    <t>Annual Budget</t>
  </si>
  <si>
    <t>REGREPORTING</t>
  </si>
  <si>
    <t>Account included in regulatory reporting.</t>
  </si>
  <si>
    <t>REPORTINGCCY</t>
  </si>
  <si>
    <t>Curreny to which holdings should be converted to</t>
  </si>
  <si>
    <t>STGLOADID</t>
  </si>
  <si>
    <t>STGMESSAGE</t>
  </si>
  <si>
    <t>STGRECORDACTION</t>
  </si>
  <si>
    <t>STGRECORDSETID</t>
  </si>
  <si>
    <t>STGSEQUENCEINSTREAM</t>
  </si>
  <si>
    <t>STGSTATUS</t>
  </si>
  <si>
    <t>TAXCLASSDESC</t>
  </si>
  <si>
    <t>Account tax class description.</t>
  </si>
  <si>
    <t>Account Short Name</t>
  </si>
  <si>
    <t>TIMEZONE</t>
  </si>
  <si>
    <t>The timezone that the primary account owner operate in</t>
  </si>
  <si>
    <t>USER_ID</t>
  </si>
  <si>
    <t>If ACCOUNTSOURCE = "IC Green", perform logic below. Else, leave blank.
If input.PBCODE does not exist, map "NFS"
Otherwise, lookup CodeSetSecure.Value
 where CodeType = EXECUTIONVENUE
 and TenantName = &lt;ETL TenantName, default L1&gt;
 and Code = input.PBCODE
If nothing found in the lookup, map blank value</t>
  </si>
  <si>
    <t>Logic: If Client file field "ALTSYSTEMID1" begins with either of the below: NEB NBZ NBN then please input 'NFS' into this field</t>
  </si>
  <si>
    <t>The short name/code for the Broker/Custodian where this account is held</t>
  </si>
  <si>
    <t>USERDEFINEDDATE2</t>
  </si>
  <si>
    <t>User defined date (Flexible)</t>
  </si>
  <si>
    <t>USERDEFINEDDATE3</t>
  </si>
  <si>
    <t>USERDEFINEDDATE4</t>
  </si>
  <si>
    <t>If ACCOUNTSOURCE = "IC Green", perform logic below. Else, leave blank.
If input.PBCODE does not exist, map "NFS"
Otherwise, lookup CodeSetSecure.Value2
 where CodeType = EXECUTIONVENUE
 and TenantName = &lt;ETL TenantName, default L1&gt;
 and Code = input.PBCODE
If nothing found in the lookup, map input.PBNAME</t>
  </si>
  <si>
    <t>The full name/code for the Broker/Custodian where this account is held</t>
  </si>
  <si>
    <t>PERFBEGINDATE</t>
  </si>
  <si>
    <t>If input.AccountSource = "IC Green"
   If the account does NOT exist in IC, map input.UserDefinedDate1
   If the account already exists, do not update the existing value.
Else, leave it blank.</t>
  </si>
  <si>
    <t>open_date</t>
  </si>
  <si>
    <t>Start date for Performance Calculations on Account.</t>
  </si>
  <si>
    <t>USERDEFINEDMONEY2</t>
  </si>
  <si>
    <t>User defined amount (Flexible)</t>
  </si>
  <si>
    <t>proxy_flag</t>
  </si>
  <si>
    <t>Account assets include in Proxy voting (flag).</t>
  </si>
  <si>
    <t>3/12 -RP from IC advised names in the ETL Name &amp; NB Field name match.  Waiting confirm this is correct.</t>
  </si>
  <si>
    <t>01/03/2018</t>
  </si>
  <si>
    <t>USERDEFINEDMONEY1</t>
  </si>
  <si>
    <t>[Reserved for Jupiter Functionality]
Supplemental Value Amount</t>
  </si>
  <si>
    <t>If Client file ACCT_MMDDYYYYHHmmSS.txt field "ACCOUNTSOURCE" = IC Green, then apply the below logic:
Logic: Using Client file ACCT_MMDDYYYYHHmmSS.txt field "ALTSYSTEMID1" lookup the vs Im.AccountPlus field "ALTSYSTEMID1" We only for Accounts that fall into the below parameters that have an "ALTSYSTEMID1"
AccountSource = MQMA IC
AccountStatus = OPEN
Populate this field the value in Im.AccountInfo field "USERDEFINEDMONEY1" of the record located.
If no match, keep this field blank.</t>
  </si>
  <si>
    <t>See Note 1 for Defintion</t>
  </si>
  <si>
    <t>Note: If the load is for a profit and loss (PLL or PLLME) file, the file must be paired with the appropriate PLLALT (PLLALT, PLLALTME) file. No PLL file can be loaded alone. The BeAsOf of the files must match. If one file or the other is missing, do not load and  then escalate to @Tina Sanderson and @Jana Jensen.
Reject the entire file if the process_date on any row is &gt;= current date</t>
  </si>
  <si>
    <t>Note 2: Run Daily aggregation by account and by tenant for the PLL and PLLALT files only.</t>
  </si>
  <si>
    <t>NUMBER(22,10)</t>
  </si>
  <si>
    <t>Group By Enabled</t>
  </si>
  <si>
    <t>PLL_MMDDYYYYHHmmSS,PLLME_MMDDYYYYHHmmSS,PLLALT_MMDDYYYYHHmmSS,PLLALTME_MMDDYYYYHHmmSS</t>
  </si>
  <si>
    <t>char(8)</t>
  </si>
  <si>
    <t>client:napp1;</t>
  </si>
  <si>
    <t>Must be Unique. Short name or description for Account.</t>
  </si>
  <si>
    <t>Profitlosslite-20190110-Alts</t>
  </si>
  <si>
    <t>ALTSCOMMITMENTDATE</t>
  </si>
  <si>
    <t>date MM/DD/YYYY</t>
  </si>
  <si>
    <t>Commitment date</t>
  </si>
  <si>
    <t>common.FACT_AI_POSITION; Commitment date</t>
  </si>
  <si>
    <t>PMR will pass blanks</t>
  </si>
  <si>
    <t>Renamed on IC side. MVP Alts Field.</t>
  </si>
  <si>
    <t>ALTSDVPI</t>
  </si>
  <si>
    <t>net_dvpi</t>
  </si>
  <si>
    <t>Distributed Value to Paid-in Ratio</t>
  </si>
  <si>
    <t>mapped to PLUS table</t>
  </si>
  <si>
    <t>NEw field added for Private Investments / Hedge Fund</t>
  </si>
  <si>
    <t>ALTSECID1</t>
  </si>
  <si>
    <t>Map the string before the SECOND "-" in ClassifierId2.
  - E.g. Map "1-3" if ClassifierId2 = "1-3-31"</t>
  </si>
  <si>
    <t>Unqiue identifier for asset_class_2</t>
  </si>
  <si>
    <t>See Note 2 for additional options.</t>
  </si>
  <si>
    <t>Alternate Security Identifier.  May link to AltID1 on 5.SMCOMMON</t>
  </si>
  <si>
    <t>Unique Identifier for product_description</t>
  </si>
  <si>
    <t>nbproduct: Concatenate: [asset_class_id], "-", [asset_class_2_id],"-",[sub_asset_class_id,"-",product_number]</t>
  </si>
  <si>
    <t>if undefined (aka not in PH), NB will send 0-0-0-0 in the classifierid.</t>
  </si>
  <si>
    <t>1-3-31-1771</t>
  </si>
  <si>
    <t>Alternate Security Identifier.  May link to AltID3 on 5.SMCOMMON</t>
  </si>
  <si>
    <t>Common Interface NB v1.0</t>
  </si>
  <si>
    <t xml:space="preserve">Updated the Mapping / NB field.  Classifierid will be mapped to ALTSEC2 and will include PROD Number as it will be needed for other reporting. </t>
  </si>
  <si>
    <t>Unique Identifier for sub_asset_class</t>
  </si>
  <si>
    <t>nbproduct: Concatenate: [asset_class_id], "-", [asset_class_2_id],"-",[sub_asset_class_id]</t>
  </si>
  <si>
    <t>Since this is required at IC, NB has agreed to implement the following,  if undefined (aka not in PH), NB will send 0-0-0 in the classifierid.</t>
  </si>
  <si>
    <t>1-3-31</t>
  </si>
  <si>
    <t>Alternate Security Identifier.  May link to AltID2 on 5.SMCOMMON</t>
  </si>
  <si>
    <t>Updated the NB field name to be classifierid2 because classifierid will instead be leveraged for the mapping to ALTSECID2.</t>
  </si>
  <si>
    <t>ALTSMOIC</t>
  </si>
  <si>
    <t>varchar(5)</t>
  </si>
  <si>
    <t>Multiple on invested capital</t>
  </si>
  <si>
    <t>common.FACT_AI_POSITION_SUMMARY</t>
  </si>
  <si>
    <t>ALTSPERIODENDDATE</t>
  </si>
  <si>
    <t>Date of the last NAV</t>
  </si>
  <si>
    <t>common.FACT_AI_POSITION; Date of the last NAV</t>
  </si>
  <si>
    <t>ALTSPERIODSTARTDATE</t>
  </si>
  <si>
    <t>Date of the last NAV from prior month end</t>
  </si>
  <si>
    <t>decimal(18,2)</t>
  </si>
  <si>
    <t>annual income for the taxlot</t>
  </si>
  <si>
    <t>pmr:holdings;annual_income / mv_sys_xrate</t>
  </si>
  <si>
    <t>Annual Income in Book Currency</t>
  </si>
  <si>
    <t>dec(12,5)</t>
  </si>
  <si>
    <t xml:space="preserve">indicated annual dividend rate </t>
  </si>
  <si>
    <t>assets:assets;</t>
  </si>
  <si>
    <t>Annual income rate</t>
  </si>
  <si>
    <t>char(50)</t>
  </si>
  <si>
    <t>asset class description</t>
  </si>
  <si>
    <t>nbproduct:asset_class;</t>
  </si>
  <si>
    <t xml:space="preserve">Since this is required at IC, NB has agreed to implement the following,  if null, NB will send 'Undefined' to IC. </t>
  </si>
  <si>
    <t>Alternatives</t>
  </si>
  <si>
    <t>Major Asset Class (Highest Level, ususally: Equity, Fixed Income, Alternatives, Cash, etc.)</t>
  </si>
  <si>
    <t>Common Interface NB v0.2</t>
  </si>
  <si>
    <t>2/1 - updated ACL3. Send via email</t>
  </si>
  <si>
    <t xml:space="preserve">asset class 2 description </t>
  </si>
  <si>
    <t>nbproduct:asset_class2;</t>
  </si>
  <si>
    <t>Hedge Funds</t>
  </si>
  <si>
    <t>2nd Level Asset Class</t>
  </si>
  <si>
    <t>char(30)</t>
  </si>
  <si>
    <t>industry level description of security</t>
  </si>
  <si>
    <t>nbproduct:sub_asset_cl_desc;</t>
  </si>
  <si>
    <t>Lower Vol Hedge Funds</t>
  </si>
  <si>
    <t>3rd Level Asset Class</t>
  </si>
  <si>
    <t>decimal(18,6)</t>
  </si>
  <si>
    <t>unit cost of taxlot in USD</t>
  </si>
  <si>
    <t>pmr:holdings;unit_cost / sys_cost_xrate</t>
  </si>
  <si>
    <t>See data type IC only supports 5 decimal places</t>
  </si>
  <si>
    <t>Average unit cost in account's book currency</t>
  </si>
  <si>
    <t xml:space="preserve">unit cost of taxlot in local </t>
  </si>
  <si>
    <t>pmr:holdings ;</t>
  </si>
  <si>
    <t>Average unit cost in security's local currency</t>
  </si>
  <si>
    <t xml:space="preserve">unit_cost of taxlot in base </t>
  </si>
  <si>
    <t>pmr:holdings ;pmr:holdings.unit_cost / pmr:holdings.base_cost_xrate</t>
  </si>
  <si>
    <t>Average unit cost in account's reporting currency.</t>
  </si>
  <si>
    <t>BE_ACL</t>
  </si>
  <si>
    <t>nbcontrol:process_date  OR ASOF date;</t>
  </si>
  <si>
    <t>As of Date of the Holding. Should be the same for all holindgs in the file unless this is a special load file for multiple days</t>
  </si>
  <si>
    <t>BE_SNAPSHOTID</t>
  </si>
  <si>
    <t xml:space="preserve">insurer description for muni </t>
  </si>
  <si>
    <t>asset:muni_master;</t>
  </si>
  <si>
    <t>Bond's Insurer</t>
  </si>
  <si>
    <t>accrued of taxlot in USD</t>
  </si>
  <si>
    <t>pmr:holdings ;accr_int / ai_sys_xrate</t>
  </si>
  <si>
    <t>Accrued end Interest Balance for the holding/lot as of the date of the file in account's book currency</t>
  </si>
  <si>
    <t>BOOKACCRUEDINTPERIODSTART</t>
  </si>
  <si>
    <t>Accrued Interest Balance for the holding/lot as of the beginning of the day of the date of the file in account's book currency</t>
  </si>
  <si>
    <t>BOOKALTSCAPITALCONTRITD</t>
  </si>
  <si>
    <t>Contributions SI</t>
  </si>
  <si>
    <t>common.FACT_AI_POSITION_SUMMARY; Contributions SI</t>
  </si>
  <si>
    <t>BOOKALTSCAPITALCONTRPERIOD</t>
  </si>
  <si>
    <t>Contributions post NAV</t>
  </si>
  <si>
    <t>common.FACT_AI_POSITION_SUMMARY; Contributions post NAV</t>
  </si>
  <si>
    <t>BOOKALTSCAPITALDISTRITD</t>
  </si>
  <si>
    <t>Distributions SI</t>
  </si>
  <si>
    <t>common.FACT_AI_POSITION_SUMMARY; Distributions SI</t>
  </si>
  <si>
    <t>BOOKALTSCAPITALDISTRPERIOD</t>
  </si>
  <si>
    <t>Distributions post NAV</t>
  </si>
  <si>
    <t>common.FACT_AI_POSITION_SUMMARY; Distributions post NAV</t>
  </si>
  <si>
    <t>BOOKALTSCOMMITMENTDATE</t>
  </si>
  <si>
    <t>BOOKALTSCOMMITTEDCAPITAL</t>
  </si>
  <si>
    <t>Committed capital</t>
  </si>
  <si>
    <t>common.FACT_AI_POSITION; Committed capital</t>
  </si>
  <si>
    <t>BOOKALTSENDINGNAV</t>
  </si>
  <si>
    <t>Last NAV</t>
  </si>
  <si>
    <t>common.FACT_AI_POSITION; Last NAV</t>
  </si>
  <si>
    <t>BOOKALTSENDINGNAVDATE</t>
  </si>
  <si>
    <t>BOOKALTSIRRITD</t>
  </si>
  <si>
    <t>net_irr</t>
  </si>
  <si>
    <t>BOOKALTSPERIODENDNAV</t>
  </si>
  <si>
    <t>BOOKALTSRECALLABLEDISTR</t>
  </si>
  <si>
    <t>Recallable distributions SI</t>
  </si>
  <si>
    <t>common.FACT_AI_POSITION_SUMMARY; Recallable distributions SI</t>
  </si>
  <si>
    <t>BOOKALTSUNFUNDEDCOMMITMENT</t>
  </si>
  <si>
    <t>Unfunded commitment as of last quarter</t>
  </si>
  <si>
    <t>common.FACT_AI_POSITION; Unfunded commitment as of last quarter</t>
  </si>
  <si>
    <t>decimal (18,2)</t>
  </si>
  <si>
    <t>book cost in USD </t>
  </si>
  <si>
    <t>pmr:holdings;tot_cost / sys_cost_xrate</t>
  </si>
  <si>
    <t>Amoritized cost for the for the holding/lot as of the date of the file in account's book currency</t>
  </si>
  <si>
    <t>BOOKANNUALINCOMESETTLE</t>
  </si>
  <si>
    <t>Actual Annual Income on a settlement date basis.</t>
  </si>
  <si>
    <t>BOOKATLSPERIODSTARTNAV</t>
  </si>
  <si>
    <t>Last NAV from prior month end</t>
  </si>
  <si>
    <t>MVP Alts Report - map this value here.</t>
  </si>
  <si>
    <t xml:space="preserve">char(3) </t>
  </si>
  <si>
    <t>firm currency</t>
  </si>
  <si>
    <t>assets:iso_code;</t>
  </si>
  <si>
    <t xml:space="preserve">default to USD </t>
  </si>
  <si>
    <t>Account's book currency code (e.g. USD)</t>
  </si>
  <si>
    <t>description of USD</t>
  </si>
  <si>
    <t>assets:currency;</t>
  </si>
  <si>
    <t>U.S. Dollars</t>
  </si>
  <si>
    <t>Description of the Account's Currency of the Holding (e.g. U.S. Dollar)</t>
  </si>
  <si>
    <t>BOOKCHGDIVIDENDMONTH</t>
  </si>
  <si>
    <t>Change in Total Dividend (Income or Expense) in Book Currency for Month</t>
  </si>
  <si>
    <t>BOOKCHGDIVIDENDPERIOD</t>
  </si>
  <si>
    <t>Change in Total Dividend (Income or Expense) in Book Currency since close of prior business day</t>
  </si>
  <si>
    <t>BOOKCHGDIVIDENDQUARTER</t>
  </si>
  <si>
    <t>Change in Total Dividend (Income or Expense) in Book Currency for Quarter</t>
  </si>
  <si>
    <t>BOOKCHGDIVIDENDYEAR</t>
  </si>
  <si>
    <t>Change in Total Dividend (Income or Expense) in Book Currency for Year</t>
  </si>
  <si>
    <t>BOOKCHGINTERESTMONTH</t>
  </si>
  <si>
    <t>Change in Total Interest (Income or Expense) in Book Currency for Month</t>
  </si>
  <si>
    <t>BOOKCHGINTERESTPERIOD</t>
  </si>
  <si>
    <t>Change in Total Interest (Income or Expense) in Book Currency since close of prior business day</t>
  </si>
  <si>
    <t>BOOKCHGINTERESTQUARTER</t>
  </si>
  <si>
    <t>Change in Total Interest (Income or Expense) in Book Currency for Quarter</t>
  </si>
  <si>
    <t>Annual Income</t>
  </si>
  <si>
    <t>BOOKCHGINTERESTYEAR</t>
  </si>
  <si>
    <t>Change in Total Interest (Income or Expense) in Book Currency for Year</t>
  </si>
  <si>
    <t>BOOKCHGPNLMONTH</t>
  </si>
  <si>
    <t>Net profit loss</t>
  </si>
  <si>
    <t>Remove mapping</t>
  </si>
  <si>
    <t>BOOKCHGPNLPERIOD</t>
  </si>
  <si>
    <t>BOOKCHGPNLQUARTER</t>
  </si>
  <si>
    <t>BOOKCHGPNLYEAR</t>
  </si>
  <si>
    <t>BOOKCHGRGLMONTH</t>
  </si>
  <si>
    <t>Change in Realized Gain/Loss in Book Currency for Month</t>
  </si>
  <si>
    <t>BOOKCHGRGLPERIOD</t>
  </si>
  <si>
    <t>Change in Realized Gain/Loss in Book Currency since close of prior business day</t>
  </si>
  <si>
    <t>AvgUnitCost</t>
  </si>
  <si>
    <t>BOOKCHGRGLQUARTER</t>
  </si>
  <si>
    <t>Change in Realized Gain/Loss in Book Currency for Quarter</t>
  </si>
  <si>
    <t>Accrued Interest</t>
  </si>
  <si>
    <t>BOOKCHGRGLYEAR</t>
  </si>
  <si>
    <t>Change in Realized Gain/Loss in Book Currency for Year</t>
  </si>
  <si>
    <t>BOOKCHGUGLPRICEPERIOD</t>
  </si>
  <si>
    <t>BOOKCHGUGLPRICEMONTH</t>
  </si>
  <si>
    <t>BOOKCHGUGLPRICEQUARTER</t>
  </si>
  <si>
    <t>BOOKCHGUGLPRICEYEAR</t>
  </si>
  <si>
    <t>Total Cost</t>
  </si>
  <si>
    <t>BOOKESTIMATEANNUALINCOMESETTLE</t>
  </si>
  <si>
    <t>Estimated / projected Annual Income on a settlement date basis.</t>
  </si>
  <si>
    <t>BOOKFEDAVERAGEUNITCOST</t>
  </si>
  <si>
    <t>Average unit cost on a federal tax basis in account's book currency</t>
  </si>
  <si>
    <t>Market Value</t>
  </si>
  <si>
    <t>BOOKFXLONGRGL</t>
  </si>
  <si>
    <t>Book Long-Term Realized Gain Loss from change in FX rate between Book and Local CCY since inception of position</t>
  </si>
  <si>
    <t>Book Price</t>
  </si>
  <si>
    <t>BOOKFXRGL</t>
  </si>
  <si>
    <t>Book Realized Gain Loss from change in FX rate between Book and Local CCY since inception of position</t>
  </si>
  <si>
    <t>UR G/L</t>
  </si>
  <si>
    <t>BOOKFXSHORTRGL</t>
  </si>
  <si>
    <t>Book Short-Term Realized Gain Loss from change in FX rate between Book and Local CCY since inception of position</t>
  </si>
  <si>
    <t>BOOKFXUGL</t>
  </si>
  <si>
    <t>Book Unrealized Gain Loss from change in FX rate between Book and Local CCY since inception of position</t>
  </si>
  <si>
    <t>market value in USD</t>
  </si>
  <si>
    <t>pmr:holdings;mkt_val / mv_sys_xrate</t>
  </si>
  <si>
    <t>Market Value for the holding/lot as of the date of the file in account's book currency</t>
  </si>
  <si>
    <t>Common Interface NB v0.6</t>
  </si>
  <si>
    <t xml:space="preserve">3/13 - NB updated CI.  Bookmkt s/b firm_mkt_val.  No Change to IC (this was nb only). 6/25 - use this field for </t>
  </si>
  <si>
    <t>BOOKMARKETVALUEPERIODSTART</t>
  </si>
  <si>
    <t>BOOKMARKETVALUEPERIODSTARTDATE</t>
  </si>
  <si>
    <t>Cusip</t>
  </si>
  <si>
    <t>BOOKPRICELONGRGL</t>
  </si>
  <si>
    <t>Book Long-Term Realized Gain Loss from change in Local Price since inception of position</t>
  </si>
  <si>
    <t>BOOKPRICELONGUGL</t>
  </si>
  <si>
    <t>Book Long-Term Unrealized Gain Loss from change in Local Price since inception of position</t>
  </si>
  <si>
    <t>price in USD</t>
  </si>
  <si>
    <t>assets:nb_hist_price;close_pr / exrate</t>
  </si>
  <si>
    <t>Price of the holding/lot in the account's currency</t>
  </si>
  <si>
    <t>BOOKPRICERGL</t>
  </si>
  <si>
    <t>Local Currency</t>
  </si>
  <si>
    <t>BOOKPRICESHORTRGL</t>
  </si>
  <si>
    <t>Book Short-Term Realized Gain Loss from change in Local Price since inception of position</t>
  </si>
  <si>
    <t>Local Market Value</t>
  </si>
  <si>
    <t>BOOKPRICESHORTUGL</t>
  </si>
  <si>
    <t>Book Short-Term Unrealized Gain Loss from change in Local Price since inception of position</t>
  </si>
  <si>
    <t>Market Price</t>
  </si>
  <si>
    <t>BOOKPRICEUGL</t>
  </si>
  <si>
    <t>Book Unrealized Gain Loss from change in Local Price since inception of position</t>
  </si>
  <si>
    <t>BOOKSTUGLPERIODEND</t>
  </si>
  <si>
    <t>unrealized gain loss in USD</t>
  </si>
  <si>
    <t xml:space="preserve">pmr:holdings ;pmr:holdings.security_gl + pmr:holdings.curr_gl </t>
  </si>
  <si>
    <t>Unrealized G/L Balance for the holding/lot as of the date of the file in account's book currency.</t>
  </si>
  <si>
    <t>Call date</t>
  </si>
  <si>
    <t>Symbol</t>
  </si>
  <si>
    <t>Call Price</t>
  </si>
  <si>
    <t>Qty</t>
  </si>
  <si>
    <t>Custom reporting classification</t>
  </si>
  <si>
    <t>Sector</t>
  </si>
  <si>
    <t>Industry Group</t>
  </si>
  <si>
    <t>char(2)</t>
  </si>
  <si>
    <t>country of issue</t>
  </si>
  <si>
    <t xml:space="preserve"> assets:assets; </t>
  </si>
  <si>
    <t>Contry of Issuance</t>
  </si>
  <si>
    <t>country of ops or risk</t>
  </si>
  <si>
    <t>assets:assets_ext;</t>
  </si>
  <si>
    <t>Country of Risk</t>
  </si>
  <si>
    <t>decimal(12,5)</t>
  </si>
  <si>
    <t>coupon rate for fixed income</t>
  </si>
  <si>
    <t>assets:fixedinc;</t>
  </si>
  <si>
    <t>Coupon Rate</t>
  </si>
  <si>
    <t>CHAR(12)</t>
  </si>
  <si>
    <t>cusip of security</t>
  </si>
  <si>
    <t>assets:sec_xref ;assets:sec_xref.sec_symbol where symb_source = 'C' </t>
  </si>
  <si>
    <t>XX9P08428</t>
  </si>
  <si>
    <t>Sedol</t>
  </si>
  <si>
    <t>CUSTODIANCODE</t>
  </si>
  <si>
    <t>Custodian code or shortname.</t>
  </si>
  <si>
    <t>"Unregistered" if registered_status = 0
"Registered" if registered_status = 1
Else, leave blank</t>
  </si>
  <si>
    <t>int</t>
  </si>
  <si>
    <t>N/A; Registered status</t>
  </si>
  <si>
    <t>Hardcoded to 0 (alts)or 1 (PMR)</t>
  </si>
  <si>
    <t>Cusomizable field for generating custom collections of holdings/lots.  Commonly used by firms that use "Sleeve" or "Deal" or "Product" concepts.</t>
  </si>
  <si>
    <t>New fields introduced based on MVP</t>
  </si>
  <si>
    <t>DIVIDENDYIELD</t>
  </si>
  <si>
    <t>Dividend Yield</t>
  </si>
  <si>
    <t>char(13)</t>
  </si>
  <si>
    <t>pmr security id</t>
  </si>
  <si>
    <t>assets:assets;sec_no + when_issue</t>
  </si>
  <si>
    <t>9P08428</t>
  </si>
  <si>
    <t>100% Uniquie Identifer for the security. Commonly a unique Integer.</t>
  </si>
  <si>
    <t>Estimated MV Change post NAV</t>
  </si>
  <si>
    <t>common.FACT_AI_POSITION_SUMMARY; Estimated MV Change post NAV</t>
  </si>
  <si>
    <t>Common Interface NB v0.5</t>
  </si>
  <si>
    <t xml:space="preserve">New fields introduced based on the Alts PDD + Phase 1a Pilot SDS. </t>
  </si>
  <si>
    <t>Ticker</t>
  </si>
  <si>
    <t>current factor of fixed income security</t>
  </si>
  <si>
    <t>Factor</t>
  </si>
  <si>
    <t>Local Currency Desc</t>
  </si>
  <si>
    <t>char(1)</t>
  </si>
  <si>
    <t>indicates if the lot is cost required</t>
  </si>
  <si>
    <t>If the trd_date of the lot is null, 12/31/1899 or &lt;- 02/02/1902 it is cost required</t>
  </si>
  <si>
    <t>Flag to indicate where Tax Cost is unknown</t>
  </si>
  <si>
    <t>decimal(18,12)</t>
  </si>
  <si>
    <t>system exchange rate for taxlot</t>
  </si>
  <si>
    <t>Exchange rate as of the date of the valuation for the holding/lot from Local to Book CCY</t>
  </si>
  <si>
    <t>Date (MM/DD/YYYY)</t>
  </si>
  <si>
    <t>assets:fixedinc or assets:derivative;</t>
  </si>
  <si>
    <t xml:space="preserve">Maturity Date / Expiry Date for Options </t>
  </si>
  <si>
    <t xml:space="preserve">3/12 - NB updating CI doc to match was in original Doc + IC ETL </t>
  </si>
  <si>
    <t>char(12)</t>
  </si>
  <si>
    <t xml:space="preserve">isin of security </t>
  </si>
  <si>
    <t xml:space="preserve">assets:sec_xref ;assets:sec_xref.sec_symbol where symb_source = 'L' </t>
  </si>
  <si>
    <t xml:space="preserve">accrued interest of taxlt </t>
  </si>
  <si>
    <t>pmr:holdings;</t>
  </si>
  <si>
    <t>Accrued Interest Balance for the holding/lot as of the date of the file in the local currency of the position</t>
  </si>
  <si>
    <t>total cost of the taxlot</t>
  </si>
  <si>
    <t>Amoritized cost for the for the holding/lot as of the date of the file in local currency of the security</t>
  </si>
  <si>
    <t>??</t>
  </si>
  <si>
    <t>annual income of taxlot</t>
  </si>
  <si>
    <t>Annual Income in Local Currency</t>
  </si>
  <si>
    <r>
      <rPr>
        <sz val="10"/>
        <color rgb="FF000000"/>
        <rFont val="Helvetica Neue"/>
      </rPr>
      <t xml:space="preserve">3/12 - Can IC please correct the </t>
    </r>
    <r>
      <rPr>
        <b/>
        <sz val="10"/>
        <color rgb="FF000000"/>
        <rFont val="Helvetica light"/>
      </rPr>
      <t>field name</t>
    </r>
    <r>
      <rPr>
        <sz val="10"/>
        <color rgb="FF000000"/>
        <rFont val="Helvetica light"/>
      </rPr>
      <t xml:space="preserve"> to reflect "annual_income"; previous version had typo "annual_inomce".</t>
    </r>
  </si>
  <si>
    <t>iso code of the security</t>
  </si>
  <si>
    <t>Local Currenty Code (e.g. USD)</t>
  </si>
  <si>
    <t xml:space="preserve">3/12 - Updating CI doc to match was in original Doc + IC ETL. </t>
  </si>
  <si>
    <t>currency description of the security</t>
  </si>
  <si>
    <t>Description of the Local Currency of the Holding (e.g. U.S. Dollar)</t>
  </si>
  <si>
    <t>LOCALFXLONGRGL</t>
  </si>
  <si>
    <t>Local Long-Term Realized Gain Loss from change in FX rate between Book and Local CCY since inception of position</t>
  </si>
  <si>
    <t>LOCALFXRGL</t>
  </si>
  <si>
    <t>Loca Realized Gain Loss from change in FX rate between Book and Local CCY since inception of position</t>
  </si>
  <si>
    <t>LOCALFXSHORTRGL</t>
  </si>
  <si>
    <t>Local Short-Term Realized Gain Loss from change in FX rate between Book and Local CCY since inception of position</t>
  </si>
  <si>
    <t>LOCALFXUGL</t>
  </si>
  <si>
    <t>Local Unrealized Gain Loss from change in FX rate between Book and Local CCY since inception of position</t>
  </si>
  <si>
    <t xml:space="preserve">market value of taxlot in local </t>
  </si>
  <si>
    <t>Market Value for the holding/lot as of the date of the file in the local currency of the security</t>
  </si>
  <si>
    <t>3/13 - NB updated CI.  Bookmkt s/b firm_mkt_val.  No Change to IC (this was nb only)</t>
  </si>
  <si>
    <t>LOCALPRICELONGRGL</t>
  </si>
  <si>
    <t>Local Long-Term Realized Gain Loss from change in Local Price since inception of position</t>
  </si>
  <si>
    <t>LOCALPRICELONGUGL</t>
  </si>
  <si>
    <t>Local Long-Term Unrealized Gain Loss from change in Local Price since inception of position</t>
  </si>
  <si>
    <t>decimal (18,6)</t>
  </si>
  <si>
    <t xml:space="preserve">prices of security in local </t>
  </si>
  <si>
    <t>assets:nb_hist_price;</t>
  </si>
  <si>
    <t>Price of the holding/lot in the local currency of the security</t>
  </si>
  <si>
    <t>LOCALPRICERGL</t>
  </si>
  <si>
    <t>Local Realized Gain Loss from change in Local Price since inception of position</t>
  </si>
  <si>
    <t>LOCALPRICESHORTRGL</t>
  </si>
  <si>
    <t>Local Short-Term Realized Gain Loss from change in Local Price since inception of position</t>
  </si>
  <si>
    <t>LOCALPRICESHORTUGL</t>
  </si>
  <si>
    <t>Local Short-Term Unrealized Gain Loss from change in Local Price since inception of position</t>
  </si>
  <si>
    <t>LOCALPRICEUGL</t>
  </si>
  <si>
    <t>Local Unrealized Gain Loss from change in Local Price since inception of position</t>
  </si>
  <si>
    <t>LOCALUGL</t>
  </si>
  <si>
    <t xml:space="preserve">Unrealized G/L Balance for the holding/lot as of the date of the file in local currency. </t>
  </si>
  <si>
    <t>above or below the line indicator</t>
  </si>
  <si>
    <t xml:space="preserve">pmr:holdings;pmr:holdings.sec_xtend </t>
  </si>
  <si>
    <t>Custom reporting field commonly used to indicate whether a holding is managed with discretion or non-discretion. Can be Y or N</t>
  </si>
  <si>
    <t>MATURITY</t>
  </si>
  <si>
    <t>Maturity in years</t>
  </si>
  <si>
    <t xml:space="preserve">duration of security </t>
  </si>
  <si>
    <t>assets:fixedinc   ;</t>
  </si>
  <si>
    <t>Market Duration</t>
  </si>
  <si>
    <t>MKTTERM</t>
  </si>
  <si>
    <t>Market Term</t>
  </si>
  <si>
    <t xml:space="preserve">yield of security </t>
  </si>
  <si>
    <t>;</t>
  </si>
  <si>
    <t>Market Yield</t>
  </si>
  <si>
    <t>char(4)</t>
  </si>
  <si>
    <t>moody's rating of security</t>
  </si>
  <si>
    <t>Moody's Rating Code or Description</t>
  </si>
  <si>
    <t>Original Cost</t>
  </si>
  <si>
    <t>Original Face</t>
  </si>
  <si>
    <t>char(60)</t>
  </si>
  <si>
    <t>client:salesman;</t>
  </si>
  <si>
    <t>BRIAN HAHN</t>
  </si>
  <si>
    <t>Name of the Planner or Advisor who manages the holding/account</t>
  </si>
  <si>
    <t>client:manager;</t>
  </si>
  <si>
    <t>UNMANAGED ACCOUNT</t>
  </si>
  <si>
    <t>Name of the Portfolio Manager for the account.</t>
  </si>
  <si>
    <t>assets:sec_types;</t>
  </si>
  <si>
    <t>HEDGE FUND</t>
  </si>
  <si>
    <t>Flexible, but common values ar "EQUITY: Equity; MoE: MediumOfExchange; INT: InterestBearing; OPTION: Option; SWAP: Swap; BENCHMARK: Benchmark; FUND: Fund"</t>
  </si>
  <si>
    <t>PRICEDATE</t>
  </si>
  <si>
    <t>Estimated MV Change post NAV date</t>
  </si>
  <si>
    <t>common.FACT_AI_POSITION_SUMMARY; Estimated MV Change post NAV date</t>
  </si>
  <si>
    <t>PRICINGSOURCE</t>
  </si>
  <si>
    <t>Name of the pricing vendor.</t>
  </si>
  <si>
    <t>char(25)</t>
  </si>
  <si>
    <t xml:space="preserve">security symbol of taxlot </t>
  </si>
  <si>
    <t xml:space="preserve">pmr:holdings ; </t>
  </si>
  <si>
    <t>Primary Security Symbol for display to end users; should also be unique.</t>
  </si>
  <si>
    <t>yield at time of purchase</t>
  </si>
  <si>
    <t>Purchase Yield</t>
  </si>
  <si>
    <t>decimal(18,5)</t>
  </si>
  <si>
    <t>quantity of tax lot</t>
  </si>
  <si>
    <t>Quantity</t>
  </si>
  <si>
    <t>QUANTITYRESTRICTED</t>
  </si>
  <si>
    <t>Number of units that are restricted.</t>
  </si>
  <si>
    <t>Name of the Relationship manager for the accont.</t>
  </si>
  <si>
    <t>REVENUESOURCE</t>
  </si>
  <si>
    <t>Revenue Source: Flexible field for reporting.</t>
  </si>
  <si>
    <t>accrued in base currency</t>
  </si>
  <si>
    <t>pmr:holdings ;pmr:holdings.accr_int / pmr:holdings.ai_mv_xrate</t>
  </si>
  <si>
    <t>Accrued Interest Balance for the holding/lot as of the date of the file in account's reporting currency.</t>
  </si>
  <si>
    <r>
      <rPr>
        <sz val="10"/>
        <color rgb="FF000000"/>
        <rFont val="Helvetica Neue"/>
      </rPr>
      <t xml:space="preserve">3/12 - Can IC please correct the </t>
    </r>
    <r>
      <rPr>
        <b/>
        <sz val="10"/>
        <color rgb="FF000000"/>
        <rFont val="Helvetica light"/>
      </rPr>
      <t>field name</t>
    </r>
    <r>
      <rPr>
        <sz val="10"/>
        <color rgb="FF000000"/>
        <rFont val="Helvetica light"/>
      </rPr>
      <t xml:space="preserve"> to reflect "rpt_accr_int"; previous version had typo "rpt_acct_int".</t>
    </r>
  </si>
  <si>
    <t>RPTACCRUEDINTPERIODSTART</t>
  </si>
  <si>
    <t>Accrued Interest for the holding/lot as of the prior business date of the file in account's reporting currency.</t>
  </si>
  <si>
    <t>total cost in base currency</t>
  </si>
  <si>
    <t>pmr:holdings ;pmr:holdings.tot_cost / base_cost_xrate</t>
  </si>
  <si>
    <t>Amortized cost for the for the holding/lot as of the date of the file in account's reporting currency.</t>
  </si>
  <si>
    <t>annual income in base currency</t>
  </si>
  <si>
    <t>pmr:holdings  ;pmr:holdings.annual_income / pmr:mv_base_xrate</t>
  </si>
  <si>
    <t>Actual Annual Income on a settlement date basis in the reporting ccy.</t>
  </si>
  <si>
    <t>char(3)</t>
  </si>
  <si>
    <t>base currency of the account</t>
  </si>
  <si>
    <t>pmr:portdir;</t>
  </si>
  <si>
    <t>Account's reporting currency code (e.g. USD).</t>
  </si>
  <si>
    <t>currency description of accounts currency</t>
  </si>
  <si>
    <t>Description of the Account's Reporting Currency of the Holding (e.g. U.S. Dollar)</t>
  </si>
  <si>
    <t>market value of taxlot in account's currency</t>
  </si>
  <si>
    <t>pmr:holdings;pmr:holdings.mkt_val / mv_base_xrate</t>
  </si>
  <si>
    <t>Market Value for the holding/lot as of the date of the file in account's reporting currency.</t>
  </si>
  <si>
    <t>RPTMARKETVALUEPERIODSTART</t>
  </si>
  <si>
    <t>Market Value for the holding/lot as of the prior business date of the file in account's reporting currency.</t>
  </si>
  <si>
    <t>price of taxlot in account's base currency</t>
  </si>
  <si>
    <t>Price of the holding/lot in the account's currency.</t>
  </si>
  <si>
    <t>unrealized gain loss in account's base currency</t>
  </si>
  <si>
    <t xml:space="preserve"> pmr:holdings ;</t>
  </si>
  <si>
    <t>Unrealized G/L Balance for the holding/lot as of the date of the file in account's reporting currency.</t>
  </si>
  <si>
    <t>short name of the security</t>
  </si>
  <si>
    <t>LB DIVERSIFIED A</t>
  </si>
  <si>
    <t>Alternate security short description</t>
  </si>
  <si>
    <t>SECURITYAMORTIZEDCOSTPERIODEND</t>
  </si>
  <si>
    <t>Amortized cost for the for the holding/lot as of the date of the file in currency of the security</t>
  </si>
  <si>
    <t>SECURITYANNUALINCOMEAMOUNT</t>
  </si>
  <si>
    <t>Annual Income for the security in the currency of the security.</t>
  </si>
  <si>
    <t>SECURITYAVERAGEUNITCOST</t>
  </si>
  <si>
    <t>Avergage Unit cost in the currency of the security</t>
  </si>
  <si>
    <t>SECURITYCCY</t>
  </si>
  <si>
    <t>Security Currency Code (e.g. USD)</t>
  </si>
  <si>
    <t>char(150)</t>
  </si>
  <si>
    <t>sec_desc 1  thru 5</t>
  </si>
  <si>
    <t>assets:assets ;</t>
  </si>
  <si>
    <t>LB DIVERSIFIED ARBITRAGE FUND(SPV) LLC</t>
  </si>
  <si>
    <t>Long description/name of the security</t>
  </si>
  <si>
    <t>SECURITYLONGDESCRIPTION</t>
  </si>
  <si>
    <t>investment_vehicle</t>
  </si>
  <si>
    <t>Long description to provide detailed description of the company's business</t>
  </si>
  <si>
    <t>SECURITYMARKETVALUEPERIODEND</t>
  </si>
  <si>
    <t>Period end Market Value in the currency of the security.</t>
  </si>
  <si>
    <t>SECURITYREGISTRATIONDESC</t>
  </si>
  <si>
    <t>supervised</t>
  </si>
  <si>
    <t>Agency managing the registration of the security e.g. DTC or the transfer agent - Cede &amp; Co.</t>
  </si>
  <si>
    <t>segment level description of security</t>
  </si>
  <si>
    <t>pmr:indust_levels;assets:assets.indust_level1 = pmr:indust_level</t>
  </si>
  <si>
    <t>ALTERNATIVE INVESTMENTS</t>
  </si>
  <si>
    <t>Highest Sector Level</t>
  </si>
  <si>
    <t>sector level description of security</t>
  </si>
  <si>
    <t>pmr:indust_levels or pmr:gics;provide gics description where available other provide the level2 description from assetts</t>
  </si>
  <si>
    <t>NB HEDGE FUNDS</t>
  </si>
  <si>
    <t>2nd Level sector</t>
  </si>
  <si>
    <t>pmr:indust_levels or pmr:gics;provide gics description where available other provide the level3 description from assetts</t>
  </si>
  <si>
    <t>PRIVATE PLACEMENT</t>
  </si>
  <si>
    <t>3rd Level secotr (most granular)</t>
  </si>
  <si>
    <t>SECURITYSHORTDESCRIPTION</t>
  </si>
  <si>
    <t>Security short description</t>
  </si>
  <si>
    <t xml:space="preserve">sedol of security </t>
  </si>
  <si>
    <t>assets:sec_xref ;assets:sec_xref .sec_symbol where symb_source = 'L'</t>
  </si>
  <si>
    <t>s&amp;p rating of security</t>
  </si>
  <si>
    <t>S&amp;P Rating</t>
  </si>
  <si>
    <t>indicates if data is trade date or settlement date based</t>
  </si>
  <si>
    <t>Denotes whether data is Trade Date or Settlement Date</t>
  </si>
  <si>
    <t>Product #  from PH</t>
  </si>
  <si>
    <t>nbproduct: product_number</t>
  </si>
  <si>
    <t xml:space="preserve">Send 0 when undefined/ not applicable </t>
  </si>
  <si>
    <t>Strategy code.</t>
  </si>
  <si>
    <t xml:space="preserve">Updated the Mapping / NB field. Product_number will be mapped to STRATEGYCODE as it will be needed for other reporting. </t>
  </si>
  <si>
    <t>STRATEGYCODE2</t>
  </si>
  <si>
    <t>Map the string before the FIRST "-" in ClassifierId2.
  - E.g. Map "1" if ClassifierId2 = "1-3-31"</t>
  </si>
  <si>
    <t>Unqiue identifier for asset_class</t>
  </si>
  <si>
    <t>Alternate strategy code.</t>
  </si>
  <si>
    <t>y</t>
  </si>
  <si>
    <t>Product description  from PH</t>
  </si>
  <si>
    <t>nbproduct: product_description</t>
  </si>
  <si>
    <t>pass 'undefined' when null</t>
  </si>
  <si>
    <t>Options - Hedge Options Premimum Fund</t>
  </si>
  <si>
    <t>Custom reporting field commonly used for higher level aggregations such as "Global Macro" or "Capital Preservation"</t>
  </si>
  <si>
    <t xml:space="preserve">Updated the Mapping / NB field product_description will be mapped to STRATEGYNAME as it will be needed for other reporting. </t>
  </si>
  <si>
    <t>SUSTAINABLEINCOME</t>
  </si>
  <si>
    <t>Sustainable or Guarenteed Annual Income</t>
  </si>
  <si>
    <t>sweep fund of account</t>
  </si>
  <si>
    <t>assets:assets;assets:sec_Desc 1 - 5 where sec_no = client:napp4.sweep_fund</t>
  </si>
  <si>
    <t>See data type IC only support 20 bytes</t>
  </si>
  <si>
    <t>Sweep vehicle to be used for income resulting from the position.</t>
  </si>
  <si>
    <t>indicates if lot is considered covered for 1099</t>
  </si>
  <si>
    <t>Tax Lot details</t>
  </si>
  <si>
    <t xml:space="preserve">trade date of taxlot </t>
  </si>
  <si>
    <t>Orignal open date of the tax lot (tax lot level records only)</t>
  </si>
  <si>
    <t>Profitlosslite-20190110-Alts, Common Interface NB v2</t>
  </si>
  <si>
    <t>Initial Mapping. Leverage this field for Alts Initial Subscription Date.</t>
  </si>
  <si>
    <t>TAXLOTOPENDATEKNOWN</t>
  </si>
  <si>
    <t>Flag to indicate where Tax Lot Open Date is unknown</t>
  </si>
  <si>
    <t>char(16)</t>
  </si>
  <si>
    <t>taxlot identifier</t>
  </si>
  <si>
    <t>pmr:holdings ;br_acct + trans_no</t>
  </si>
  <si>
    <t>593028659P08428</t>
  </si>
  <si>
    <t>Unique ID for the Tax Lot in the source system</t>
  </si>
  <si>
    <t>INTEGER</t>
  </si>
  <si>
    <t>This is required for the ETL. The client will not supply this value</t>
  </si>
  <si>
    <t>ticker of security</t>
  </si>
  <si>
    <t xml:space="preserve">assets:sec_xref ;assets:sec_xref.sec_symbol where symb_source ='T' </t>
  </si>
  <si>
    <t>underlying ticker of option</t>
  </si>
  <si>
    <t>assets:sec_xref;</t>
  </si>
  <si>
    <t>Primary Security Sybol of an unerlying holding. Typically used for Options.</t>
  </si>
  <si>
    <t>sec name of underlying assets</t>
  </si>
  <si>
    <t>Security Description of an underlying holding. Typically used for Options.</t>
  </si>
  <si>
    <t>USERDEFINED1</t>
  </si>
  <si>
    <t>eig</t>
  </si>
  <si>
    <t>Custom Field for Reporting</t>
  </si>
  <si>
    <t>USERDEFINED2</t>
  </si>
  <si>
    <t>USERDEFINED3</t>
  </si>
  <si>
    <t>USERDEFINED4</t>
  </si>
  <si>
    <t>USERDEFINED5</t>
  </si>
  <si>
    <t>YIELDTOCOST</t>
  </si>
  <si>
    <t>Yield to Cost</t>
  </si>
  <si>
    <t>Yield to Cost on a Tax Adjusted Basis</t>
  </si>
  <si>
    <t>Yield to Maturity</t>
  </si>
  <si>
    <t>Yield to Worst</t>
  </si>
  <si>
    <t>ASN</t>
  </si>
  <si>
    <t>!!! THIS IS A DELTA FILE</t>
  </si>
  <si>
    <t>ACCESSRULE</t>
  </si>
  <si>
    <t>ACCOUNTGROUPSECURECLOSEDATE</t>
  </si>
  <si>
    <t>VARCHAR2(120 BYTE)</t>
  </si>
  <si>
    <t>ACCOUNTGROUP_MMDDYYYYHHmmSS.txt</t>
  </si>
  <si>
    <t>AGSDESC</t>
  </si>
  <si>
    <t>String</t>
  </si>
  <si>
    <t xml:space="preserve">Description of Account Group. This is also the External Account Group Name that can be updated by advisors via the Advisor Portal </t>
  </si>
  <si>
    <t>John D Kramer Family</t>
  </si>
  <si>
    <t>ACCOUNTGROUPSECUREDIVISIONCODE</t>
  </si>
  <si>
    <t>ACCOUNTGROUPSECUREDIVISIONNAME</t>
  </si>
  <si>
    <t>ACCOUNTGROUPSECUREMANAGER</t>
  </si>
  <si>
    <t>AGSNAME</t>
  </si>
  <si>
    <t>Name of Account Group</t>
  </si>
  <si>
    <t>ACCOUNTGROUPSECUREOPENDATE</t>
  </si>
  <si>
    <t>ACCOUNTGROUPSECUREOWNER</t>
  </si>
  <si>
    <t>Team owner of the parent Relationship of the Account Group</t>
  </si>
  <si>
    <t>EIS TEAM</t>
  </si>
  <si>
    <t>AGSSHORTNAME</t>
  </si>
  <si>
    <t>Unique identifier of Account Group</t>
  </si>
  <si>
    <t>a094O00001zk3FbQAI_90298</t>
  </si>
  <si>
    <t>ACCOUNTGROUPSECURESTATUS</t>
  </si>
  <si>
    <t>AGSSTATUS</t>
  </si>
  <si>
    <t xml:space="preserve">Status of Account Group. Can be either OPEN or CLOSED. This is mostly used by P-tier for filtering purpose on front-end </t>
  </si>
  <si>
    <t>OPEN</t>
  </si>
  <si>
    <t>AGSTYPE</t>
  </si>
  <si>
    <t xml:space="preserve">Type of Account Group. Expected values: Family / Allocation / Retirement / Wash </t>
  </si>
  <si>
    <t>Wash</t>
  </si>
  <si>
    <t>NUMBER(10, 0)</t>
  </si>
  <si>
    <t>Lookup BEAMACCOUNT.ID based on ACCOUNTSHORTNAME</t>
  </si>
  <si>
    <t>VARCHAR2(50)</t>
  </si>
  <si>
    <t>Unique identifier of Account that is associated with the Account Group</t>
  </si>
  <si>
    <t>AGSCLASSIFICATION1</t>
  </si>
  <si>
    <t>AGSCLASSIFICATION2</t>
  </si>
  <si>
    <t>ICEXCLUDEPFOLIOGREENFLAG</t>
  </si>
  <si>
    <t>ICOBJECTID</t>
  </si>
  <si>
    <t>ICOBJECTTYPE</t>
  </si>
  <si>
    <t>VARCHAR2</t>
  </si>
  <si>
    <t>INCLUDEINPERFORMANCE</t>
  </si>
  <si>
    <t>MAKEPRIVATE</t>
  </si>
  <si>
    <t>VARCHAR2 (1)</t>
  </si>
  <si>
    <t>Hardcode to "Y"</t>
  </si>
  <si>
    <t>MODELASSIGNMENTTIMESTAMP</t>
  </si>
  <si>
    <t>MODELPORTFOLIOID</t>
  </si>
  <si>
    <t>Lookup MODELPORTFOLIO.ID FROM MODELPORTFOLIO where Input.IPSModelName = Name. If lookup fails, log an error</t>
  </si>
  <si>
    <t>NEXTREBALDATE</t>
  </si>
  <si>
    <t>PERFORMANCESTARTDATE</t>
  </si>
  <si>
    <t>IPSEFFECTIVEDATE </t>
  </si>
  <si>
    <t xml:space="preserve">
• If IPSRecordAction = C, if date, set date to input OR if input is null, leave null
• Else, lookup perf start date and emit with current date</t>
  </si>
  <si>
    <t>REBALANCEFREQUENCY</t>
  </si>
  <si>
    <t>REPORTINGFREQUENCY</t>
  </si>
  <si>
    <t>VARCHAR2(25 BYTE)</t>
  </si>
  <si>
    <t>REPORTINGMODELPORTFOLIOID</t>
  </si>
  <si>
    <t>RISKPROFILEID</t>
  </si>
  <si>
    <t>RPTMODELPORTFOLIOTIMESTAMP</t>
  </si>
  <si>
    <t>IPSRECORDACTION</t>
  </si>
  <si>
    <t>IPSRECORDACTION
 ***See Field Definition (Column N) for an explanation of the logic</t>
  </si>
  <si>
    <t xml:space="preserve">This is a flag (C/D) used to indicate creation or deletion:
• C indicates that IC will assign the MODELPORTFOLIOID to the Account Group
• D indicates that IC will remove the MODELPORTFOLIOID from the Account Group
• If null:
----- Compare Input.IPSEFFECTIVEDATE and Input.IPSModelName for AGSID to database. If the records match, then ignore. If records do not match, log an error. </t>
  </si>
  <si>
    <t>DATETIME</t>
  </si>
  <si>
    <t>When Input.IPSRECORDACTION = C then update with current timestamp. Else, skip.</t>
  </si>
  <si>
    <t>RECORDACTION
 ***See Field Definition (Column N) for an explanation of the logic</t>
  </si>
  <si>
    <t>This is an indicator to create / delete the association between an Account and an Account Group. Can be either C or D: 
  C – Account and Account Group in this record will be associated if not already are 
  D – Account and Account Group in this record will be dissociated if not already are</t>
  </si>
  <si>
    <t>C</t>
  </si>
  <si>
    <t>Map ID of the tenant "NeubergerBerman_Accounts"</t>
  </si>
  <si>
    <t>Hardcode to "NeubergerBerman_Accounts"</t>
  </si>
  <si>
    <t>TRADINGSECURITYEXCLUDELISTID</t>
  </si>
  <si>
    <t>Mapped</t>
  </si>
  <si>
    <t>Tenant Name for Acocunt Group</t>
  </si>
  <si>
    <t>ACCOUNTGROUPSECUREID</t>
  </si>
  <si>
    <t>FAMILYMEMBERID</t>
  </si>
  <si>
    <t>Number</t>
  </si>
  <si>
    <t>Tenant Id for Account Group</t>
  </si>
  <si>
    <t>ACCOUNTGROUPSECURESHORTNAME from 13.ACCOUNTGROUPSECURE</t>
  </si>
  <si>
    <t>FAMILYID</t>
  </si>
  <si>
    <t>Look up FAMILY.ID 
where
  FAMILY.FAMILYCODE = input.RELATIONSHIP_GROUP_ID
and
  FAMILY.TENANTID = ID of the L1 tenant "NeubergerBerman"</t>
  </si>
  <si>
    <t>Unique identifier of Family</t>
  </si>
  <si>
    <t>a094O00001zk3FbQAI</t>
  </si>
  <si>
    <t>FAMILYCODE from 10.FAMILY</t>
  </si>
  <si>
    <t>IMPORTANT: This is a delta file so do NOT perform a diff lad or rep load. It needs to be a normal load that only processes data in the file and does NOT touch any other existing data in the DB.</t>
  </si>
  <si>
    <r>
      <rPr>
        <b/>
        <strike/>
        <sz val="10"/>
        <color rgb="FFFF0000"/>
        <rFont val="Helvetica Neue"/>
      </rPr>
      <t>Ignore accounts where AccountSource = ODYSSEY</t>
    </r>
    <r>
      <rPr>
        <b/>
        <sz val="10"/>
        <color rgb="FFFF0000"/>
        <rFont val="Helvetica Neue"/>
      </rPr>
      <t xml:space="preserve"> (Remove this ignore logic)</t>
    </r>
  </si>
  <si>
    <t>PLLTAXM_MMDDYYYYHHmmSS</t>
  </si>
  <si>
    <t>BOOKLTUGLPERIODEND</t>
  </si>
  <si>
    <t>bookltuglperiodend</t>
  </si>
  <si>
    <t>bookpricelongugl</t>
  </si>
  <si>
    <t>NET_PROFIT_LOSS</t>
  </si>
  <si>
    <t>bookpriceshortugl</t>
  </si>
  <si>
    <t>bookstuglperiodend</t>
  </si>
  <si>
    <t>Cancellation Logic</t>
  </si>
  <si>
    <t>Note: Cancellations logic for TRXTAXM can be found here: https://investcloud.sharepoint.com/:u:/s/NeubergerBerman/EQ8UEEds4YtOstXbAjv_mx4BK8ltPvnAf4iObuFAby1oxQ?e=cGiLaR, I Tier Spec Oddysey here: https://investcloud.sharepoint.com/:w:/s/NeubergerBerman/EbXdx3g4-_VGuzQ-8WEDblgBAJeQNwKv6363U2yLRBjGFw?e=Cbzlxp, I Tier Spec for Jupiter here:  https://investcloud.sharepoint.com/:w:/s/NeubergerBerman/Eeh5RsNTVfBAoVVW4RwrSV8B5-787g4DpRJrAl33WMoB_Q?e=LbLQaw</t>
  </si>
  <si>
    <t>CostB</t>
  </si>
  <si>
    <t>Note: Transactions files should be loaded independently in sequence, TRX then TRX ALTS.</t>
  </si>
  <si>
    <t>ReasonCode = EOD</t>
  </si>
  <si>
    <t>N/A - Not Mapped</t>
  </si>
  <si>
    <t>TRX_MMDDYYYYHHmmSS, TRXALT_MMDDYYYYHHmmSS</t>
  </si>
  <si>
    <t>NB account id</t>
  </si>
  <si>
    <t>CommonInterface-TransactionMapping-20181130-v2</t>
  </si>
  <si>
    <t>dec(18,6)</t>
  </si>
  <si>
    <t>Accrued Interest Exchange Rate</t>
  </si>
  <si>
    <t>trans:trans;calc</t>
  </si>
  <si>
    <t>FX Rate used to convert accrued interest amount from local ccy to book ccy</t>
  </si>
  <si>
    <t>date</t>
  </si>
  <si>
    <t>the pay date of the current accrual period</t>
  </si>
  <si>
    <t>assets:divint;where pay_date &gt;= stl_date</t>
  </si>
  <si>
    <t>End date for accrued income.</t>
  </si>
  <si>
    <t xml:space="preserve">3/12 - IC confirmed this was a typo on their end.  They will correct ETL to match NB. </t>
  </si>
  <si>
    <t>the ex_dividend date of the current pay period</t>
  </si>
  <si>
    <t>assets:divint;where pay_date &lt; stl_date</t>
  </si>
  <si>
    <t>Start date for accrued income.</t>
  </si>
  <si>
    <t>the settlement date of the trade</t>
  </si>
  <si>
    <t>trans:trans;</t>
  </si>
  <si>
    <t>Settlement Date (updated post settlement date to reflect actual date)</t>
  </si>
  <si>
    <t>Alternate Security Identifier</t>
  </si>
  <si>
    <t>char(40)</t>
  </si>
  <si>
    <t xml:space="preserve">Updated the Mapping / NB field.  classifierid will be mapped to ALTSEC2 and will include PROD Number as it will be needed for other reporting. </t>
  </si>
  <si>
    <t>ALTTRANSACTIONCODE</t>
  </si>
  <si>
    <t>Transaction code from source system.</t>
  </si>
  <si>
    <t>ANALYSTNAME</t>
  </si>
  <si>
    <t>Analysts name or short description</t>
  </si>
  <si>
    <t>dec(18,2)</t>
  </si>
  <si>
    <t>the annual income of the security</t>
  </si>
  <si>
    <t>assets:assets;trans:trans.units * assets.ann_div_cpn</t>
  </si>
  <si>
    <t>Annual Income of the Security</t>
  </si>
  <si>
    <t>Equity</t>
  </si>
  <si>
    <t>US Equity</t>
  </si>
  <si>
    <t>US Large Cap</t>
  </si>
  <si>
    <t>open_firm_price</t>
  </si>
  <si>
    <t>Average unit cost in account's local currency</t>
  </si>
  <si>
    <t>AWAREDATEBEGIN</t>
  </si>
  <si>
    <t>AWAREDATEEND</t>
  </si>
  <si>
    <t>BASKETINDICATOR</t>
  </si>
  <si>
    <t>Indactor that the security is part of a basket</t>
  </si>
  <si>
    <t>BE_VALIDFROM</t>
  </si>
  <si>
    <t>BE_VALIDTO</t>
  </si>
  <si>
    <t>the insurer name of the security</t>
  </si>
  <si>
    <t>assets:muni_master;</t>
  </si>
  <si>
    <t>BONDLEGPRI</t>
  </si>
  <si>
    <t>PRI for the Bond Leg of a Swap</t>
  </si>
  <si>
    <t>BOOKACCRUEDEXPENSE</t>
  </si>
  <si>
    <t>Accrued Expense Book</t>
  </si>
  <si>
    <t xml:space="preserve">accrued in USD </t>
  </si>
  <si>
    <t>trans:trans ;trans:trans.income_amt / trans:trans.inc_base_xrate * trans:trans.inc_sys_xrate</t>
  </si>
  <si>
    <t>This is populated for trades &amp; journals</t>
  </si>
  <si>
    <t>Accrued Income Book signed relative to cash</t>
  </si>
  <si>
    <t>Amount</t>
  </si>
  <si>
    <t>the net amount of the transaction in USD</t>
  </si>
  <si>
    <t>trans:trans;(trans:trans.pcpl_amt/trans:trans.base_xrate * trans:trans:sys_xrate) + (trans:trans.income_amt / trans;trans.inc_base_xrate * trans.inc_sys_xrate)</t>
  </si>
  <si>
    <t>Total Transaction Amount in Book CCY</t>
  </si>
  <si>
    <t>BOOKBALANCE</t>
  </si>
  <si>
    <t>For ledger only transactions, ending balance in book ccy</t>
  </si>
  <si>
    <t>the commission amount in firm currency</t>
  </si>
  <si>
    <t xml:space="preserve">trans:trans ;(trans:trans.comm_gcr/trans:trans.base_xrate * trans:trans:sys_xrate) </t>
  </si>
  <si>
    <t>Broker Commission Book signed relative to cash</t>
  </si>
  <si>
    <t>the current adjusted cost of the trade in firm currency</t>
  </si>
  <si>
    <t>trans:trans ;(trans:trans.tot_cost/trans:trans.sec_base_xrate * trans:trans:sys_xrate) </t>
  </si>
  <si>
    <t>Change in Book Cost relative to the security</t>
  </si>
  <si>
    <t>firm_cashflow</t>
  </si>
  <si>
    <t xml:space="preserve">the signed net of the transactions in the firm currency </t>
  </si>
  <si>
    <t xml:space="preserve">trans:trans ;(trans:trans.pcpl_amt/trans:trans.base_xrate * trans:trans:sys_xrate) + (trans:trans.income_amt / trans;trans.inc_base_xrate * trans.inc_sys_xrate)) * pmr:trantype.cash_impact </t>
  </si>
  <si>
    <t>This value should be populated only when  tran code = 'M' (The net amount of the transaction * the cash impact )</t>
  </si>
  <si>
    <t>Cash flow in the book currency of the account.</t>
  </si>
  <si>
    <t xml:space="preserve">3/12 - NB updated CI doc to match was in original Doc + IC ETL </t>
  </si>
  <si>
    <t>Book Currency</t>
  </si>
  <si>
    <t>the firm currency of NB</t>
  </si>
  <si>
    <t xml:space="preserve">assets:currency;assets:currency.iso_code </t>
  </si>
  <si>
    <t>proceeds of the trade or value of journal when closing transaction in firm currency</t>
  </si>
  <si>
    <t>trans:trans ;(trans:trans.pcpl_amt/trans:trans.base_xrate * trans:trans:sys_xrate) + (trans:trans.income_amt / trans;trans.inc_base_xrate * trans.inc_sys_xrate)</t>
  </si>
  <si>
    <t>This value should be populated only when  tran code = 'M'</t>
  </si>
  <si>
    <t>Disposed value in book currency of the account.</t>
  </si>
  <si>
    <t>the adjusted cost of the trade</t>
  </si>
  <si>
    <t xml:space="preserve">the adjusted cost in USD where tran_code = 'C' </t>
  </si>
  <si>
    <t>Post disposition federal cost adjustment applied prior to computing the gain/loss in the book currency.</t>
  </si>
  <si>
    <t>the adjusted cost of the activity</t>
  </si>
  <si>
    <t>Federal tax cost in base currency.</t>
  </si>
  <si>
    <t>the withholding amount for non USD securities</t>
  </si>
  <si>
    <t>trans:trans ;(trans:trans.pcpl_amt/trans:trans.base_xrate * trans:trans:sys_xrate)</t>
  </si>
  <si>
    <t>the net amount where the transation type is WH and the securities currency is not USD</t>
  </si>
  <si>
    <t>Foreign tax amount in base currency.</t>
  </si>
  <si>
    <t>the total gain loss in firm currency</t>
  </si>
  <si>
    <t>gain loss calculator;report total gain loss as reported from calculator</t>
  </si>
  <si>
    <t>Total gain / loss proceds in base currency.</t>
  </si>
  <si>
    <t>gross proceeds of trade in USD</t>
  </si>
  <si>
    <t>trans:trans ;(trans:trans.pcpl_amt/trans:trans.base_xrate  +/- trans:trans.comm_gcr +/- trans:trans.sec_fees +/- trans:trans.misc_fee1)* trans:trans:sys_xrate)) + (trans:trans.income_amt / trans;trans.inc_base_xrate * trans.inc_sys_xrate)</t>
  </si>
  <si>
    <t>if the cash impact is + 1, add back the charges, else subtract the charges</t>
  </si>
  <si>
    <t>Gross cash amount, before fees etc, in base currency.</t>
  </si>
  <si>
    <t>the signed net amount of the transaction in USD</t>
  </si>
  <si>
    <t>The net amount of the transaction * the cash impact in USD</t>
  </si>
  <si>
    <t>Cash amount in base currency applied to the ledger.</t>
  </si>
  <si>
    <t>the long term gain loss of the event in USD</t>
  </si>
  <si>
    <t>gain loss calculator;report long term gl from gain loss calulator divide by trans:trans.sys_xrate</t>
  </si>
  <si>
    <t>apply trans:trans.sys_xrate to denominate to USD</t>
  </si>
  <si>
    <t>G/L Amount Book Long Term</t>
  </si>
  <si>
    <t>BOOKMGTPERFFEE</t>
  </si>
  <si>
    <t>Performance 2 Alternate Value</t>
  </si>
  <si>
    <t>National / Fed realized long term gains and losses in the book currency of the account.</t>
  </si>
  <si>
    <t>the short term gain loss of the event in USD</t>
  </si>
  <si>
    <t>gain loss calculator;report short term gl from gain loss calulator divide by trans:trans.sys_xrate</t>
  </si>
  <si>
    <t>National / Fed realized short term gains and losses in the book currency of the account.</t>
  </si>
  <si>
    <t>BOOKNETAMOUNTBROKER</t>
  </si>
  <si>
    <t>Net amount in base currency used to calculate broker fees.</t>
  </si>
  <si>
    <t>Net Cash Book based on Effective Date</t>
  </si>
  <si>
    <t>This value should be populated only when The net amount of the transaction * the cash impact in USD where the stl_date is greater than the process date and it's  debit (cash_impact -1)</t>
  </si>
  <si>
    <t>Net Payable Book based on effective date</t>
  </si>
  <si>
    <t>This value should be populated only when The net amount of the transaction * the cash impact in USD where the stl_date is greater than the process date and it's credit (cash_impact 1)</t>
  </si>
  <si>
    <t>Net Receivable Book based on effective dat</t>
  </si>
  <si>
    <t>BOOKNONTAXABLEINCOME</t>
  </si>
  <si>
    <t>non_taxable_income</t>
  </si>
  <si>
    <t>Non-Taxable Income in the Book Currency</t>
  </si>
  <si>
    <t>Common Interface NB V2</t>
  </si>
  <si>
    <t>Updated, needed for Income and Cap Gains Summary</t>
  </si>
  <si>
    <t>withholding applied to NRA account</t>
  </si>
  <si>
    <t xml:space="preserve">trans:trans ;(trans:trans.pcpl_amt/trans:trans.base_xrate * trans:trans:sys_xrate) </t>
  </si>
  <si>
    <t>This value should be populated only when WH transaction for NRA accounts</t>
  </si>
  <si>
    <t>Total amount of national taxes withheld.</t>
  </si>
  <si>
    <t>The amount of the national tax withheld by us.</t>
  </si>
  <si>
    <t>BOOKNRAWITHHOLDINGSOURCE</t>
  </si>
  <si>
    <t>The amount of the national tax withheld at source.</t>
  </si>
  <si>
    <t>NRA Withholding tax. Refer to IRS website for complete description.</t>
  </si>
  <si>
    <t>BOOKOTHEREXPENSES</t>
  </si>
  <si>
    <t>Trade Expenses Book</t>
  </si>
  <si>
    <t>Price</t>
  </si>
  <si>
    <t>the execution price of the trade in USD</t>
  </si>
  <si>
    <t>trans:trans ;trans:trans.unit_cost / trans:trans.base_xrate * trans:trans.sys_xrate</t>
  </si>
  <si>
    <t>purchased or sold accrued in firm currency</t>
  </si>
  <si>
    <t xml:space="preserve">trans:trans ;trans:trans.income_amt / trans:trans.inc_base_xrate * trans:trans.inc_sys_xrate </t>
  </si>
  <si>
    <t>trans:trans.income_amt / trans:trans.inc_base_xrate * trans:trans.inc_sys_xrate where cash_impact in (1,-1)</t>
  </si>
  <si>
    <t>Income Purchased/Sold Book</t>
  </si>
  <si>
    <t xml:space="preserve">gross gain loss in USD </t>
  </si>
  <si>
    <t>gain loss calculator;calculation</t>
  </si>
  <si>
    <t>((trans:trans.unit_cost * trans:trans.units *assets.trad_unit)/trans:trans.base_xrate * trans:sys_xrate) - ((trans:trans.open_unit_cost * trans:trans.units * assets.trad_unit)/trans:trans.base_open_xrate * trans:trans.sys_open_xrate)</t>
  </si>
  <si>
    <t>Price G/L Book</t>
  </si>
  <si>
    <t xml:space="preserve">fx gain loss in USD </t>
  </si>
  <si>
    <t xml:space="preserve">gain loss calculator;report curr gl from gain loss calculator </t>
  </si>
  <si>
    <t>divide by the trans:trans.sys_xrate</t>
  </si>
  <si>
    <t>Currency G/L</t>
  </si>
  <si>
    <t>security gain loss in USD</t>
  </si>
  <si>
    <t xml:space="preserve">gain loss calculator;report sec gl from gain loss calculator </t>
  </si>
  <si>
    <t>Realized G/L Book</t>
  </si>
  <si>
    <t>BOOKRECLAIMABLETAX</t>
  </si>
  <si>
    <t>Reclaimable Tax Receipt Book</t>
  </si>
  <si>
    <t>BOOKREGIONLONGGL</t>
  </si>
  <si>
    <t>Region / State realized long term gains and losses in the book currency of the account.</t>
  </si>
  <si>
    <t>BOOKREGIONSHORTGL</t>
  </si>
  <si>
    <t>Region / State realized short term gains and losses in the book currency of the account.</t>
  </si>
  <si>
    <t>SEC fees in USD</t>
  </si>
  <si>
    <t>trans:trans ;trans:trans.sec_fees / trans:trans.base_xrate * trans:trans.sys_xrate</t>
  </si>
  <si>
    <t>SEC Fee Amount</t>
  </si>
  <si>
    <t>Section 988 gain loss in USD</t>
  </si>
  <si>
    <t>Section988 G/L</t>
  </si>
  <si>
    <t>Short term gain loss in USD</t>
  </si>
  <si>
    <t>G/L Amount Book Short Term</t>
  </si>
  <si>
    <t>BOOKTAXABLEINCOME</t>
  </si>
  <si>
    <t>taxable_income</t>
  </si>
  <si>
    <t>Taxable Income in the Book Currency</t>
  </si>
  <si>
    <t>withholding taxes in USD</t>
  </si>
  <si>
    <t xml:space="preserve">trans:trans ;trans:trans.pcpl_amt / trans:trans.base_xrate * trans:trans.sys_xrate </t>
  </si>
  <si>
    <t>where tran_type = 'WH'</t>
  </si>
  <si>
    <t>Withholding Tax Expense</t>
  </si>
  <si>
    <t xml:space="preserve">Total gain in USD </t>
  </si>
  <si>
    <t>gain loss calculator;report total gain loss as reported from calculator where gain loss &gt;= 0</t>
  </si>
  <si>
    <t>Total realized gains in the book currency of the account.</t>
  </si>
  <si>
    <t>Total loss in USD</t>
  </si>
  <si>
    <t>gain loss calculator;report total gain loss as reported from calculator where gain loss &lt; 0</t>
  </si>
  <si>
    <t>Total realized losses in the book currency of the account.</t>
  </si>
  <si>
    <t>BOOKTOTALWITHHOLDING</t>
  </si>
  <si>
    <t>Total withholding tax, including non-resident tax, dividend and interest withhold tax, national tax withheld and local tax withheld in the accounts book currency.</t>
  </si>
  <si>
    <t>BROKERCODE1</t>
  </si>
  <si>
    <t>Broker Code 1</t>
  </si>
  <si>
    <t>BROKERCODE2</t>
  </si>
  <si>
    <t>Broker Code 2</t>
  </si>
  <si>
    <t xml:space="preserve">Clearing Broker </t>
  </si>
  <si>
    <t>nbbo:nscc_broker;nscc_broker.name</t>
  </si>
  <si>
    <t>Broker name 1 (Short)</t>
  </si>
  <si>
    <t>executing broker</t>
  </si>
  <si>
    <t>Executing Broker</t>
  </si>
  <si>
    <t>inst:inst_broker;inst_broker.brkr_name</t>
  </si>
  <si>
    <t>Broker name 2 (long)</t>
  </si>
  <si>
    <t>BUSINESSUNITCODE</t>
  </si>
  <si>
    <t>Business Unit Short Name</t>
  </si>
  <si>
    <t>BUSINESSUNITNAME</t>
  </si>
  <si>
    <t>Business Unit Name</t>
  </si>
  <si>
    <t xml:space="preserve">Current or Next Call Date </t>
  </si>
  <si>
    <t>assets:bondschd;bschd_date where bschd_type is 'C' or 'A'</t>
  </si>
  <si>
    <t xml:space="preserve">assets:bondschd;bschd_price where bschd_type is 'C' or 'A' </t>
  </si>
  <si>
    <t xml:space="preserve">Settlement Currency </t>
  </si>
  <si>
    <t xml:space="preserve">trans:trans ;assets:currency.iso_code </t>
  </si>
  <si>
    <t>assets:currency.iso_code where curr_id = trans.trans:curr_id</t>
  </si>
  <si>
    <t>Cash Instrument ID if affected by the transaction and is not in instr_id</t>
  </si>
  <si>
    <t>CCYTYPE</t>
  </si>
  <si>
    <t>Currency Type</t>
  </si>
  <si>
    <t>Taxlot disposal method</t>
  </si>
  <si>
    <t xml:space="preserve">trans:trans ;trans:trans.acct_mthd </t>
  </si>
  <si>
    <t>FIFO</t>
  </si>
  <si>
    <t>Lot Relief method for closing the current lot</t>
  </si>
  <si>
    <t>Settlement Date</t>
  </si>
  <si>
    <t xml:space="preserve">trans:trans ;trans:trans.stl_date </t>
  </si>
  <si>
    <t>Country of Issue</t>
  </si>
  <si>
    <t>assets:assets;assets:assets.country_iss</t>
  </si>
  <si>
    <t>Contry of Issuenace</t>
  </si>
  <si>
    <t>Country of Operation</t>
  </si>
  <si>
    <t xml:space="preserve">assets:assets_ext;assets:assets_ext.country_ops </t>
  </si>
  <si>
    <t>Coupon Rate of Security</t>
  </si>
  <si>
    <t>assets:fixedinc;assets:fixedinc.cpn_rate</t>
  </si>
  <si>
    <t xml:space="preserve">assets:sec_xref;assets:sec_xref.sec_symbol </t>
  </si>
  <si>
    <t xml:space="preserve">where symb_type = 'C' </t>
  </si>
  <si>
    <t>Account Target Name</t>
  </si>
  <si>
    <t>client:napp1;client:napp1.target_name</t>
  </si>
  <si>
    <t>LAZARUS FBO ELLEN</t>
  </si>
  <si>
    <t>Custodian Account Name</t>
  </si>
  <si>
    <t>Name of Custodian</t>
  </si>
  <si>
    <t>client:dtc_code;client:dtc_codes.dtc_desc</t>
  </si>
  <si>
    <t>NFS</t>
  </si>
  <si>
    <t>Custodian Name</t>
  </si>
  <si>
    <t>NBJ023252</t>
  </si>
  <si>
    <t>Custodian's source system's unique ID</t>
  </si>
  <si>
    <t>Common Interface NB v0.8</t>
  </si>
  <si>
    <t xml:space="preserve">3/22 - in agreement w/IC.  This field is mapped on their end in 2 places (FACCOUNTREFERENCE &amp; CUSTODIANREFERENCE).  NB only sending once. </t>
  </si>
  <si>
    <t>CUSTODIANSHORTNAME</t>
  </si>
  <si>
    <t>Custodian short name.</t>
  </si>
  <si>
    <t>covered_classification</t>
  </si>
  <si>
    <t>Separate Account</t>
  </si>
  <si>
    <t>Cusomizable field for generating cusom collections of holdings/lots.  Commonly used by firms that use "Sleeve" or "Deal" or "Product" concepts.</t>
  </si>
  <si>
    <t>DISALLOWED</t>
  </si>
  <si>
    <t>Is Disallowed (1 or 0)</t>
  </si>
  <si>
    <t>DIVIDENDADJUSTRATE</t>
  </si>
  <si>
    <t>Adjustment rate for a dividend</t>
  </si>
  <si>
    <t>Indicatates if a dividend</t>
  </si>
  <si>
    <t xml:space="preserve">set to "Y" when tran_type is 'RD' </t>
  </si>
  <si>
    <t>Indicator that the transaction is a dividend</t>
  </si>
  <si>
    <t>The payment rate of the dividend</t>
  </si>
  <si>
    <t>trans:trans ;trans:trans.div_factor</t>
  </si>
  <si>
    <t>Dividend payment rate</t>
  </si>
  <si>
    <t>The NB security id</t>
  </si>
  <si>
    <t>trans:trans ;trans:trans.sec_no + trans:trans.wi</t>
  </si>
  <si>
    <t>If an security reference fields are being looked up from 5.SMCOMMON or 6.SMFIXEDINCOME, this field will be used to obtain the appropriate unique security.</t>
  </si>
  <si>
    <t xml:space="preserve">A000229 </t>
  </si>
  <si>
    <t>asof_date</t>
  </si>
  <si>
    <t>ASOF or Cancel Date</t>
  </si>
  <si>
    <t xml:space="preserve">trans:trans ;trans:trans.entry_date </t>
  </si>
  <si>
    <t xml:space="preserve">where tran_type = 'RV'  or where eff_date &lt;= process_date </t>
  </si>
  <si>
    <t>03/08/2019</t>
  </si>
  <si>
    <t>Date of the Reversal or AS OF Adjustment to a transaction</t>
  </si>
  <si>
    <t>EVENTCHANGE</t>
  </si>
  <si>
    <t>Indicator that the incoming trnansaction is reversal and that the new event type is different.</t>
  </si>
  <si>
    <t>EVENTCLASS</t>
  </si>
  <si>
    <t>event_class</t>
  </si>
  <si>
    <t>Common Values: SEC, FNL, DIV, INT, JEL, EXC, SEC</t>
  </si>
  <si>
    <t xml:space="preserve">Reporting group </t>
  </si>
  <si>
    <t>TRD</t>
  </si>
  <si>
    <t>Event Code</t>
  </si>
  <si>
    <t>Effective Date of Event</t>
  </si>
  <si>
    <t xml:space="preserve">trans:trans ;trans:trans.eff_date </t>
  </si>
  <si>
    <t>Knowledge Date</t>
  </si>
  <si>
    <t xml:space="preserve">Rpt group desc </t>
  </si>
  <si>
    <t>Trading</t>
  </si>
  <si>
    <t>Short name for the Event Type</t>
  </si>
  <si>
    <t>Transaction Description</t>
  </si>
  <si>
    <t>pmr:tranytpe;pmr:trantype.full_desc</t>
  </si>
  <si>
    <t>PURCHASE SECURITY</t>
  </si>
  <si>
    <t>Transaction Type Description.</t>
  </si>
  <si>
    <t>Transction Code</t>
  </si>
  <si>
    <t>trans:trans ;trans:trans.tran_type + tran:trans.dr_cr</t>
  </si>
  <si>
    <t>PSDR</t>
  </si>
  <si>
    <t>Transaction Type (CRITICAL FIELD)</t>
  </si>
  <si>
    <t>The Ex Dividend Date</t>
  </si>
  <si>
    <t xml:space="preserve">trans:trans ;Must include ex date when trans.trd_date where tran_code = 'I'; however, it's ok to show if tran_code is not I. </t>
  </si>
  <si>
    <t>Ex-dvidend date.</t>
  </si>
  <si>
    <t>Expected Settlement Date</t>
  </si>
  <si>
    <t>Expected Settlement date</t>
  </si>
  <si>
    <t>Custodian Acount Id</t>
  </si>
  <si>
    <t>client:renumber_xref;client:renumber_xref.new_br_acct</t>
  </si>
  <si>
    <t>Custodian Account</t>
  </si>
  <si>
    <t>Sub Account Name</t>
  </si>
  <si>
    <t>pmr:subacct;pmr:subacct.description (this uses the Curr_ACCT_Type)</t>
  </si>
  <si>
    <t>In-house long</t>
  </si>
  <si>
    <t>Ledger Account Book Type</t>
  </si>
  <si>
    <t>FINANCIALACCOUNTCLASS</t>
  </si>
  <si>
    <t>Ledger Acount Class</t>
  </si>
  <si>
    <t>FINANCIALACCOUNTCODE</t>
  </si>
  <si>
    <t>Ledger Accoun Code</t>
  </si>
  <si>
    <t>FINANCIALACCOUNTNUMBER</t>
  </si>
  <si>
    <t>Ledger Account Number</t>
  </si>
  <si>
    <t>FINANCIALACCOUNTROLE</t>
  </si>
  <si>
    <t>Ledger Account Role</t>
  </si>
  <si>
    <t>Sub Account Type</t>
  </si>
  <si>
    <t>trans:trans ;trans:trans.curr_acct_type</t>
  </si>
  <si>
    <t>Ledger Account Type Code</t>
  </si>
  <si>
    <t>Transaction Number for Journals</t>
  </si>
  <si>
    <t>trans:trans ;concat br_acct, trans_no</t>
  </si>
  <si>
    <t>Unique Id of the Journal Transaction in source system</t>
  </si>
  <si>
    <t>Transaction Number for non Journals</t>
  </si>
  <si>
    <t>trans:trans ;NB will pass NULL</t>
  </si>
  <si>
    <t>where activty is not contr/with</t>
  </si>
  <si>
    <t>Unique Id of the Portfolio Transaction in source system</t>
  </si>
  <si>
    <t>FUNDSTRUCTURE</t>
  </si>
  <si>
    <t>Type of Fund</t>
  </si>
  <si>
    <t>FXCCYLONG</t>
  </si>
  <si>
    <t>FX Buy Currency for Fx transactions</t>
  </si>
  <si>
    <t>FXCCYSHORT</t>
  </si>
  <si>
    <t>FX Sell Currency for Fx transactions</t>
  </si>
  <si>
    <t>GLCLASS</t>
  </si>
  <si>
    <t>capital_gain_type</t>
  </si>
  <si>
    <t>Gain/Loss Class</t>
  </si>
  <si>
    <t>INVESTMENTCLASSNAME</t>
  </si>
  <si>
    <t>Investment Class Name</t>
  </si>
  <si>
    <t>Expected Maturity Date</t>
  </si>
  <si>
    <t xml:space="preserve">assets:fixedinc;assets:fixedinc.maturity_date </t>
  </si>
  <si>
    <t xml:space="preserve">Maturity Date </t>
  </si>
  <si>
    <t>assets:sec_xref;asset:sec_xref.sec_symbol</t>
  </si>
  <si>
    <t>where symb_source = 'M'</t>
  </si>
  <si>
    <t>US2619413063</t>
  </si>
  <si>
    <t>LOCALACCRUEDEXPENSE</t>
  </si>
  <si>
    <t>Accrued Expense</t>
  </si>
  <si>
    <t>Accured Interest in local</t>
  </si>
  <si>
    <t>trans:trans ;trans:trans.accr_int</t>
  </si>
  <si>
    <t>Accrued Income signed relative to cash</t>
  </si>
  <si>
    <t>Net Amount in Local</t>
  </si>
  <si>
    <t>trans:trans ;trans:trans.pcpl_amt + trans:trans.income_amt * trans.base_xrate</t>
  </si>
  <si>
    <t>Total Transaction Amount in Local CCY</t>
  </si>
  <si>
    <t>LOCALBALANCE</t>
  </si>
  <si>
    <t>Ending Balance Amount of Ledger Account in local CCY</t>
  </si>
  <si>
    <t>Signed Commission in local</t>
  </si>
  <si>
    <t>trans:trans ;trans:trans.comm_gcr * trans:trans.base_xrate *trantype.cash_impact</t>
  </si>
  <si>
    <t>Broker Commission signed relative to cash</t>
  </si>
  <si>
    <t xml:space="preserve">Adjusted Cost in local </t>
  </si>
  <si>
    <t>trans:trans ;trans:trans.tot_cost</t>
  </si>
  <si>
    <t>Change in Cost relative to the security</t>
  </si>
  <si>
    <t>ISO Code of Security</t>
  </si>
  <si>
    <t>trans:trans ;assets:currency.iso_code using trans:trans.sec_curr_id</t>
  </si>
  <si>
    <t>Local Currency Name</t>
  </si>
  <si>
    <t>Difference between original &amp; current cost</t>
  </si>
  <si>
    <t>trans:trans ;trans:trans.orig_cost - trans:trans.tot_cost</t>
  </si>
  <si>
    <t>Post disposition federal cost adjustment applied prior to computing the gain/loss in the localcurrency.</t>
  </si>
  <si>
    <t xml:space="preserve">Gain Loss in Local </t>
  </si>
  <si>
    <t xml:space="preserve">gain loss calculator;security gain loss in local </t>
  </si>
  <si>
    <t>Total gain / loss proceds in local currency.</t>
  </si>
  <si>
    <t xml:space="preserve">Gross Proceeds in Local </t>
  </si>
  <si>
    <t>trans:trans ;trans:trans.units * trans:trans.unit_cost * assets:assets.trad_unit</t>
  </si>
  <si>
    <t>Gross cash amount, before fees etc, in local currency.</t>
  </si>
  <si>
    <t>LOCALLEDGERCASH</t>
  </si>
  <si>
    <t>Cash amount in local currnecy applied to the ledger.</t>
  </si>
  <si>
    <t>Long Term Gain Loss in local</t>
  </si>
  <si>
    <t xml:space="preserve">gain loss calculator;long term gain loss * base_xrate </t>
  </si>
  <si>
    <t>G/L Amount Long Term</t>
  </si>
  <si>
    <t>LOCALMGTPERFFEE</t>
  </si>
  <si>
    <t>Performance Fee Amount (Local CCY)</t>
  </si>
  <si>
    <t>LOCALNETAMOUNTBROKER</t>
  </si>
  <si>
    <t>Net amount in local currency used to calculate broker fees.</t>
  </si>
  <si>
    <t xml:space="preserve">dec(18,2) </t>
  </si>
  <si>
    <t xml:space="preserve">Net Cash in Local </t>
  </si>
  <si>
    <t>Net Cash based on Effective Date</t>
  </si>
  <si>
    <t>LOCALNETPAYABLE</t>
  </si>
  <si>
    <t>Net Payable based on effective date</t>
  </si>
  <si>
    <t>LOCALNETRECEIVABLE</t>
  </si>
  <si>
    <t>Net Receivable based on effective date</t>
  </si>
  <si>
    <t>LOCALOTHEREXPENSES</t>
  </si>
  <si>
    <t>Trade Expenses</t>
  </si>
  <si>
    <t>Execution Price in Local</t>
  </si>
  <si>
    <t xml:space="preserve">trans:trans ;trans:trans.unit_cost </t>
  </si>
  <si>
    <t>Purchase Sold Accrued in Local</t>
  </si>
  <si>
    <t xml:space="preserve">trans:trans ;trans:trans.income_amt * trans:trans.inc_base_xrate </t>
  </si>
  <si>
    <t>Accrued Income Purchased or sold signed relative to accrued income</t>
  </si>
  <si>
    <t>Security Gain Loss in local</t>
  </si>
  <si>
    <t xml:space="preserve">gain loss calculator;security gl * trans:trans.base_xrate </t>
  </si>
  <si>
    <t>Realized G/L</t>
  </si>
  <si>
    <t>LOCALRECLAIMABLETAX</t>
  </si>
  <si>
    <t>Reclaimable Tax Receipt</t>
  </si>
  <si>
    <t xml:space="preserve">Short Term Gain loss in local </t>
  </si>
  <si>
    <t xml:space="preserve">gain loss calculator;short term gain loss * base_xrate </t>
  </si>
  <si>
    <t>G/L Amount Short Term</t>
  </si>
  <si>
    <t>LOCALTAXWITHHELD</t>
  </si>
  <si>
    <t xml:space="preserve">indicates directionality of trade </t>
  </si>
  <si>
    <t>"L" or "S": Transaciton is Long or Short</t>
  </si>
  <si>
    <t>Manager Name</t>
  </si>
  <si>
    <t>client:manager ;client:manager.first_name, client:manager.last_name</t>
  </si>
  <si>
    <t>Portfolio Manager's Name or Code</t>
  </si>
  <si>
    <t>Moodys Rating</t>
  </si>
  <si>
    <t>assets:assets;assets:assets.moody_rating</t>
  </si>
  <si>
    <t>Will pass a space when blank</t>
  </si>
  <si>
    <t>The Cross reference id</t>
  </si>
  <si>
    <t>trans:trans ;trans:trans.br_acct + trans:trans.xref_trans_no</t>
  </si>
  <si>
    <t xml:space="preserve">will send null when not applicable and not zero. </t>
  </si>
  <si>
    <t>Source system's unique Tax Lot ID for a mutlway pair off</t>
  </si>
  <si>
    <t>NRACOUNTRYCODE</t>
  </si>
  <si>
    <t>IF</t>
  </si>
  <si>
    <t>NRA country code.</t>
  </si>
  <si>
    <t>NRAWITHHOLDINGRATE</t>
  </si>
  <si>
    <t>NRA withholdings tax rate being applied.</t>
  </si>
  <si>
    <t>Cancel Transaction Id</t>
  </si>
  <si>
    <t xml:space="preserve">trans:trans ;trans:trans.br_acct + trans:trans.rev_trans_no where tran_type = "RV" </t>
  </si>
  <si>
    <t>Original Unique Id of the Journal Transaction in source system for cancel/corrections</t>
  </si>
  <si>
    <t>Transaction identifier for the original transaction for which the current record is the correction.</t>
  </si>
  <si>
    <t>Original Face of Transaction</t>
  </si>
  <si>
    <t xml:space="preserve">trans:trans ;trans:trans.orig_face </t>
  </si>
  <si>
    <t>Original face.</t>
  </si>
  <si>
    <t>Original Trade Date of Lot</t>
  </si>
  <si>
    <t>trans:trans ;trans:trans.open_trd_date </t>
  </si>
  <si>
    <t xml:space="preserve">Populate the Original Tax Lot Date with the PMR’s open trade date.  
However,  if the transaction type is an FR or FB and the PMR’s open trade date is blank,  then populate with the PMR’s trade date
</t>
  </si>
  <si>
    <t>Trade date when the tax lot was purchased</t>
  </si>
  <si>
    <t>No impact to IC (updated Comments only to update NB rules based on feedback from J Nichols)</t>
  </si>
  <si>
    <t>Payable Date</t>
  </si>
  <si>
    <t xml:space="preserve">Will send null when not applicable.  Field applies to FI assets. </t>
  </si>
  <si>
    <t>Payable date, applicable to dividends, interest, principal paydowns and principal payment at maturity.</t>
  </si>
  <si>
    <t>End date of the extract that produced the transaction from the source system</t>
  </si>
  <si>
    <t>PERIODTYPE</t>
  </si>
  <si>
    <t># of days that the extract ran for that produced this record.</t>
  </si>
  <si>
    <t>Post Date</t>
  </si>
  <si>
    <t>trans:trans ;trans:trans.post_date</t>
  </si>
  <si>
    <t>Transaction posting date.</t>
  </si>
  <si>
    <t>Sec Symbol on Transaction</t>
  </si>
  <si>
    <t xml:space="preserve">trans:trans ;trans:trans.sec_symbol </t>
  </si>
  <si>
    <t>dec(18,5)</t>
  </si>
  <si>
    <t xml:space="preserve">Units </t>
  </si>
  <si>
    <t xml:space="preserve">trans:trans ;trans:trans.units  </t>
  </si>
  <si>
    <t>Affected quantity of the security</t>
  </si>
  <si>
    <t>REASONCODE</t>
  </si>
  <si>
    <t>Date of Reversal</t>
  </si>
  <si>
    <t>trans:trans ;trans:trans.entry_date where tran_type = RV</t>
  </si>
  <si>
    <t>Knowledge Date of Reversal</t>
  </si>
  <si>
    <t>Type of Transaction being reversed</t>
  </si>
  <si>
    <t xml:space="preserve">trans:trans ;trans:trans.rev_type + trans:trans.dr_cr </t>
  </si>
  <si>
    <t>Rvs Acct Event ID</t>
  </si>
  <si>
    <t>ROLETRACKINGSTATE</t>
  </si>
  <si>
    <t>Role Tracking State</t>
  </si>
  <si>
    <t>Security Description</t>
  </si>
  <si>
    <t xml:space="preserve">assets:assets;assets:sec_desc1  - assets.sec_desc5 </t>
  </si>
  <si>
    <t>SECURITYGROSSCASH</t>
  </si>
  <si>
    <t>Gross Cash in currency of the the security</t>
  </si>
  <si>
    <t>SECURITYMASTERFID</t>
  </si>
  <si>
    <t>SECURITYNETCASH</t>
  </si>
  <si>
    <t>Net Cash in currency of the the security</t>
  </si>
  <si>
    <t>SECURITYREQUIRESSETTLEMENT</t>
  </si>
  <si>
    <t>Indicator of whether the security  related to the transaction requires settlement</t>
  </si>
  <si>
    <t>Segment of Security</t>
  </si>
  <si>
    <t xml:space="preserve">pmr:indust_levels;pmr:indust_level.indust_desc </t>
  </si>
  <si>
    <t>Sector of Security</t>
  </si>
  <si>
    <t>Industry of Security</t>
  </si>
  <si>
    <t>3rd Level sector (most granular)</t>
  </si>
  <si>
    <t>sedol</t>
  </si>
  <si>
    <t>assets:sec_xref;assets:sec_xref.sec_symbol</t>
  </si>
  <si>
    <t>where symb_source = 'L'</t>
  </si>
  <si>
    <t>SETTLEMENTAMOUNT</t>
  </si>
  <si>
    <t>Settlement Currency</t>
  </si>
  <si>
    <t>trans:trans ;assets:currency.iso_code for trans:trans.curr_id</t>
  </si>
  <si>
    <t>Payable/Receivable Instrument ID if affected by the transaction and is not in instr_id</t>
  </si>
  <si>
    <t>FX Rate</t>
  </si>
  <si>
    <t>for security type 665</t>
  </si>
  <si>
    <t>FX rate between the buy and sell currency for FX transactions</t>
  </si>
  <si>
    <t>SPOTFWDFXRATEALTERNATECCY</t>
  </si>
  <si>
    <t xml:space="preserve">Alternate Spot/Fwd FX Rate </t>
  </si>
  <si>
    <t>assets:assets;assets:assets.sp_rating</t>
  </si>
  <si>
    <t>SPREAD</t>
  </si>
  <si>
    <t>Spread</t>
  </si>
  <si>
    <t>Trade Indicator</t>
  </si>
  <si>
    <t>if tran_type is PS,SL, SS, CS, set is _a_trade to Y, else N</t>
  </si>
  <si>
    <t xml:space="preserve">do no set if security is a money  market </t>
  </si>
  <si>
    <t>Is a Buy, Sell, Buy to Cover or Cover Short Transaction. (1 or 0 are accepted values.)</t>
  </si>
  <si>
    <t>Short name for trading stragegy</t>
  </si>
  <si>
    <t>char(100)</t>
  </si>
  <si>
    <t>Strategy Name</t>
  </si>
  <si>
    <t>SUBBUSINESSUNITCODE</t>
  </si>
  <si>
    <t>Business Unit Short Name or Code</t>
  </si>
  <si>
    <t>SUBBUSINESSUNITNAME</t>
  </si>
  <si>
    <t>Business Unit</t>
  </si>
  <si>
    <t>SWAPFLAG</t>
  </si>
  <si>
    <t>Transaciton relates to a Swap</t>
  </si>
  <si>
    <t>Taxlot id</t>
  </si>
  <si>
    <t>trans:trans;Taxlot_id = br_acct + sec_no  + wi + sec_xtend + acct_type + trans_no</t>
  </si>
  <si>
    <t>Source System's unique ID for the related tax lot</t>
  </si>
  <si>
    <t>char(120)</t>
  </si>
  <si>
    <t>Trailer</t>
  </si>
  <si>
    <t xml:space="preserve">trans:trans_desc;trans:trans_desc 1- trans:trans_desc4 </t>
  </si>
  <si>
    <t>Integer</t>
  </si>
  <si>
    <t>THIRDPARTYSECURITYDESCRIPTION</t>
  </si>
  <si>
    <t xml:space="preserve">Source System's Description for the Secuirty </t>
  </si>
  <si>
    <t>where symb_source = 'T'</t>
  </si>
  <si>
    <t>Trade Date</t>
  </si>
  <si>
    <t>trans:trans;trans:trans.trd_date</t>
  </si>
  <si>
    <t>TRADEDATEALT</t>
  </si>
  <si>
    <t>TRADERNAME</t>
  </si>
  <si>
    <t>Trader's Name of Short Name</t>
  </si>
  <si>
    <t>TRADETOSETTLEFXRATE</t>
  </si>
  <si>
    <t>FX Rate as of trade date for the local ccy to book ccy</t>
  </si>
  <si>
    <t>TRANSACTIONTAXCODE</t>
  </si>
  <si>
    <t>customertaxstatus</t>
  </si>
  <si>
    <t>Transaction tax category code.</t>
  </si>
  <si>
    <t>TRANSACTIONTAXDESCRIPTION</t>
  </si>
  <si>
    <t>Transaction tax category description.</t>
  </si>
  <si>
    <t>Received From/Sending to Branch Account</t>
  </si>
  <si>
    <t xml:space="preserve">trans:trans;trans:trans.x_br_acct </t>
  </si>
  <si>
    <t>Transfer from account number.</t>
  </si>
  <si>
    <t>IF input.rpt_group IN (BKC,CFC,MCC,BKW,CFW,MCW,EXP,FEE,TAX)
AND Transaction.EventDate &lt;= Account.UserDefinedDate1 
WHERE Transaction.AccountShortName = Account.AccountShortName
THEN TXNCLASSIFICATIONLEVEL1 = OCC
ELSE 
   IF input.rpt_group IN (CFS,SCC,CFX,SCW)
   AND Transaction.EventDate &lt;= Account.UserDefinedDate1
   WHERE Transaction.AccountShortName = Account.AccountShortName
   THEN TXNCLASSIFICATIONLEVEL1 = OSC
ELSE
   IF input.rpt_group IN (CRP)
   WHERE Transaction.AccountShortName = Account.AccountShortName
   THEN TXNCLASSIFICATIONLEVEL1=TRS
   ELSE  TXNCLASSIFICATIONLEVEL1 = input.rpt_group</t>
  </si>
  <si>
    <t>Transaction classification level 1 for reporting. Used for Aggregation - IC list of specific values must be used</t>
  </si>
  <si>
    <t xml:space="preserve">3/22 - In agreement w/IC.  This field is mapped on their end in 2 places (EVENTCODE &amp; TXNCLASSIFICATION LEVEL 1).  NB only sending once. </t>
  </si>
  <si>
    <t>TXNCLASSIFICATIONLEVEL2</t>
  </si>
  <si>
    <t>Transaction classification level 2 for reporting. Used for Performance Calcs - IC list of specific values must be used.</t>
  </si>
  <si>
    <t>Ticker of Underlying Security for Option</t>
  </si>
  <si>
    <t xml:space="preserve">assets:derivative;assets:sec_xref.sec_symbol for und_secno </t>
  </si>
  <si>
    <t>Primary Security Sybol of an unerlying holding. Typically used for Options. Used to look up UNDERLYLEGSECURITYMASTERFID If there is a value here.</t>
  </si>
  <si>
    <t>Security Description of Underlying Security for Option</t>
  </si>
  <si>
    <t xml:space="preserve">assets:assets ;assets:assets.sec_desc1 - 5 for und_secno </t>
  </si>
  <si>
    <t>UNDERLYINGLEG</t>
  </si>
  <si>
    <t xml:space="preserve">Name of the leg of the underlyer </t>
  </si>
  <si>
    <t>UNDERLYLEGSECURITYMASTERFID</t>
  </si>
  <si>
    <t>Indicates security is variable rate</t>
  </si>
  <si>
    <t xml:space="preserve">assets:assets ;assets:fixedind.cpn_Type </t>
  </si>
  <si>
    <t xml:space="preserve">Indiactor of a Variable Rate security </t>
  </si>
  <si>
    <t>VARIABLERATEINDEX</t>
  </si>
  <si>
    <t>Index that is used or is the base for the variable rate.</t>
  </si>
  <si>
    <t>ReasonCode = AEOD</t>
  </si>
  <si>
    <t>ADRFLAG</t>
  </si>
  <si>
    <t>Set to "Y" if security represents an ADR</t>
  </si>
  <si>
    <t xml:space="preserve">Alternate ID for the security </t>
  </si>
  <si>
    <t>Activ-Financial-formatted Ticker. Required for Realtime Pricing.</t>
  </si>
  <si>
    <t>ALTID4</t>
  </si>
  <si>
    <t>Alternate ID for the security, used for Pricing Feed integration. Should be populated with Ticker &amp; '_US' for US Equities</t>
  </si>
  <si>
    <t>ALTID5</t>
  </si>
  <si>
    <t>BM_STD_MMDDYYYYHHmmSS, BM_NONSTD_MMDDYYYYHHmmSS, BM_ACCTPRODUCT_MMDDYYYYHHmmSS 
(Lookup file) BMASSOC_AGG_MMDDYYYYHHmmSS</t>
  </si>
  <si>
    <t>Lookup BMASSOC_AGG.ind_hdr_no via benchmarkid,
 - If no match of benchmarkid found, leave AltID5 blank
 - Else,
     - If ind_hdr_no is NOT null, leave AltID5 blank.
     - Else, map BMASSOC_AGG.ags_shortname to AltID5</t>
  </si>
  <si>
    <t>ALTID6</t>
  </si>
  <si>
    <t>ALTID7</t>
  </si>
  <si>
    <t>ALTID8</t>
  </si>
  <si>
    <t>Primary Asset Class</t>
  </si>
  <si>
    <t>Second level of Asset Class</t>
  </si>
  <si>
    <t>Most granular asset class definition</t>
  </si>
  <si>
    <t>COMPANYNAME</t>
  </si>
  <si>
    <t>Issuing Company's full name</t>
  </si>
  <si>
    <t>Country of Issuance</t>
  </si>
  <si>
    <t>COUNTRYOFTRADING</t>
  </si>
  <si>
    <t>Country of Trading</t>
  </si>
  <si>
    <t>DIVIDENDFREQUENCY</t>
  </si>
  <si>
    <t>Dividend Payment Frequency</t>
  </si>
  <si>
    <t>DIVIDENDPAYDATE</t>
  </si>
  <si>
    <t>Dividend Pay Date</t>
  </si>
  <si>
    <t>EARLIESTEXERCISEDATE</t>
  </si>
  <si>
    <t>Earliest date the security can be exercised</t>
  </si>
  <si>
    <t xml:space="preserve">BM_STD_MMDDYYYYHHmmSS, BM_NONSTD_MMDDYYYYHHmmSS, BM_ACCTPRODUCT_MMDDYYYYHHmmSS </t>
  </si>
  <si>
    <t>"NEB_" + benchmarkid</t>
  </si>
  <si>
    <t>Unique Systematic identifier (from source system)</t>
  </si>
  <si>
    <t>EXCHANGE</t>
  </si>
  <si>
    <t>Primary Exchange the security is traded on</t>
  </si>
  <si>
    <t>EXPIRYDATE</t>
  </si>
  <si>
    <t>Date the security expires</t>
  </si>
  <si>
    <t>EXPOSURELSMULTIPLIER</t>
  </si>
  <si>
    <t>NUMBER(20,0)</t>
  </si>
  <si>
    <t>See additional details. Required only if the holding's value should be multipleid for exposure reporting (e.g. for options)</t>
  </si>
  <si>
    <t>INCOMECCY</t>
  </si>
  <si>
    <t>VARCHAR2(3)</t>
  </si>
  <si>
    <t>Dividend Currency Code</t>
  </si>
  <si>
    <t>ISSUEDATE</t>
  </si>
  <si>
    <t>Date security was issued.</t>
  </si>
  <si>
    <t>ISSUERIDENTIFIER</t>
  </si>
  <si>
    <t>NUMBER(30,0)</t>
  </si>
  <si>
    <t>Unqiue ID for Issue (e.g. DB Cross Walk #)</t>
  </si>
  <si>
    <t>LISTINGSTATUS</t>
  </si>
  <si>
    <t>VARCHAR2(10)</t>
  </si>
  <si>
    <t>Listing status e.g. Live, Dead etc.</t>
  </si>
  <si>
    <t>Local Currency Code (e.g. USD) the security is traded in. Should be the currency the trading exchange reports prices in.)</t>
  </si>
  <si>
    <t>LOCALTAXTYPE1NAME</t>
  </si>
  <si>
    <t>Name of Tax or Duty charged on the issue or transfer of securities.</t>
  </si>
  <si>
    <t>VARCHAR2 (40)</t>
  </si>
  <si>
    <t>OPTIONSTYLE</t>
  </si>
  <si>
    <t>Style of Optinon</t>
  </si>
  <si>
    <t>OPTIONTYPE</t>
  </si>
  <si>
    <t>Type of Option</t>
  </si>
  <si>
    <t>PAYMENTFREQUENCY</t>
  </si>
  <si>
    <t>Dividend Frequency</t>
  </si>
  <si>
    <t>POPULAR</t>
  </si>
  <si>
    <t>1 or 0: Flag for inclusion in special views (typically custom views contracted for separately)</t>
  </si>
  <si>
    <t>Currency of of Local price the security is valued in.</t>
  </si>
  <si>
    <t>PRICEMULTIPLIER</t>
  </si>
  <si>
    <t>Price Multiplier (e.g. for Bonds)</t>
  </si>
  <si>
    <t>PRIMARYLISTINGEXCHANGE</t>
  </si>
  <si>
    <t>Exchange code that is considered the primary trading venue for the security</t>
  </si>
  <si>
    <t>Unique Business Displayed Identifer</t>
  </si>
  <si>
    <t>REGIONDESCRIPTION</t>
  </si>
  <si>
    <t>Description of the Larget-than-country geographic region of the security  (e.g. Asia or Latin America)</t>
  </si>
  <si>
    <t>REGISTRARNAME</t>
  </si>
  <si>
    <t>VARCHAR2(100)</t>
  </si>
  <si>
    <t>The agency or firm that maintains the register of owners of the security identified by the instrument_id</t>
  </si>
  <si>
    <t>RESTRICTIONREASON</t>
  </si>
  <si>
    <t>VARCHAR2(120)</t>
  </si>
  <si>
    <t>Any trading restrictions are in effect against the security identified by the instrument_id</t>
  </si>
  <si>
    <t>Long/Complete Name for Security (may be the same as SecurityName if a long descriptions is not available)</t>
  </si>
  <si>
    <t>Short name for Security</t>
  </si>
  <si>
    <t>Primary Sector (e.g. Technology)</t>
  </si>
  <si>
    <t>Second level of Sector</t>
  </si>
  <si>
    <t>Most granular sector definition</t>
  </si>
  <si>
    <t>Hardcode to "Index"</t>
  </si>
  <si>
    <t>MUST be one of the following: EQUITY: Equity; MoE: MediumOfExchange; INT:; InterestBearing; OPTION: Option; SWAP: Swap ; BENCHMARK: Benchmark; FUND: Fund</t>
  </si>
  <si>
    <t>SECURTYMASTERFID</t>
  </si>
  <si>
    <t>SHARESOUTSTANDING</t>
  </si>
  <si>
    <t>Shares Outstanding</t>
  </si>
  <si>
    <t>STRIKEPRICE</t>
  </si>
  <si>
    <t>NUMBER(38,5)</t>
  </si>
  <si>
    <t>Strike Price</t>
  </si>
  <si>
    <t>TRADINGUNIT</t>
  </si>
  <si>
    <t>Trading Unit (e.g. 100 contracts for Options)</t>
  </si>
  <si>
    <t>UNDERLYERID</t>
  </si>
  <si>
    <t>ENTERPRISESYMBOL of the underlying security related to this security.</t>
  </si>
  <si>
    <t>Custom/flexible field available for reporting.</t>
  </si>
  <si>
    <t>WARRANTINDICATOR</t>
  </si>
  <si>
    <t>Warrants Indicator</t>
  </si>
  <si>
    <t>FIXED INCOME SPECIFIC FIELDS:  If the fields below are desired or required for mapping, details can be specified below or on 6.SMFIXEDINCOME</t>
  </si>
  <si>
    <t>ACCRUALDAYCOUNT</t>
  </si>
  <si>
    <t>NUMBER (10, 0)</t>
  </si>
  <si>
    <t>Fixed Income-Specific Field.  May alternatively be mapped to 6.SMFIXEDINCOME</t>
  </si>
  <si>
    <t>Day count methodology for interest accrual Fixed Income</t>
  </si>
  <si>
    <t>AMORTIZATIONPERIODEND</t>
  </si>
  <si>
    <t>NUMBER (20, 5)</t>
  </si>
  <si>
    <t xml:space="preserve">Remaining Amortization as of Period End date </t>
  </si>
  <si>
    <t>CONVERSIONFACTOR</t>
  </si>
  <si>
    <t xml:space="preserve">Factor for converible securities </t>
  </si>
  <si>
    <t xml:space="preserve">Coupon Rate </t>
  </si>
  <si>
    <t>COUPONFREQUENCY</t>
  </si>
  <si>
    <t>NUMBER (15, 0)</t>
  </si>
  <si>
    <t xml:space="preserve">Coupon Frequency </t>
  </si>
  <si>
    <t>EXPOSURELSINDICATOR</t>
  </si>
  <si>
    <t>"L" or "S" for Long or Short. Required if EXPOSURELSMULTIPLIER is populated.</t>
  </si>
  <si>
    <t>INVESTEFFECTIVEYIELD</t>
  </si>
  <si>
    <t xml:space="preserve">Effective Yield  </t>
  </si>
  <si>
    <t>Maturity Date</t>
  </si>
  <si>
    <t>INVESTMENTSINKFACTOR</t>
  </si>
  <si>
    <t>Sink Factor</t>
  </si>
  <si>
    <t>INVESTMENTSINKPERCENT</t>
  </si>
  <si>
    <t>Sink Percentage</t>
  </si>
  <si>
    <t>INVESTYIELDTOMATURITY</t>
  </si>
  <si>
    <t>Original Face Value</t>
  </si>
  <si>
    <t>PREPAYMENTDATE</t>
  </si>
  <si>
    <t xml:space="preserve">Date of bond prepayment </t>
  </si>
  <si>
    <t>PSAMAXRATE</t>
  </si>
  <si>
    <t xml:space="preserve">Maximum PSA rate for MBS </t>
  </si>
  <si>
    <t>PSARAMPLENGTH</t>
  </si>
  <si>
    <t xml:space="preserve">Ramp Length Psa for MBS </t>
  </si>
  <si>
    <t>PSASPEED</t>
  </si>
  <si>
    <t xml:space="preserve">PSA used for MBS </t>
  </si>
  <si>
    <t>SINKCURRENTEVENTDATE</t>
  </si>
  <si>
    <t xml:space="preserve">Current Date on Sink Schedule </t>
  </si>
  <si>
    <t>Hardcoding</t>
  </si>
  <si>
    <t>Hardcoded to "NB_Master"</t>
  </si>
  <si>
    <t>NBMASTERBMLIST_MMDDYYYY.txt</t>
  </si>
  <si>
    <t>"NEB_" + ind_hdr_no</t>
  </si>
  <si>
    <t>ind_hdr_no</t>
  </si>
  <si>
    <t>description</t>
  </si>
  <si>
    <t>short_desc</t>
  </si>
  <si>
    <t>GROUPTYPE</t>
  </si>
  <si>
    <t>TEAM_MMDDYYYYHHmmSS</t>
  </si>
  <si>
    <t xml:space="preserve">Optional - Recommended </t>
  </si>
  <si>
    <t>DESCRIPTION</t>
  </si>
  <si>
    <t>teamidentifier</t>
  </si>
  <si>
    <t>teamname</t>
  </si>
  <si>
    <t>TENANT</t>
  </si>
  <si>
    <t>Set to "NeubergerBerman"</t>
  </si>
  <si>
    <t>Map TenantID of the L1 tenant NeubergerBerman</t>
  </si>
  <si>
    <t>EMAILADDRESS1</t>
  </si>
  <si>
    <t>outlookemailaddress</t>
  </si>
  <si>
    <t>EMAILADDRESS2</t>
  </si>
  <si>
    <t>msteamemailaddress</t>
  </si>
  <si>
    <t>A</t>
  </si>
  <si>
    <t>Set to "A"</t>
  </si>
  <si>
    <t xml:space="preserve">Create ACL in the below format "Team:&lt;&lt;Input.TeamName&gt;&gt;:&lt;&lt;Input.TenantName&gt;&gt;" </t>
  </si>
  <si>
    <t>Team:Smith Team:NeubergerBerman</t>
  </si>
  <si>
    <t>FRIENDLYNAME</t>
  </si>
  <si>
    <t>If null, STGRecordAction = null
else RecordAction</t>
  </si>
  <si>
    <t>Record Creation / Updates: </t>
  </si>
  <si>
    <t>Verify if a record exists for the provided Business Key  </t>
  </si>
  <si>
    <t>If not, then load the record as a new record </t>
  </si>
  <si>
    <t>If a record exists, overwrite the record with the new data provided </t>
  </si>
  <si>
    <r>
      <t>If Status = NULL, then write Status = ‘A’</t>
    </r>
    <r>
      <rPr>
        <sz val="10"/>
        <color rgb="FF000000"/>
        <rFont val="Helvetica Neue"/>
        <charset val="1"/>
      </rPr>
      <t> </t>
    </r>
  </si>
  <si>
    <r>
      <t>Create ACL in the below format and assign to the logged in user </t>
    </r>
    <r>
      <rPr>
        <sz val="10"/>
        <color rgb="FF000000"/>
        <rFont val="Helvetica Neue"/>
        <charset val="1"/>
      </rPr>
      <t> </t>
    </r>
  </si>
  <si>
    <t>"Team:&lt;&lt;Team Name&gt;&gt;:&lt;&lt;Team tenant Name&gt;&gt;" </t>
  </si>
  <si>
    <t>Data Requirement</t>
  </si>
  <si>
    <t>Null Allowed?</t>
  </si>
  <si>
    <t>IC Definition</t>
  </si>
  <si>
    <t>Internal/Implementation Notes</t>
  </si>
  <si>
    <t>Provide same value as USERNAME from User tab</t>
  </si>
  <si>
    <t>usertoteam_YYYYMMDD.txt</t>
  </si>
  <si>
    <t>Map BeamUser.ID where BeamUser.Username = Input.username</t>
  </si>
  <si>
    <t>TEAMNAME</t>
  </si>
  <si>
    <t>Provide same value as NAME from UserGroup tab</t>
  </si>
  <si>
    <t>Set Groups_Id by running lookup on Input.TeamName = UserGroup.Name where UserGroup.GroupEntityType = Team and UserGroup.TenantId = NeubergerBerman</t>
  </si>
  <si>
    <t xml:space="preserve">Internal Note: This is a differential load. </t>
  </si>
  <si>
    <t xml:space="preserve">Internal Note: Client Users must have at least 1 record where PartyOfInterest.PrimaryUserLoginId = User.Id and PartyOfInterestEntityType in (FamilyMember, PartyOfInterest) </t>
  </si>
  <si>
    <t>USERS_ID</t>
  </si>
  <si>
    <t>TEAM_ACCTS_MMDDYYYYHHmmSS</t>
  </si>
  <si>
    <t>Run look up for BeamUser.Id 
FROM BeamAccount
JOIN SecACL on BeamAccount.beACL = SecACL.Id 
JOIN SecUserACLList on SecACL.Id = SecUserACLList.SecACLId 
JOIN BeamUser on SecUserACLList.UserId = BeamUser.Id
WHERE BeamAccount.accountShortName = input.br_acct
AND BeamUser.TenantName in ('NeubergerBerman_Employee','NeubergerBerman_Users')
AND BeamUser.Status &lt;&gt; 'D'</t>
  </si>
  <si>
    <t>GROUPS_ID</t>
  </si>
  <si>
    <t>Map UserGroup.ID where UserGroup.Description = Input.TeamIdentifier</t>
  </si>
  <si>
    <t>For deleting UserGroup + User associations</t>
  </si>
  <si>
    <t>VARCHAR2(100) </t>
  </si>
  <si>
    <t>Assign TenantId = L1 Tenant (NeubergerBerman)</t>
  </si>
  <si>
    <t>ID </t>
  </si>
  <si>
    <t>NUMBER(19) </t>
  </si>
  <si>
    <t>BE_APPVERSION </t>
  </si>
  <si>
    <t>VARCHAR2(20) </t>
  </si>
  <si>
    <t>BE_CREATIME </t>
  </si>
  <si>
    <t>TIMESTAMP(6) </t>
  </si>
  <si>
    <t>BE_PROGNAME </t>
  </si>
  <si>
    <t>BE_SOURCE </t>
  </si>
  <si>
    <t>VARCHAR2(50) </t>
  </si>
  <si>
    <t>BE_UPDTIME </t>
  </si>
  <si>
    <t>BE_USERNAME </t>
  </si>
  <si>
    <t>BE_VERNO </t>
  </si>
  <si>
    <t>NUMBER(10) </t>
  </si>
  <si>
    <t>GROUPS_ID </t>
  </si>
  <si>
    <t>USER_NAME</t>
  </si>
  <si>
    <t xml:space="preserve">TENANTID </t>
  </si>
  <si>
    <t xml:space="preserve">Verify if a record exists for the provided Users_Id &amp; Groups_Id </t>
  </si>
  <si>
    <t xml:space="preserve">For each record, assign UserGroupbeACL to Users_Id where Groups_Id = UserGroup.Id </t>
  </si>
  <si>
    <t xml:space="preserve">Insert new record into SecUserACLList + SecUserWorkingACLList </t>
  </si>
  <si>
    <t>USERROLE </t>
  </si>
  <si>
    <t>Possible values:"Client" or "Advisor"</t>
  </si>
  <si>
    <t>userrole</t>
  </si>
  <si>
    <t>TENANTID </t>
  </si>
  <si>
    <t>USERS_ID </t>
  </si>
  <si>
    <t>When TenantName = NeubergerBerman_Users then 'Client'. When TenantName = NeubergerBerman_Employee then 'Advisor'. Look up TenantName from UserEntity.Tenant</t>
  </si>
  <si>
    <t>BE_ACL </t>
  </si>
  <si>
    <t>Map UserGroup.Be_ACL where UserGroup.Description = Input.TeamIdentifier</t>
  </si>
  <si>
    <t>Note: Either ACCOUNTGROUPSHORTNAME or ACCOUNT SHORTNAME must be present</t>
  </si>
  <si>
    <t xml:space="preserve">PERFACCTGROSS_MMDDYYYYHHmmSS
PERFACCTGROSS_ME_MMDDYYYYHHmmSS
PERFACCTNET_MMDDYYYYHHmmSS
PERFACCTNET_ME_MMDDYYYYHHmmSS
PERFAGGGROSS_MMDDYYYYHHmmSS
PERFAGGGROSS_ME_MMDDYYYYHHmmSS
PERFAGGNET_MMDDYYYYHHmmSS
PERFAGGNET_ME_MMDDYYYYHHmmSS </t>
  </si>
  <si>
    <t xml:space="preserve">Not applicable in the Account Level Files (will only be used in the Aggegrate &amp; Fund Level Perf files. </t>
  </si>
  <si>
    <t>Common Interface NB V0.6</t>
  </si>
  <si>
    <t>3/14 - Agreed that to adhere to new Perf CI doc shared on 3/14</t>
  </si>
  <si>
    <t>Lookup BeamAccount.Id based on AccountShortName</t>
  </si>
  <si>
    <t xml:space="preserve">account id </t>
  </si>
  <si>
    <t>A short name for accounts to aid in identifying. Must be unique across all accounts. May not be required depending on segment type (e.g. if fundshortname is used)</t>
  </si>
  <si>
    <t>ALLOCATIONEFFECTITD</t>
  </si>
  <si>
    <t>Allocation Effect for the period specified</t>
  </si>
  <si>
    <t>ALLOCATIONEFFECTLAST10YEAR</t>
  </si>
  <si>
    <t>ALLOCATIONEFFECTLAST12MONTHS</t>
  </si>
  <si>
    <t>ALLOCATIONEFFECTLAST1MONTH</t>
  </si>
  <si>
    <t>ALLOCATIONEFFECTLAST1WEEK</t>
  </si>
  <si>
    <t>ALLOCATIONEFFECTLAST1YEAR</t>
  </si>
  <si>
    <t>ALLOCATIONEFFECTLAST3MONTHS</t>
  </si>
  <si>
    <t>ALLOCATIONEFFECTLAST3YEARS</t>
  </si>
  <si>
    <t>ALLOCATIONEFFECTLAST5YEARS</t>
  </si>
  <si>
    <t>ALLOCATIONEFFECTLAST6MONTHS</t>
  </si>
  <si>
    <t>ALLOCATIONEFFECTLAST9MONTHS</t>
  </si>
  <si>
    <t>ALLOCATIONEFFECTMTD</t>
  </si>
  <si>
    <t>ALLOCATIONEFFECTQTD</t>
  </si>
  <si>
    <t>ALLOCATIONEFFECTWTD</t>
  </si>
  <si>
    <t>ALLOCATIONEFFECTYTD</t>
  </si>
  <si>
    <t>AWAREDATE</t>
  </si>
  <si>
    <t>VARCHAR2(20),</t>
  </si>
  <si>
    <t>TIMESTAMP(6),</t>
  </si>
  <si>
    <t>ONLY for the PERFACCT* files:
If BeamAccount.AccountSource = 'ODYSSEY'
and BeamAccount.AltSystemId6 = 'Tax Managed Strategies (TaxM)'
 - Map 'BLACK'</t>
  </si>
  <si>
    <t>Name of the Bechmark</t>
  </si>
  <si>
    <t>BENCHMARKSYMBOL</t>
  </si>
  <si>
    <t>Benchmark Symbol</t>
  </si>
  <si>
    <t>2/14 - Add per PDDNB10</t>
  </si>
  <si>
    <t>this is a new field that was added based on Pliot 1a SDS.</t>
  </si>
  <si>
    <t>denomination of returns</t>
  </si>
  <si>
    <t>Currency the account or segment is demoninated in</t>
  </si>
  <si>
    <t>BOOKCONTRIBUTION</t>
  </si>
  <si>
    <t>Contribution for the period of the extract (may be any period)</t>
  </si>
  <si>
    <t>BOOKCONTRIBUTIONBMRK</t>
  </si>
  <si>
    <t>Contribution for the period of the extract for the benchmark (may be any period)</t>
  </si>
  <si>
    <t>dec(20,2)</t>
  </si>
  <si>
    <t>Fees in book ccy for the period of the extract</t>
  </si>
  <si>
    <t>BOOKFEESIMPACT</t>
  </si>
  <si>
    <t>Impact Fees in book ccy for the period of the extract</t>
  </si>
  <si>
    <t>Income in book ccy for the period of the extract</t>
  </si>
  <si>
    <t>market value for end date (inclusive of Accrued)</t>
  </si>
  <si>
    <t>Beginning Market Value for specified period (the period of the extract, may be any period)</t>
  </si>
  <si>
    <t>Ending Market Value for specified period</t>
  </si>
  <si>
    <t>Beginning Market Value for specified period</t>
  </si>
  <si>
    <t>inception market value</t>
  </si>
  <si>
    <t xml:space="preserve">3/5 - Asked IC to leverage the value in field for the at inception date of the account (we would pass for the account level record which can be identified by a classifier type/name of Account/Total Portfolio. </t>
  </si>
  <si>
    <t>BOOKMVBEGINLAST1WEEK</t>
  </si>
  <si>
    <t>BOOKMVBEGINWTD</t>
  </si>
  <si>
    <t>Net cash flow in book ccy for the specified period</t>
  </si>
  <si>
    <t xml:space="preserve">inception to date net flow </t>
  </si>
  <si>
    <t>BOOKNETCASHFLOWLAST1WEEK</t>
  </si>
  <si>
    <t>BOOKNETCASHFLOWWTD</t>
  </si>
  <si>
    <t>Profit and Loss (P&amp;L) for the specified period of the total extract  (the period of the extract, may be any period)</t>
  </si>
  <si>
    <t>Profit and Loss (P&amp;L) for the specified period</t>
  </si>
  <si>
    <t>BOOKPROFITLOSSLAST1WEEK</t>
  </si>
  <si>
    <t>BOOKPROFITLOSSWTD</t>
  </si>
  <si>
    <t>BOOKREDEMPTIONAMOUNT</t>
  </si>
  <si>
    <t>Redemption amount in book ccy for the period of the extract</t>
  </si>
  <si>
    <t>BOOKRETURNACCT</t>
  </si>
  <si>
    <t>Return at the account level in book ccy for the period of the extract</t>
  </si>
  <si>
    <t>BOOKRETURNACCTANNUALIZED</t>
  </si>
  <si>
    <t>Annualized Return at the account level in book ccy for the period of the extract</t>
  </si>
  <si>
    <t>BOOKRETURNBMRK</t>
  </si>
  <si>
    <t>Return of the Benchmark amount in book ccy for the period of the extract</t>
  </si>
  <si>
    <t>BOOKSUBSCRIPTIONAMOUNT</t>
  </si>
  <si>
    <t>Subscription amount in book ccy for the period of the extract</t>
  </si>
  <si>
    <t xml:space="preserve">VARCHAR(200) </t>
  </si>
  <si>
    <t>Common Interface NB V0.9</t>
  </si>
  <si>
    <t xml:space="preserve">Updated description &amp; source logic based on rules agreed to with IC in the 3/25 data meeting (appended AGSshortname when sending for aggregate &amp; fund level perf) </t>
  </si>
  <si>
    <t>TOTAL PORTFOLIO</t>
  </si>
  <si>
    <t>Long description of the classifier for the segment or type of performance for the record</t>
  </si>
  <si>
    <t>char(10)</t>
  </si>
  <si>
    <t>ACCOUNT</t>
  </si>
  <si>
    <t>Short description of the classifier for the segment or type of performance for the record</t>
  </si>
  <si>
    <t xml:space="preserve">3/26 - Updated comments to include logic change requested by IC to pass AGSTYPE when sending perf data at the accountgroup level. </t>
  </si>
  <si>
    <t>CONTRIBUTIONBMRKITD</t>
  </si>
  <si>
    <t>Benchmark Performance for specified period</t>
  </si>
  <si>
    <t>CONTRIBUTIONBMRKLAST10YEAR</t>
  </si>
  <si>
    <t>CONTRIBUTIONBMRKLAST12MONTHS</t>
  </si>
  <si>
    <t>CONTRIBUTIONBMRKLAST1MONTH</t>
  </si>
  <si>
    <t>CONTRIBUTIONBMRKLAST1WEEK</t>
  </si>
  <si>
    <t>CONTRIBUTIONBMRKLAST1YEAR</t>
  </si>
  <si>
    <t>CONTRIBUTIONBMRKLAST3MONTHS</t>
  </si>
  <si>
    <t>CONTRIBUTIONBMRKLAST3YEARS</t>
  </si>
  <si>
    <t>CONTRIBUTIONBMRKLAST5YEARS</t>
  </si>
  <si>
    <t>CONTRIBUTIONBMRKLAST6MONTHS</t>
  </si>
  <si>
    <t>CONTRIBUTIONBMRKLAST9MONTHS</t>
  </si>
  <si>
    <t>CONTRIBUTIONBMRKMTD</t>
  </si>
  <si>
    <t>CONTRIBUTIONBMRKQTD</t>
  </si>
  <si>
    <t>CONTRIBUTIONBMRKWTD</t>
  </si>
  <si>
    <t>CONTRIBUTIONBMRKYTD</t>
  </si>
  <si>
    <t xml:space="preserve">Currency identifier of returns </t>
  </si>
  <si>
    <t>CCY Contribution for the specified period of the extract</t>
  </si>
  <si>
    <t>CONTRIBUTIONCCYBMRK</t>
  </si>
  <si>
    <t>Benchmark's CCT Contribution for the specified period of the extract</t>
  </si>
  <si>
    <t>dec(20,5)</t>
  </si>
  <si>
    <t xml:space="preserve">annualized inception to date rate of return </t>
  </si>
  <si>
    <t>Contribution for the specified period of the extract</t>
  </si>
  <si>
    <t>cumulative inception to date rate of return</t>
  </si>
  <si>
    <t xml:space="preserve">10 month rate of return </t>
  </si>
  <si>
    <t xml:space="preserve">10 year annualized rate of return </t>
  </si>
  <si>
    <t xml:space="preserve">11 month rate of return </t>
  </si>
  <si>
    <t>12 month rate of return (cumulative, not annualized)</t>
  </si>
  <si>
    <t xml:space="preserve">15 year annualized rate of return </t>
  </si>
  <si>
    <t>1 day rate of return</t>
  </si>
  <si>
    <t>1 month rate of return</t>
  </si>
  <si>
    <t>CONTRIBUTIONLAST1WEEK</t>
  </si>
  <si>
    <t xml:space="preserve">annualized 1 year rate of return </t>
  </si>
  <si>
    <t>CONTRIBUTIONLAST20YEAR</t>
  </si>
  <si>
    <t>25 year annualized rate of return</t>
  </si>
  <si>
    <t xml:space="preserve">2 month rate of return </t>
  </si>
  <si>
    <t xml:space="preserve">2 year annualized rate of return </t>
  </si>
  <si>
    <t xml:space="preserve">3 month rate of return </t>
  </si>
  <si>
    <t>annualized 3 year rate of return</t>
  </si>
  <si>
    <t>4 month rate of return</t>
  </si>
  <si>
    <t xml:space="preserve">4 year annualized rate of return </t>
  </si>
  <si>
    <t xml:space="preserve">5 month rate of return </t>
  </si>
  <si>
    <t xml:space="preserve">annualized 5 year rate of return </t>
  </si>
  <si>
    <t xml:space="preserve">6 month rate of return </t>
  </si>
  <si>
    <t xml:space="preserve">6 year annualized rate of return </t>
  </si>
  <si>
    <t xml:space="preserve">7 month rate of return </t>
  </si>
  <si>
    <t xml:space="preserve">annualized 7 year rate of return </t>
  </si>
  <si>
    <t>8 month rate of return</t>
  </si>
  <si>
    <t>annualized 8 year rate of return</t>
  </si>
  <si>
    <t xml:space="preserve">9 month rate of return </t>
  </si>
  <si>
    <t xml:space="preserve">annualized 9 year rate of return </t>
  </si>
  <si>
    <t>month to date rate of return</t>
  </si>
  <si>
    <t>CONTRIBUTIONPREVIOUSYEAR</t>
  </si>
  <si>
    <t>cy_1_ror</t>
  </si>
  <si>
    <t>quarter to date rate of return</t>
  </si>
  <si>
    <t>CONTRIBUTIONWTD</t>
  </si>
  <si>
    <t>year to date rate of return</t>
  </si>
  <si>
    <t>VARCHAR2(9),</t>
  </si>
  <si>
    <t>CUSIP (recommended if extract is generating performane at the security level)</t>
  </si>
  <si>
    <t>EFFECTINTERACTION</t>
  </si>
  <si>
    <t>Interction Effect for the period of th extract</t>
  </si>
  <si>
    <t>EFFECTMARKETALLOCATION</t>
  </si>
  <si>
    <t>Market Allocation Effect for the period of th extract</t>
  </si>
  <si>
    <t>EFFECTRELRETURNCONTRIBUTION</t>
  </si>
  <si>
    <t>Relative Return Contribution Effect for the period of th extract</t>
  </si>
  <si>
    <t>EFFECTSELECTION</t>
  </si>
  <si>
    <t>Selection Effect for the period of th extract</t>
  </si>
  <si>
    <t>EFFECTTOTALCCY</t>
  </si>
  <si>
    <t>CCY Effect for the period of th extract</t>
  </si>
  <si>
    <t>FUNDID</t>
  </si>
  <si>
    <t xml:space="preserve">short name of the account </t>
  </si>
  <si>
    <t>A short name for funds to aid in identifying. Must be unique across all funds. May not be required depending on segment type (e.g. if accountshortname is used)</t>
  </si>
  <si>
    <t>INFORMATIONRATIO</t>
  </si>
  <si>
    <t>Information Ration for the period of th extract</t>
  </si>
  <si>
    <t>INTERACTIONRETURNITD</t>
  </si>
  <si>
    <t>Interaction return for the specified period</t>
  </si>
  <si>
    <t>INTERACTIONRETURNLAST12MONTHS</t>
  </si>
  <si>
    <t>INTERACTIONRETURNLAST1MONTH</t>
  </si>
  <si>
    <t>INTERACTIONRETURNLAST1WEEK</t>
  </si>
  <si>
    <t>INTERACTIONRETURNLAST1YEAR</t>
  </si>
  <si>
    <t>INTERACTIONRETURNLAST3MONTHS</t>
  </si>
  <si>
    <t>INTERACTIONRETURNLAST3YEARS</t>
  </si>
  <si>
    <t>INTERACTIONRETURNLAST5YEARS</t>
  </si>
  <si>
    <t>INTERACTIONRETURNLAST6MONTHS</t>
  </si>
  <si>
    <t>INTERACTIONRETURNLAST9MONTHS</t>
  </si>
  <si>
    <t>INTERACTIONRETURNMTD</t>
  </si>
  <si>
    <t>INTERACTIONRETURNQTD</t>
  </si>
  <si>
    <t>INTERACTIONRETURNWTD</t>
  </si>
  <si>
    <t>INTERACTIONRETURNYTD</t>
  </si>
  <si>
    <t>INVESTMENTTYPECODE</t>
  </si>
  <si>
    <t>Flexible description of the type of security for security level performance</t>
  </si>
  <si>
    <t>VARCHAR2(12),</t>
  </si>
  <si>
    <t>Local CCY of the Secuirty, or, if relevant, segment</t>
  </si>
  <si>
    <t>LOCALCONTRIBUTION</t>
  </si>
  <si>
    <t>Local CCY Contribution for the period of the extract</t>
  </si>
  <si>
    <t>LOCALCONTRIBUTIONBMRK</t>
  </si>
  <si>
    <t>Local CCY Contribution of the benchmark for the period of the extract</t>
  </si>
  <si>
    <t>LOCALRETURNACCT</t>
  </si>
  <si>
    <t>Local CCY return of the account for the period of the extract</t>
  </si>
  <si>
    <t>LOCALRETURNBMRK</t>
  </si>
  <si>
    <t>Local CCY return of the benchmark for the period of the extract</t>
  </si>
  <si>
    <t>LONGCONTRIBUTIONDTD</t>
  </si>
  <si>
    <t>Contribution of Long portion of segment for period specified</t>
  </si>
  <si>
    <t>LONGCONTRIBUTIONITD</t>
  </si>
  <si>
    <t>LONGCONTRIBUTIONMTD</t>
  </si>
  <si>
    <t>LONGCONTRIBUTIONQTD</t>
  </si>
  <si>
    <t>LONGCONTRIBUTIONWTD</t>
  </si>
  <si>
    <t>LONGCONTRIBUTIONYTD</t>
  </si>
  <si>
    <t>VARCHAR2(1),</t>
  </si>
  <si>
    <t>"L" or "S" : Required for segments that break out both Long and Short returns</t>
  </si>
  <si>
    <t>LSUNIQUESECURITYREFERENCE</t>
  </si>
  <si>
    <t>VARCHAR2(45),</t>
  </si>
  <si>
    <t>Unique security identifier. Only requied for security-level extracts</t>
  </si>
  <si>
    <t>MM/DD/YYYY</t>
  </si>
  <si>
    <t>inception date of segment</t>
  </si>
  <si>
    <t>09/01/2006</t>
  </si>
  <si>
    <t>Extract's begin date</t>
  </si>
  <si>
    <t xml:space="preserve">end date </t>
  </si>
  <si>
    <t>Extract's end date</t>
  </si>
  <si>
    <t>rule number for the return segment</t>
  </si>
  <si>
    <t>Short name/code for record type to define a segment or sub-segment</t>
  </si>
  <si>
    <t>RELRETURNITD</t>
  </si>
  <si>
    <t>Relative Return for specified period</t>
  </si>
  <si>
    <t>RELRETURNLAST12MONTHS</t>
  </si>
  <si>
    <t>RELRETURNLAST1MONTH</t>
  </si>
  <si>
    <t>RELRETURNLAST1WEEK</t>
  </si>
  <si>
    <t>RELRETURNLAST1YEAR</t>
  </si>
  <si>
    <t>RELRETURNLAST3MONTHS</t>
  </si>
  <si>
    <t>RELRETURNLAST3YEARS</t>
  </si>
  <si>
    <t>RELRETURNLAST5YEARS</t>
  </si>
  <si>
    <t>RELRETURNLAST6MONTHS</t>
  </si>
  <si>
    <t>RELRETURNLAST9MONTHS</t>
  </si>
  <si>
    <t>RELRETURNMTD</t>
  </si>
  <si>
    <t>RELRETURNQTD</t>
  </si>
  <si>
    <t>RELRETURNWTD</t>
  </si>
  <si>
    <t>RELRETURNYTD</t>
  </si>
  <si>
    <t>RELWEIGHTBMRKITD</t>
  </si>
  <si>
    <t>Relative weight of the benchmark for the specified period</t>
  </si>
  <si>
    <t>RELWEIGHTBMRKLAST12MONTHS</t>
  </si>
  <si>
    <t>RELWEIGHTBMRKLAST1MONTH</t>
  </si>
  <si>
    <t>RELWEIGHTBMRKLAST1WEEK</t>
  </si>
  <si>
    <t>RELWEIGHTBMRKLAST1YEAR</t>
  </si>
  <si>
    <t>RELWEIGHTBMRKLAST3MONTHS</t>
  </si>
  <si>
    <t>RELWEIGHTBMRKLAST3YEARS</t>
  </si>
  <si>
    <t>RELWEIGHTBMRKLAST5YEARS</t>
  </si>
  <si>
    <t>RELWEIGHTBMRKLAST6MONTHS</t>
  </si>
  <si>
    <t>RELWEIGHTBMRKLAST9MONTHS</t>
  </si>
  <si>
    <t>RELWEIGHTBMRKMTD</t>
  </si>
  <si>
    <t>RELWEIGHTBMRKQTD</t>
  </si>
  <si>
    <t>RELWEIGHTBMRKWTD</t>
  </si>
  <si>
    <t>RELWEIGHTBMRKYTD</t>
  </si>
  <si>
    <t>RELWEIGHTEXCESSITD</t>
  </si>
  <si>
    <t>Relative weight in excess of benchmark for period specified</t>
  </si>
  <si>
    <t>RELWEIGHTEXCESSLAST12MONTHS</t>
  </si>
  <si>
    <t>RELWEIGHTEXCESSLAST1MONTH</t>
  </si>
  <si>
    <t>RELWEIGHTEXCESSLAST1WEEK</t>
  </si>
  <si>
    <t>RELWEIGHTEXCESSLAST1YEAR</t>
  </si>
  <si>
    <t>RELWEIGHTEXCESSLAST3MONTHS</t>
  </si>
  <si>
    <t>RELWEIGHTEXCESSLAST3YEARS</t>
  </si>
  <si>
    <t>RELWEIGHTEXCESSLAST5YEARS</t>
  </si>
  <si>
    <t>RELWEIGHTEXCESSLAST6MONTHS</t>
  </si>
  <si>
    <t>RELWEIGHTEXCESSLAST9MONTHS</t>
  </si>
  <si>
    <t>RELWEIGHTEXCESSMTD</t>
  </si>
  <si>
    <t>RELWEIGHTEXCESSQTD</t>
  </si>
  <si>
    <t>RELWEIGHTEXCESSWTD</t>
  </si>
  <si>
    <t>RELWEIGHTEXCESSYTD</t>
  </si>
  <si>
    <t>RELWEIGHTITD</t>
  </si>
  <si>
    <t>Relative weight for period specified</t>
  </si>
  <si>
    <t>RELWEIGHTLAST12MONTHS</t>
  </si>
  <si>
    <t>RELWEIGHTLAST1MONTH</t>
  </si>
  <si>
    <t>RELWEIGHTLAST1WEEK</t>
  </si>
  <si>
    <t>RELWEIGHTLAST1YEAR</t>
  </si>
  <si>
    <t>RELWEIGHTLAST3MONTHS</t>
  </si>
  <si>
    <t>RELWEIGHTLAST3YEARS</t>
  </si>
  <si>
    <t>RELWEIGHTLAST5YEARS</t>
  </si>
  <si>
    <t>RELWEIGHTLAST6MONTHS</t>
  </si>
  <si>
    <t>RELWEIGHTLAST9MONTHS</t>
  </si>
  <si>
    <t>RELWEIGHTMTD</t>
  </si>
  <si>
    <t>RELWEIGHTQTD</t>
  </si>
  <si>
    <t>RELWEIGHTWTD</t>
  </si>
  <si>
    <t>RELWEIGHTYTD</t>
  </si>
  <si>
    <t>RETURNACCTCCY</t>
  </si>
  <si>
    <t>CCY Return for segment</t>
  </si>
  <si>
    <t>RETURNCCYBMRK</t>
  </si>
  <si>
    <t>CCY Return for benchmark</t>
  </si>
  <si>
    <t>ROWTITLE</t>
  </si>
  <si>
    <t>VARCHAR2(255),</t>
  </si>
  <si>
    <t>net_of_fee_type</t>
  </si>
  <si>
    <t>Long name for segment (display name for charts etc)</t>
  </si>
  <si>
    <t>SECURITYCODE</t>
  </si>
  <si>
    <t>Flexibile descriptor for type of security for security level segment returns</t>
  </si>
  <si>
    <t>Long Description for security for security level segment returns</t>
  </si>
  <si>
    <t>SELECTIONEFFECTITD</t>
  </si>
  <si>
    <t>Selection Effect for the period specified</t>
  </si>
  <si>
    <t>SELECTIONEFFECTLAST12MONTHS</t>
  </si>
  <si>
    <t>SELECTIONEFFECTLAST1MONTH</t>
  </si>
  <si>
    <t>SELECTIONEFFECTLAST1WEEK</t>
  </si>
  <si>
    <t>SELECTIONEFFECTLAST1YEAR</t>
  </si>
  <si>
    <t>SELECTIONEFFECTLAST3MONTHS</t>
  </si>
  <si>
    <t>SELECTIONEFFECTLAST3YEARS</t>
  </si>
  <si>
    <t>SELECTIONEFFECTLAST5YEARS</t>
  </si>
  <si>
    <t>SELECTIONEFFECTLAST6MONTHS</t>
  </si>
  <si>
    <t>SELECTIONEFFECTLAST9MONTHS</t>
  </si>
  <si>
    <t>SELECTIONEFFECTMTD</t>
  </si>
  <si>
    <t>SELECTIONEFFECTQTD</t>
  </si>
  <si>
    <t>SELECTIONEFFECTWTD</t>
  </si>
  <si>
    <t>SELECTIONEFFECTYTD</t>
  </si>
  <si>
    <t>sharperatio</t>
  </si>
  <si>
    <t>Common Interface NB V0.8</t>
  </si>
  <si>
    <t>updated field name (there as a typo before missed the e in sharperatio)</t>
  </si>
  <si>
    <t>SHORTCONTRIBUTIONDTD</t>
  </si>
  <si>
    <t>Contribution of Short portion of segment for period specified</t>
  </si>
  <si>
    <t>SHORTCONTRIBUTIONITD</t>
  </si>
  <si>
    <t>SHORTCONTRIBUTIONMTD</t>
  </si>
  <si>
    <t>SHORTCONTRIBUTIONQTD</t>
  </si>
  <si>
    <t>SHORTCONTRIBUTIONWTD</t>
  </si>
  <si>
    <t>SHORTCONTRIBUTIONYTD</t>
  </si>
  <si>
    <t>Hardcoded</t>
  </si>
  <si>
    <t>Map Tenant Id of the tenant "NeubergerBerman_Accounts"</t>
  </si>
  <si>
    <t>"NeubergerBerman_Accounts"</t>
  </si>
  <si>
    <t>TOTALCONTRIBUTIONDTD</t>
  </si>
  <si>
    <t>Total Contribution for the period specified</t>
  </si>
  <si>
    <t>TOTALCONTRIBUTIONITD</t>
  </si>
  <si>
    <t>TOTALCONTRIBUTIONMTD</t>
  </si>
  <si>
    <t>TOTALCONTRIBUTIONQTD</t>
  </si>
  <si>
    <t>TOTALCONTRIBUTIONWTD</t>
  </si>
  <si>
    <t>TOTALCONTRIBUTIONYTD</t>
  </si>
  <si>
    <t>TRACKINGERROR</t>
  </si>
  <si>
    <t>Tracking Error</t>
  </si>
  <si>
    <t>VOLATILITYACCT</t>
  </si>
  <si>
    <t>Volatility</t>
  </si>
  <si>
    <t>WEIGHTAVERAGE</t>
  </si>
  <si>
    <t>Average Weight</t>
  </si>
  <si>
    <t>WEIGHTEND</t>
  </si>
  <si>
    <t>Weitgh as of PeriodBeginDate</t>
  </si>
  <si>
    <t>WEIGHTSTART</t>
  </si>
  <si>
    <t>Weitgh as of PeriodEndDate</t>
  </si>
  <si>
    <t>Reason Code</t>
  </si>
  <si>
    <t>File Level</t>
  </si>
  <si>
    <t>Filename</t>
  </si>
  <si>
    <t>Job name</t>
  </si>
  <si>
    <t>BackgroundTask</t>
  </si>
  <si>
    <t>Notes</t>
  </si>
  <si>
    <t>EOD</t>
  </si>
  <si>
    <t>Gross</t>
  </si>
  <si>
    <t>PERFACCTGROSS_MMDDYYYYHHmmSS</t>
  </si>
  <si>
    <t>NEB_PERFSUMACCT_EOD</t>
  </si>
  <si>
    <t>PERFORMANCESUMMARYLOAD</t>
  </si>
  <si>
    <t>AEOD</t>
  </si>
  <si>
    <t>Net</t>
  </si>
  <si>
    <t>PERFACCTNET_MMDDYYYYHHmmSS</t>
  </si>
  <si>
    <t>NEB_PERFSUMACCT_AEOD</t>
  </si>
  <si>
    <t>EOM &amp; EOD</t>
  </si>
  <si>
    <t>PERFACCTGROSS_ME_MMDDYYYYHHmmSS</t>
  </si>
  <si>
    <t>NEB_PERFSUMACCT_EOM</t>
  </si>
  <si>
    <t>AEOM &amp; AEOD</t>
  </si>
  <si>
    <t>PERFACCTNET_ME_MMDDYYYYHHmmSS</t>
  </si>
  <si>
    <t>NEB_PERFSUMACCT_AEOM</t>
  </si>
  <si>
    <t>Account Group</t>
  </si>
  <si>
    <t>PERFAGGGROSS_MMDDYYYYHHmmSS</t>
  </si>
  <si>
    <t>NEB_PERFSUMAGG_EOD</t>
  </si>
  <si>
    <t>ACCOUNTGROUPSECUREPERFORMANCESUMMARYLOAD</t>
  </si>
  <si>
    <t>PERFAGGNET_MMDDYYYYHHmmSS</t>
  </si>
  <si>
    <t>NEB_PERFSUMAGG_AEOD</t>
  </si>
  <si>
    <t>PERFAGGGROSS_ME_MMDDYYYYHHmmSS</t>
  </si>
  <si>
    <t>NEB_PERFSUMAGG_EOM</t>
  </si>
  <si>
    <t>PERFAGGNET_ME_MMDDYYYYHHmmSS</t>
  </si>
  <si>
    <t>NEB_PERFSUMAGG_AEOM</t>
  </si>
  <si>
    <t>PERFAGGGROSS_SI_YYYYMMDDHHmmSS</t>
  </si>
  <si>
    <t>NEB_PERFSUMAGG_EOM / EOD</t>
  </si>
  <si>
    <t>PERFAGGNET_SI_MMDDYYYYHHmmSS</t>
  </si>
  <si>
    <t>NEB_PERFSUMAGG_AEOM / AEOD</t>
  </si>
  <si>
    <t>Please note:</t>
  </si>
  <si>
    <t>File PERFAGGGROSS_SI/ME_YYYYMMDDHHmmSS needs to be loaded twice.
  - EOD to replace any record from the daily file.
  - EOM to create historical month end data for charting purpose.</t>
  </si>
  <si>
    <t>File PERFAGGNET_SI/ME_YYYYMMDDHHmmSS needs to be loaded twice.
  - AEOD to replace any record from the daily file.
  - AEOM to create historical month end data for charting purpose.</t>
  </si>
  <si>
    <t>NOTE: Either AGSSHORTNAME or ACCOUNTSHORTNAME must be present in the input file
   - For the NB_ACCOOUNT_CHARACTERISTIC* file, ACCOUNTSHORTNAME will always populate while AGSSHORTNAME will always be blank
   - For the NB_AGGREGATED_CHARACTERISTIC* file, AGSSHORTNAME will always populate while ACCOUNTSHORTNAME will always be blank</t>
  </si>
  <si>
    <t>Lookup</t>
  </si>
  <si>
    <t>Lookup AccountGroupSecure.Id
where AccountGroupSecure.AccountGroupSecureShortName 
= input.AGSSHORTNAME</t>
  </si>
  <si>
    <t>NB_ACCOUNT_CHARACTERISTIC_yyyymmddhhMMss.txt
NB_AGGREGATE_CHARACTERISTIC_yyyymmddhhMMss.txt</t>
  </si>
  <si>
    <t>Only one and at least one of ACCOUNTGROUPSECURESHORTNAME and ACCOUNTSHORTNAME must have a valid input</t>
  </si>
  <si>
    <t>Lookup BeamAccount.Id
where BeamAccount.AccountShortName 
= input.ACCOUNTSHORTNAME</t>
  </si>
  <si>
    <t>CURRENT</t>
  </si>
  <si>
    <t>BENCHMARK</t>
  </si>
  <si>
    <t>CLASSIFIERIDENTIFIER</t>
  </si>
  <si>
    <t>Lookup BeamAccount.UserDefinedDate1
where BeamAccount.AccountShortName 
= input.ACCOUNTSHORTNAME</t>
  </si>
  <si>
    <t>AS_OF_DATE</t>
  </si>
  <si>
    <t>VARCHAR2,</t>
  </si>
  <si>
    <t>Hardcode to "PERFBMRK" as the Snapshot ReasonCode</t>
  </si>
  <si>
    <t>See Definition</t>
  </si>
  <si>
    <t xml:space="preserve">BM_STD_MMDDYYYYHHmmSS BM_NONSTD_MMDDYYYYHHmmSS BM_ACCTPRODUCT_MMDDYYYYHHmmSS </t>
  </si>
  <si>
    <t xml:space="preserve">pmr:indices </t>
  </si>
  <si>
    <t>BM ID + Shortname</t>
  </si>
  <si>
    <t>Symbol for Benchmark</t>
  </si>
  <si>
    <t xml:space="preserve">Mapped new field.  Per JN (IC), required for project. </t>
  </si>
  <si>
    <t>S&amp;P 500 INDEX</t>
  </si>
  <si>
    <t>benchmarkname</t>
  </si>
  <si>
    <t>Per Jason - we need to map this</t>
  </si>
  <si>
    <t>Inception date for benchmark</t>
  </si>
  <si>
    <t>pmr:indices</t>
  </si>
  <si>
    <t>End Period Date</t>
  </si>
  <si>
    <t>Mapped new field (add time series return data for reports)</t>
  </si>
  <si>
    <t>Time Weighted Return for past Month in Book Currency</t>
  </si>
  <si>
    <t>Time Weighted Return for past 3 Months in Book Currency</t>
  </si>
  <si>
    <t>Time Weighted Return for past 6 Months in Book Currency</t>
  </si>
  <si>
    <t>Time Weighted Return Month to Date in Book Currency</t>
  </si>
  <si>
    <t>Time Weighted Return Quarter to Date in Book Currency</t>
  </si>
  <si>
    <t>Time Weighted ReturnYear to Date in Book Currency</t>
  </si>
  <si>
    <t>Time Weighted Return for past 1 Year in Book Currency</t>
  </si>
  <si>
    <t>Time Weighted Return for past 3 Years in Book Currency</t>
  </si>
  <si>
    <t>Common Interface NB v0.7</t>
  </si>
  <si>
    <t xml:space="preserve">Updated NB Column # &amp; added sample for new field. </t>
  </si>
  <si>
    <t>Time Weighted Return for past 5 Years in Book Currency</t>
  </si>
  <si>
    <t>Time Weighted Return for past 10 Years in Book Currency</t>
  </si>
  <si>
    <t>Annualized Inception to date</t>
  </si>
  <si>
    <t>updated the mapping (see comment under CONTRIBUTIONITD)</t>
  </si>
  <si>
    <t>ANNBOOKTWR10YEAR</t>
  </si>
  <si>
    <t>ANNBOOKTWR15YEAR</t>
  </si>
  <si>
    <t>ANNBOOKTWR20YEAR</t>
  </si>
  <si>
    <t>ANNBOOKTWR25YEAR</t>
  </si>
  <si>
    <t>ANNBOOKTWR3YEAR</t>
  </si>
  <si>
    <t>ANNBOOKTWR5YEAR</t>
  </si>
  <si>
    <t>BOOKCHANGE10YEARS</t>
  </si>
  <si>
    <t>BOOKCHANGE1MONTH</t>
  </si>
  <si>
    <t>BOOKCHANGE1YEAR</t>
  </si>
  <si>
    <t>BOOKCHANGE2YEARS</t>
  </si>
  <si>
    <t>BOOKCHANGE3MONTHS</t>
  </si>
  <si>
    <t>BOOKCHANGE3YEARS</t>
  </si>
  <si>
    <t>BOOKCHANGE5YEARS</t>
  </si>
  <si>
    <t>BOOKCHANGE6MONTHS</t>
  </si>
  <si>
    <t>BOOKCHANGE7YEARS</t>
  </si>
  <si>
    <t>BOOKCHANGE9MONTHS</t>
  </si>
  <si>
    <t>BOOKCHANGEMONTH</t>
  </si>
  <si>
    <t>BOOKCHANGEPERIOD</t>
  </si>
  <si>
    <t>BOOKCHANGEQUARTER</t>
  </si>
  <si>
    <t>BOOKCHANGEWEEK</t>
  </si>
  <si>
    <t>BOOKCHANGEYEAR</t>
  </si>
  <si>
    <t>BOOKTWRWEEK</t>
  </si>
  <si>
    <t>CMLBOOKTWR10YEAR</t>
  </si>
  <si>
    <t>5 yr cumulative return</t>
  </si>
  <si>
    <t>CMLBOOKTWR15YEAR</t>
  </si>
  <si>
    <t>10 yr cumulative return</t>
  </si>
  <si>
    <t>CMLBOOKTWR20YEAR</t>
  </si>
  <si>
    <t>15 yr cumulative return</t>
  </si>
  <si>
    <t>CMLBOOKTWR25YEAR</t>
  </si>
  <si>
    <t>20 yr cumulative return</t>
  </si>
  <si>
    <t>CMLBOOKTWR3YEAR</t>
  </si>
  <si>
    <t>3 yr cumulative return</t>
  </si>
  <si>
    <t>CMLBOOKTWR5YEAR</t>
  </si>
  <si>
    <t>CMLBOOKTWRITD</t>
  </si>
  <si>
    <t>ITD cumulative return</t>
  </si>
  <si>
    <t>3/5 - Removed mapping as we are mapping to ann_inc_ror.  Tina to go back to Jason (per julian this is misleading.  We've instead mapped the annbooktwritd since that is the annaulized itd not this field)</t>
  </si>
  <si>
    <t>Proj. Req.</t>
  </si>
  <si>
    <t>Common Interface NB v2.1</t>
  </si>
  <si>
    <t>Added to support Growth of 10k Report</t>
  </si>
  <si>
    <t>Net New</t>
  </si>
  <si>
    <t>BOOKTWRPREVIOUSYEAR</t>
  </si>
  <si>
    <t>LOCALCHANGE10YEARS</t>
  </si>
  <si>
    <t>LOCALCHANGE1MONTH</t>
  </si>
  <si>
    <t>LOCALCHANGE1YEAR</t>
  </si>
  <si>
    <t>LOCALCHANGE2YEARS</t>
  </si>
  <si>
    <t>LOCALCHANGE3MONTHS</t>
  </si>
  <si>
    <t>LOCALCHANGE3YEARS</t>
  </si>
  <si>
    <t>LOCALCHANGE5YEARS</t>
  </si>
  <si>
    <t>LOCALCHANGE6MONTHS</t>
  </si>
  <si>
    <t>LOCALCHANGE7YEARS</t>
  </si>
  <si>
    <t>LOCALCHANGE9MONTHS</t>
  </si>
  <si>
    <t>LOCALCHANGEMONTH</t>
  </si>
  <si>
    <t>LOCALCHANGEPERIOD</t>
  </si>
  <si>
    <t>LOCALCHANGEQUARTER</t>
  </si>
  <si>
    <t>LOCALCHANGEWEEK</t>
  </si>
  <si>
    <t>LOCALCHANGEYEAR</t>
  </si>
  <si>
    <t>LOCALTWR10YEARS</t>
  </si>
  <si>
    <t>LOCALTWR1MONTH</t>
  </si>
  <si>
    <t>LOCALTWR1YEAR</t>
  </si>
  <si>
    <t>LOCALTWR2YEARS</t>
  </si>
  <si>
    <t>LOCALTWR3MONTHS</t>
  </si>
  <si>
    <t>LOCALTWR3YEARS</t>
  </si>
  <si>
    <t>LOCALTWR5YEARS</t>
  </si>
  <si>
    <t>LOCALTWR6MONTHS</t>
  </si>
  <si>
    <t>LOCALTWR7YEARS</t>
  </si>
  <si>
    <t>LOCALTWR9MONTHS</t>
  </si>
  <si>
    <t>LOCALTWRMONTH</t>
  </si>
  <si>
    <t>LOCALTWRPERIOD</t>
  </si>
  <si>
    <t>LOCALTWRQUARTER</t>
  </si>
  <si>
    <t>LOCALTWRWEEK</t>
  </si>
  <si>
    <t>LOCALTWRYEAR</t>
  </si>
  <si>
    <t>Lookup SecurityMasterF.ID based on input.benchmarkid</t>
  </si>
  <si>
    <t>Common Interface NB v.2.1</t>
  </si>
  <si>
    <t>Added notes for internal reviewers.</t>
  </si>
  <si>
    <t>asofdate</t>
  </si>
  <si>
    <t>Client Data File</t>
  </si>
  <si>
    <t xml:space="preserve">NB_BM_YYYYMMDD </t>
  </si>
  <si>
    <t>Change in Value over past 10 Years in Book Currency</t>
  </si>
  <si>
    <t>Change in Value over past Month in Book Currency</t>
  </si>
  <si>
    <t>Change in Value over past 1 Year in Book Currency</t>
  </si>
  <si>
    <t>Change in Value over past 2 Years in Book Currency</t>
  </si>
  <si>
    <t>Change in Value over past 3 Months in Book Currency</t>
  </si>
  <si>
    <t>Change in Value over past 3 Years in Book Currency</t>
  </si>
  <si>
    <t>Change in Value over past 5 Years in Book Currency</t>
  </si>
  <si>
    <t>Change in Value over past 6 Months in Book Currency</t>
  </si>
  <si>
    <t>Change in Value over 9 Months in Book Currency</t>
  </si>
  <si>
    <t>Change in Value Month to Date in Book Currency</t>
  </si>
  <si>
    <t>Change in Value Period to Date in Book Currency</t>
  </si>
  <si>
    <t>Change in Value Quarter to Date in Book Currency</t>
  </si>
  <si>
    <t>Change in Value Week to Date in Book Currency</t>
  </si>
  <si>
    <t>Change in Value year to Date in Book Currency</t>
  </si>
  <si>
    <t>Time Weighted Return for past 2 Years in Book Currency</t>
  </si>
  <si>
    <t>Time Weighted Return for past 9 Months in Book Currency</t>
  </si>
  <si>
    <t>Time Weighted Return Week to Date in Book Currency</t>
  </si>
  <si>
    <t>CMLBOOKTWRITDUNITVALUE</t>
  </si>
  <si>
    <t>Change in Value over past 10 Years in Local Currency</t>
  </si>
  <si>
    <t>Change in Value over past Month in Local Currency</t>
  </si>
  <si>
    <t>Change in Value over past 1 Year in Local Currency</t>
  </si>
  <si>
    <t>Change in Value over past 2 Years in Local Currency</t>
  </si>
  <si>
    <t>Change in Value over past 3 Months in Local Currency</t>
  </si>
  <si>
    <t>Change in Value over past 3 Years in Local Currency</t>
  </si>
  <si>
    <t>Change in Value over past 5 Years in Local Currency</t>
  </si>
  <si>
    <t>Change in Value over past 6 Months in Local Currency</t>
  </si>
  <si>
    <t>Change in Value over 9 Months in Local Currency</t>
  </si>
  <si>
    <t>Change in Value Month to Date in Local Currency</t>
  </si>
  <si>
    <t>Change in Value Period to Date in Local Currency</t>
  </si>
  <si>
    <t>Change in Value Quarter to Date in Local Currency</t>
  </si>
  <si>
    <t>Change in Value Week to Date in Local Currency</t>
  </si>
  <si>
    <t>Change in Value year to Date in Local Currency</t>
  </si>
  <si>
    <t>Market Value at Period End in Local Currency</t>
  </si>
  <si>
    <t>Time Weighted Return for past 10 Years in Local Currency</t>
  </si>
  <si>
    <t>Time Weighted Return for past Month in Local Currency</t>
  </si>
  <si>
    <t>Time Weighted Return for past 1 Year in Local Currency</t>
  </si>
  <si>
    <t>Time Weighted Return for past 2 Years in Local Currency</t>
  </si>
  <si>
    <t>Time Weighted Return for past 3 Motnhs in Local Currency</t>
  </si>
  <si>
    <t>Time Weighted Return for past 3 Years in Local Currency</t>
  </si>
  <si>
    <t>Time Weighted Return for past 5 Years in Local Currency</t>
  </si>
  <si>
    <t>Time Weighted Return for past 6 Months in Local Currency</t>
  </si>
  <si>
    <t>Time Weighted Return for past 9 Months in Local Currency</t>
  </si>
  <si>
    <t>Time Weighted Return Month to Date in Local Currency</t>
  </si>
  <si>
    <t>Time Weighted Return Period to Date in Local Currency</t>
  </si>
  <si>
    <t>Time Weighted Return Quarter to Date in Local Currency</t>
  </si>
  <si>
    <t>Time Weighted Return Week to Date in Local Currency</t>
  </si>
  <si>
    <t>Time Weighted Return Year to Date in Local Currency</t>
  </si>
  <si>
    <t>S&amp;P 500</t>
  </si>
  <si>
    <t>BENCHMARKTYPE</t>
  </si>
  <si>
    <t>BenchmarkType (INDEX or RATE)</t>
  </si>
  <si>
    <t>Market Value at Period End in Book Currency</t>
  </si>
  <si>
    <t>Time Weighted Return Period to Date in Book Currency</t>
  </si>
  <si>
    <t>TICKER and Im.SMBenchmark lookup</t>
  </si>
  <si>
    <t>Logic: Concatenate Client file field "TICKER" with prefix of "NEB_BMK_" (eg.NEB_BMK_SP500)
Then use the above value to lookup vs Im.SMBenchmark field "EntepriseSymbol" populate this field with the "SecurityMasterFId" of the record located</t>
  </si>
  <si>
    <t>Loads into BenchmarkDaily and MarketDataHistory</t>
  </si>
  <si>
    <t>SecurityMaster Mappings</t>
  </si>
  <si>
    <t>BENCHMARKNAME &amp; ' (Net)'</t>
  </si>
  <si>
    <t>"NEB_BMK_" &amp;
Ticker</t>
  </si>
  <si>
    <t>BENCHMARK'</t>
  </si>
  <si>
    <t>INDEX</t>
  </si>
  <si>
    <t>Im.SecuritiesOfInterest mappings</t>
  </si>
  <si>
    <t>EnterpriseSymbol</t>
  </si>
  <si>
    <t>PrimarySecuritySymbol</t>
  </si>
  <si>
    <t>SecurityName</t>
  </si>
  <si>
    <t>SecurityType</t>
  </si>
  <si>
    <t>PRICEEARNINGSRATIO</t>
  </si>
  <si>
    <t>Price to Earning Ratio</t>
  </si>
  <si>
    <t>AVGMONTHCHANGE</t>
  </si>
  <si>
    <t>Avergage monthly change in price</t>
  </si>
  <si>
    <t>AVGMONTHVOLUME</t>
  </si>
  <si>
    <t>Avergage monthly trade volume</t>
  </si>
  <si>
    <t>AVGWEEKCHANGE</t>
  </si>
  <si>
    <t>Avergage weekly change in price</t>
  </si>
  <si>
    <t>AVGWEEKVOLUME</t>
  </si>
  <si>
    <t>Avergage weekly trade volume</t>
  </si>
  <si>
    <t>AVGYEARCHANGE</t>
  </si>
  <si>
    <t>Avergage annual change in price</t>
  </si>
  <si>
    <t>AVGYEARVOLUME</t>
  </si>
  <si>
    <t>Avergage annual trade volume</t>
  </si>
  <si>
    <t>CHANGEFROMPREVIOUSPRICE</t>
  </si>
  <si>
    <t>Change from Previous Price</t>
  </si>
  <si>
    <t>CURRENCYCODE</t>
  </si>
  <si>
    <t>Default to 'USD'</t>
  </si>
  <si>
    <t>ISO Currency Code</t>
  </si>
  <si>
    <t>DAYVOLUME</t>
  </si>
  <si>
    <t>Daily Trading Volume</t>
  </si>
  <si>
    <t>DIVIDENDPERSHARE</t>
  </si>
  <si>
    <t>Dividend per share</t>
  </si>
  <si>
    <t>EARNINGSPERSHARE</t>
  </si>
  <si>
    <t>Earning per share</t>
  </si>
  <si>
    <t>EQUITYBETA</t>
  </si>
  <si>
    <t>Equity Beta</t>
  </si>
  <si>
    <t>EXCHANGECODE</t>
  </si>
  <si>
    <t>NB_BM_YYYYMMDD.txt</t>
  </si>
  <si>
    <t>Code for Trading Exchange</t>
  </si>
  <si>
    <t>LOCAL52WEEKHIGH</t>
  </si>
  <si>
    <t>52 week high in local currency</t>
  </si>
  <si>
    <t>LOCAL52WEEKHIGHDATE</t>
  </si>
  <si>
    <t>52 week high date</t>
  </si>
  <si>
    <t>LOCAL52WEEKLOW</t>
  </si>
  <si>
    <t>52 week low in local currency</t>
  </si>
  <si>
    <t>LOCAL52WEEKLOWDATE</t>
  </si>
  <si>
    <t>52 week low date</t>
  </si>
  <si>
    <t>LOCALCLOSEASK</t>
  </si>
  <si>
    <t>Ask Closing price in local currency</t>
  </si>
  <si>
    <t>LOCALCLOSEBID</t>
  </si>
  <si>
    <t>Bid Closing price in local currency</t>
  </si>
  <si>
    <t>LOCALCLOSEEXCHANGE</t>
  </si>
  <si>
    <t>Closing price on exchange in local currency</t>
  </si>
  <si>
    <t>LOCALCLOSEMID</t>
  </si>
  <si>
    <t>Mid Closing price in local currency</t>
  </si>
  <si>
    <t>LOCALCLOSEPRICE</t>
  </si>
  <si>
    <t>Last closing price in local currency</t>
  </si>
  <si>
    <t>LOCALDAYHIGH</t>
  </si>
  <si>
    <t>Day high in local currency</t>
  </si>
  <si>
    <t>LOCALDAYLOW</t>
  </si>
  <si>
    <t>Day low in local currency</t>
  </si>
  <si>
    <t>LOCALDIVIDENDYIELD</t>
  </si>
  <si>
    <t>Dividend yield in local currency</t>
  </si>
  <si>
    <t>LOCALGROSS12MONTHDIVIDENDYIELD</t>
  </si>
  <si>
    <t>Gross 12m dividend yield in local currency</t>
  </si>
  <si>
    <t>LOCALNET12MONTHDIVIDENDYIELD</t>
  </si>
  <si>
    <t>Net 12m dividend yield in local currency</t>
  </si>
  <si>
    <t>LOCALOPENPRICE</t>
  </si>
  <si>
    <t>Opening price in local currency</t>
  </si>
  <si>
    <t>MARKETCAPITALIZATION</t>
  </si>
  <si>
    <t>Market Capitalization</t>
  </si>
  <si>
    <t>MONTHCHANGE</t>
  </si>
  <si>
    <t>Price Change for Month</t>
  </si>
  <si>
    <t>MONTHHIGH</t>
  </si>
  <si>
    <t>High Price for Month</t>
  </si>
  <si>
    <t>MONTHLOW</t>
  </si>
  <si>
    <t>Low Price for Week</t>
  </si>
  <si>
    <t>OPENINTEREST</t>
  </si>
  <si>
    <t>Open Interest</t>
  </si>
  <si>
    <t>PREVIOUSPRICE</t>
  </si>
  <si>
    <t>Previous Price</t>
  </si>
  <si>
    <t>Translate to "YYYY-MM-DD" format</t>
  </si>
  <si>
    <t>Price Date</t>
  </si>
  <si>
    <t>PRICEEARNINGSTOGROWTHRATIO</t>
  </si>
  <si>
    <t>Price to Earnings Ratio</t>
  </si>
  <si>
    <t>PRICETOBOOKVALUERATIO</t>
  </si>
  <si>
    <t>Price to Book Ratio</t>
  </si>
  <si>
    <t>PRICETOSALESRATIO</t>
  </si>
  <si>
    <t>Price to Sales Ratio</t>
  </si>
  <si>
    <t>PRICEVENDORUPDATEDATE</t>
  </si>
  <si>
    <t>Price Date - Vendor</t>
  </si>
  <si>
    <t>Primary Security Symbol</t>
  </si>
  <si>
    <t>VOLUMECHANGE</t>
  </si>
  <si>
    <t>Volume Change</t>
  </si>
  <si>
    <t>WEEKCHANGE</t>
  </si>
  <si>
    <t>Price Change for Year</t>
  </si>
  <si>
    <t>WEEKHIGH</t>
  </si>
  <si>
    <t>High Price for Week</t>
  </si>
  <si>
    <t>WEEKLOW</t>
  </si>
  <si>
    <t>YEARCHANGE</t>
  </si>
  <si>
    <t>Security Master Identifier</t>
  </si>
  <si>
    <t>SMLOOKUPID</t>
  </si>
  <si>
    <t>Please note that, in the BMASSOC_AGG file, ONLY load records where ind_hdr_no is NOT null.
This does NOT apply to the BMASSOC_ACCT and BMASSOC_ACCTPRODUCT file.</t>
  </si>
  <si>
    <t>BMASSOC_ACCT_MMDDYYYYHHmmSS, BMASSOC_AGG_MMDDYYYYHHmmSS, BMASSOC_ACCTPRODUCT_MMDDYYYYHHmmSS</t>
  </si>
  <si>
    <t>Firstly get the ProcessDate from the last row in the input file.
If T represents the ProcessDate,
  - map T 00:00:00 when inserting;
  - map Min [ T 00:00:00 , existing Be_ValidFrom ] when updating.</t>
  </si>
  <si>
    <t>Firstly get the ProcessDate from the last row in the input file.
If T represents the ProcessDate,
  - map T+1 00:00:00 when inserting;
  - map Max [ T+1 00:00:00 , existing Be_ValidTo ] when updating.</t>
  </si>
  <si>
    <t>BENCHMARKSECURITYMASTERFID</t>
  </si>
  <si>
    <t>Lookup SMCommon.ID 
where SMCommon.PrimarySecuritySymbol = input.benchmarkid
and SMCommon.Be_ValidTo is NULL</t>
  </si>
  <si>
    <t>VARCHAR2(255)</t>
  </si>
  <si>
    <t>CODESETSECUREID</t>
  </si>
  <si>
    <r>
      <rPr>
        <sz val="10"/>
        <color rgb="FF000000"/>
        <rFont val="Arial"/>
        <family val="2"/>
      </rPr>
      <t xml:space="preserve">Lookup CodeSetSecure.ID
   where CodeSetSecure.Code = input.classifierid
   and CodeSetSecure.Value = input.classifiertype
  </t>
    </r>
    <r>
      <rPr>
        <b/>
        <sz val="10"/>
        <color rgb="FF000000"/>
        <rFont val="Arial"/>
        <family val="2"/>
      </rPr>
      <t xml:space="preserve"> </t>
    </r>
    <r>
      <rPr>
        <sz val="10"/>
        <color rgb="FF000000"/>
        <rFont val="Arial"/>
        <family val="2"/>
      </rPr>
      <t>and CodeSetSecure.Be_ValidTo is NULL
if no match found, leave blank.</t>
    </r>
  </si>
  <si>
    <t>For details of CodeSetSecure ETL, see spec: https://investcloud-my.sharepoint.com/:x:/p/kwan/EaBXtEWluO0zAJQX8SKmVRsB9iJN1tg2Mnmyo6FpYXu2gA?e=j8ANrg</t>
  </si>
  <si>
    <t>OBJECTID</t>
  </si>
  <si>
    <t xml:space="preserve"> 
- If loading ACCT level file, lookup BeamAccount.ID where BeamAccount.AccountShortName = input.br_acct
 - If loading AGG level file, lookup AccountGroupSecure.ID where AccountGroupSecure.AccountGroupSecureShortName = input.ags_shortname</t>
  </si>
  <si>
    <t>OBJECTTYPE</t>
  </si>
  <si>
    <t xml:space="preserve"> 
 - If loading ACCT level file, map "ACCOUNT"
 - If loading AGG level file, map "ACCOUNTGROUPSECURE" </t>
  </si>
  <si>
    <t>PARENTBENCHMARKSECMASTERFID</t>
  </si>
  <si>
    <t>BMASSOC_AGG_MMDDYYYYHHmmSS</t>
  </si>
  <si>
    <t xml:space="preserve">
ONLY for AGG file,
lookup SMCommon.ID 
where SMCommon.PrimarySecuritySymbol = input.ind_hdr_no
and SMCommon.Be_ValidTo is NULL
if no match found, leave blank.</t>
  </si>
  <si>
    <t>Map TenantID of tenant "NeuberBerman_Accounts"</t>
  </si>
  <si>
    <t>RESET_BMASSOC_ACCT_MMDDYYYYHHmmSS, RESET_BMASSOC_AGG_MMDDYYYYHHmmSS, RESET_BMASSOC_ACCTPRODUCT_MMDDYYYYHHmmSS</t>
  </si>
  <si>
    <t>be_valid_from</t>
  </si>
  <si>
    <t>be_valid_to</t>
  </si>
  <si>
    <t>Lookup SMCommon.ID 
where SMCommon.PrimarySecuritySymbol = input.benchmarkid
and SMCommon.Be_ValidTo is NULL
If nothing found, SKIP the input row.</t>
  </si>
  <si>
    <t>Lookup CodeSetSecure.ID
   where CodeSetSecure.Code = input.classifierid
   and CodeSetSecure.Value = input.classifiertype
For every CodeSetSecure.ID found, it needs to be a separate input record.
If nothing found, keep this field NULL and send to bridge</t>
  </si>
  <si>
    <t xml:space="preserve"> 
 - If loading ACCT level file, map "ACCOUNT"
 - If loading AGG level file, map "ACCOUNTGROUPSECURE" </t>
  </si>
  <si>
    <t xml:space="preserve">
***ONLY mapped for the RESET_BMASSOC_AGG file,
lookup SMCommon.ID 
where SMCommon.PrimarySecuritySymbol = input.ind_hdr_no
and SMCommon.Be_ValidTo is NULL
If nothing found, SKIP the input row.</t>
  </si>
  <si>
    <t>***IMPORTANT  -  Additional Lookup Logic</t>
  </si>
  <si>
    <t>This additional process is to make sure we DO NOT insert any new record into the table. This is a RESET job which should only be updating existing records.</t>
  </si>
  <si>
    <t>Before sending records to the bridge, lookup the existing data in the table based on the combination of these 6 fields below from the input records (unique key):</t>
  </si>
  <si>
    <t>(ObjectId + ObjectType + TenantId + BenchmarkSecurityMasterFId + ParentBenchmarkSecMasterFId + CodeSetSecureId)</t>
  </si>
  <si>
    <t xml:space="preserve">   -  If the unique key does NOT exist in the table, DO NOT load it.</t>
  </si>
  <si>
    <t xml:space="preserve">   -  If the unique key already exists in the table, send the record to the bridge.</t>
  </si>
  <si>
    <t>Map current timestamp</t>
  </si>
  <si>
    <t>NEUDP_BMASSOC*</t>
  </si>
  <si>
    <t>BenchmarkSecurityMasterFId</t>
  </si>
  <si>
    <t>ObjectId</t>
  </si>
  <si>
    <t>ObjectType</t>
  </si>
  <si>
    <t>Priority</t>
  </si>
  <si>
    <t>NUMBER</t>
  </si>
  <si>
    <t xml:space="preserve">EXPIRE_PLL_MMDDYYYYHHmmSS.txt
EXPIRE_PERFACCT_MMDDYYYYHHmmSS.txt </t>
  </si>
  <si>
    <t>Lookup BeamAccount.Id where BeamAccount.AccountShortName = input.br_acct</t>
  </si>
  <si>
    <t>Hardcode to TenantId of the tenant "NeubergerBerman_Accounts"</t>
  </si>
  <si>
    <t>Find each BeAsOf in between input.as_of_from and input.as_of_to
*Note: each BeAsOf needs to be passed to the bridge as a separate record</t>
  </si>
  <si>
    <t>DATACLASS</t>
  </si>
  <si>
    <t xml:space="preserve"> - Hardcode to "PROFITANDLOSSLITE" for EXPIRE_PLL file
 - Hardcode to "PERFORMANCESUMMARY" for EXPIRE_PERFACCT file</t>
  </si>
  <si>
    <t>input.reason_code</t>
  </si>
  <si>
    <t xml:space="preserve">
EXPIRE_PERFAGG_ MMDDYYYYHHmmSS.txt </t>
  </si>
  <si>
    <t>Lookup AccountGroupSecure.Id where AccountGroupSecure.AccountGroupSecureShortName = input.ags_shortname</t>
  </si>
  <si>
    <t>EXPIRE_PERFAGG_ MMDDYYYYHHmmSS.txt</t>
  </si>
  <si>
    <t>Hardcode to "PERFORMANCESUMMARY"</t>
  </si>
  <si>
    <t>FAMILY_MMDDYYYYHHmmSS</t>
  </si>
  <si>
    <t>varchar(18)</t>
  </si>
  <si>
    <t>18 character alphanumeric unique id</t>
  </si>
  <si>
    <t>Relationship_Group__c.Id</t>
  </si>
  <si>
    <t>a090B00001Rbl4IQAR</t>
  </si>
  <si>
    <t>Unique Identifier for the Relationship</t>
  </si>
  <si>
    <t>NB v0.0_Family</t>
  </si>
  <si>
    <t>varchar(80)</t>
  </si>
  <si>
    <t>Name of the Relationship Group</t>
  </si>
  <si>
    <t>Relationship_Group__c.Name</t>
  </si>
  <si>
    <t>Feinman/Munves Family</t>
  </si>
  <si>
    <t>Relationship Name (Full name)</t>
  </si>
  <si>
    <t>See data type (IC only supports 60 char)</t>
  </si>
  <si>
    <t>varchar(40)</t>
  </si>
  <si>
    <t xml:space="preserve">Category of the Relationship Group. It is a dropdown with possible values Family Group
Common Referral Source
Business Associates
Trustees and Beneficiaries
Clients of Accountant/Attorney
Other
</t>
  </si>
  <si>
    <t>Relationship_Group__c.Category__c</t>
  </si>
  <si>
    <t>Family Group</t>
  </si>
  <si>
    <t>Code/Branch/Type etc. Required even if only one Group.</t>
  </si>
  <si>
    <t>varchar(255)</t>
  </si>
  <si>
    <t>NB Team who manages the account. Default to the team of the creator</t>
  </si>
  <si>
    <t>Relationship_Group__c.Team_Owner_c</t>
  </si>
  <si>
    <t xml:space="preserve">THE STRAUS GROUP </t>
  </si>
  <si>
    <t>Name of the Relationship Manager</t>
  </si>
  <si>
    <t>See data type (IC only supports 100 char)</t>
  </si>
  <si>
    <t>If using the AccountGroupSecure Common Interface, this value should be the Account Group Name of the collection of accounts that should be associated with this relationship. For Accounts to be automatically associated, you will need to create an Account Group for each Relationship.</t>
  </si>
  <si>
    <t>VARCHAR2 (750)</t>
  </si>
  <si>
    <t>Address 1</t>
  </si>
  <si>
    <t>VARCHAR2 (255)</t>
  </si>
  <si>
    <t>Address 2</t>
  </si>
  <si>
    <t>ADDRESS3</t>
  </si>
  <si>
    <t>Address 3</t>
  </si>
  <si>
    <t>ADDRESS4</t>
  </si>
  <si>
    <t>Address 4</t>
  </si>
  <si>
    <t>VARCHAR2 (45)</t>
  </si>
  <si>
    <t>City</t>
  </si>
  <si>
    <t>Flexible Classification for the relationship</t>
  </si>
  <si>
    <t>VARCHAR2 (100</t>
  </si>
  <si>
    <t>Primary contact's primary email</t>
  </si>
  <si>
    <t>FAMILYTYPE</t>
  </si>
  <si>
    <t>Flexible "Type" Field for Relationship</t>
  </si>
  <si>
    <t>NUMBEROFACCOUNTS</t>
  </si>
  <si>
    <t>NUMBEROFMEMBERS</t>
  </si>
  <si>
    <t>VARCHAR2 (20)</t>
  </si>
  <si>
    <t>Phone 1</t>
  </si>
  <si>
    <t>PHONE1TYPE</t>
  </si>
  <si>
    <t>VARCHAR2 (10)</t>
  </si>
  <si>
    <t>Phone 1 Type (e.g. Home or Mobile)</t>
  </si>
  <si>
    <t>Phone 2</t>
  </si>
  <si>
    <t>PHONE2TYPE</t>
  </si>
  <si>
    <t>Phone 2 Type (e.g. Home or Mobile)</t>
  </si>
  <si>
    <t>PRIMARYCONTACTFIRSTNAME</t>
  </si>
  <si>
    <t>Primary Contact First Name</t>
  </si>
  <si>
    <t>PRIMARYCONTACTFULLNAME</t>
  </si>
  <si>
    <t>FAMILYMEMBERCODE (Unique Name from FAMILYMEMBER)</t>
  </si>
  <si>
    <t>PRIMARYCONTACTID</t>
  </si>
  <si>
    <t>PRIMARYCONTACTLASTNAME</t>
  </si>
  <si>
    <t>Primary Contact Last Name</t>
  </si>
  <si>
    <t>PRIMARYLANGUAGE</t>
  </si>
  <si>
    <t>Primary Language Spoken (e.g. English / Spanish)</t>
  </si>
  <si>
    <t>REFERRINGFAMILYID</t>
  </si>
  <si>
    <t>REFERRINGFAMILYNAME</t>
  </si>
  <si>
    <t>FAMILYNAME of Referring Family</t>
  </si>
  <si>
    <t>REFERRINGPARTNER</t>
  </si>
  <si>
    <t>Flexible text field for noting who a Referrer was</t>
  </si>
  <si>
    <t>RELATIONSHIPENDDATE</t>
  </si>
  <si>
    <t>End date of the relationship</t>
  </si>
  <si>
    <t>RELATIONSHIPSTARTDATE</t>
  </si>
  <si>
    <t>RELATIONSHIP_START_DATE</t>
  </si>
  <si>
    <t>Date and Timestamp</t>
  </si>
  <si>
    <t>Start date and time of the relationship with NB.</t>
  </si>
  <si>
    <t>Start date of the relationship</t>
  </si>
  <si>
    <t>SECONDARYLANGUAGE</t>
  </si>
  <si>
    <t>Secondary Language Spoken (e.g. English / Spanish)</t>
  </si>
  <si>
    <t>SERVICELOCATION</t>
  </si>
  <si>
    <t>Office the client is served out of</t>
  </si>
  <si>
    <t>State</t>
  </si>
  <si>
    <t>VARCHAR2 (30)</t>
  </si>
  <si>
    <t>NeubergerBerman</t>
  </si>
  <si>
    <t>VARCHAR2 (15)</t>
  </si>
  <si>
    <t>Zip Code</t>
  </si>
  <si>
    <t>If input.STATUS in ("Active","active","ACTIVE"), map "ACTIVE"
Else, map "INACTIVE"</t>
  </si>
  <si>
    <t>Possible values: ACTIVE or INACTIVE</t>
  </si>
  <si>
    <t>ABANUMBER</t>
  </si>
  <si>
    <t>ABA Number for an institution</t>
  </si>
  <si>
    <t>FM_MMDDYYYYHHmmSS</t>
  </si>
  <si>
    <t>Mailing address street</t>
  </si>
  <si>
    <t>Relationship_Group_Member__c.PersonMailingStreet</t>
  </si>
  <si>
    <t>Mailing Address</t>
  </si>
  <si>
    <t>9 EASTERN RD</t>
  </si>
  <si>
    <t>Mapped the informal greeting need to confirm with business</t>
  </si>
  <si>
    <t>Relationship_Group_Member__c.Informal_Greeting__pc</t>
  </si>
  <si>
    <t>Lyla</t>
  </si>
  <si>
    <t>Alternate ID (e.g. for other systems or look ups) for Integration or display</t>
  </si>
  <si>
    <t xml:space="preserve">Remapped from Shortname to ALTID as requested by IC. </t>
  </si>
  <si>
    <t>BASECCY</t>
  </si>
  <si>
    <t>Base (or Book) Currency for the family member</t>
  </si>
  <si>
    <t>BENEFITOF</t>
  </si>
  <si>
    <t>For legal entities, this is the beneficiary name</t>
  </si>
  <si>
    <t>Birthdate of the person</t>
  </si>
  <si>
    <t>Relationship_Group_Member__c.PersonBirthdate</t>
  </si>
  <si>
    <t>Birthday</t>
  </si>
  <si>
    <t>NB updated field name to match what was in CI &amp; IC ETL. (no impact to IC)</t>
  </si>
  <si>
    <t>BOXUSERNAME</t>
  </si>
  <si>
    <t>Username for Box.net</t>
  </si>
  <si>
    <t>Mailing address city</t>
  </si>
  <si>
    <t>Relationship_Group_Member__c.PersonMailingCity</t>
  </si>
  <si>
    <t>HARTSDALE</t>
  </si>
  <si>
    <t>ISO Country code for country of citizenship</t>
  </si>
  <si>
    <t>Removed mapping (field is now mapped to Cntry of Residency</t>
  </si>
  <si>
    <t>Mailing country is mapped, confirm with Business</t>
  </si>
  <si>
    <t>Relationship_Group_Member__c.PersonMailingCountry</t>
  </si>
  <si>
    <t>ISO Country code for country of residency</t>
  </si>
  <si>
    <t xml:space="preserve">Remapped from Country of Citizenship to Country of Residency as requested by IC. </t>
  </si>
  <si>
    <t>DEPARTMENT</t>
  </si>
  <si>
    <t>Department</t>
  </si>
  <si>
    <t>DROPBOXUSERNAME</t>
  </si>
  <si>
    <t>Username for Dropbox.com</t>
  </si>
  <si>
    <t>ELIGIBLETOVOTE</t>
  </si>
  <si>
    <t>"Y" or "N" for Eligible to Vote</t>
  </si>
  <si>
    <t>Email of the person</t>
  </si>
  <si>
    <t>Relationship_Group_Member__c.PersonEmail</t>
  </si>
  <si>
    <t>bdmgl@aol.com</t>
  </si>
  <si>
    <t>Email (Primary Email for Multi-Factor Authentication)</t>
  </si>
  <si>
    <t>EMAIL2</t>
  </si>
  <si>
    <t>Alternate Email</t>
  </si>
  <si>
    <t>EMAIL3</t>
  </si>
  <si>
    <t>varchar(50)</t>
  </si>
  <si>
    <t>Relationship Group name</t>
  </si>
  <si>
    <t>Relationship_Group_Member__c.Relationship_Group__c</t>
  </si>
  <si>
    <t>FAMILYCODE in the FAMILY object is a VARCHAR2(50), but here is it NUMBER(10,0) - is this correct?</t>
  </si>
  <si>
    <t>a090B00001gOI8hQAG</t>
  </si>
  <si>
    <t>Should be value of FAMILYCODE from 9.FAMILY for the appropriate Family. Lookup to populate FamilyId</t>
  </si>
  <si>
    <t>Relationship_Group_Member__c.Id</t>
  </si>
  <si>
    <t>a090B00001gOI8hQAG-a0A0B00001prdzEUAQ</t>
  </si>
  <si>
    <t>Unique Identifier for the Family Member</t>
  </si>
  <si>
    <t>Fax</t>
  </si>
  <si>
    <t>FirstName of the person. Blank for Entity type</t>
  </si>
  <si>
    <t>Relationship_Group_Member__c.FirstName</t>
  </si>
  <si>
    <t>LYLA</t>
  </si>
  <si>
    <t>First Name</t>
  </si>
  <si>
    <t>FISCALYEAREND</t>
  </si>
  <si>
    <t>Fiscal Year end</t>
  </si>
  <si>
    <t>FISCALYEARSTART</t>
  </si>
  <si>
    <t>Fiscal Year Start</t>
  </si>
  <si>
    <t>Full name of the Group Member</t>
  </si>
  <si>
    <t>Relationship_Group_Member__c.Name__c</t>
  </si>
  <si>
    <t>RGM-0077025</t>
  </si>
  <si>
    <t>Full name for reportings, statements and user inteface displayed views</t>
  </si>
  <si>
    <t>GENDERCODE</t>
  </si>
  <si>
    <t>Gender ("M" or "F")</t>
  </si>
  <si>
    <t>GOOGLEAPPSUSERNAME</t>
  </si>
  <si>
    <t>Username for Goole Apps</t>
  </si>
  <si>
    <t>Text(255)</t>
  </si>
  <si>
    <t>Formal greeting is mapped, confirm with business</t>
  </si>
  <si>
    <t>Relationship_Group_Member__c.Formal_Greeting__pc</t>
  </si>
  <si>
    <t>Greeting</t>
  </si>
  <si>
    <t>HEALTHINSURANCE</t>
  </si>
  <si>
    <t>Health Insurance Provider</t>
  </si>
  <si>
    <t>Lastname of the person</t>
  </si>
  <si>
    <t>Relationship_Group_Member__c.LastName</t>
  </si>
  <si>
    <t>GOLDBERG</t>
  </si>
  <si>
    <t>Last Name</t>
  </si>
  <si>
    <t>See data type (IC only supports 50 char)</t>
  </si>
  <si>
    <t>LEGALCITY</t>
  </si>
  <si>
    <t>Added per Jupiter requirements, removed underscore</t>
  </si>
  <si>
    <t>LEGALCOUNTRY</t>
  </si>
  <si>
    <t>Name of the Person or Entity. Populated for both types</t>
  </si>
  <si>
    <t>Relationship_Group_Member__c.Name</t>
  </si>
  <si>
    <t>LYLA GOLDBERG</t>
  </si>
  <si>
    <t>Legal Name</t>
  </si>
  <si>
    <t>See data type (IC only supports 150 char)</t>
  </si>
  <si>
    <t>LEGALSTATE</t>
  </si>
  <si>
    <t>LEGAL_STATE</t>
  </si>
  <si>
    <t>LEGALSTREET</t>
  </si>
  <si>
    <t>LEGALZIPCODE</t>
  </si>
  <si>
    <t>LOGOLOCATION</t>
  </si>
  <si>
    <t>Filename for separately provided image file</t>
  </si>
  <si>
    <t>Middle name of the person</t>
  </si>
  <si>
    <t>Relationship_Group_Member__c.MiddleName</t>
  </si>
  <si>
    <t>Middle name</t>
  </si>
  <si>
    <t>NOTE</t>
  </si>
  <si>
    <t>CLOB</t>
  </si>
  <si>
    <t>Note (this is a specail field and may contain text of complex types such as HTML or Rich Text)</t>
  </si>
  <si>
    <t>Phone of the Person</t>
  </si>
  <si>
    <t>Relationship_Group_Member__c.MobilePhone</t>
  </si>
  <si>
    <t>Phone 1 (Primary phone for Multi Factor Authentication)</t>
  </si>
  <si>
    <t>See data type (IC only supports 20 char)</t>
  </si>
  <si>
    <t>Phone 1 type (e.g. Mobile, or Home)</t>
  </si>
  <si>
    <t>Work phone of the person</t>
  </si>
  <si>
    <t>Relationship_Group_Member__c.PersonOtherPhone</t>
  </si>
  <si>
    <t>Alternate Phone</t>
  </si>
  <si>
    <t>PHONE2 Type</t>
  </si>
  <si>
    <t>18 character alphanumeric unique id. Foreign key to the Person</t>
  </si>
  <si>
    <t>Relationship_Group_Member__c.Group__Member__c</t>
  </si>
  <si>
    <t>0010B00001lE3suQAC</t>
  </si>
  <si>
    <t>Unqiue ID from the Client's source system for the Family Member (e.g. the Salesforce.com GUID)</t>
  </si>
  <si>
    <t>PREFERREDDELIVERY</t>
  </si>
  <si>
    <t>Preferred Delivery Method for statements</t>
  </si>
  <si>
    <t>PRIMARYACTIVITY</t>
  </si>
  <si>
    <t>Primary Activity</t>
  </si>
  <si>
    <t>RELENDDATE</t>
  </si>
  <si>
    <t>End date of the relationship with the family memebr</t>
  </si>
  <si>
    <t>PRIMARYLOGINUSERID</t>
  </si>
  <si>
    <t>Create look up on BeamUser with BeamUser.UserId, BeamUser.AltId1
Map Lookup.BeamUser.UserId
where Lookup.BeamUser.AltId1 = input.PERSON_ENTITY_ID and Lookup.BeamUser.Status &lt;&gt; D</t>
  </si>
  <si>
    <t>Primary login userID</t>
  </si>
  <si>
    <t>RELSTARTDATE</t>
  </si>
  <si>
    <t>Begin date of the relationship with the family member</t>
  </si>
  <si>
    <t>Preferred Currency for Reporting/Statements</t>
  </si>
  <si>
    <t>ROLENAME</t>
  </si>
  <si>
    <t>GROUP_ROLE</t>
  </si>
  <si>
    <t>Role Name</t>
  </si>
  <si>
    <t>Salutation of the person. Free text.</t>
  </si>
  <si>
    <t>Relationship_Group_Member__c.WM_Personal_Envelope_Salutation__pc</t>
  </si>
  <si>
    <t>Salutatino: "Mr.", Ms.", "Mrs" etc.</t>
  </si>
  <si>
    <t>SCHOOLNAME</t>
  </si>
  <si>
    <t>School Name</t>
  </si>
  <si>
    <t>SCPURI</t>
  </si>
  <si>
    <t>InvestCloud Use Only</t>
  </si>
  <si>
    <t>SECONDARYACTIVITY</t>
  </si>
  <si>
    <t>Secondary Activity</t>
  </si>
  <si>
    <t>SFTPURI</t>
  </si>
  <si>
    <t>Associated UserName, required for report bundler. Short name (Flexible field), often the same value as FAMILYMEMBERCODE, but does not have to be unique</t>
  </si>
  <si>
    <t xml:space="preserve">Added to pass username as Tina advised it's need for bundler to properly work. </t>
  </si>
  <si>
    <t>SMSRECEIVENUMBER</t>
  </si>
  <si>
    <t>Phone number for sending SMS Messages</t>
  </si>
  <si>
    <t>SORTKEY</t>
  </si>
  <si>
    <t>Numerical key for special sorting or custom sorting for reporting or display purposes</t>
  </si>
  <si>
    <t>Legal address state</t>
  </si>
  <si>
    <t>Relationship_Group_Member__c.PersonMailingState</t>
  </si>
  <si>
    <t>NY</t>
  </si>
  <si>
    <t>See data type (IC only supports 45 char)</t>
  </si>
  <si>
    <t>"ACTIVE' or "INACTIVE" for the status of the family member</t>
  </si>
  <si>
    <t>TBD?</t>
  </si>
  <si>
    <t>TAXBRACKET</t>
  </si>
  <si>
    <t>TAXID</t>
  </si>
  <si>
    <t>Tax ID</t>
  </si>
  <si>
    <t>TEMPLATE</t>
  </si>
  <si>
    <t>Template (Special Field; contact IC if Applet Selected)</t>
  </si>
  <si>
    <t>Map TenantID of the L2 tenant NeubergerBerman_Accounts</t>
  </si>
  <si>
    <t>NeubergerBerman_Accounts</t>
  </si>
  <si>
    <t>varchar(1300)</t>
  </si>
  <si>
    <t>mapped the corporate title need to confirm with business</t>
  </si>
  <si>
    <t>Relationship_Group_Member__c.Corporate_Title__pc</t>
  </si>
  <si>
    <t>Title (Professional Title)</t>
  </si>
  <si>
    <t>URI1</t>
  </si>
  <si>
    <t>URI2</t>
  </si>
  <si>
    <t>varchar(20)</t>
  </si>
  <si>
    <t>Mailing address postalcode</t>
  </si>
  <si>
    <t>Relationship_Group_Member__c.PersonMailingPostalCode</t>
  </si>
  <si>
    <t>See data type (IC only supports 15 char)</t>
  </si>
  <si>
    <t>***This is a REP LOAD</t>
  </si>
  <si>
    <t>FMACCT_MMDDYYYYHHmmSS</t>
  </si>
  <si>
    <t>18 character alphanumeric unique id.</t>
  </si>
  <si>
    <t>FAMILYMEMBERCODE from 10.FAMILYMEMBER</t>
  </si>
  <si>
    <t>NB Account Number</t>
  </si>
  <si>
    <t>Relationship_Group_Member__c.Account_Number__c</t>
  </si>
  <si>
    <t>ACCOUNTSHORTNAME from 1.ACCOUNT</t>
  </si>
  <si>
    <t>USER_INTERNAL_MMDDYYYYHHmmSS, USER_EXTERNAL_MMDDYYYYHHmmSS</t>
  </si>
  <si>
    <t>Primary address</t>
  </si>
  <si>
    <t>users</t>
  </si>
  <si>
    <t>Secondary address</t>
  </si>
  <si>
    <t>AFFILIATION1</t>
  </si>
  <si>
    <t>Affiliation 1 - flexible for reporting</t>
  </si>
  <si>
    <t>AFFILIATION2</t>
  </si>
  <si>
    <t>Affiliation 2 - flexible for reporting</t>
  </si>
  <si>
    <t>AltId1 - flexible for reporting</t>
  </si>
  <si>
    <t>AltId2 - flexible for reporting</t>
  </si>
  <si>
    <t>AltId3 - flexible for reporting</t>
  </si>
  <si>
    <t>Security question answer 1 for password recovery</t>
  </si>
  <si>
    <t>Not something we would send daily</t>
  </si>
  <si>
    <t>Security question answer 2 for password recovery</t>
  </si>
  <si>
    <t>Security question answer 3 for password recovery</t>
  </si>
  <si>
    <t>APPLICATION</t>
  </si>
  <si>
    <t>CHANGEPASSWORDNEXTLOGIN</t>
  </si>
  <si>
    <t>Y' or 'N'</t>
  </si>
  <si>
    <t>CONDITIONSAGREED</t>
  </si>
  <si>
    <t>COOKIE</t>
  </si>
  <si>
    <t>Country or region - flexible</t>
  </si>
  <si>
    <t>DATEOFBIRTH</t>
  </si>
  <si>
    <t>dateofbirth</t>
  </si>
  <si>
    <t>Date of birth</t>
  </si>
  <si>
    <t xml:space="preserve">When INSERT new record, map input.emailaddress
When UPDATE existing record, check if the existing record already has a non-null EMAILADDRSS
   - If yes, do not update
   - If no, map input.emailaddress </t>
  </si>
  <si>
    <t>Primary email address - show up in MFA if configured</t>
  </si>
  <si>
    <t>VARCHAR2(55 BYTE)</t>
  </si>
  <si>
    <t xml:space="preserve">When INSERT new record, map input.altemailaddress
When UPDATE existing record, check if the existing record already has a non-null EMAILADDRSS2
   - If yes, do not update
   - If no, map input.altemailaddress </t>
  </si>
  <si>
    <t>Secondary email address</t>
  </si>
  <si>
    <t>EMAILADDRESS3</t>
  </si>
  <si>
    <t>Third email address</t>
  </si>
  <si>
    <t>EMPLOYER</t>
  </si>
  <si>
    <t>Employer</t>
  </si>
  <si>
    <t>LASTLOGIN</t>
  </si>
  <si>
    <t>Last name</t>
  </si>
  <si>
    <t>NOTES</t>
  </si>
  <si>
    <t>Optional notes</t>
  </si>
  <si>
    <t>PASSWORD</t>
  </si>
  <si>
    <t>Password of the user</t>
  </si>
  <si>
    <t>PASSWORDEXPIRYDATE</t>
  </si>
  <si>
    <t>Date of password expiration</t>
  </si>
  <si>
    <t>PASSWORDLASTCHANGEDATE</t>
  </si>
  <si>
    <t>Secondary phone number</t>
  </si>
  <si>
    <t>Third phone number</t>
  </si>
  <si>
    <t>Preferred name</t>
  </si>
  <si>
    <t>Primary phone number - shows up in MFA if configured</t>
  </si>
  <si>
    <t>Primary phone number extension</t>
  </si>
  <si>
    <t xml:space="preserve">IC to correct typo </t>
  </si>
  <si>
    <t>PROFESSION</t>
  </si>
  <si>
    <t>Profession</t>
  </si>
  <si>
    <t>READONLY</t>
  </si>
  <si>
    <t>REFERREDBYEMAIL</t>
  </si>
  <si>
    <t>Email for referring party</t>
  </si>
  <si>
    <t>Security question 1 for password recovery</t>
  </si>
  <si>
    <t>Security question 2 for password recovery</t>
  </si>
  <si>
    <t>Security question 3 for password recovery</t>
  </si>
  <si>
    <t>state or province</t>
  </si>
  <si>
    <t>A = Active, S = Deactivated (Suspended), L = Locked, R = Reactivated</t>
  </si>
  <si>
    <t>taxid</t>
  </si>
  <si>
    <t>Last 4 digits of SSN</t>
  </si>
  <si>
    <t>Map TenantId of NeubergerBerman_Employee for records in USER_INTERNAL file
Map TenantId of NeubergerBerman_Users for records in USER_EXTERNAL file</t>
  </si>
  <si>
    <t>Tenant Id of the user</t>
  </si>
  <si>
    <t>When inserting new record, hardcode to "Unregistered"
When updating existing record,
   - If this field is NULL, hardcode to "Unregistered"
   - If this field is NOT NULL, DO NOT update.</t>
  </si>
  <si>
    <t>Title of the user</t>
  </si>
  <si>
    <t>Username must be unique within the environment</t>
  </si>
  <si>
    <t>USERSETUPDATE</t>
  </si>
  <si>
    <t>Date which user was onboarded</t>
  </si>
  <si>
    <t>WEBSITE</t>
  </si>
  <si>
    <t>Website URL</t>
  </si>
  <si>
    <t>ZIP postal code</t>
  </si>
  <si>
    <t>BA Guidance</t>
  </si>
  <si>
    <t> </t>
  </si>
  <si>
    <t>Database Information</t>
  </si>
  <si>
    <t>Specification</t>
  </si>
  <si>
    <t>I-Tier Development</t>
  </si>
  <si>
    <t>Orange Reporting</t>
  </si>
  <si>
    <t>Green Accounting</t>
  </si>
  <si>
    <t>Black Performance</t>
  </si>
  <si>
    <t>Blue Trading</t>
  </si>
  <si>
    <t>Table</t>
  </si>
  <si>
    <t>Field Name/Fixed Width Range</t>
  </si>
  <si>
    <t>Field Format</t>
  </si>
  <si>
    <t>I-Tier Logic</t>
  </si>
  <si>
    <t>Source Definition</t>
  </si>
  <si>
    <t>Lookup File/DB Key Field(s)</t>
  </si>
  <si>
    <t>Default File Key Field(s)</t>
  </si>
  <si>
    <t>Stored Lookup Name</t>
  </si>
  <si>
    <t>NUMBER (22,10)</t>
  </si>
  <si>
    <t>VARCHAR2 (20 BYTE)</t>
  </si>
  <si>
    <t>TIMESTAMP</t>
  </si>
  <si>
    <t>VARCHAR2 (100 BYTE)</t>
  </si>
  <si>
    <t>VARCHAR2 (50 BYTE)</t>
  </si>
  <si>
    <t>VARCHAR2 (50BYTE)</t>
  </si>
  <si>
    <t>VARCHAR2(256 BYTE)</t>
  </si>
  <si>
    <t>BEAMUSERDATA</t>
  </si>
  <si>
    <t>Hardcode to "CustodianAccount.ExternalUserIdentifier_Nfs"</t>
  </si>
  <si>
    <t>CustodianAccount.ExternalUserIdentifier_Nfs</t>
  </si>
  <si>
    <t>Key associated with a username</t>
  </si>
  <si>
    <t>VALUE</t>
  </si>
  <si>
    <t>VARCHAR2(2048 BYTE)</t>
  </si>
  <si>
    <t>USER_EXTERNAL_MMDDYYYYHHmmSS</t>
  </si>
  <si>
    <t>nfsportalid</t>
  </si>
  <si>
    <t>Min 6 characters. Max 255 characters</t>
  </si>
  <si>
    <t>Value associated with a username</t>
  </si>
  <si>
    <t>Mandatory</t>
  </si>
  <si>
    <t>Map BeamUser.ID
   where BeamUser.Username = input.username</t>
  </si>
  <si>
    <t>Associated User Id. Must map to a User that's created within the USERS tab</t>
  </si>
  <si>
    <t>Map TenantId of NeubergerBerman_Users</t>
  </si>
  <si>
    <t>***This is a REP LOAD based on usernames in the file. It won't touch usernames that are not in the file.</t>
  </si>
  <si>
    <t>USERACCT_INTERNAL_MMDDYYYYHHmmSS, USERACCT_EXTERNAL_MMDDYYYYHHmmSS</t>
  </si>
  <si>
    <t>ID of the Account within the _Accounts tenant</t>
  </si>
  <si>
    <t xml:space="preserve">Uesd xpid for int. </t>
  </si>
  <si>
    <t>Username</t>
  </si>
  <si>
    <t>Map TenantId of NeubergerBerman_Employee for records in USERACCT_INTERNAL file
Map TenantId of NeubergerBerman_Users for records in USERACCT_EXTERNAL file</t>
  </si>
  <si>
    <t>Hard code to blank</t>
  </si>
  <si>
    <t>ID of the tenant for which the ACCOUNTID exists within</t>
  </si>
  <si>
    <t xml:space="preserve">3/14 - RP advised IC has this mapped correct (mismatch was due to add'l text in doc). </t>
  </si>
  <si>
    <t>ROLES_ID</t>
  </si>
  <si>
    <t>USERCLIENTROLE_INTERNAL_MMDDYYYYHHmmSS, USERCLIENTROLE_EXTERNAL_MMDDYYYYHHmmSS</t>
  </si>
  <si>
    <r>
      <rPr>
        <sz val="10"/>
        <color rgb="FF000000"/>
        <rFont val="Arial"/>
        <family val="2"/>
      </rPr>
      <t xml:space="preserve">For both input files, map SecRole.Id 
where 
   SecRole.Name = input.clientrolename
   SecRole.RoleType = "Client"
Also, </t>
    </r>
    <r>
      <rPr>
        <b/>
        <sz val="10"/>
        <color rgb="FF000000"/>
        <rFont val="Arial"/>
        <family val="2"/>
      </rPr>
      <t>ONLY</t>
    </r>
    <r>
      <rPr>
        <sz val="10"/>
        <color rgb="FF000000"/>
        <rFont val="Arial"/>
        <family val="2"/>
      </rPr>
      <t xml:space="preserve"> for USERCLIENTROLE_INTERNAL file:
Map SecRole.Id 
where 
   SecRole.Name = "BecomeUser" AND "PasswordReset"
   SecRole.RoleType = "Server"</t>
    </r>
  </si>
  <si>
    <t>Menu the user is meant to have access to - suggest create tenant setting to dynamically look up against</t>
  </si>
  <si>
    <t>Map BeamUser.Id 
where 
   BeamUser.Username = input.username</t>
  </si>
  <si>
    <t xml:space="preserve">xpid for int. </t>
  </si>
  <si>
    <t>***This is a REP LOAD based on Advisor usernames in the file. It won't touch Advisor usernames that are not in the file.</t>
  </si>
  <si>
    <t>IC only</t>
  </si>
  <si>
    <t>CURRENTUSAGES</t>
  </si>
  <si>
    <t>ENDDATETIME</t>
  </si>
  <si>
    <t>MAXUSAGES</t>
  </si>
  <si>
    <t>STARTDATETIME</t>
  </si>
  <si>
    <t>USERTOBECOMEID</t>
  </si>
  <si>
    <t>ADVISOR_TOCLIENT_PERMISSIONS_MMDDYYYYHHmmss.txt</t>
  </si>
  <si>
    <t>ClientUserName</t>
  </si>
  <si>
    <r>
      <rPr>
        <sz val="10"/>
        <color rgb="FF000000"/>
        <rFont val="Arial"/>
        <family val="2"/>
      </rPr>
      <t xml:space="preserve">Lookup </t>
    </r>
    <r>
      <rPr>
        <u/>
        <sz val="10"/>
        <color rgb="FF1155CC"/>
        <rFont val="Arial"/>
        <family val="2"/>
      </rPr>
      <t>BeamUser.Id</t>
    </r>
    <r>
      <rPr>
        <sz val="10"/>
        <color rgb="FF000000"/>
        <rFont val="Arial"/>
        <family val="2"/>
      </rPr>
      <t xml:space="preserve"> WHERE BeamUser.UserName = ClientUserName</t>
    </r>
  </si>
  <si>
    <t xml:space="preserve">Client User that the Advisor User will become </t>
  </si>
  <si>
    <t>USERWHOBECOMESID</t>
  </si>
  <si>
    <t>AdvisorUserName</t>
  </si>
  <si>
    <r>
      <rPr>
        <sz val="10"/>
        <color rgb="FF000000"/>
        <rFont val="Arial"/>
        <family val="2"/>
      </rPr>
      <t xml:space="preserve">Lookup </t>
    </r>
    <r>
      <rPr>
        <u/>
        <sz val="10"/>
        <color rgb="FF1155CC"/>
        <rFont val="Arial"/>
        <family val="2"/>
      </rPr>
      <t>BeamUser.Id</t>
    </r>
    <r>
      <rPr>
        <sz val="10"/>
        <color rgb="FF000000"/>
        <rFont val="Arial"/>
        <family val="2"/>
      </rPr>
      <t xml:space="preserve"> WHERE BeamUser.UserName = AdvisorUserName</t>
    </r>
  </si>
  <si>
    <t>Advisor User that will become the Client User</t>
  </si>
  <si>
    <t>PERMISSIONMODE</t>
  </si>
  <si>
    <t>Hardcode to "USER"</t>
  </si>
  <si>
    <t>Indicates if this relationship is User to User or User to Tenant</t>
  </si>
  <si>
    <t>USERSTOBECOMETENANT</t>
  </si>
  <si>
    <t>ABA Number</t>
  </si>
  <si>
    <t>POI_INTERNAL_ACTIVE_MMDDYYYYHHmmSS
POI_INTERNAL_INACTIVE_MMDDYYYYHHmmSS</t>
  </si>
  <si>
    <t>Primary Address</t>
  </si>
  <si>
    <t xml:space="preserve">Fields need to be added based on PDD/SDS for pilot. </t>
  </si>
  <si>
    <t>Secondary Address</t>
  </si>
  <si>
    <t>Third Address</t>
  </si>
  <si>
    <t>Fourth Address</t>
  </si>
  <si>
    <t>ADDRESS5</t>
  </si>
  <si>
    <t>Address line 5</t>
  </si>
  <si>
    <t>Flex - can be used for contact code</t>
  </si>
  <si>
    <t>POI_v2</t>
  </si>
  <si>
    <t xml:space="preserve">Added field based on Tenancy/Entitlment meetings. (please note NB has this as lower case) </t>
  </si>
  <si>
    <t>Flex</t>
  </si>
  <si>
    <t>Base currency code</t>
  </si>
  <si>
    <t>Beneficiary</t>
  </si>
  <si>
    <t>BIODATA</t>
  </si>
  <si>
    <t>VARCHAR2(4000 BYTE)</t>
  </si>
  <si>
    <t>Summary of the POI</t>
  </si>
  <si>
    <t>City of affiliation</t>
  </si>
  <si>
    <t>COMPANY</t>
  </si>
  <si>
    <t>Company POI affilated with</t>
  </si>
  <si>
    <t>COUNTRYOFCITIZENSHIPID</t>
  </si>
  <si>
    <t>Country of citizenship ID # (ex: 840)</t>
  </si>
  <si>
    <t>countryofresidenceid</t>
  </si>
  <si>
    <t>Country of residence ID # (ex: 840)</t>
  </si>
  <si>
    <t>department</t>
  </si>
  <si>
    <t>Dept of affiliation</t>
  </si>
  <si>
    <t>DropBox username</t>
  </si>
  <si>
    <t>Primary Email Address</t>
  </si>
  <si>
    <t xml:space="preserve">POI </t>
  </si>
  <si>
    <t>Initial Mapping (please note NB has this as lower case)</t>
  </si>
  <si>
    <t>Secondary Email Address</t>
  </si>
  <si>
    <t>Third Email Address</t>
  </si>
  <si>
    <t>fax</t>
  </si>
  <si>
    <t>Fax number</t>
  </si>
  <si>
    <t>FAX2</t>
  </si>
  <si>
    <t>secondary fax #</t>
  </si>
  <si>
    <t>End of fiscal year</t>
  </si>
  <si>
    <t>Start of fiscal year</t>
  </si>
  <si>
    <t>Full name of the POI</t>
  </si>
  <si>
    <t>GENDERID</t>
  </si>
  <si>
    <t>Gender ID</t>
  </si>
  <si>
    <t>GOOGLEAPPSPASSWORD</t>
  </si>
  <si>
    <t>Google apps password</t>
  </si>
  <si>
    <t>Google apps username</t>
  </si>
  <si>
    <t>Greeting from POI to interested parties</t>
  </si>
  <si>
    <t>IMAGEFILENAME</t>
  </si>
  <si>
    <t>imagefilename</t>
  </si>
  <si>
    <t>Name of image on file for POI</t>
  </si>
  <si>
    <t>IMAGEID</t>
  </si>
  <si>
    <t>Look up latest PersistedReport.Id 
where PersistedReport.OriginalFileName = input.imagefilename</t>
  </si>
  <si>
    <t>ID of Image associated to POI</t>
  </si>
  <si>
    <t>INVESTORTYPE</t>
  </si>
  <si>
    <t>Investor Type e.g. ‘Corporate’,’Foundation’.</t>
  </si>
  <si>
    <t>LASTCONTACTDATE</t>
  </si>
  <si>
    <t>Last date of contact</t>
  </si>
  <si>
    <t>Legal Name of the POI</t>
  </si>
  <si>
    <t>Middle Name</t>
  </si>
  <si>
    <t>note</t>
  </si>
  <si>
    <t>Role of the POI (ie: RA, IC)</t>
  </si>
  <si>
    <t>Party Type of the POI</t>
  </si>
  <si>
    <t>phone1</t>
  </si>
  <si>
    <t>Primary phone number</t>
  </si>
  <si>
    <t>Primary phone type (ex: mobile)</t>
  </si>
  <si>
    <t>Secondary phone type (ex: office)</t>
  </si>
  <si>
    <t>PHONE3TYPE</t>
  </si>
  <si>
    <t>Third phone type</t>
  </si>
  <si>
    <t>External identifier for POI - should be unique</t>
  </si>
  <si>
    <t>Preferred delivery method</t>
  </si>
  <si>
    <t>Primary login username</t>
  </si>
  <si>
    <t>QUALINVESTOR</t>
  </si>
  <si>
    <t>Qualified Investor (flag).</t>
  </si>
  <si>
    <t>Relationship end date</t>
  </si>
  <si>
    <t>Relationship start date</t>
  </si>
  <si>
    <t>Reporting currency</t>
  </si>
  <si>
    <t>SALESFORCEPASSWORD</t>
  </si>
  <si>
    <t>Salesforce PW</t>
  </si>
  <si>
    <t>SALESFORCEUSERNAME</t>
  </si>
  <si>
    <t>Salesforce Username</t>
  </si>
  <si>
    <t>Salutation</t>
  </si>
  <si>
    <t>Associated UserName, required for report bundler. Unique POI value - Required</t>
  </si>
  <si>
    <t>Number SMS received on</t>
  </si>
  <si>
    <t>sortkey</t>
  </si>
  <si>
    <t>SPECIALTIES</t>
  </si>
  <si>
    <t>Specialties, e.g. Tax Advice, Trusts etc.</t>
  </si>
  <si>
    <t>state</t>
  </si>
  <si>
    <t>State affiliated</t>
  </si>
  <si>
    <t>"ACTIVE" or "INACTIVE" for status of the POI</t>
  </si>
  <si>
    <t>Tax ID value</t>
  </si>
  <si>
    <t>TAXSITUSCOUNTRY</t>
  </si>
  <si>
    <t>Client's Tax Country</t>
  </si>
  <si>
    <t>TAXSITUSSTATE</t>
  </si>
  <si>
    <t>Client's Tax State Code</t>
  </si>
  <si>
    <t>TAXSITUSSTATENAME</t>
  </si>
  <si>
    <t>Client's Tax State Name</t>
  </si>
  <si>
    <t>Tenant associated to the account affilated</t>
  </si>
  <si>
    <t>Tenant name associated to the account affilated</t>
  </si>
  <si>
    <t>Title of the POI</t>
  </si>
  <si>
    <t>Primary URL</t>
  </si>
  <si>
    <t>Secondary URL</t>
  </si>
  <si>
    <t>URI3</t>
  </si>
  <si>
    <t>third URL</t>
  </si>
  <si>
    <t>URI4</t>
  </si>
  <si>
    <t>fourth URL</t>
  </si>
  <si>
    <t>URI5</t>
  </si>
  <si>
    <t>fifth URL</t>
  </si>
  <si>
    <t>zipcode</t>
  </si>
  <si>
    <t>ZIP code of the POI</t>
  </si>
  <si>
    <t>Target IDR Table: POI_ACCT</t>
  </si>
  <si>
    <t>POI_ID</t>
  </si>
  <si>
    <t>POIACCT_INTERNAL_MMDDYYYYHHMMSS</t>
  </si>
  <si>
    <t>Map PartyOfInterest.ID
     where PartyOfInterest.AltID1 = input.AltID1</t>
  </si>
  <si>
    <t>ID of the POI associating to the Account</t>
  </si>
  <si>
    <t>Added to spec</t>
  </si>
  <si>
    <t>Map BeamAccount.ID where
     BeamAccount.AccountShortName = input.accountshortname</t>
  </si>
  <si>
    <t>Char(8)</t>
  </si>
  <si>
    <t>ID of the account assocating the POI to</t>
  </si>
  <si>
    <t>(This field is NOT exposed in the target IDR table)
altid1</t>
  </si>
  <si>
    <t>ID for the Party of Interest</t>
  </si>
  <si>
    <t>Updated from shortname to altid1 (lowercase)</t>
  </si>
  <si>
    <t>ID of the Accounts tenant</t>
  </si>
  <si>
    <t xml:space="preserve">3/12 - IC to double check (not sure why it's not in the ETL mapping. </t>
  </si>
  <si>
    <t>firstname + lastname</t>
  </si>
  <si>
    <t>partyrole (see column R)</t>
  </si>
  <si>
    <t>NB will send value "Account Relationship"</t>
  </si>
  <si>
    <t>Map TenantID of the L2 tenant NeubergerBerman_Users</t>
  </si>
  <si>
    <t>NeubergerBerman_Users</t>
  </si>
  <si>
    <t>USERACCT_EXTERNAL_MMDDYYYYHHmmSS</t>
  </si>
  <si>
    <t>Map PartyOfInterest.ID
      where PartyOfInterest.AltID1 = BeamUser.AltID1
              where BeamUser.Username = input.username</t>
  </si>
  <si>
    <t>(This field is NOT exposed in the target IDR table)
Lookup BeamUser.AltID1
              where BeamUser.Username = input.username</t>
  </si>
  <si>
    <t>ID of the User, only populated if the POI is a User</t>
  </si>
  <si>
    <t>Target IDR Table: POIACCTROLES</t>
  </si>
  <si>
    <t>Note: This table uses ACCOUNTS_ID + POI_ID + ROLENAME to define the uniqueness</t>
  </si>
  <si>
    <t>ACCOUNTS_ID</t>
  </si>
  <si>
    <t>Lookup user using username and get the AltId1. Use the AltId1 to lookup POI record, and output the Id of the POI record</t>
  </si>
  <si>
    <t>relationshiptype</t>
  </si>
  <si>
    <t>Special Logic:</t>
  </si>
  <si>
    <t>For each combo of (ACCOUNTS_ID + POI_ID) in the input file, check against the database table,</t>
  </si>
  <si>
    <t>- If the combo does not exists in database yet, INSERT the input row with this combo</t>
  </si>
  <si>
    <t>- If the combo already exists in database, check the RoleName value between the input row and the the database row,</t>
  </si>
  <si>
    <t>- If they have the same RoleName value, do nothing</t>
  </si>
  <si>
    <t>- If they have different RoleName value, DELETE the database row and INSERT the input row</t>
  </si>
  <si>
    <t>DISABLED</t>
  </si>
  <si>
    <t>USER_INTERNAL_&lt;MMDDYYTimestamp&gt;</t>
  </si>
  <si>
    <t>NUMBER(18,2)</t>
  </si>
  <si>
    <t>CLIENTLIFECYCLE</t>
  </si>
  <si>
    <t>COUCHDBREFERENCE</t>
  </si>
  <si>
    <t>Map CodeSet.Id
  where CodeSet.CodeType = "COUNTRY"
   and CodeSet.Code = input.countryorregion</t>
  </si>
  <si>
    <t>EMPLOYMENTSTATUS</t>
  </si>
  <si>
    <t>VARCHAR2(65 BYTE)</t>
  </si>
  <si>
    <t>firstname + " " + lastname</t>
  </si>
  <si>
    <t>INVESTKNOWLEDGE</t>
  </si>
  <si>
    <t>address1 + " " + address2</t>
  </si>
  <si>
    <t>primaryphonenumber + " " + primaryphonenumberext</t>
  </si>
  <si>
    <t>Map BeamUser.Id
  where BeamUser.Username = input.username</t>
  </si>
  <si>
    <t>PROFDESIGN</t>
  </si>
  <si>
    <t>REGULATORYJURISDICTION</t>
  </si>
  <si>
    <t>RISKTOLERANCE</t>
  </si>
  <si>
    <t>Map "ACTIVE" if input.status = A
   Else, map "INACTIVE"</t>
  </si>
  <si>
    <t>SUFFIX</t>
  </si>
  <si>
    <t>TAXFILINGSTATUS</t>
  </si>
  <si>
    <t>Map Id of tenant Neuberger_Employee</t>
  </si>
  <si>
    <t>USEFEEBASEDPLANNING</t>
  </si>
  <si>
    <t>USERACCT_INTERNAL_&lt;MMDDYYYTimestamp&gt;</t>
  </si>
  <si>
    <r>
      <rPr>
        <sz val="10"/>
        <rFont val="Helvetica Neue"/>
      </rPr>
      <t xml:space="preserve">Map </t>
    </r>
    <r>
      <rPr>
        <u/>
        <sz val="10"/>
        <color rgb="FF1155CC"/>
        <rFont val="Helvetica Neue"/>
      </rPr>
      <t xml:space="preserve">BeamAccount.Id
</t>
    </r>
    <r>
      <rPr>
        <sz val="10"/>
        <rFont val="Helvetica Neue"/>
      </rPr>
      <t xml:space="preserve">  where BeamAccount.AccountShortName = input.accountshortname</t>
    </r>
  </si>
  <si>
    <t>Map BeamUser.AltId1
   where BeamUser.Username = input.username</t>
  </si>
  <si>
    <t>smithteam</t>
  </si>
  <si>
    <t>smithteam@nb.com</t>
  </si>
  <si>
    <t>mst_smithteam@nb.com</t>
  </si>
  <si>
    <t>Smith Team</t>
  </si>
  <si>
    <t>NB will send value "Team"</t>
  </si>
  <si>
    <t>Team</t>
  </si>
  <si>
    <t>partytype (see column R)</t>
  </si>
  <si>
    <t>Neuberger Berman</t>
  </si>
  <si>
    <t>NOTES:</t>
  </si>
  <si>
    <t>NB to send all Teams, however, IC to process row by row using the ALTID1 = file.teamidentifier and PartyRole = "Team" to identify an existing POI (UPDATE) versus a new POI (INSERT)</t>
  </si>
  <si>
    <t>IC to use the PartyOfInterest Turbo Bridge</t>
  </si>
  <si>
    <t>Map PartyOfInterest.ID
      where PartyOfInterest.AltID1 = input.teamidentifier</t>
  </si>
  <si>
    <t>Id of the POI associating to the Account</t>
  </si>
  <si>
    <t>Map BeamAccount.ID where
     BeamAccount.AccountShortName = input.br_acct</t>
  </si>
  <si>
    <t>(This field is NOT exposed in the target IDR table)
teamidentifier</t>
  </si>
  <si>
    <t>NB to send all Team to Account mappings per file so this is a full repload</t>
  </si>
  <si>
    <t>Look up account using br_acct value in the accountshortname field and output the Id of the account</t>
  </si>
  <si>
    <t>Map PartyOfInterest.ID
      where PartyOfInterest.AltID1= input.teamidentifier</t>
  </si>
  <si>
    <t>Lookup POI record using the teamidentifier value in the AltId1 field, and output the ID of the POI record</t>
  </si>
  <si>
    <t>NB will send "Team"</t>
  </si>
  <si>
    <t>Validation:</t>
  </si>
  <si>
    <t>Reject records if REQUIRED fields do not have a value</t>
  </si>
  <si>
    <t>Reject records if ROLENAME is null or &lt;&gt; Team</t>
  </si>
  <si>
    <t>TRXALT_MMDDYYYYHHmmSS</t>
  </si>
  <si>
    <t>N/A: Hardcoded to USD</t>
  </si>
  <si>
    <t>dbo.vDIM_ACCOUNT: MANAGER_NAME</t>
  </si>
  <si>
    <t>common.DIM_AI_ACCOUNT: NB_ACCT_NUM</t>
  </si>
  <si>
    <t>dbo.vDIM_ACCOUNT: TARGET_NAME</t>
  </si>
  <si>
    <t>dbo.vDIM_ACCOUNT: NFS' WHEN CUSTODIAN_NAME IS NULL, OTHERWISE USE CUSTODIAN_NAME</t>
  </si>
  <si>
    <t>dbo.vDIM_ACCOUNT: NFS_ACCOUNT_ID when not null, otherwise CUSTODIAN_ACCT_NUMBER</t>
  </si>
  <si>
    <t xml:space="preserve">3/12 - IC to double check the field name in their ETL for this.  Seems to be a typo vs what we sent in mapping doc.  In addition it appears that IC has this mapped to Custodian Reference rather than Faccountreference. </t>
  </si>
  <si>
    <t>N/A: Hardcoded to blank</t>
  </si>
  <si>
    <t>dbo.vDIM_PRODUCT: NB_ASSET_CLASS</t>
  </si>
  <si>
    <t>dbo.vDIM_PRODUCT: ASSET_CLASS_TWO</t>
  </si>
  <si>
    <t>dbo.vDIM_PRODUCT: SUB_ASSET_CLASS</t>
  </si>
  <si>
    <t>dbo.vDIM_SECURITY_PMR: SEC_NO</t>
  </si>
  <si>
    <t>dbo.vDIM_SECURITY_PMR: SEC_SYMBOL</t>
  </si>
  <si>
    <t>dbo.vDIM_SECURITY_PMR: CUSIP</t>
  </si>
  <si>
    <t>dbo.vDIM_SECURITY_PMR: SEDOL</t>
  </si>
  <si>
    <t>dbo.vDIM_SECURITY_PMR: ISIN</t>
  </si>
  <si>
    <t>dbo.vDIM_SECURITY_PMR: SEC_DESC1 +  SEC_DESC2 + SEC_DESC3 + SEC_DESC4 + SEC_DESC5 or dbo.vDIM_PRODUCT (SRC_PRODUCT_NAME) when former is NULL</t>
  </si>
  <si>
    <t>dbo.vDIM_INDUSTRY_LEVEL_PMR: INDUST_LEVEL1 from DIM_INDUSTRY_LEVEL_PMR</t>
  </si>
  <si>
    <t>dbo.vDIM_INDUSTRY_LEVEL_PMR, dbo.vDIM_SECURITY_GICS_BLOOMBERG: GICS_SECTOR_NAME from GICS, INDUST_LEVEL2 from DIM_INDUSTRY_LEVEL_PMR</t>
  </si>
  <si>
    <t>dbo.vDIM_INDUSTRY_LEVEL_PMR, dbo.vDIM_SECURITY_GICS_BLOOMBERG: GICS_INDUSTRY_NAME from GICS, INDUST_LEVEL3 from DIM_INDUSTRY_LEVEL_PMR</t>
  </si>
  <si>
    <t>dbo.vDIM_SECURITY_PMR: MOODY_RATING</t>
  </si>
  <si>
    <t>dbo.vDIM_SECURITY_PMR: SP_RATING</t>
  </si>
  <si>
    <t>N/A: Hardcoded to 0</t>
  </si>
  <si>
    <t>N/A: Hardcoded to N</t>
  </si>
  <si>
    <t>assets:divint: Hardcoded to blank</t>
  </si>
  <si>
    <t>3/12 - IC to check if Typo (field name match last mapping doc)</t>
  </si>
  <si>
    <t>common.FACT_AI_TRANSACTION: NB_ACCT_NUM + TRANSACTION_ID</t>
  </si>
  <si>
    <t>where activity is a contri/with</t>
  </si>
  <si>
    <t>common.FACT_AI_TRANSACTION: NB_ACCT_NUM+PRODUCT_ID</t>
  </si>
  <si>
    <t>N/A: CPDR when amount positive for PE, CEDR when amount negative for PE, HSDR for subscriptions for HF, HRCR for redemptions for HF</t>
  </si>
  <si>
    <t>common.FACT_AI_TRANSACTION: CAPITAL CALL when amount positive for PE, CAPITAL DISTRIBUTION when amount negative for PE, SUBSCRIPTION for subscriptions for HF, REDEMPTIONS for redemptions for HF</t>
  </si>
  <si>
    <t>N/A: Hardcoded to ALT</t>
  </si>
  <si>
    <t>3/12 - IC &amp; NB mapping mismatch to be discused on 3/13.</t>
  </si>
  <si>
    <t>N/A: Hardcoded to Alternatives</t>
  </si>
  <si>
    <t>common.FACT_AI_TRANSACTION: TRANSACTION_DATE</t>
  </si>
  <si>
    <t>inst:inst_broker: Hardcoded to blank</t>
  </si>
  <si>
    <t>nbbo:nscc_broker: Hardcoded to blank</t>
  </si>
  <si>
    <t>common.FACT_AI_TRANSACTION: NET_CALL_DISTRIBUTION_AMT for PE, REDEMPTIONS OR SUBSCRIPTIONS for HF</t>
  </si>
  <si>
    <t>The net amount of the transaction * the cash impact in USD where the trd_date or stl_date is greater than the process date and it's  debit</t>
  </si>
  <si>
    <t>The net amount of the transaction * the cash impact in USD where the trd_date or  stl_date is greater than the process date and it's credit</t>
  </si>
  <si>
    <t>The net amount of the transaction * the cash impact in USD where the tran code = 'M'</t>
  </si>
  <si>
    <t xml:space="preserve">the net amount in USD where tran_code = 'C' </t>
  </si>
  <si>
    <t xml:space="preserve">WH transaction for NRA accounts </t>
  </si>
  <si>
    <t>WH transaction for NRA accounts where country of issuer = US</t>
  </si>
  <si>
    <t>TRX_MMDDYYYYHHmmSS</t>
  </si>
  <si>
    <t xml:space="preserve">TBD? </t>
  </si>
  <si>
    <t>NYS</t>
  </si>
  <si>
    <t xml:space="preserve">3/12 - IC mapped our cust_br_acct to this field.  Awaiting on confirm as to why this was used rather than what we mapped. </t>
  </si>
  <si>
    <t>PROD ID (for post 1a)</t>
  </si>
  <si>
    <t>PROD Name/Description (for post 1a)</t>
  </si>
  <si>
    <t>Contact.eClient_Username__c or SFDC contact ID</t>
  </si>
  <si>
    <t>Blank?</t>
  </si>
  <si>
    <t>Hardcoded to blank</t>
  </si>
  <si>
    <t xml:space="preserve">3/12 - IC to double check the field name in their ETL for this. </t>
  </si>
  <si>
    <t>Salesforce Contact ID</t>
  </si>
  <si>
    <t>Blank</t>
  </si>
  <si>
    <t>Hardcode to A for now</t>
  </si>
  <si>
    <t>A = Active, D = Deactivated, L = Locked, S = Suspended</t>
  </si>
  <si>
    <t>Contact.eClient_Username__c or SFDC ID</t>
  </si>
  <si>
    <t>Hardcode to blank for now</t>
  </si>
  <si>
    <t>clientrolename (see below)</t>
  </si>
  <si>
    <t>Tenant Id of the User</t>
  </si>
  <si>
    <t>Logic:</t>
  </si>
  <si>
    <t>For USERCLIENTROLE_EXTERNAL_MMDDYYYYHHmmSS file:</t>
  </si>
  <si>
    <t xml:space="preserve">1. For each unique username on the file, check to make sure there is at least one row with "NBClient" in the clientrolename field. 
    a. For each username for which this role exists, proceed with mapping logic below. 
    b. For each username for which this role DOES NOT exist, reject all rows with that username. </t>
  </si>
  <si>
    <t>NB CLIENT ROLE NAME</t>
  </si>
  <si>
    <t>IC CLIENT ROLE NAMES</t>
  </si>
  <si>
    <t>NBClient</t>
  </si>
  <si>
    <t>NBClientPERF</t>
  </si>
  <si>
    <t>NBClientFDS</t>
  </si>
  <si>
    <t>NBClientPE</t>
  </si>
  <si>
    <t>NBClientPERFFDS</t>
  </si>
  <si>
    <t>NBClientPERFPE</t>
  </si>
  <si>
    <t>NBClientPERFFDSPE</t>
  </si>
  <si>
    <t>NBClientFDSPE</t>
  </si>
  <si>
    <t>For AggregateTransaction logic please see</t>
  </si>
  <si>
    <t>https://investcloud-my.sharepoint.com/:w:/p/bheidelberg/ESy-a3iBfs7OXMbIegEqOJwB-8MLSQLtIy62wbOa3KbCkQ?e=ZzjPN3</t>
  </si>
  <si>
    <t>NUMBER(22,20)</t>
  </si>
  <si>
    <t>Investcloud only: Do Not Use</t>
  </si>
  <si>
    <t>BOOKCONTRIBUTIONS</t>
  </si>
  <si>
    <t>Cash contributions to the portfolio in the base currency of reporting</t>
  </si>
  <si>
    <t>BOOKMANAGEMENTFEES</t>
  </si>
  <si>
    <t>Management fees paid in the base currency of the portfolio</t>
  </si>
  <si>
    <t>BOOKNETINTDIVIDENT</t>
  </si>
  <si>
    <t>Net interest and dividends collected from the portfolio</t>
  </si>
  <si>
    <t>BOOKORIGCONTRIBUTIONS</t>
  </si>
  <si>
    <t>Original cash contributions in the base ccy of the portfolio</t>
  </si>
  <si>
    <t>BOOKORIGSECCONTRIBUTIONS</t>
  </si>
  <si>
    <t>Original security contributions in the base ccy of the portfolio</t>
  </si>
  <si>
    <t>Other expenses deducted from the account</t>
  </si>
  <si>
    <t>BOOKSECCONTRIBUTIONS</t>
  </si>
  <si>
    <t>Security contributions to the portfolio in the base ccy</t>
  </si>
  <si>
    <t>BOOKSECWITHDRAWALS</t>
  </si>
  <si>
    <t>Security withdrawals from the portfolio in the base ccy</t>
  </si>
  <si>
    <t>BOOKTAXES</t>
  </si>
  <si>
    <t>Taxes paid on the portfolio</t>
  </si>
  <si>
    <t>BOOKTRANSFERS</t>
  </si>
  <si>
    <t>Transfers to or from the portfolio</t>
  </si>
  <si>
    <t xml:space="preserve">BOOKWITHDRAWALS </t>
  </si>
  <si>
    <t>Cash withdrawals from the portfolio in the base ccy</t>
  </si>
  <si>
    <t>DOD for diff of day, EOD for End of Day, EOM for End of Month</t>
  </si>
  <si>
    <t>STRATEGYTYPE</t>
  </si>
  <si>
    <t>can be 'P' for Principal or 'I' for income</t>
  </si>
  <si>
    <t>ID of the ACCOUNT</t>
  </si>
  <si>
    <t>PROFITLOSSLITE LP CONVERSION FIELD</t>
  </si>
  <si>
    <t>ACCOUNTINGKEY</t>
  </si>
  <si>
    <t>Unique Id from source system for holding/lot</t>
  </si>
  <si>
    <t>AccountShortName for the account that conatins the holding/lot</t>
  </si>
  <si>
    <t>Security Ticker then append a space and a the Country of Trading code (e.g. 'US' and 'AAPL US')</t>
  </si>
  <si>
    <t>ASSETCLASSNAME</t>
  </si>
  <si>
    <t>Long name for the Asset Class</t>
  </si>
  <si>
    <t>Date and time the file was generated</t>
  </si>
  <si>
    <t>As Of Date of the data being laoded</t>
  </si>
  <si>
    <t>BE_SNAPSHOTTYPE</t>
  </si>
  <si>
    <t>Accured Interest in Book Currency at Period End Date</t>
  </si>
  <si>
    <t>BOOKAMORTIZEDCOSTMONTHSTART</t>
  </si>
  <si>
    <t>Amortized Cost in Book Currency at Period End Date</t>
  </si>
  <si>
    <t>BOOKAMORTIZEDCOSTPERIODSTART</t>
  </si>
  <si>
    <t>BOOKAMORTIZEDCOSTQUARTERSTART</t>
  </si>
  <si>
    <t>BOOKAMORTIZEDCOSTWEEKSTART</t>
  </si>
  <si>
    <t>BOOKAMORTIZEDCOSTYEARSTART</t>
  </si>
  <si>
    <t>BOOKAVGWEIGHTEDUNITCOST</t>
  </si>
  <si>
    <t>Currency Code of the book</t>
  </si>
  <si>
    <t>BOOKCHGACCRUEDINTMONTH</t>
  </si>
  <si>
    <t>Change in Accrued Interest in Book Currency for Month</t>
  </si>
  <si>
    <t>BOOKCHGACCRUEDINTPERIOD</t>
  </si>
  <si>
    <t>Change in Accrued Interest in Book Currency since close of prior business day</t>
  </si>
  <si>
    <t>BOOKCHGACCRUEDINTQUARTER</t>
  </si>
  <si>
    <t>Change in Accrued Interest in Book Currency for Quarter</t>
  </si>
  <si>
    <t>BOOKCHGACCRUEDINTYEAR</t>
  </si>
  <si>
    <t>Change in Accrued Interest in Book Currency for Year</t>
  </si>
  <si>
    <t>BOOKCHGAMORTIZEDCOSTMONTH</t>
  </si>
  <si>
    <t>BOOKCHGAMORTIZEDCOSTPERIOD</t>
  </si>
  <si>
    <t>BOOKCHGAMORTIZEDCOSTQUARTER</t>
  </si>
  <si>
    <t>BOOKCHGAMORTIZEDCOSTYEAR</t>
  </si>
  <si>
    <t>Change in Dividends in Book Currency for Month</t>
  </si>
  <si>
    <t>Change in Dividends in Book Currency for Period</t>
  </si>
  <si>
    <t>Change in Dividends in Book Currency for Quarter</t>
  </si>
  <si>
    <t>BOOKCHGDIVIDENDSWEEK</t>
  </si>
  <si>
    <t>Change in Dividends in Book Currency for Year</t>
  </si>
  <si>
    <t>BOOKCHGINTMONTH</t>
  </si>
  <si>
    <t>Change in Interest in Book Currency for Month</t>
  </si>
  <si>
    <t>BOOKCHGINTPERIOD</t>
  </si>
  <si>
    <t>Change in Interest in Book Currency since close of prior business day</t>
  </si>
  <si>
    <t>BOOKCHGINTQUARTER</t>
  </si>
  <si>
    <t>Change in Interest in Book Currency for Quarter</t>
  </si>
  <si>
    <t>BOOKCHGINTWEEK</t>
  </si>
  <si>
    <t>BOOKCHGINTYEAR</t>
  </si>
  <si>
    <t>Change in Interest in Book Currency for Year</t>
  </si>
  <si>
    <t>BOOKCHGLTRGLMONTH</t>
  </si>
  <si>
    <t>BOOKCHGLTRGLPERIOD</t>
  </si>
  <si>
    <t>BOOKCHGLTRGLQUARTER</t>
  </si>
  <si>
    <t>BOOKCHGLTRGLYEAR</t>
  </si>
  <si>
    <t>BOOKCHGMARGININTMONTH</t>
  </si>
  <si>
    <t>BOOKCHGMARGININTPERIOD</t>
  </si>
  <si>
    <t>BOOKCHGMARGININTQUARTER</t>
  </si>
  <si>
    <t>BOOKCHGMARGININTYEAR</t>
  </si>
  <si>
    <t>BOOKCHGMARKETGLMONTH</t>
  </si>
  <si>
    <t>BOOKCHGMARKETGLPERIOD</t>
  </si>
  <si>
    <t>BOOKCHGMARKETGLQUARTER</t>
  </si>
  <si>
    <t>BOOKCHGMARKETGLYEAR</t>
  </si>
  <si>
    <t>BOOKCHGMARKETPNLMONTH</t>
  </si>
  <si>
    <t>BOOKCHGMARKETPNLPERIOD</t>
  </si>
  <si>
    <t>BOOKCHGMARKETPNLQUARTER</t>
  </si>
  <si>
    <t>BOOKCHGMARKETPNLYEAR</t>
  </si>
  <si>
    <t>BOOKCHGMARKETRGLFXMONTH</t>
  </si>
  <si>
    <t>BOOKCHGMARKETRGLFXPERIOD</t>
  </si>
  <si>
    <t>BOOKCHGMARKETRGLFXQUARTER</t>
  </si>
  <si>
    <t>BOOKCHGMARKETRGLFXYEAR</t>
  </si>
  <si>
    <t>BOOKCHGMARKETRGLMONTH</t>
  </si>
  <si>
    <t>BOOKCHGMARKETRGLPERIOD</t>
  </si>
  <si>
    <t>BOOKCHGMARKETRGLPRICEMONTH</t>
  </si>
  <si>
    <t>BOOKCHGMARKETRGLPRICEPERIOD</t>
  </si>
  <si>
    <t>BOOKCHGMARKETRGLPRICEQUARTER</t>
  </si>
  <si>
    <t>BOOKCHGMARKETRGLPRICEYEAR</t>
  </si>
  <si>
    <t>BOOKCHGMARKETRGLQUARTER</t>
  </si>
  <si>
    <t>BOOKCHGMARKETRGLYEAR</t>
  </si>
  <si>
    <t>BOOKCHGMARKETUGLFXMONTH</t>
  </si>
  <si>
    <t>BOOKCHGMARKETUGLFXPERIOD</t>
  </si>
  <si>
    <t>BOOKCHGMARKETUGLFXQUARTER</t>
  </si>
  <si>
    <t>BOOKCHGMARKETUGLFXYEAR</t>
  </si>
  <si>
    <t>BOOKCHGMARKETUGLMONTH</t>
  </si>
  <si>
    <t>BOOKCHGMARKETUGLPERIOD</t>
  </si>
  <si>
    <t>BOOKCHGMARKETUGLPRICEMONTH</t>
  </si>
  <si>
    <t>BOOKCHGMARKETUGLPRICEPERIOD</t>
  </si>
  <si>
    <t>BOOKCHGMARKETUGLPRICEQUARTER</t>
  </si>
  <si>
    <t>BOOKCHGMARKETUGLPRICEYEAR</t>
  </si>
  <si>
    <t>BOOKCHGMARKETUGLQUARTER</t>
  </si>
  <si>
    <t>BOOKCHGMARKETUGLYEAR</t>
  </si>
  <si>
    <t>BOOKCHGOTHEREXPENSESMONTH</t>
  </si>
  <si>
    <t>Change in Other Expenses in Book Currency for Month</t>
  </si>
  <si>
    <t>BOOKCHGOTHEREXPENSESPERIOD</t>
  </si>
  <si>
    <t>Change in Other Expenses in Book Currency since close of prior business day</t>
  </si>
  <si>
    <t>BOOKCHGOTHEREXPENSESQUARTER</t>
  </si>
  <si>
    <t>Change in Other Expenses in Book Currency for Quarter</t>
  </si>
  <si>
    <t>BOOKCHGOTHEREXPENSESYEAR</t>
  </si>
  <si>
    <t>Change in Other Expenses in Book Currency for Year</t>
  </si>
  <si>
    <t>Change in Profit and Loss in Book Currency for Month</t>
  </si>
  <si>
    <t>Change in Profit and Loss in Book Currency since close of prior business day</t>
  </si>
  <si>
    <t>Change in Profit and Loss in Book Currency for Quarter</t>
  </si>
  <si>
    <t>BOOKCHGPNLWEEK</t>
  </si>
  <si>
    <t>Change in Profit and Loss in Book Currency for Year</t>
  </si>
  <si>
    <t>BOOKCHGRGLFXMONTH</t>
  </si>
  <si>
    <t>Change in Realized FX Gain/Loss in Book Currency for Month</t>
  </si>
  <si>
    <t>BOOKCHGRGLFXPERIOD</t>
  </si>
  <si>
    <t>Change in Realized FX Gain/Loss in Book Currency since close of prior business day</t>
  </si>
  <si>
    <t>BOOKCHGRGLFXQUARTER</t>
  </si>
  <si>
    <t>Change in Realized FX Gain/Loss in Book Currency for Quarter</t>
  </si>
  <si>
    <t>BOOKCHGRGLFXWEEK</t>
  </si>
  <si>
    <t>BOOKCHGRGLFXYEAR</t>
  </si>
  <si>
    <t>Change in Realized FX Gain/Loss in Book Currency for Year</t>
  </si>
  <si>
    <t>BOOKCHGRGLPRICEMONTH</t>
  </si>
  <si>
    <t>Change in Price Realized Gain/Loss in Book Currency for Month</t>
  </si>
  <si>
    <t>BOOKCHGRGLPRICEPERIOD</t>
  </si>
  <si>
    <t>Change in Price Realized Gain/Loss in Book Currency since close of prior business day</t>
  </si>
  <si>
    <t>BOOKCHGRGLPRICEQUARTER</t>
  </si>
  <si>
    <t>Change in Price Realized Gain/Loss in Book Currency for Quarter</t>
  </si>
  <si>
    <t>BOOKCHGRGLPRICEWEEK</t>
  </si>
  <si>
    <t>BOOKCHGRGLPRICEYEAR</t>
  </si>
  <si>
    <t>Change in Price Realized Gain/Loss in Book Currency for Year</t>
  </si>
  <si>
    <t>BOOKCHGRGLWEEK</t>
  </si>
  <si>
    <t>BOOKCHGSBLFEEMONTH</t>
  </si>
  <si>
    <t>Change in .SBL Fee in Book Currency for Month</t>
  </si>
  <si>
    <t>BOOKCHGSBLFEEPERIOD</t>
  </si>
  <si>
    <t>Change in .SBL Fee in Book Currency since close of prior business day</t>
  </si>
  <si>
    <t>BOOKCHGSBLFEEQUARTER</t>
  </si>
  <si>
    <t>Change in .SBL Fee in Book Currency for Quarter</t>
  </si>
  <si>
    <t>BOOKCHGSBLFEEYEAR</t>
  </si>
  <si>
    <t>Change in .SBL Fee in Book Currency for Year</t>
  </si>
  <si>
    <t>BOOKCHGSTRGLMONTH</t>
  </si>
  <si>
    <t>BOOKCHGSTRGLPERIOD</t>
  </si>
  <si>
    <t>BOOKCHGSTRGLQUARTER</t>
  </si>
  <si>
    <t>BOOKCHGSTRGLYEAR</t>
  </si>
  <si>
    <t>BOOKCHGUGLFXMONTH</t>
  </si>
  <si>
    <t>Change in Unrealized FX Gain/Loss in Book Currency for Month</t>
  </si>
  <si>
    <t>BOOKCHGUGLFXPERIOD</t>
  </si>
  <si>
    <t>Change in Unrealized FX Gain/Loss in Book Currency since close of prior business day</t>
  </si>
  <si>
    <t>BOOKCHGUGLFXQUARTER</t>
  </si>
  <si>
    <t>Change in Unrealized FX Gain/Loss in Book Currency for Quarter</t>
  </si>
  <si>
    <t>BOOKCHGUGLFXWEEK</t>
  </si>
  <si>
    <t>BOOKCHGUGLFXYEAR</t>
  </si>
  <si>
    <t>Change in Unrealized FX Gain/Loss in Book Currency for Year</t>
  </si>
  <si>
    <t>BOOKCHGUGLMONTH</t>
  </si>
  <si>
    <t>Change in Book Unrealized Gain/Loss for Month</t>
  </si>
  <si>
    <t>BOOKCHGUGLPERIOD</t>
  </si>
  <si>
    <t>Change in Book Unrealized Gain/Loss since close of prior business day</t>
  </si>
  <si>
    <t>Change in Price Unrealized Gain/Loss in Book Currency for Month</t>
  </si>
  <si>
    <t>Change in Price Unrealized Gain/Loss in Book Currency since close of prior business day</t>
  </si>
  <si>
    <t>Change in Price Unrealized Gain/Loss in Book Currency for Quarter</t>
  </si>
  <si>
    <t>BOOKCHGUGLPRICEWEEK</t>
  </si>
  <si>
    <t>Change in Price Unrealized Gain/Loss in Book Currency for Year</t>
  </si>
  <si>
    <t>BOOKCHGUGLQUARTER</t>
  </si>
  <si>
    <t>Change in Book Unrealized Gain/Loss for Quarter</t>
  </si>
  <si>
    <t>BOOKCHGUGLWEEK</t>
  </si>
  <si>
    <t>BOOKCHGUGLYEAR</t>
  </si>
  <si>
    <t>Change in Book Unrealized Gain/Loss for Year</t>
  </si>
  <si>
    <t>BOOKLTRGLFXMONTHSTART</t>
  </si>
  <si>
    <t>BOOKLTRGLFXPERIODEND</t>
  </si>
  <si>
    <t>BOOKLTRGLFXPERIODSTART</t>
  </si>
  <si>
    <t>BOOKLTRGLFXQUARTERSTART</t>
  </si>
  <si>
    <t>BOOKLTRGLFXYEAREND</t>
  </si>
  <si>
    <t>BOOKLTRGLMONTHSTART</t>
  </si>
  <si>
    <t>BOOKLTRGLPERIODEND</t>
  </si>
  <si>
    <t>BOOKLTRGLPERIODSTART</t>
  </si>
  <si>
    <t>BOOKLTRGLPRICEMONTHSTART</t>
  </si>
  <si>
    <t>BOOKLTRGLPRICEPERIODEND</t>
  </si>
  <si>
    <t>BOOKLTRGLPRICEPERIODSTART</t>
  </si>
  <si>
    <t>BOOKLTRGLPRICEQUARTERSTART</t>
  </si>
  <si>
    <t>BOOKLTRGLPRICEYEAREND</t>
  </si>
  <si>
    <t>BOOKLTRGLQUARTERSTART</t>
  </si>
  <si>
    <t>BOOKLTRGLYEARSTART</t>
  </si>
  <si>
    <t>Market Value in Book Currency at Period End Date</t>
  </si>
  <si>
    <t>Market Value in Book Currency at Period Start Date</t>
  </si>
  <si>
    <t>BOOKPNLMONTHSTART</t>
  </si>
  <si>
    <t>Profit and Loss in Book Currency at Month Start</t>
  </si>
  <si>
    <t>BOOKPNLPERIODEND</t>
  </si>
  <si>
    <t>Profit and Loss in Book Currency at Period End</t>
  </si>
  <si>
    <t>BOOKPNLPERIODSTART</t>
  </si>
  <si>
    <t>Profit and Loss in Book Currency at Period Start</t>
  </si>
  <si>
    <t>BOOKPNLQUARTERSTART</t>
  </si>
  <si>
    <t>Profit and Loss in Book Currency at Quarter Start</t>
  </si>
  <si>
    <t>BOOKPNLYEARSTART</t>
  </si>
  <si>
    <t>Profit and Loss in Book Currency at Year Start</t>
  </si>
  <si>
    <t>Price in Book Currency at Period End Date</t>
  </si>
  <si>
    <t>BOOKRGLFXMONTHSTART</t>
  </si>
  <si>
    <t>Realized FX Gain/Loss in Book Currency at Month Start</t>
  </si>
  <si>
    <t>BOOKRGLFXPERIODEND</t>
  </si>
  <si>
    <t>Realized FX Gain/Loss in Book Currency at Period End</t>
  </si>
  <si>
    <t>BOOKRGLFXPERIODSTART</t>
  </si>
  <si>
    <t>Realized FX Gain/Loss in Book Currency at Period Start</t>
  </si>
  <si>
    <t>BOOKRGLFXQUARTERSTART</t>
  </si>
  <si>
    <t>Realized FX Gain/Loss in Book Currency at Quarter Start</t>
  </si>
  <si>
    <t>BOOKRGLFXYEARSTART</t>
  </si>
  <si>
    <t>Realized FX Gain/Loss in Book Currency at Year Start</t>
  </si>
  <si>
    <t>BOOKRGLMONTHSTART</t>
  </si>
  <si>
    <t>Realized Gain/Loss in Book Currency at Month Start</t>
  </si>
  <si>
    <t>BOOKRGLPERIODEND</t>
  </si>
  <si>
    <t>Realized Gain/Loss in Book Currency at Period End</t>
  </si>
  <si>
    <t>BOOKRGLPERIODSTART</t>
  </si>
  <si>
    <t>Realized Gain/Loss in Book Currency at Period Start</t>
  </si>
  <si>
    <t>BOOKRGLPRICEMONTHSTART</t>
  </si>
  <si>
    <t>Realized Gain/Loss for Price in Book Currency at Month Start</t>
  </si>
  <si>
    <t>BOOKRGLPRICEPERIODEND</t>
  </si>
  <si>
    <t>Realized Gain/Loss for Price in Book Currency at Period End</t>
  </si>
  <si>
    <t>BOOKRGLPRICEPERIODSTART</t>
  </si>
  <si>
    <t>Realized Gain/Loss for Price in Book Currency at Period Start</t>
  </si>
  <si>
    <t>BOOKRGLPRICEQUARTERSTART</t>
  </si>
  <si>
    <t>Realized Gain/Loss for Price in Book Currency at Quarter Start</t>
  </si>
  <si>
    <t>BOOKRGLPRICEYEARSTART</t>
  </si>
  <si>
    <t>Realized Gain/Loss for Price in Book Currency at Year Start</t>
  </si>
  <si>
    <t>BOOKRGLQUARTERSTART</t>
  </si>
  <si>
    <t>Realized Gain/Loss in Book Currency at Quarter Start</t>
  </si>
  <si>
    <t>BOOKRGLYEARSTART</t>
  </si>
  <si>
    <t>Realized Gain/Loss in Book Currency at Year Start</t>
  </si>
  <si>
    <t>BOOKSEC988REVEXPMONTHSTART</t>
  </si>
  <si>
    <t>BOOKSEC988REVEXPPERIODEND</t>
  </si>
  <si>
    <t>BOOKSEC988REVEXPPERIODSTART</t>
  </si>
  <si>
    <t>BOOKSEC988REVEXPQUARTERSTART</t>
  </si>
  <si>
    <t>BOOKSEC988REVEXPYEARSTART</t>
  </si>
  <si>
    <t>BOOKSTRGLCURRENCYMONTHSTART</t>
  </si>
  <si>
    <t>BOOKSTRGLCURRENCYPERIODEND</t>
  </si>
  <si>
    <t>BOOKSTRGLCURRENCYPERIODSTART</t>
  </si>
  <si>
    <t>BOOKSTRGLCURRENCYQUARTERSTART</t>
  </si>
  <si>
    <t>BOOKSTRGLCURRENCYYEAREND</t>
  </si>
  <si>
    <t>BOOKSTRGLMONTHSTART</t>
  </si>
  <si>
    <t>BOOKSTRGLPERIODEND</t>
  </si>
  <si>
    <t>BOOKSTRGLPERIODSTART</t>
  </si>
  <si>
    <t>BOOKSTRGLPRICEMONTHSTART</t>
  </si>
  <si>
    <t>BOOKSTRGLPRICEPERIODEND</t>
  </si>
  <si>
    <t>BOOKSTRGLPRICEPERIODSTART</t>
  </si>
  <si>
    <t>BOOKSTRGLPRICEQUARTERSTART</t>
  </si>
  <si>
    <t>BOOKSTRGLPRICEYEAREND</t>
  </si>
  <si>
    <t>BOOKSTRGLQUARTERSTART</t>
  </si>
  <si>
    <t>BOOKSTRGLYEARSTART</t>
  </si>
  <si>
    <t>Unrealized Gain/Loss in Book Currency</t>
  </si>
  <si>
    <t>BOOKUGLFXMONTHSTART</t>
  </si>
  <si>
    <t>Unrealized FX Gain/Loss for Exchange Rate at Month Start</t>
  </si>
  <si>
    <t>BOOKUGLFXPERIODEND</t>
  </si>
  <si>
    <t>Unrealized FX Gain/Loss for Exchange Rate at Period End</t>
  </si>
  <si>
    <t>BOOKUGLFXPERIODSTART</t>
  </si>
  <si>
    <t>Unrealized FX Gain/Loss for Exchange Rate at Period Start</t>
  </si>
  <si>
    <t>BOOKUGLFXQUARTERSTART</t>
  </si>
  <si>
    <t>Unrealized FX Gain/Loss in Book Currency at Quarter Start</t>
  </si>
  <si>
    <t>BOOKUGLFXYEARSTART</t>
  </si>
  <si>
    <t>Unrealized FX Gain/Loss in Book Currency at Year Start</t>
  </si>
  <si>
    <t>BOOKUGLMONTH</t>
  </si>
  <si>
    <t>Do Not Map</t>
  </si>
  <si>
    <t>BOOKUGLPERIOD</t>
  </si>
  <si>
    <t>BOOKUGLPERIODSTART</t>
  </si>
  <si>
    <t>Unrealized Gain/Loss in Book Currency at Period Start Date</t>
  </si>
  <si>
    <t>BOOKUGLPRICEMONTHSTART</t>
  </si>
  <si>
    <t>Unrealized Gain/Loss Price in Book Currency at Month Start</t>
  </si>
  <si>
    <t>BOOKUGLPRICEPERIODSTART</t>
  </si>
  <si>
    <t>Unrealized Gain/Loss Price in Book Currency at Period Start</t>
  </si>
  <si>
    <t>BOOKUGLPRICEQUARTERSTART</t>
  </si>
  <si>
    <t>Unrealized Gain/Loss Price in Book Currency at Quarter Start</t>
  </si>
  <si>
    <t>BOOKUGLPRICEYEARSTART</t>
  </si>
  <si>
    <t>Unrealized Gain/Loss Price in Book Currency at Year Start</t>
  </si>
  <si>
    <t>BOOKUGLQUARTER</t>
  </si>
  <si>
    <t>BOOKUGLYEAR</t>
  </si>
  <si>
    <t>BOOKUNREALIZEDPXGLPERIODEND</t>
  </si>
  <si>
    <t>Unrealized Price Gain/Loss in Book Currency at Period End</t>
  </si>
  <si>
    <t>Flexible Field for Reporting</t>
  </si>
  <si>
    <t>CURRENTFACTOR</t>
  </si>
  <si>
    <t>FINANCIALCODE</t>
  </si>
  <si>
    <t>INVESTMENTCLASS</t>
  </si>
  <si>
    <t>Accrued Interest in local currecncy at Period End Date</t>
  </si>
  <si>
    <t>LOCALAMORTIZEDCOSTMONTHSTART</t>
  </si>
  <si>
    <t>LOCALAMORTIZEDCOSTPERIODSTART</t>
  </si>
  <si>
    <t>LOCALAMORTIZEDCOSTQUARTERSTART</t>
  </si>
  <si>
    <t>LOCALAMORTIZEDCOSTWEEKSTART</t>
  </si>
  <si>
    <t>LOCALAMORTIZEDCOSTYEARSTART</t>
  </si>
  <si>
    <t>LOCALAVGWEIGHTEDUNITCOST</t>
  </si>
  <si>
    <t>Local Currency Code (USD, HKD, etc.)</t>
  </si>
  <si>
    <t>LOCALCHGACCRUEDINTMONTH</t>
  </si>
  <si>
    <t>Change in Accrued Interest in Local Currency for Month</t>
  </si>
  <si>
    <t>LOCALCHGACCRUEDINTPERIOD</t>
  </si>
  <si>
    <t>Change in Accrued Interest in Local Currency for Period</t>
  </si>
  <si>
    <t>LOCALCHGACCRUEDINTQUARTER</t>
  </si>
  <si>
    <t>Change in Accrued Interest in Local Currency for Quarter</t>
  </si>
  <si>
    <t>LOCALCHGACCRUEDINTYEAR</t>
  </si>
  <si>
    <t>Change in Accrued Interest in Local Currency for Year</t>
  </si>
  <si>
    <t>LOCALCHGDIVIDENDSMONTH</t>
  </si>
  <si>
    <t>Change in Dividends in Local Currency for Month</t>
  </si>
  <si>
    <t>LOCALCHGDIVIDENDSPERIOD</t>
  </si>
  <si>
    <t>Change in Dividends in Local Currency for Period</t>
  </si>
  <si>
    <t>LOCALCHGDIVIDENDSQUARTER</t>
  </si>
  <si>
    <t>Change in Dividends in Local Currency for Quarter</t>
  </si>
  <si>
    <t>LOCALCHGDIVIDENDSWEEK</t>
  </si>
  <si>
    <t>LOCALCHGDIVIDENDSYEAR</t>
  </si>
  <si>
    <t>Change in Dividends in Local Currency for Year</t>
  </si>
  <si>
    <t>LOCALCHGINTMONTH</t>
  </si>
  <si>
    <t>Change in Interest in Local Currency for Month</t>
  </si>
  <si>
    <t>LOCALCHGINTPERIOD</t>
  </si>
  <si>
    <t>Change in Interest in Local Currency for Period</t>
  </si>
  <si>
    <t>LOCALCHGINTQUARTER</t>
  </si>
  <si>
    <t>Change in Interest in Local Currency for Quarter</t>
  </si>
  <si>
    <t>LOCALCHGINTWEEK</t>
  </si>
  <si>
    <t>LOCALCHGINTYEAR</t>
  </si>
  <si>
    <t>Change in Interest in Local Currency for Year</t>
  </si>
  <si>
    <t>LOCALCHGLTRGLMONTH</t>
  </si>
  <si>
    <t>LOCALCHGLTRGLPERIOD</t>
  </si>
  <si>
    <t>LOCALCHGLTRGLQUARTER</t>
  </si>
  <si>
    <t>LOCALCHGLTRGLYEAR</t>
  </si>
  <si>
    <t>LOCALCHGMARGININTMONTH</t>
  </si>
  <si>
    <t>LOCALCHGMARGININTPERIOD</t>
  </si>
  <si>
    <t>LOCALCHGMARGININTQUARTER</t>
  </si>
  <si>
    <t>LOCALCHGMARGININTYEAR</t>
  </si>
  <si>
    <t>LOCALCHGMARKETGLMONTH</t>
  </si>
  <si>
    <t>LOCALCHGMARKETGLPERIOD</t>
  </si>
  <si>
    <t>LOCALCHGMARKETGLQUARTER</t>
  </si>
  <si>
    <t>LOCALCHGMARKETGLYEAR</t>
  </si>
  <si>
    <t>LOCALCHGMARKETPNLMONTH</t>
  </si>
  <si>
    <t>LOCALCHGMARKETPNLPERIOD</t>
  </si>
  <si>
    <t>LOCALCHGMARKETPNLQUARTER</t>
  </si>
  <si>
    <t>LOCALCHGMARKETPNLYEAR</t>
  </si>
  <si>
    <t>LOCALCHGMARKETRGLMONTH</t>
  </si>
  <si>
    <t>LOCALCHGMARKETRGLPERIOD</t>
  </si>
  <si>
    <t>LOCALCHGMARKETRGLQUARTER</t>
  </si>
  <si>
    <t>LOCALCHGMARKETRGLYEAR</t>
  </si>
  <si>
    <t>LOCALCHGMARKETUGLMONTH</t>
  </si>
  <si>
    <t>LOCALCHGMARKETUGLPERIOD</t>
  </si>
  <si>
    <t>LOCALCHGMARKETUGLQUARTER</t>
  </si>
  <si>
    <t>LOCALCHGMARKETUGLYEAR</t>
  </si>
  <si>
    <t>LOCALCHGOTHEREXPENSESMONTH</t>
  </si>
  <si>
    <t>Change in Other Expenses in Local Currency for Month</t>
  </si>
  <si>
    <t>LOCALCHGOTHEREXPENSESPERIOD</t>
  </si>
  <si>
    <t>Change in Other Expenses in Local Currency for Period</t>
  </si>
  <si>
    <t>LOCALCHGOTHEREXPENSESQUARTER</t>
  </si>
  <si>
    <t>Change in Other Expenses in Local Currency for Quarter</t>
  </si>
  <si>
    <t>LOCALCHGOTHEREXPENSESYEAR</t>
  </si>
  <si>
    <t>Change in Other Expenses in Local Currency for Year</t>
  </si>
  <si>
    <t>LOCALCHGPNLMONTHEND</t>
  </si>
  <si>
    <t>Change in Profit and Loss in Local Currency at Month End</t>
  </si>
  <si>
    <t>LOCALCHGPNLMONTHENDALT</t>
  </si>
  <si>
    <t>LOCALCHGPNLPERIODEND</t>
  </si>
  <si>
    <t>Change in Profit and Loss in Local Currency at Period End</t>
  </si>
  <si>
    <t>LOCALCHGPNLPERIODENDALT</t>
  </si>
  <si>
    <t>LOCALCHGPNLQUARTEREND</t>
  </si>
  <si>
    <t>Change in Profit and Loss in Local Currency at Quarter End</t>
  </si>
  <si>
    <t>LOCALCHGPNLQUARTERENDALT</t>
  </si>
  <si>
    <t>LOCALCHGPNLWEEK</t>
  </si>
  <si>
    <t>LOCALCHGPNLYEAREND</t>
  </si>
  <si>
    <t>Change in Profit and Loss in Local Currency at Year End</t>
  </si>
  <si>
    <t>LOCALCHGPNLYEARENDALT</t>
  </si>
  <si>
    <t>LOCALCHGRGLFXWEEK</t>
  </si>
  <si>
    <t>LOCALCHGRGLMONTH</t>
  </si>
  <si>
    <t>Change in Realized Gain/Loss in Local Currency for Month</t>
  </si>
  <si>
    <t>LOCALCHGRGLPERIOD</t>
  </si>
  <si>
    <t>Change in Realized Gain/Loss in Local Currency for Period</t>
  </si>
  <si>
    <t>LOCALCHGRGLPRICEWEEK</t>
  </si>
  <si>
    <t>LOCALCHGRGLQUARTER</t>
  </si>
  <si>
    <t>Change in Realized Gain/Loss in Local Currency for Quarter</t>
  </si>
  <si>
    <t>LOCALCHGRGLWEEK</t>
  </si>
  <si>
    <t>LOCALCHGRGLYEAR</t>
  </si>
  <si>
    <t>Change in Realized Gain/Loss in Local Currency for Year</t>
  </si>
  <si>
    <t>LOCALCHGSBLFEEMONTH</t>
  </si>
  <si>
    <t>LOCALCHGSBLFEEPERIOD</t>
  </si>
  <si>
    <t>LOCALCHGSBLFEEQUARTER</t>
  </si>
  <si>
    <t>LOCALCHGSBLFEEYEAR</t>
  </si>
  <si>
    <t>LOCALCHGSTRGLMONTH</t>
  </si>
  <si>
    <t>LOCALCHGSTRGLPERIOD</t>
  </si>
  <si>
    <t>LOCALCHGSTRGLQUARTER</t>
  </si>
  <si>
    <t>LOCALCHGSTRGLYEAR</t>
  </si>
  <si>
    <t>LOCALCHGTOTALGLMONTH</t>
  </si>
  <si>
    <t>Total Change in Gain/Loss in Local Currency for Month</t>
  </si>
  <si>
    <t>LOCALCHGTOTALGLPERIOD</t>
  </si>
  <si>
    <t>Total Change in Gain/Loss in Local Currency for Period</t>
  </si>
  <si>
    <t>LOCALCHGTOTALGLQUARTER</t>
  </si>
  <si>
    <t>Total Change in Gain/Loss in Local Currency for Quarter</t>
  </si>
  <si>
    <t>LOCALCHGTOTALGLYEAR</t>
  </si>
  <si>
    <t>Total Change in Gain/Loss in Local Currency for Year</t>
  </si>
  <si>
    <t>LOCALCHGUGLFXWEEK</t>
  </si>
  <si>
    <t>LOCALCHGUGLMONTH</t>
  </si>
  <si>
    <t>Change in Unrealized Gain/Loss in Local Currency for the Month</t>
  </si>
  <si>
    <t>LOCALCHGUGLPERIOD</t>
  </si>
  <si>
    <t>Change in Unrealized Gain/Loss in Local Currency for the Period</t>
  </si>
  <si>
    <t>LOCALCHGUGLPRICEWEEK</t>
  </si>
  <si>
    <t>LOCALCHGUGLQUARTER</t>
  </si>
  <si>
    <t>Change in Unrealized Gain/Loss in Local Currency for the Quarter</t>
  </si>
  <si>
    <t>LOCALCHGUGLWEEK</t>
  </si>
  <si>
    <t>LOCALCHGUGLYEAR</t>
  </si>
  <si>
    <t>Change in Unrealized Gain/Loss in Local Currency for the Year</t>
  </si>
  <si>
    <t>LOCALLTRGLMONTHSTART</t>
  </si>
  <si>
    <t>LOCALLTRGLPERIODEND</t>
  </si>
  <si>
    <t>LOCALLTRGLPERIODSTART</t>
  </si>
  <si>
    <t>LOCALLTRGLQUARTERSTART</t>
  </si>
  <si>
    <t>LOCALLTRGLYEARSTART</t>
  </si>
  <si>
    <t>Market Price value in local Currency</t>
  </si>
  <si>
    <t>Price in Local Currency at Period End Date</t>
  </si>
  <si>
    <t>LOCALPRICEPERIODSTART</t>
  </si>
  <si>
    <t>Price In Local Currency at Period Start Date</t>
  </si>
  <si>
    <t>LOCALRGLMONTHSTART</t>
  </si>
  <si>
    <t>LOCALRGLPERIODEND</t>
  </si>
  <si>
    <t>LOCALRGLPERIODSTART</t>
  </si>
  <si>
    <t>LOCALRGLQUARTERSTART</t>
  </si>
  <si>
    <t>LOCALRGLYEARSTART</t>
  </si>
  <si>
    <t>LOCALSEC988REVEXPMONTHSTART</t>
  </si>
  <si>
    <t>LOCALSEC988REVEXPPERIODEND</t>
  </si>
  <si>
    <t>LOCALSEC988REVEXPPERIODSTART</t>
  </si>
  <si>
    <t>LOCALSEC988REVEXPQUARTERSTART</t>
  </si>
  <si>
    <t>LOCALSEC988REVEXPYEARSTART</t>
  </si>
  <si>
    <t>LOCALSTRGLMONTHSTART</t>
  </si>
  <si>
    <t>LOCALSTRGLPERIODEND</t>
  </si>
  <si>
    <t>LOCALSTRGLPERIODSTART</t>
  </si>
  <si>
    <t>LOCALSTRGLQUARTERSTART</t>
  </si>
  <si>
    <t>LOCALSTRGLYEARSTART</t>
  </si>
  <si>
    <t>LOCALTOTALGLMONTHSTART</t>
  </si>
  <si>
    <t>Total Gain/Loss in Local Currency at Month Start</t>
  </si>
  <si>
    <t>LOCALTOTALGLPERIODSTART</t>
  </si>
  <si>
    <t>Total Gain/Loss in Local Currency at Period Start</t>
  </si>
  <si>
    <t>LOCALTOTALGLQUARTERSTART</t>
  </si>
  <si>
    <t>Total Gain/Loss in Local Currency at Quarter Start</t>
  </si>
  <si>
    <t>LOCALTOTALGLYEARSTART</t>
  </si>
  <si>
    <t>Total Gain/Loss in Local Currency at Year Start</t>
  </si>
  <si>
    <t>LOCALTOTALLTGLPERIODEND</t>
  </si>
  <si>
    <t>Total Long Term Gain/Loss in Local Currency at Period End</t>
  </si>
  <si>
    <t>LOCALUGLMONTHSTART</t>
  </si>
  <si>
    <t>Unrealized Gain/Loss in Local Currency for Month Start</t>
  </si>
  <si>
    <t>LOCALUGLPERIODEND</t>
  </si>
  <si>
    <t>Unrealized Gain/Loss in Local Currency at Period End Date</t>
  </si>
  <si>
    <t>LOCALUGLPERIODSTART</t>
  </si>
  <si>
    <t>Unrealized Gain/Loss in Local Currency at Period Start Date</t>
  </si>
  <si>
    <t>LOCALUGLQUARTERSTART</t>
  </si>
  <si>
    <t>Unrealized Gain/Loss in Local Currency for Quarter Start</t>
  </si>
  <si>
    <t>LOCALUGLYEARSTART</t>
  </si>
  <si>
    <t>Unrealized Gain/Loss in Local Currency for Year Start</t>
  </si>
  <si>
    <t>"L" or "S" for Long or Short Position</t>
  </si>
  <si>
    <t>PERCENTOFGL</t>
  </si>
  <si>
    <t>For multi-day valuations, enter the end date of the range</t>
  </si>
  <si>
    <t>PERIODSTARTDATE</t>
  </si>
  <si>
    <t>For multi-day valuations, enter the start date of the range</t>
  </si>
  <si>
    <t>Date of the Price used for the Valuation of the holding</t>
  </si>
  <si>
    <t>Trade Date Quantity of Security Held</t>
  </si>
  <si>
    <t>QUANTITYPERIODSTART</t>
  </si>
  <si>
    <t>Trade Date Quantity at Period Start Date</t>
  </si>
  <si>
    <t>RESTATEMENTDESCRIPTION</t>
  </si>
  <si>
    <t>ROLETAXLOTCODE</t>
  </si>
  <si>
    <t>TAXLOTCLOSEDATE</t>
  </si>
  <si>
    <t>Date the Tax Lot was Closed</t>
  </si>
  <si>
    <t>TAXLOTID</t>
  </si>
  <si>
    <t>Date the Tax Lot was Opened</t>
  </si>
  <si>
    <t>THIRDPARTYSYMBOL</t>
  </si>
  <si>
    <t>Additional available fields for advanced analytics reporting.</t>
  </si>
  <si>
    <t>TIMESTAMP (6)</t>
  </si>
  <si>
    <t>VARCHAR2 (3)</t>
  </si>
  <si>
    <t xml:space="preserve">Y is security is ADR </t>
  </si>
  <si>
    <t xml:space="preserve">Alternative Security Ideintifiers </t>
  </si>
  <si>
    <t>NUMBER (30, 0)</t>
  </si>
  <si>
    <t>NUMBER (20, 5</t>
  </si>
  <si>
    <t>MUST be one of the following: EQUITY: Equity
 MoE: MediumOfExchange
 INT: InterestBearing
 OPTION: Option
 SWAP: Swap 
 BENCHMARK: Benchmark
 FUND: Fund</t>
  </si>
  <si>
    <t>Fixed Income-Specific Field</t>
  </si>
  <si>
    <t>Moody's Rating</t>
  </si>
  <si>
    <t>WEIGHTEDAVGCOUPON</t>
  </si>
  <si>
    <t xml:space="preserve">Weighted Average Coupon </t>
  </si>
  <si>
    <t>WEIGHTEDAVGMATURITYMONTH</t>
  </si>
  <si>
    <t xml:space="preserve">Weighted Average maturity </t>
  </si>
  <si>
    <t>INTERESTRATETYPE</t>
  </si>
  <si>
    <t>Interest rate type - Fixed, Floating etc.</t>
  </si>
  <si>
    <t>INTERESTBASE</t>
  </si>
  <si>
    <t>VARCHAR2 (125)</t>
  </si>
  <si>
    <t>Interest rate base index e.g. 3 Month LIBOR</t>
  </si>
  <si>
    <t>RATECHANGEFREQUENCY</t>
  </si>
  <si>
    <t>Interest Rate Change Frequency e.g.  Semi-aannual</t>
  </si>
  <si>
    <t>NEXTCALLDATE</t>
  </si>
  <si>
    <t>Next Call Date</t>
  </si>
  <si>
    <t>NEXTPUTDATE</t>
  </si>
  <si>
    <t>Next Put Date</t>
  </si>
  <si>
    <t>INTACCRUALDATE</t>
  </si>
  <si>
    <t>Interest Accrual From Date</t>
  </si>
  <si>
    <t>CONVERSIONDATE</t>
  </si>
  <si>
    <t>Conversion Date</t>
  </si>
  <si>
    <t>FIRSTPAYDATE</t>
  </si>
  <si>
    <t>First Payment Date</t>
  </si>
  <si>
    <t>Income Currency</t>
  </si>
  <si>
    <t>ISSUEPRICE</t>
  </si>
  <si>
    <t>NUMBER(12,7)</t>
  </si>
  <si>
    <t>Issue Price</t>
  </si>
  <si>
    <t>MINLOTSIZE</t>
  </si>
  <si>
    <t>NUMBER(17,2)</t>
  </si>
  <si>
    <t>Miniumum Lot Size</t>
  </si>
  <si>
    <t>MINLOTINCREMENT</t>
  </si>
  <si>
    <t>Miniumum Lot Increment</t>
  </si>
  <si>
    <t>Payment Frequency</t>
  </si>
  <si>
    <t>Warrant Indicator</t>
  </si>
  <si>
    <t>PAYDAY</t>
  </si>
  <si>
    <t>NUMBER(2,0)</t>
  </si>
  <si>
    <t>Day of month when coupon is paid</t>
  </si>
  <si>
    <t>RESETDAY</t>
  </si>
  <si>
    <t>Day of month when rate is reset</t>
  </si>
  <si>
    <t>RESETLASTDATE</t>
  </si>
  <si>
    <t>Date when rate was last reset</t>
  </si>
  <si>
    <t>RESETNEXTDATE</t>
  </si>
  <si>
    <t>Date when rate will next be reset</t>
  </si>
  <si>
    <t>NEXTPAYDATE</t>
  </si>
  <si>
    <t>Next coupon payment date</t>
  </si>
  <si>
    <t>ASOFDATE</t>
  </si>
  <si>
    <t>ACTIVEFORFEECALCINDICATOR</t>
  </si>
  <si>
    <t>Flag to indicate if active for fee calculations</t>
  </si>
  <si>
    <t>AUDITDATE</t>
  </si>
  <si>
    <t>Fund last Audit Date</t>
  </si>
  <si>
    <t>BALANCEAMOUNT</t>
  </si>
  <si>
    <t>Fund Balance Amount</t>
  </si>
  <si>
    <t>BALANCESETTLEMENTDATETYPE</t>
  </si>
  <si>
    <t>Fund Balance Settlement Date type</t>
  </si>
  <si>
    <t>BALANCETERMS</t>
  </si>
  <si>
    <t>Fund balance terms</t>
  </si>
  <si>
    <t>CLOSEDATE</t>
  </si>
  <si>
    <t>Fund Closed Date</t>
  </si>
  <si>
    <t>COUNTRYOFDOMICILE</t>
  </si>
  <si>
    <t>Fund Country of Domcile</t>
  </si>
  <si>
    <t>DOMICILECODE</t>
  </si>
  <si>
    <t>Domicle country code</t>
  </si>
  <si>
    <t>EARLYREDEMPTIONFEE</t>
  </si>
  <si>
    <t>Fund early redemption fee</t>
  </si>
  <si>
    <t>EQUALIZATIONTERMS</t>
  </si>
  <si>
    <t>VARCHAR2(1024 BYTE)</t>
  </si>
  <si>
    <t>Fund equalization terms</t>
  </si>
  <si>
    <t>Fund fiscal year end</t>
  </si>
  <si>
    <t>FUND3CELIGBILITYCODE</t>
  </si>
  <si>
    <t>Fund 3C eligiblity code</t>
  </si>
  <si>
    <t>FUNDALLOWCLASSES</t>
  </si>
  <si>
    <t>Fund allowabe Asset Classes</t>
  </si>
  <si>
    <t>FUNDALLOWSERIES</t>
  </si>
  <si>
    <t>Fund allow series indicator</t>
  </si>
  <si>
    <t>FUNDCONTACTNAME</t>
  </si>
  <si>
    <t>Fund Contact Name</t>
  </si>
  <si>
    <t>FUNDCURRENCY</t>
  </si>
  <si>
    <t>Fund reporting currency code</t>
  </si>
  <si>
    <t>FUNDDECOMPINDICATOR</t>
  </si>
  <si>
    <t>Fund security decomposition available indicator</t>
  </si>
  <si>
    <t>FUNDDESCRIPTION</t>
  </si>
  <si>
    <t>Fund description</t>
  </si>
  <si>
    <t>FUNDFAMILYIDENTIFIER</t>
  </si>
  <si>
    <t>Fund family identifier</t>
  </si>
  <si>
    <t>FUNDFAMILYNAME</t>
  </si>
  <si>
    <t>Fund family name</t>
  </si>
  <si>
    <t>FUNDIDENTIFIER</t>
  </si>
  <si>
    <t>Fund identifier</t>
  </si>
  <si>
    <t>FUNDMANAGERNAME</t>
  </si>
  <si>
    <t>Fund manager name</t>
  </si>
  <si>
    <t>FUNDNAME</t>
  </si>
  <si>
    <t>Fund name</t>
  </si>
  <si>
    <t>FUNDOPERATIONALTYPE</t>
  </si>
  <si>
    <t>Fund operational type</t>
  </si>
  <si>
    <t>FUNDPARENTINDICATOR</t>
  </si>
  <si>
    <t>Fund parent indicator flag</t>
  </si>
  <si>
    <t>FUNDRECORDTYPE</t>
  </si>
  <si>
    <t>Fund record type</t>
  </si>
  <si>
    <t>FUNDSECURITYSORTKEY</t>
  </si>
  <si>
    <t>Fund security sort key</t>
  </si>
  <si>
    <t>FUNDSORTKEY</t>
  </si>
  <si>
    <t>Fund sort key</t>
  </si>
  <si>
    <t>FUNDSTATUS</t>
  </si>
  <si>
    <t>Fund Status</t>
  </si>
  <si>
    <t>FUNDTYPE</t>
  </si>
  <si>
    <t>Fund Type</t>
  </si>
  <si>
    <t>GATEPERCENT</t>
  </si>
  <si>
    <t>Gate percentage</t>
  </si>
  <si>
    <t>GATEPROVISIONTERMS</t>
  </si>
  <si>
    <t>Gate provision terms</t>
  </si>
  <si>
    <t>HEDGECONETRANKING</t>
  </si>
  <si>
    <t>Hedge Conet Ranking</t>
  </si>
  <si>
    <t>HIGHWATERMARKPROVISION</t>
  </si>
  <si>
    <t>High water mark provision</t>
  </si>
  <si>
    <t>HOTISSUESALLOWED</t>
  </si>
  <si>
    <t>Hot issues allowed flag</t>
  </si>
  <si>
    <t>HURDLERATE</t>
  </si>
  <si>
    <t>Fund hurle rate</t>
  </si>
  <si>
    <t>INVESTMENTTYPENAME</t>
  </si>
  <si>
    <t>Investment Type Name</t>
  </si>
  <si>
    <t>LATESTAUDITEDNAVDATE</t>
  </si>
  <si>
    <t>Last audited NAV date</t>
  </si>
  <si>
    <t>LATESTAUDITEDNAVPRICE</t>
  </si>
  <si>
    <t>Last audited NAV price</t>
  </si>
  <si>
    <t>LISTINGDETAILS</t>
  </si>
  <si>
    <t>Fund listing details</t>
  </si>
  <si>
    <t>LOCKUPPERIODMONTHS</t>
  </si>
  <si>
    <t>Fund lock period in months</t>
  </si>
  <si>
    <t>MANAGEMENTFEETERMS</t>
  </si>
  <si>
    <t>Managements fee terms</t>
  </si>
  <si>
    <t>MANUALPRICINGINDICATOR</t>
  </si>
  <si>
    <t>Manual price indicator</t>
  </si>
  <si>
    <t>MINIMUMHOLDINGAMOUNT</t>
  </si>
  <si>
    <t>Fund miniumum holding amount</t>
  </si>
  <si>
    <t>MINIMUMREDEMPTIONAMOUNT</t>
  </si>
  <si>
    <t>Fund miniumum redemption amount</t>
  </si>
  <si>
    <t>MINIMUMSUBSCRIPTION</t>
  </si>
  <si>
    <t>Fund miniumum subscription</t>
  </si>
  <si>
    <t>Fund Moodys Rating</t>
  </si>
  <si>
    <t>NOMINALDENOMINATION</t>
  </si>
  <si>
    <t>Fund nominal denomination</t>
  </si>
  <si>
    <t>PAYMENTAMOUNT</t>
  </si>
  <si>
    <t>Fund Payment Amount</t>
  </si>
  <si>
    <t>PAYMENTBANKINSTRUCTION</t>
  </si>
  <si>
    <t>Fund Payment Bank Instruction</t>
  </si>
  <si>
    <t>PAYMENTCURRENCY</t>
  </si>
  <si>
    <t>Fund Payment Currency</t>
  </si>
  <si>
    <t>PAYMENTSETTLEMENTDATETYPE</t>
  </si>
  <si>
    <t>Fund Payment Settlement Date Type</t>
  </si>
  <si>
    <t>PAYMENTTERMS</t>
  </si>
  <si>
    <t>Fund Payment Terms</t>
  </si>
  <si>
    <t>PENDINGREDEMPTIONINDICATOR</t>
  </si>
  <si>
    <t>Fund Payment Redemption Indicator flag</t>
  </si>
  <si>
    <t>PERFORMANCEEXCLUDEINDICATOR</t>
  </si>
  <si>
    <t>Fund Performance exclusion flag</t>
  </si>
  <si>
    <t>PERFORMANCEFEETERMS</t>
  </si>
  <si>
    <t>Fiund Performance Fee Terms</t>
  </si>
  <si>
    <t>PROSEPCTUSURL</t>
  </si>
  <si>
    <t>Fund prospectus url</t>
  </si>
  <si>
    <t>REDEMPTIONDEADLINE</t>
  </si>
  <si>
    <t>Fund redemption dealine date</t>
  </si>
  <si>
    <t>REDEMPTIONDEALINGDATETYPE</t>
  </si>
  <si>
    <t>Fund redemption dealing date type</t>
  </si>
  <si>
    <t>REDEMPTIONDEALINGFREQUENCY</t>
  </si>
  <si>
    <t>Fund redemption dealing frequency</t>
  </si>
  <si>
    <t>REDEMPTIONFORMINDICATOR</t>
  </si>
  <si>
    <t>REDEMPTIONFORMURL</t>
  </si>
  <si>
    <t>Fund redemption form url</t>
  </si>
  <si>
    <t>REDEMPTIONNOTICEPERIODDAYS</t>
  </si>
  <si>
    <t>Fund redemption notice period (days)</t>
  </si>
  <si>
    <t>RELATEDFUNDIDENTIFIER</t>
  </si>
  <si>
    <t>Related fund identifier</t>
  </si>
  <si>
    <t>SERIESENDDATE</t>
  </si>
  <si>
    <t>Fund series end date</t>
  </si>
  <si>
    <t>SERIESNUMBER</t>
  </si>
  <si>
    <t>Fund series number</t>
  </si>
  <si>
    <t>SERIESSTARTDATE</t>
  </si>
  <si>
    <t>Fund series start date</t>
  </si>
  <si>
    <t>SHARECLASSNAME</t>
  </si>
  <si>
    <t>Fund share class name</t>
  </si>
  <si>
    <t>SHARECLASSPARENTINDICATOR</t>
  </si>
  <si>
    <t>Fund share class parent indicator flag</t>
  </si>
  <si>
    <t>SIDEPOCKETPROVISION</t>
  </si>
  <si>
    <t>Fund side pocket provision</t>
  </si>
  <si>
    <t>Fund Strategy Name</t>
  </si>
  <si>
    <t>SUBSCRIPTIONDEADLINE</t>
  </si>
  <si>
    <t>Fund subscription deadline date</t>
  </si>
  <si>
    <t>SUBSCRIPTIONDEALINGDATETYPE</t>
  </si>
  <si>
    <t>Fund subscription dealing type</t>
  </si>
  <si>
    <t>SUBSCRIPTIONDEALINGFREQUENCY</t>
  </si>
  <si>
    <t>Fund subscription dealing frequency</t>
  </si>
  <si>
    <t>SUBSCRIPTIONFORMINDICATOR</t>
  </si>
  <si>
    <t>Fund subscription form flag</t>
  </si>
  <si>
    <t>SUBSCRIPTIONFORMURL</t>
  </si>
  <si>
    <t>Fund subscription form url</t>
  </si>
  <si>
    <t>SUBSCRIPTIONNOTICEPERIODDAYS</t>
  </si>
  <si>
    <t>Fund subscription notice period (days)</t>
  </si>
  <si>
    <t>SUBSCRIPTIONSETTLEDATETYPE</t>
  </si>
  <si>
    <t>Fund suscription settlement date type</t>
  </si>
  <si>
    <t>SWITCHTERMS</t>
  </si>
  <si>
    <t>Fund switch terms</t>
  </si>
  <si>
    <t>SWITCHESALLOWED</t>
  </si>
  <si>
    <t>Fund switch allowed</t>
  </si>
  <si>
    <t>TAXSTATUS</t>
  </si>
  <si>
    <t>Fund tax status</t>
  </si>
  <si>
    <t>TRANSFERAGENTNAME</t>
  </si>
  <si>
    <t>Fund transfer agent name</t>
  </si>
  <si>
    <t>TRANSFERTERMS</t>
  </si>
  <si>
    <t>Fund transfer terms</t>
  </si>
  <si>
    <t>TRANSFERSALLOWED</t>
  </si>
  <si>
    <t>Fund transfers allowable flag</t>
  </si>
  <si>
    <t>USERDEFINED10</t>
  </si>
  <si>
    <t>User defined 10</t>
  </si>
  <si>
    <t>User defined 4</t>
  </si>
  <si>
    <t>User defined 5</t>
  </si>
  <si>
    <t>USERDEFINED6</t>
  </si>
  <si>
    <t>User defined 6</t>
  </si>
  <si>
    <t>USERDEFINED7</t>
  </si>
  <si>
    <t>User defined 7</t>
  </si>
  <si>
    <t>USERDEFINED8</t>
  </si>
  <si>
    <t>User defined 8</t>
  </si>
  <si>
    <t>USERDEFINED9</t>
  </si>
  <si>
    <t>User defined 9</t>
  </si>
  <si>
    <t>User defined date 1</t>
  </si>
  <si>
    <t>User defined date 2</t>
  </si>
  <si>
    <t>User defined date 3</t>
  </si>
  <si>
    <t>VALUATIONDAYSDELAY</t>
  </si>
  <si>
    <t>Fund valuation days delay</t>
  </si>
  <si>
    <t>VALUATIONFREQUENCY</t>
  </si>
  <si>
    <t>Fund valuation frequency</t>
  </si>
  <si>
    <t>VINTAGE</t>
  </si>
  <si>
    <t>Fund vintage</t>
  </si>
  <si>
    <t>ALTERNATEBENCHMARKID</t>
  </si>
  <si>
    <t>Fund alternate benchmark identifier</t>
  </si>
  <si>
    <t>ALTERNATEBENCHMARK2ID</t>
  </si>
  <si>
    <t>Fund 2nd alternate benchmark identifier</t>
  </si>
  <si>
    <t>BENCHMARKID</t>
  </si>
  <si>
    <t>Fund benchmark identifier</t>
  </si>
  <si>
    <t>ISSUERID</t>
  </si>
  <si>
    <t>Fund Issuer identifier</t>
  </si>
  <si>
    <t>PARTYOFINTERESTID</t>
  </si>
  <si>
    <t>Party of Interest Identifier</t>
  </si>
  <si>
    <t>ALTBENCHMARK2ENTERPRISESYMBOL</t>
  </si>
  <si>
    <t>Secondary Alternate Benchmark Enterprise Symbol</t>
  </si>
  <si>
    <t>ALTBENCHMARK2PRIMARYSYMBOL</t>
  </si>
  <si>
    <t>Secondary Alternate Benchmark Primary Security Symbol</t>
  </si>
  <si>
    <t>ALTBENCHMARKENTERPRISESYMBOL</t>
  </si>
  <si>
    <t>Primary Alternate Benchmark Enterprise Symbol</t>
  </si>
  <si>
    <t>ALTBENCHMARKPRIMARYSYMBOL</t>
  </si>
  <si>
    <t>Primary Alternate Benchmark Primary Security Symbol</t>
  </si>
  <si>
    <t>BENCHMARKENTERPRISESYMBOL</t>
  </si>
  <si>
    <t>Primary Benchmark Enterprise Symbol</t>
  </si>
  <si>
    <t>BENCHMARKPRIMARYSYMBOL</t>
  </si>
  <si>
    <t>Primary Benchmark Primary Security Symbol</t>
  </si>
  <si>
    <t>NUMBER(20</t>
  </si>
  <si>
    <t>NUMBER(30</t>
  </si>
  <si>
    <t>ISSUERNAME</t>
  </si>
  <si>
    <t>Fund Issuer Name</t>
  </si>
  <si>
    <t>ISSUERSYMBOL</t>
  </si>
  <si>
    <t>Fund Issuer Symbol</t>
  </si>
  <si>
    <t>ISSUERSYMBOLTYPE</t>
  </si>
  <si>
    <t>Find Issuer Symbol Type</t>
  </si>
  <si>
    <t>ISSUERTYPE</t>
  </si>
  <si>
    <t>Fund Issuer Type</t>
  </si>
  <si>
    <t>MORNINGSTARRATING</t>
  </si>
  <si>
    <t>Morning Star Fund Rating</t>
  </si>
  <si>
    <t>PARTYOFINTERESTABANUMBER</t>
  </si>
  <si>
    <t>PARTYOFINTERESTADDRESS1</t>
  </si>
  <si>
    <t>PARTYOFINTERESTALTID1</t>
  </si>
  <si>
    <t>PARTYOFINTERESTFULLNAME</t>
  </si>
  <si>
    <t>NUMBER(10</t>
  </si>
  <si>
    <t>URL1</t>
  </si>
  <si>
    <t>URL2</t>
  </si>
  <si>
    <t>URL3</t>
  </si>
  <si>
    <t>Set to tenant id for Capital Group</t>
  </si>
  <si>
    <t>AGGREGATIONKEYID</t>
  </si>
  <si>
    <t>Accounts</t>
  </si>
  <si>
    <t>Lookup up value from STGBEAMACCOUNT using the ACCOUNT-ID from the Account file to match on ACCOUNTSHORTNAME</t>
  </si>
  <si>
    <t>WITHINLEVEL</t>
  </si>
  <si>
    <t>WITHINLEVELKEYID</t>
  </si>
  <si>
    <t>WITHINLEVELKEYNAME</t>
  </si>
  <si>
    <t>FXIRR1MONTH</t>
  </si>
  <si>
    <t>IRR from fx for specified period</t>
  </si>
  <si>
    <t>FXIRR1YEAR</t>
  </si>
  <si>
    <t>FXIRR3MONTHS</t>
  </si>
  <si>
    <t>FXIRR3YEARS</t>
  </si>
  <si>
    <t>FXIRR5YEARS</t>
  </si>
  <si>
    <t>FXIRR6MONTHS</t>
  </si>
  <si>
    <t>FXIRRINCEPTION</t>
  </si>
  <si>
    <t>FXIRRMONTH</t>
  </si>
  <si>
    <t>FXIRRPERIOD</t>
  </si>
  <si>
    <t>FXIRRQUARTER</t>
  </si>
  <si>
    <t>FXIRRWEEK</t>
  </si>
  <si>
    <t>FXIRRYEAR</t>
  </si>
  <si>
    <t>IRR1MONTH</t>
  </si>
  <si>
    <t>IRR for specified period</t>
  </si>
  <si>
    <t>IRR1YEAR</t>
  </si>
  <si>
    <t>IRR3MONTHS</t>
  </si>
  <si>
    <t>IRR3YEARS</t>
  </si>
  <si>
    <t>IRR5YEARS</t>
  </si>
  <si>
    <t>IRR6MONTHS</t>
  </si>
  <si>
    <t>IRRINCEPTION</t>
  </si>
  <si>
    <t>IRRMONTH</t>
  </si>
  <si>
    <t>IRRPERIOD</t>
  </si>
  <si>
    <t>IRRQUARTER</t>
  </si>
  <si>
    <t>IRRWEEK</t>
  </si>
  <si>
    <t>IRRYEAR</t>
  </si>
  <si>
    <t>BOOKCAPITALFLOWS1MONTH</t>
  </si>
  <si>
    <t>Capital Flows over specified period</t>
  </si>
  <si>
    <t>BOOKCAPITALFLOWS1YEAR</t>
  </si>
  <si>
    <t>BOOKCAPITALFLOWS3MONTHS</t>
  </si>
  <si>
    <t>BOOKCAPITALFLOWS3YEARS</t>
  </si>
  <si>
    <t>BOOKCAPITALFLOWS5YEARS</t>
  </si>
  <si>
    <t>BOOKCAPITALFLOWS6MONTHS</t>
  </si>
  <si>
    <t>BOOKCAPITALFLOWSINCEPTION</t>
  </si>
  <si>
    <t>BOOKCAPITALFLOWSMONTH</t>
  </si>
  <si>
    <t>BOOKCAPITALFLOWSPERIOD</t>
  </si>
  <si>
    <t>BOOKCAPITALFLOWSQUARTER</t>
  </si>
  <si>
    <t>BOOKCAPITALFLOWSWEEK</t>
  </si>
  <si>
    <t>BOOKCAPITALFLOWSYEAR</t>
  </si>
  <si>
    <t>BOOKCHGNETASSETVALUE</t>
  </si>
  <si>
    <t>Change in Asset Value</t>
  </si>
  <si>
    <t>BOOKCONTRIBUTIONS1MONTH</t>
  </si>
  <si>
    <t>Contributions over specified period</t>
  </si>
  <si>
    <t>BOOKCONTRIBUTIONS1YEAR</t>
  </si>
  <si>
    <t>BOOKCONTRIBUTIONS3MONTHS</t>
  </si>
  <si>
    <t>BOOKCONTRIBUTIONS3YEARS</t>
  </si>
  <si>
    <t>BOOKCONTRIBUTIONS5YEARS</t>
  </si>
  <si>
    <t>BOOKCONTRIBUTIONS6MONTHS</t>
  </si>
  <si>
    <t>BOOKCONTRIBUTIONSINCEPTION</t>
  </si>
  <si>
    <t>BOOKCONTRIBUTIONSMONTH</t>
  </si>
  <si>
    <t>BOOKCONTRIBUTIONSPERIOD</t>
  </si>
  <si>
    <t>BOOKCONTRIBUTIONSQUARTER</t>
  </si>
  <si>
    <t>BOOKCONTRIBUTIONSWEEK</t>
  </si>
  <si>
    <t>BOOKCONTRIBUTIONSYEAR</t>
  </si>
  <si>
    <t>BOOKDIVIDENDS1MONTH</t>
  </si>
  <si>
    <t>Dividends over specified period</t>
  </si>
  <si>
    <t>BOOKDIVIDENDS1YEAR</t>
  </si>
  <si>
    <t>BOOKDIVIDENDS3MONTHS</t>
  </si>
  <si>
    <t>BOOKDIVIDENDS3YEARS</t>
  </si>
  <si>
    <t>BOOKDIVIDENDS5YEARS</t>
  </si>
  <si>
    <t>BOOKDIVIDENDS6MONTHS</t>
  </si>
  <si>
    <t>BOOKDIVIDENDSINCEPTION</t>
  </si>
  <si>
    <t>BOOKDIVIDENDSMONTH</t>
  </si>
  <si>
    <t>BOOKDIVIDENDSPERIOD</t>
  </si>
  <si>
    <t>BOOKDIVIDENDSQUARTER</t>
  </si>
  <si>
    <t>BOOKDIVIDENDSWEEK</t>
  </si>
  <si>
    <t>BOOKDIVIDENDSYEAR</t>
  </si>
  <si>
    <t>BOOKGLGROSS1MONTH</t>
  </si>
  <si>
    <t>Gross Gain Loss over specififed period</t>
  </si>
  <si>
    <t>BOOKGLGROSS1YEAR</t>
  </si>
  <si>
    <t>BOOKGLGROSS3MONTHS</t>
  </si>
  <si>
    <t>BOOKGLGROSS3YEARS</t>
  </si>
  <si>
    <t>BOOKGLGROSS5YEARS</t>
  </si>
  <si>
    <t>BOOKGLGROSS6MONTHS</t>
  </si>
  <si>
    <t>BOOKGLGROSSINCEPTION</t>
  </si>
  <si>
    <t>BOOKGLGROSSMONTH</t>
  </si>
  <si>
    <t>BOOKGLGROSSPERIOD</t>
  </si>
  <si>
    <t>BOOKGLGROSSQUARTER</t>
  </si>
  <si>
    <t>BOOKGLGROSSWEEK</t>
  </si>
  <si>
    <t>BOOKGLGROSSYEAR</t>
  </si>
  <si>
    <t>BOOKGLNETOFFEES1MONTH</t>
  </si>
  <si>
    <t>Net Gain Loss over specified period</t>
  </si>
  <si>
    <t>BOOKGLNETOFFEES1YEAR</t>
  </si>
  <si>
    <t>BOOKGLNETOFFEES3MONTHS</t>
  </si>
  <si>
    <t>BOOKGLNETOFFEES3YEARS</t>
  </si>
  <si>
    <t>BOOKGLNETOFFEES5YEARS</t>
  </si>
  <si>
    <t>BOOKGLNETOFFEES6MONTHS</t>
  </si>
  <si>
    <t>BOOKGLNETOFFEESINCEPTION</t>
  </si>
  <si>
    <t>BOOKGLNETOFFEESMONTH</t>
  </si>
  <si>
    <t>BOOKGLNETOFFEESPERIOD</t>
  </si>
  <si>
    <t>BOOKGLNETOFFEESQUARTER</t>
  </si>
  <si>
    <t>BOOKGLNETOFFEESWEEK</t>
  </si>
  <si>
    <t>BOOKGLNETOFFEESYEAR</t>
  </si>
  <si>
    <t>BOOKINCOMEEXPENSES1MONTH</t>
  </si>
  <si>
    <t>Income and Expenses over over specified period</t>
  </si>
  <si>
    <t>BOOKINCOMEEXPENSES1YEAR</t>
  </si>
  <si>
    <t>BOOKINCOMEEXPENSES3MONTHS</t>
  </si>
  <si>
    <t>BOOKINCOMEEXPENSES3YEARS</t>
  </si>
  <si>
    <t>BOOKINCOMEEXPENSES5YEARS</t>
  </si>
  <si>
    <t>BOOKINCOMEEXPENSES6MONTHS</t>
  </si>
  <si>
    <t>BOOKINCOMEEXPENSESINCEPTION</t>
  </si>
  <si>
    <t>BOOKINCOMEEXPENSESMONTH</t>
  </si>
  <si>
    <t>BOOKINCOMEEXPENSESPERIOD</t>
  </si>
  <si>
    <t>BOOKINCOMEEXPENSESQUARTER</t>
  </si>
  <si>
    <t>BOOKINCOMEEXPENSESWEEK</t>
  </si>
  <si>
    <t>BOOKINCOMEEXPENSESYEAR</t>
  </si>
  <si>
    <t>BOOKINTEREST1MONTH</t>
  </si>
  <si>
    <t>Interest over specified period</t>
  </si>
  <si>
    <t>BOOKINTEREST1YEAR</t>
  </si>
  <si>
    <t>BOOKINTEREST3MONTHS</t>
  </si>
  <si>
    <t>BOOKINTEREST3YEARS</t>
  </si>
  <si>
    <t>BOOKINTEREST5YEARS</t>
  </si>
  <si>
    <t>BOOKINTEREST6MONTHS</t>
  </si>
  <si>
    <t>BOOKINTERESTINCEPTION</t>
  </si>
  <si>
    <t>BOOKINTERESTMONTH</t>
  </si>
  <si>
    <t>BOOKINTERESTPERIOD</t>
  </si>
  <si>
    <t>BOOKINTERESTQUARTER</t>
  </si>
  <si>
    <t>BOOKINTERESTWEEK</t>
  </si>
  <si>
    <t>BOOKINTERESTYEAR</t>
  </si>
  <si>
    <t>BOOKMANAGEMENTFEES1MONTH</t>
  </si>
  <si>
    <t>Management Fees over specified period</t>
  </si>
  <si>
    <t>BOOKMANAGEMENTFEES1YEAR</t>
  </si>
  <si>
    <t>BOOKMANAGEMENTFEES3MONTHS</t>
  </si>
  <si>
    <t>BOOKMANAGEMENTFEES3YEARS</t>
  </si>
  <si>
    <t>BOOKMANAGEMENTFEES5YEARS</t>
  </si>
  <si>
    <t>BOOKMANAGEMENTFEES6MONTHS</t>
  </si>
  <si>
    <t>BOOKMANAGEMENTFEESINCEPTION</t>
  </si>
  <si>
    <t>BOOKMANAGEMENTFEESMONTH</t>
  </si>
  <si>
    <t>BOOKMANAGEMENTFEESPERIOD</t>
  </si>
  <si>
    <t>BOOKMANAGEMENTFEESQUARTER</t>
  </si>
  <si>
    <t>BOOKMANAGEMENTFEESWEEK</t>
  </si>
  <si>
    <t>BOOKMANAGEMENTFEESYEAR</t>
  </si>
  <si>
    <t>BOOKMARKETVALUE1MONTHSTART</t>
  </si>
  <si>
    <t>Market Value on specified date</t>
  </si>
  <si>
    <t>BOOKMARKETVALUE1YEARSTART</t>
  </si>
  <si>
    <t>BOOKMARKETVALUE3MONTHSSTART</t>
  </si>
  <si>
    <t>BOOKMARKETVALUE3YEARSSTART</t>
  </si>
  <si>
    <t>BOOKMARKETVALUE5YEARSSTART</t>
  </si>
  <si>
    <t>BOOKMARKETVALUE6MONTHSSTART</t>
  </si>
  <si>
    <t>BOOKMARKETVALUEINCEPTIONSTART</t>
  </si>
  <si>
    <t>BOOKMARKETVALUEMONTHSTART</t>
  </si>
  <si>
    <t>BOOKMARKETVALUEQUARTERSTART</t>
  </si>
  <si>
    <t>BOOKMARKETVALUEWEEKSTART</t>
  </si>
  <si>
    <t>BOOKMARKETVALUEYEARSTART</t>
  </si>
  <si>
    <t>BOOKMISCINCOMEEXPENSE1MONTH</t>
  </si>
  <si>
    <t>Misc Income and Expenses over specified period</t>
  </si>
  <si>
    <t>BOOKMISCINCOMEEXPENSE1YEAR</t>
  </si>
  <si>
    <t>BOOKMISCINCOMEEXPENSE3MONTHS</t>
  </si>
  <si>
    <t>BOOKMISCINCOMEEXPENSE3YEARS</t>
  </si>
  <si>
    <t>BOOKMISCINCOMEEXPENSE5YEARS</t>
  </si>
  <si>
    <t>BOOKMISCINCOMEEXPENSE6MONTHS</t>
  </si>
  <si>
    <t>BOOKMISCINCOMEEXPENSEINCEPTION</t>
  </si>
  <si>
    <t>BOOKMISCINCOMEEXPENSEMONTH</t>
  </si>
  <si>
    <t>BOOKMISCINCOMEEXPENSEPERIOD</t>
  </si>
  <si>
    <t>BOOKMISCINCOMEEXPENSEQUARTER</t>
  </si>
  <si>
    <t>BOOKMISCINCOMEEXPENSEWEEK</t>
  </si>
  <si>
    <t>BOOKMISCINCOMEEXPENSEYEAR</t>
  </si>
  <si>
    <t>BOOKNETADDSWITHDRAWS1MONTH</t>
  </si>
  <si>
    <t>Net contributions and withdrawals over specified period</t>
  </si>
  <si>
    <t>BOOKNETADDSWITHDRAWS1YEAR</t>
  </si>
  <si>
    <t>BOOKNETADDSWITHDRAWS3MONTHS</t>
  </si>
  <si>
    <t>BOOKNETADDSWITHDRAWS3YEARS</t>
  </si>
  <si>
    <t>BOOKNETADDSWITHDRAWS5YEARS</t>
  </si>
  <si>
    <t>BOOKNETADDSWITHDRAWS6MONTHS</t>
  </si>
  <si>
    <t>BOOKNETADDSWITHDRAWSINCEPTION</t>
  </si>
  <si>
    <t>BOOKNETADDSWITHDRAWSMONTH</t>
  </si>
  <si>
    <t>BOOKNETADDSWITHDRAWSPERIOD</t>
  </si>
  <si>
    <t>BOOKNETADDSWITHDRAWSQUARTER</t>
  </si>
  <si>
    <t>BOOKNETADDSWITHDRAWSWEEK</t>
  </si>
  <si>
    <t>BOOKNETADDSWITHDRAWSYEAR</t>
  </si>
  <si>
    <t>BOOKNETASSETVALUEPERIODEND</t>
  </si>
  <si>
    <t>NAV on specified date</t>
  </si>
  <si>
    <t>BOOKNETASSETVALUEPREVIOUSWEEK</t>
  </si>
  <si>
    <t>BOOKNETINTDIVIDENDS1MONTH</t>
  </si>
  <si>
    <t>Net Interest and Dividends over specified period</t>
  </si>
  <si>
    <t>BOOKNETINTDIVIDENDS1YEAR</t>
  </si>
  <si>
    <t>BOOKNETINTDIVIDENDS3MONTHS</t>
  </si>
  <si>
    <t>BOOKNETINTDIVIDENDS3YEARS</t>
  </si>
  <si>
    <t>BOOKNETINTDIVIDENDS5YEARS</t>
  </si>
  <si>
    <t>BOOKNETINTDIVIDENDS6MONTHS</t>
  </si>
  <si>
    <t>BOOKNETINTDIVIDENDSINCEPTION</t>
  </si>
  <si>
    <t>BOOKNETINTDIVIDENDSMONTH</t>
  </si>
  <si>
    <t>BOOKNETINTDIVIDENDSPERIOD</t>
  </si>
  <si>
    <t>BOOKNETINTDIVIDENDSQUARTER</t>
  </si>
  <si>
    <t>BOOKNETINTDIVIDENDSWEEK</t>
  </si>
  <si>
    <t>BOOKNETINTDIVIDENDSYEAR</t>
  </si>
  <si>
    <t>BOOKRGL1MONTH</t>
  </si>
  <si>
    <t>Realized gain loss over specified period</t>
  </si>
  <si>
    <t>BOOKRGL1YEAR</t>
  </si>
  <si>
    <t>BOOKRGL3MONTHS</t>
  </si>
  <si>
    <t>BOOKRGL3YEARS</t>
  </si>
  <si>
    <t>BOOKRGL5YEARS</t>
  </si>
  <si>
    <t>BOOKRGL6MONTHS</t>
  </si>
  <si>
    <t>BOOKRGLFX1MONTH</t>
  </si>
  <si>
    <t>Realized gain loss from fx over specified period</t>
  </si>
  <si>
    <t>BOOKRGLFX1YEAR</t>
  </si>
  <si>
    <t>BOOKRGLFX3MONTHS</t>
  </si>
  <si>
    <t>BOOKRGLFX3YEARS</t>
  </si>
  <si>
    <t>BOOKRGLFX5YEARS</t>
  </si>
  <si>
    <t>BOOKRGLFX6MONTHS</t>
  </si>
  <si>
    <t>BOOKRGLFXINCEPTION</t>
  </si>
  <si>
    <t>BOOKRGLFXMONTH</t>
  </si>
  <si>
    <t>BOOKRGLFXPERIOD</t>
  </si>
  <si>
    <t>BOOKRGLFXQUARTER</t>
  </si>
  <si>
    <t>BOOKRGLFXWEEK</t>
  </si>
  <si>
    <t>BOOKRGLFXYEAR</t>
  </si>
  <si>
    <t>BOOKRGLINCEPTION</t>
  </si>
  <si>
    <t>BOOKRGLMONTH</t>
  </si>
  <si>
    <t>BOOKRGLPERIOD</t>
  </si>
  <si>
    <t>BOOKRGLPRICE1MONTH</t>
  </si>
  <si>
    <t>Realized gain loss from asset price change over specified period</t>
  </si>
  <si>
    <t>BOOKRGLPRICE1YEAR</t>
  </si>
  <si>
    <t>BOOKRGLPRICE3MONTHS</t>
  </si>
  <si>
    <t>BOOKRGLPRICE3YEARS</t>
  </si>
  <si>
    <t>BOOKRGLPRICE5YEARS</t>
  </si>
  <si>
    <t>BOOKRGLPRICE6MONTHS</t>
  </si>
  <si>
    <t>BOOKRGLPRICEINCEPTION</t>
  </si>
  <si>
    <t>BOOKRGLPRICEMONTH</t>
  </si>
  <si>
    <t>BOOKRGLPRICEPERIOD</t>
  </si>
  <si>
    <t>BOOKRGLPRICEQUARTER</t>
  </si>
  <si>
    <t>BOOKRGLPRICEWEEK</t>
  </si>
  <si>
    <t>BOOKRGLPRICEYEAR</t>
  </si>
  <si>
    <t>BOOKRGLQUARTER</t>
  </si>
  <si>
    <t>BOOKRGLWEEK</t>
  </si>
  <si>
    <t>BOOKRGLYEAR</t>
  </si>
  <si>
    <t>BOOKUGL1MONTH</t>
  </si>
  <si>
    <t>Unrealized gain loss over specified period</t>
  </si>
  <si>
    <t>BOOKUGL1YEAR</t>
  </si>
  <si>
    <t>BOOKUGL3MONTHS</t>
  </si>
  <si>
    <t>BOOKUGL3YEARS</t>
  </si>
  <si>
    <t>BOOKUGL5YEARS</t>
  </si>
  <si>
    <t>BOOKUGL6MONTHS</t>
  </si>
  <si>
    <t>BOOKUGLFX1MONTH</t>
  </si>
  <si>
    <t>Unrealized gain loss from fx over specified period</t>
  </si>
  <si>
    <t>BOOKUGLFX1YEAR</t>
  </si>
  <si>
    <t>BOOKUGLFX3MONTHS</t>
  </si>
  <si>
    <t>BOOKUGLFX3YEARS</t>
  </si>
  <si>
    <t>BOOKUGLFX5YEARS</t>
  </si>
  <si>
    <t>BOOKUGLFX6MONTHS</t>
  </si>
  <si>
    <t>BOOKUGLFXINCEPTION</t>
  </si>
  <si>
    <t>BOOKUGLFXMONTH</t>
  </si>
  <si>
    <t>BOOKUGLFXPERIOD</t>
  </si>
  <si>
    <t>BOOKUGLFXQUARTER</t>
  </si>
  <si>
    <t>BOOKUGLFXWEEK</t>
  </si>
  <si>
    <t>BOOKUGLFXYEAR</t>
  </si>
  <si>
    <t>BOOKUGLINCEPTION</t>
  </si>
  <si>
    <t>BOOKUGLPRICE1MONTH</t>
  </si>
  <si>
    <t>Unrealized gain loss from price over specified period</t>
  </si>
  <si>
    <t>BOOKUGLPRICE1YEAR</t>
  </si>
  <si>
    <t>BOOKUGLPRICE3MONTHS</t>
  </si>
  <si>
    <t>BOOKUGLPRICE3YEARS</t>
  </si>
  <si>
    <t>BOOKUGLPRICE5YEARS</t>
  </si>
  <si>
    <t>BOOKUGLPRICE6MONTHS</t>
  </si>
  <si>
    <t>BOOKUGLPRICEINCEPTION</t>
  </si>
  <si>
    <t>BOOKUGLPRICEMONTH</t>
  </si>
  <si>
    <t>BOOKUGLPRICEPERIOD</t>
  </si>
  <si>
    <t>BOOKUGLPRICEQUARTER</t>
  </si>
  <si>
    <t>BOOKUGLPRICEWEEK</t>
  </si>
  <si>
    <t>BOOKUGLPRICEYEAR</t>
  </si>
  <si>
    <t>BOOKUGLWEEK</t>
  </si>
  <si>
    <t>SHORT-GAIN-LOSS + LONG-GAIN-LOSS</t>
  </si>
  <si>
    <t>BOOKWITHDRAWALS1MONTH</t>
  </si>
  <si>
    <t>Withdrawals over specified period</t>
  </si>
  <si>
    <t>BOOKWITHDRAWALS1YEAR</t>
  </si>
  <si>
    <t>BOOKWITHDRAWALS3MONTHS</t>
  </si>
  <si>
    <t>BOOKWITHDRAWALS3YEARS</t>
  </si>
  <si>
    <t>BOOKWITHDRAWALS5YEARS</t>
  </si>
  <si>
    <t>BOOKWITHDRAWALS6MONTHS</t>
  </si>
  <si>
    <t>BOOKWITHDRAWALSINCEPTION</t>
  </si>
  <si>
    <t>BOOKWITHDRAWALSMONTH</t>
  </si>
  <si>
    <t>BOOKWITHDRAWALSPERIOD</t>
  </si>
  <si>
    <t>BOOKWITHDRAWALSQUARTER</t>
  </si>
  <si>
    <t>BOOKWITHDRAWALSWEEK</t>
  </si>
  <si>
    <t>BOOKWITHDRAWALSYEAR</t>
  </si>
  <si>
    <t>Effective Date for record</t>
  </si>
  <si>
    <t>Inception date of the fund / account</t>
  </si>
  <si>
    <t>PCTBOOKMARKETVALUEPERIODEND</t>
  </si>
  <si>
    <t>Do not use</t>
  </si>
  <si>
    <t>PRICEIRR1MONTH</t>
  </si>
  <si>
    <t>IRR from price change over specified period</t>
  </si>
  <si>
    <t>PRICEIRR1YEAR</t>
  </si>
  <si>
    <t>PRICEIRR3MONTHS</t>
  </si>
  <si>
    <t>PRICEIRR3YEARS</t>
  </si>
  <si>
    <t>PRICEIRR5YEARS</t>
  </si>
  <si>
    <t>PRICEIRR6MONTHS</t>
  </si>
  <si>
    <t>PRICEIRRINCEPTION</t>
  </si>
  <si>
    <t>PRICEIRRMONTH</t>
  </si>
  <si>
    <t>PRICEIRRPERIOD</t>
  </si>
  <si>
    <t>PRICEIRRQUARTER</t>
  </si>
  <si>
    <t>PRICEIRRWEEK</t>
  </si>
  <si>
    <t>PRICEIRRYEAR</t>
  </si>
  <si>
    <t>Amortized Cost on specified date</t>
  </si>
  <si>
    <t>User defined field</t>
  </si>
  <si>
    <t>BOOKCASHPERIODEND</t>
  </si>
  <si>
    <t>Cash Balance on specified date</t>
  </si>
  <si>
    <t>BOOKCLIENTPROFIT1MONTH</t>
  </si>
  <si>
    <t>Profit over specified period</t>
  </si>
  <si>
    <t>BOOKCLIENTPROFIT1YEAR</t>
  </si>
  <si>
    <t>BOOKCLIENTPROFIT3MONTHS</t>
  </si>
  <si>
    <t>BOOKCLIENTPROFIT3YEARS</t>
  </si>
  <si>
    <t>BOOKCLIENTPROFIT5YEARS</t>
  </si>
  <si>
    <t>BOOKCLIENTPROFIT6MONTHS</t>
  </si>
  <si>
    <t>BOOKCLIENTPROFITINCEPTION</t>
  </si>
  <si>
    <t>BOOKCLIENTPROFITMONTH</t>
  </si>
  <si>
    <t>BOOKCLIENTPROFITPERIOD</t>
  </si>
  <si>
    <t>BOOKCLIENTPROFITQUARTER</t>
  </si>
  <si>
    <t>BOOKCLIENTPROFITWEEK</t>
  </si>
  <si>
    <t>BOOKCLIENTPROFITYEAR</t>
  </si>
  <si>
    <t>BOOKCLIENTPROFITMONTNT</t>
  </si>
  <si>
    <t>AGGREGATIONKEYNAME</t>
  </si>
  <si>
    <t>"ACCOUNT"</t>
  </si>
  <si>
    <t>Aggregation Description</t>
  </si>
  <si>
    <t>AGGREGATIONLEVEL</t>
  </si>
  <si>
    <t>Aggregation Level</t>
  </si>
  <si>
    <t>BOOKSHORTUGLYEAR</t>
  </si>
  <si>
    <t>SHORT-GAIN-LOSS</t>
  </si>
  <si>
    <t>Unrealized short term gain loss YTD.</t>
  </si>
  <si>
    <t>BOOKLONGUGLYEAR</t>
  </si>
  <si>
    <t>LONG-GAIN-LOSS</t>
  </si>
  <si>
    <t>Unrealized lomg term gain loss YTD.</t>
  </si>
  <si>
    <t>BOOKLONGGAINUGLYEAR</t>
  </si>
  <si>
    <t>YTD-LONG-TERM-GAIN</t>
  </si>
  <si>
    <t>Unrealized long term gain YTD.</t>
  </si>
  <si>
    <t>BOOKSHORTGAINUGLYEAR</t>
  </si>
  <si>
    <t>YTD-SHORT-TERM-GAIN</t>
  </si>
  <si>
    <t>Unrealized short term gain YTD.</t>
  </si>
  <si>
    <t>BOOKLONGLOSSUGLYEAR</t>
  </si>
  <si>
    <t>YTD-LONG-TERM-LOSS</t>
  </si>
  <si>
    <t>Unrealized long term loss YTD.</t>
  </si>
  <si>
    <t>BOOKSHORTLOSSUGLYEAR</t>
  </si>
  <si>
    <t>YTD-SHORT-TERM-LOSS</t>
  </si>
  <si>
    <t>Unrealized short term loss YTD.</t>
  </si>
  <si>
    <t>SORTORDER</t>
  </si>
  <si>
    <t>Sort Order</t>
  </si>
  <si>
    <t>USERDEFINEDNUM1</t>
  </si>
  <si>
    <t>User defined field for numerical data</t>
  </si>
  <si>
    <t>USERDEFINEDNUM2</t>
  </si>
  <si>
    <t>USERDEFINEDNUM3</t>
  </si>
  <si>
    <t>USERDEFINEDNUM4</t>
  </si>
  <si>
    <t>DAILY</t>
  </si>
  <si>
    <t>ALLOCATION USAGE</t>
  </si>
  <si>
    <t>"NeubergerBerman"</t>
  </si>
  <si>
    <t>n/a</t>
  </si>
  <si>
    <t>"Benchmark"</t>
  </si>
  <si>
    <t>Look up ID for BENCHMARK in SecurityMaster where the column 'id' contains the Benchmark Ticker matches the Ticker</t>
  </si>
  <si>
    <t>Need to load and materialize a security record for each of the 4 benchmarks as part of the intial load</t>
  </si>
  <si>
    <t>id</t>
  </si>
  <si>
    <t>Get benchmark Name using the Ticker</t>
  </si>
  <si>
    <t>MSCI World</t>
  </si>
  <si>
    <t>value</t>
  </si>
  <si>
    <t>MAJOR-INDUSTRY-CODE-DESCRIPTION</t>
  </si>
  <si>
    <t>Financial</t>
  </si>
  <si>
    <t>"Dummy Security"</t>
  </si>
  <si>
    <t>Investment Banking</t>
  </si>
  <si>
    <t>"Industry"</t>
  </si>
  <si>
    <t>Note - all INDEX data loaded into DAILY for a given day must be loaded within a single batch to prevent Snapshots from override existing data for currrent day</t>
  </si>
  <si>
    <t>Set ReasonCode to 'EOD'</t>
  </si>
  <si>
    <t>ID of the Family</t>
  </si>
  <si>
    <t>Tenant ID to associate</t>
  </si>
  <si>
    <t>USERID</t>
  </si>
  <si>
    <t>ID of the Username</t>
  </si>
  <si>
    <t>Short name of the Account Group - Must exist within the tenant</t>
  </si>
  <si>
    <t>Tenant Id in which the ACCOUNTGROUPSECURESHORTNAME exists within</t>
  </si>
  <si>
    <t>MAXIMUMPERCENT</t>
  </si>
  <si>
    <t>Maximum percentage allocation to security</t>
  </si>
  <si>
    <t>MINIMUMPERCENT</t>
  </si>
  <si>
    <t>Minimum percentage allocation to security</t>
  </si>
  <si>
    <t>TARGETPERCENT</t>
  </si>
  <si>
    <t>Target percentage allocation to security</t>
  </si>
  <si>
    <t>PARENTSECURITYMASTERFID</t>
  </si>
  <si>
    <t>Parent security identifier</t>
  </si>
  <si>
    <t>Security identifier</t>
  </si>
  <si>
    <t>LOCALCLOSELAST</t>
  </si>
  <si>
    <t>CODESETSECURECODE</t>
  </si>
  <si>
    <t>VARCHAR2(35 BYTE)</t>
  </si>
  <si>
    <t>Party of Interest Role for the association of Party of Interest to the Family e.g. CPA, Tax Advisor etc.</t>
  </si>
  <si>
    <t>ID for the Family</t>
  </si>
  <si>
    <t>cash contributions to the portfolio in the base currency of reporting</t>
  </si>
  <si>
    <t>management fees paid in the base currency of the portfolio</t>
  </si>
  <si>
    <t>security contributions to the portfolio in the base currency of reporting</t>
  </si>
  <si>
    <t>Spec link</t>
  </si>
  <si>
    <t>NUMBER(20,10)</t>
  </si>
  <si>
    <t>CODE</t>
  </si>
  <si>
    <t>Spec link : https://docs.google.com/spreadsheets/d/1T6HYsdjhFQcFjwqCct3qN5coG6a0s8Kvh1MCkD_4i1w/edit#gid=0</t>
  </si>
  <si>
    <t>CODETYPE</t>
  </si>
  <si>
    <t>Code Type</t>
  </si>
  <si>
    <t>DATEVALUE1</t>
  </si>
  <si>
    <t>Date 1</t>
  </si>
  <si>
    <t>DATEVALUE2</t>
  </si>
  <si>
    <t>Date 2</t>
  </si>
  <si>
    <t>INTVALUE1</t>
  </si>
  <si>
    <t>Integer Value 1</t>
  </si>
  <si>
    <t>INTVALUE2</t>
  </si>
  <si>
    <t>Integer Value 2</t>
  </si>
  <si>
    <t>InvestCloud Use Only: Do Not MapInvestCloud Use Only: Do Not Map</t>
  </si>
  <si>
    <t>VAL</t>
  </si>
  <si>
    <t>Value 1</t>
  </si>
  <si>
    <t>VAL2</t>
  </si>
  <si>
    <t>Value 2</t>
  </si>
  <si>
    <t>Tenant Id</t>
  </si>
  <si>
    <t>WIREINSTRUCTIONS</t>
  </si>
  <si>
    <t>External Bank Account Number</t>
  </si>
  <si>
    <t>BENEFICIARY</t>
  </si>
  <si>
    <t>Beneficiary Name</t>
  </si>
  <si>
    <t>REFERENCE</t>
  </si>
  <si>
    <t>Reference</t>
  </si>
  <si>
    <t>VALUEDATE</t>
  </si>
  <si>
    <t>Value Date</t>
  </si>
  <si>
    <t>WIREAMOUNT</t>
  </si>
  <si>
    <t>Wire Amount</t>
  </si>
  <si>
    <t>WIREDATE</t>
  </si>
  <si>
    <t>Expected Wire Transfer Date</t>
  </si>
  <si>
    <t>BENEFICIARYBANKID</t>
  </si>
  <si>
    <t xml:space="preserve">Beneficiary Bank </t>
  </si>
  <si>
    <t xml:space="preserve">Fund </t>
  </si>
  <si>
    <t>Tenant</t>
  </si>
  <si>
    <t>IBAN</t>
  </si>
  <si>
    <t>VARCHAR2(34 BYTE)</t>
  </si>
  <si>
    <t>IBAN Number</t>
  </si>
  <si>
    <t>SWIFT</t>
  </si>
  <si>
    <t>VARCHAR2(11 BYTE)</t>
  </si>
  <si>
    <t>Swift Code</t>
  </si>
  <si>
    <t>Full Name of Account Holder</t>
  </si>
  <si>
    <t>Legal Name of Account Holder</t>
  </si>
  <si>
    <t>Investment Account Number</t>
  </si>
  <si>
    <t>EXTRACTED</t>
  </si>
  <si>
    <t>Base Currency Code</t>
  </si>
  <si>
    <t>COMMENTS</t>
  </si>
  <si>
    <t>NUMBER(10)</t>
  </si>
  <si>
    <t>ASK</t>
  </si>
  <si>
    <t>Latest Ask Price of Security</t>
  </si>
  <si>
    <t>BID</t>
  </si>
  <si>
    <t>Latest Bid Price of Security</t>
  </si>
  <si>
    <t>CLOSE</t>
  </si>
  <si>
    <t>Closing Price of Security</t>
  </si>
  <si>
    <t>VARCHAR2(5)</t>
  </si>
  <si>
    <t>Exchange for which Closing Price is being sourced</t>
  </si>
  <si>
    <t>Local Currency of Security on the Exchange for which Price is being quoted</t>
  </si>
  <si>
    <t>Opening Price of Security</t>
  </si>
  <si>
    <t>PRICE</t>
  </si>
  <si>
    <t>Latest Price of Security (Mid)</t>
  </si>
  <si>
    <t>PRICETIMING</t>
  </si>
  <si>
    <t>Description of Price Timing - 'REALTIME', 'DEALYED' etc.</t>
  </si>
  <si>
    <t>VARCHAR2(60)</t>
  </si>
  <si>
    <t>Primary Security Symbol for security, should be unique.</t>
  </si>
  <si>
    <t>SYMBOL</t>
  </si>
  <si>
    <t>VARCHAR2(30)</t>
  </si>
  <si>
    <t>Security Symbol</t>
  </si>
  <si>
    <t>VENDOR</t>
  </si>
  <si>
    <t>Name of Pricing Vendor</t>
  </si>
  <si>
    <t>Unique code for holiday calendar e.g. 'NYSE' for New York Stock Exchange holiday calendar</t>
  </si>
  <si>
    <t>Description of Holiday</t>
  </si>
  <si>
    <t>HOLIDAY</t>
  </si>
  <si>
    <t>Date of Holiday</t>
  </si>
  <si>
    <t>SOURCE</t>
  </si>
  <si>
    <t>Source of the Holiday Calendar</t>
  </si>
  <si>
    <t>Billing Period Date</t>
  </si>
  <si>
    <t>OVERRIDEFEEACTUAL</t>
  </si>
  <si>
    <t>Default = N (FeeActual takes value of FeeCalculated). Y (FeeActual = FeeActual)</t>
  </si>
  <si>
    <t>ADJMARKETVALUE</t>
  </si>
  <si>
    <t>Adjusted Account Market Value</t>
  </si>
  <si>
    <t>BREAKPOINTMAX</t>
  </si>
  <si>
    <t>Fee Break Point - max</t>
  </si>
  <si>
    <t>BREAKPOINTMIN</t>
  </si>
  <si>
    <t>Fee Break Point - min</t>
  </si>
  <si>
    <t>EXCEPTIONS</t>
  </si>
  <si>
    <t>Exceptions</t>
  </si>
  <si>
    <t>FEEACTUAL</t>
  </si>
  <si>
    <t>Actual Fee Amount</t>
  </si>
  <si>
    <t>FEECALCULATED</t>
  </si>
  <si>
    <t>Calculated Fee Amount</t>
  </si>
  <si>
    <t>FEECOMMENT</t>
  </si>
  <si>
    <t>Fee Comments</t>
  </si>
  <si>
    <t>FEENAME</t>
  </si>
  <si>
    <t>VARCHAR2(128 BYTE)</t>
  </si>
  <si>
    <t>Set as 'ADVISOR FEE'</t>
  </si>
  <si>
    <t>GROUP1</t>
  </si>
  <si>
    <t>Flexible Category for Grouping</t>
  </si>
  <si>
    <t>GROUP2</t>
  </si>
  <si>
    <t>GROUP3</t>
  </si>
  <si>
    <t>GROUP4</t>
  </si>
  <si>
    <t>GROUP5</t>
  </si>
  <si>
    <t>MARKETVALUE</t>
  </si>
  <si>
    <t>PRORATION</t>
  </si>
  <si>
    <t>RATE</t>
  </si>
  <si>
    <t>Fee Rate</t>
  </si>
  <si>
    <t>RATETYPE</t>
  </si>
  <si>
    <t>Possible Values: ABSOLUTE, PERCENT, BASISPOINT</t>
  </si>
  <si>
    <t>TIER</t>
  </si>
  <si>
    <t>Account Identifier for which Fee has been billed</t>
  </si>
  <si>
    <t>ACCRUEDINTERESTDAYS</t>
  </si>
  <si>
    <t>Number of days for interest accruals. DAYCOUNT in 4. SECURITYMASTERF</t>
  </si>
  <si>
    <t>TIMESTAMP(11)</t>
  </si>
  <si>
    <t>VARCHAR2(22,10)</t>
  </si>
  <si>
    <t>BOOKACCRUEDINTERESTPERIODEND</t>
  </si>
  <si>
    <t>Accrued End Interest Balance for the asset as of the date and time of valuation in account's book currency</t>
  </si>
  <si>
    <t>Assets book currency code (e.g. USD)</t>
  </si>
  <si>
    <t>BOOKMARKETPERIODEND</t>
  </si>
  <si>
    <t>Market Value for the asset as of the date and time in accounts book currency. Cash value for insurance policies</t>
  </si>
  <si>
    <t>COUNTRY</t>
  </si>
  <si>
    <t>Country where the asset is held</t>
  </si>
  <si>
    <t>NUMBER(22, 20)</t>
  </si>
  <si>
    <t>Assets local currency code (e.g. GBP)</t>
  </si>
  <si>
    <t>Market Value for the asset as of the date and time in accounts local currency</t>
  </si>
  <si>
    <t>Price of the asset as of the date and time in accounts local currency</t>
  </si>
  <si>
    <t>PERCENTAGECHANGEPRICEPERIODEND</t>
  </si>
  <si>
    <t>Percent change in price of the asset as of the end period</t>
  </si>
  <si>
    <t>Number of units of the asset held (e.g. 1)</t>
  </si>
  <si>
    <t>REPAYMENTCAPPERCENT</t>
  </si>
  <si>
    <t>Maximum repayment as a percentage of income (e.g. 10)</t>
  </si>
  <si>
    <t>REPAYMENTFREQUENCYDAYS</t>
  </si>
  <si>
    <t>Frequency of asset repayment in days (e.g. 30)</t>
  </si>
  <si>
    <t>REPAYMENTINCOMEPERCENT</t>
  </si>
  <si>
    <t>Percentage of income repayment constitutes (e.g. 1.2)</t>
  </si>
  <si>
    <t>REPAYMENTSTARTDATE</t>
  </si>
  <si>
    <t>DATE(7)</t>
  </si>
  <si>
    <t>First date for repayment on the asset if any</t>
  </si>
  <si>
    <t>REPAYMENTFREQUENCYTYPE</t>
  </si>
  <si>
    <t>Frequency of asset epayment (e.g. Monthly)</t>
  </si>
  <si>
    <t>Asset Description</t>
  </si>
  <si>
    <t>ID of the 1. ACCOUNT which the asset is associated to</t>
  </si>
  <si>
    <t>PRIVATEASSETTYPEID</t>
  </si>
  <si>
    <t>ID of the 28. CODESETSEURE where the CODETYPE is 'PRIVATEASSETTYPE'</t>
  </si>
  <si>
    <t>INDXID</t>
  </si>
  <si>
    <t>Index Id</t>
  </si>
  <si>
    <t>ID of the 4. SECURITYMASTERF record associated</t>
  </si>
  <si>
    <t>THUMBNAILPERSISTEDREPORTID</t>
  </si>
  <si>
    <t>ID of the thumbnail image within PERSISTEDREPORT</t>
  </si>
  <si>
    <t>ASSETNAME</t>
  </si>
  <si>
    <t>Primary name of the Non-Custodial Asset</t>
  </si>
  <si>
    <t>SUBASSETTYPE</t>
  </si>
  <si>
    <t>Sub-Asset type of the Non-Custodial Asset</t>
  </si>
  <si>
    <t>SUBSUBASSETTYPE</t>
  </si>
  <si>
    <t>Sub-Sub-Asset type of the Non-Custodial Asset</t>
  </si>
  <si>
    <t>ASSETINSURED</t>
  </si>
  <si>
    <t>Insured flag for the Non-Custodial asset, may be Y or N</t>
  </si>
  <si>
    <t>NETWORTHINCLUDE</t>
  </si>
  <si>
    <t>Net worth incluson flag for the Non-Custodial asset, may be Y or N. If Y - 2. PROFITLOSSLITE associated</t>
  </si>
  <si>
    <t>CURRENCY</t>
  </si>
  <si>
    <t>Currency of the Non-Custodial asset</t>
  </si>
  <si>
    <t>ACQUISITIONDATE</t>
  </si>
  <si>
    <t>Date acquired for the Non-Custodial asset</t>
  </si>
  <si>
    <t>COST</t>
  </si>
  <si>
    <t>Cost of the Non-Custodial asset</t>
  </si>
  <si>
    <t>PRIVATEASSETKEY</t>
  </si>
  <si>
    <t>Primary Key for the Non-Custodial asset. System generated UUID. Left 4 chars may contain client directed value</t>
  </si>
  <si>
    <t>EXTERNALREFERENCE</t>
  </si>
  <si>
    <t>External reference code for the Non-Custodial asset</t>
  </si>
  <si>
    <t>BEASOF</t>
  </si>
  <si>
    <t>As Of date for the corresponding 2. PROFITLOSSLITE or 3. PROFITLOSS snapshot</t>
  </si>
  <si>
    <t>Price of the asset as of the date and time in accounts book currency</t>
  </si>
  <si>
    <t>ADDRESS</t>
  </si>
  <si>
    <t>Address of the associated Non-Custodial asset</t>
  </si>
  <si>
    <t>LOCALACCRUEDINTERESTPERIODEND</t>
  </si>
  <si>
    <t>Accrued End Interest Balance for the asset as of the date and time of valuation in account's local currency</t>
  </si>
  <si>
    <t>ACCOUNTOWNER</t>
  </si>
  <si>
    <t>Open text to describe the owner of the account in 1. ACCOUNT</t>
  </si>
  <si>
    <t>The short name/code for the Broker/Custodian where this account is held in 1. ACCOUNT</t>
  </si>
  <si>
    <t>Manager on the account in 1. ACCOUNT</t>
  </si>
  <si>
    <t>The account number of the prime broker account or custody account in 1. ACCOUNT For Non-Custody accounts - client directed</t>
  </si>
  <si>
    <t>Term limit in years on an insurance policy (e.g. 20)</t>
  </si>
  <si>
    <t>DEATHBENEFITVALUE</t>
  </si>
  <si>
    <t>Death benefit value on an insurance policy</t>
  </si>
  <si>
    <t>ANNUALBENEFITVALUE</t>
  </si>
  <si>
    <t>Annual benefit value on an insurance policy</t>
  </si>
  <si>
    <t>PREMIUMPAYMENTFREQUENCY</t>
  </si>
  <si>
    <t>Premium payment frequency on an insurance policy (e.g. Montly)</t>
  </si>
  <si>
    <t>DEDUCTIBLEVALUE</t>
  </si>
  <si>
    <t>Deductible value on an insurance policy</t>
  </si>
  <si>
    <t>INDEXEDVALUE</t>
  </si>
  <si>
    <t>Indexed value on a life insurance policy</t>
  </si>
  <si>
    <t>MAXIMUMCOVERAGEVALUE</t>
  </si>
  <si>
    <t>Maximum coverage value on an insurance policy</t>
  </si>
  <si>
    <t>Expiry date on the Non-Custodial asset</t>
  </si>
  <si>
    <t>INITIALASSUREDVALUE</t>
  </si>
  <si>
    <t>Initual assured value on an insurance policy</t>
  </si>
  <si>
    <t>DOCUMENTSREQUIRED</t>
  </si>
  <si>
    <t>Freeform text field to describe documents required for a Non-Custodial asset</t>
  </si>
  <si>
    <t>LOANVALUE</t>
  </si>
  <si>
    <t>Loan value for an asset if any</t>
  </si>
  <si>
    <t>PRIVATEASSETSTATUS</t>
  </si>
  <si>
    <t>Asset Status: (CURRENT, CURRENTPENDING, HISTORICAL, HISTORICALPENDING, EXPIRED, DELETEPENDING, DELETED)</t>
  </si>
  <si>
    <t>PREMIUMPAYMENTAMOUNT</t>
  </si>
  <si>
    <t>Premium payment amount for a premium payment frequency on an insurance policy (e.g. 400)</t>
  </si>
  <si>
    <t>Maturity date on the private asset. Term date for an insurance policy</t>
  </si>
  <si>
    <t>REPAYMENTFREQUENCY</t>
  </si>
  <si>
    <t>Repayment frequency on asset payments such as insurance policies</t>
  </si>
  <si>
    <t>TagContent</t>
  </si>
  <si>
    <t>Id</t>
  </si>
  <si>
    <t>PostedBy</t>
  </si>
  <si>
    <t>Content</t>
  </si>
  <si>
    <t>SweetUrl</t>
  </si>
  <si>
    <t>BeAsOf</t>
  </si>
  <si>
    <t>BeCreatime</t>
  </si>
  <si>
    <t>ShowOn</t>
  </si>
  <si>
    <t>HideOn</t>
  </si>
  <si>
    <t>Privacy</t>
  </si>
  <si>
    <t>VARCHAR2 (1 BYTE)</t>
  </si>
  <si>
    <t>Collection</t>
  </si>
  <si>
    <t>Tags</t>
  </si>
  <si>
    <t>EntityName</t>
  </si>
  <si>
    <t>_Synchronous</t>
  </si>
  <si>
    <t>PersistedReportId</t>
  </si>
  <si>
    <t>BE_CURRENT</t>
  </si>
  <si>
    <t>ADVISORYFEERATE</t>
  </si>
  <si>
    <t>Advisory Fee Rate, can be used for display purposes within the Model Portfolio selection process</t>
  </si>
  <si>
    <t>CLASSIFICATION</t>
  </si>
  <si>
    <t>Flexible reporting classification field for the Model Portfolio</t>
  </si>
  <si>
    <t>Flexible reporting field for additional comments relating to the Model Portfolio</t>
  </si>
  <si>
    <t>DEFAULTDRIFTPERCENT</t>
  </si>
  <si>
    <t>Default drift percentage for Model Portfolio Allocations</t>
  </si>
  <si>
    <t>VARCHAR2(1000 BYTE)</t>
  </si>
  <si>
    <t>Detailed description of the Model Portfolio</t>
  </si>
  <si>
    <t>DISPLAYNAME</t>
  </si>
  <si>
    <t>Display name for Model Portfolio</t>
  </si>
  <si>
    <t>INVESTMENTSTRATEGYID</t>
  </si>
  <si>
    <t>Associated Investment Strategy for the Model Portfolio</t>
  </si>
  <si>
    <t>Investment Manager of the Model Portfolio</t>
  </si>
  <si>
    <t>MODELATTRIBUTES</t>
  </si>
  <si>
    <t>VARCHAR2(400 BYTE)</t>
  </si>
  <si>
    <t>Description of the Attributes of the Model</t>
  </si>
  <si>
    <t>MODELCONS</t>
  </si>
  <si>
    <t>Description of the Model Portfolio Cons, can be used for display purposes within the Model Portfolio selection process</t>
  </si>
  <si>
    <t>MODELPROS</t>
  </si>
  <si>
    <t>Description of the Model Portfolio Pros, can be used for display purposes within the Model Portfolio selection process</t>
  </si>
  <si>
    <t>MODELSTATUS</t>
  </si>
  <si>
    <t>Model Status, e.g. 'OPEN', 'CLOSED'</t>
  </si>
  <si>
    <t>MODELTYPE</t>
  </si>
  <si>
    <t>Model Portfolio Type</t>
  </si>
  <si>
    <t>Model Portfolio Name, must be unique.</t>
  </si>
  <si>
    <t>OPENDATE</t>
  </si>
  <si>
    <t>Model Portfolio Open Date</t>
  </si>
  <si>
    <t>PRODUCTLINE</t>
  </si>
  <si>
    <t>Name of Product Line associated with Model Portfolio</t>
  </si>
  <si>
    <t>PROJECTEDRATEOFRETURNHIGH</t>
  </si>
  <si>
    <t>Projected High Rate of Return on the Model Portfolio</t>
  </si>
  <si>
    <t>PROJECTEDRATEOFRETURNLOW</t>
  </si>
  <si>
    <t>Projected Low Rate of Return on the Model Portfolio</t>
  </si>
  <si>
    <t>PROJECTEDRATEOFRETURNMID</t>
  </si>
  <si>
    <t>Projected Mid Rate of Return on the Model Portfolio</t>
  </si>
  <si>
    <t>Associated Risk Profile for the Model Portfolio e.g. Aggressive</t>
  </si>
  <si>
    <t>SEQUENCENAME</t>
  </si>
  <si>
    <t>Model Portfolio Sequence Name, where model is part of a series of models that may be used to move the client forward each year.</t>
  </si>
  <si>
    <t>SEQUENCENO</t>
  </si>
  <si>
    <t>NUMBER(38,0)</t>
  </si>
  <si>
    <t>Model Portfolio Sequence Number, where model is part of a series of models that may be used to move the client forward each year.</t>
  </si>
  <si>
    <t>Model Portfolio Tax Status, e.g. Taxable, Non-Taxable</t>
  </si>
  <si>
    <t>Flexible reporting field for additional comments relating to the Model Portfolio Holding</t>
  </si>
  <si>
    <t>HOLDINGSTATUS</t>
  </si>
  <si>
    <t>Model Portfolio Holdings Status</t>
  </si>
  <si>
    <t>HOLDINGTYPE</t>
  </si>
  <si>
    <t>Holding Type - AssetClass or Security</t>
  </si>
  <si>
    <t>Maximum percentage allowable within the allocation target toleranace band</t>
  </si>
  <si>
    <t>Minimum percentage allowable within the allocation target toleranace band</t>
  </si>
  <si>
    <t>Model Portfolio Holdings Name</t>
  </si>
  <si>
    <t>Target percentage for this allocation</t>
  </si>
  <si>
    <t>Model Portfolio associated with this allocation</t>
  </si>
  <si>
    <t>Security Master Identifier associated with this allocation, where holding type is security based.</t>
  </si>
  <si>
    <t>SEGMENTVALUEID</t>
  </si>
  <si>
    <t>PARENTHOLDINGID</t>
  </si>
  <si>
    <t>MODELPORTFOLIOASHOLDINGID</t>
  </si>
  <si>
    <t>IDENTIFIER</t>
  </si>
  <si>
    <t>Security identifier, where holding type is security based</t>
  </si>
  <si>
    <t>IDENTIFIERTYPE</t>
  </si>
  <si>
    <t>Security identifier type, where holding type is security based</t>
  </si>
  <si>
    <t>DATEADDED</t>
  </si>
  <si>
    <t>Date allocation added to Model Portfolio</t>
  </si>
  <si>
    <t>ALLOWLISTID</t>
  </si>
  <si>
    <t>Link to Security Buy List, where Model Type is Asset Class based</t>
  </si>
  <si>
    <t>EXTERNALCODE</t>
  </si>
  <si>
    <t>Asset Class Code, where Model Type is Asset Class based</t>
  </si>
  <si>
    <t>EXTERNALASSETNAME1</t>
  </si>
  <si>
    <t>Asset Class Level 1, where Model Type is Asset Class based</t>
  </si>
  <si>
    <t>EXTERNALASSETNAME2</t>
  </si>
  <si>
    <t>Asset Class Level 2, where Model Type is Asset Class based</t>
  </si>
  <si>
    <t>BE_CURRIND</t>
  </si>
  <si>
    <t>Mandatory Field. Street Address</t>
  </si>
  <si>
    <t>Unit or additional street address information</t>
  </si>
  <si>
    <t>additional address information</t>
  </si>
  <si>
    <t>ADDRESSENTITYNAME</t>
  </si>
  <si>
    <t>Accepted values: [PARTYOFINTEREST, FAMILYMEMBER, FAMILY, ACCOUNT]</t>
  </si>
  <si>
    <t>ADDRESSSTATE</t>
  </si>
  <si>
    <t>State where address located</t>
  </si>
  <si>
    <t>ADDRESSTYPE</t>
  </si>
  <si>
    <t>Type of Address: may be Personal or Business</t>
  </si>
  <si>
    <t>Current status: Y or N</t>
  </si>
  <si>
    <t>DateTime format - year specific dates an address is valid (eg. date of purchase to date of sale)</t>
  </si>
  <si>
    <t>Friendly description of the address</t>
  </si>
  <si>
    <t>ENDDATE</t>
  </si>
  <si>
    <t>Number (1, 366)</t>
  </si>
  <si>
    <t>POSTALCODE</t>
  </si>
  <si>
    <t>Postal code</t>
  </si>
  <si>
    <t>STARTDATE</t>
  </si>
  <si>
    <t>Id of the Account address associated with</t>
  </si>
  <si>
    <t>ADDRESSSUBTYPEID</t>
  </si>
  <si>
    <t>CATEGORYID</t>
  </si>
  <si>
    <t>Primary, Seasonal, Secondary. CodeSet of type ADDRTYPE with Value2 CATEGORY</t>
  </si>
  <si>
    <t>COUNTRYCODE</t>
  </si>
  <si>
    <t>Two character Country Code (US, GB, CA, FR)</t>
  </si>
  <si>
    <t>Id of the Family address associated with</t>
  </si>
  <si>
    <t>ID of the Party Of Interest/FamilyMember address associated with</t>
  </si>
  <si>
    <t>SUBCATEGORYID</t>
  </si>
  <si>
    <t>SUBSUBCATEGORYID</t>
  </si>
  <si>
    <t>Existing Commentable TurboBridge logic:</t>
  </si>
  <si>
    <t>When ForeignCommentKey is NOT NULL, turbo bridge will update the existing record with the same ForeignCommentKey. ForeignCommentKey must be unique per record.</t>
  </si>
  <si>
    <t>When ForeignCommentKey is NULL,</t>
  </si>
  <si>
    <t xml:space="preserve">  - If InvalidatePreviousRecords = True, turbobridge expires all existing records with the same (ObjectId, EntityClassName, BeAsOf) and insert new ones.</t>
  </si>
  <si>
    <t xml:space="preserve">  - If InvalidatePreviousRecords = False, turbobridge only inserts and does not expire any record.</t>
  </si>
  <si>
    <t>Allocation Usage</t>
  </si>
  <si>
    <t>NUMBER (10,0)</t>
  </si>
  <si>
    <t>EDELIVERY_MMDDYYYYHHmmSS</t>
  </si>
  <si>
    <t>Date of Election</t>
  </si>
  <si>
    <t>Election Type</t>
  </si>
  <si>
    <t>ENTITYCLASSNAME</t>
  </si>
  <si>
    <t>FOREIGNCOMMENTKEY</t>
  </si>
  <si>
    <t>Concatenate (Username,Account Number,Document Type) without any space or comma</t>
  </si>
  <si>
    <t>KEYWORDS</t>
  </si>
  <si>
    <t>Account Relationship</t>
  </si>
  <si>
    <t>Map BeamAccount.Id 
where BeamAccount.AccountShortName 
= input.AccountNumber</t>
  </si>
  <si>
    <t>OBJECTNAME</t>
  </si>
  <si>
    <t>Hardcode to "ACCOUNT"</t>
  </si>
  <si>
    <t>Account Number</t>
  </si>
  <si>
    <t>SUBJECT</t>
  </si>
  <si>
    <t>Document Type</t>
  </si>
  <si>
    <t>Map TenantId of "NeubergerBerman_Users"</t>
  </si>
  <si>
    <t>TEXT</t>
  </si>
  <si>
    <t>VARCHAR2 (4000)</t>
  </si>
  <si>
    <t>Current Election
If input is blank, map "N/A"</t>
  </si>
  <si>
    <t>SQL query for outbound extract:</t>
  </si>
  <si>
    <t>select be_username as Username, sortorder as AccountNumber, be_asof as DateOfElection, text as CurrentElection, subject as DocumentType, category as ElectionType, keywords as AccountRelationship
from commentable
where tenantid=(select id from sectenant where name like 'NeubergerBerman_Users')
and be_validto is NULL
and sortorder is NOT NULL;</t>
  </si>
  <si>
    <r>
      <rPr>
        <b/>
        <sz val="10"/>
        <color rgb="FF000000"/>
        <rFont val="Helvetica Neue"/>
      </rPr>
      <t>Filename:</t>
    </r>
    <r>
      <rPr>
        <sz val="10"/>
        <color rgb="FF000000"/>
        <rFont val="Helvetica Neue"/>
      </rPr>
      <t xml:space="preserve"> EDELIVERY_YYYYMMDDTimestamp.txt</t>
    </r>
  </si>
  <si>
    <r>
      <rPr>
        <b/>
        <sz val="10"/>
        <rFont val="Helvetica Neue"/>
      </rPr>
      <t>Timing:</t>
    </r>
    <r>
      <rPr>
        <sz val="10"/>
        <rFont val="Helvetica Neue"/>
      </rPr>
      <t xml:space="preserve"> This extract needs to run at 11:55pm EST every night (together with all other outbound extracts).</t>
    </r>
  </si>
  <si>
    <t xml:space="preserve">Upload Location: </t>
  </si>
  <si>
    <r>
      <rPr>
        <b/>
        <sz val="10"/>
        <rFont val="Helvetica Neue"/>
      </rPr>
      <t xml:space="preserve">PRE3: </t>
    </r>
    <r>
      <rPr>
        <sz val="10"/>
        <rFont val="Helvetica Neue"/>
      </rPr>
      <t>SFTP/uploads/extracts/Preprod</t>
    </r>
  </si>
  <si>
    <r>
      <rPr>
        <b/>
        <sz val="10"/>
        <rFont val="Helvetica Neue"/>
      </rPr>
      <t xml:space="preserve">UAT7: </t>
    </r>
    <r>
      <rPr>
        <sz val="10"/>
        <rFont val="Helvetica Neue"/>
      </rPr>
      <t>SFTP/uploads/extracts/UAT7</t>
    </r>
  </si>
  <si>
    <r>
      <rPr>
        <b/>
        <sz val="10"/>
        <rFont val="Helvetica Neue"/>
      </rPr>
      <t xml:space="preserve">ENV7: </t>
    </r>
    <r>
      <rPr>
        <sz val="10"/>
        <rFont val="Helvetica Neue"/>
      </rPr>
      <t>SFTP/uploads/extracts/Prod</t>
    </r>
  </si>
  <si>
    <t>DISBRECIPIENTS_MMDDYYYYHHMMSS</t>
  </si>
  <si>
    <t>ToABANumber</t>
  </si>
  <si>
    <t>ACH / Wire</t>
  </si>
  <si>
    <t>ABA Identifier of the Account at Bank</t>
  </si>
  <si>
    <r>
      <rPr>
        <sz val="10"/>
        <color rgb="FF000000"/>
        <rFont val="Helvetica Neue"/>
      </rPr>
      <t xml:space="preserve">Check / ACH / Wire - required, IC to lookup </t>
    </r>
    <r>
      <rPr>
        <u/>
        <sz val="10"/>
        <color rgb="FF1155CC"/>
        <rFont val="Helvetica Neue"/>
      </rPr>
      <t>BeamAccount.Id</t>
    </r>
    <r>
      <rPr>
        <sz val="10"/>
        <color rgb="FF000000"/>
        <rFont val="Helvetica Neue"/>
      </rPr>
      <t xml:space="preserve"> WHERE BeamAccount.AccountShortName = &lt;NBAccountNumber&gt;</t>
    </r>
  </si>
  <si>
    <t>IC-Internal Account Identifier</t>
  </si>
  <si>
    <t>Reporting Required</t>
  </si>
  <si>
    <t>payee_address_line1</t>
  </si>
  <si>
    <t>Check</t>
  </si>
  <si>
    <t>payee_address_line2</t>
  </si>
  <si>
    <t>payee_address_line3</t>
  </si>
  <si>
    <t>payee_address_line4</t>
  </si>
  <si>
    <t>APPROVALMETHOD</t>
  </si>
  <si>
    <t>Method to Approve Bank Wires</t>
  </si>
  <si>
    <t>BANKCOUNTRY</t>
  </si>
  <si>
    <t>Country of Bank</t>
  </si>
  <si>
    <t>BANKCOUNTRYCODE</t>
  </si>
  <si>
    <t>Country Code of Bank</t>
  </si>
  <si>
    <t>Currency of the account at the Bank</t>
  </si>
  <si>
    <t>BENEFICIARYBIC</t>
  </si>
  <si>
    <t>Bank Identifier Code</t>
  </si>
  <si>
    <t>CLEARINGCODETYPE</t>
  </si>
  <si>
    <t>Type of Clearing Code at Bank - Ex. NCC</t>
  </si>
  <si>
    <t>CLEARINGCODETYPEVALUE</t>
  </si>
  <si>
    <t>Value for Type of Clearing Code at Bank</t>
  </si>
  <si>
    <t>CLIENTBANKACCOUNTFRIENDLYNAME</t>
  </si>
  <si>
    <t>toaccountfriendlyname</t>
  </si>
  <si>
    <t>Name of the Account at the Beneficiary Bank</t>
  </si>
  <si>
    <t>CLIENTBANKACCOUNTNUMBER</t>
  </si>
  <si>
    <t>VARCHAR2(50BYTE)</t>
  </si>
  <si>
    <t>ToAccountNumber  (See Column N)</t>
  </si>
  <si>
    <t>ACH / Wire - for Check, IF File.ToAccountNumber is null THEN hardcode to 000000000</t>
  </si>
  <si>
    <t>Wire Account Number of Client at bank</t>
  </si>
  <si>
    <t>CLIENTBANKACCOUNTTYPE</t>
  </si>
  <si>
    <t>ToAccountType</t>
  </si>
  <si>
    <t>ACH</t>
  </si>
  <si>
    <t>Bank Account Type</t>
  </si>
  <si>
    <t>CLIENTBANKBRANCHIDENTIFIER</t>
  </si>
  <si>
    <t>Identifier of the Bank's Branch</t>
  </si>
  <si>
    <t>CLIENTBANKNAME</t>
  </si>
  <si>
    <t>ToAccountBankName</t>
  </si>
  <si>
    <t>Name of Bank associated to Client</t>
  </si>
  <si>
    <t>CLIENTBANKOWNERNAME</t>
  </si>
  <si>
    <t>Check / ACH / Wire - required</t>
  </si>
  <si>
    <t>Name of the Owner of the Bank Account</t>
  </si>
  <si>
    <t>CLIENTBANKROUTINGNUMBER</t>
  </si>
  <si>
    <t>DOMESTICBANKCODE</t>
  </si>
  <si>
    <t>Domestic Bank Code</t>
  </si>
  <si>
    <t>FOLLOWCASHTRANSFERWORKFLOW</t>
  </si>
  <si>
    <t>RecipientName (ProfileName)</t>
  </si>
  <si>
    <t>HASACTIVEDIRECTDEBITMANDATE</t>
  </si>
  <si>
    <t>Flag for Active Direct Debit Mandate (gives service providers written permission to take payments from their customers bank accounts)</t>
  </si>
  <si>
    <t>International Bank Account Number</t>
  </si>
  <si>
    <t xml:space="preserve">IC-Internal Identifier </t>
  </si>
  <si>
    <t>INTERMEDIARYACCTNUMBER</t>
  </si>
  <si>
    <t>ToInstitutionAccountNumber</t>
  </si>
  <si>
    <t>Wire</t>
  </si>
  <si>
    <t>Intermediary's Account Number</t>
  </si>
  <si>
    <t>INTERMEDIARYBIC</t>
  </si>
  <si>
    <t>Intermediary's Bank Identification Number</t>
  </si>
  <si>
    <t>INTERMEDIARYCLEARINGCODETP</t>
  </si>
  <si>
    <t>INTERMEDIARYCLEARINGCODETPVALUE</t>
  </si>
  <si>
    <t>INTERMEDIARYCLEARINGCODEVAL</t>
  </si>
  <si>
    <t>Intermediary's Clearing Code Value</t>
  </si>
  <si>
    <t>INTERMEDIARYNAME</t>
  </si>
  <si>
    <t>ToInstitutionName</t>
  </si>
  <si>
    <t>Name of the Intermediary</t>
  </si>
  <si>
    <t>ISACTIVE</t>
  </si>
  <si>
    <t>IsActive</t>
  </si>
  <si>
    <t xml:space="preserve">Active Flag </t>
  </si>
  <si>
    <t>ISDEFAULT</t>
  </si>
  <si>
    <t>Default Flag</t>
  </si>
  <si>
    <t>RecipientName1</t>
  </si>
  <si>
    <t>RELATIONSHIPAPPROVALDATE</t>
  </si>
  <si>
    <t>Date the Relationship is Approved</t>
  </si>
  <si>
    <t>RELATIONSHIPBEGINDATE</t>
  </si>
  <si>
    <t>Relationship Start Date</t>
  </si>
  <si>
    <t>Relationship End Date</t>
  </si>
  <si>
    <t>RELATIONSHIPIDENTIFIER</t>
  </si>
  <si>
    <t>Relationship Identifier</t>
  </si>
  <si>
    <t>RELATIONSHIPSTATUS</t>
  </si>
  <si>
    <t>Status of Relationship</t>
  </si>
  <si>
    <t>ExternalIdentifier</t>
  </si>
  <si>
    <t>SOURCESTATUS</t>
  </si>
  <si>
    <t>Status of the Source</t>
  </si>
  <si>
    <t>Reporting Required for Check</t>
  </si>
  <si>
    <t>SWIFT (Society for Worldwide Interbank Financial Telecommunication) Number</t>
  </si>
  <si>
    <t>Id of the User linked to Bank</t>
  </si>
  <si>
    <t>VERIFICATIONSTATUS</t>
  </si>
  <si>
    <t>VARCHAR2(7 BYTE)</t>
  </si>
  <si>
    <t>Verification Status</t>
  </si>
  <si>
    <t>I-Tier uses File.ExternalIdentifier to determine if the row is an INSERT or UPDATE</t>
  </si>
  <si>
    <t>IsActive used to determine if Recipient Details are available or unavailable in the apps</t>
  </si>
  <si>
    <t>Row fails if validations break (e.g. string sent in a number field, business rules broken, etc.) -- otherwise Row is written to DB</t>
  </si>
  <si>
    <t>For each row emit a new row to poicode_DISBRECIPIENTS_MMDDYYYYHHMMSS to run through the PARTYOFINTERESTCODE ETL with the following columns:</t>
  </si>
  <si>
    <t>PartyOfInterestShortName - string, file.ExternalIdentifier</t>
  </si>
  <si>
    <t>CodeType - string, hardcoded to CASHTRANSFERTYPE</t>
  </si>
  <si>
    <t>Code - string, file.DisbursementMethod</t>
  </si>
  <si>
    <t>Val - string, lookup CodeSetSecure.Value WHERE CodeSetSecure.CodeType = CASHTRANSFERTYPE AND CodeSetSecure.Code = file.DisbursementMethod</t>
  </si>
  <si>
    <t>SortOrder - integer, lookup CodeSetSecure.SortOrder WHERE CodeSetSecure.CodeType = CASHTRANSFERTYPE AND CodeSetSecure.Code = file.DisbursementMethod</t>
  </si>
  <si>
    <t>RemovePOIFlag - string, IF File.IsActive = N THEN RemovePOIFlag = Y ELSE RemovePOIFlag = N</t>
  </si>
  <si>
    <t>Assign ACL of the account to the BeneficiaryBank</t>
  </si>
  <si>
    <t>VALIDATION RULES:</t>
  </si>
  <si>
    <t>Ensure strings are not longer than max width</t>
  </si>
  <si>
    <t>RecipientName (ProfileName) is required</t>
  </si>
  <si>
    <t>ExternalIdentifier (ProfileId) is required</t>
  </si>
  <si>
    <t>NBAccountNumber is required</t>
  </si>
  <si>
    <t>br_acct is required</t>
  </si>
  <si>
    <t>ToAccountFriendlyName, ToAccountNumber, ToAccountType, ToAccountBankName, ToABANumber are required when DisbursementMethod is ACH</t>
  </si>
  <si>
    <t>ToAccountFriendlyName,</t>
  </si>
  <si>
    <t>ToAccountNumber, ToAccountBankName, ToABANumber are required when DisbursementMethod is WIRE</t>
  </si>
  <si>
    <t>At least two of payee_address_line1, payee_address_line2, payee_address_line3, payee_address_line4 are required when DisbursementMethod is Check</t>
  </si>
  <si>
    <t>DisbursementMethod is required. This will be included in the file. It will not be mapped on this CI but will be used to popoulate Code on PARTYOFINTERESTCODE.</t>
  </si>
  <si>
    <t>IsActive is required</t>
  </si>
  <si>
    <t>InvestCloud-Only unique identifier</t>
  </si>
  <si>
    <t>poicode_DISBRECIPIENTS_MMDDYYYYHHMMSS</t>
  </si>
  <si>
    <t>DisbursementMethod</t>
  </si>
  <si>
    <t>CodeSetSecure Code to relate to the PartyOfInterest</t>
  </si>
  <si>
    <t>VARCHAR2(31 BYTE)</t>
  </si>
  <si>
    <t>Hard code to CASHTRANSFERTYPE</t>
  </si>
  <si>
    <t>CASHTRANSFERTYPE</t>
  </si>
  <si>
    <t>CodeSetSecure CodeType to relate to the PartyOfInterest</t>
  </si>
  <si>
    <t>CodeSetSecure DateValue1 to relate to the PartyOfInterest</t>
  </si>
  <si>
    <t>CodeSetSecure DateValue2 to relate to the PartyOfInterest</t>
  </si>
  <si>
    <t>CodeSetSecure IntValue1 to relate to the PartyOfInterest</t>
  </si>
  <si>
    <t>CodeSetSecure IntValue2 to relate to the PartyOfInterest</t>
  </si>
  <si>
    <t>INTVALUE3</t>
  </si>
  <si>
    <t>CodeSetSecure IntValue 3 to relate to the PartyOfInterest</t>
  </si>
  <si>
    <t>LOCALE</t>
  </si>
  <si>
    <t>English-Canada</t>
  </si>
  <si>
    <t>CodeSetSecure code to relate to the PartyOfInterest</t>
  </si>
  <si>
    <t>Lookup CodeSetSecure.SortOrder WHERE CodeSetSecure.CodeType = CASHTRANSFERTYPE AND CodeSetSecure.Code= File.DisbursementMethod</t>
  </si>
  <si>
    <t>Lookup CodeSetSecure.Val WHERE CodeSetSecure.CodeType = CASHTRANSFERTYPE AND CodeSetSecure.Code= File.DisbursementMethod</t>
  </si>
  <si>
    <t>ACH Transfer</t>
  </si>
  <si>
    <t>Disburses payments via ACH Transfer</t>
  </si>
  <si>
    <t>Lookup PartyOfInterest.BE_ACL WHERE PartyOfInterest.ShortName = File.ExternalIdentifier (Profile Id)</t>
  </si>
  <si>
    <t>InvestCloud-Only identifies the ACL</t>
  </si>
  <si>
    <t>Lookup PartyOfInterest.Id WHERE PartyOfInterest.ShortName = File.ExternalIdentifier (Profile Id)</t>
  </si>
  <si>
    <t>Identifies the PartyOfInterest the Code is related to</t>
  </si>
  <si>
    <t>Identifies the Tenant</t>
  </si>
  <si>
    <t>REMOVEPOIFLAG</t>
  </si>
  <si>
    <t>IF File.IsActive = N THEN RemovePOIFlag = Y ELSE RemovePOIFlag = N
IF RemovePOIFlag = Y THEN StgRecordAction = 'D'</t>
  </si>
  <si>
    <t>Indicates to the TurboBridge to remove the records in the underlying table for the PartyOfInterestCode</t>
  </si>
  <si>
    <r>
      <rPr>
        <sz val="10"/>
        <rFont val="arial, sans, sans-serif"/>
      </rPr>
      <t xml:space="preserve">See </t>
    </r>
    <r>
      <rPr>
        <u/>
        <sz val="10"/>
        <color rgb="FF1155CC"/>
        <rFont val="arial, sans, sans-serif"/>
      </rPr>
      <t>New I-Tier Turbo Bridge - PartyOfInterestCode</t>
    </r>
  </si>
  <si>
    <t>IF RemovePOIFlag = Y THEN StgRecordAction = 'D'</t>
  </si>
  <si>
    <t>CodeType, Code, Val, and PartyOfInterestShortName are required</t>
  </si>
  <si>
    <t>Optional Field</t>
  </si>
  <si>
    <t>ACCOUNTCODE</t>
  </si>
  <si>
    <t>AccountTagIncomeRemitUpdate*.csv</t>
  </si>
  <si>
    <t>AccountShortName or Account ID should be passed</t>
  </si>
  <si>
    <t>Account ID</t>
  </si>
  <si>
    <t>Tenant Name</t>
  </si>
  <si>
    <t>Tenant Name or Tenant ID should be passed</t>
  </si>
  <si>
    <t>Tenant ID</t>
  </si>
  <si>
    <t>Val</t>
  </si>
  <si>
    <t>INCM or DPST</t>
  </si>
  <si>
    <t>CodeType</t>
  </si>
  <si>
    <t>Hardcoded as 'ACCOUNTTAG'</t>
  </si>
  <si>
    <t>AccountId</t>
  </si>
  <si>
    <t>BeamAccountOverride</t>
  </si>
  <si>
    <t>Map BeamAccount.Id from 
BeamAccount where File.AccountShortName = BeamAccount.AccountShortName</t>
  </si>
  <si>
    <t>FieldName</t>
  </si>
  <si>
    <t>FieldValue</t>
  </si>
  <si>
    <t>UserId</t>
  </si>
  <si>
    <t>Map BeamUser.Id from
BeamUser.Id where File.Username = BeamUser.Username</t>
  </si>
  <si>
    <t>System Generated</t>
  </si>
  <si>
    <t>NUMBER(19,0)</t>
  </si>
  <si>
    <t>USERVIEW_MMDDYYYYHHmmSS.txt</t>
  </si>
  <si>
    <t>BE_UPDTIME</t>
  </si>
  <si>
    <t>ACL ID of the Tenant</t>
  </si>
  <si>
    <t>Lookup: select s.ID FROM secacl s JOIN sectenant t on s.id = t.be_acl JOIN beamuser b on t.be_acl = b.be_acl WHERE b.username = input.username</t>
  </si>
  <si>
    <t>Tenant ID of the user</t>
  </si>
  <si>
    <t>Lookup: select t.id FROM sectenant t JOIN beamuser b on t.be_acl = b.be_acl WHERE b.username = input.username</t>
  </si>
  <si>
    <t>VIEWCODE</t>
  </si>
  <si>
    <t>VARCHAR2(25)</t>
  </si>
  <si>
    <t xml:space="preserve">Unique identifier for the Portal View </t>
  </si>
  <si>
    <t xml:space="preserve">If Input.PortalViewName = Interested Party then hardcode to "INTERESTED_PARTY", 
If Input.PortalViewName = Owner Party then hardcode to "OWNER_PARTY". 
Else, reject. </t>
  </si>
  <si>
    <t xml:space="preserve">System generated (insert logic). Unique per user &amp; tenant. INTERESTED_PARTY, OWNER_PARTY, PRIMARY_VIEW (controlled by A-Tier). </t>
  </si>
  <si>
    <t>VIEWNAME</t>
  </si>
  <si>
    <t xml:space="preserve">Name of the Portal View. This value is client facing. </t>
  </si>
  <si>
    <t>PORTALVIEWNAME</t>
  </si>
  <si>
    <t>Owner Party</t>
  </si>
  <si>
    <t xml:space="preserve">User ID associated to the Portal View </t>
  </si>
  <si>
    <t>lauraharley</t>
  </si>
  <si>
    <t>Lookup: select b.id from beamuser b where b.username = input.username</t>
  </si>
  <si>
    <t>VARCHAR2(255) </t>
  </si>
  <si>
    <t xml:space="preserve">Description of the Portal View. This value is client facing. </t>
  </si>
  <si>
    <t>PORTALVIEWDESCRIPTION</t>
  </si>
  <si>
    <t>Portal View for Owner Party Accounts</t>
  </si>
  <si>
    <t>VARCHAR2(1) </t>
  </si>
  <si>
    <t xml:space="preserve">Default Portal View indicator (Y/N) </t>
  </si>
  <si>
    <t xml:space="preserve">If create, hardcode to "N". If update, preserve existing. </t>
  </si>
  <si>
    <t>ISCURRENT</t>
  </si>
  <si>
    <t xml:space="preserve">Current Portal View indicator (Y/N) </t>
  </si>
  <si>
    <t>I-Tier Action for Delete = 'D'</t>
  </si>
  <si>
    <t>D</t>
  </si>
  <si>
    <t xml:space="preserve">If null, STGRecordAction = null else RecordAction. Delete lookup: select u.id from userview where u.userid = input.username and u.viewname = input.viewname. Delete children records in UserViewPreference where u.ID = UserViewPreference.UserViewId </t>
  </si>
  <si>
    <t>Diff load</t>
  </si>
  <si>
    <t xml:space="preserve">If a VIEWNAME is  already existing for the user, update. Do not create an additional view. </t>
  </si>
  <si>
    <t xml:space="preserve">Users tenant ACL </t>
  </si>
  <si>
    <t>OBJECT_ACL</t>
  </si>
  <si>
    <t xml:space="preserve">ACL ID of the Associated Object (Account) </t>
  </si>
  <si>
    <t>Lookup s.id FROM secacl s JOIN beamaccount b on b.be_acl = s.id where b.accountshortname = input.accountshortname</t>
  </si>
  <si>
    <t>ENTITYNAME</t>
  </si>
  <si>
    <t>VARCHAR2(40)</t>
  </si>
  <si>
    <t xml:space="preserve">Name of the associated entity (AccountEntity) </t>
  </si>
  <si>
    <t>Harcode to "AccountEntity"</t>
  </si>
  <si>
    <t xml:space="preserve">ID of the Asociated Object (Account) </t>
  </si>
  <si>
    <t>Lookup b.id FROM beamaccount b where b.accountshortname = input.accountshortname</t>
  </si>
  <si>
    <t>Lookup b.id FROM beamuser b where b.username = input.id</t>
  </si>
  <si>
    <t>USERVIEWID</t>
  </si>
  <si>
    <t xml:space="preserve">ID of the Portal View </t>
  </si>
  <si>
    <t xml:space="preserve">Lookup u.id FROM userview where viewname = input.portalviewname and userid = (select id from beamuser where b.username = input.username) </t>
  </si>
  <si>
    <t>PLLALT_MMDDYYYYHHmmSS</t>
  </si>
  <si>
    <t>common.FACT_AI_POSITION_SUMMARY; AS_OF_DATE</t>
  </si>
  <si>
    <t>N/A; Hardcoded to USD</t>
  </si>
  <si>
    <t>dbo.vDIM_ACCOUNT; SALESPERSON_NAME</t>
  </si>
  <si>
    <t>dbo.vDIM_ACCOUNT; MANAGER_NAME</t>
  </si>
  <si>
    <t>common.DIM_AI_ACCOUNT; NB_ACCT_NUM</t>
  </si>
  <si>
    <t>assets:currency; Hardcoded to U.S. Dollar</t>
  </si>
  <si>
    <t>dbo.vDIM_PRODUCT; ASSET_CLASS</t>
  </si>
  <si>
    <t>dbo.vDIM_PRODUCT; ASSET_CLASS_TWO</t>
  </si>
  <si>
    <t>dbo.vDIM_PRODUCT; SUB_ASSET_CLASS</t>
  </si>
  <si>
    <t>N/A; Hardcoded to blank</t>
  </si>
  <si>
    <t>dbo.vDIM_SECURITY_PMR; SEC_NO</t>
  </si>
  <si>
    <t>dbo.vDIM_SECURITY_PMR; SEC_SYMBOL</t>
  </si>
  <si>
    <t>dbo.vDIM_SECURITY_PMR; CUSIP</t>
  </si>
  <si>
    <t>dbo.vDIM_SECURITY_PMR; SEDOL</t>
  </si>
  <si>
    <t>dbo.vDIM_SECURITY_PMR; ISIN</t>
  </si>
  <si>
    <t>dbo.vDIM_SECURITY_PMR; SEC_DESC1 +  SEC_DESC2 + SEC_DESC3 + SEC_DESC4 + SEC_DESC5</t>
  </si>
  <si>
    <t>dbo.vDIM_SECURITY_PMR; SHORT_NAME</t>
  </si>
  <si>
    <t>N/A; Hardcoded to 1</t>
  </si>
  <si>
    <t>pmr:holdings ; Hardcoded to 1</t>
  </si>
  <si>
    <t>N/A; Hardcoded to U.S. Dollar</t>
  </si>
  <si>
    <t>dbo.vDIM_SECURITY_PMR; COUNTRY_ISS</t>
  </si>
  <si>
    <t>dbo.vDIM_SECURITY_PMR; COUNTRY_ISR</t>
  </si>
  <si>
    <t>dbo.vDIM_SECURITY_TYPE_PMR; SEC_TYPE_DESC</t>
  </si>
  <si>
    <t>dbo.vDIM_INDUSTRY_LEVEL_PMR; assets:assets.indust_level1 = pmr:indust_level</t>
  </si>
  <si>
    <t>dbo.vDIM_INDUSTRY_LEVEL_PMR, dbo.vDIM_SECURITY_GICS_BLOOMBERG; GICS_SECTOR_NAME from GICS, INDUST_LEVEL2 from DIM_INDUSTRY_LEVEL_PMR</t>
  </si>
  <si>
    <t>dbo.vDIM_INDUSTRY_LEVEL_PMR, dbo.vDIM_SECURITY_GICS_BLOOMBERG; GICS_INDUSTRY_NAME from GICS, INDUST_LEVEL3 from DIM_INDUSTRY_LEVEL_PMR</t>
  </si>
  <si>
    <t>dbo.vDIM_SECURITY_PMR; MOODY_RATING</t>
  </si>
  <si>
    <t>dbo.vDIM_SECURITY_PMR; SP_RATING</t>
  </si>
  <si>
    <t>common.FACT_AI_POSITION_SUMMARY; NB_ACCT_NUM+SEC_NO</t>
  </si>
  <si>
    <t>common.FACT_AI_POSITION_SUMMARY; ESTIMATED_VALUE</t>
  </si>
  <si>
    <t>common.FACT_AI_POSITION_SUMMARY; NET_SUBS_SINCE_INCEPTION / ESTIMATED_VALUE for NB funds, unit_cost for 3rd party from PMRFF</t>
  </si>
  <si>
    <t>N/A; Hardcoded to 0</t>
  </si>
  <si>
    <t>common.FACT_AI_POSITION_SUMMARY; NET_SUBS_SINCE_INCEPTION for NB funds, tot_cost for 3rd party from PMRFF</t>
  </si>
  <si>
    <t>pmr:holdings ; ESTIMATED_VALUE</t>
  </si>
  <si>
    <t>NSY-3/12</t>
  </si>
  <si>
    <t>pmr:holdings ; Hardcoded to 0</t>
  </si>
  <si>
    <t>common.FACT_AI_POSITION_SUMMARY; ESTIMATED_VALUE - NET_SUBS_SINCE_INCEPTION for NB funds, security_gl + curr_gl for 3rd party from PMRFF</t>
  </si>
  <si>
    <t>common.FACT_AI_POSITION_SUMMARY; ESTIMATED_VALUE - NET_SUBS_SINCE_INCEPTION for NB funds, security_gain_loss + cur_gain_loss for 3rd party from PMRFF</t>
  </si>
  <si>
    <t>common.FACT_AI_POSITION; DISCRETIONARY_FLAG = UP then 'N', else 'Y'</t>
  </si>
  <si>
    <t>N/A; Hardcoded to Y</t>
  </si>
  <si>
    <t>Market value + contributions since NAV date - distributions since NAV date + distributions SI</t>
  </si>
  <si>
    <t>common.FACT_AI_POSITION_SUMMARY; Market value + contributions since NAV date - distributions since NAV date + distributions SI</t>
  </si>
  <si>
    <t>TOTAL_VALUE</t>
  </si>
  <si>
    <t>nav</t>
  </si>
  <si>
    <t>nav_date</t>
  </si>
  <si>
    <t>NAV_DATE</t>
  </si>
  <si>
    <t>POST_CAP_CONT</t>
  </si>
  <si>
    <t>POST_CAP_DIST</t>
  </si>
  <si>
    <t>COMMITMENT</t>
  </si>
  <si>
    <t>COMMITMENT_DATE</t>
  </si>
  <si>
    <t>SINCE_INCEPTION_CONTRIBUTIONS</t>
  </si>
  <si>
    <t>SINCE_INCEPTION_DISTRIBUTIONS</t>
  </si>
  <si>
    <t>SINCE_INCEPTION_RECALLABLE_DISTRIBUTIONS</t>
  </si>
  <si>
    <t>Remaining commitment</t>
  </si>
  <si>
    <t>common.FACT_AI_POSITION_SUMMARY; Remaining commitment</t>
  </si>
  <si>
    <t>REMAINING_COMMITMENT</t>
  </si>
  <si>
    <t>ESTIMATED_MV_CHANGE_POST_CAP</t>
  </si>
  <si>
    <t>ESTIMATED_MV_CHANGE_POST_CAP_DATE</t>
  </si>
  <si>
    <t>Inception date</t>
  </si>
  <si>
    <t>common.FACT_AI_POSITION; Inception date</t>
  </si>
  <si>
    <t>INCEPTION_DATE</t>
  </si>
  <si>
    <t>UNFUNDED_COMMITMENT</t>
  </si>
  <si>
    <t>Product type (P or H)</t>
  </si>
  <si>
    <t>common.DIM_AI_PRODUCT; Product type (P or H)</t>
  </si>
  <si>
    <t>PRODUCT_TYPE</t>
  </si>
  <si>
    <t>Registered status</t>
  </si>
  <si>
    <t>Hardcoded to 0</t>
  </si>
  <si>
    <t>USE TO SEND THE PRODUCT (not needed for 1a reporting)</t>
  </si>
  <si>
    <t>Market Value for the holding/lot as of the prior business date of the file in account's book currency</t>
  </si>
  <si>
    <t>Book Realized Gain Loss from change in Local Price since inception of position</t>
  </si>
  <si>
    <t>PROD CODE</t>
  </si>
  <si>
    <t>PROD NAME/description</t>
  </si>
  <si>
    <t>I-Tier Notes</t>
  </si>
  <si>
    <t>BN (IC) Comments</t>
  </si>
  <si>
    <t>NUMBER(20, 5)</t>
  </si>
  <si>
    <t>MODELPORTFOLIO</t>
  </si>
  <si>
    <t>MODELPORTFOLIO_MMDDYYYYHHmmSS.txt</t>
  </si>
  <si>
    <t>CASHLOWERTOLERANCE</t>
  </si>
  <si>
    <t>CASHTOLERANCETYPE</t>
  </si>
  <si>
    <t>CASHUPPERTOLERANCE</t>
  </si>
  <si>
    <t>When Input.GridType = Short then "AssetClassLevel1"
When Input.GridType = Long then "AssetClassLevel3"</t>
  </si>
  <si>
    <t>Defaulting to "AssetClassLevel1" for Short Model and "AssetClassLevel3" for Long Model</t>
  </si>
  <si>
    <t>Currently used to store Model Type for NB. Model type, can be either Standard or Custom</t>
  </si>
  <si>
    <r>
      <t xml:space="preserve">Currently stores </t>
    </r>
    <r>
      <rPr>
        <b/>
        <sz val="10"/>
        <color rgb="FF000000"/>
        <rFont val="Arial"/>
        <family val="2"/>
      </rPr>
      <t>Standard</t>
    </r>
    <r>
      <rPr>
        <sz val="10"/>
        <color rgb="FF000000"/>
        <rFont val="Arial"/>
        <family val="2"/>
      </rPr>
      <t xml:space="preserve"> or </t>
    </r>
    <r>
      <rPr>
        <b/>
        <sz val="10"/>
        <color rgb="FF000000"/>
        <rFont val="Arial"/>
        <family val="2"/>
      </rPr>
      <t>Custom</t>
    </r>
    <r>
      <rPr>
        <sz val="10"/>
        <color rgb="FF000000"/>
        <rFont val="Arial"/>
        <family val="2"/>
      </rPr>
      <t xml:space="preserve"> - would map back to standard models or client customized models</t>
    </r>
  </si>
  <si>
    <t>Hardcode to "0.03"</t>
  </si>
  <si>
    <t>Currently defaulting to "0.03"</t>
  </si>
  <si>
    <t>EXTERNALMODELPORTFOLIOCODE</t>
  </si>
  <si>
    <t>External Model portfolio code</t>
  </si>
  <si>
    <t>LASTALLOCATIONCHANGEAGE</t>
  </si>
  <si>
    <t>Time past since last allocation change</t>
  </si>
  <si>
    <t>LOWERTOLERANCE</t>
  </si>
  <si>
    <t>MAXPERCENTOVERRIDEVALUE</t>
  </si>
  <si>
    <t>MINMAXPERCENTOVERRIDEFLAG</t>
  </si>
  <si>
    <t>MINPERCENTOVERRIDEVALUE</t>
  </si>
  <si>
    <t>GRIDTYPE</t>
  </si>
  <si>
    <t>Currently used to store Grid Type for NB. Model grid type, can be either Long or Short</t>
  </si>
  <si>
    <r>
      <t xml:space="preserve">NB will send </t>
    </r>
    <r>
      <rPr>
        <b/>
        <sz val="10"/>
        <color rgb="FF000000"/>
        <rFont val="Arial"/>
        <family val="2"/>
      </rPr>
      <t>Long</t>
    </r>
    <r>
      <rPr>
        <sz val="10"/>
        <color rgb="FF000000"/>
        <rFont val="Arial"/>
        <family val="2"/>
      </rPr>
      <t xml:space="preserve"> or </t>
    </r>
    <r>
      <rPr>
        <b/>
        <sz val="10"/>
        <color rgb="FF000000"/>
        <rFont val="Arial"/>
        <family val="2"/>
      </rPr>
      <t>Short</t>
    </r>
  </si>
  <si>
    <t>MODELCATEGORY</t>
  </si>
  <si>
    <t>BUSINESSTYPECATEGORY</t>
  </si>
  <si>
    <t>Currently used to store Business Type Category for NB. Business type category of the IPS Model, can be one of these values: PWM Disc IA, PWM Disc IA – Team Kaminsky, PWM Non Disc IA, TC – Retirement, Trust Co IPS, NBWM Program - 1.0 Pilot
Adding new business type category will require setting changes on IC side</t>
  </si>
  <si>
    <t>Category of Model portfolio</t>
  </si>
  <si>
    <t>PWM Disc, Non Disc, Team K, etc</t>
  </si>
  <si>
    <t>MODELPORTFOLIOASSECURITYKEY</t>
  </si>
  <si>
    <t>MODELREFERENCECCY</t>
  </si>
  <si>
    <t>Currently used to store Status for NB. Model status, can be either Open or Closed</t>
  </si>
  <si>
    <r>
      <t xml:space="preserve">NB will send </t>
    </r>
    <r>
      <rPr>
        <b/>
        <sz val="10"/>
        <color rgb="FF000000"/>
        <rFont val="Arial"/>
        <family val="2"/>
      </rPr>
      <t xml:space="preserve">Closed </t>
    </r>
    <r>
      <rPr>
        <sz val="10"/>
        <color rgb="FF000000"/>
        <rFont val="Arial"/>
        <family val="2"/>
      </rPr>
      <t>or</t>
    </r>
    <r>
      <rPr>
        <b/>
        <sz val="10"/>
        <color rgb="FF000000"/>
        <rFont val="Arial"/>
        <family val="2"/>
      </rPr>
      <t xml:space="preserve"> Open</t>
    </r>
  </si>
  <si>
    <t>Hardcode to "PolicyWeighted"</t>
  </si>
  <si>
    <t>Currently defaulting to "PolicyWeighted"</t>
  </si>
  <si>
    <t>IPSMODELNAME</t>
  </si>
  <si>
    <t>Currently used to store Model Portfolio Name for NB</t>
  </si>
  <si>
    <t>IPS name (name and display name will be same for now)</t>
  </si>
  <si>
    <t>INVESTMENTOBJECTIVE</t>
  </si>
  <si>
    <t>Currently used to store Investment Objective for NB</t>
  </si>
  <si>
    <t>IO for the allocation group</t>
  </si>
  <si>
    <t>PROJECTEDSTDDEVIATIONMID</t>
  </si>
  <si>
    <t>Projected Mid standard deviation value</t>
  </si>
  <si>
    <t>RESTRICTREPLACESMFID</t>
  </si>
  <si>
    <t>RESTRICTREPLACETYPE</t>
  </si>
  <si>
    <t>NUMBER(, 0)</t>
  </si>
  <si>
    <t>Optional - I-Tier Action</t>
  </si>
  <si>
    <t>This is a flag (C/D) used to indicate creation or deletion:
• C indicates IC will create or update the IPS Model
• D indicates IC will delete the IPS Model
• NULL indicates IC will reject the record</t>
  </si>
  <si>
    <t>This is a flag (C/D) used to indicate creation or deletion:
• C indicates IC will create or update the IPS Model
• D indicates IC will delete the IPS Model</t>
  </si>
  <si>
    <t>Will be C for new/updated records and D for deleted</t>
  </si>
  <si>
    <t>Currently used to store Tax Status for NB. Tax status of IPS Model, can be Taxable, Tax Deferred/Exempt, or Mixed</t>
  </si>
  <si>
    <t>Taxable / Non-Taxable for AG</t>
  </si>
  <si>
    <t>Lookup SECTENANT.ID FROM sectenant where name = 'NeubergerBerman'</t>
  </si>
  <si>
    <t>Links to ID of the "NeubergerBerman" tenant</t>
  </si>
  <si>
    <t>TLHREPLACEMODELPORTFOLIOID</t>
  </si>
  <si>
    <t>TOLERANCETYPE</t>
  </si>
  <si>
    <t>UPPERTOLERANCE</t>
  </si>
  <si>
    <t>USEDEFAULTTOLERANCE</t>
  </si>
  <si>
    <t>File Schedule: Daily at 14:00 and 20:00 ET</t>
  </si>
  <si>
    <t>File Type: Delta files that only contain models that need to be created/updated/deleted</t>
  </si>
  <si>
    <t xml:space="preserve">File Schedule: Daily at 14:00 and 20:00 ET		</t>
  </si>
  <si>
    <t xml:space="preserve">File Type: Delta files that contain ALL holdings (Asset Class/Sub Asset Class) only for models where Model Portfolio Holding data need to be created/updated/deleted]		</t>
  </si>
  <si>
    <t>NB Comments</t>
  </si>
  <si>
    <t>MODELPORTFOLIOHOLDING</t>
  </si>
  <si>
    <t>MODELPORTFOLIOHOLDING_MMDDYYYYHHmmSS.txt</t>
  </si>
  <si>
    <t xml:space="preserve">See column L </t>
  </si>
  <si>
    <t xml:space="preserve">ACL of L1 Tenant (NeubergerBerman) </t>
  </si>
  <si>
    <t>Set to N upon deletion</t>
  </si>
  <si>
    <t>Populate with the original create time of the record.</t>
  </si>
  <si>
    <t>Currently defaulting to the create time</t>
  </si>
  <si>
    <t xml:space="preserve">Set with curent date/time upon deletion </t>
  </si>
  <si>
    <t>SELECT smb.SECURTYMASTERFID FROM smbasic smb 
WHERE smb.be_source = 'NeubergerBerman' 
and smb.Be_ValidTo is NULL 
and smb.primarysecuritysymbol = Input.BENCHMARKID</t>
  </si>
  <si>
    <t>Links to the ID of the Benchmark record. Unique identifier of the benchmark that is assigned to the Asset Class / Sub Asset Class, must match the ind_hdr_no value in the NBMASTERBMLIST_MMDDYYYY.txt file</t>
  </si>
  <si>
    <t>ind_hdr_no from NBMASTERBMLIST file</t>
  </si>
  <si>
    <t>DEFAULTPRICE</t>
  </si>
  <si>
    <t>Default Price</t>
  </si>
  <si>
    <t xml:space="preserve">
When Input.SubAssetClass is not null, then Input.SUBASSETCLASS
Else null</t>
  </si>
  <si>
    <t>For Asset Class record, this is NULL
For Sub Asset Class record, this is used to store the Name of the Sub Asset Class</t>
  </si>
  <si>
    <t>ASSETCLASS</t>
  </si>
  <si>
    <t>For Asset Class record, this is used to store the Name of the Asset Class
For Sub Asset Class record, this is used to store the Name of the parent Asset Class</t>
  </si>
  <si>
    <t>HOLDINGREFERENCECCY</t>
  </si>
  <si>
    <t>Hardcode to "Active"</t>
  </si>
  <si>
    <t>Defaulting to "Active"</t>
  </si>
  <si>
    <t xml:space="preserve">When Input.SubAssetClass is null, then "Parent". 
When Input.SubAssetClass is not null, then "Standard". </t>
  </si>
  <si>
    <t>Defaulting to "Parent" for Asset Class and "Standard" for Sub Asset Class</t>
  </si>
  <si>
    <t>HoldingType - Type of underlying Holdings of a ModelPortfolio, valid values are - Standard, Modelportfolio, Exempt, Parent</t>
  </si>
  <si>
    <t>HOLDREPLACEMODELPORTFOLIOID</t>
  </si>
  <si>
    <t>When Input.SubAssetClass is null, then Input.ASSETCLASS. 
When Input.SubAssetClass is not null, then Input.SUBASSETCLASS</t>
  </si>
  <si>
    <t>Currently used to store the Name of the Asset Class / Sub Asset Class for NB.</t>
  </si>
  <si>
    <t>Asset class</t>
  </si>
  <si>
    <t xml:space="preserve">When Input.SubAssetClass is null, then "AssetClassLevel1". 
When Input.SubAssetClass is not null, then "AssetClassLevel3". </t>
  </si>
  <si>
    <t>Defaulting to "AssetClassLevel1" for Asset Class and "AssetClassLevel3" for Sub Asset Class</t>
  </si>
  <si>
    <t>MODELMAXIMUM</t>
  </si>
  <si>
    <t>Currently used to store Model Maximum for NB. Max percentage of the Asset Class / Sub Asset Class.</t>
  </si>
  <si>
    <t>Max</t>
  </si>
  <si>
    <t>MODELMINUMUM</t>
  </si>
  <si>
    <t>Currently used to store Model Minimum for NB. Min percentage of the Asset Class / Sub Asset Class.</t>
  </si>
  <si>
    <t>Min</t>
  </si>
  <si>
    <t xml:space="preserve">Lookup ModelPortfolio.Id FROM ModelPortfolio WHERE NAME = input.IPSMODELNAME </t>
  </si>
  <si>
    <t>Links to the ID of the ModelPortfolio record</t>
  </si>
  <si>
    <t>Name of the IPS Model, must be unique.</t>
  </si>
  <si>
    <t>NAME field from ModelPortfolio</t>
  </si>
  <si>
    <t>ID of Segement Value</t>
  </si>
  <si>
    <t xml:space="preserve">When Input.SubAssetClass is null, then null.
When Input.SubAssetClass is not null, then lookup mh.Id 
FROM ModelPortfolio mp
JOIN ModelPortfolioHolding mh on mp.ID = mh.MODELPORTFOLIOID AND mh.HOLDINGTYPE = "Parent" and mh.IDENTIFIER = input.ASSETCLASS
WHERE mp.NAME = input.IPSMODELNAME </t>
  </si>
  <si>
    <t>For Asset Class, this is NULL
For Sub Asset Class, this links to the ID of parent Asset Class ModelPortfolioHolding record</t>
  </si>
  <si>
    <t>Sub asset class</t>
  </si>
  <si>
    <t>if STGRecordAction = 'D' 
 then lookup MODELPORTFOLIOID from the existing ModelPortfolioHolding by the input.IPSMODELNAME
else
 lookup MODELPORTFOLIOID from ModelPortfolio table by input.IPSMODELNAME
Ignore record if (STGRecordAction = 'D' &amp;&amp; MODELPORTFOLIOID not found)
Else reject if MODELPORTFOLIOID not found</t>
  </si>
  <si>
    <t>MODELTARGET</t>
  </si>
  <si>
    <t>Currently used to store Model Target for NB. Target percentage of the Asset Class / Sub Asset Class</t>
  </si>
  <si>
    <t>Target</t>
  </si>
  <si>
    <t>TARGETSHARES</t>
  </si>
  <si>
    <t>TRADINGINSTRUCTIONS</t>
  </si>
  <si>
    <t>This table includes parent-child relationships. Therefore, the I-Tier should first process records where Input.SubAssetClass is NULL (i.e., parent records). Once these are processed, it should then handle records where Input.SubAssetClass is not NULL (i.e., child records) for the same Input.IPSNAME.
For deletion logic, the reverse order should be applied: child records (Input.SubAssetClass &lt;&gt; NULL) must be deleted before their corresponding parent records (Input.SubAssetClass = NULL).</t>
  </si>
  <si>
    <t>Change Control Summary</t>
  </si>
  <si>
    <t>Instructions</t>
  </si>
  <si>
    <t>SourceFields</t>
  </si>
  <si>
    <t>KeyReviewSheet</t>
  </si>
  <si>
    <t>SourceFieldDetails</t>
  </si>
  <si>
    <t>MasterFieldCIMappingsheet</t>
  </si>
  <si>
    <t>UserToAgsPermission ETL</t>
  </si>
  <si>
    <t>13. ACCOUNTGROUPSECURE</t>
  </si>
  <si>
    <t>ACCOUNTGROUPSECURE</t>
  </si>
  <si>
    <t>12.FAMILY To ACCOUNTGROUPSECURE</t>
  </si>
  <si>
    <t>FAMILY To ACCOUNTGROUPSECURE</t>
  </si>
  <si>
    <t>2a. PROFITLOSSLITE - PLL</t>
  </si>
  <si>
    <t>PROFITLOSSLITE - PLL</t>
  </si>
  <si>
    <t>2b. PROFITLOSSLITE-PLLTAXM</t>
  </si>
  <si>
    <t>PROFITLOSSLITE-PLLTAXM</t>
  </si>
  <si>
    <t>TRANSACTIONS</t>
  </si>
  <si>
    <t>4.1.TRANS (Projected Income)</t>
  </si>
  <si>
    <t>TRANS (Projected Income)</t>
  </si>
  <si>
    <t>SMCOMMON</t>
  </si>
  <si>
    <t>5a. SMCOMMON (Index Bench)</t>
  </si>
  <si>
    <t>SMCOMMON (Index Bench)</t>
  </si>
  <si>
    <t>6a USERGROUP</t>
  </si>
  <si>
    <t>USERGROUP</t>
  </si>
  <si>
    <t>6b USERGROUP_BEAMUSER - NEW</t>
  </si>
  <si>
    <t>USERGROUP_BEAMUSER - NEW</t>
  </si>
  <si>
    <t>6b USERGROUP_BEAMUSER</t>
  </si>
  <si>
    <t>USERGROUP_BEAMUSER</t>
  </si>
  <si>
    <t>6c USERGROUP_ACL - NEW</t>
  </si>
  <si>
    <t>USERGROUP_ACL - NEW</t>
  </si>
  <si>
    <t>6c USERGROUP_ACL</t>
  </si>
  <si>
    <t>USERGROUP_ACL</t>
  </si>
  <si>
    <t>6d USERGROUPUSERROLES - NEW</t>
  </si>
  <si>
    <t>USERGROUPUSERROLES - NEW</t>
  </si>
  <si>
    <t>6d USERGROUPUSERROLES</t>
  </si>
  <si>
    <t>USERGROUPUSERROLES</t>
  </si>
  <si>
    <t>PERFSUMMARY</t>
  </si>
  <si>
    <t>7b. PERFSUMMARY-Characteristics</t>
  </si>
  <si>
    <t>PERFSUMMARY-Characteristics</t>
  </si>
  <si>
    <t>8a. BenchmarkDaily</t>
  </si>
  <si>
    <t>BenchmarkDaily</t>
  </si>
  <si>
    <t>8b. BENCHMARK-Jupiter only Mark</t>
  </si>
  <si>
    <t>BENCHMARK-Jupiter only Mark</t>
  </si>
  <si>
    <t>8b1. BENCHMARK-Jupiter only Mar</t>
  </si>
  <si>
    <t xml:space="preserve"> BENCHMARK-Jupiter only Mar</t>
  </si>
  <si>
    <t>8c. BenchmarkObjectAssociation</t>
  </si>
  <si>
    <t>BenchmarkObjectAssociation</t>
  </si>
  <si>
    <t>8d. RESET_BenchmarkObjectAssoc</t>
  </si>
  <si>
    <t>RESET_BenchmarkObjectAssoc</t>
  </si>
  <si>
    <t>8e. TEMP_BenchmarkObjectAssoc</t>
  </si>
  <si>
    <t>TEMP_BenchmarkObjectAssoc</t>
  </si>
  <si>
    <t>SNAPSHOT INVALIDATION</t>
  </si>
  <si>
    <t>SNAPSHOTACCTGRPSEC INVALIDATION</t>
  </si>
  <si>
    <t>FAMILYMEMBER</t>
  </si>
  <si>
    <t>FAMILYMEMBER to ACCOUNT</t>
  </si>
  <si>
    <t>USERS</t>
  </si>
  <si>
    <t>17a. USERDATA</t>
  </si>
  <si>
    <t>USERDATA</t>
  </si>
  <si>
    <t xml:space="preserve">USER to ACCOUNT </t>
  </si>
  <si>
    <t>20. USER to SECROLE</t>
  </si>
  <si>
    <t>USER to SECROLE</t>
  </si>
  <si>
    <t>51. SecUserMayBecome</t>
  </si>
  <si>
    <t>SecUserMayBecome</t>
  </si>
  <si>
    <t>23. PARTYOFINTEREST (Internal)</t>
  </si>
  <si>
    <t>PARTYOFINTEREST (Internal)</t>
  </si>
  <si>
    <t>24. POI to ACCOUNT (Internal)</t>
  </si>
  <si>
    <t>POI to ACCOUNT (Internal)</t>
  </si>
  <si>
    <t>23b. PARTYOFINTEREST (External)</t>
  </si>
  <si>
    <t>PARTYOFINTEREST (External)</t>
  </si>
  <si>
    <t>24b. POI to ACCOUNT (External)</t>
  </si>
  <si>
    <t>POI to ACCOUNT (External)</t>
  </si>
  <si>
    <t>25a. POI_ACCOUNTROLES(External)</t>
  </si>
  <si>
    <t>POI_ACCOUNTROLES(External)</t>
  </si>
  <si>
    <t>(DISABLED) 23a.RELMGR(INTERNAL)</t>
  </si>
  <si>
    <t>RELMGR(INTERNAL)</t>
  </si>
  <si>
    <t>23d. RELMGR (Team)</t>
  </si>
  <si>
    <t>RELMGR (Team)</t>
  </si>
  <si>
    <t>24c. POI to ACCOUNT (Team)</t>
  </si>
  <si>
    <t>POI to ACCOUNT (Team)</t>
  </si>
  <si>
    <t>25b. POI_ACCOUNT ROLES (Team)</t>
  </si>
  <si>
    <t>POI_ACCOUNT ROLES (Team)</t>
  </si>
  <si>
    <t>TRANSACTIONS (TRX NB only)</t>
  </si>
  <si>
    <t>USERS (Ext NB Only)</t>
  </si>
  <si>
    <t>USER to ACCOUNT (Ext NB Only)</t>
  </si>
  <si>
    <t>USERtoCLIENT ROLE (Ext NB Only)</t>
  </si>
  <si>
    <t>26. AGGREGATETRANSACTION</t>
  </si>
  <si>
    <t>AGGREGATETRANSACTION</t>
  </si>
  <si>
    <t>PROFITLOSS</t>
  </si>
  <si>
    <t>6a. SMFIXEDINCOME</t>
  </si>
  <si>
    <t>SMFIXEDINCOME</t>
  </si>
  <si>
    <t>6b. SMFUND</t>
  </si>
  <si>
    <t>SMFUND</t>
  </si>
  <si>
    <t>7b. PERFORMANCEDAILY</t>
  </si>
  <si>
    <t>PERFORMANCEDAILY</t>
  </si>
  <si>
    <t>8c. INDUSTRY</t>
  </si>
  <si>
    <t>INDUSTRY</t>
  </si>
  <si>
    <t>11. FAMILY to USER</t>
  </si>
  <si>
    <t>FAMILY to USER</t>
  </si>
  <si>
    <t>15. FIRM</t>
  </si>
  <si>
    <t>FIRM</t>
  </si>
  <si>
    <t>16. FUND</t>
  </si>
  <si>
    <t>FUND</t>
  </si>
  <si>
    <t>19. USER to ACCOUNTGROUP</t>
  </si>
  <si>
    <t>USER to ACCOUNTGROUP</t>
  </si>
  <si>
    <t>21.SECURITYDECOMPOSITION</t>
  </si>
  <si>
    <t>SECURITYDECOMPOSITION</t>
  </si>
  <si>
    <t>22.MARKETDATAHISTORY</t>
  </si>
  <si>
    <t>MARKETDATAHISTORY</t>
  </si>
  <si>
    <t xml:space="preserve">25. POI to FAMILY </t>
  </si>
  <si>
    <t xml:space="preserve">POI to FAMILY </t>
  </si>
  <si>
    <t>27. DAILY</t>
  </si>
  <si>
    <t>28. CODESETSECURE</t>
  </si>
  <si>
    <t>CODESETSECURE</t>
  </si>
  <si>
    <t>29. INCOMETAX</t>
  </si>
  <si>
    <t>INCOMETAX</t>
  </si>
  <si>
    <t>30. WIREINSTRUCTIONS</t>
  </si>
  <si>
    <t>31. CURRENTPRICE</t>
  </si>
  <si>
    <t>CURRENTPRICE</t>
  </si>
  <si>
    <t>32. HOLIDAYCALENDARDATE</t>
  </si>
  <si>
    <t>HOLIDAYCALENDARDATE</t>
  </si>
  <si>
    <t>33. FEERESULTS</t>
  </si>
  <si>
    <t>FEERESULTS</t>
  </si>
  <si>
    <t>34. NCABALANCE</t>
  </si>
  <si>
    <t>NCABALANCE</t>
  </si>
  <si>
    <t>35. PIPES</t>
  </si>
  <si>
    <t>PIPES</t>
  </si>
  <si>
    <t>36. SECURITIESOFINTEREST</t>
  </si>
  <si>
    <t>SECURITIESOFINTEREST</t>
  </si>
  <si>
    <t>39. MODELPORTFOLIO</t>
  </si>
  <si>
    <t>40. MODELPORTFOLIOHOLDING</t>
  </si>
  <si>
    <t>41. ADDRESS</t>
  </si>
  <si>
    <t>42. COMMENTABLE</t>
  </si>
  <si>
    <t>COMMENTABLE</t>
  </si>
  <si>
    <t>50. BENEFICIARYBANK</t>
  </si>
  <si>
    <t>BENEFICIARYBANK</t>
  </si>
  <si>
    <t>52. PARTYOFINTERESTCODE</t>
  </si>
  <si>
    <t>PARTYOFINTERESTCODE</t>
  </si>
  <si>
    <t>53. AccountCode</t>
  </si>
  <si>
    <t>AccountCode</t>
  </si>
  <si>
    <t>54. BeamAccountOverride</t>
  </si>
  <si>
    <t>55. USERVIEW</t>
  </si>
  <si>
    <t>USERVIEW</t>
  </si>
  <si>
    <t>56. USERVIEWPREFERENCE</t>
  </si>
  <si>
    <t>USERVIEWPREFERENCE</t>
  </si>
  <si>
    <t>PROFITLOSSLITE (ALT NB only)</t>
  </si>
  <si>
    <t>57. MODELPORTFOLIO</t>
  </si>
  <si>
    <t>58. MODELPORTFOLIOHOLDING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</si>
</sst>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m/d/yy"/>
    <numFmt numFmtId="165" formatCode="mm/dd/yy"/>
    <numFmt numFmtId="166" formatCode="0.00000"/>
    <numFmt numFmtId="167" formatCode="m/d/yyyy\ h:mm:ss\ AM/PM"/>
    <numFmt numFmtId="168" formatCode="yyyy\-mm\-dd"/>
  </numFmts>
  <fonts count="79">
    <font>
      <sz val="10"/>
      <color rgb="FF000000"/>
      <name val="Arial"/>
    </font>
    <font>
      <b/>
      <sz val="10"/>
      <color rgb="FF000000"/>
      <name val="Arial"/>
      <family val="2"/>
    </font>
    <font>
      <sz val="10"/>
      <color rgb="FF000000"/>
      <name val="Helvetica Neue"/>
    </font>
    <font>
      <sz val="10"/>
      <name val="Arial"/>
      <family val="2"/>
    </font>
    <font>
      <sz val="10"/>
      <name val="Helvetica Neue"/>
    </font>
    <font>
      <b/>
      <sz val="10"/>
      <color rgb="FF000000"/>
      <name val="Helvetica Neue"/>
    </font>
    <font>
      <sz val="10"/>
      <color rgb="FF222222"/>
      <name val="Arial"/>
      <family val="2"/>
    </font>
    <font>
      <sz val="11"/>
      <color rgb="FF000000"/>
      <name val="Arialmt"/>
    </font>
    <font>
      <u/>
      <sz val="10"/>
      <color rgb="FF0000FF"/>
      <name val="Arial"/>
      <family val="2"/>
    </font>
    <font>
      <u/>
      <sz val="10"/>
      <color rgb="FF000000"/>
      <name val="Arial"/>
      <family val="2"/>
    </font>
    <font>
      <sz val="11"/>
      <color rgb="FF9C6500"/>
      <name val="Calibri"/>
      <family val="2"/>
    </font>
    <font>
      <sz val="11"/>
      <color rgb="FF000000"/>
      <name val="Helvetica Neue"/>
    </font>
    <font>
      <sz val="11"/>
      <color rgb="FF9C0006"/>
      <name val="Calibri"/>
      <family val="2"/>
    </font>
    <font>
      <sz val="11"/>
      <color rgb="FF000000"/>
      <name val="Calibri"/>
      <family val="2"/>
    </font>
    <font>
      <b/>
      <sz val="10"/>
      <name val="Helvetica Neue"/>
    </font>
    <font>
      <u/>
      <sz val="10"/>
      <color rgb="FF0000FF"/>
      <name val="Helvetica Neue"/>
    </font>
    <font>
      <sz val="12"/>
      <color rgb="FF000000"/>
      <name val="Calibri"/>
      <family val="2"/>
    </font>
    <font>
      <sz val="10"/>
      <color rgb="FF000000"/>
      <name val="Arial"/>
      <family val="2"/>
    </font>
    <font>
      <b/>
      <i/>
      <sz val="10"/>
      <color rgb="FF000000"/>
      <name val="Helvetica Neue"/>
    </font>
    <font>
      <sz val="10"/>
      <name val="Calibri"/>
      <family val="2"/>
    </font>
    <font>
      <b/>
      <i/>
      <sz val="10"/>
      <name val="Arial"/>
      <family val="2"/>
    </font>
    <font>
      <sz val="10"/>
      <color rgb="FF000000"/>
      <name val="Roboto"/>
    </font>
    <font>
      <b/>
      <sz val="10"/>
      <name val="Arial"/>
      <family val="2"/>
    </font>
    <font>
      <strike/>
      <sz val="10"/>
      <color rgb="FF000000"/>
      <name val="Arial"/>
      <family val="2"/>
    </font>
    <font>
      <b/>
      <sz val="12"/>
      <color rgb="FF000000"/>
      <name val="Helvetica Neue"/>
    </font>
    <font>
      <b/>
      <u/>
      <sz val="10"/>
      <color rgb="FF0000FF"/>
      <name val="Helvetica Neue"/>
    </font>
    <font>
      <b/>
      <sz val="14"/>
      <name val="Helvetica Neue"/>
    </font>
    <font>
      <strike/>
      <sz val="10"/>
      <name val="Arial"/>
      <family val="2"/>
    </font>
    <font>
      <strike/>
      <sz val="10"/>
      <color rgb="FF000000"/>
      <name val="Helvetica Neue"/>
    </font>
    <font>
      <sz val="10"/>
      <color rgb="FF222222"/>
      <name val="Helvetica Neue"/>
    </font>
    <font>
      <sz val="11"/>
      <name val="Calibri"/>
      <family val="2"/>
    </font>
    <font>
      <sz val="13"/>
      <color rgb="FF000000"/>
      <name val="Arial"/>
      <family val="2"/>
    </font>
    <font>
      <b/>
      <sz val="10"/>
      <name val="Helvetica light"/>
    </font>
    <font>
      <b/>
      <sz val="12"/>
      <color rgb="FF000000"/>
      <name val="Arial"/>
      <family val="2"/>
    </font>
    <font>
      <sz val="9"/>
      <name val="Helvetica Neue"/>
    </font>
    <font>
      <b/>
      <sz val="10"/>
      <color rgb="FF000000"/>
      <name val="Calibri"/>
      <family val="2"/>
    </font>
    <font>
      <b/>
      <u/>
      <sz val="10"/>
      <color rgb="FF0000FF"/>
      <name val="Arial"/>
      <family val="2"/>
    </font>
    <font>
      <sz val="12"/>
      <color rgb="FF000000"/>
      <name val="Helvetica Neue"/>
    </font>
    <font>
      <u/>
      <sz val="10"/>
      <name val="Arial"/>
      <family val="2"/>
    </font>
    <font>
      <b/>
      <u/>
      <sz val="10"/>
      <color rgb="FF000000"/>
      <name val="Arial"/>
      <family val="2"/>
    </font>
    <font>
      <i/>
      <sz val="10"/>
      <color rgb="FF000000"/>
      <name val="Helvetica Neue"/>
    </font>
    <font>
      <i/>
      <sz val="10"/>
      <color rgb="FF000000"/>
      <name val="Arial"/>
      <family val="2"/>
    </font>
    <font>
      <sz val="9"/>
      <color rgb="FF000000"/>
      <name val="Arial"/>
      <family val="2"/>
    </font>
    <font>
      <sz val="10"/>
      <color rgb="FF000000"/>
      <name val="Calibri"/>
      <family val="2"/>
    </font>
    <font>
      <sz val="10"/>
      <color rgb="FF000000"/>
      <name val="&quot;docs-Helvetica Neue&quot;"/>
    </font>
    <font>
      <u/>
      <sz val="10"/>
      <name val="Helvetica Neue"/>
    </font>
    <font>
      <u/>
      <sz val="10"/>
      <color rgb="FF000000"/>
      <name val="Helvetica Neue"/>
    </font>
    <font>
      <sz val="10"/>
      <name val="&quot;Helvetica Neue&quot;"/>
    </font>
    <font>
      <b/>
      <sz val="10"/>
      <name val="&quot;Helvetica Neue&quot;"/>
    </font>
    <font>
      <b/>
      <sz val="10"/>
      <color rgb="FF000000"/>
      <name val="Helvetica light"/>
    </font>
    <font>
      <sz val="10"/>
      <color rgb="FF000000"/>
      <name val="Helvetica light"/>
    </font>
    <font>
      <u/>
      <sz val="10"/>
      <color rgb="FF1155CC"/>
      <name val="Arial"/>
      <family val="2"/>
    </font>
    <font>
      <u/>
      <sz val="10"/>
      <color rgb="FF1155CC"/>
      <name val="Helvetica Neue"/>
    </font>
    <font>
      <sz val="10"/>
      <name val="arial, sans, sans-serif"/>
    </font>
    <font>
      <u/>
      <sz val="10"/>
      <color rgb="FF1155CC"/>
      <name val="arial, sans, sans-serif"/>
    </font>
    <font>
      <strike/>
      <sz val="10"/>
      <color rgb="FFFF0000"/>
      <name val="Arial"/>
      <family val="2"/>
    </font>
    <font>
      <u/>
      <sz val="10"/>
      <color theme="10"/>
      <name val="Arial"/>
      <family val="2"/>
    </font>
    <font>
      <b/>
      <sz val="8"/>
      <name val="Helvetica Neue"/>
      <family val="2"/>
    </font>
    <font>
      <sz val="10"/>
      <name val="Helvetica Neue"/>
      <family val="2"/>
    </font>
    <font>
      <b/>
      <u/>
      <sz val="12"/>
      <color rgb="FF0000FF"/>
      <name val="Helvetica Neue"/>
    </font>
    <font>
      <u/>
      <sz val="12"/>
      <color rgb="FF000000"/>
      <name val="Arial"/>
      <family val="2"/>
    </font>
    <font>
      <b/>
      <sz val="12"/>
      <color rgb="FF0000FF"/>
      <name val="Helvetica Neue"/>
    </font>
    <font>
      <sz val="10"/>
      <color rgb="FF000000"/>
      <name val="Helvetica Neue"/>
      <charset val="1"/>
    </font>
    <font>
      <sz val="10.5"/>
      <color rgb="FF242424"/>
      <name val="Calibri"/>
      <family val="2"/>
    </font>
    <font>
      <sz val="10"/>
      <color rgb="FFFF0000"/>
      <name val="Arial"/>
      <family val="2"/>
    </font>
    <font>
      <b/>
      <sz val="10"/>
      <color rgb="FFFF0000"/>
      <name val="Arial"/>
      <family val="2"/>
    </font>
    <font>
      <b/>
      <sz val="14"/>
      <color rgb="FFFF0000"/>
      <name val="Arial"/>
      <family val="2"/>
    </font>
    <font>
      <strike/>
      <sz val="10"/>
      <color rgb="FF000000"/>
      <name val="Helvetica Neue"/>
      <charset val="1"/>
    </font>
    <font>
      <b/>
      <sz val="11"/>
      <color rgb="FFFF0000"/>
      <name val="Arial"/>
      <family val="2"/>
    </font>
    <font>
      <b/>
      <sz val="10"/>
      <color rgb="FFFF0000"/>
      <name val="Helvetica Neue"/>
    </font>
    <font>
      <b/>
      <strike/>
      <sz val="10"/>
      <color rgb="FFFF0000"/>
      <name val="Helvetica Neue"/>
    </font>
    <font>
      <b/>
      <sz val="10"/>
      <name val="Helvetica Neue"/>
      <family val="2"/>
    </font>
    <font>
      <sz val="10"/>
      <color rgb="FF000000"/>
      <name val="Helvetica Neue"/>
      <family val="2"/>
    </font>
    <font>
      <sz val="12"/>
      <color rgb="FF000000"/>
      <name val="Aptos Narrow"/>
      <family val="2"/>
    </font>
    <font>
      <strike/>
      <sz val="10"/>
      <name val="Helvetica Neue"/>
      <family val="2"/>
    </font>
    <font>
      <sz val="10"/>
      <color rgb="FFC27BA0"/>
      <name val="Arial"/>
      <family val="2"/>
    </font>
    <font>
      <sz val="9"/>
      <color rgb="FF000000"/>
      <name val="Helvetica"/>
      <charset val="1"/>
    </font>
    <font>
      <b/>
      <sz val="8"/>
      <color rgb="FF000000"/>
      <name val="Helvetica Neue"/>
      <family val="2"/>
    </font>
    <font>
      <sz val="10"/>
      <color theme="1"/>
      <name val="Arial"/>
      <family val="2"/>
    </font>
  </fonts>
  <fills count="36">
    <fill>
      <patternFill patternType="none"/>
    </fill>
    <fill>
      <patternFill patternType="gray125"/>
    </fill>
    <fill>
      <patternFill patternType="solid">
        <fgColor rgb="FFFBE4D5"/>
        <bgColor rgb="FFFBE4D5"/>
      </patternFill>
    </fill>
    <fill>
      <patternFill patternType="solid">
        <fgColor rgb="FFD9EAD3"/>
        <bgColor rgb="FFD9EAD3"/>
      </patternFill>
    </fill>
    <fill>
      <patternFill patternType="solid">
        <fgColor rgb="FFD8D8D8"/>
        <bgColor rgb="FFD8D8D8"/>
      </patternFill>
    </fill>
    <fill>
      <patternFill patternType="solid">
        <fgColor rgb="FFF2F2F2"/>
        <bgColor rgb="FFF2F2F2"/>
      </patternFill>
    </fill>
    <fill>
      <patternFill patternType="solid">
        <fgColor rgb="FFBFBFBF"/>
        <bgColor rgb="FFBFBFBF"/>
      </patternFill>
    </fill>
    <fill>
      <patternFill patternType="solid">
        <fgColor rgb="FFEAF1DD"/>
        <bgColor rgb="FFEAF1DD"/>
      </patternFill>
    </fill>
    <fill>
      <patternFill patternType="solid">
        <fgColor rgb="FFC6D9F0"/>
        <bgColor rgb="FFC6D9F0"/>
      </patternFill>
    </fill>
    <fill>
      <patternFill patternType="solid">
        <fgColor rgb="FFFDE9D9"/>
        <bgColor rgb="FFFDE9D9"/>
      </patternFill>
    </fill>
    <fill>
      <patternFill patternType="solid">
        <fgColor rgb="FFFFFF00"/>
        <bgColor rgb="FFFFFF00"/>
      </patternFill>
    </fill>
    <fill>
      <patternFill patternType="solid">
        <fgColor rgb="FFD9E2F3"/>
        <bgColor rgb="FFD9E2F3"/>
      </patternFill>
    </fill>
    <fill>
      <patternFill patternType="solid">
        <fgColor rgb="FF8EAADB"/>
        <bgColor rgb="FF8EAADB"/>
      </patternFill>
    </fill>
    <fill>
      <patternFill patternType="solid">
        <fgColor rgb="FF4472C4"/>
        <bgColor rgb="FF4472C4"/>
      </patternFill>
    </fill>
    <fill>
      <patternFill patternType="solid">
        <fgColor rgb="FFB4C6E7"/>
        <bgColor rgb="FFB4C6E7"/>
      </patternFill>
    </fill>
    <fill>
      <patternFill patternType="solid">
        <fgColor rgb="FFFFFFFF"/>
        <bgColor rgb="FFFFFFFF"/>
      </patternFill>
    </fill>
    <fill>
      <patternFill patternType="solid">
        <fgColor rgb="FF00FF00"/>
        <bgColor rgb="FF00FF00"/>
      </patternFill>
    </fill>
    <fill>
      <patternFill patternType="solid">
        <fgColor rgb="FFFFC7CE"/>
        <bgColor rgb="FFFFC7CE"/>
      </patternFill>
    </fill>
    <fill>
      <patternFill patternType="solid">
        <fgColor rgb="FFFFEB9C"/>
        <bgColor rgb="FFFFEB9C"/>
      </patternFill>
    </fill>
    <fill>
      <patternFill patternType="solid">
        <fgColor rgb="FFFFF2CC"/>
        <bgColor rgb="FFFFF2CC"/>
      </patternFill>
    </fill>
    <fill>
      <patternFill patternType="solid">
        <fgColor rgb="FFFABF8F"/>
        <bgColor rgb="FFFABF8F"/>
      </patternFill>
    </fill>
    <fill>
      <patternFill patternType="solid">
        <fgColor rgb="FFD0CECE"/>
        <bgColor rgb="FFD0CECE"/>
      </patternFill>
    </fill>
    <fill>
      <patternFill patternType="solid">
        <fgColor rgb="FFE2EFD9"/>
        <bgColor rgb="FFE2EFD9"/>
      </patternFill>
    </fill>
    <fill>
      <patternFill patternType="solid">
        <fgColor rgb="FFFFFF00"/>
        <bgColor indexed="64"/>
      </patternFill>
    </fill>
    <fill>
      <patternFill patternType="solid">
        <fgColor rgb="FFBFBFBF"/>
        <bgColor indexed="64"/>
      </patternFill>
    </fill>
    <fill>
      <patternFill patternType="solid">
        <fgColor rgb="FFC9DAF8"/>
        <bgColor rgb="FFC9DAF8"/>
      </patternFill>
    </fill>
    <fill>
      <patternFill patternType="solid">
        <fgColor rgb="FFF4CCCC"/>
        <bgColor rgb="FFF4CCCC"/>
      </patternFill>
    </fill>
    <fill>
      <patternFill patternType="solid">
        <fgColor rgb="FFB6D7A8"/>
        <bgColor rgb="FFB6D7A8"/>
      </patternFill>
    </fill>
    <fill>
      <patternFill patternType="solid">
        <fgColor rgb="FFCCCCCC"/>
        <bgColor rgb="FFCCCCCC"/>
      </patternFill>
    </fill>
    <fill>
      <patternFill patternType="solid">
        <fgColor rgb="FFC9C9C9"/>
        <bgColor indexed="64"/>
      </patternFill>
    </fill>
    <fill>
      <patternFill patternType="solid">
        <fgColor rgb="FFDBDBDB"/>
        <bgColor indexed="64"/>
      </patternFill>
    </fill>
    <fill>
      <patternFill patternType="solid">
        <fgColor rgb="FFE7E6E6"/>
        <bgColor indexed="64"/>
      </patternFill>
    </fill>
    <fill>
      <patternFill patternType="solid">
        <fgColor rgb="FFFFFFFF"/>
        <bgColor indexed="64"/>
      </patternFill>
    </fill>
    <fill>
      <patternFill patternType="solid">
        <fgColor rgb="FF000000"/>
        <bgColor rgb="FF000000"/>
      </patternFill>
    </fill>
    <fill>
      <patternFill patternType="solid">
        <fgColor rgb="FFC9C9C9"/>
        <bgColor rgb="FF000000"/>
      </patternFill>
    </fill>
    <fill>
      <patternFill patternType="solid">
        <fgColor theme="3" tint="0.79998168889431442"/>
        <bgColor indexed="64"/>
      </patternFill>
    </fill>
  </fills>
  <borders count="15">
    <border>
      <left/>
      <right/>
      <top/>
      <bottom/>
      <diagonal/>
    </border>
    <border>
      <left style="thin">
        <color rgb="FF000000"/>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style="thin">
        <color rgb="FF000000"/>
      </right>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top style="thin">
        <color rgb="FF000000"/>
      </top>
      <bottom/>
      <diagonal/>
    </border>
    <border>
      <left/>
      <right/>
      <top style="thin">
        <color rgb="FF000000"/>
      </top>
      <bottom style="thin">
        <color rgb="FF000000"/>
      </bottom>
      <diagonal/>
    </border>
    <border>
      <left/>
      <right/>
      <top/>
      <bottom/>
      <diagonal/>
    </border>
    <border>
      <left/>
      <right/>
      <top/>
      <bottom style="thin">
        <color rgb="FF000000"/>
      </bottom>
      <diagonal/>
    </border>
    <border>
      <left style="thin">
        <color rgb="FF000000"/>
      </left>
      <right style="thin">
        <color rgb="FF000000"/>
      </right>
      <top/>
      <bottom style="thin">
        <color rgb="FF000000"/>
      </bottom>
      <diagonal/>
    </border>
  </borders>
  <cellStyleXfs count="2">
    <xf numFmtId="0" fontId="0" fillId="0" borderId="0"/>
    <xf numFmtId="0" fontId="56" fillId="0" borderId="0" applyNumberFormat="0" applyFill="0" applyBorder="0" applyAlignment="0" applyProtection="0"/>
  </cellStyleXfs>
  <cellXfs count="726">
    <xf numFmtId="0" fontId="0" fillId="0" borderId="0" xfId="0" applyAlignment="1">
      <alignment wrapText="1"/>
    </xf>
    <xf numFmtId="0" fontId="1" fillId="0" borderId="0" xfId="0" applyFont="1" applyAlignment="1">
      <alignment vertical="top" wrapText="1"/>
    </xf>
    <xf numFmtId="0" fontId="0" fillId="3" borderId="0" xfId="0" applyFill="1" applyAlignment="1">
      <alignment vertical="top" wrapText="1"/>
    </xf>
    <xf numFmtId="14" fontId="0" fillId="3" borderId="0" xfId="0" applyNumberFormat="1" applyFill="1" applyAlignment="1">
      <alignment vertical="top" wrapText="1"/>
    </xf>
    <xf numFmtId="164" fontId="0" fillId="3" borderId="0" xfId="0" applyNumberFormat="1" applyFill="1" applyAlignment="1">
      <alignment vertical="top" wrapText="1"/>
    </xf>
    <xf numFmtId="0" fontId="0" fillId="0" borderId="0" xfId="0" applyAlignment="1">
      <alignment vertical="top" wrapText="1"/>
    </xf>
    <xf numFmtId="14" fontId="0" fillId="0" borderId="0" xfId="0" applyNumberFormat="1" applyAlignment="1">
      <alignment vertical="top" wrapText="1"/>
    </xf>
    <xf numFmtId="0" fontId="5" fillId="0" borderId="1" xfId="0" applyFont="1" applyBorder="1" applyAlignment="1">
      <alignment vertical="center" wrapText="1"/>
    </xf>
    <xf numFmtId="0" fontId="2" fillId="0" borderId="2" xfId="0" applyFont="1" applyBorder="1" applyAlignment="1">
      <alignment vertical="center" wrapText="1"/>
    </xf>
    <xf numFmtId="0" fontId="5" fillId="0" borderId="3" xfId="0" applyFont="1" applyBorder="1" applyAlignment="1">
      <alignment vertical="center" wrapText="1"/>
    </xf>
    <xf numFmtId="0" fontId="2" fillId="0" borderId="4" xfId="0" applyFont="1" applyBorder="1" applyAlignment="1">
      <alignment vertical="center" wrapText="1"/>
    </xf>
    <xf numFmtId="0" fontId="5" fillId="0" borderId="5" xfId="0" applyFont="1" applyBorder="1" applyAlignment="1">
      <alignment vertical="center" wrapText="1"/>
    </xf>
    <xf numFmtId="0" fontId="2" fillId="0" borderId="6" xfId="0" applyFont="1" applyBorder="1" applyAlignment="1">
      <alignment vertical="center" wrapText="1"/>
    </xf>
    <xf numFmtId="0" fontId="2" fillId="0" borderId="9" xfId="0" applyFont="1" applyBorder="1" applyAlignment="1">
      <alignment wrapText="1"/>
    </xf>
    <xf numFmtId="0" fontId="0" fillId="0" borderId="0" xfId="0" applyAlignment="1">
      <alignment horizontal="left" vertical="top" wrapText="1"/>
    </xf>
    <xf numFmtId="0" fontId="6" fillId="0" borderId="0" xfId="0" applyFont="1" applyAlignment="1">
      <alignment wrapText="1"/>
    </xf>
    <xf numFmtId="0" fontId="7" fillId="0" borderId="0" xfId="0" applyFont="1" applyAlignment="1">
      <alignment vertical="top" wrapText="1"/>
    </xf>
    <xf numFmtId="0" fontId="8" fillId="0" borderId="0" xfId="0" applyFont="1" applyAlignment="1">
      <alignment vertical="top"/>
    </xf>
    <xf numFmtId="49" fontId="0" fillId="0" borderId="0" xfId="0" applyNumberFormat="1"/>
    <xf numFmtId="49" fontId="9" fillId="0" borderId="0" xfId="0" applyNumberFormat="1" applyFont="1"/>
    <xf numFmtId="14" fontId="0" fillId="0" borderId="0" xfId="0" applyNumberFormat="1" applyAlignment="1">
      <alignment vertical="top"/>
    </xf>
    <xf numFmtId="49" fontId="2" fillId="0" borderId="0" xfId="0" applyNumberFormat="1" applyFont="1" applyAlignment="1">
      <alignment vertical="top"/>
    </xf>
    <xf numFmtId="0" fontId="2" fillId="0" borderId="0" xfId="0" applyFont="1" applyAlignment="1">
      <alignment horizontal="right" vertical="top"/>
    </xf>
    <xf numFmtId="0" fontId="12" fillId="0" borderId="0" xfId="0" applyFont="1" applyAlignment="1">
      <alignment vertical="top"/>
    </xf>
    <xf numFmtId="49" fontId="0" fillId="0" borderId="0" xfId="0" applyNumberFormat="1" applyAlignment="1">
      <alignment vertical="top"/>
    </xf>
    <xf numFmtId="0" fontId="2" fillId="0" borderId="0" xfId="0" applyFont="1" applyAlignment="1">
      <alignment horizontal="left" vertical="top"/>
    </xf>
    <xf numFmtId="0" fontId="0" fillId="0" borderId="0" xfId="0" applyAlignment="1">
      <alignment horizontal="left" vertical="top"/>
    </xf>
    <xf numFmtId="0" fontId="0" fillId="0" borderId="0" xfId="0" applyAlignment="1">
      <alignment horizontal="right" vertical="top"/>
    </xf>
    <xf numFmtId="0" fontId="13" fillId="0" borderId="0" xfId="0" applyFont="1" applyAlignment="1">
      <alignment vertical="top"/>
    </xf>
    <xf numFmtId="165" fontId="0" fillId="0" borderId="0" xfId="0" applyNumberFormat="1" applyAlignment="1">
      <alignment vertical="top"/>
    </xf>
    <xf numFmtId="14" fontId="0" fillId="0" borderId="0" xfId="0" applyNumberFormat="1" applyAlignment="1">
      <alignment wrapText="1"/>
    </xf>
    <xf numFmtId="0" fontId="5" fillId="0" borderId="0" xfId="0" applyFont="1" applyAlignment="1">
      <alignment wrapText="1"/>
    </xf>
    <xf numFmtId="0" fontId="15" fillId="0" borderId="0" xfId="0" applyFont="1" applyAlignment="1">
      <alignment vertical="top" wrapText="1"/>
    </xf>
    <xf numFmtId="14" fontId="2" fillId="0" borderId="0" xfId="0" applyNumberFormat="1" applyFont="1"/>
    <xf numFmtId="0" fontId="2" fillId="0" borderId="0" xfId="0" applyFont="1" applyAlignment="1">
      <alignment vertical="top" wrapText="1"/>
    </xf>
    <xf numFmtId="0" fontId="2" fillId="15" borderId="0" xfId="0" applyFont="1" applyFill="1" applyAlignment="1">
      <alignment wrapText="1"/>
    </xf>
    <xf numFmtId="0" fontId="16" fillId="15" borderId="0" xfId="0" applyFont="1" applyFill="1" applyAlignment="1">
      <alignment wrapText="1"/>
    </xf>
    <xf numFmtId="49" fontId="2" fillId="15" borderId="0" xfId="0" applyNumberFormat="1" applyFont="1" applyFill="1" applyAlignment="1">
      <alignment wrapText="1"/>
    </xf>
    <xf numFmtId="14" fontId="2" fillId="15" borderId="0" xfId="0" applyNumberFormat="1" applyFont="1" applyFill="1" applyAlignment="1">
      <alignment wrapText="1"/>
    </xf>
    <xf numFmtId="14" fontId="2" fillId="0" borderId="0" xfId="0" applyNumberFormat="1" applyFont="1" applyAlignment="1">
      <alignment wrapText="1"/>
    </xf>
    <xf numFmtId="165" fontId="2" fillId="15" borderId="0" xfId="0" applyNumberFormat="1" applyFont="1" applyFill="1"/>
    <xf numFmtId="14" fontId="2" fillId="15" borderId="0" xfId="0" applyNumberFormat="1" applyFont="1" applyFill="1"/>
    <xf numFmtId="0" fontId="2" fillId="15" borderId="0" xfId="0" applyFont="1" applyFill="1" applyAlignment="1">
      <alignment vertical="top" wrapText="1"/>
    </xf>
    <xf numFmtId="0" fontId="0" fillId="15" borderId="0" xfId="0" applyFill="1" applyAlignment="1">
      <alignment vertical="top" wrapText="1"/>
    </xf>
    <xf numFmtId="0" fontId="21" fillId="15" borderId="0" xfId="0" applyFont="1" applyFill="1" applyAlignment="1">
      <alignment wrapText="1"/>
    </xf>
    <xf numFmtId="0" fontId="4" fillId="0" borderId="0" xfId="0" applyFont="1" applyAlignment="1">
      <alignment vertical="top" wrapText="1"/>
    </xf>
    <xf numFmtId="0" fontId="4" fillId="0" borderId="0" xfId="0" applyFont="1" applyAlignment="1">
      <alignment vertical="top"/>
    </xf>
    <xf numFmtId="0" fontId="4" fillId="5" borderId="0" xfId="0" applyFont="1" applyFill="1" applyAlignment="1">
      <alignment vertical="top"/>
    </xf>
    <xf numFmtId="0" fontId="14" fillId="0" borderId="0" xfId="0" applyFont="1" applyAlignment="1">
      <alignment vertical="top"/>
    </xf>
    <xf numFmtId="0" fontId="4" fillId="6" borderId="10" xfId="0" applyFont="1" applyFill="1" applyBorder="1" applyAlignment="1">
      <alignment vertical="top"/>
    </xf>
    <xf numFmtId="0" fontId="5" fillId="10" borderId="0" xfId="0" applyFont="1" applyFill="1" applyAlignment="1">
      <alignment vertical="top"/>
    </xf>
    <xf numFmtId="0" fontId="1" fillId="10" borderId="0" xfId="0" applyFont="1" applyFill="1" applyAlignment="1">
      <alignment horizontal="left" vertical="top" wrapText="1"/>
    </xf>
    <xf numFmtId="0" fontId="2" fillId="14" borderId="0" xfId="0" applyFont="1" applyFill="1" applyAlignment="1">
      <alignment vertical="top"/>
    </xf>
    <xf numFmtId="0" fontId="4" fillId="15" borderId="0" xfId="0" applyFont="1" applyFill="1" applyAlignment="1">
      <alignment vertical="top" wrapText="1"/>
    </xf>
    <xf numFmtId="165" fontId="2" fillId="0" borderId="0" xfId="0" applyNumberFormat="1" applyFont="1" applyAlignment="1">
      <alignment vertical="top"/>
    </xf>
    <xf numFmtId="14" fontId="2" fillId="0" borderId="0" xfId="0" applyNumberFormat="1" applyFont="1" applyAlignment="1">
      <alignment vertical="top"/>
    </xf>
    <xf numFmtId="0" fontId="2" fillId="0" borderId="0" xfId="0" applyFont="1" applyAlignment="1">
      <alignment vertical="top"/>
    </xf>
    <xf numFmtId="0" fontId="2" fillId="15" borderId="0" xfId="0" applyFont="1" applyFill="1" applyAlignment="1">
      <alignment vertical="top"/>
    </xf>
    <xf numFmtId="0" fontId="0" fillId="15" borderId="0" xfId="0" applyFill="1" applyAlignment="1">
      <alignment vertical="top"/>
    </xf>
    <xf numFmtId="49" fontId="2" fillId="0" borderId="0" xfId="0" applyNumberFormat="1" applyFont="1" applyAlignment="1">
      <alignment horizontal="left" vertical="top" wrapText="1"/>
    </xf>
    <xf numFmtId="0" fontId="2" fillId="2" borderId="0" xfId="0" applyFont="1" applyFill="1" applyAlignment="1">
      <alignment vertical="top"/>
    </xf>
    <xf numFmtId="49" fontId="2" fillId="0" borderId="0" xfId="0" applyNumberFormat="1" applyFont="1" applyAlignment="1">
      <alignment horizontal="left" vertical="top"/>
    </xf>
    <xf numFmtId="0" fontId="2" fillId="9" borderId="0" xfId="0" applyFont="1" applyFill="1" applyAlignment="1">
      <alignment vertical="top"/>
    </xf>
    <xf numFmtId="0" fontId="2" fillId="8" borderId="0" xfId="0" applyFont="1" applyFill="1" applyAlignment="1">
      <alignment vertical="top"/>
    </xf>
    <xf numFmtId="0" fontId="2" fillId="10" borderId="0" xfId="0" applyFont="1" applyFill="1" applyAlignment="1">
      <alignment vertical="top"/>
    </xf>
    <xf numFmtId="0" fontId="0" fillId="2" borderId="0" xfId="0" applyFill="1" applyAlignment="1">
      <alignment vertical="top"/>
    </xf>
    <xf numFmtId="0" fontId="13" fillId="0" borderId="0" xfId="0" applyFont="1" applyAlignment="1">
      <alignment vertical="top" wrapText="1"/>
    </xf>
    <xf numFmtId="0" fontId="23" fillId="0" borderId="0" xfId="0" applyFont="1" applyAlignment="1">
      <alignment vertical="top"/>
    </xf>
    <xf numFmtId="0" fontId="5" fillId="15" borderId="0" xfId="0" applyFont="1" applyFill="1"/>
    <xf numFmtId="0" fontId="23" fillId="3" borderId="0" xfId="0" applyFont="1" applyFill="1" applyAlignment="1">
      <alignment vertical="top"/>
    </xf>
    <xf numFmtId="0" fontId="0" fillId="0" borderId="0" xfId="0" applyAlignment="1">
      <alignment vertical="top"/>
    </xf>
    <xf numFmtId="0" fontId="24" fillId="15" borderId="0" xfId="0" applyFont="1" applyFill="1"/>
    <xf numFmtId="0" fontId="2" fillId="0" borderId="0" xfId="0" applyFont="1" applyAlignment="1">
      <alignment horizontal="right"/>
    </xf>
    <xf numFmtId="49" fontId="2" fillId="15" borderId="0" xfId="0" applyNumberFormat="1" applyFont="1" applyFill="1" applyAlignment="1">
      <alignment horizontal="left"/>
    </xf>
    <xf numFmtId="0" fontId="2" fillId="0" borderId="0" xfId="0" applyFont="1" applyAlignment="1">
      <alignment horizontal="left" wrapText="1"/>
    </xf>
    <xf numFmtId="0" fontId="13" fillId="0" borderId="0" xfId="0" applyFont="1"/>
    <xf numFmtId="0" fontId="2" fillId="15" borderId="0" xfId="0" applyFont="1" applyFill="1" applyAlignment="1">
      <alignment horizontal="left"/>
    </xf>
    <xf numFmtId="14" fontId="0" fillId="15" borderId="0" xfId="0" applyNumberFormat="1" applyFill="1" applyAlignment="1">
      <alignment wrapText="1"/>
    </xf>
    <xf numFmtId="49" fontId="2" fillId="0" borderId="0" xfId="0" applyNumberFormat="1" applyFont="1" applyAlignment="1">
      <alignment horizontal="left"/>
    </xf>
    <xf numFmtId="0" fontId="2" fillId="0" borderId="0" xfId="0" applyFont="1" applyAlignment="1">
      <alignment horizontal="left"/>
    </xf>
    <xf numFmtId="0" fontId="2" fillId="15" borderId="0" xfId="0" applyFont="1" applyFill="1" applyAlignment="1">
      <alignment horizontal="right"/>
    </xf>
    <xf numFmtId="0" fontId="25" fillId="10" borderId="0" xfId="0" applyFont="1" applyFill="1"/>
    <xf numFmtId="0" fontId="26" fillId="10" borderId="0" xfId="0" applyFont="1" applyFill="1" applyAlignment="1">
      <alignment vertical="top" wrapText="1"/>
    </xf>
    <xf numFmtId="0" fontId="4" fillId="6" borderId="0" xfId="0" applyFont="1" applyFill="1" applyAlignment="1">
      <alignment horizontal="left" vertical="center"/>
    </xf>
    <xf numFmtId="0" fontId="4" fillId="6" borderId="0" xfId="0" applyFont="1" applyFill="1" applyAlignment="1">
      <alignment vertical="center"/>
    </xf>
    <xf numFmtId="0" fontId="2" fillId="13" borderId="0" xfId="0" applyFont="1" applyFill="1" applyAlignment="1">
      <alignment vertical="top"/>
    </xf>
    <xf numFmtId="14" fontId="2" fillId="13" borderId="0" xfId="0" applyNumberFormat="1" applyFont="1" applyFill="1" applyAlignment="1">
      <alignment vertical="top"/>
    </xf>
    <xf numFmtId="0" fontId="2" fillId="13" borderId="0" xfId="0" applyFont="1" applyFill="1" applyAlignment="1">
      <alignment vertical="top" wrapText="1"/>
    </xf>
    <xf numFmtId="0" fontId="2" fillId="9" borderId="0" xfId="0" applyFont="1" applyFill="1"/>
    <xf numFmtId="0" fontId="2" fillId="8" borderId="0" xfId="0" applyFont="1" applyFill="1"/>
    <xf numFmtId="49" fontId="2" fillId="0" borderId="0" xfId="0" applyNumberFormat="1" applyFont="1"/>
    <xf numFmtId="0" fontId="27" fillId="15" borderId="0" xfId="0" applyFont="1" applyFill="1" applyAlignment="1">
      <alignment wrapText="1"/>
    </xf>
    <xf numFmtId="0" fontId="28" fillId="15" borderId="0" xfId="0" applyFont="1" applyFill="1"/>
    <xf numFmtId="0" fontId="2" fillId="8" borderId="0" xfId="0" applyFont="1" applyFill="1" applyAlignment="1">
      <alignment horizontal="center"/>
    </xf>
    <xf numFmtId="14" fontId="0" fillId="0" borderId="0" xfId="0" applyNumberFormat="1"/>
    <xf numFmtId="0" fontId="3" fillId="15" borderId="0" xfId="0" applyFont="1" applyFill="1"/>
    <xf numFmtId="49" fontId="12" fillId="0" borderId="0" xfId="0" applyNumberFormat="1" applyFont="1" applyAlignment="1">
      <alignment vertical="top" wrapText="1"/>
    </xf>
    <xf numFmtId="0" fontId="10" fillId="0" borderId="0" xfId="0" applyFont="1" applyAlignment="1">
      <alignment horizontal="left" vertical="top" wrapText="1"/>
    </xf>
    <xf numFmtId="166" fontId="2" fillId="0" borderId="0" xfId="0" applyNumberFormat="1" applyFont="1" applyAlignment="1">
      <alignment horizontal="left" vertical="top"/>
    </xf>
    <xf numFmtId="0" fontId="17" fillId="15" borderId="0" xfId="0" applyFont="1" applyFill="1" applyAlignment="1">
      <alignment wrapText="1"/>
    </xf>
    <xf numFmtId="0" fontId="19" fillId="15" borderId="0" xfId="0" applyFont="1" applyFill="1" applyAlignment="1">
      <alignment wrapText="1"/>
    </xf>
    <xf numFmtId="0" fontId="19" fillId="0" borderId="0" xfId="0" applyFont="1" applyAlignment="1">
      <alignment wrapText="1"/>
    </xf>
    <xf numFmtId="0" fontId="19" fillId="0" borderId="0" xfId="0" applyFont="1" applyAlignment="1">
      <alignment vertical="top" wrapText="1"/>
    </xf>
    <xf numFmtId="0" fontId="17" fillId="10" borderId="0" xfId="0" applyFont="1" applyFill="1" applyAlignment="1">
      <alignment horizontal="right"/>
    </xf>
    <xf numFmtId="0" fontId="17" fillId="10" borderId="0" xfId="0" applyFont="1" applyFill="1" applyAlignment="1">
      <alignment horizontal="right" wrapText="1"/>
    </xf>
    <xf numFmtId="0" fontId="19" fillId="10" borderId="0" xfId="0" applyFont="1" applyFill="1" applyAlignment="1">
      <alignment wrapText="1"/>
    </xf>
    <xf numFmtId="0" fontId="19" fillId="10" borderId="0" xfId="0" applyFont="1" applyFill="1" applyAlignment="1">
      <alignment vertical="top" wrapText="1"/>
    </xf>
    <xf numFmtId="165" fontId="19" fillId="0" borderId="0" xfId="0" applyNumberFormat="1" applyFont="1" applyAlignment="1">
      <alignment wrapText="1"/>
    </xf>
    <xf numFmtId="49" fontId="19" fillId="0" borderId="0" xfId="0" applyNumberFormat="1" applyFont="1" applyAlignment="1">
      <alignment wrapText="1"/>
    </xf>
    <xf numFmtId="0" fontId="17" fillId="0" borderId="0" xfId="0" applyFont="1" applyAlignment="1">
      <alignment horizontal="right"/>
    </xf>
    <xf numFmtId="0" fontId="17" fillId="0" borderId="0" xfId="0" applyFont="1" applyAlignment="1">
      <alignment vertical="top" wrapText="1"/>
    </xf>
    <xf numFmtId="0" fontId="17" fillId="10" borderId="0" xfId="0" applyFont="1" applyFill="1"/>
    <xf numFmtId="0" fontId="17" fillId="16" borderId="0" xfId="0" applyFont="1" applyFill="1" applyAlignment="1">
      <alignment horizontal="right" wrapText="1"/>
    </xf>
    <xf numFmtId="0" fontId="17" fillId="0" borderId="0" xfId="0" applyFont="1" applyAlignment="1">
      <alignment horizontal="right" wrapText="1"/>
    </xf>
    <xf numFmtId="0" fontId="31" fillId="16" borderId="0" xfId="0" applyFont="1" applyFill="1" applyAlignment="1">
      <alignment wrapText="1"/>
    </xf>
    <xf numFmtId="0" fontId="31" fillId="0" borderId="0" xfId="0" applyFont="1" applyAlignment="1">
      <alignment wrapText="1"/>
    </xf>
    <xf numFmtId="0" fontId="17" fillId="0" borderId="0" xfId="0" applyFont="1" applyAlignment="1">
      <alignment wrapText="1"/>
    </xf>
    <xf numFmtId="0" fontId="17" fillId="16" borderId="0" xfId="0" applyFont="1" applyFill="1"/>
    <xf numFmtId="0" fontId="16" fillId="16" borderId="0" xfId="0" applyFont="1" applyFill="1"/>
    <xf numFmtId="0" fontId="2" fillId="0" borderId="0" xfId="0" applyFont="1" applyAlignment="1">
      <alignment horizontal="center"/>
    </xf>
    <xf numFmtId="0" fontId="0" fillId="0" borderId="0" xfId="0" applyAlignment="1">
      <alignment horizontal="left"/>
    </xf>
    <xf numFmtId="49" fontId="2" fillId="0" borderId="0" xfId="0" applyNumberFormat="1" applyFont="1" applyAlignment="1">
      <alignment wrapText="1"/>
    </xf>
    <xf numFmtId="165" fontId="2" fillId="0" borderId="0" xfId="0" applyNumberFormat="1" applyFont="1"/>
    <xf numFmtId="0" fontId="2" fillId="0" borderId="0" xfId="0" applyFont="1" applyAlignment="1">
      <alignment wrapText="1"/>
    </xf>
    <xf numFmtId="0" fontId="12" fillId="0" borderId="0" xfId="0" applyFont="1"/>
    <xf numFmtId="0" fontId="2" fillId="15" borderId="0" xfId="0" applyFont="1" applyFill="1"/>
    <xf numFmtId="49" fontId="2" fillId="15" borderId="0" xfId="0" applyNumberFormat="1" applyFont="1" applyFill="1"/>
    <xf numFmtId="167" fontId="2" fillId="15" borderId="0" xfId="0" applyNumberFormat="1" applyFont="1" applyFill="1"/>
    <xf numFmtId="0" fontId="0" fillId="15" borderId="0" xfId="0" applyFill="1" applyAlignment="1">
      <alignment wrapText="1"/>
    </xf>
    <xf numFmtId="0" fontId="0" fillId="0" borderId="0" xfId="0"/>
    <xf numFmtId="0" fontId="4" fillId="0" borderId="0" xfId="0" applyFont="1"/>
    <xf numFmtId="14" fontId="0" fillId="0" borderId="0" xfId="0" applyNumberFormat="1" applyAlignment="1">
      <alignment horizontal="left"/>
    </xf>
    <xf numFmtId="0" fontId="30" fillId="0" borderId="0" xfId="0" applyFont="1"/>
    <xf numFmtId="0" fontId="2" fillId="0" borderId="0" xfId="0" applyFont="1" applyAlignment="1">
      <alignment vertical="center" wrapText="1"/>
    </xf>
    <xf numFmtId="0" fontId="2" fillId="0" borderId="12" xfId="0" applyFont="1" applyBorder="1"/>
    <xf numFmtId="0" fontId="4" fillId="5" borderId="13" xfId="0" applyFont="1" applyFill="1" applyBorder="1"/>
    <xf numFmtId="0" fontId="4" fillId="5" borderId="13" xfId="0" applyFont="1" applyFill="1" applyBorder="1" applyAlignment="1">
      <alignment wrapText="1"/>
    </xf>
    <xf numFmtId="0" fontId="4" fillId="0" borderId="0" xfId="0" applyFont="1" applyAlignment="1">
      <alignment horizontal="left" vertical="top" wrapText="1"/>
    </xf>
    <xf numFmtId="0" fontId="4" fillId="0" borderId="0" xfId="0" quotePrefix="1" applyFont="1"/>
    <xf numFmtId="0" fontId="4" fillId="0" borderId="0" xfId="0" applyFont="1" applyAlignment="1">
      <alignment horizontal="right" wrapText="1"/>
    </xf>
    <xf numFmtId="0" fontId="4" fillId="0" borderId="0" xfId="0" applyFont="1" applyAlignment="1">
      <alignment horizontal="left"/>
    </xf>
    <xf numFmtId="0" fontId="4" fillId="5" borderId="13" xfId="0" applyFont="1" applyFill="1" applyBorder="1" applyAlignment="1">
      <alignment vertical="top"/>
    </xf>
    <xf numFmtId="0" fontId="4" fillId="5" borderId="13" xfId="0" applyFont="1" applyFill="1" applyBorder="1" applyAlignment="1">
      <alignment vertical="top" wrapText="1"/>
    </xf>
    <xf numFmtId="0" fontId="4" fillId="0" borderId="0" xfId="0" applyFont="1" applyAlignment="1">
      <alignment horizontal="right" vertical="top" wrapText="1"/>
    </xf>
    <xf numFmtId="49" fontId="4" fillId="0" borderId="0" xfId="0" applyNumberFormat="1" applyFont="1" applyAlignment="1">
      <alignment vertical="top"/>
    </xf>
    <xf numFmtId="49" fontId="4" fillId="0" borderId="0" xfId="0" applyNumberFormat="1" applyFont="1" applyAlignment="1">
      <alignment vertical="top" wrapText="1"/>
    </xf>
    <xf numFmtId="14" fontId="3" fillId="0" borderId="0" xfId="0" applyNumberFormat="1" applyFont="1" applyAlignment="1">
      <alignment wrapText="1"/>
    </xf>
    <xf numFmtId="164" fontId="3" fillId="0" borderId="0" xfId="0" applyNumberFormat="1" applyFont="1" applyAlignment="1">
      <alignment wrapText="1"/>
    </xf>
    <xf numFmtId="0" fontId="3" fillId="0" borderId="0" xfId="0" applyFont="1" applyAlignment="1">
      <alignment horizontal="left" wrapText="1"/>
    </xf>
    <xf numFmtId="0" fontId="22" fillId="0" borderId="0" xfId="0" applyFont="1" applyAlignment="1">
      <alignment wrapText="1"/>
    </xf>
    <xf numFmtId="0" fontId="4" fillId="0" borderId="0" xfId="0" applyFont="1" applyAlignment="1">
      <alignment horizontal="left" vertical="top"/>
    </xf>
    <xf numFmtId="0" fontId="35" fillId="19" borderId="9" xfId="0" applyFont="1" applyFill="1" applyBorder="1" applyAlignment="1">
      <alignment horizontal="center" vertical="top" wrapText="1"/>
    </xf>
    <xf numFmtId="0" fontId="37" fillId="0" borderId="0" xfId="0" applyFont="1"/>
    <xf numFmtId="49" fontId="16" fillId="0" borderId="0" xfId="0" applyNumberFormat="1" applyFont="1"/>
    <xf numFmtId="0" fontId="4" fillId="5" borderId="13" xfId="0" applyFont="1" applyFill="1" applyBorder="1" applyAlignment="1">
      <alignment horizontal="center"/>
    </xf>
    <xf numFmtId="0" fontId="14" fillId="5" borderId="13" xfId="0" applyFont="1" applyFill="1" applyBorder="1"/>
    <xf numFmtId="0" fontId="14" fillId="6" borderId="13" xfId="0" applyFont="1" applyFill="1" applyBorder="1"/>
    <xf numFmtId="0" fontId="4" fillId="0" borderId="0" xfId="0" applyFont="1" applyAlignment="1">
      <alignment horizontal="right"/>
    </xf>
    <xf numFmtId="0" fontId="39" fillId="0" borderId="0" xfId="0" applyFont="1" applyAlignment="1">
      <alignment wrapText="1"/>
    </xf>
    <xf numFmtId="0" fontId="5" fillId="21" borderId="13" xfId="0" applyFont="1" applyFill="1" applyBorder="1" applyAlignment="1">
      <alignment wrapText="1"/>
    </xf>
    <xf numFmtId="0" fontId="5" fillId="22" borderId="13" xfId="0" applyFont="1" applyFill="1" applyBorder="1" applyAlignment="1">
      <alignment wrapText="1"/>
    </xf>
    <xf numFmtId="0" fontId="41" fillId="0" borderId="0" xfId="0" applyFont="1" applyAlignment="1">
      <alignment wrapText="1"/>
    </xf>
    <xf numFmtId="0" fontId="42" fillId="0" borderId="0" xfId="0" applyFont="1" applyAlignment="1">
      <alignment wrapText="1"/>
    </xf>
    <xf numFmtId="9" fontId="2" fillId="0" borderId="0" xfId="0" applyNumberFormat="1" applyFont="1" applyAlignment="1">
      <alignment wrapText="1"/>
    </xf>
    <xf numFmtId="0" fontId="4" fillId="6" borderId="13" xfId="0" applyFont="1" applyFill="1" applyBorder="1" applyAlignment="1">
      <alignment wrapText="1"/>
    </xf>
    <xf numFmtId="0" fontId="4" fillId="6" borderId="13" xfId="0" applyFont="1" applyFill="1" applyBorder="1"/>
    <xf numFmtId="0" fontId="4" fillId="5" borderId="13" xfId="0" applyFont="1" applyFill="1" applyBorder="1" applyAlignment="1">
      <alignment horizontal="left"/>
    </xf>
    <xf numFmtId="0" fontId="4" fillId="6" borderId="13" xfId="0" applyFont="1" applyFill="1" applyBorder="1" applyAlignment="1">
      <alignment horizontal="left"/>
    </xf>
    <xf numFmtId="0" fontId="4" fillId="6" borderId="13" xfId="0" applyFont="1" applyFill="1" applyBorder="1" applyAlignment="1">
      <alignment horizontal="left" wrapText="1"/>
    </xf>
    <xf numFmtId="0" fontId="4" fillId="5" borderId="13" xfId="0" applyFont="1" applyFill="1" applyBorder="1" applyAlignment="1">
      <alignment horizontal="left" wrapText="1"/>
    </xf>
    <xf numFmtId="0" fontId="4" fillId="6" borderId="13" xfId="0" applyFont="1" applyFill="1" applyBorder="1" applyAlignment="1">
      <alignment vertical="center" wrapText="1"/>
    </xf>
    <xf numFmtId="0" fontId="4" fillId="6" borderId="13" xfId="0" applyFont="1" applyFill="1" applyBorder="1" applyAlignment="1">
      <alignment vertical="center"/>
    </xf>
    <xf numFmtId="0" fontId="44" fillId="15" borderId="0" xfId="0" applyFont="1" applyFill="1" applyAlignment="1">
      <alignment horizontal="left" wrapText="1"/>
    </xf>
    <xf numFmtId="0" fontId="4" fillId="0" borderId="0" xfId="0" applyFont="1" applyAlignment="1">
      <alignment horizontal="center" wrapText="1"/>
    </xf>
    <xf numFmtId="0" fontId="45" fillId="0" borderId="0" xfId="0" applyFont="1" applyAlignment="1">
      <alignment wrapText="1"/>
    </xf>
    <xf numFmtId="0" fontId="4" fillId="0" borderId="0" xfId="0" applyFont="1" applyAlignment="1">
      <alignment horizontal="center"/>
    </xf>
    <xf numFmtId="0" fontId="2" fillId="0" borderId="0" xfId="0" applyFont="1" applyAlignment="1">
      <alignment horizontal="right" wrapText="1"/>
    </xf>
    <xf numFmtId="0" fontId="4" fillId="0" borderId="0" xfId="0" applyFont="1" applyAlignment="1">
      <alignment vertical="center"/>
    </xf>
    <xf numFmtId="0" fontId="5" fillId="0" borderId="0" xfId="0" applyFont="1"/>
    <xf numFmtId="0" fontId="14" fillId="0" borderId="0" xfId="0" applyFont="1" applyAlignment="1">
      <alignment vertical="center"/>
    </xf>
    <xf numFmtId="0" fontId="1" fillId="0" borderId="0" xfId="0" applyFont="1" applyAlignment="1">
      <alignment wrapText="1"/>
    </xf>
    <xf numFmtId="0" fontId="4" fillId="0" borderId="0" xfId="0" applyFont="1" applyAlignment="1">
      <alignment vertical="center" wrapText="1"/>
    </xf>
    <xf numFmtId="0" fontId="2" fillId="10" borderId="0" xfId="0" applyFont="1" applyFill="1"/>
    <xf numFmtId="0" fontId="2" fillId="10" borderId="0" xfId="0" applyFont="1" applyFill="1" applyAlignment="1">
      <alignment wrapText="1"/>
    </xf>
    <xf numFmtId="0" fontId="3" fillId="10" borderId="0" xfId="0" applyFont="1" applyFill="1" applyAlignment="1">
      <alignment wrapText="1"/>
    </xf>
    <xf numFmtId="0" fontId="14" fillId="0" borderId="0" xfId="0" applyFont="1"/>
    <xf numFmtId="0" fontId="2" fillId="0" borderId="0" xfId="0" applyFont="1"/>
    <xf numFmtId="0" fontId="3" fillId="0" borderId="0" xfId="0" applyFont="1" applyAlignment="1">
      <alignment vertical="top"/>
    </xf>
    <xf numFmtId="0" fontId="3" fillId="0" borderId="0" xfId="0" applyFont="1" applyAlignment="1">
      <alignment vertical="top" wrapText="1"/>
    </xf>
    <xf numFmtId="0" fontId="3" fillId="0" borderId="0" xfId="0" applyFont="1" applyAlignment="1">
      <alignment horizontal="left" vertical="top"/>
    </xf>
    <xf numFmtId="0" fontId="47" fillId="6" borderId="9" xfId="0" applyFont="1" applyFill="1" applyBorder="1" applyAlignment="1">
      <alignment vertical="top" wrapText="1"/>
    </xf>
    <xf numFmtId="0" fontId="48" fillId="5" borderId="9" xfId="0" applyFont="1" applyFill="1" applyBorder="1" applyAlignment="1">
      <alignment vertical="top" wrapText="1"/>
    </xf>
    <xf numFmtId="0" fontId="48" fillId="6" borderId="9" xfId="0" applyFont="1" applyFill="1" applyBorder="1" applyAlignment="1">
      <alignment vertical="top" wrapText="1"/>
    </xf>
    <xf numFmtId="0" fontId="0" fillId="0" borderId="12" xfId="0" applyBorder="1" applyAlignment="1">
      <alignment wrapText="1"/>
    </xf>
    <xf numFmtId="0" fontId="0" fillId="2" borderId="12" xfId="0" applyFill="1" applyBorder="1" applyAlignment="1">
      <alignment vertical="top" wrapText="1"/>
    </xf>
    <xf numFmtId="14" fontId="0" fillId="2" borderId="12" xfId="0" applyNumberFormat="1" applyFill="1" applyBorder="1" applyAlignment="1">
      <alignment vertical="top" wrapText="1"/>
    </xf>
    <xf numFmtId="0" fontId="2" fillId="2" borderId="12" xfId="0" applyFont="1" applyFill="1" applyBorder="1" applyAlignment="1">
      <alignment wrapText="1"/>
    </xf>
    <xf numFmtId="0" fontId="4" fillId="4" borderId="7" xfId="0" applyFont="1" applyFill="1" applyBorder="1" applyAlignment="1">
      <alignment horizontal="center" vertical="center" wrapText="1"/>
    </xf>
    <xf numFmtId="0" fontId="4" fillId="4" borderId="11" xfId="0" applyFont="1" applyFill="1" applyBorder="1" applyAlignment="1">
      <alignment horizontal="center" vertical="center" wrapText="1"/>
    </xf>
    <xf numFmtId="0" fontId="4" fillId="4" borderId="11" xfId="0" applyFont="1" applyFill="1" applyBorder="1" applyAlignment="1">
      <alignment vertical="center" wrapText="1"/>
    </xf>
    <xf numFmtId="0" fontId="2" fillId="5" borderId="11" xfId="0" applyFont="1" applyFill="1" applyBorder="1" applyAlignment="1">
      <alignment horizontal="center" wrapText="1"/>
    </xf>
    <xf numFmtId="0" fontId="2" fillId="5" borderId="11" xfId="0" applyFont="1" applyFill="1" applyBorder="1" applyAlignment="1">
      <alignment wrapText="1"/>
    </xf>
    <xf numFmtId="0" fontId="2" fillId="5" borderId="10" xfId="0" applyFont="1" applyFill="1" applyBorder="1" applyAlignment="1">
      <alignment horizontal="center" wrapText="1"/>
    </xf>
    <xf numFmtId="0" fontId="2" fillId="5" borderId="10" xfId="0" applyFont="1" applyFill="1" applyBorder="1" applyAlignment="1">
      <alignment wrapText="1"/>
    </xf>
    <xf numFmtId="0" fontId="4" fillId="5" borderId="7" xfId="0" applyFont="1" applyFill="1" applyBorder="1" applyAlignment="1">
      <alignment vertical="center" wrapText="1"/>
    </xf>
    <xf numFmtId="0" fontId="4" fillId="5" borderId="8" xfId="0" applyFont="1" applyFill="1" applyBorder="1" applyAlignment="1">
      <alignment vertical="center" wrapText="1"/>
    </xf>
    <xf numFmtId="0" fontId="4" fillId="5" borderId="11" xfId="0" applyFont="1" applyFill="1" applyBorder="1" applyAlignment="1">
      <alignment vertical="top"/>
    </xf>
    <xf numFmtId="0" fontId="4" fillId="6" borderId="11" xfId="0" applyFont="1" applyFill="1" applyBorder="1" applyAlignment="1">
      <alignment vertical="center"/>
    </xf>
    <xf numFmtId="0" fontId="4" fillId="5" borderId="11" xfId="0" applyFont="1" applyFill="1" applyBorder="1" applyAlignment="1">
      <alignment vertical="center"/>
    </xf>
    <xf numFmtId="0" fontId="2" fillId="7" borderId="12" xfId="0" applyFont="1" applyFill="1" applyBorder="1"/>
    <xf numFmtId="0" fontId="2" fillId="8" borderId="12" xfId="0" applyFont="1" applyFill="1" applyBorder="1"/>
    <xf numFmtId="49" fontId="0" fillId="8" borderId="12" xfId="0" applyNumberFormat="1" applyFill="1" applyBorder="1"/>
    <xf numFmtId="0" fontId="0" fillId="7" borderId="12" xfId="0" applyFill="1" applyBorder="1"/>
    <xf numFmtId="0" fontId="2" fillId="9" borderId="12" xfId="0" applyFont="1" applyFill="1" applyBorder="1"/>
    <xf numFmtId="0" fontId="0" fillId="9" borderId="12" xfId="0" applyFill="1" applyBorder="1"/>
    <xf numFmtId="49" fontId="0" fillId="9" borderId="12" xfId="0" applyNumberFormat="1" applyFill="1" applyBorder="1"/>
    <xf numFmtId="0" fontId="9" fillId="0" borderId="0" xfId="0" applyFont="1"/>
    <xf numFmtId="49" fontId="0" fillId="7" borderId="12" xfId="0" applyNumberFormat="1" applyFill="1" applyBorder="1"/>
    <xf numFmtId="0" fontId="4" fillId="6" borderId="11" xfId="0" applyFont="1" applyFill="1" applyBorder="1" applyAlignment="1">
      <alignment vertical="top"/>
    </xf>
    <xf numFmtId="0" fontId="0" fillId="10" borderId="12" xfId="0" applyFill="1" applyBorder="1" applyAlignment="1">
      <alignment vertical="top"/>
    </xf>
    <xf numFmtId="14" fontId="0" fillId="10" borderId="12" xfId="0" applyNumberFormat="1" applyFill="1" applyBorder="1" applyAlignment="1">
      <alignment vertical="top"/>
    </xf>
    <xf numFmtId="0" fontId="0" fillId="10" borderId="12" xfId="0" applyFill="1" applyBorder="1" applyAlignment="1">
      <alignment vertical="top" wrapText="1"/>
    </xf>
    <xf numFmtId="0" fontId="0" fillId="11" borderId="12" xfId="0" applyFill="1" applyBorder="1" applyAlignment="1">
      <alignment vertical="top"/>
    </xf>
    <xf numFmtId="0" fontId="0" fillId="12" borderId="12" xfId="0" applyFill="1" applyBorder="1" applyAlignment="1">
      <alignment horizontal="left" vertical="top"/>
    </xf>
    <xf numFmtId="0" fontId="0" fillId="13" borderId="12" xfId="0" applyFill="1" applyBorder="1" applyAlignment="1">
      <alignment vertical="top"/>
    </xf>
    <xf numFmtId="0" fontId="10" fillId="10" borderId="12" xfId="0" applyFont="1" applyFill="1" applyBorder="1" applyAlignment="1">
      <alignment vertical="top"/>
    </xf>
    <xf numFmtId="0" fontId="2" fillId="14" borderId="12" xfId="0" applyFont="1" applyFill="1" applyBorder="1" applyAlignment="1">
      <alignment vertical="top"/>
    </xf>
    <xf numFmtId="14" fontId="2" fillId="14" borderId="12" xfId="0" applyNumberFormat="1" applyFont="1" applyFill="1" applyBorder="1" applyAlignment="1">
      <alignment vertical="top"/>
    </xf>
    <xf numFmtId="0" fontId="2" fillId="12" borderId="12" xfId="0" applyFont="1" applyFill="1" applyBorder="1" applyAlignment="1">
      <alignment vertical="top" wrapText="1"/>
    </xf>
    <xf numFmtId="0" fontId="2" fillId="10" borderId="12" xfId="0" applyFont="1" applyFill="1" applyBorder="1" applyAlignment="1">
      <alignment vertical="top"/>
    </xf>
    <xf numFmtId="0" fontId="2" fillId="10" borderId="12" xfId="0" applyFont="1" applyFill="1" applyBorder="1" applyAlignment="1">
      <alignment vertical="top" wrapText="1"/>
    </xf>
    <xf numFmtId="0" fontId="11" fillId="10" borderId="12" xfId="0" applyFont="1" applyFill="1" applyBorder="1" applyAlignment="1">
      <alignment vertical="top" wrapText="1"/>
    </xf>
    <xf numFmtId="49" fontId="2" fillId="10" borderId="12" xfId="0" applyNumberFormat="1" applyFont="1" applyFill="1" applyBorder="1" applyAlignment="1">
      <alignment vertical="top"/>
    </xf>
    <xf numFmtId="0" fontId="12" fillId="10" borderId="12" xfId="0" applyFont="1" applyFill="1" applyBorder="1" applyAlignment="1">
      <alignment vertical="top"/>
    </xf>
    <xf numFmtId="0" fontId="2" fillId="10" borderId="12" xfId="0" applyFont="1" applyFill="1" applyBorder="1"/>
    <xf numFmtId="0" fontId="0" fillId="10" borderId="12" xfId="0" applyFill="1" applyBorder="1" applyAlignment="1">
      <alignment wrapText="1"/>
    </xf>
    <xf numFmtId="0" fontId="13" fillId="10" borderId="12" xfId="0" applyFont="1" applyFill="1" applyBorder="1" applyAlignment="1">
      <alignment vertical="top"/>
    </xf>
    <xf numFmtId="0" fontId="2" fillId="10" borderId="12" xfId="0" applyFont="1" applyFill="1" applyBorder="1" applyAlignment="1">
      <alignment vertical="center" wrapText="1"/>
    </xf>
    <xf numFmtId="0" fontId="4" fillId="10" borderId="12" xfId="0" applyFont="1" applyFill="1" applyBorder="1" applyAlignment="1">
      <alignment wrapText="1"/>
    </xf>
    <xf numFmtId="0" fontId="0" fillId="10" borderId="12" xfId="0" applyFill="1" applyBorder="1"/>
    <xf numFmtId="0" fontId="4" fillId="0" borderId="11" xfId="0" applyFont="1" applyBorder="1" applyAlignment="1">
      <alignment vertical="top" wrapText="1"/>
    </xf>
    <xf numFmtId="0" fontId="4" fillId="0" borderId="11" xfId="0" applyFont="1" applyBorder="1" applyAlignment="1">
      <alignment vertical="center" wrapText="1"/>
    </xf>
    <xf numFmtId="0" fontId="0" fillId="15" borderId="12" xfId="0" applyFill="1" applyBorder="1" applyAlignment="1">
      <alignment wrapText="1"/>
    </xf>
    <xf numFmtId="165" fontId="2" fillId="0" borderId="12" xfId="0" applyNumberFormat="1" applyFont="1" applyBorder="1"/>
    <xf numFmtId="0" fontId="2" fillId="0" borderId="12" xfId="0" applyFont="1" applyBorder="1" applyAlignment="1">
      <alignment vertical="top"/>
    </xf>
    <xf numFmtId="14" fontId="2" fillId="0" borderId="12" xfId="0" applyNumberFormat="1" applyFont="1" applyBorder="1"/>
    <xf numFmtId="0" fontId="2" fillId="0" borderId="12" xfId="0" applyFont="1" applyBorder="1" applyAlignment="1">
      <alignment wrapText="1"/>
    </xf>
    <xf numFmtId="0" fontId="2" fillId="0" borderId="12" xfId="0" applyFont="1" applyBorder="1" applyAlignment="1">
      <alignment vertical="top" wrapText="1"/>
    </xf>
    <xf numFmtId="49" fontId="2" fillId="0" borderId="12" xfId="0" applyNumberFormat="1" applyFont="1" applyBorder="1"/>
    <xf numFmtId="0" fontId="15" fillId="0" borderId="0" xfId="0" applyFont="1" applyAlignment="1">
      <alignment vertical="top"/>
    </xf>
    <xf numFmtId="0" fontId="4" fillId="6" borderId="12" xfId="0" applyFont="1" applyFill="1" applyBorder="1" applyAlignment="1">
      <alignment vertical="top"/>
    </xf>
    <xf numFmtId="0" fontId="4" fillId="6" borderId="11" xfId="0" applyFont="1" applyFill="1" applyBorder="1" applyAlignment="1">
      <alignment vertical="top" wrapText="1"/>
    </xf>
    <xf numFmtId="0" fontId="2" fillId="13" borderId="12" xfId="0" applyFont="1" applyFill="1" applyBorder="1" applyAlignment="1">
      <alignment vertical="top"/>
    </xf>
    <xf numFmtId="14" fontId="2" fillId="13" borderId="12" xfId="0" applyNumberFormat="1" applyFont="1" applyFill="1" applyBorder="1" applyAlignment="1">
      <alignment vertical="top"/>
    </xf>
    <xf numFmtId="0" fontId="2" fillId="13" borderId="12" xfId="0" applyFont="1" applyFill="1" applyBorder="1" applyAlignment="1">
      <alignment vertical="top" wrapText="1"/>
    </xf>
    <xf numFmtId="0" fontId="2" fillId="14" borderId="12" xfId="0" applyFont="1" applyFill="1" applyBorder="1" applyAlignment="1">
      <alignment vertical="top" wrapText="1"/>
    </xf>
    <xf numFmtId="0" fontId="4" fillId="0" borderId="11" xfId="0" applyFont="1" applyBorder="1" applyAlignment="1">
      <alignment vertical="top"/>
    </xf>
    <xf numFmtId="0" fontId="5" fillId="10" borderId="12" xfId="0" applyFont="1" applyFill="1" applyBorder="1" applyAlignment="1">
      <alignment vertical="top"/>
    </xf>
    <xf numFmtId="0" fontId="1" fillId="10" borderId="12" xfId="0" applyFont="1" applyFill="1" applyBorder="1" applyAlignment="1">
      <alignment horizontal="left" vertical="top" wrapText="1"/>
    </xf>
    <xf numFmtId="0" fontId="2" fillId="9" borderId="12" xfId="0" applyFont="1" applyFill="1" applyBorder="1" applyAlignment="1">
      <alignment vertical="top"/>
    </xf>
    <xf numFmtId="0" fontId="2" fillId="8" borderId="12" xfId="0" applyFont="1" applyFill="1" applyBorder="1" applyAlignment="1">
      <alignment vertical="top"/>
    </xf>
    <xf numFmtId="0" fontId="2" fillId="8" borderId="12" xfId="0" applyFont="1" applyFill="1" applyBorder="1" applyAlignment="1">
      <alignment horizontal="center" vertical="top"/>
    </xf>
    <xf numFmtId="0" fontId="2" fillId="15" borderId="12" xfId="0" applyFont="1" applyFill="1" applyBorder="1" applyAlignment="1">
      <alignment vertical="top"/>
    </xf>
    <xf numFmtId="0" fontId="0" fillId="15" borderId="12" xfId="0" applyFill="1" applyBorder="1" applyAlignment="1">
      <alignment vertical="top"/>
    </xf>
    <xf numFmtId="165" fontId="2" fillId="15" borderId="12" xfId="0" applyNumberFormat="1" applyFont="1" applyFill="1" applyBorder="1" applyAlignment="1">
      <alignment vertical="top"/>
    </xf>
    <xf numFmtId="14" fontId="2" fillId="15" borderId="12" xfId="0" applyNumberFormat="1" applyFont="1" applyFill="1" applyBorder="1" applyAlignment="1">
      <alignment vertical="top"/>
    </xf>
    <xf numFmtId="49" fontId="2" fillId="0" borderId="12" xfId="0" applyNumberFormat="1" applyFont="1" applyBorder="1" applyAlignment="1">
      <alignment horizontal="left" vertical="top"/>
    </xf>
    <xf numFmtId="49" fontId="2" fillId="0" borderId="12" xfId="0" applyNumberFormat="1" applyFont="1" applyBorder="1" applyAlignment="1">
      <alignment vertical="top"/>
    </xf>
    <xf numFmtId="0" fontId="0" fillId="0" borderId="12" xfId="0" applyBorder="1" applyAlignment="1">
      <alignment vertical="top"/>
    </xf>
    <xf numFmtId="165" fontId="2" fillId="0" borderId="12" xfId="0" applyNumberFormat="1" applyFont="1" applyBorder="1" applyAlignment="1">
      <alignment vertical="top"/>
    </xf>
    <xf numFmtId="14" fontId="2" fillId="0" borderId="12" xfId="0" applyNumberFormat="1" applyFont="1" applyBorder="1" applyAlignment="1">
      <alignment vertical="top"/>
    </xf>
    <xf numFmtId="49" fontId="3" fillId="0" borderId="0" xfId="0" applyNumberFormat="1" applyFont="1" applyAlignment="1">
      <alignment vertical="top"/>
    </xf>
    <xf numFmtId="49" fontId="2" fillId="15" borderId="12" xfId="0" applyNumberFormat="1" applyFont="1" applyFill="1" applyBorder="1" applyAlignment="1">
      <alignment vertical="top"/>
    </xf>
    <xf numFmtId="0" fontId="2" fillId="15" borderId="12" xfId="0" applyFont="1" applyFill="1" applyBorder="1" applyAlignment="1">
      <alignment horizontal="left" vertical="top"/>
    </xf>
    <xf numFmtId="165" fontId="3" fillId="0" borderId="0" xfId="0" applyNumberFormat="1" applyFont="1" applyAlignment="1">
      <alignment vertical="top"/>
    </xf>
    <xf numFmtId="0" fontId="2" fillId="0" borderId="12" xfId="0" applyFont="1" applyBorder="1" applyAlignment="1">
      <alignment horizontal="right" vertical="top"/>
    </xf>
    <xf numFmtId="0" fontId="2" fillId="0" borderId="12" xfId="0" applyFont="1" applyBorder="1" applyAlignment="1">
      <alignment horizontal="left" vertical="top"/>
    </xf>
    <xf numFmtId="0" fontId="15" fillId="0" borderId="12" xfId="0" applyFont="1" applyBorder="1" applyAlignment="1">
      <alignment vertical="top"/>
    </xf>
    <xf numFmtId="0" fontId="0" fillId="0" borderId="12" xfId="0" applyBorder="1" applyAlignment="1">
      <alignment vertical="top" wrapText="1"/>
    </xf>
    <xf numFmtId="14" fontId="0" fillId="0" borderId="12" xfId="0" applyNumberFormat="1" applyBorder="1" applyAlignment="1">
      <alignment vertical="top" wrapText="1"/>
    </xf>
    <xf numFmtId="0" fontId="23" fillId="0" borderId="12" xfId="0" applyFont="1" applyBorder="1" applyAlignment="1">
      <alignment vertical="top"/>
    </xf>
    <xf numFmtId="0" fontId="15" fillId="15" borderId="0" xfId="0" applyFont="1" applyFill="1"/>
    <xf numFmtId="0" fontId="4" fillId="6" borderId="11" xfId="0" applyFont="1" applyFill="1" applyBorder="1" applyAlignment="1">
      <alignment horizontal="left" vertical="center"/>
    </xf>
    <xf numFmtId="0" fontId="4" fillId="5" borderId="11" xfId="0" applyFont="1" applyFill="1" applyBorder="1" applyAlignment="1">
      <alignment vertical="center" wrapText="1"/>
    </xf>
    <xf numFmtId="0" fontId="4" fillId="6" borderId="11" xfId="0" applyFont="1" applyFill="1" applyBorder="1" applyAlignment="1">
      <alignment horizontal="left" vertical="center" wrapText="1"/>
    </xf>
    <xf numFmtId="0" fontId="4" fillId="6" borderId="11" xfId="0" applyFont="1" applyFill="1" applyBorder="1" applyAlignment="1">
      <alignment vertical="center" wrapText="1"/>
    </xf>
    <xf numFmtId="0" fontId="4" fillId="5" borderId="12" xfId="0" applyFont="1" applyFill="1" applyBorder="1" applyAlignment="1">
      <alignment vertical="center" wrapText="1"/>
    </xf>
    <xf numFmtId="0" fontId="5" fillId="10" borderId="12" xfId="0" applyFont="1" applyFill="1" applyBorder="1"/>
    <xf numFmtId="0" fontId="1" fillId="10" borderId="12" xfId="0" applyFont="1" applyFill="1" applyBorder="1" applyAlignment="1">
      <alignment horizontal="left"/>
    </xf>
    <xf numFmtId="0" fontId="15" fillId="0" borderId="0" xfId="0" applyFont="1"/>
    <xf numFmtId="0" fontId="0" fillId="0" borderId="12" xfId="0" applyBorder="1"/>
    <xf numFmtId="14" fontId="0" fillId="0" borderId="12" xfId="0" applyNumberFormat="1" applyBorder="1" applyAlignment="1">
      <alignment wrapText="1"/>
    </xf>
    <xf numFmtId="0" fontId="2" fillId="15" borderId="12" xfId="0" applyFont="1" applyFill="1" applyBorder="1"/>
    <xf numFmtId="0" fontId="8" fillId="0" borderId="0" xfId="0" applyFont="1"/>
    <xf numFmtId="0" fontId="4" fillId="0" borderId="11" xfId="0" applyFont="1" applyBorder="1" applyAlignment="1">
      <alignment vertical="center"/>
    </xf>
    <xf numFmtId="0" fontId="4" fillId="5" borderId="11" xfId="0" applyFont="1" applyFill="1" applyBorder="1" applyAlignment="1">
      <alignment horizontal="center" vertical="center"/>
    </xf>
    <xf numFmtId="0" fontId="4" fillId="5" borderId="12" xfId="0" applyFont="1" applyFill="1" applyBorder="1" applyAlignment="1">
      <alignment vertical="center"/>
    </xf>
    <xf numFmtId="0" fontId="2" fillId="8" borderId="12" xfId="0" applyFont="1" applyFill="1" applyBorder="1" applyAlignment="1">
      <alignment horizontal="center"/>
    </xf>
    <xf numFmtId="0" fontId="2" fillId="0" borderId="12" xfId="0" applyFont="1" applyBorder="1" applyAlignment="1">
      <alignment horizontal="center"/>
    </xf>
    <xf numFmtId="0" fontId="3" fillId="15" borderId="12" xfId="0" applyFont="1" applyFill="1" applyBorder="1" applyAlignment="1">
      <alignment wrapText="1"/>
    </xf>
    <xf numFmtId="0" fontId="8" fillId="0" borderId="13" xfId="0" applyFont="1" applyBorder="1" applyAlignment="1">
      <alignment vertical="top"/>
    </xf>
    <xf numFmtId="0" fontId="3" fillId="0" borderId="13" xfId="0" applyFont="1" applyBorder="1" applyAlignment="1">
      <alignment vertical="top"/>
    </xf>
    <xf numFmtId="0" fontId="3" fillId="0" borderId="13" xfId="0" applyFont="1" applyBorder="1" applyAlignment="1">
      <alignment horizontal="left" vertical="top"/>
    </xf>
    <xf numFmtId="0" fontId="14" fillId="0" borderId="13" xfId="0" applyFont="1" applyBorder="1" applyAlignment="1">
      <alignment vertical="top"/>
    </xf>
    <xf numFmtId="0" fontId="3" fillId="0" borderId="0" xfId="0" applyFont="1" applyAlignment="1">
      <alignment horizontal="right" vertical="top"/>
    </xf>
    <xf numFmtId="14" fontId="3" fillId="0" borderId="0" xfId="0" applyNumberFormat="1" applyFont="1" applyAlignment="1">
      <alignment vertical="top"/>
    </xf>
    <xf numFmtId="0" fontId="3" fillId="0" borderId="0" xfId="0" applyFont="1" applyAlignment="1">
      <alignment horizontal="right" vertical="top" wrapText="1"/>
    </xf>
    <xf numFmtId="0" fontId="3" fillId="0" borderId="0" xfId="0" applyFont="1" applyAlignment="1">
      <alignment horizontal="left" vertical="top" wrapText="1"/>
    </xf>
    <xf numFmtId="49" fontId="3" fillId="0" borderId="0" xfId="0" applyNumberFormat="1" applyFont="1" applyAlignment="1">
      <alignment vertical="top" wrapText="1"/>
    </xf>
    <xf numFmtId="49" fontId="3" fillId="0" borderId="0" xfId="0" applyNumberFormat="1" applyFont="1" applyAlignment="1">
      <alignment horizontal="left" vertical="top" wrapText="1"/>
    </xf>
    <xf numFmtId="0" fontId="19" fillId="15" borderId="13" xfId="0" applyFont="1" applyFill="1" applyBorder="1" applyAlignment="1">
      <alignment wrapText="1"/>
    </xf>
    <xf numFmtId="0" fontId="8" fillId="15" borderId="13" xfId="0" applyFont="1" applyFill="1" applyBorder="1" applyAlignment="1">
      <alignment wrapText="1"/>
    </xf>
    <xf numFmtId="0" fontId="17" fillId="15" borderId="13" xfId="0" applyFont="1" applyFill="1" applyBorder="1"/>
    <xf numFmtId="0" fontId="5" fillId="15" borderId="13" xfId="0" applyFont="1" applyFill="1" applyBorder="1" applyAlignment="1">
      <alignment wrapText="1"/>
    </xf>
    <xf numFmtId="0" fontId="5" fillId="15" borderId="13" xfId="0" applyFont="1" applyFill="1" applyBorder="1"/>
    <xf numFmtId="0" fontId="3" fillId="0" borderId="0" xfId="0" applyFont="1" applyAlignment="1">
      <alignment horizontal="right"/>
    </xf>
    <xf numFmtId="0" fontId="27" fillId="0" borderId="0" xfId="0" applyFont="1" applyAlignment="1">
      <alignment wrapText="1"/>
    </xf>
    <xf numFmtId="0" fontId="27" fillId="0" borderId="0" xfId="0" applyFont="1" applyAlignment="1">
      <alignment vertical="top" wrapText="1"/>
    </xf>
    <xf numFmtId="0" fontId="3" fillId="10" borderId="0" xfId="0" applyFont="1" applyFill="1"/>
    <xf numFmtId="0" fontId="3" fillId="10" borderId="0" xfId="0" applyFont="1" applyFill="1" applyAlignment="1">
      <alignment horizontal="right"/>
    </xf>
    <xf numFmtId="0" fontId="19" fillId="0" borderId="12" xfId="0" applyFont="1" applyBorder="1" applyAlignment="1">
      <alignment wrapText="1"/>
    </xf>
    <xf numFmtId="0" fontId="23" fillId="0" borderId="0" xfId="0" applyFont="1" applyAlignment="1">
      <alignment wrapText="1"/>
    </xf>
    <xf numFmtId="0" fontId="23" fillId="0" borderId="0" xfId="0" applyFont="1" applyAlignment="1">
      <alignment vertical="top" wrapText="1"/>
    </xf>
    <xf numFmtId="0" fontId="2" fillId="10" borderId="0" xfId="0" applyFont="1" applyFill="1" applyAlignment="1">
      <alignment horizontal="right" wrapText="1"/>
    </xf>
    <xf numFmtId="0" fontId="2" fillId="10" borderId="0" xfId="0" applyFont="1" applyFill="1" applyAlignment="1">
      <alignment horizontal="right"/>
    </xf>
    <xf numFmtId="0" fontId="3" fillId="0" borderId="12" xfId="0" applyFont="1" applyBorder="1" applyAlignment="1">
      <alignment wrapText="1"/>
    </xf>
    <xf numFmtId="0" fontId="4" fillId="16" borderId="0" xfId="0" applyFont="1" applyFill="1"/>
    <xf numFmtId="0" fontId="3" fillId="16" borderId="0" xfId="0" applyFont="1" applyFill="1" applyAlignment="1">
      <alignment wrapText="1"/>
    </xf>
    <xf numFmtId="0" fontId="2" fillId="16" borderId="0" xfId="0" applyFont="1" applyFill="1"/>
    <xf numFmtId="0" fontId="2" fillId="16" borderId="0" xfId="0" applyFont="1" applyFill="1" applyAlignment="1">
      <alignment horizontal="right"/>
    </xf>
    <xf numFmtId="0" fontId="2" fillId="0" borderId="0" xfId="0" quotePrefix="1" applyFont="1"/>
    <xf numFmtId="0" fontId="2" fillId="16" borderId="0" xfId="0" applyFont="1" applyFill="1" applyAlignment="1">
      <alignment wrapText="1"/>
    </xf>
    <xf numFmtId="0" fontId="3" fillId="0" borderId="13" xfId="0" applyFont="1" applyBorder="1" applyAlignment="1">
      <alignment wrapText="1"/>
    </xf>
    <xf numFmtId="0" fontId="15" fillId="0" borderId="13" xfId="0" applyFont="1" applyBorder="1" applyAlignment="1">
      <alignment wrapText="1"/>
    </xf>
    <xf numFmtId="0" fontId="3" fillId="6" borderId="13" xfId="0" applyFont="1" applyFill="1" applyBorder="1" applyAlignment="1">
      <alignment wrapText="1"/>
    </xf>
    <xf numFmtId="0" fontId="4" fillId="6" borderId="11" xfId="0" applyFont="1" applyFill="1" applyBorder="1" applyAlignment="1">
      <alignment wrapText="1"/>
    </xf>
    <xf numFmtId="0" fontId="32" fillId="5" borderId="13" xfId="0" applyFont="1" applyFill="1" applyBorder="1" applyAlignment="1">
      <alignment wrapText="1"/>
    </xf>
    <xf numFmtId="0" fontId="14" fillId="5" borderId="13" xfId="0" applyFont="1" applyFill="1" applyBorder="1" applyAlignment="1">
      <alignment wrapText="1"/>
    </xf>
    <xf numFmtId="0" fontId="14" fillId="6" borderId="13" xfId="0" applyFont="1" applyFill="1" applyBorder="1" applyAlignment="1">
      <alignment wrapText="1"/>
    </xf>
    <xf numFmtId="0" fontId="3" fillId="9" borderId="12" xfId="0" applyFont="1" applyFill="1" applyBorder="1" applyAlignment="1">
      <alignment wrapText="1"/>
    </xf>
    <xf numFmtId="0" fontId="3" fillId="8" borderId="12" xfId="0" applyFont="1" applyFill="1" applyBorder="1" applyAlignment="1">
      <alignment wrapText="1"/>
    </xf>
    <xf numFmtId="49" fontId="3" fillId="0" borderId="0" xfId="0" applyNumberFormat="1" applyFont="1" applyAlignment="1">
      <alignment wrapText="1"/>
    </xf>
    <xf numFmtId="0" fontId="3" fillId="16" borderId="12" xfId="0" applyFont="1" applyFill="1" applyBorder="1" applyAlignment="1">
      <alignment wrapText="1"/>
    </xf>
    <xf numFmtId="0" fontId="2" fillId="16" borderId="0" xfId="0" applyFont="1" applyFill="1" applyAlignment="1">
      <alignment horizontal="right" wrapText="1"/>
    </xf>
    <xf numFmtId="49" fontId="3" fillId="16" borderId="0" xfId="0" applyNumberFormat="1" applyFont="1" applyFill="1" applyAlignment="1">
      <alignment wrapText="1"/>
    </xf>
    <xf numFmtId="0" fontId="3" fillId="9" borderId="0" xfId="0" applyFont="1" applyFill="1" applyAlignment="1">
      <alignment wrapText="1"/>
    </xf>
    <xf numFmtId="0" fontId="3" fillId="8" borderId="0" xfId="0" applyFont="1" applyFill="1" applyAlignment="1">
      <alignment wrapText="1"/>
    </xf>
    <xf numFmtId="49" fontId="3" fillId="10" borderId="0" xfId="0" applyNumberFormat="1" applyFont="1" applyFill="1" applyAlignment="1">
      <alignment wrapText="1"/>
    </xf>
    <xf numFmtId="49" fontId="3" fillId="10" borderId="12" xfId="0" applyNumberFormat="1" applyFont="1" applyFill="1" applyBorder="1"/>
    <xf numFmtId="49" fontId="3" fillId="16" borderId="12" xfId="0" applyNumberFormat="1" applyFont="1" applyFill="1" applyBorder="1"/>
    <xf numFmtId="49" fontId="3" fillId="0" borderId="12" xfId="0" applyNumberFormat="1" applyFont="1" applyBorder="1"/>
    <xf numFmtId="0" fontId="4" fillId="0" borderId="11" xfId="0" applyFont="1" applyBorder="1" applyAlignment="1">
      <alignment wrapText="1"/>
    </xf>
    <xf numFmtId="0" fontId="8" fillId="0" borderId="0" xfId="0" applyFont="1" applyAlignment="1">
      <alignment vertical="top" wrapText="1"/>
    </xf>
    <xf numFmtId="0" fontId="4" fillId="6" borderId="11" xfId="0" applyFont="1" applyFill="1" applyBorder="1"/>
    <xf numFmtId="0" fontId="2" fillId="13" borderId="12" xfId="0" applyFont="1" applyFill="1" applyBorder="1"/>
    <xf numFmtId="14" fontId="2" fillId="13" borderId="12" xfId="0" applyNumberFormat="1" applyFont="1" applyFill="1" applyBorder="1"/>
    <xf numFmtId="0" fontId="4" fillId="5" borderId="11" xfId="0" applyFont="1" applyFill="1" applyBorder="1" applyAlignment="1">
      <alignment wrapText="1"/>
    </xf>
    <xf numFmtId="0" fontId="4" fillId="5" borderId="11" xfId="0" applyFont="1" applyFill="1" applyBorder="1" applyAlignment="1">
      <alignment horizontal="center" wrapText="1"/>
    </xf>
    <xf numFmtId="0" fontId="4" fillId="5" borderId="12" xfId="0" applyFont="1" applyFill="1" applyBorder="1" applyAlignment="1">
      <alignment wrapText="1"/>
    </xf>
    <xf numFmtId="0" fontId="2" fillId="14" borderId="12" xfId="0" applyFont="1" applyFill="1" applyBorder="1"/>
    <xf numFmtId="14" fontId="2" fillId="14" borderId="12" xfId="0" applyNumberFormat="1" applyFont="1" applyFill="1" applyBorder="1"/>
    <xf numFmtId="14" fontId="3" fillId="0" borderId="0" xfId="0" applyNumberFormat="1" applyFont="1"/>
    <xf numFmtId="49" fontId="3" fillId="0" borderId="0" xfId="0" applyNumberFormat="1" applyFont="1"/>
    <xf numFmtId="0" fontId="2" fillId="15" borderId="12" xfId="0" applyFont="1" applyFill="1" applyBorder="1" applyAlignment="1">
      <alignment horizontal="center"/>
    </xf>
    <xf numFmtId="14" fontId="2" fillId="13" borderId="12" xfId="0" applyNumberFormat="1" applyFont="1" applyFill="1" applyBorder="1" applyAlignment="1">
      <alignment horizontal="left" vertical="top"/>
    </xf>
    <xf numFmtId="0" fontId="4" fillId="5" borderId="11" xfId="0" applyFont="1" applyFill="1" applyBorder="1" applyAlignment="1">
      <alignment horizontal="center" vertical="center" wrapText="1"/>
    </xf>
    <xf numFmtId="14" fontId="2" fillId="14" borderId="12" xfId="0" applyNumberFormat="1" applyFont="1" applyFill="1" applyBorder="1" applyAlignment="1">
      <alignment horizontal="left" vertical="top"/>
    </xf>
    <xf numFmtId="14" fontId="3" fillId="0" borderId="0" xfId="0" applyNumberFormat="1" applyFont="1" applyAlignment="1">
      <alignment horizontal="left" vertical="top"/>
    </xf>
    <xf numFmtId="0" fontId="4" fillId="0" borderId="12" xfId="0" applyFont="1" applyBorder="1"/>
    <xf numFmtId="0" fontId="0" fillId="0" borderId="12" xfId="0" applyBorder="1" applyAlignment="1">
      <alignment horizontal="left"/>
    </xf>
    <xf numFmtId="0" fontId="3" fillId="0" borderId="12" xfId="0" applyFont="1" applyBorder="1" applyAlignment="1">
      <alignment vertical="top"/>
    </xf>
    <xf numFmtId="14" fontId="0" fillId="0" borderId="12" xfId="0" applyNumberFormat="1" applyBorder="1" applyAlignment="1">
      <alignment horizontal="left"/>
    </xf>
    <xf numFmtId="14" fontId="3" fillId="0" borderId="12" xfId="0" applyNumberFormat="1" applyFont="1" applyBorder="1" applyAlignment="1">
      <alignment horizontal="left" vertical="top"/>
    </xf>
    <xf numFmtId="0" fontId="30" fillId="0" borderId="12" xfId="0" applyFont="1" applyBorder="1"/>
    <xf numFmtId="0" fontId="15" fillId="0" borderId="13" xfId="0" applyFont="1" applyBorder="1"/>
    <xf numFmtId="0" fontId="4" fillId="0" borderId="13" xfId="0" applyFont="1" applyBorder="1" applyAlignment="1">
      <alignment wrapText="1"/>
    </xf>
    <xf numFmtId="0" fontId="3" fillId="0" borderId="0" xfId="0" applyFont="1" applyAlignment="1">
      <alignment horizontal="left"/>
    </xf>
    <xf numFmtId="0" fontId="15" fillId="0" borderId="13" xfId="0" applyFont="1" applyBorder="1" applyAlignment="1">
      <alignment vertical="top"/>
    </xf>
    <xf numFmtId="0" fontId="4" fillId="0" borderId="13" xfId="0" applyFont="1" applyBorder="1" applyAlignment="1">
      <alignment vertical="top" wrapText="1"/>
    </xf>
    <xf numFmtId="0" fontId="4" fillId="5" borderId="12" xfId="0" applyFont="1" applyFill="1" applyBorder="1" applyAlignment="1">
      <alignment vertical="top" wrapText="1"/>
    </xf>
    <xf numFmtId="0" fontId="15" fillId="0" borderId="0" xfId="0" applyFont="1" applyAlignment="1">
      <alignment wrapText="1"/>
    </xf>
    <xf numFmtId="0" fontId="4" fillId="6" borderId="12" xfId="0" applyFont="1" applyFill="1" applyBorder="1" applyAlignment="1">
      <alignment vertical="center"/>
    </xf>
    <xf numFmtId="0" fontId="3" fillId="0" borderId="0" xfId="0" applyFont="1" applyAlignment="1">
      <alignment horizontal="right" wrapText="1"/>
    </xf>
    <xf numFmtId="0" fontId="4" fillId="5" borderId="12" xfId="0" applyFont="1" applyFill="1" applyBorder="1" applyAlignment="1">
      <alignment vertical="top"/>
    </xf>
    <xf numFmtId="14" fontId="2" fillId="10" borderId="12" xfId="0" applyNumberFormat="1" applyFont="1" applyFill="1" applyBorder="1" applyAlignment="1">
      <alignment vertical="top"/>
    </xf>
    <xf numFmtId="0" fontId="12" fillId="17" borderId="12" xfId="0" applyFont="1" applyFill="1" applyBorder="1" applyAlignment="1">
      <alignment vertical="top"/>
    </xf>
    <xf numFmtId="49" fontId="2" fillId="10" borderId="12" xfId="0" applyNumberFormat="1" applyFont="1" applyFill="1" applyBorder="1" applyAlignment="1">
      <alignment horizontal="left" vertical="top"/>
    </xf>
    <xf numFmtId="165" fontId="3" fillId="0" borderId="0" xfId="0" applyNumberFormat="1" applyFont="1"/>
    <xf numFmtId="0" fontId="10" fillId="18" borderId="12" xfId="0" applyFont="1" applyFill="1" applyBorder="1"/>
    <xf numFmtId="0" fontId="22" fillId="19" borderId="9" xfId="0" applyFont="1" applyFill="1" applyBorder="1" applyAlignment="1">
      <alignment horizontal="left" vertical="top"/>
    </xf>
    <xf numFmtId="0" fontId="22" fillId="19" borderId="9" xfId="0" applyFont="1" applyFill="1" applyBorder="1" applyAlignment="1">
      <alignment horizontal="center" vertical="top"/>
    </xf>
    <xf numFmtId="0" fontId="22" fillId="19" borderId="9" xfId="0" applyFont="1" applyFill="1" applyBorder="1" applyAlignment="1">
      <alignment horizontal="center" vertical="top" wrapText="1"/>
    </xf>
    <xf numFmtId="0" fontId="3" fillId="0" borderId="9" xfId="0" applyFont="1" applyBorder="1" applyAlignment="1">
      <alignment vertical="top" wrapText="1"/>
    </xf>
    <xf numFmtId="0" fontId="3" fillId="0" borderId="9" xfId="0" applyFont="1" applyBorder="1" applyAlignment="1">
      <alignment horizontal="center" vertical="top" wrapText="1"/>
    </xf>
    <xf numFmtId="0" fontId="2" fillId="9" borderId="11" xfId="0" applyFont="1" applyFill="1" applyBorder="1"/>
    <xf numFmtId="0" fontId="2" fillId="8" borderId="11" xfId="0" applyFont="1" applyFill="1" applyBorder="1"/>
    <xf numFmtId="0" fontId="2" fillId="0" borderId="11" xfId="0" applyFont="1" applyBorder="1"/>
    <xf numFmtId="49" fontId="2" fillId="0" borderId="11" xfId="0" applyNumberFormat="1" applyFont="1" applyBorder="1"/>
    <xf numFmtId="165" fontId="2" fillId="0" borderId="11" xfId="0" applyNumberFormat="1" applyFont="1" applyBorder="1"/>
    <xf numFmtId="0" fontId="38" fillId="0" borderId="13" xfId="0" applyFont="1" applyBorder="1"/>
    <xf numFmtId="0" fontId="3" fillId="6" borderId="13" xfId="0" applyFont="1" applyFill="1" applyBorder="1"/>
    <xf numFmtId="0" fontId="3" fillId="20" borderId="12" xfId="0" applyFont="1" applyFill="1" applyBorder="1" applyAlignment="1">
      <alignment wrapText="1"/>
    </xf>
    <xf numFmtId="0" fontId="4" fillId="20" borderId="12" xfId="0" applyFont="1" applyFill="1" applyBorder="1" applyAlignment="1">
      <alignment horizontal="right"/>
    </xf>
    <xf numFmtId="0" fontId="3" fillId="20" borderId="12" xfId="0" applyFont="1" applyFill="1" applyBorder="1"/>
    <xf numFmtId="0" fontId="0" fillId="21" borderId="12" xfId="0" applyFill="1" applyBorder="1" applyAlignment="1">
      <alignment wrapText="1"/>
    </xf>
    <xf numFmtId="0" fontId="5" fillId="21" borderId="12" xfId="0" applyFont="1" applyFill="1" applyBorder="1" applyAlignment="1">
      <alignment wrapText="1"/>
    </xf>
    <xf numFmtId="0" fontId="5" fillId="0" borderId="13" xfId="0" applyFont="1" applyBorder="1" applyAlignment="1">
      <alignment wrapText="1"/>
    </xf>
    <xf numFmtId="0" fontId="0" fillId="22" borderId="12" xfId="0" applyFill="1" applyBorder="1" applyAlignment="1">
      <alignment wrapText="1"/>
    </xf>
    <xf numFmtId="0" fontId="2" fillId="22" borderId="12" xfId="0" applyFont="1" applyFill="1" applyBorder="1" applyAlignment="1">
      <alignment wrapText="1"/>
    </xf>
    <xf numFmtId="0" fontId="40" fillId="22" borderId="12" xfId="0" applyFont="1" applyFill="1" applyBorder="1" applyAlignment="1">
      <alignment wrapText="1"/>
    </xf>
    <xf numFmtId="0" fontId="43" fillId="22" borderId="12" xfId="0" applyFont="1" applyFill="1" applyBorder="1" applyAlignment="1">
      <alignment wrapText="1"/>
    </xf>
    <xf numFmtId="0" fontId="3" fillId="0" borderId="0" xfId="0" applyFont="1" applyAlignment="1">
      <alignment horizontal="center" wrapText="1"/>
    </xf>
    <xf numFmtId="0" fontId="6" fillId="15" borderId="12" xfId="0" applyFont="1" applyFill="1" applyBorder="1" applyAlignment="1">
      <alignment wrapText="1"/>
    </xf>
    <xf numFmtId="0" fontId="36" fillId="0" borderId="0" xfId="0" applyFont="1"/>
    <xf numFmtId="0" fontId="14" fillId="0" borderId="11" xfId="0" applyFont="1" applyBorder="1" applyAlignment="1">
      <alignment vertical="center"/>
    </xf>
    <xf numFmtId="0" fontId="14" fillId="0" borderId="11" xfId="0" applyFont="1" applyBorder="1" applyAlignment="1">
      <alignment vertical="center" wrapText="1"/>
    </xf>
    <xf numFmtId="0" fontId="4" fillId="15" borderId="12" xfId="0" applyFont="1" applyFill="1" applyBorder="1" applyAlignment="1">
      <alignment wrapText="1"/>
    </xf>
    <xf numFmtId="0" fontId="4" fillId="5" borderId="11" xfId="0" applyFont="1" applyFill="1" applyBorder="1"/>
    <xf numFmtId="0" fontId="4" fillId="5" borderId="8" xfId="0" applyFont="1" applyFill="1" applyBorder="1"/>
    <xf numFmtId="49" fontId="2" fillId="10" borderId="12" xfId="0" applyNumberFormat="1" applyFont="1" applyFill="1" applyBorder="1"/>
    <xf numFmtId="165" fontId="2" fillId="10" borderId="12" xfId="0" applyNumberFormat="1" applyFont="1" applyFill="1" applyBorder="1"/>
    <xf numFmtId="0" fontId="3" fillId="0" borderId="13" xfId="0" applyFont="1" applyBorder="1"/>
    <xf numFmtId="0" fontId="14" fillId="6" borderId="11" xfId="0" applyFont="1" applyFill="1" applyBorder="1"/>
    <xf numFmtId="0" fontId="3" fillId="6" borderId="11" xfId="0" applyFont="1" applyFill="1" applyBorder="1"/>
    <xf numFmtId="0" fontId="22" fillId="0" borderId="0" xfId="0" applyFont="1" applyAlignment="1">
      <alignment vertical="top"/>
    </xf>
    <xf numFmtId="0" fontId="14" fillId="6" borderId="11" xfId="0" applyFont="1" applyFill="1" applyBorder="1" applyAlignment="1">
      <alignment vertical="top"/>
    </xf>
    <xf numFmtId="0" fontId="3" fillId="6" borderId="11" xfId="0" applyFont="1" applyFill="1" applyBorder="1" applyAlignment="1">
      <alignment vertical="top"/>
    </xf>
    <xf numFmtId="0" fontId="3" fillId="0" borderId="13" xfId="0" applyFont="1" applyBorder="1" applyAlignment="1">
      <alignment vertical="top" wrapText="1"/>
    </xf>
    <xf numFmtId="0" fontId="14" fillId="5" borderId="13" xfId="0" applyFont="1" applyFill="1" applyBorder="1" applyAlignment="1">
      <alignment vertical="top"/>
    </xf>
    <xf numFmtId="0" fontId="14" fillId="6" borderId="13" xfId="0" applyFont="1" applyFill="1" applyBorder="1" applyAlignment="1">
      <alignment vertical="top"/>
    </xf>
    <xf numFmtId="0" fontId="3" fillId="6" borderId="13" xfId="0" applyFont="1" applyFill="1" applyBorder="1" applyAlignment="1">
      <alignment vertical="top"/>
    </xf>
    <xf numFmtId="0" fontId="14" fillId="5" borderId="13" xfId="0" applyFont="1" applyFill="1" applyBorder="1" applyAlignment="1">
      <alignment vertical="top" wrapText="1"/>
    </xf>
    <xf numFmtId="0" fontId="14" fillId="5" borderId="13" xfId="0" applyFont="1" applyFill="1" applyBorder="1" applyAlignment="1">
      <alignment horizontal="left" vertical="top"/>
    </xf>
    <xf numFmtId="168" fontId="3" fillId="0" borderId="0" xfId="0" applyNumberFormat="1" applyFont="1" applyAlignment="1">
      <alignment horizontal="left" vertical="top"/>
    </xf>
    <xf numFmtId="0" fontId="3" fillId="6" borderId="9" xfId="0" applyFont="1" applyFill="1" applyBorder="1" applyAlignment="1">
      <alignment vertical="top" wrapText="1"/>
    </xf>
    <xf numFmtId="0" fontId="2" fillId="0" borderId="0" xfId="0" applyFont="1" applyAlignment="1">
      <alignment horizontal="left" vertical="top" wrapText="1"/>
    </xf>
    <xf numFmtId="0" fontId="3" fillId="23" borderId="0" xfId="0" applyFont="1" applyFill="1" applyAlignment="1">
      <alignment vertical="top"/>
    </xf>
    <xf numFmtId="0" fontId="0" fillId="23" borderId="0" xfId="0" applyFill="1" applyAlignment="1">
      <alignment wrapText="1"/>
    </xf>
    <xf numFmtId="0" fontId="55" fillId="15" borderId="0" xfId="0" applyFont="1" applyFill="1" applyAlignment="1">
      <alignment vertical="top"/>
    </xf>
    <xf numFmtId="0" fontId="3" fillId="0" borderId="0" xfId="0" applyFont="1"/>
    <xf numFmtId="0" fontId="34" fillId="0" borderId="0" xfId="0" applyFont="1" applyAlignment="1">
      <alignment horizontal="left" wrapText="1"/>
    </xf>
    <xf numFmtId="0" fontId="3" fillId="0" borderId="0" xfId="0" applyFont="1" applyAlignment="1">
      <alignment wrapText="1"/>
    </xf>
    <xf numFmtId="165" fontId="2" fillId="0" borderId="0" xfId="0" applyNumberFormat="1" applyFont="1" applyAlignment="1">
      <alignment wrapText="1"/>
    </xf>
    <xf numFmtId="165" fontId="2" fillId="0" borderId="12" xfId="0" applyNumberFormat="1" applyFont="1" applyBorder="1" applyAlignment="1">
      <alignment wrapText="1"/>
    </xf>
    <xf numFmtId="0" fontId="20" fillId="0" borderId="0" xfId="0" applyFont="1" applyAlignment="1">
      <alignment wrapText="1"/>
    </xf>
    <xf numFmtId="0" fontId="18" fillId="0" borderId="0" xfId="0" applyFont="1" applyAlignment="1">
      <alignment wrapText="1"/>
    </xf>
    <xf numFmtId="14" fontId="19" fillId="0" borderId="0" xfId="0" applyNumberFormat="1" applyFont="1" applyAlignment="1">
      <alignment wrapText="1"/>
    </xf>
    <xf numFmtId="14" fontId="2" fillId="0" borderId="12" xfId="0" applyNumberFormat="1" applyFont="1" applyBorder="1" applyAlignment="1">
      <alignment wrapText="1"/>
    </xf>
    <xf numFmtId="0" fontId="11" fillId="0" borderId="0" xfId="0" applyFont="1" applyAlignment="1">
      <alignment wrapText="1"/>
    </xf>
    <xf numFmtId="3" fontId="2" fillId="0" borderId="0" xfId="0" applyNumberFormat="1" applyFont="1" applyAlignment="1">
      <alignment wrapText="1"/>
    </xf>
    <xf numFmtId="49" fontId="2" fillId="0" borderId="12" xfId="0" applyNumberFormat="1" applyFont="1" applyBorder="1" applyAlignment="1">
      <alignment wrapText="1"/>
    </xf>
    <xf numFmtId="0" fontId="21" fillId="0" borderId="0" xfId="0" applyFont="1" applyAlignment="1">
      <alignment wrapText="1"/>
    </xf>
    <xf numFmtId="0" fontId="0" fillId="15" borderId="0" xfId="0" applyFill="1"/>
    <xf numFmtId="0" fontId="3" fillId="15" borderId="0" xfId="0" applyFont="1" applyFill="1" applyAlignment="1">
      <alignment wrapText="1"/>
    </xf>
    <xf numFmtId="0" fontId="1" fillId="15" borderId="0" xfId="0" applyFont="1" applyFill="1" applyAlignment="1">
      <alignment wrapText="1"/>
    </xf>
    <xf numFmtId="0" fontId="17" fillId="0" borderId="0" xfId="0" applyFont="1"/>
    <xf numFmtId="0" fontId="17" fillId="10" borderId="0" xfId="0" applyFont="1" applyFill="1" applyAlignment="1">
      <alignment wrapText="1"/>
    </xf>
    <xf numFmtId="0" fontId="17" fillId="16" borderId="0" xfId="0" applyFont="1" applyFill="1" applyAlignment="1">
      <alignment wrapText="1"/>
    </xf>
    <xf numFmtId="0" fontId="0" fillId="0" borderId="0" xfId="0" applyAlignment="1">
      <alignment horizontal="left" wrapText="1"/>
    </xf>
    <xf numFmtId="0" fontId="4" fillId="0" borderId="0" xfId="0" applyFont="1" applyAlignment="1">
      <alignment wrapText="1"/>
    </xf>
    <xf numFmtId="0" fontId="4" fillId="0" borderId="0" xfId="0" applyFont="1" applyAlignment="1">
      <alignment horizontal="left" wrapText="1"/>
    </xf>
    <xf numFmtId="0" fontId="3" fillId="15" borderId="0" xfId="0" applyFont="1" applyFill="1" applyAlignment="1">
      <alignment vertical="top"/>
    </xf>
    <xf numFmtId="0" fontId="3" fillId="15" borderId="0" xfId="0" applyFont="1" applyFill="1" applyAlignment="1">
      <alignment vertical="top" wrapText="1"/>
    </xf>
    <xf numFmtId="0" fontId="17" fillId="15" borderId="0" xfId="0" applyFont="1" applyFill="1" applyAlignment="1">
      <alignment vertical="top" wrapText="1"/>
    </xf>
    <xf numFmtId="0" fontId="18" fillId="0" borderId="0" xfId="0" applyFont="1"/>
    <xf numFmtId="49" fontId="19" fillId="0" borderId="0" xfId="0" applyNumberFormat="1" applyFont="1"/>
    <xf numFmtId="14" fontId="19" fillId="0" borderId="0" xfId="0" applyNumberFormat="1" applyFont="1"/>
    <xf numFmtId="0" fontId="19" fillId="0" borderId="0" xfId="0" applyFont="1"/>
    <xf numFmtId="0" fontId="17" fillId="0" borderId="0" xfId="0" applyFont="1" applyAlignment="1">
      <alignment horizontal="left" wrapText="1"/>
    </xf>
    <xf numFmtId="0" fontId="1" fillId="0" borderId="0" xfId="0" applyFont="1"/>
    <xf numFmtId="0" fontId="56" fillId="0" borderId="0" xfId="1" applyFill="1" applyAlignment="1">
      <alignment wrapText="1"/>
    </xf>
    <xf numFmtId="0" fontId="0" fillId="24" borderId="0" xfId="0" applyFill="1" applyAlignment="1">
      <alignment wrapText="1"/>
    </xf>
    <xf numFmtId="0" fontId="1" fillId="24" borderId="0" xfId="0" applyFont="1" applyFill="1"/>
    <xf numFmtId="0" fontId="0" fillId="0" borderId="0" xfId="0" applyAlignment="1">
      <alignment vertical="center" wrapText="1"/>
    </xf>
    <xf numFmtId="0" fontId="1" fillId="0" borderId="0" xfId="0" applyFont="1" applyAlignment="1">
      <alignment horizontal="left"/>
    </xf>
    <xf numFmtId="0" fontId="50" fillId="0" borderId="0" xfId="0" applyFont="1"/>
    <xf numFmtId="0" fontId="57" fillId="28" borderId="14" xfId="0" applyFont="1" applyFill="1" applyBorder="1"/>
    <xf numFmtId="0" fontId="57" fillId="28" borderId="6" xfId="0" applyFont="1" applyFill="1" applyBorder="1"/>
    <xf numFmtId="0" fontId="58" fillId="0" borderId="0" xfId="0" applyFont="1"/>
    <xf numFmtId="0" fontId="58" fillId="0" borderId="0" xfId="0" applyFont="1" applyAlignment="1">
      <alignment wrapText="1"/>
    </xf>
    <xf numFmtId="0" fontId="2" fillId="23" borderId="0" xfId="0" applyFont="1" applyFill="1"/>
    <xf numFmtId="0" fontId="1" fillId="0" borderId="0" xfId="0" applyFont="1" applyAlignment="1">
      <alignment vertical="center"/>
    </xf>
    <xf numFmtId="0" fontId="1" fillId="0" borderId="0" xfId="0" applyFont="1" applyAlignment="1">
      <alignment vertical="center" wrapText="1"/>
    </xf>
    <xf numFmtId="0" fontId="0" fillId="0" borderId="0" xfId="0" quotePrefix="1"/>
    <xf numFmtId="14" fontId="2" fillId="14" borderId="12" xfId="0" applyNumberFormat="1" applyFont="1" applyFill="1" applyBorder="1" applyAlignment="1">
      <alignment horizontal="left"/>
    </xf>
    <xf numFmtId="49" fontId="4" fillId="0" borderId="0" xfId="0" applyNumberFormat="1" applyFont="1"/>
    <xf numFmtId="49" fontId="4" fillId="0" borderId="0" xfId="0" applyNumberFormat="1" applyFont="1" applyAlignment="1">
      <alignment wrapText="1"/>
    </xf>
    <xf numFmtId="0" fontId="5" fillId="29" borderId="12" xfId="0" applyFont="1" applyFill="1" applyBorder="1" applyAlignment="1">
      <alignment wrapText="1"/>
    </xf>
    <xf numFmtId="0" fontId="1" fillId="29" borderId="12" xfId="0" applyFont="1" applyFill="1" applyBorder="1" applyAlignment="1">
      <alignment horizontal="left" wrapText="1"/>
    </xf>
    <xf numFmtId="0" fontId="5" fillId="29" borderId="0" xfId="0" applyFont="1" applyFill="1" applyAlignment="1">
      <alignment wrapText="1"/>
    </xf>
    <xf numFmtId="0" fontId="1" fillId="29" borderId="0" xfId="0" applyFont="1" applyFill="1" applyAlignment="1">
      <alignment wrapText="1"/>
    </xf>
    <xf numFmtId="0" fontId="25" fillId="29" borderId="12" xfId="0" applyFont="1" applyFill="1" applyBorder="1" applyAlignment="1">
      <alignment wrapText="1"/>
    </xf>
    <xf numFmtId="0" fontId="14" fillId="29" borderId="10" xfId="0" applyFont="1" applyFill="1" applyBorder="1"/>
    <xf numFmtId="0" fontId="14" fillId="29" borderId="10" xfId="0" applyFont="1" applyFill="1" applyBorder="1" applyAlignment="1">
      <alignment wrapText="1"/>
    </xf>
    <xf numFmtId="49" fontId="5" fillId="29" borderId="12" xfId="0" applyNumberFormat="1" applyFont="1" applyFill="1" applyBorder="1" applyAlignment="1">
      <alignment wrapText="1"/>
    </xf>
    <xf numFmtId="14" fontId="5" fillId="29" borderId="0" xfId="0" applyNumberFormat="1" applyFont="1" applyFill="1" applyAlignment="1">
      <alignment wrapText="1"/>
    </xf>
    <xf numFmtId="0" fontId="14" fillId="29" borderId="11" xfId="0" applyFont="1" applyFill="1" applyBorder="1" applyAlignment="1">
      <alignment wrapText="1"/>
    </xf>
    <xf numFmtId="0" fontId="14" fillId="29" borderId="12" xfId="0" applyFont="1" applyFill="1" applyBorder="1" applyAlignment="1">
      <alignment wrapText="1"/>
    </xf>
    <xf numFmtId="49" fontId="14" fillId="29" borderId="12" xfId="0" applyNumberFormat="1" applyFont="1" applyFill="1" applyBorder="1" applyAlignment="1">
      <alignment wrapText="1"/>
    </xf>
    <xf numFmtId="0" fontId="4" fillId="0" borderId="12" xfId="0" applyFont="1" applyBorder="1" applyAlignment="1">
      <alignment wrapText="1"/>
    </xf>
    <xf numFmtId="0" fontId="4" fillId="0" borderId="12" xfId="0" applyFont="1" applyBorder="1" applyAlignment="1">
      <alignment horizontal="left"/>
    </xf>
    <xf numFmtId="14" fontId="3" fillId="0" borderId="12" xfId="0" applyNumberFormat="1" applyFont="1" applyBorder="1" applyAlignment="1">
      <alignment wrapText="1"/>
    </xf>
    <xf numFmtId="0" fontId="3" fillId="0" borderId="12" xfId="0" applyFont="1" applyBorder="1" applyAlignment="1">
      <alignment vertical="top" wrapText="1"/>
    </xf>
    <xf numFmtId="0" fontId="3" fillId="0" borderId="12" xfId="0" applyFont="1" applyBorder="1" applyAlignment="1">
      <alignment horizontal="left" wrapText="1"/>
    </xf>
    <xf numFmtId="14" fontId="2" fillId="13" borderId="0" xfId="0" applyNumberFormat="1" applyFont="1" applyFill="1" applyAlignment="1">
      <alignment horizontal="left" vertical="top"/>
    </xf>
    <xf numFmtId="14" fontId="2" fillId="14" borderId="0" xfId="0" applyNumberFormat="1" applyFont="1" applyFill="1" applyAlignment="1">
      <alignment horizontal="left" vertical="top"/>
    </xf>
    <xf numFmtId="0" fontId="60" fillId="24" borderId="0" xfId="0" applyFont="1" applyFill="1" applyAlignment="1">
      <alignment wrapText="1"/>
    </xf>
    <xf numFmtId="0" fontId="61" fillId="24" borderId="0" xfId="0" applyFont="1" applyFill="1"/>
    <xf numFmtId="0" fontId="59" fillId="0" borderId="0" xfId="0" applyFont="1"/>
    <xf numFmtId="0" fontId="14" fillId="30" borderId="0" xfId="0" applyFont="1" applyFill="1" applyAlignment="1">
      <alignment wrapText="1"/>
    </xf>
    <xf numFmtId="0" fontId="1" fillId="30" borderId="0" xfId="0" applyFont="1" applyFill="1" applyAlignment="1">
      <alignment wrapText="1"/>
    </xf>
    <xf numFmtId="0" fontId="33" fillId="30" borderId="0" xfId="0" applyFont="1" applyFill="1"/>
    <xf numFmtId="0" fontId="22" fillId="30" borderId="0" xfId="0" applyFont="1" applyFill="1"/>
    <xf numFmtId="0" fontId="22" fillId="30" borderId="0" xfId="0" applyFont="1" applyFill="1" applyAlignment="1">
      <alignment horizontal="left"/>
    </xf>
    <xf numFmtId="0" fontId="14" fillId="30" borderId="0" xfId="0" applyFont="1" applyFill="1"/>
    <xf numFmtId="0" fontId="5" fillId="30" borderId="0" xfId="0" applyFont="1" applyFill="1"/>
    <xf numFmtId="14" fontId="5" fillId="30" borderId="0" xfId="0" applyNumberFormat="1" applyFont="1" applyFill="1"/>
    <xf numFmtId="0" fontId="5" fillId="30" borderId="0" xfId="0" applyFont="1" applyFill="1" applyAlignment="1">
      <alignment wrapText="1"/>
    </xf>
    <xf numFmtId="0" fontId="36" fillId="0" borderId="13" xfId="0" applyFont="1" applyBorder="1" applyAlignment="1">
      <alignment vertical="top"/>
    </xf>
    <xf numFmtId="0" fontId="22" fillId="0" borderId="13" xfId="0" applyFont="1" applyBorder="1" applyAlignment="1">
      <alignment vertical="top"/>
    </xf>
    <xf numFmtId="0" fontId="22" fillId="0" borderId="13" xfId="0" applyFont="1" applyBorder="1" applyAlignment="1">
      <alignment horizontal="left" vertical="top"/>
    </xf>
    <xf numFmtId="0" fontId="14" fillId="0" borderId="11" xfId="0" applyFont="1" applyBorder="1" applyAlignment="1">
      <alignment vertical="top"/>
    </xf>
    <xf numFmtId="0" fontId="14" fillId="0" borderId="11" xfId="0" applyFont="1" applyBorder="1" applyAlignment="1">
      <alignment wrapText="1"/>
    </xf>
    <xf numFmtId="0" fontId="14" fillId="0" borderId="11" xfId="0" applyFont="1" applyBorder="1" applyAlignment="1">
      <alignment vertical="top" wrapText="1"/>
    </xf>
    <xf numFmtId="0" fontId="5" fillId="0" borderId="0" xfId="0" applyFont="1" applyAlignment="1">
      <alignment vertical="top"/>
    </xf>
    <xf numFmtId="0" fontId="5" fillId="13" borderId="12" xfId="0" applyFont="1" applyFill="1" applyBorder="1" applyAlignment="1">
      <alignment vertical="top"/>
    </xf>
    <xf numFmtId="14" fontId="5" fillId="13" borderId="12" xfId="0" applyNumberFormat="1" applyFont="1" applyFill="1" applyBorder="1" applyAlignment="1">
      <alignment vertical="top"/>
    </xf>
    <xf numFmtId="0" fontId="5" fillId="13" borderId="12" xfId="0" applyFont="1" applyFill="1" applyBorder="1" applyAlignment="1">
      <alignment vertical="top" wrapText="1"/>
    </xf>
    <xf numFmtId="0" fontId="14" fillId="0" borderId="11" xfId="0" applyFont="1" applyBorder="1" applyAlignment="1">
      <alignment horizontal="left" vertical="top"/>
    </xf>
    <xf numFmtId="0" fontId="5" fillId="14" borderId="12" xfId="0" applyFont="1" applyFill="1" applyBorder="1" applyAlignment="1">
      <alignment vertical="top"/>
    </xf>
    <xf numFmtId="14" fontId="5" fillId="14" borderId="12" xfId="0" applyNumberFormat="1" applyFont="1" applyFill="1" applyBorder="1" applyAlignment="1">
      <alignment vertical="top"/>
    </xf>
    <xf numFmtId="0" fontId="5" fillId="14" borderId="12" xfId="0" applyFont="1" applyFill="1" applyBorder="1" applyAlignment="1">
      <alignment vertical="top" wrapText="1"/>
    </xf>
    <xf numFmtId="0" fontId="56" fillId="0" borderId="0" xfId="1" applyAlignment="1">
      <alignment wrapText="1"/>
    </xf>
    <xf numFmtId="0" fontId="4" fillId="0" borderId="11" xfId="0" applyFont="1" applyBorder="1"/>
    <xf numFmtId="0" fontId="4" fillId="0" borderId="11" xfId="0" applyFont="1" applyBorder="1" applyAlignment="1">
      <alignment horizontal="left"/>
    </xf>
    <xf numFmtId="0" fontId="14" fillId="0" borderId="13" xfId="0" applyFont="1" applyBorder="1"/>
    <xf numFmtId="0" fontId="14" fillId="10" borderId="12" xfId="0" applyFont="1" applyFill="1" applyBorder="1"/>
    <xf numFmtId="0" fontId="2" fillId="14" borderId="12" xfId="0" applyFont="1" applyFill="1" applyBorder="1" applyAlignment="1">
      <alignment wrapText="1"/>
    </xf>
    <xf numFmtId="49" fontId="30" fillId="0" borderId="0" xfId="0" applyNumberFormat="1" applyFont="1"/>
    <xf numFmtId="49" fontId="0" fillId="0" borderId="0" xfId="0" applyNumberFormat="1" applyAlignment="1">
      <alignment horizontal="left"/>
    </xf>
    <xf numFmtId="0" fontId="12" fillId="10" borderId="12" xfId="0" applyFont="1" applyFill="1" applyBorder="1"/>
    <xf numFmtId="0" fontId="2" fillId="24" borderId="11" xfId="0" applyFont="1" applyFill="1" applyBorder="1" applyAlignment="1">
      <alignment vertical="center"/>
    </xf>
    <xf numFmtId="0" fontId="56" fillId="0" borderId="0" xfId="1"/>
    <xf numFmtId="49" fontId="13" fillId="0" borderId="0" xfId="0" applyNumberFormat="1" applyFont="1"/>
    <xf numFmtId="0" fontId="2" fillId="23" borderId="12" xfId="0" applyFont="1" applyFill="1" applyBorder="1" applyAlignment="1">
      <alignment vertical="top"/>
    </xf>
    <xf numFmtId="0" fontId="22" fillId="31" borderId="0" xfId="0" applyFont="1" applyFill="1"/>
    <xf numFmtId="0" fontId="22" fillId="31" borderId="0" xfId="0" applyFont="1" applyFill="1" applyAlignment="1">
      <alignment horizontal="left"/>
    </xf>
    <xf numFmtId="0" fontId="22" fillId="31" borderId="0" xfId="0" applyFont="1" applyFill="1" applyAlignment="1">
      <alignment vertical="top"/>
    </xf>
    <xf numFmtId="0" fontId="22" fillId="31" borderId="0" xfId="0" applyFont="1" applyFill="1" applyAlignment="1">
      <alignment wrapText="1"/>
    </xf>
    <xf numFmtId="0" fontId="22" fillId="31" borderId="0" xfId="0" applyFont="1" applyFill="1" applyAlignment="1">
      <alignment vertical="top" wrapText="1"/>
    </xf>
    <xf numFmtId="0" fontId="22" fillId="31" borderId="0" xfId="0" applyFont="1" applyFill="1" applyAlignment="1">
      <alignment horizontal="left" vertical="top"/>
    </xf>
    <xf numFmtId="0" fontId="1" fillId="31" borderId="0" xfId="0" applyFont="1" applyFill="1" applyAlignment="1">
      <alignment wrapText="1"/>
    </xf>
    <xf numFmtId="0" fontId="16" fillId="0" borderId="0" xfId="0" applyFont="1" applyAlignment="1">
      <alignment wrapText="1"/>
    </xf>
    <xf numFmtId="0" fontId="56" fillId="0" borderId="0" xfId="1" applyAlignment="1"/>
    <xf numFmtId="0" fontId="12" fillId="0" borderId="12" xfId="0" applyFont="1" applyBorder="1"/>
    <xf numFmtId="49" fontId="3" fillId="0" borderId="12" xfId="0" applyNumberFormat="1" applyFont="1" applyBorder="1" applyAlignment="1">
      <alignment vertical="top"/>
    </xf>
    <xf numFmtId="0" fontId="4" fillId="23" borderId="12" xfId="0" applyFont="1" applyFill="1" applyBorder="1" applyAlignment="1">
      <alignment wrapText="1"/>
    </xf>
    <xf numFmtId="0" fontId="0" fillId="23" borderId="12" xfId="0" applyFill="1" applyBorder="1" applyAlignment="1">
      <alignment wrapText="1"/>
    </xf>
    <xf numFmtId="0" fontId="62" fillId="23" borderId="0" xfId="0" applyFont="1" applyFill="1"/>
    <xf numFmtId="0" fontId="4" fillId="32" borderId="12" xfId="0" applyFont="1" applyFill="1" applyBorder="1" applyAlignment="1">
      <alignment vertical="center"/>
    </xf>
    <xf numFmtId="0" fontId="4" fillId="5" borderId="9" xfId="0" applyFont="1" applyFill="1" applyBorder="1" applyAlignment="1">
      <alignment vertical="center"/>
    </xf>
    <xf numFmtId="0" fontId="4" fillId="6" borderId="9" xfId="0" applyFont="1" applyFill="1" applyBorder="1" applyAlignment="1">
      <alignment vertical="center"/>
    </xf>
    <xf numFmtId="0" fontId="0" fillId="0" borderId="9" xfId="0" applyBorder="1" applyAlignment="1">
      <alignment wrapText="1"/>
    </xf>
    <xf numFmtId="0" fontId="15" fillId="0" borderId="12" xfId="0" applyFont="1" applyBorder="1"/>
    <xf numFmtId="0" fontId="4" fillId="6" borderId="10" xfId="0" applyFont="1" applyFill="1" applyBorder="1" applyAlignment="1">
      <alignment vertical="center"/>
    </xf>
    <xf numFmtId="0" fontId="0" fillId="32" borderId="12" xfId="0" applyFill="1" applyBorder="1" applyAlignment="1">
      <alignment wrapText="1"/>
    </xf>
    <xf numFmtId="0" fontId="64" fillId="23" borderId="0" xfId="0" applyFont="1" applyFill="1" applyAlignment="1">
      <alignment horizontal="right" wrapText="1"/>
    </xf>
    <xf numFmtId="0" fontId="62" fillId="0" borderId="0" xfId="0" applyFont="1" applyAlignment="1">
      <alignment wrapText="1"/>
    </xf>
    <xf numFmtId="0" fontId="56" fillId="0" borderId="0" xfId="1" applyFill="1" applyAlignment="1"/>
    <xf numFmtId="0" fontId="67" fillId="23" borderId="0" xfId="0" applyFont="1" applyFill="1"/>
    <xf numFmtId="0" fontId="66" fillId="0" borderId="0" xfId="0" applyFont="1" applyAlignment="1">
      <alignment vertical="top"/>
    </xf>
    <xf numFmtId="0" fontId="65" fillId="0" borderId="0" xfId="0" applyFont="1" applyAlignment="1">
      <alignment wrapText="1"/>
    </xf>
    <xf numFmtId="0" fontId="28" fillId="0" borderId="0" xfId="0" applyFont="1" applyAlignment="1">
      <alignment vertical="top"/>
    </xf>
    <xf numFmtId="49" fontId="28" fillId="0" borderId="12" xfId="0" applyNumberFormat="1" applyFont="1" applyBorder="1" applyAlignment="1">
      <alignment horizontal="left" vertical="top"/>
    </xf>
    <xf numFmtId="49" fontId="28" fillId="0" borderId="12" xfId="0" applyNumberFormat="1" applyFont="1" applyBorder="1" applyAlignment="1">
      <alignment vertical="top"/>
    </xf>
    <xf numFmtId="0" fontId="28" fillId="0" borderId="12" xfId="0" applyFont="1" applyBorder="1" applyAlignment="1">
      <alignment vertical="top"/>
    </xf>
    <xf numFmtId="49" fontId="28" fillId="0" borderId="0" xfId="0" applyNumberFormat="1" applyFont="1" applyAlignment="1">
      <alignment horizontal="left" vertical="top"/>
    </xf>
    <xf numFmtId="49" fontId="28" fillId="0" borderId="0" xfId="0" applyNumberFormat="1" applyFont="1" applyAlignment="1">
      <alignment vertical="top"/>
    </xf>
    <xf numFmtId="49" fontId="2" fillId="0" borderId="0" xfId="0" applyNumberFormat="1" applyFont="1" applyAlignment="1">
      <alignment vertical="top" wrapText="1"/>
    </xf>
    <xf numFmtId="14" fontId="2" fillId="0" borderId="0" xfId="0" applyNumberFormat="1" applyFont="1" applyAlignment="1">
      <alignment vertical="top" wrapText="1"/>
    </xf>
    <xf numFmtId="0" fontId="65" fillId="0" borderId="0" xfId="0" applyFont="1"/>
    <xf numFmtId="0" fontId="65" fillId="0" borderId="0" xfId="0" applyFont="1" applyAlignment="1">
      <alignment horizontal="left" wrapText="1"/>
    </xf>
    <xf numFmtId="0" fontId="68" fillId="0" borderId="0" xfId="0" applyFont="1"/>
    <xf numFmtId="0" fontId="14" fillId="5" borderId="11" xfId="0" applyFont="1" applyFill="1" applyBorder="1" applyAlignment="1">
      <alignment vertical="center"/>
    </xf>
    <xf numFmtId="0" fontId="14" fillId="5" borderId="11" xfId="0" applyFont="1" applyFill="1" applyBorder="1" applyAlignment="1">
      <alignment horizontal="center" vertical="center"/>
    </xf>
    <xf numFmtId="0" fontId="14" fillId="6" borderId="11" xfId="0" applyFont="1" applyFill="1" applyBorder="1" applyAlignment="1">
      <alignment vertical="center"/>
    </xf>
    <xf numFmtId="0" fontId="14" fillId="6" borderId="11" xfId="0" applyFont="1" applyFill="1" applyBorder="1" applyAlignment="1">
      <alignment vertical="center" wrapText="1"/>
    </xf>
    <xf numFmtId="0" fontId="14" fillId="5" borderId="11" xfId="0" applyFont="1" applyFill="1" applyBorder="1" applyAlignment="1">
      <alignment horizontal="left" vertical="center"/>
    </xf>
    <xf numFmtId="0" fontId="15" fillId="0" borderId="12" xfId="0" applyFont="1" applyBorder="1" applyAlignment="1">
      <alignment vertical="top" wrapText="1"/>
    </xf>
    <xf numFmtId="0" fontId="2" fillId="0" borderId="12" xfId="0" applyFont="1" applyBorder="1" applyAlignment="1">
      <alignment horizontal="left" vertical="top" wrapText="1"/>
    </xf>
    <xf numFmtId="49" fontId="2" fillId="0" borderId="12" xfId="0" applyNumberFormat="1" applyFont="1" applyBorder="1" applyAlignment="1">
      <alignment horizontal="left" vertical="top" wrapText="1"/>
    </xf>
    <xf numFmtId="0" fontId="4" fillId="0" borderId="12" xfId="0" applyFont="1" applyBorder="1" applyAlignment="1">
      <alignment vertical="center"/>
    </xf>
    <xf numFmtId="0" fontId="3" fillId="23" borderId="0" xfId="0" applyFont="1" applyFill="1" applyAlignment="1">
      <alignment wrapText="1"/>
    </xf>
    <xf numFmtId="0" fontId="3" fillId="23" borderId="0" xfId="0" applyFont="1" applyFill="1" applyAlignment="1">
      <alignment horizontal="right" wrapText="1"/>
    </xf>
    <xf numFmtId="0" fontId="4" fillId="23" borderId="0" xfId="0" applyFont="1" applyFill="1"/>
    <xf numFmtId="0" fontId="2" fillId="23" borderId="12" xfId="0" applyFont="1" applyFill="1" applyBorder="1"/>
    <xf numFmtId="0" fontId="62" fillId="0" borderId="0" xfId="0" applyFont="1"/>
    <xf numFmtId="0" fontId="63" fillId="0" borderId="0" xfId="0" applyFont="1"/>
    <xf numFmtId="0" fontId="4" fillId="23" borderId="0" xfId="0" applyFont="1" applyFill="1" applyAlignment="1">
      <alignment wrapText="1"/>
    </xf>
    <xf numFmtId="0" fontId="58" fillId="23" borderId="0" xfId="0" applyFont="1" applyFill="1" applyAlignment="1">
      <alignment wrapText="1"/>
    </xf>
    <xf numFmtId="14" fontId="0" fillId="23" borderId="0" xfId="0" applyNumberFormat="1" applyFill="1" applyAlignment="1">
      <alignment wrapText="1"/>
    </xf>
    <xf numFmtId="0" fontId="2" fillId="13" borderId="12" xfId="0" applyFont="1" applyFill="1" applyBorder="1" applyAlignment="1">
      <alignment wrapText="1"/>
    </xf>
    <xf numFmtId="0" fontId="4" fillId="5" borderId="12" xfId="0" applyFont="1" applyFill="1" applyBorder="1"/>
    <xf numFmtId="0" fontId="2" fillId="24" borderId="11" xfId="0" applyFont="1" applyFill="1" applyBorder="1" applyAlignment="1">
      <alignment wrapText="1"/>
    </xf>
    <xf numFmtId="0" fontId="46" fillId="0" borderId="0" xfId="0" applyFont="1"/>
    <xf numFmtId="0" fontId="4" fillId="5" borderId="12" xfId="0" applyFont="1" applyFill="1" applyBorder="1" applyAlignment="1">
      <alignment horizontal="center" vertical="center"/>
    </xf>
    <xf numFmtId="0" fontId="4" fillId="6" borderId="12" xfId="0" applyFont="1" applyFill="1" applyBorder="1"/>
    <xf numFmtId="0" fontId="4" fillId="6" borderId="12" xfId="0" applyFont="1" applyFill="1" applyBorder="1" applyAlignment="1">
      <alignment wrapText="1"/>
    </xf>
    <xf numFmtId="49" fontId="2" fillId="0" borderId="0" xfId="0" applyNumberFormat="1" applyFont="1" applyAlignment="1">
      <alignment horizontal="left" wrapText="1"/>
    </xf>
    <xf numFmtId="0" fontId="71" fillId="28" borderId="6" xfId="0" applyFont="1" applyFill="1" applyBorder="1"/>
    <xf numFmtId="0" fontId="71" fillId="28" borderId="0" xfId="0" applyFont="1" applyFill="1"/>
    <xf numFmtId="0" fontId="58" fillId="23" borderId="0" xfId="0" applyFont="1" applyFill="1"/>
    <xf numFmtId="0" fontId="72" fillId="23" borderId="0" xfId="0" applyFont="1" applyFill="1" applyAlignment="1">
      <alignment wrapText="1"/>
    </xf>
    <xf numFmtId="0" fontId="73" fillId="0" borderId="0" xfId="0" applyFont="1" applyAlignment="1">
      <alignment wrapText="1"/>
    </xf>
    <xf numFmtId="0" fontId="71" fillId="0" borderId="6" xfId="0" applyFont="1" applyBorder="1" applyAlignment="1">
      <alignment wrapText="1"/>
    </xf>
    <xf numFmtId="0" fontId="71" fillId="0" borderId="0" xfId="0" applyFont="1" applyAlignment="1">
      <alignment wrapText="1"/>
    </xf>
    <xf numFmtId="0" fontId="71" fillId="28" borderId="12" xfId="0" applyFont="1" applyFill="1" applyBorder="1"/>
    <xf numFmtId="0" fontId="0" fillId="23" borderId="0" xfId="0" applyFill="1"/>
    <xf numFmtId="0" fontId="73" fillId="23" borderId="0" xfId="0" applyFont="1" applyFill="1" applyAlignment="1">
      <alignment wrapText="1"/>
    </xf>
    <xf numFmtId="0" fontId="27" fillId="0" borderId="0" xfId="0" applyFont="1"/>
    <xf numFmtId="49" fontId="2" fillId="23" borderId="0" xfId="0" applyNumberFormat="1" applyFont="1" applyFill="1"/>
    <xf numFmtId="0" fontId="58" fillId="23" borderId="0" xfId="0" applyFont="1" applyFill="1" applyAlignment="1">
      <alignment horizontal="left" vertical="top" wrapText="1"/>
    </xf>
    <xf numFmtId="0" fontId="58" fillId="0" borderId="12" xfId="0" applyFont="1" applyBorder="1" applyAlignment="1">
      <alignment wrapText="1"/>
    </xf>
    <xf numFmtId="0" fontId="72" fillId="0" borderId="12" xfId="0" applyFont="1" applyBorder="1" applyAlignment="1">
      <alignment wrapText="1"/>
    </xf>
    <xf numFmtId="0" fontId="73" fillId="0" borderId="12" xfId="0" applyFont="1" applyBorder="1" applyAlignment="1">
      <alignment wrapText="1"/>
    </xf>
    <xf numFmtId="0" fontId="74" fillId="0" borderId="12" xfId="0" applyFont="1" applyBorder="1" applyAlignment="1">
      <alignment wrapText="1"/>
    </xf>
    <xf numFmtId="0" fontId="71" fillId="0" borderId="9" xfId="0" applyFont="1" applyBorder="1" applyAlignment="1">
      <alignment wrapText="1"/>
    </xf>
    <xf numFmtId="0" fontId="72" fillId="0" borderId="9" xfId="0" applyFont="1" applyBorder="1" applyAlignment="1">
      <alignment wrapText="1"/>
    </xf>
    <xf numFmtId="0" fontId="58" fillId="0" borderId="14" xfId="0" applyFont="1" applyBorder="1" applyAlignment="1">
      <alignment wrapText="1"/>
    </xf>
    <xf numFmtId="0" fontId="57" fillId="28" borderId="6" xfId="0" applyFont="1" applyFill="1" applyBorder="1" applyAlignment="1">
      <alignment wrapText="1"/>
    </xf>
    <xf numFmtId="0" fontId="57" fillId="0" borderId="6" xfId="0" applyFont="1" applyBorder="1" applyAlignment="1">
      <alignment wrapText="1"/>
    </xf>
    <xf numFmtId="0" fontId="50" fillId="0" borderId="12" xfId="0" applyFont="1" applyBorder="1" applyAlignment="1">
      <alignment wrapText="1"/>
    </xf>
    <xf numFmtId="0" fontId="0" fillId="23" borderId="0" xfId="0" applyFill="1" applyAlignment="1">
      <alignment vertical="top" wrapText="1"/>
    </xf>
    <xf numFmtId="0" fontId="2" fillId="23" borderId="0" xfId="0" applyFont="1" applyFill="1" applyAlignment="1">
      <alignment wrapText="1"/>
    </xf>
    <xf numFmtId="0" fontId="76" fillId="0" borderId="0" xfId="0" applyFont="1" applyAlignment="1">
      <alignment wrapText="1"/>
    </xf>
    <xf numFmtId="0" fontId="75" fillId="0" borderId="12" xfId="0" applyFont="1" applyBorder="1" applyAlignment="1">
      <alignment wrapText="1"/>
    </xf>
    <xf numFmtId="0" fontId="50" fillId="9" borderId="12" xfId="0" applyFont="1" applyFill="1" applyBorder="1" applyAlignment="1">
      <alignment wrapText="1"/>
    </xf>
    <xf numFmtId="0" fontId="77" fillId="35" borderId="6" xfId="0" applyFont="1" applyFill="1" applyBorder="1" applyAlignment="1">
      <alignment wrapText="1"/>
    </xf>
    <xf numFmtId="0" fontId="76" fillId="35" borderId="0" xfId="0" applyFont="1" applyFill="1" applyAlignment="1">
      <alignment horizontal="left" vertical="center" wrapText="1"/>
    </xf>
    <xf numFmtId="0" fontId="50" fillId="0" borderId="12" xfId="0" applyFont="1" applyBorder="1" applyAlignment="1">
      <alignment horizontal="left" vertical="center" wrapText="1"/>
    </xf>
    <xf numFmtId="0" fontId="0" fillId="0" borderId="0" xfId="0" applyAlignment="1">
      <alignment horizontal="left" vertical="center" wrapText="1"/>
    </xf>
    <xf numFmtId="0" fontId="57" fillId="34" borderId="6" xfId="0" applyFont="1" applyFill="1" applyBorder="1" applyAlignment="1">
      <alignment horizontal="left" vertical="center" wrapText="1"/>
    </xf>
    <xf numFmtId="0" fontId="57" fillId="28" borderId="6" xfId="0" applyFont="1" applyFill="1" applyBorder="1" applyAlignment="1">
      <alignment horizontal="left" vertical="center" wrapText="1"/>
    </xf>
    <xf numFmtId="0" fontId="57" fillId="0" borderId="6" xfId="0" applyFont="1" applyBorder="1" applyAlignment="1">
      <alignment horizontal="left" vertical="center" wrapText="1"/>
    </xf>
    <xf numFmtId="0" fontId="75" fillId="0" borderId="12" xfId="0" applyFont="1" applyBorder="1" applyAlignment="1">
      <alignment horizontal="left" vertical="center" wrapText="1"/>
    </xf>
    <xf numFmtId="0" fontId="72" fillId="0" borderId="12" xfId="0" applyFont="1" applyBorder="1" applyAlignment="1">
      <alignment horizontal="left" vertical="center" wrapText="1"/>
    </xf>
    <xf numFmtId="0" fontId="76" fillId="0" borderId="0" xfId="0" applyFont="1" applyAlignment="1">
      <alignment horizontal="left" vertical="center" wrapText="1"/>
    </xf>
    <xf numFmtId="0" fontId="72" fillId="23" borderId="12" xfId="0" applyFont="1" applyFill="1" applyBorder="1" applyAlignment="1">
      <alignment horizontal="left" vertical="center" wrapText="1"/>
    </xf>
    <xf numFmtId="0" fontId="2" fillId="23" borderId="0" xfId="0" applyFont="1" applyFill="1" applyAlignment="1">
      <alignment vertical="center" wrapText="1"/>
    </xf>
    <xf numFmtId="0" fontId="77" fillId="35" borderId="6" xfId="0" applyFont="1" applyFill="1" applyBorder="1" applyAlignment="1">
      <alignment horizontal="left"/>
    </xf>
    <xf numFmtId="0" fontId="76" fillId="0" borderId="0" xfId="0" applyFont="1" applyAlignment="1">
      <alignment horizontal="left"/>
    </xf>
    <xf numFmtId="0" fontId="76" fillId="35" borderId="0" xfId="0" applyFont="1" applyFill="1" applyAlignment="1">
      <alignment horizontal="left"/>
    </xf>
    <xf numFmtId="0" fontId="50" fillId="0" borderId="12" xfId="0" applyFont="1" applyBorder="1" applyAlignment="1">
      <alignment horizontal="left"/>
    </xf>
    <xf numFmtId="0" fontId="71" fillId="0" borderId="11" xfId="0" applyFont="1" applyBorder="1" applyAlignment="1">
      <alignment wrapText="1"/>
    </xf>
    <xf numFmtId="0" fontId="71" fillId="0" borderId="12" xfId="0" applyFont="1" applyBorder="1" applyAlignment="1">
      <alignment wrapText="1"/>
    </xf>
    <xf numFmtId="0" fontId="58" fillId="0" borderId="9" xfId="0" applyFont="1" applyBorder="1" applyAlignment="1">
      <alignment wrapText="1"/>
    </xf>
    <xf numFmtId="0" fontId="58" fillId="33" borderId="12" xfId="0" applyFont="1" applyFill="1" applyBorder="1" applyAlignment="1">
      <alignment wrapText="1"/>
    </xf>
    <xf numFmtId="0" fontId="78" fillId="0" borderId="12" xfId="0" applyFont="1" applyBorder="1" applyAlignment="1">
      <alignment wrapText="1"/>
    </xf>
    <xf numFmtId="0" fontId="2" fillId="23" borderId="0" xfId="0" applyFont="1" applyFill="1" applyAlignment="1">
      <alignment horizontal="left" vertical="center" wrapText="1"/>
    </xf>
    <xf numFmtId="0" fontId="3" fillId="23" borderId="0" xfId="0" applyFont="1" applyFill="1"/>
    <xf numFmtId="0" fontId="17" fillId="23" borderId="0" xfId="0" applyFont="1" applyFill="1" applyAlignment="1">
      <alignment wrapText="1"/>
    </xf>
    <xf numFmtId="0" fontId="17" fillId="32" borderId="12" xfId="0" applyFont="1" applyFill="1" applyBorder="1" applyAlignment="1">
      <alignment wrapText="1"/>
    </xf>
    <xf numFmtId="0" fontId="17" fillId="0" borderId="12" xfId="0" applyFont="1" applyBorder="1" applyAlignment="1">
      <alignment wrapText="1"/>
    </xf>
    <xf numFmtId="0" fontId="3" fillId="25" borderId="13" xfId="0" applyFont="1" applyFill="1" applyBorder="1"/>
    <xf numFmtId="0" fontId="3" fillId="19" borderId="9" xfId="0" applyFont="1" applyFill="1" applyBorder="1"/>
    <xf numFmtId="0" fontId="17" fillId="0" borderId="0" xfId="0" quotePrefix="1" applyFont="1"/>
    <xf numFmtId="0" fontId="17" fillId="0" borderId="9" xfId="0" applyFont="1" applyBorder="1" applyAlignment="1">
      <alignment wrapText="1"/>
    </xf>
    <xf numFmtId="0" fontId="64" fillId="0" borderId="12" xfId="0" applyFont="1" applyBorder="1" applyAlignment="1">
      <alignment wrapText="1"/>
    </xf>
    <xf numFmtId="0" fontId="27" fillId="0" borderId="12" xfId="0" applyFont="1" applyBorder="1" applyAlignment="1">
      <alignment wrapText="1"/>
    </xf>
    <xf numFmtId="0" fontId="23" fillId="0" borderId="12" xfId="0" applyFont="1" applyBorder="1" applyAlignment="1">
      <alignment wrapText="1"/>
    </xf>
    <xf numFmtId="0" fontId="17" fillId="0" borderId="12" xfId="0" applyFont="1" applyBorder="1"/>
    <xf numFmtId="0" fontId="3" fillId="33" borderId="12" xfId="0" applyFont="1" applyFill="1" applyBorder="1" applyAlignment="1">
      <alignment wrapText="1"/>
    </xf>
    <xf numFmtId="0" fontId="17" fillId="33" borderId="12" xfId="0" applyFont="1" applyFill="1" applyBorder="1" applyAlignment="1">
      <alignment wrapText="1"/>
    </xf>
    <xf numFmtId="0" fontId="3" fillId="25" borderId="6" xfId="0" applyFont="1" applyFill="1" applyBorder="1" applyAlignment="1">
      <alignment wrapText="1"/>
    </xf>
    <xf numFmtId="0" fontId="3" fillId="19" borderId="8" xfId="0" applyFont="1" applyFill="1" applyBorder="1" applyAlignment="1">
      <alignment wrapText="1"/>
    </xf>
    <xf numFmtId="0" fontId="17" fillId="35" borderId="12" xfId="0" applyFont="1" applyFill="1" applyBorder="1" applyAlignment="1">
      <alignment wrapText="1"/>
    </xf>
    <xf numFmtId="0" fontId="3" fillId="25" borderId="13" xfId="0" applyFont="1" applyFill="1" applyBorder="1" applyAlignment="1">
      <alignment horizontal="left" vertical="center" wrapText="1"/>
    </xf>
    <xf numFmtId="0" fontId="3" fillId="19" borderId="9" xfId="0" applyFont="1" applyFill="1" applyBorder="1" applyAlignment="1">
      <alignment horizontal="left" vertical="center" wrapText="1"/>
    </xf>
    <xf numFmtId="0" fontId="3" fillId="27" borderId="13" xfId="0" applyFont="1" applyFill="1" applyBorder="1" applyAlignment="1">
      <alignment horizontal="left" vertical="center" wrapText="1"/>
    </xf>
    <xf numFmtId="0" fontId="17" fillId="0" borderId="12" xfId="0" applyFont="1" applyBorder="1" applyAlignment="1">
      <alignment horizontal="left" vertical="center" wrapText="1"/>
    </xf>
    <xf numFmtId="0" fontId="17" fillId="35" borderId="12" xfId="0" applyFont="1" applyFill="1" applyBorder="1" applyAlignment="1">
      <alignment horizontal="left" vertical="center" wrapText="1"/>
    </xf>
    <xf numFmtId="0" fontId="3" fillId="35" borderId="12" xfId="0" applyFont="1" applyFill="1" applyBorder="1" applyAlignment="1">
      <alignment horizontal="left" vertical="center" wrapText="1"/>
    </xf>
    <xf numFmtId="0" fontId="3" fillId="0" borderId="12" xfId="0" applyFont="1" applyBorder="1" applyAlignment="1">
      <alignment horizontal="left" vertical="center" wrapText="1"/>
    </xf>
    <xf numFmtId="0" fontId="17" fillId="0" borderId="0" xfId="0" applyFont="1" applyAlignment="1">
      <alignment horizontal="left" vertical="center" wrapText="1"/>
    </xf>
    <xf numFmtId="0" fontId="73" fillId="0" borderId="12" xfId="0" applyFont="1" applyBorder="1" applyAlignment="1">
      <alignment horizontal="left" vertical="center" wrapText="1"/>
    </xf>
    <xf numFmtId="0" fontId="5" fillId="2" borderId="7" xfId="0" applyFont="1" applyFill="1" applyBorder="1" applyAlignment="1">
      <alignment horizontal="center" wrapText="1"/>
    </xf>
    <xf numFmtId="0" fontId="3" fillId="0" borderId="8" xfId="0" applyFont="1" applyBorder="1" applyAlignment="1">
      <alignment wrapText="1"/>
    </xf>
    <xf numFmtId="0" fontId="65" fillId="0" borderId="0" xfId="0" applyFont="1" applyAlignment="1">
      <alignment wrapText="1"/>
    </xf>
    <xf numFmtId="0" fontId="70" fillId="23" borderId="0" xfId="0" applyFont="1" applyFill="1" applyAlignment="1">
      <alignment wrapText="1"/>
    </xf>
    <xf numFmtId="0" fontId="3" fillId="0" borderId="12" xfId="0" applyFont="1" applyBorder="1" applyAlignment="1">
      <alignment wrapText="1"/>
    </xf>
    <xf numFmtId="0" fontId="0" fillId="0" borderId="12" xfId="0" applyBorder="1" applyAlignment="1">
      <alignment wrapText="1"/>
    </xf>
    <xf numFmtId="0" fontId="3" fillId="0" borderId="0" xfId="0" applyFont="1" applyAlignment="1">
      <alignment wrapText="1"/>
    </xf>
    <xf numFmtId="0" fontId="0" fillId="0" borderId="0" xfId="0" applyAlignment="1">
      <alignment wrapText="1"/>
    </xf>
    <xf numFmtId="0" fontId="27" fillId="0" borderId="0" xfId="0" applyFont="1" applyAlignment="1">
      <alignment wrapText="1"/>
    </xf>
    <xf numFmtId="0" fontId="23" fillId="0" borderId="0" xfId="0" applyFont="1" applyAlignment="1">
      <alignment wrapText="1"/>
    </xf>
    <xf numFmtId="0" fontId="29" fillId="0" borderId="0" xfId="0" applyFont="1" applyAlignment="1">
      <alignment wrapText="1"/>
    </xf>
    <xf numFmtId="0" fontId="1" fillId="0" borderId="0" xfId="0" applyFont="1" applyAlignment="1">
      <alignment wrapText="1"/>
    </xf>
    <xf numFmtId="0" fontId="1" fillId="0" borderId="12" xfId="0" applyFont="1" applyBorder="1" applyAlignment="1">
      <alignment wrapText="1"/>
    </xf>
    <xf numFmtId="0" fontId="17" fillId="0" borderId="0" xfId="0" applyFont="1"/>
    <xf numFmtId="0" fontId="3" fillId="0" borderId="0" xfId="0" applyFont="1"/>
    <xf numFmtId="0" fontId="17" fillId="16" borderId="0" xfId="0" applyFont="1" applyFill="1" applyAlignment="1">
      <alignment wrapText="1"/>
    </xf>
    <xf numFmtId="0" fontId="3" fillId="25" borderId="13" xfId="0" applyFont="1" applyFill="1" applyBorder="1"/>
    <xf numFmtId="0" fontId="3" fillId="19" borderId="11" xfId="0" applyFont="1" applyFill="1" applyBorder="1"/>
    <xf numFmtId="0" fontId="3" fillId="19" borderId="8" xfId="0" applyFont="1" applyFill="1" applyBorder="1"/>
    <xf numFmtId="0" fontId="3" fillId="26" borderId="11" xfId="0" applyFont="1" applyFill="1" applyBorder="1"/>
    <xf numFmtId="0" fontId="3" fillId="26" borderId="8" xfId="0" applyFont="1" applyFill="1" applyBorder="1"/>
    <xf numFmtId="0" fontId="3" fillId="27" borderId="13" xfId="0" applyFont="1" applyFill="1" applyBorder="1"/>
    <xf numFmtId="0" fontId="0" fillId="0" borderId="0" xfId="0" applyAlignment="1">
      <alignment horizontal="left" wrapText="1"/>
    </xf>
    <xf numFmtId="0" fontId="56" fillId="0" borderId="0" xfId="1" applyAlignment="1">
      <alignment horizontal="left" wrapText="1"/>
    </xf>
    <xf numFmtId="0" fontId="56" fillId="0" borderId="0" xfId="1" applyAlignment="1">
      <alignment horizontal="center" wrapText="1"/>
    </xf>
    <xf numFmtId="0" fontId="4" fillId="0" borderId="0" xfId="0" applyFont="1" applyAlignment="1">
      <alignment wrapText="1"/>
    </xf>
    <xf numFmtId="0" fontId="4" fillId="0" borderId="0" xfId="0" applyFont="1" applyAlignment="1">
      <alignment horizontal="left" wrapText="1"/>
    </xf>
    <xf numFmtId="0" fontId="3" fillId="15" borderId="0" xfId="0" applyFont="1" applyFill="1" applyAlignment="1">
      <alignment vertical="top"/>
    </xf>
    <xf numFmtId="0" fontId="3" fillId="15" borderId="0" xfId="0" applyFont="1" applyFill="1" applyAlignment="1">
      <alignment vertical="top" wrapText="1"/>
    </xf>
    <xf numFmtId="0" fontId="17" fillId="0" borderId="0" xfId="0" applyFont="1" applyAlignment="1">
      <alignment vertical="top" wrapText="1"/>
    </xf>
    <xf numFmtId="0" fontId="0" fillId="0" borderId="0" xfId="0" applyAlignment="1">
      <alignment vertical="top" wrapText="1"/>
    </xf>
    <xf numFmtId="0" fontId="3" fillId="0" borderId="0" xfId="0" applyFont="1" applyAlignment="1">
      <alignment vertical="top"/>
    </xf>
    <xf numFmtId="0" fontId="3" fillId="19" borderId="11" xfId="0" applyFont="1" applyFill="1" applyBorder="1" applyAlignment="1">
      <alignment wrapText="1"/>
    </xf>
    <xf numFmtId="0" fontId="3" fillId="19" borderId="8" xfId="0" applyFont="1" applyFill="1" applyBorder="1" applyAlignment="1">
      <alignment wrapText="1"/>
    </xf>
    <xf numFmtId="0" fontId="3" fillId="26" borderId="11" xfId="0" applyFont="1" applyFill="1" applyBorder="1" applyAlignment="1">
      <alignment wrapText="1"/>
    </xf>
    <xf numFmtId="0" fontId="3" fillId="26" borderId="8" xfId="0" applyFont="1" applyFill="1" applyBorder="1" applyAlignment="1">
      <alignment wrapText="1"/>
    </xf>
    <xf numFmtId="0" fontId="64" fillId="0" borderId="13" xfId="0" applyFont="1" applyBorder="1" applyAlignment="1">
      <alignment horizontal="left" vertical="center"/>
    </xf>
    <xf numFmtId="0" fontId="3" fillId="19" borderId="11" xfId="0" applyFont="1" applyFill="1" applyBorder="1" applyAlignment="1">
      <alignment horizontal="left" vertical="center" wrapText="1"/>
    </xf>
    <xf numFmtId="0" fontId="3" fillId="19" borderId="8" xfId="0" applyFont="1" applyFill="1" applyBorder="1" applyAlignment="1">
      <alignment horizontal="left" vertical="center" wrapText="1"/>
    </xf>
    <xf numFmtId="0" fontId="3" fillId="26" borderId="11" xfId="0" applyFont="1" applyFill="1" applyBorder="1" applyAlignment="1">
      <alignment horizontal="left" vertical="center" wrapText="1"/>
    </xf>
    <xf numFmtId="0" fontId="3" fillId="26" borderId="8" xfId="0" applyFont="1" applyFill="1" applyBorder="1" applyAlignment="1">
      <alignment horizontal="left" vertical="center" wrapText="1"/>
    </xf>
  </cellXfs>
  <cellStyles count="2">
    <cellStyle name="Hyperlink" xfId="1" xr:uid="{00000000-000B-0000-0000-000008000000}"/>
    <cellStyle name="Normal" xfId="0" builtinId="0"/>
  </cellStyles>
  <dxfs count="26">
    <dxf>
      <fill>
        <patternFill patternType="solid">
          <fgColor rgb="FF00FF00"/>
          <bgColor rgb="FF00FF00"/>
        </patternFill>
      </fill>
    </dxf>
    <dxf>
      <fill>
        <patternFill patternType="solid">
          <fgColor rgb="FF00FF00"/>
          <bgColor rgb="FF00FF00"/>
        </patternFill>
      </fill>
    </dxf>
    <dxf>
      <fill>
        <patternFill patternType="solid">
          <fgColor rgb="FFFF0000"/>
          <bgColor rgb="FFFF0000"/>
        </patternFill>
      </fill>
    </dxf>
    <dxf>
      <fill>
        <patternFill patternType="solid">
          <fgColor rgb="FF00FF00"/>
          <bgColor rgb="FF00FF00"/>
        </patternFill>
      </fill>
    </dxf>
    <dxf>
      <fill>
        <patternFill patternType="solid">
          <fgColor rgb="FFFF0000"/>
          <bgColor rgb="FFFF0000"/>
        </patternFill>
      </fill>
    </dxf>
    <dxf>
      <fill>
        <patternFill patternType="solid">
          <fgColor rgb="FF00FF00"/>
          <bgColor rgb="FF00FF00"/>
        </patternFill>
      </fill>
    </dxf>
    <dxf>
      <fill>
        <patternFill patternType="solid">
          <fgColor rgb="FFFF0000"/>
          <bgColor rgb="FFFF0000"/>
        </patternFill>
      </fill>
    </dxf>
    <dxf>
      <fill>
        <patternFill patternType="solid">
          <fgColor rgb="FF00FF00"/>
          <bgColor rgb="FF00FF00"/>
        </patternFill>
      </fill>
    </dxf>
    <dxf>
      <font>
        <color rgb="FF000000"/>
      </font>
      <fill>
        <patternFill patternType="solid">
          <fgColor rgb="FFFF0000"/>
          <bgColor rgb="FFFF0000"/>
        </patternFill>
      </fill>
    </dxf>
    <dxf>
      <font>
        <color rgb="FF000000"/>
      </font>
      <fill>
        <patternFill patternType="solid">
          <fgColor rgb="FF00FF00"/>
          <bgColor rgb="FF00FF00"/>
        </patternFill>
      </fill>
    </dxf>
    <dxf>
      <fill>
        <patternFill patternType="solid">
          <fgColor rgb="FFFF0000"/>
          <bgColor rgb="FFFF0000"/>
        </patternFill>
      </fill>
    </dxf>
    <dxf>
      <fill>
        <patternFill patternType="solid">
          <fgColor rgb="FF00FF00"/>
          <bgColor rgb="FF00FF00"/>
        </patternFill>
      </fill>
    </dxf>
    <dxf>
      <fill>
        <patternFill patternType="solid">
          <fgColor rgb="FFFF0000"/>
          <bgColor rgb="FFFF0000"/>
        </patternFill>
      </fill>
    </dxf>
    <dxf>
      <fill>
        <patternFill patternType="solid">
          <fgColor rgb="FF00FF00"/>
          <bgColor rgb="FF00FF00"/>
        </patternFill>
      </fill>
    </dxf>
    <dxf>
      <fill>
        <patternFill patternType="solid">
          <fgColor rgb="FFFF0000"/>
          <bgColor rgb="FFFF0000"/>
        </patternFill>
      </fill>
    </dxf>
    <dxf>
      <fill>
        <patternFill patternType="solid">
          <fgColor rgb="FF00FF00"/>
          <bgColor rgb="FF00FF00"/>
        </patternFill>
      </fill>
    </dxf>
    <dxf>
      <fill>
        <patternFill patternType="solid">
          <fgColor rgb="FF00FF00"/>
          <bgColor rgb="FF00FF00"/>
        </patternFill>
      </fill>
    </dxf>
    <dxf>
      <fill>
        <patternFill patternType="solid">
          <fgColor rgb="FF00FF00"/>
          <bgColor rgb="FF00FF00"/>
        </patternFill>
      </fill>
    </dxf>
    <dxf>
      <fill>
        <patternFill patternType="solid">
          <fgColor rgb="FF00FF00"/>
          <bgColor rgb="FF00FF00"/>
        </patternFill>
      </fill>
    </dxf>
    <dxf>
      <fill>
        <patternFill patternType="solid">
          <fgColor rgb="FF00FF00"/>
          <bgColor rgb="FF00FF00"/>
        </patternFill>
      </fill>
    </dxf>
    <dxf>
      <fill>
        <patternFill patternType="solid">
          <fgColor rgb="FF00FF00"/>
          <bgColor rgb="FF00FF00"/>
        </patternFill>
      </fill>
    </dxf>
    <dxf>
      <fill>
        <patternFill patternType="solid">
          <fgColor rgb="FF00FF00"/>
          <bgColor rgb="FF00FF00"/>
        </patternFill>
      </fill>
    </dxf>
    <dxf>
      <fill>
        <patternFill patternType="solid">
          <fgColor rgb="FF00FF00"/>
          <bgColor rgb="FF00FF00"/>
        </patternFill>
      </fill>
    </dxf>
    <dxf>
      <fill>
        <patternFill patternType="solid">
          <fgColor rgb="FF00FF00"/>
          <bgColor rgb="FF00FF00"/>
        </patternFill>
      </fill>
    </dxf>
    <dxf>
      <font>
        <color rgb="FFC00000"/>
      </font>
      <fill>
        <patternFill patternType="solid">
          <fgColor rgb="FFFFC9C9"/>
          <bgColor rgb="FFFFC9C9"/>
        </patternFill>
      </fill>
    </dxf>
    <dxf>
      <fill>
        <patternFill patternType="solid">
          <fgColor rgb="FF00FF00"/>
          <bgColor rgb="FF00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comments3.xml.rels><?xml version="1.0" encoding="UTF-8" standalone="yes"?>
<Relationships xmlns="http://schemas.openxmlformats.org/package/2006/relationships"><Relationship Id="rId1" Type="http://customschemas.google.com/relationships/workbookmetadata" Target="commentsmeta2"/></Relationships>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microsoft.com/office/2017/10/relationships/person" Target="persons/person.xml"/><Relationship Id="rId16" Type="http://schemas.openxmlformats.org/officeDocument/2006/relationships/worksheet" Target="worksheets/sheet16.xml"/><Relationship Id="rId107" Type="http://schemas.openxmlformats.org/officeDocument/2006/relationships/sharedStrings" Target="sharedStrings.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externalLink" Target="externalLinks/externalLink1.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calcChain" Target="calcChain.xml"/><Relationship Id="rId80" Type="http://schemas.openxmlformats.org/officeDocument/2006/relationships/worksheet" Target="worksheets/sheet80.xml"/><Relationship Id="rId85" Type="http://schemas.openxmlformats.org/officeDocument/2006/relationships/worksheet" Target="worksheets/sheet85.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8" Type="http://schemas.openxmlformats.org/officeDocument/2006/relationships/sheetMetadata" Target="metadata.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111"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styles" Target="styles.xml"/><Relationship Id="rId114" Type="http://schemas.openxmlformats.org/officeDocument/2006/relationships/customXml" Target="../customXml/item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microsoft.com/office/2017/06/relationships/rdRichValue" Target="richData/rdrichvalue.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104" Type="http://customschemas.google.com/relationships/workbookmetadata" Target="metadata"/><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microsoft.com/office/2017/06/relationships/rdRichValueStructure" Target="richData/rdrichvaluestructure.xml"/><Relationship Id="rId115" Type="http://schemas.openxmlformats.org/officeDocument/2006/relationships/customXml" Target="../customXml/item2.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5"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customXml" Target="../customXml/item3.xml"/></Relationships>
</file>

<file path=xl/documenttasks/documenttask1.xml><?xml version="1.0" encoding="utf-8"?>
<Tasks xmlns="http://schemas.microsoft.com/office/tasks/2019/documenttasks">
  <Task id="{8974E567-A3F9-4340-A8FA-72904C05CF1C}">
    <Anchor>
      <Comment id="{F28E6486-BE81-4346-B356-DF63E45B68E9}"/>
    </Anchor>
    <History>
      <Event time="2021-09-28T06:00:40.67" id="{DF2CBA41-D38C-4344-AC46-1E00ED5594D1}">
        <Attribution userId="S::kwan@investcloud.com::7a6ab8cd-896e-449f-baed-24b76716795f" userName="Ke Wan" userProvider="AD"/>
        <Anchor>
          <Comment id="{02753D4F-AB2C-4CCB-B517-79A7237F6927}"/>
        </Anchor>
        <Create/>
      </Event>
      <Event time="2021-09-28T06:00:40.67" id="{A9A51D1D-0BC8-46C7-9B7C-53F72B2CF3E9}">
        <Attribution userId="S::kwan@investcloud.com::7a6ab8cd-896e-449f-baed-24b76716795f" userName="Ke Wan" userProvider="AD"/>
        <Anchor>
          <Comment id="{02753D4F-AB2C-4CCB-B517-79A7237F6927}"/>
        </Anchor>
        <Assign userId="S::rlynch@investcloud.com::c44b7558-ffbd-4579-be99-3eb8c8fe709b" userName="Robert Lynch" userProvider="AD"/>
      </Event>
      <Event time="2021-09-28T06:00:40.67" id="{96D6EDDF-0355-4BF2-BAAA-BFF424783F69}">
        <Attribution userId="S::kwan@investcloud.com::7a6ab8cd-896e-449f-baed-24b76716795f" userName="Ke Wan" userProvider="AD"/>
        <Anchor>
          <Comment id="{02753D4F-AB2C-4CCB-B517-79A7237F6927}"/>
        </Anchor>
        <SetTitle title="@Robert Lynch CI change looks good. Thanks Rob."/>
      </Event>
    </History>
  </Task>
</Tasks>
</file>

<file path=xl/externalLinks/_rels/externalLink1.xml.rels><?xml version="1.0" encoding="UTF-8" standalone="yes"?>
<Relationships xmlns="http://schemas.openxmlformats.org/package/2006/relationships"><Relationship Id="rId1" Type="http://schemas.openxmlformats.org/officeDocument/2006/relationships/externalLinkPath" Target="https://investcloud.sharepoint.com/D:/Users/rprice/Downloads/Common%20Interface%20%20-%20NB%20Maste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orm Responses 1"/>
      <sheetName val="Instructions"/>
      <sheetName val="Open Items"/>
      <sheetName val="Load Statuses"/>
      <sheetName val="Notes"/>
      <sheetName val="SourceFields"/>
      <sheetName val="SourceFieldDetails"/>
      <sheetName val="KeyReviewSheet"/>
      <sheetName val="1. ACCOUNT"/>
      <sheetName val="2. PROFITLOSSLITE"/>
      <sheetName val="3. PROFITLOSS"/>
      <sheetName val="4. TRANSACTIONS"/>
      <sheetName val="5. SMCOMMON"/>
      <sheetName val="6a. SMFIXEDINCOME"/>
      <sheetName val="6b. SMFUND"/>
      <sheetName val="7a. PERFSUMMARY"/>
      <sheetName val="7b. PERFORMANCEDAILY"/>
      <sheetName val="8a. BENCHMARK"/>
      <sheetName val="8b. BENCHMARKASSOCIATION"/>
      <sheetName val="8c. INDUSTRY"/>
      <sheetName val="9. FAMILY"/>
      <sheetName val="10. FAMILYMEMBER"/>
      <sheetName val="11. FAMILYMEMBER to ACCOUNT"/>
      <sheetName val="11. FAMILY to USER"/>
      <sheetName val="12. FAMILY to ACCOUNTGROUPSECUR"/>
      <sheetName val="13. ACCOUNTGROUPSECURE"/>
      <sheetName val="14. LEGALENTITY"/>
      <sheetName val="15. FIRM"/>
      <sheetName val="16. FUND"/>
      <sheetName val="17. USERS"/>
      <sheetName val="18. USER to ACCOUNT "/>
      <sheetName val="19. USER to ACCOUNTGROUP"/>
      <sheetName val="20. USER to CLIENT  ROLE"/>
      <sheetName val="21.SECURITYDECOMPOSITION"/>
      <sheetName val="23. PARTYOFINTEREST"/>
      <sheetName val="22.MARKETDATAHISTORY"/>
      <sheetName val="24. POI to ACCOUNT"/>
      <sheetName val="25. POI to FAMILY "/>
      <sheetName val="26. AGGREGATETRANSACTION"/>
      <sheetName val="27. DAILY"/>
      <sheetName val="28. CODESETSECURE"/>
      <sheetName val="29. INCOMETAX"/>
      <sheetName val="30. WIREINSTRUCTIONS"/>
      <sheetName val="31. CURRENTPRICE"/>
      <sheetName val="32. HOLIDAYCALENDARDATE"/>
      <sheetName val="33. FEERESULTS"/>
      <sheetName val="34. NCABALANCE"/>
      <sheetName val="35. PIPES"/>
      <sheetName val="36. SECURITIESOFINTEREST"/>
      <sheetName val="39. MODELPORTFOLIO"/>
      <sheetName val="40. MODELPORTFOLIOHOLDING"/>
      <sheetName val="41. ADDRES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Set>
  </externalBook>
</externalLink>
</file>

<file path=xl/persons/person.xml><?xml version="1.0" encoding="utf-8"?>
<personList xmlns="http://schemas.microsoft.com/office/spreadsheetml/2018/threadedcomments" xmlns:x="http://schemas.openxmlformats.org/spreadsheetml/2006/main">
  <person displayName="Ke Wan" id="{B1E67AAA-D67C-42ED-9377-7BE5861AB1E4}" userId="kwan@investcloud.com" providerId="PeoplePicker"/>
  <person displayName="Robert Lynch" id="{BE62C986-E23B-4D3F-98FC-87091F2946B7}" userId="rlynch@investcloud.com" providerId="PeoplePicker"/>
  <person displayName="Ke Wan" id="{77F20854-FBFA-41FB-9E83-72DA42853159}" userId="S::kwan@investcloud.com::7a6ab8cd-896e-449f-baed-24b76716795f" providerId="AD"/>
  <person displayName="Robert Lynch" id="{90847BB2-4401-4C03-BE78-3B4178D33CB0}" userId="S::rlynch@investcloud.com::c44b7558-ffbd-4579-be99-3eb8c8fe709b" providerId="AD"/>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2</v>
    <v>1</v>
  </rv>
</rvData>
</file>

<file path=xl/richData/rdrichvaluestructure.xml><?xml version="1.0" encoding="utf-8"?>
<rvStructures xmlns="http://schemas.microsoft.com/office/spreadsheetml/2017/richdata" count="1">
  <s t="_error">
    <k n="errorType" t="i"/>
    <k n="subType" t="i"/>
  </s>
</rvStructure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F23" dT="2021-09-28T02:39:42.30" personId="{90847BB2-4401-4C03-BE78-3B4178D33CB0}" id="{F28E6486-BE81-4346-B356-DF63E45B68E9}">
    <text xml:space="preserve">@Ke Wan  please review this update (I added the row with AccountStrategyName)  which is the change to allow the Account-level Strategy to be added to the Portfolio Overview and Statement of Changes reports in Sprint 9. The field is already in the DB and added to Im.Account.  Fady is coding the changes to the 2 services that power the reports this week.
</text>
    <mentions>
      <mention mentionpersonId="{B1E67AAA-D67C-42ED-9377-7BE5861AB1E4}" mentionId="{D411DAB0-8F49-448D-93C0-4F66A317B0C3}" startIndex="0" length="7"/>
    </mentions>
  </threadedComment>
  <threadedComment ref="F23" dT="2021-09-28T06:00:40.41" personId="{77F20854-FBFA-41FB-9E83-72DA42853159}" id="{02753D4F-AB2C-4CCB-B517-79A7237F6927}" parentId="{F28E6486-BE81-4346-B356-DF63E45B68E9}">
    <text>@Robert Lynch CI change looks good. Thanks Rob.</text>
    <mentions>
      <mention mentionpersonId="{BE62C986-E23B-4D3F-98FC-87091F2946B7}" mentionId="{88ABC774-FDA2-424D-958C-1C3DBAC5F00B}" startIndex="0" length="13"/>
    </mentions>
  </threadedComment>
</ThreadedComments>
</file>

<file path=xl/worksheets/_rels/sheet9.xml.rels><?xml version="1.0" encoding="UTF-8" standalone="yes"?>
<Relationships xmlns="http://schemas.openxmlformats.org/package/2006/relationships"><Relationship Id="rId1" Type="http://schemas.openxmlformats.org/officeDocument/2006/relationships/hyperlink" Target="https://investcloud-my.sharepoint.com/:w:/p/kwan/EWpoX8_0gIZXHnYsJbm-lOMBXuUa7oJp3dE6w0w2t1WnQA?e=u6Kobm" TargetMode="External"/></Relationships>
</file>

<file path=xl/worksheets/_rels/sheet10.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vml"/><Relationship Id="rId4" Type="http://schemas.microsoft.com/office/2019/04/relationships/documenttask" Target="../documenttasks/documenttask1.xml"/></Relationships>
</file>

<file path=xl/worksheets/_rels/sheet26.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29.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31.xml.rels><?xml version="1.0" encoding="UTF-8" standalone="yes"?>
<Relationships xmlns="http://schemas.openxmlformats.org/package/2006/relationships"><Relationship Id="rId1" Type="http://schemas.openxmlformats.org/officeDocument/2006/relationships/hyperlink" Target="https://investcloud-my.sharepoint.com/:x:/p/kwan/EaBXtEWluO0zAJQX8SKmVRsB9iJN1tg2Mnmyo6FpYXu2gA?e=j8ANrg" TargetMode="External"/></Relationships>
</file>

<file path=xl/worksheets/_rels/sheet3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3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43.xml.rels><?xml version="1.0" encoding="UTF-8" standalone="yes"?>
<Relationships xmlns="http://schemas.openxmlformats.org/package/2006/relationships"><Relationship Id="rId2" Type="http://schemas.openxmlformats.org/officeDocument/2006/relationships/hyperlink" Target="http://beamuser.id/" TargetMode="External"/><Relationship Id="rId1" Type="http://schemas.openxmlformats.org/officeDocument/2006/relationships/hyperlink" Target="http://beamuser.id/" TargetMode="External"/></Relationships>
</file>

<file path=xl/worksheets/_rels/sheet50.xml.rels><?xml version="1.0" encoding="UTF-8" standalone="yes"?>
<Relationships xmlns="http://schemas.openxmlformats.org/package/2006/relationships"><Relationship Id="rId1" Type="http://schemas.openxmlformats.org/officeDocument/2006/relationships/hyperlink" Target="http://beamaccount.id/" TargetMode="External"/></Relationships>
</file>

<file path=xl/worksheets/_rels/sheet58.xml.rels><?xml version="1.0" encoding="UTF-8" standalone="yes"?>
<Relationships xmlns="http://schemas.openxmlformats.org/package/2006/relationships"><Relationship Id="rId1" Type="http://schemas.openxmlformats.org/officeDocument/2006/relationships/hyperlink" Target="https://investcloud-my.sharepoint.com/:w:/p/bheidelberg/ESy-a3iBfs7OXMbIegEqOJwB-8MLSQLtIy62wbOa3KbCkQ?e=ZzjPN3" TargetMode="External"/></Relationships>
</file>

<file path=xl/worksheets/_rels/sheet72.xml.rels><?xml version="1.0" encoding="UTF-8" standalone="yes"?>
<Relationships xmlns="http://schemas.openxmlformats.org/package/2006/relationships"><Relationship Id="rId2" Type="http://schemas.openxmlformats.org/officeDocument/2006/relationships/hyperlink" Target="https://investcloud-my.sharepoint.com/:x:/p/kwan/EaBXtEWluO0zAJQX8SKmVRsB9iJN1tg2Mnmyo6FpYXu2gA?e=fN5ywx" TargetMode="External"/><Relationship Id="rId1" Type="http://schemas.openxmlformats.org/officeDocument/2006/relationships/hyperlink" Target="https://investcloud-my.sharepoint.com/:x:/p/kwan/EaBXtEWluO0zAJQX8SKmVRsB9iJN1tg2Mnmyo6FpYXu2gA?e=fN5ywx" TargetMode="External"/></Relationships>
</file>

<file path=xl/worksheets/_rels/sheet85.xml.rels><?xml version="1.0" encoding="UTF-8" standalone="yes"?>
<Relationships xmlns="http://schemas.openxmlformats.org/package/2006/relationships"><Relationship Id="rId1" Type="http://schemas.openxmlformats.org/officeDocument/2006/relationships/hyperlink" Target="http://beamaccount.id/" TargetMode="External"/></Relationships>
</file>

<file path=xl/worksheets/_rels/sheet86.xml.rels><?xml version="1.0" encoding="UTF-8" standalone="yes"?>
<Relationships xmlns="http://schemas.openxmlformats.org/package/2006/relationships"><Relationship Id="rId1" Type="http://schemas.openxmlformats.org/officeDocument/2006/relationships/hyperlink" Target="https://docs.google.com/document/d/1ZT80cjqBnESmiU6NApqFmQ4iMzAUik30SZIifjQfQ5g/edi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D24"/>
  <sheetViews>
    <sheetView tabSelected="1" workbookViewId="0">
      <selection activeCell="C8" sqref="C8"/>
    </sheetView>
  </sheetViews>
  <sheetFormatPr defaultColWidth="14.453125" defaultRowHeight="15" customHeight="1"/>
  <cols>
    <col min="1" max="1" width="8.81640625" customWidth="1"/>
    <col min="2" max="2" width="10.1796875" customWidth="1"/>
    <col min="3" max="3" width="103.26953125" customWidth="1"/>
    <col min="4" max="4" width="14" customWidth="1"/>
    <col min="5" max="26" width="8.81640625" customWidth="1"/>
  </cols>
  <sheetData>
    <row r="1" spans="1:4" ht="12.75" customHeight="1">
      <c r="A1" s="1" t="s">
        <v>0</v>
      </c>
      <c r="B1" s="6" t="s">
        <v>1</v>
      </c>
      <c r="C1" s="5" t="s">
        <v>2</v>
      </c>
      <c r="D1" s="5" t="s">
        <v>3</v>
      </c>
    </row>
    <row r="2" spans="1:4" ht="12.75" customHeight="1">
      <c r="A2" s="5" t="s">
        <v>4</v>
      </c>
      <c r="B2" s="6">
        <v>43529</v>
      </c>
      <c r="C2" s="5" t="s">
        <v>5</v>
      </c>
      <c r="D2" s="5" t="s">
        <v>6</v>
      </c>
    </row>
    <row r="3" spans="1:4" ht="31.5" customHeight="1">
      <c r="A3" s="5" t="s">
        <v>7</v>
      </c>
      <c r="B3" s="6">
        <v>43538</v>
      </c>
      <c r="C3" s="5" t="s">
        <v>8</v>
      </c>
      <c r="D3" s="5" t="s">
        <v>6</v>
      </c>
    </row>
    <row r="4" spans="1:4" ht="12.75" customHeight="1">
      <c r="A4" s="5" t="s">
        <v>9</v>
      </c>
      <c r="B4" s="6">
        <v>43539</v>
      </c>
      <c r="C4" s="5" t="s">
        <v>10</v>
      </c>
      <c r="D4" s="5" t="s">
        <v>6</v>
      </c>
    </row>
    <row r="5" spans="1:4" ht="12.75" customHeight="1">
      <c r="A5" s="5" t="s">
        <v>11</v>
      </c>
      <c r="B5" s="6">
        <v>43544</v>
      </c>
      <c r="C5" s="5" t="s">
        <v>12</v>
      </c>
      <c r="D5" s="5" t="s">
        <v>13</v>
      </c>
    </row>
    <row r="6" spans="1:4" ht="12.75" customHeight="1">
      <c r="A6" s="5" t="s">
        <v>14</v>
      </c>
      <c r="B6" s="6">
        <v>43546</v>
      </c>
      <c r="C6" s="5" t="s">
        <v>15</v>
      </c>
      <c r="D6" s="5" t="s">
        <v>6</v>
      </c>
    </row>
    <row r="7" spans="1:4" ht="12.75" customHeight="1">
      <c r="A7" s="5" t="s">
        <v>16</v>
      </c>
      <c r="B7" s="6">
        <v>43549</v>
      </c>
      <c r="C7" s="5" t="s">
        <v>17</v>
      </c>
      <c r="D7" s="5" t="s">
        <v>6</v>
      </c>
    </row>
    <row r="8" spans="1:4" ht="12.75" customHeight="1">
      <c r="A8" s="5" t="s">
        <v>18</v>
      </c>
      <c r="B8" s="6">
        <v>43551</v>
      </c>
      <c r="C8" s="5" t="s">
        <v>19</v>
      </c>
      <c r="D8" s="5" t="s">
        <v>6</v>
      </c>
    </row>
    <row r="9" spans="1:4" ht="12.75" customHeight="1">
      <c r="A9" s="5" t="s">
        <v>20</v>
      </c>
      <c r="B9" s="6">
        <v>43564</v>
      </c>
      <c r="C9" s="5" t="s">
        <v>21</v>
      </c>
      <c r="D9" s="5" t="s">
        <v>6</v>
      </c>
    </row>
    <row r="10" spans="1:4" ht="12.75" customHeight="1">
      <c r="A10" s="5" t="s">
        <v>22</v>
      </c>
      <c r="B10" s="6">
        <v>43607</v>
      </c>
      <c r="C10" s="34"/>
      <c r="D10" s="5" t="s">
        <v>6</v>
      </c>
    </row>
    <row r="11" spans="1:4" ht="12.75" customHeight="1">
      <c r="A11" s="194">
        <v>20190626</v>
      </c>
      <c r="B11" s="195">
        <v>43642</v>
      </c>
      <c r="C11" s="196" t="s">
        <v>23</v>
      </c>
      <c r="D11" s="194" t="s">
        <v>24</v>
      </c>
    </row>
    <row r="12" spans="1:4" ht="12.75" customHeight="1">
      <c r="A12" s="2" t="s">
        <v>25</v>
      </c>
      <c r="B12" s="2" t="s">
        <v>26</v>
      </c>
      <c r="C12" s="2" t="s">
        <v>27</v>
      </c>
      <c r="D12" s="2"/>
    </row>
    <row r="13" spans="1:4" ht="12.75" customHeight="1">
      <c r="A13" s="2" t="s">
        <v>25</v>
      </c>
      <c r="B13" s="3">
        <v>43647</v>
      </c>
      <c r="C13" s="2" t="s">
        <v>28</v>
      </c>
      <c r="D13" s="2"/>
    </row>
    <row r="14" spans="1:4" ht="12.75" customHeight="1">
      <c r="A14" s="2" t="s">
        <v>25</v>
      </c>
      <c r="B14" s="3">
        <v>43651</v>
      </c>
      <c r="C14" s="2" t="s">
        <v>29</v>
      </c>
      <c r="D14" s="2"/>
    </row>
    <row r="15" spans="1:4" ht="12.75" customHeight="1">
      <c r="A15" s="2" t="s">
        <v>30</v>
      </c>
      <c r="B15" s="3">
        <v>43656</v>
      </c>
      <c r="C15" s="2" t="s">
        <v>31</v>
      </c>
      <c r="D15" s="2"/>
    </row>
    <row r="16" spans="1:4" ht="12.75" customHeight="1">
      <c r="A16" s="2" t="s">
        <v>30</v>
      </c>
      <c r="B16" s="3">
        <v>43658</v>
      </c>
      <c r="C16" s="2" t="s">
        <v>32</v>
      </c>
      <c r="D16" s="2"/>
    </row>
    <row r="17" spans="1:4" ht="12.75" customHeight="1">
      <c r="A17" s="2" t="s">
        <v>30</v>
      </c>
      <c r="B17" s="4">
        <v>43663</v>
      </c>
      <c r="C17" s="2" t="s">
        <v>33</v>
      </c>
      <c r="D17" s="2"/>
    </row>
    <row r="18" spans="1:4" ht="12.75" customHeight="1">
      <c r="A18" s="5" t="s">
        <v>25</v>
      </c>
      <c r="B18" s="6">
        <v>43671</v>
      </c>
      <c r="C18" s="5" t="s">
        <v>34</v>
      </c>
      <c r="D18" s="5"/>
    </row>
    <row r="19" spans="1:4" ht="12.75" customHeight="1">
      <c r="A19" s="5" t="s">
        <v>25</v>
      </c>
      <c r="B19" s="6">
        <v>43672</v>
      </c>
      <c r="C19" s="5" t="s">
        <v>35</v>
      </c>
      <c r="D19" s="5"/>
    </row>
    <row r="20" spans="1:4" ht="12.75" customHeight="1">
      <c r="A20" s="5" t="s">
        <v>25</v>
      </c>
      <c r="B20" s="6">
        <v>43678</v>
      </c>
      <c r="C20" s="441" t="s">
        <v>36</v>
      </c>
      <c r="D20" s="5"/>
    </row>
    <row r="21" spans="1:4" ht="12.75" customHeight="1">
      <c r="A21" s="5"/>
      <c r="B21" s="6">
        <v>43679</v>
      </c>
      <c r="C21" s="5" t="s">
        <v>37</v>
      </c>
      <c r="D21" s="5"/>
    </row>
    <row r="22" spans="1:4" ht="12.75" customHeight="1">
      <c r="A22" s="5"/>
      <c r="B22" s="6">
        <v>43755</v>
      </c>
      <c r="C22" s="5" t="s">
        <v>38</v>
      </c>
      <c r="D22" s="5" t="s">
        <v>39</v>
      </c>
    </row>
    <row r="23" spans="1:4" ht="12.75" customHeight="1">
      <c r="A23" s="5"/>
      <c r="B23" s="6">
        <v>43760</v>
      </c>
      <c r="C23" s="5" t="s">
        <v>40</v>
      </c>
      <c r="D23" s="5" t="s">
        <v>41</v>
      </c>
    </row>
    <row r="24" spans="1:4" ht="12.75" customHeight="1">
      <c r="A24" s="5"/>
      <c r="B24" s="6">
        <v>43768</v>
      </c>
      <c r="C24" s="5" t="s">
        <v>42</v>
      </c>
      <c r="D24" s="5" t="s">
        <v>43</v>
      </c>
    </row>
  </sheetData>
  <pageMargins left="0.7" right="0.7" top="0.75" bottom="0.75" header="0" footer="0"/>
  <pageSetup orientation="landscape"/>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outlinePr summaryBelow="0" summaryRight="0"/>
  </sheetPr>
  <dimension ref="A11:B11"/>
  <sheetViews>
    <sheetView topLeftCell="A20" workbookViewId="0"/>
  </sheetViews>
  <sheetFormatPr defaultColWidth="14.453125" defaultRowHeight="15" customHeight="1"/>
  <cols>
    <col min="1" max="1" width="10.7265625" customWidth="1"/>
    <col min="2" max="2" width="74.7265625" customWidth="1"/>
    <col min="3" max="6" width="10.7265625" customWidth="1"/>
    <col min="7" max="26" width="17.26953125" customWidth="1"/>
  </cols>
  <sheetData>
    <row r="11" spans="1:2" ht="12" customHeight="1">
      <c r="A11">
        <v>1</v>
      </c>
      <c r="B11" t="s">
        <v>44</v>
      </c>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outlinePr summaryBelow="0" summaryRight="0"/>
  </sheetPr>
  <dimension ref="A1:F32"/>
  <sheetViews>
    <sheetView topLeftCell="A15" workbookViewId="0">
      <selection activeCell="B28" sqref="B28"/>
    </sheetView>
  </sheetViews>
  <sheetFormatPr defaultColWidth="14.453125" defaultRowHeight="15" customHeight="1"/>
  <cols>
    <col min="1" max="1" width="10.7265625" customWidth="1"/>
    <col min="2" max="2" width="35.26953125" customWidth="1"/>
    <col min="3" max="4" width="23.7265625" customWidth="1"/>
    <col min="5" max="5" width="15.26953125" customWidth="1"/>
    <col min="6" max="6" width="13.7265625" customWidth="1"/>
    <col min="7" max="26" width="17.26953125" customWidth="1"/>
  </cols>
  <sheetData>
    <row r="1" spans="1:6" ht="33.75" customHeight="1">
      <c r="A1" s="197" t="s">
        <v>45</v>
      </c>
      <c r="B1" s="198"/>
      <c r="C1" s="198"/>
      <c r="D1" s="198"/>
      <c r="E1" s="198"/>
      <c r="F1" s="198"/>
    </row>
    <row r="2" spans="1:6" ht="18.75" customHeight="1">
      <c r="A2" s="197" t="s">
        <v>46</v>
      </c>
      <c r="B2" s="199" t="s">
        <v>47</v>
      </c>
      <c r="C2" s="199" t="s">
        <v>48</v>
      </c>
      <c r="D2" s="199" t="s">
        <v>49</v>
      </c>
      <c r="E2" s="199" t="s">
        <v>50</v>
      </c>
      <c r="F2" s="199" t="s">
        <v>51</v>
      </c>
    </row>
    <row r="3" spans="1:6" ht="21.75" customHeight="1">
      <c r="A3" s="200">
        <v>1</v>
      </c>
      <c r="B3" s="201"/>
      <c r="C3" s="201"/>
      <c r="D3" s="201"/>
      <c r="E3" s="201"/>
      <c r="F3" s="201"/>
    </row>
    <row r="4" spans="1:6" ht="10.5" customHeight="1">
      <c r="A4" s="200">
        <v>2</v>
      </c>
      <c r="B4" s="201"/>
      <c r="C4" s="201"/>
      <c r="D4" s="201"/>
      <c r="E4" s="201"/>
      <c r="F4" s="201"/>
    </row>
    <row r="5" spans="1:6" ht="10.5" customHeight="1">
      <c r="A5" s="200">
        <v>3</v>
      </c>
      <c r="B5" s="201"/>
      <c r="C5" s="201"/>
      <c r="D5" s="201"/>
      <c r="E5" s="201"/>
      <c r="F5" s="201"/>
    </row>
    <row r="6" spans="1:6" ht="10.5" customHeight="1">
      <c r="A6" s="200">
        <v>4</v>
      </c>
      <c r="B6" s="201"/>
      <c r="C6" s="201"/>
      <c r="D6" s="201"/>
      <c r="E6" s="201"/>
      <c r="F6" s="201"/>
    </row>
    <row r="7" spans="1:6" ht="10.5" customHeight="1">
      <c r="A7" s="200">
        <v>5</v>
      </c>
      <c r="B7" s="201"/>
      <c r="C7" s="201"/>
      <c r="D7" s="201"/>
      <c r="E7" s="201"/>
      <c r="F7" s="201"/>
    </row>
    <row r="8" spans="1:6" ht="10.5" customHeight="1">
      <c r="A8" s="200">
        <v>6</v>
      </c>
      <c r="B8" s="201"/>
      <c r="C8" s="201"/>
      <c r="D8" s="201"/>
      <c r="E8" s="201"/>
      <c r="F8" s="201"/>
    </row>
    <row r="9" spans="1:6" ht="10.5" customHeight="1">
      <c r="A9" s="200">
        <v>7</v>
      </c>
      <c r="B9" s="201"/>
      <c r="C9" s="201"/>
      <c r="D9" s="201"/>
      <c r="E9" s="201"/>
      <c r="F9" s="201"/>
    </row>
    <row r="10" spans="1:6" ht="10.5" customHeight="1">
      <c r="A10" s="200">
        <v>8</v>
      </c>
      <c r="B10" s="201"/>
      <c r="C10" s="201"/>
      <c r="D10" s="201"/>
      <c r="E10" s="201"/>
      <c r="F10" s="201"/>
    </row>
    <row r="11" spans="1:6" ht="10.5" customHeight="1">
      <c r="A11" s="200">
        <v>9</v>
      </c>
      <c r="B11" s="201"/>
      <c r="C11" s="201"/>
      <c r="D11" s="201"/>
      <c r="E11" s="201"/>
      <c r="F11" s="201"/>
    </row>
    <row r="12" spans="1:6" ht="10.5" customHeight="1">
      <c r="A12" s="200">
        <v>10</v>
      </c>
      <c r="B12" s="201"/>
      <c r="C12" s="201"/>
      <c r="D12" s="201"/>
      <c r="E12" s="201"/>
      <c r="F12" s="201"/>
    </row>
    <row r="13" spans="1:6" ht="10.5" customHeight="1">
      <c r="A13" s="200">
        <v>11</v>
      </c>
      <c r="B13" s="201"/>
      <c r="C13" s="201"/>
      <c r="D13" s="201"/>
      <c r="E13" s="201"/>
      <c r="F13" s="201"/>
    </row>
    <row r="14" spans="1:6" ht="10.5" customHeight="1">
      <c r="A14" s="200">
        <v>12</v>
      </c>
      <c r="B14" s="201"/>
      <c r="C14" s="201"/>
      <c r="D14" s="201"/>
      <c r="E14" s="201"/>
      <c r="F14" s="201"/>
    </row>
    <row r="15" spans="1:6" ht="10.5" customHeight="1">
      <c r="A15" s="200">
        <v>13</v>
      </c>
      <c r="B15" s="201"/>
      <c r="C15" s="201"/>
      <c r="D15" s="201"/>
      <c r="E15" s="201"/>
      <c r="F15" s="201"/>
    </row>
    <row r="16" spans="1:6" ht="10.5" customHeight="1">
      <c r="A16" s="200">
        <v>14</v>
      </c>
      <c r="B16" s="201"/>
      <c r="C16" s="201"/>
      <c r="D16" s="201"/>
      <c r="E16" s="201"/>
      <c r="F16" s="201"/>
    </row>
    <row r="17" spans="1:6" ht="10.5" customHeight="1">
      <c r="A17" s="200">
        <v>15</v>
      </c>
      <c r="B17" s="201"/>
      <c r="C17" s="201"/>
      <c r="D17" s="201"/>
      <c r="E17" s="201"/>
      <c r="F17" s="201"/>
    </row>
    <row r="18" spans="1:6" ht="10.5" customHeight="1">
      <c r="A18" s="200">
        <v>16</v>
      </c>
      <c r="B18" s="201"/>
      <c r="C18" s="201"/>
      <c r="D18" s="201"/>
      <c r="E18" s="201"/>
      <c r="F18" s="201"/>
    </row>
    <row r="19" spans="1:6" ht="10.5" customHeight="1">
      <c r="A19" s="200">
        <v>17</v>
      </c>
      <c r="B19" s="201"/>
      <c r="C19" s="201"/>
      <c r="D19" s="201"/>
      <c r="E19" s="201"/>
      <c r="F19" s="201"/>
    </row>
    <row r="20" spans="1:6" ht="10.5" customHeight="1">
      <c r="A20" s="200">
        <v>18</v>
      </c>
      <c r="B20" s="201"/>
      <c r="C20" s="201"/>
      <c r="D20" s="201"/>
      <c r="E20" s="201"/>
      <c r="F20" s="201"/>
    </row>
    <row r="21" spans="1:6" ht="10.5" customHeight="1">
      <c r="A21" s="200">
        <v>19</v>
      </c>
      <c r="B21" s="201"/>
      <c r="C21" s="201"/>
      <c r="D21" s="201"/>
      <c r="E21" s="201"/>
      <c r="F21" s="201"/>
    </row>
    <row r="22" spans="1:6" ht="10.5" customHeight="1">
      <c r="A22" s="200">
        <v>20</v>
      </c>
      <c r="B22" s="201"/>
      <c r="C22" s="201"/>
      <c r="D22" s="201"/>
      <c r="E22" s="201"/>
      <c r="F22" s="201"/>
    </row>
    <row r="23" spans="1:6" ht="10.5" customHeight="1">
      <c r="A23" s="200">
        <v>21</v>
      </c>
      <c r="B23" s="201"/>
      <c r="C23" s="201"/>
      <c r="D23" s="201"/>
      <c r="E23" s="201"/>
      <c r="F23" s="201"/>
    </row>
    <row r="24" spans="1:6" ht="10.5" customHeight="1">
      <c r="A24" s="200">
        <v>22</v>
      </c>
      <c r="B24" s="201"/>
      <c r="C24" s="201"/>
      <c r="D24" s="201"/>
      <c r="E24" s="201"/>
      <c r="F24" s="201"/>
    </row>
    <row r="25" spans="1:6" ht="10.5" customHeight="1">
      <c r="A25" s="200">
        <v>23</v>
      </c>
      <c r="B25" s="201"/>
      <c r="C25" s="201"/>
      <c r="D25" s="201"/>
      <c r="E25" s="201"/>
      <c r="F25" s="201"/>
    </row>
    <row r="26" spans="1:6" ht="10.5" customHeight="1">
      <c r="A26" s="200">
        <v>24</v>
      </c>
      <c r="B26" s="201"/>
      <c r="C26" s="201"/>
      <c r="D26" s="201"/>
      <c r="E26" s="201"/>
      <c r="F26" s="201"/>
    </row>
    <row r="27" spans="1:6" ht="10.5" customHeight="1">
      <c r="A27" s="200">
        <v>25</v>
      </c>
      <c r="B27" s="201"/>
      <c r="C27" s="201"/>
      <c r="D27" s="201"/>
      <c r="E27" s="201"/>
      <c r="F27" s="201"/>
    </row>
    <row r="28" spans="1:6" ht="10.5" customHeight="1">
      <c r="A28" s="200">
        <v>26</v>
      </c>
      <c r="B28" s="201"/>
      <c r="C28" s="201"/>
      <c r="D28" s="201"/>
      <c r="E28" s="201"/>
      <c r="F28" s="201"/>
    </row>
    <row r="29" spans="1:6" ht="10.5" customHeight="1">
      <c r="A29" s="200">
        <v>27</v>
      </c>
      <c r="B29" s="201"/>
      <c r="C29" s="201"/>
      <c r="D29" s="201"/>
      <c r="E29" s="201"/>
      <c r="F29" s="201"/>
    </row>
    <row r="30" spans="1:6" ht="10.5" customHeight="1">
      <c r="A30" s="200">
        <v>28</v>
      </c>
      <c r="B30" s="201"/>
      <c r="C30" s="201"/>
      <c r="D30" s="201"/>
      <c r="E30" s="201"/>
      <c r="F30" s="201"/>
    </row>
    <row r="31" spans="1:6" ht="10.5" customHeight="1">
      <c r="A31" s="200">
        <v>29</v>
      </c>
      <c r="B31" s="201"/>
      <c r="C31" s="201"/>
      <c r="D31" s="201"/>
      <c r="E31" s="201"/>
      <c r="F31" s="201"/>
    </row>
    <row r="32" spans="1:6" ht="10.5" customHeight="1">
      <c r="A32" s="202">
        <v>30</v>
      </c>
      <c r="B32" s="203"/>
      <c r="C32" s="203"/>
      <c r="D32" s="203"/>
      <c r="E32" s="203"/>
      <c r="F32" s="203"/>
    </row>
  </sheetData>
  <pageMargins left="0.7" right="0.7" top="0.75" bottom="0.75"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outlinePr summaryBelow="0" summaryRight="0"/>
  </sheetPr>
  <dimension ref="B2:C40"/>
  <sheetViews>
    <sheetView workbookViewId="0"/>
  </sheetViews>
  <sheetFormatPr defaultColWidth="14.453125" defaultRowHeight="15" customHeight="1"/>
  <cols>
    <col min="1" max="1" width="2.1796875" customWidth="1"/>
    <col min="2" max="2" width="28.1796875" customWidth="1"/>
    <col min="3" max="3" width="84.7265625" customWidth="1"/>
    <col min="4" max="6" width="10.7265625" customWidth="1"/>
    <col min="7" max="26" width="17.26953125" customWidth="1"/>
  </cols>
  <sheetData>
    <row r="2" spans="2:3" ht="12.75" customHeight="1">
      <c r="B2" s="204" t="s">
        <v>52</v>
      </c>
      <c r="C2" s="205"/>
    </row>
    <row r="3" spans="2:3" ht="12.75" customHeight="1">
      <c r="B3" s="7" t="s">
        <v>53</v>
      </c>
      <c r="C3" s="8" t="s">
        <v>54</v>
      </c>
    </row>
    <row r="4" spans="2:3" ht="12.75" customHeight="1">
      <c r="B4" s="9" t="s">
        <v>55</v>
      </c>
      <c r="C4" s="10" t="s">
        <v>56</v>
      </c>
    </row>
    <row r="5" spans="2:3" ht="12.75" customHeight="1">
      <c r="B5" s="9" t="s">
        <v>57</v>
      </c>
      <c r="C5" s="10" t="s">
        <v>58</v>
      </c>
    </row>
    <row r="6" spans="2:3" ht="12.75" customHeight="1">
      <c r="B6" s="9" t="s">
        <v>59</v>
      </c>
      <c r="C6" s="10" t="s">
        <v>60</v>
      </c>
    </row>
    <row r="7" spans="2:3" ht="12.75" customHeight="1">
      <c r="B7" s="9" t="s">
        <v>61</v>
      </c>
      <c r="C7" s="10" t="s">
        <v>62</v>
      </c>
    </row>
    <row r="8" spans="2:3" ht="12.75" customHeight="1">
      <c r="B8" s="11" t="s">
        <v>63</v>
      </c>
      <c r="C8" s="12" t="s">
        <v>64</v>
      </c>
    </row>
    <row r="9" spans="2:3" ht="12.75" customHeight="1">
      <c r="B9" s="123"/>
      <c r="C9" s="123"/>
    </row>
    <row r="10" spans="2:3" ht="12.75" customHeight="1">
      <c r="B10" s="123"/>
      <c r="C10" s="123"/>
    </row>
    <row r="11" spans="2:3" ht="12.75" customHeight="1">
      <c r="B11" s="204" t="s">
        <v>65</v>
      </c>
      <c r="C11" s="205"/>
    </row>
    <row r="12" spans="2:3" ht="12.75" customHeight="1">
      <c r="B12" s="9" t="s">
        <v>66</v>
      </c>
      <c r="C12" s="10" t="s">
        <v>67</v>
      </c>
    </row>
    <row r="13" spans="2:3" ht="12.75" customHeight="1">
      <c r="B13" s="9" t="s">
        <v>68</v>
      </c>
      <c r="C13" s="10" t="s">
        <v>69</v>
      </c>
    </row>
    <row r="14" spans="2:3" ht="12.75" customHeight="1">
      <c r="B14" s="9" t="s">
        <v>70</v>
      </c>
      <c r="C14" s="10" t="s">
        <v>71</v>
      </c>
    </row>
    <row r="15" spans="2:3" ht="12.75" customHeight="1">
      <c r="B15" s="11" t="s">
        <v>72</v>
      </c>
      <c r="C15" s="12" t="s">
        <v>73</v>
      </c>
    </row>
    <row r="18" spans="2:3" ht="13.5" customHeight="1">
      <c r="B18" s="685" t="s">
        <v>74</v>
      </c>
      <c r="C18" s="686"/>
    </row>
    <row r="19" spans="2:3" ht="12.75" customHeight="1">
      <c r="B19" s="13" t="s">
        <v>75</v>
      </c>
      <c r="C19" s="13" t="s">
        <v>76</v>
      </c>
    </row>
    <row r="20" spans="2:3" ht="12.75" customHeight="1">
      <c r="B20" s="13" t="s">
        <v>77</v>
      </c>
      <c r="C20" s="13" t="s">
        <v>78</v>
      </c>
    </row>
    <row r="21" spans="2:3" ht="12.75" customHeight="1">
      <c r="B21" s="13" t="s">
        <v>79</v>
      </c>
      <c r="C21" s="13" t="s">
        <v>78</v>
      </c>
    </row>
    <row r="22" spans="2:3" ht="12.75" customHeight="1">
      <c r="B22" s="13" t="s">
        <v>80</v>
      </c>
      <c r="C22" s="13" t="s">
        <v>78</v>
      </c>
    </row>
    <row r="23" spans="2:3" ht="12.75" customHeight="1">
      <c r="B23" s="13" t="s">
        <v>81</v>
      </c>
      <c r="C23" s="13" t="s">
        <v>78</v>
      </c>
    </row>
    <row r="24" spans="2:3" ht="12.75" customHeight="1">
      <c r="B24" s="13" t="s">
        <v>82</v>
      </c>
      <c r="C24" s="13" t="s">
        <v>78</v>
      </c>
    </row>
    <row r="25" spans="2:3" ht="12.75" customHeight="1">
      <c r="B25" s="13" t="s">
        <v>83</v>
      </c>
      <c r="C25" s="13" t="s">
        <v>78</v>
      </c>
    </row>
    <row r="26" spans="2:3" ht="12.75" customHeight="1">
      <c r="B26" s="13" t="s">
        <v>84</v>
      </c>
      <c r="C26" s="13" t="s">
        <v>76</v>
      </c>
    </row>
    <row r="27" spans="2:3" ht="12.75" customHeight="1">
      <c r="B27" s="13" t="s">
        <v>85</v>
      </c>
      <c r="C27" s="13" t="s">
        <v>76</v>
      </c>
    </row>
    <row r="28" spans="2:3" ht="12.75" customHeight="1">
      <c r="B28" s="13" t="s">
        <v>86</v>
      </c>
      <c r="C28" s="13" t="s">
        <v>76</v>
      </c>
    </row>
    <row r="29" spans="2:3" ht="12.75" customHeight="1">
      <c r="B29" s="13" t="s">
        <v>87</v>
      </c>
      <c r="C29" s="13" t="s">
        <v>76</v>
      </c>
    </row>
    <row r="30" spans="2:3" ht="12.75" customHeight="1">
      <c r="B30" s="13" t="s">
        <v>88</v>
      </c>
      <c r="C30" s="13" t="s">
        <v>76</v>
      </c>
    </row>
    <row r="31" spans="2:3" ht="12.75" customHeight="1">
      <c r="B31" s="13" t="s">
        <v>89</v>
      </c>
      <c r="C31" s="13" t="s">
        <v>76</v>
      </c>
    </row>
    <row r="32" spans="2:3" ht="12.75" customHeight="1">
      <c r="B32" s="13" t="s">
        <v>90</v>
      </c>
      <c r="C32" s="13" t="s">
        <v>76</v>
      </c>
    </row>
    <row r="33" spans="2:3" ht="12.75" customHeight="1">
      <c r="B33" s="13" t="s">
        <v>91</v>
      </c>
      <c r="C33" s="13" t="s">
        <v>76</v>
      </c>
    </row>
    <row r="34" spans="2:3" ht="12.75" customHeight="1">
      <c r="B34" s="13" t="s">
        <v>92</v>
      </c>
      <c r="C34" s="13" t="s">
        <v>76</v>
      </c>
    </row>
    <row r="35" spans="2:3" ht="12.75" hidden="1" customHeight="1">
      <c r="B35" s="13" t="s">
        <v>93</v>
      </c>
      <c r="C35" s="13" t="s">
        <v>76</v>
      </c>
    </row>
    <row r="36" spans="2:3" ht="12.75" customHeight="1">
      <c r="B36" s="13" t="s">
        <v>94</v>
      </c>
      <c r="C36" s="13" t="s">
        <v>76</v>
      </c>
    </row>
    <row r="37" spans="2:3" ht="12.75" customHeight="1">
      <c r="B37" s="13" t="s">
        <v>95</v>
      </c>
      <c r="C37" s="13" t="s">
        <v>76</v>
      </c>
    </row>
    <row r="38" spans="2:3" ht="12.75" customHeight="1"/>
    <row r="39" spans="2:3" ht="12.75" customHeight="1">
      <c r="B39" s="14" t="s">
        <v>96</v>
      </c>
      <c r="C39" s="15" t="s">
        <v>97</v>
      </c>
    </row>
    <row r="40" spans="2:3" ht="12.75" customHeight="1">
      <c r="B40" s="14" t="s">
        <v>98</v>
      </c>
      <c r="C40" s="15" t="s">
        <v>99</v>
      </c>
    </row>
  </sheetData>
  <mergeCells count="1">
    <mergeCell ref="B18:C18"/>
  </mergeCells>
  <pageMargins left="0.7" right="0.7" top="0.75" bottom="0.75" header="0" footer="0"/>
  <pageSetup orientation="landscape"/>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outlinePr summaryBelow="0" summaryRight="0"/>
  </sheetPr>
  <dimension ref="A5:H17"/>
  <sheetViews>
    <sheetView topLeftCell="D1" workbookViewId="0"/>
  </sheetViews>
  <sheetFormatPr defaultColWidth="14.453125" defaultRowHeight="15" customHeight="1"/>
  <cols>
    <col min="1" max="1" width="8" customWidth="1"/>
    <col min="2" max="2" width="32" customWidth="1"/>
    <col min="3" max="3" width="19.7265625" customWidth="1"/>
    <col min="4" max="4" width="26.7265625" customWidth="1"/>
    <col min="5" max="5" width="44.7265625" customWidth="1"/>
    <col min="6" max="7" width="37" customWidth="1"/>
    <col min="8" max="26" width="17.26953125" customWidth="1"/>
  </cols>
  <sheetData>
    <row r="5" spans="1:8" ht="18.75" customHeight="1">
      <c r="A5" s="206" t="s">
        <v>46</v>
      </c>
      <c r="B5" s="206" t="s">
        <v>100</v>
      </c>
      <c r="C5" s="206" t="s">
        <v>101</v>
      </c>
      <c r="D5" s="206" t="s">
        <v>102</v>
      </c>
      <c r="E5" s="206" t="s">
        <v>103</v>
      </c>
      <c r="F5" s="206" t="s">
        <v>104</v>
      </c>
      <c r="G5" s="206" t="s">
        <v>105</v>
      </c>
      <c r="H5" s="206" t="s">
        <v>106</v>
      </c>
    </row>
    <row r="6" spans="1:8" ht="24" customHeight="1">
      <c r="A6" s="5">
        <v>1</v>
      </c>
      <c r="B6" s="16"/>
      <c r="C6" s="5"/>
      <c r="D6" s="5"/>
      <c r="E6" s="5"/>
      <c r="F6" s="5"/>
      <c r="G6" s="5"/>
      <c r="H6" s="5"/>
    </row>
    <row r="7" spans="1:8" ht="72" customHeight="1">
      <c r="A7" s="5">
        <v>2</v>
      </c>
      <c r="B7" s="16"/>
      <c r="C7" s="5"/>
      <c r="D7" s="5"/>
      <c r="E7" s="5"/>
      <c r="F7" s="17"/>
      <c r="G7" s="5"/>
      <c r="H7" s="5"/>
    </row>
    <row r="8" spans="1:8" ht="12.75" customHeight="1">
      <c r="A8" s="5">
        <v>3</v>
      </c>
      <c r="B8" s="16"/>
      <c r="C8" s="5"/>
      <c r="D8" s="5"/>
      <c r="E8" s="5"/>
      <c r="F8" s="17"/>
      <c r="G8" s="17"/>
      <c r="H8" s="5"/>
    </row>
    <row r="9" spans="1:8" ht="60" customHeight="1">
      <c r="A9" s="5">
        <v>4</v>
      </c>
      <c r="B9" s="16"/>
      <c r="C9" s="5"/>
      <c r="D9" s="5"/>
      <c r="E9" s="5"/>
      <c r="F9" s="5"/>
      <c r="G9" s="5"/>
      <c r="H9" s="5"/>
    </row>
    <row r="10" spans="1:8" ht="24" customHeight="1">
      <c r="A10" s="5">
        <v>5</v>
      </c>
      <c r="B10" s="16"/>
      <c r="C10" s="5"/>
      <c r="D10" s="5"/>
      <c r="E10" s="5"/>
      <c r="F10" s="5"/>
      <c r="G10" s="5"/>
      <c r="H10" s="5"/>
    </row>
    <row r="11" spans="1:8" ht="12.75" customHeight="1">
      <c r="A11" s="5">
        <v>6</v>
      </c>
      <c r="B11" s="16"/>
      <c r="C11" s="5"/>
      <c r="D11" s="5"/>
      <c r="E11" s="5"/>
      <c r="F11" s="5"/>
      <c r="G11" s="5"/>
      <c r="H11" s="5"/>
    </row>
    <row r="12" spans="1:8" ht="36" customHeight="1">
      <c r="A12" s="5">
        <v>7</v>
      </c>
      <c r="B12" s="16"/>
      <c r="C12" s="5"/>
      <c r="D12" s="5"/>
      <c r="E12" s="5"/>
      <c r="F12" s="5"/>
      <c r="G12" s="5"/>
      <c r="H12" s="5"/>
    </row>
    <row r="13" spans="1:8" ht="36" customHeight="1">
      <c r="A13" s="5">
        <v>8</v>
      </c>
      <c r="B13" s="16"/>
      <c r="C13" s="5"/>
      <c r="D13" s="5"/>
      <c r="E13" s="5"/>
      <c r="F13" s="5"/>
      <c r="G13" s="5"/>
      <c r="H13" s="5"/>
    </row>
    <row r="14" spans="1:8" ht="12.75" customHeight="1">
      <c r="A14" s="5">
        <v>9</v>
      </c>
      <c r="B14" s="16"/>
      <c r="C14" s="5"/>
      <c r="D14" s="5"/>
      <c r="E14" s="5"/>
      <c r="F14" s="5"/>
      <c r="G14" s="5"/>
      <c r="H14" s="5"/>
    </row>
    <row r="15" spans="1:8" ht="18.75" customHeight="1">
      <c r="A15" s="5">
        <v>10</v>
      </c>
      <c r="B15" s="16"/>
      <c r="C15" s="5"/>
      <c r="D15" s="5"/>
      <c r="E15" s="5"/>
      <c r="F15" s="5"/>
      <c r="G15" s="5"/>
      <c r="H15" s="5"/>
    </row>
    <row r="16" spans="1:8" ht="12.75" customHeight="1">
      <c r="A16" s="5">
        <v>11</v>
      </c>
      <c r="B16" s="16"/>
      <c r="C16" s="5"/>
      <c r="D16" s="5"/>
      <c r="E16" s="5"/>
      <c r="F16" s="5"/>
      <c r="G16" s="5"/>
      <c r="H16" s="5"/>
    </row>
    <row r="17" spans="1:8" ht="12.75" customHeight="1">
      <c r="A17" s="5">
        <v>12</v>
      </c>
      <c r="B17" s="16"/>
      <c r="C17" s="5"/>
      <c r="D17" s="5"/>
      <c r="E17" s="5"/>
      <c r="F17" s="5"/>
      <c r="G17" s="5"/>
      <c r="H17" s="5"/>
    </row>
  </sheetData>
  <pageMargins left="0.7" right="0.7" top="0.75" bottom="0.75" header="0" footer="0"/>
  <pageSetup orientation="landscape"/>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outlinePr summaryBelow="0" summaryRight="0"/>
  </sheetPr>
  <dimension ref="A1:H118"/>
  <sheetViews>
    <sheetView topLeftCell="A24" workbookViewId="0">
      <selection activeCell="C33" sqref="C33"/>
    </sheetView>
  </sheetViews>
  <sheetFormatPr defaultColWidth="14.453125" defaultRowHeight="15" customHeight="1"/>
  <cols>
    <col min="1" max="1" width="24.1796875" customWidth="1"/>
    <col min="2" max="2" width="32" customWidth="1"/>
    <col min="3" max="3" width="19.7265625" customWidth="1"/>
    <col min="4" max="4" width="26.7265625" customWidth="1"/>
    <col min="5" max="5" width="22.7265625" customWidth="1"/>
    <col min="6" max="6" width="31.26953125" customWidth="1"/>
    <col min="7" max="7" width="38.453125" customWidth="1"/>
    <col min="8" max="8" width="83.7265625" customWidth="1"/>
    <col min="9" max="26" width="17.26953125" customWidth="1"/>
  </cols>
  <sheetData>
    <row r="1" spans="1:8" ht="12" hidden="1" customHeight="1">
      <c r="A1" s="129"/>
      <c r="B1" s="129"/>
      <c r="C1" s="129">
        <v>6</v>
      </c>
      <c r="D1" s="129">
        <f t="shared" ref="D1:H1" si="0">C1+1</f>
        <v>7</v>
      </c>
      <c r="E1" s="129">
        <f t="shared" si="0"/>
        <v>8</v>
      </c>
      <c r="F1" s="129">
        <f t="shared" si="0"/>
        <v>9</v>
      </c>
      <c r="G1" s="129">
        <f t="shared" si="0"/>
        <v>10</v>
      </c>
      <c r="H1" s="129">
        <f t="shared" si="0"/>
        <v>11</v>
      </c>
    </row>
    <row r="2" spans="1:8" ht="12" customHeight="1">
      <c r="A2" s="129"/>
      <c r="B2" s="129"/>
      <c r="C2" s="129"/>
      <c r="D2" s="129"/>
      <c r="E2" s="129"/>
      <c r="F2" s="129"/>
      <c r="G2" s="129"/>
      <c r="H2" s="129"/>
    </row>
    <row r="3" spans="1:8" ht="12" customHeight="1">
      <c r="A3" s="129"/>
      <c r="B3" s="129"/>
      <c r="C3" s="207" t="s">
        <v>107</v>
      </c>
      <c r="D3" s="207"/>
      <c r="E3" s="207"/>
      <c r="F3" s="186"/>
      <c r="G3" s="186"/>
      <c r="H3" s="186"/>
    </row>
    <row r="4" spans="1:8" ht="12" customHeight="1">
      <c r="A4" s="129"/>
      <c r="B4" s="129"/>
      <c r="C4" s="207" t="s">
        <v>108</v>
      </c>
      <c r="D4" s="207" t="s">
        <v>109</v>
      </c>
      <c r="E4" s="207" t="s">
        <v>110</v>
      </c>
      <c r="F4" s="208" t="s">
        <v>111</v>
      </c>
      <c r="G4" s="208" t="s">
        <v>112</v>
      </c>
      <c r="H4" s="208" t="s">
        <v>113</v>
      </c>
    </row>
    <row r="5" spans="1:8" ht="18.75" customHeight="1">
      <c r="A5" s="208" t="s">
        <v>114</v>
      </c>
      <c r="B5" s="208"/>
      <c r="C5" s="208"/>
      <c r="D5" s="208"/>
      <c r="E5" s="208"/>
      <c r="F5" s="208"/>
      <c r="G5" s="208"/>
      <c r="H5" s="208"/>
    </row>
    <row r="6" spans="1:8" ht="12" customHeight="1">
      <c r="A6" s="186" t="s">
        <v>61</v>
      </c>
      <c r="B6" s="186" t="s">
        <v>115</v>
      </c>
      <c r="C6" s="129" t="str">
        <f t="shared" ref="C6:C11" ca="1" si="1">VLOOKUP($B6,INDIRECT("'"&amp;$A$5&amp;"'!F3:Q300"),D$1,FALSE)</f>
        <v>ACCT_MMDDYYYYHHmmSS.txt</v>
      </c>
      <c r="D6" s="129" t="str">
        <f t="shared" ref="D6:H6" ca="1" si="2">VLOOKUP($B6,INDIRECT("'"&amp;$A$5&amp;"'!F3:P300"),E$1,FALSE)</f>
        <v>ACCOUNTFRIENDLYNAME</v>
      </c>
      <c r="E6" s="129" t="str">
        <f t="shared" ca="1" si="2"/>
        <v>CHAR(16)</v>
      </c>
      <c r="F6" s="129" t="str">
        <f t="shared" ca="1" si="2"/>
        <v>A truncated copy of the target name on the account</v>
      </c>
      <c r="G6" s="129" t="str">
        <f t="shared" ca="1" si="2"/>
        <v>sort_name</v>
      </c>
      <c r="H6" s="129" t="e" vm="1">
        <f t="shared" ca="1" si="2"/>
        <v>#VALUE!</v>
      </c>
    </row>
    <row r="7" spans="1:8" ht="12" customHeight="1">
      <c r="A7" s="186" t="s">
        <v>61</v>
      </c>
      <c r="B7" s="186" t="s">
        <v>116</v>
      </c>
      <c r="C7" s="129" t="str">
        <f t="shared" ca="1" si="1"/>
        <v>ACCT_MMDDYYYYHHmmSS.txt</v>
      </c>
      <c r="D7" s="129" t="str">
        <f t="shared" ref="D7:H7" ca="1" si="3">VLOOKUP($B7,INDIRECT("'"&amp;$A$5&amp;"'!F3:P300"),E$1,FALSE)</f>
        <v>ACCOUNTNAME</v>
      </c>
      <c r="E7" s="129" t="str">
        <f t="shared" ca="1" si="3"/>
        <v>VARCHAR(124,31)</v>
      </c>
      <c r="F7" s="129" t="str">
        <f t="shared" ca="1" si="3"/>
        <v>Title of account</v>
      </c>
      <c r="G7" s="129" t="str">
        <f t="shared" ca="1" si="3"/>
        <v>account_title</v>
      </c>
      <c r="H7" s="129" t="e" vm="1">
        <f t="shared" ca="1" si="3"/>
        <v>#VALUE!</v>
      </c>
    </row>
    <row r="8" spans="1:8" ht="12" customHeight="1">
      <c r="A8" s="186" t="s">
        <v>61</v>
      </c>
      <c r="B8" s="186" t="s">
        <v>117</v>
      </c>
      <c r="C8" s="129" t="str">
        <f t="shared" ca="1" si="1"/>
        <v>ACCT_MMDDYYYYHHmmSS.txt</v>
      </c>
      <c r="D8" s="129" t="str">
        <f t="shared" ref="D8:H8" ca="1" si="4">VLOOKUP($B8,INDIRECT("'"&amp;$A$5&amp;"'!F3:P300"),E$1,FALSE)</f>
        <v>ACCOUNTNUMBER</v>
      </c>
      <c r="E8" s="129" t="str">
        <f t="shared" ca="1" si="4"/>
        <v>CHAR(8)</v>
      </c>
      <c r="F8" s="129" t="str">
        <f t="shared" ca="1" si="4"/>
        <v>unique NB account number</v>
      </c>
      <c r="G8" s="129" t="str">
        <f t="shared" ca="1" si="4"/>
        <v>br_acct</v>
      </c>
      <c r="H8" s="129" t="e" vm="1">
        <f t="shared" ca="1" si="4"/>
        <v>#VALUE!</v>
      </c>
    </row>
    <row r="9" spans="1:8" ht="12" customHeight="1">
      <c r="A9" s="209" t="s">
        <v>61</v>
      </c>
      <c r="B9" s="209" t="s">
        <v>118</v>
      </c>
      <c r="C9" s="129" t="str">
        <f t="shared" ca="1" si="1"/>
        <v>ACCT_MMDDYYYYHHmmSS.txt</v>
      </c>
      <c r="D9" s="129" t="str">
        <f t="shared" ref="D9:H9" ca="1" si="5">VLOOKUP($B9,INDIRECT("'"&amp;$A$5&amp;"'!F3:P300"),E$1,FALSE)</f>
        <v>ACCOUNTSHORTNAME</v>
      </c>
      <c r="E9" s="129" t="str">
        <f t="shared" ca="1" si="5"/>
        <v>CHAR(8)</v>
      </c>
      <c r="F9" s="129" t="str">
        <f t="shared" ca="1" si="5"/>
        <v>unique NB account number</v>
      </c>
      <c r="G9" s="129" t="str">
        <f t="shared" ca="1" si="5"/>
        <v>br_acct</v>
      </c>
      <c r="H9" s="129" t="e" vm="1">
        <f t="shared" ca="1" si="5"/>
        <v>#VALUE!</v>
      </c>
    </row>
    <row r="10" spans="1:8" ht="12" customHeight="1">
      <c r="A10" s="186" t="s">
        <v>61</v>
      </c>
      <c r="B10" s="186" t="s">
        <v>119</v>
      </c>
      <c r="C10" s="129" t="str">
        <f t="shared" ca="1" si="1"/>
        <v>ACCT_MMDDYYYYHHmmSS.txt</v>
      </c>
      <c r="D10" s="129" t="str">
        <f t="shared" ref="D10:H10" ca="1" si="6">VLOOKUP($B10,INDIRECT("'"&amp;$A$5&amp;"'!F3:P300"),E$1,FALSE)</f>
        <v>IS_MANAGED_ACCOUNT</v>
      </c>
      <c r="E10" s="129">
        <f t="shared" ca="1" si="6"/>
        <v>0</v>
      </c>
      <c r="F10" s="129" t="str">
        <f t="shared" ca="1" si="6"/>
        <v>F – former investment advisory 
C – trust custody 
N – non-managed 
Y – Investment advisory 
S - Strategy</v>
      </c>
      <c r="G10" s="129">
        <f t="shared" ca="1" si="6"/>
        <v>0</v>
      </c>
      <c r="H10" s="129" t="e" vm="1">
        <f t="shared" ca="1" si="6"/>
        <v>#VALUE!</v>
      </c>
    </row>
    <row r="11" spans="1:8" ht="12" customHeight="1">
      <c r="A11" s="186" t="s">
        <v>61</v>
      </c>
      <c r="B11" s="186" t="s">
        <v>120</v>
      </c>
      <c r="C11" s="129" t="str">
        <f t="shared" ca="1" si="1"/>
        <v>ACCT_MMDDYYYYHHmmSS.txt</v>
      </c>
      <c r="D11" s="129" t="str">
        <f t="shared" ref="D11:H11" ca="1" si="7">VLOOKUP($B11,INDIRECT("'"&amp;$A$5&amp;"'!F3:P300"),E$1,FALSE)</f>
        <v>BOOKCCY</v>
      </c>
      <c r="E11" s="129" t="str">
        <f t="shared" ca="1" si="7"/>
        <v>CHAR(3)</v>
      </c>
      <c r="F11" s="129" t="str">
        <f t="shared" ca="1" si="7"/>
        <v>ISO currency code for the base currency of the account</v>
      </c>
      <c r="G11" s="129" t="str">
        <f t="shared" ca="1" si="7"/>
        <v>base_curr_id</v>
      </c>
      <c r="H11" s="129" t="e" vm="1">
        <f t="shared" ca="1" si="7"/>
        <v>#VALUE!</v>
      </c>
    </row>
    <row r="12" spans="1:8" ht="12" customHeight="1">
      <c r="A12" s="129"/>
      <c r="B12" s="129"/>
      <c r="C12" s="129"/>
      <c r="D12" s="129"/>
      <c r="E12" s="129"/>
      <c r="F12" s="129"/>
      <c r="G12" s="129"/>
      <c r="H12" s="129"/>
    </row>
    <row r="13" spans="1:8" ht="12" customHeight="1">
      <c r="A13" s="129"/>
      <c r="B13" s="129"/>
      <c r="C13" s="129"/>
      <c r="D13" s="129"/>
      <c r="E13" s="129"/>
      <c r="F13" s="129"/>
      <c r="G13" s="129"/>
      <c r="H13" s="129"/>
    </row>
    <row r="14" spans="1:8" ht="12" customHeight="1">
      <c r="A14" s="129"/>
      <c r="B14" s="129"/>
      <c r="C14" s="129"/>
      <c r="D14" s="129"/>
      <c r="E14" s="129"/>
      <c r="F14" s="129"/>
      <c r="G14" s="129"/>
      <c r="H14" s="129"/>
    </row>
    <row r="15" spans="1:8" ht="18.75" customHeight="1">
      <c r="A15" s="208" t="s">
        <v>121</v>
      </c>
      <c r="B15" s="208"/>
      <c r="C15" s="208"/>
      <c r="D15" s="208"/>
      <c r="E15" s="208"/>
      <c r="F15" s="208"/>
      <c r="G15" s="208"/>
      <c r="H15" s="208"/>
    </row>
    <row r="16" spans="1:8" ht="12" customHeight="1">
      <c r="A16" s="186" t="s">
        <v>63</v>
      </c>
      <c r="B16" s="186" t="s">
        <v>122</v>
      </c>
      <c r="C16" s="129" t="e">
        <f t="shared" ref="C16:H16" ca="1" si="8">VLOOKUP($B16,INDIRECT("'"&amp;$A$15&amp;"'!F3:P300"),D$1,FALSE)</f>
        <v>#REF!</v>
      </c>
      <c r="D16" s="129" t="e">
        <f t="shared" ca="1" si="8"/>
        <v>#REF!</v>
      </c>
      <c r="E16" s="129" t="e">
        <f t="shared" ca="1" si="8"/>
        <v>#REF!</v>
      </c>
      <c r="F16" s="129" t="e">
        <f t="shared" ca="1" si="8"/>
        <v>#REF!</v>
      </c>
      <c r="G16" s="129" t="e">
        <f t="shared" ca="1" si="8"/>
        <v>#REF!</v>
      </c>
      <c r="H16" s="129" t="e">
        <f t="shared" ca="1" si="8"/>
        <v>#REF!</v>
      </c>
    </row>
    <row r="17" spans="1:8" ht="12" customHeight="1">
      <c r="A17" s="186" t="s">
        <v>53</v>
      </c>
      <c r="B17" s="186" t="s">
        <v>123</v>
      </c>
      <c r="C17" s="129" t="e">
        <f t="shared" ref="C17:H17" ca="1" si="9">VLOOKUP($B17,INDIRECT("'"&amp;$A$15&amp;"'!F3:P300"),D$1,FALSE)</f>
        <v>#REF!</v>
      </c>
      <c r="D17" s="129" t="e">
        <f t="shared" ca="1" si="9"/>
        <v>#REF!</v>
      </c>
      <c r="E17" s="129" t="e">
        <f t="shared" ca="1" si="9"/>
        <v>#REF!</v>
      </c>
      <c r="F17" s="129" t="e">
        <f t="shared" ca="1" si="9"/>
        <v>#REF!</v>
      </c>
      <c r="G17" s="129" t="e">
        <f t="shared" ca="1" si="9"/>
        <v>#REF!</v>
      </c>
      <c r="H17" s="129" t="e">
        <f t="shared" ca="1" si="9"/>
        <v>#REF!</v>
      </c>
    </row>
    <row r="18" spans="1:8" ht="12" customHeight="1">
      <c r="A18" s="186" t="s">
        <v>53</v>
      </c>
      <c r="B18" s="186" t="s">
        <v>124</v>
      </c>
      <c r="C18" s="129" t="e">
        <f t="shared" ref="C18:H18" ca="1" si="10">VLOOKUP($B18,INDIRECT("'"&amp;$A$15&amp;"'!F3:P300"),D$1,FALSE)</f>
        <v>#REF!</v>
      </c>
      <c r="D18" s="129" t="e">
        <f t="shared" ca="1" si="10"/>
        <v>#REF!</v>
      </c>
      <c r="E18" s="129" t="e">
        <f t="shared" ca="1" si="10"/>
        <v>#REF!</v>
      </c>
      <c r="F18" s="129" t="e">
        <f t="shared" ca="1" si="10"/>
        <v>#REF!</v>
      </c>
      <c r="G18" s="129" t="e">
        <f t="shared" ca="1" si="10"/>
        <v>#REF!</v>
      </c>
      <c r="H18" s="129" t="e">
        <f t="shared" ca="1" si="10"/>
        <v>#REF!</v>
      </c>
    </row>
    <row r="19" spans="1:8" ht="12" customHeight="1">
      <c r="A19" s="209" t="s">
        <v>61</v>
      </c>
      <c r="B19" s="209" t="s">
        <v>118</v>
      </c>
      <c r="C19" s="129" t="e">
        <f t="shared" ref="C19:H19" ca="1" si="11">VLOOKUP($B19,INDIRECT("'"&amp;$A$15&amp;"'!F3:P300"),D$1,FALSE)</f>
        <v>#REF!</v>
      </c>
      <c r="D19" s="129" t="e">
        <f t="shared" ca="1" si="11"/>
        <v>#REF!</v>
      </c>
      <c r="E19" s="129" t="e">
        <f t="shared" ca="1" si="11"/>
        <v>#REF!</v>
      </c>
      <c r="F19" s="129" t="e">
        <f t="shared" ca="1" si="11"/>
        <v>#REF!</v>
      </c>
      <c r="G19" s="129" t="e">
        <f t="shared" ca="1" si="11"/>
        <v>#REF!</v>
      </c>
      <c r="H19" s="129" t="e">
        <f t="shared" ca="1" si="11"/>
        <v>#REF!</v>
      </c>
    </row>
    <row r="20" spans="1:8" ht="12" customHeight="1">
      <c r="A20" s="186" t="s">
        <v>61</v>
      </c>
      <c r="B20" s="186" t="s">
        <v>125</v>
      </c>
      <c r="C20" s="129" t="e">
        <f t="shared" ref="C20:H20" ca="1" si="12">VLOOKUP($B20,INDIRECT("'"&amp;$A$15&amp;"'!F3:P300"),D$1,FALSE)</f>
        <v>#REF!</v>
      </c>
      <c r="D20" s="129" t="e">
        <f t="shared" ca="1" si="12"/>
        <v>#REF!</v>
      </c>
      <c r="E20" s="129" t="e">
        <f t="shared" ca="1" si="12"/>
        <v>#REF!</v>
      </c>
      <c r="F20" s="129" t="e">
        <f t="shared" ca="1" si="12"/>
        <v>#REF!</v>
      </c>
      <c r="G20" s="129" t="e">
        <f t="shared" ca="1" si="12"/>
        <v>#REF!</v>
      </c>
      <c r="H20" s="129" t="e">
        <f t="shared" ca="1" si="12"/>
        <v>#REF!</v>
      </c>
    </row>
    <row r="21" spans="1:8" ht="12" customHeight="1">
      <c r="A21" s="210" t="s">
        <v>61</v>
      </c>
      <c r="B21" s="210" t="s">
        <v>126</v>
      </c>
      <c r="C21" s="129" t="e">
        <f t="shared" ref="C21:H21" ca="1" si="13">VLOOKUP($B21,INDIRECT("'"&amp;$A$15&amp;"'!F3:P300"),D$1,FALSE)</f>
        <v>#REF!</v>
      </c>
      <c r="D21" s="129" t="e">
        <f t="shared" ca="1" si="13"/>
        <v>#REF!</v>
      </c>
      <c r="E21" s="129" t="e">
        <f t="shared" ca="1" si="13"/>
        <v>#REF!</v>
      </c>
      <c r="F21" s="129" t="e">
        <f t="shared" ca="1" si="13"/>
        <v>#REF!</v>
      </c>
      <c r="G21" s="129" t="e">
        <f t="shared" ca="1" si="13"/>
        <v>#REF!</v>
      </c>
      <c r="H21" s="129" t="e">
        <f t="shared" ca="1" si="13"/>
        <v>#REF!</v>
      </c>
    </row>
    <row r="22" spans="1:8" ht="12" customHeight="1">
      <c r="A22" s="129"/>
      <c r="B22" s="129"/>
      <c r="C22" s="129"/>
      <c r="D22" s="129"/>
      <c r="E22" s="129"/>
      <c r="F22" s="129"/>
      <c r="G22" s="129"/>
      <c r="H22" s="129"/>
    </row>
    <row r="23" spans="1:8" ht="12" customHeight="1">
      <c r="A23" s="129"/>
      <c r="B23" s="129"/>
      <c r="C23" s="129"/>
      <c r="D23" s="129"/>
      <c r="E23" s="129"/>
      <c r="F23" s="129"/>
      <c r="G23" s="129"/>
      <c r="H23" s="129"/>
    </row>
    <row r="24" spans="1:8" ht="18.75" customHeight="1">
      <c r="A24" s="208" t="s">
        <v>127</v>
      </c>
      <c r="B24" s="208"/>
      <c r="C24" s="208"/>
      <c r="D24" s="208"/>
      <c r="E24" s="208"/>
      <c r="F24" s="208"/>
      <c r="G24" s="208"/>
      <c r="H24" s="208"/>
    </row>
    <row r="25" spans="1:8" ht="12" customHeight="1">
      <c r="A25" s="209" t="s">
        <v>61</v>
      </c>
      <c r="B25" s="209" t="s">
        <v>118</v>
      </c>
      <c r="C25" s="129">
        <f t="shared" ref="C25:H25" ca="1" si="14">VLOOKUP($B25,INDIRECT("'"&amp;$A$24&amp;"'!F3:P300"),D$1,FALSE)</f>
        <v>0</v>
      </c>
      <c r="D25" s="18">
        <f t="shared" ca="1" si="14"/>
        <v>0</v>
      </c>
      <c r="E25" s="18">
        <f t="shared" ca="1" si="14"/>
        <v>0</v>
      </c>
      <c r="F25" s="18">
        <f t="shared" ca="1" si="14"/>
        <v>0</v>
      </c>
      <c r="G25" s="129">
        <f t="shared" ca="1" si="14"/>
        <v>0</v>
      </c>
      <c r="H25" s="129" t="e" vm="1">
        <f t="shared" ca="1" si="14"/>
        <v>#VALUE!</v>
      </c>
    </row>
    <row r="26" spans="1:8" ht="12" customHeight="1">
      <c r="A26" s="186" t="s">
        <v>61</v>
      </c>
      <c r="B26" s="186" t="s">
        <v>125</v>
      </c>
      <c r="C26" s="129">
        <f t="shared" ref="C26:H26" ca="1" si="15">VLOOKUP($B26,INDIRECT("'"&amp;$A$24&amp;"'!F3:P300"),D$1,FALSE)</f>
        <v>0</v>
      </c>
      <c r="D26" s="18">
        <f t="shared" ca="1" si="15"/>
        <v>0</v>
      </c>
      <c r="E26" s="18">
        <f t="shared" ca="1" si="15"/>
        <v>0</v>
      </c>
      <c r="F26" s="18">
        <f t="shared" ca="1" si="15"/>
        <v>0</v>
      </c>
      <c r="G26" s="129">
        <f t="shared" ca="1" si="15"/>
        <v>0</v>
      </c>
      <c r="H26" s="129" t="e" vm="1">
        <f t="shared" ca="1" si="15"/>
        <v>#VALUE!</v>
      </c>
    </row>
    <row r="27" spans="1:8" ht="12" customHeight="1">
      <c r="A27" s="186" t="s">
        <v>61</v>
      </c>
      <c r="B27" s="186" t="s">
        <v>120</v>
      </c>
      <c r="C27" s="129">
        <f t="shared" ref="C27:H27" ca="1" si="16">VLOOKUP($B27,INDIRECT("'"&amp;$A$24&amp;"'!F3:P300"),D$1,FALSE)</f>
        <v>0</v>
      </c>
      <c r="D27" s="18">
        <f t="shared" ca="1" si="16"/>
        <v>0</v>
      </c>
      <c r="E27" s="18">
        <f t="shared" ca="1" si="16"/>
        <v>0</v>
      </c>
      <c r="F27" s="18">
        <f t="shared" ca="1" si="16"/>
        <v>0</v>
      </c>
      <c r="G27" s="129">
        <f t="shared" ca="1" si="16"/>
        <v>0</v>
      </c>
      <c r="H27" s="129" t="e" vm="1">
        <f t="shared" ca="1" si="16"/>
        <v>#VALUE!</v>
      </c>
    </row>
    <row r="28" spans="1:8" ht="12" customHeight="1">
      <c r="A28" s="186" t="s">
        <v>61</v>
      </c>
      <c r="B28" s="186" t="s">
        <v>128</v>
      </c>
      <c r="C28" s="129" t="e">
        <f t="shared" ref="C28:G28" ca="1" si="17">VLOOKUP($B28,INDIRECT("'"&amp;$A$24&amp;"'!F3:P300"),E$1,FALSE)</f>
        <v>#N/A</v>
      </c>
      <c r="D28" s="129" t="e">
        <f t="shared" ca="1" si="17"/>
        <v>#N/A</v>
      </c>
      <c r="E28" s="129" t="e">
        <f t="shared" ca="1" si="17"/>
        <v>#N/A</v>
      </c>
      <c r="F28" s="129" t="e">
        <f t="shared" ca="1" si="17"/>
        <v>#N/A</v>
      </c>
      <c r="G28" s="129" t="e">
        <f t="shared" ca="1" si="17"/>
        <v>#N/A</v>
      </c>
    </row>
    <row r="29" spans="1:8" ht="12" customHeight="1">
      <c r="A29" s="186" t="s">
        <v>61</v>
      </c>
      <c r="B29" s="186" t="s">
        <v>129</v>
      </c>
      <c r="C29" s="129">
        <f t="shared" ref="C29:H29" ca="1" si="18">VLOOKUP($B29,INDIRECT("'"&amp;$A$24&amp;"'!F3:P300"),D$1,FALSE)</f>
        <v>0</v>
      </c>
      <c r="D29" s="18">
        <f t="shared" ca="1" si="18"/>
        <v>0</v>
      </c>
      <c r="E29" s="18">
        <f t="shared" ca="1" si="18"/>
        <v>0</v>
      </c>
      <c r="F29" s="18">
        <f t="shared" ca="1" si="18"/>
        <v>0</v>
      </c>
      <c r="G29" s="129">
        <f t="shared" ca="1" si="18"/>
        <v>0</v>
      </c>
      <c r="H29" s="129" t="e" vm="1">
        <f t="shared" ca="1" si="18"/>
        <v>#VALUE!</v>
      </c>
    </row>
    <row r="30" spans="1:8" ht="12" customHeight="1">
      <c r="A30" s="210" t="s">
        <v>61</v>
      </c>
      <c r="B30" s="210" t="s">
        <v>126</v>
      </c>
      <c r="C30" s="129">
        <f t="shared" ref="C30:H30" ca="1" si="19">VLOOKUP($B30,INDIRECT("'"&amp;$A$24&amp;"'!F3:P300"),D$1,FALSE)</f>
        <v>0</v>
      </c>
      <c r="D30" s="18">
        <f t="shared" ca="1" si="19"/>
        <v>0</v>
      </c>
      <c r="E30" s="18">
        <f t="shared" ca="1" si="19"/>
        <v>0</v>
      </c>
      <c r="F30" s="18">
        <f t="shared" ca="1" si="19"/>
        <v>0</v>
      </c>
      <c r="G30" s="129">
        <f t="shared" ca="1" si="19"/>
        <v>0</v>
      </c>
      <c r="H30" s="129" t="e" vm="1">
        <f t="shared" ca="1" si="19"/>
        <v>#VALUE!</v>
      </c>
    </row>
    <row r="31" spans="1:8" ht="12" customHeight="1">
      <c r="A31" s="129"/>
      <c r="B31" s="129"/>
      <c r="C31" s="129"/>
      <c r="D31" s="129"/>
      <c r="E31" s="129"/>
      <c r="F31" s="129"/>
      <c r="G31" s="129"/>
      <c r="H31" s="129"/>
    </row>
    <row r="32" spans="1:8" ht="18.75" customHeight="1">
      <c r="A32" s="208" t="s">
        <v>130</v>
      </c>
      <c r="B32" s="208"/>
      <c r="C32" s="208"/>
      <c r="D32" s="208"/>
      <c r="E32" s="208"/>
      <c r="F32" s="208"/>
      <c r="G32" s="208"/>
      <c r="H32" s="208"/>
    </row>
    <row r="33" spans="1:8" ht="12" customHeight="1">
      <c r="A33" s="186" t="s">
        <v>61</v>
      </c>
      <c r="B33" s="186" t="s">
        <v>131</v>
      </c>
      <c r="C33" s="129" t="str">
        <f t="shared" ref="C33:H33" ca="1" si="20">VLOOKUP($B33,INDIRECT("'"&amp;$A$32&amp;"'!F3:P300"),D$1,FALSE)</f>
        <v>TRX_MMDDYYYYHHmmSS, TRXALT_MMDDYYYYHHmmSS</v>
      </c>
      <c r="D33" s="129" t="str">
        <f t="shared" ca="1" si="20"/>
        <v>firm_net</v>
      </c>
      <c r="E33" s="129" t="str">
        <f t="shared" ca="1" si="20"/>
        <v>dec(18,2)</v>
      </c>
      <c r="F33" s="129" t="str">
        <f t="shared" ca="1" si="20"/>
        <v>the net amount of the transaction in USD</v>
      </c>
      <c r="G33" s="129" t="str">
        <f t="shared" ca="1" si="20"/>
        <v>trans:trans;(trans:trans.pcpl_amt/trans:trans.base_xrate * trans:trans:sys_xrate) + (trans:trans.income_amt / trans;trans.inc_base_xrate * trans.inc_sys_xrate)</v>
      </c>
      <c r="H33" s="129" t="e" vm="1">
        <f t="shared" ca="1" si="20"/>
        <v>#VALUE!</v>
      </c>
    </row>
    <row r="34" spans="1:8" ht="12" customHeight="1">
      <c r="A34" s="186" t="s">
        <v>61</v>
      </c>
      <c r="B34" s="186" t="s">
        <v>120</v>
      </c>
      <c r="C34" s="129" t="str">
        <f t="shared" ref="C34:H34" ca="1" si="21">VLOOKUP($B34,INDIRECT("'"&amp;$A$32&amp;"'!F3:P300"),D$1,FALSE)</f>
        <v>TRX_MMDDYYYYHHmmSS, TRXALT_MMDDYYYYHHmmSS</v>
      </c>
      <c r="D34" s="129" t="str">
        <f t="shared" ca="1" si="21"/>
        <v>firm_iso_code</v>
      </c>
      <c r="E34" s="129" t="str">
        <f t="shared" ca="1" si="21"/>
        <v>char(3)</v>
      </c>
      <c r="F34" s="129" t="str">
        <f t="shared" ca="1" si="21"/>
        <v>the firm currency of NB</v>
      </c>
      <c r="G34" s="129" t="str">
        <f t="shared" ca="1" si="21"/>
        <v xml:space="preserve">assets:currency;assets:currency.iso_code </v>
      </c>
      <c r="H34" s="129" t="e" vm="1">
        <f t="shared" ca="1" si="21"/>
        <v>#VALUE!</v>
      </c>
    </row>
    <row r="35" spans="1:8" ht="12" customHeight="1">
      <c r="A35" s="186" t="s">
        <v>61</v>
      </c>
      <c r="B35" s="186" t="s">
        <v>132</v>
      </c>
      <c r="C35" s="129" t="str">
        <f t="shared" ref="C35:H35" ca="1" si="22">VLOOKUP($B35,INDIRECT("'"&amp;$A$32&amp;"'!F3:P300"),D$1,FALSE)</f>
        <v>TRX_MMDDYYYYHHmmSS, TRXALT_MMDDYYYYHHmmSS</v>
      </c>
      <c r="D35" s="129" t="str">
        <f t="shared" ca="1" si="22"/>
        <v>firm_net_cash</v>
      </c>
      <c r="E35" s="129" t="str">
        <f t="shared" ca="1" si="22"/>
        <v>dec(18,2)</v>
      </c>
      <c r="F35" s="129" t="str">
        <f t="shared" ca="1" si="22"/>
        <v>the signed net amount of the transaction in USD</v>
      </c>
      <c r="G35" s="129" t="str">
        <f t="shared" ca="1" si="22"/>
        <v xml:space="preserve">trans:trans ;(trans:trans.pcpl_amt/trans:trans.base_xrate * trans:trans:sys_xrate) + (trans:trans.income_amt / trans;trans.inc_base_xrate * trans.inc_sys_xrate)) * pmr:trantype.cash_impact </v>
      </c>
      <c r="H35" s="129" t="e" vm="1">
        <f t="shared" ca="1" si="22"/>
        <v>#VALUE!</v>
      </c>
    </row>
    <row r="36" spans="1:8" ht="12" customHeight="1">
      <c r="A36" s="186" t="s">
        <v>61</v>
      </c>
      <c r="B36" s="186" t="s">
        <v>133</v>
      </c>
      <c r="C36" s="129" t="str">
        <f t="shared" ref="C36:H36" ca="1" si="23">VLOOKUP($B36,INDIRECT("'"&amp;$A$32&amp;"'!F3:P300"),D$1,FALSE)</f>
        <v>TRX_MMDDYYYYHHmmSS, TRXALT_MMDDYYYYHHmmSS</v>
      </c>
      <c r="D36" s="129" t="str">
        <f t="shared" ca="1" si="23"/>
        <v>firm_price</v>
      </c>
      <c r="E36" s="129" t="str">
        <f t="shared" ca="1" si="23"/>
        <v>dec(18,6)</v>
      </c>
      <c r="F36" s="129" t="str">
        <f t="shared" ca="1" si="23"/>
        <v>the execution price of the trade in USD</v>
      </c>
      <c r="G36" s="129" t="str">
        <f t="shared" ca="1" si="23"/>
        <v>trans:trans ;trans:trans.unit_cost / trans:trans.base_xrate * trans:trans.sys_xrate</v>
      </c>
      <c r="H36" s="129" t="e" vm="1">
        <f t="shared" ca="1" si="23"/>
        <v>#VALUE!</v>
      </c>
    </row>
    <row r="37" spans="1:8" ht="12" customHeight="1">
      <c r="A37" s="186" t="s">
        <v>61</v>
      </c>
      <c r="B37" s="186" t="s">
        <v>134</v>
      </c>
      <c r="C37" s="129" t="str">
        <f t="shared" ref="C37:H37" ca="1" si="24">VLOOKUP($B37,INDIRECT("'"&amp;$A$32&amp;"'!F3:P300"),D$1,FALSE)</f>
        <v>TRX_MMDDYYYYHHmmSS, TRXALT_MMDDYYYYHHmmSS</v>
      </c>
      <c r="D37" s="129" t="str">
        <f t="shared" ca="1" si="24"/>
        <v>firm_sec_gl</v>
      </c>
      <c r="E37" s="129" t="str">
        <f t="shared" ca="1" si="24"/>
        <v>dec(18,2)</v>
      </c>
      <c r="F37" s="129" t="str">
        <f t="shared" ca="1" si="24"/>
        <v>security gain loss in USD</v>
      </c>
      <c r="G37" s="129" t="str">
        <f t="shared" ca="1" si="24"/>
        <v xml:space="preserve">gain loss calculator;report sec gl from gain loss calculator </v>
      </c>
      <c r="H37" s="129" t="e" vm="1">
        <f t="shared" ca="1" si="24"/>
        <v>#VALUE!</v>
      </c>
    </row>
    <row r="38" spans="1:8" ht="12" customHeight="1">
      <c r="A38" s="186" t="s">
        <v>61</v>
      </c>
      <c r="B38" s="186" t="s">
        <v>135</v>
      </c>
      <c r="C38" s="129" t="str">
        <f t="shared" ref="C38:H38" ca="1" si="25">VLOOKUP($B38,INDIRECT("'"&amp;$A$32&amp;"'!F3:P300"),D$1,FALSE)</f>
        <v>TRX_MMDDYYYYHHmmSS, TRXALT_MMDDYYYYHHmmSS</v>
      </c>
      <c r="D38" s="129" t="str">
        <f t="shared" ca="1" si="25"/>
        <v>rpt_group</v>
      </c>
      <c r="E38" s="129" t="str">
        <f t="shared" ca="1" si="25"/>
        <v>char(3)</v>
      </c>
      <c r="F38" s="129" t="str">
        <f t="shared" ca="1" si="25"/>
        <v xml:space="preserve">Reporting group </v>
      </c>
      <c r="G38" s="129">
        <f t="shared" ca="1" si="25"/>
        <v>0</v>
      </c>
      <c r="H38" s="129" t="e" vm="1">
        <f t="shared" ca="1" si="25"/>
        <v>#VALUE!</v>
      </c>
    </row>
    <row r="39" spans="1:8" ht="12" customHeight="1">
      <c r="A39" s="186" t="s">
        <v>61</v>
      </c>
      <c r="B39" s="186" t="s">
        <v>136</v>
      </c>
      <c r="C39" s="129" t="str">
        <f t="shared" ref="C39:H39" ca="1" si="26">VLOOKUP($B39,INDIRECT("'"&amp;$A$32&amp;"'!F3:P300"),D$1,FALSE)</f>
        <v>TRX_MMDDYYYYHHmmSS, TRXALT_MMDDYYYYHHmmSS</v>
      </c>
      <c r="D39" s="129" t="str">
        <f t="shared" ca="1" si="26"/>
        <v>eff_date</v>
      </c>
      <c r="E39" s="129" t="str">
        <f t="shared" ca="1" si="26"/>
        <v>date</v>
      </c>
      <c r="F39" s="129" t="str">
        <f t="shared" ca="1" si="26"/>
        <v>Effective Date of Event</v>
      </c>
      <c r="G39" s="129" t="str">
        <f t="shared" ca="1" si="26"/>
        <v xml:space="preserve">trans:trans ;trans:trans.eff_date </v>
      </c>
      <c r="H39" s="129" t="e" vm="1">
        <f t="shared" ca="1" si="26"/>
        <v>#VALUE!</v>
      </c>
    </row>
    <row r="40" spans="1:8" ht="12" customHeight="1">
      <c r="A40" s="186" t="s">
        <v>61</v>
      </c>
      <c r="B40" s="186" t="s">
        <v>137</v>
      </c>
      <c r="C40" s="129" t="str">
        <f t="shared" ref="C40:H40" ca="1" si="27">VLOOKUP($B40,INDIRECT("'"&amp;$A$32&amp;"'!F3:P300"),D$1,FALSE)</f>
        <v>TRX_MMDDYYYYHHmmSS, TRXALT_MMDDYYYYHHmmSS</v>
      </c>
      <c r="D40" s="129" t="str">
        <f t="shared" ca="1" si="27"/>
        <v>tran_type_drcr</v>
      </c>
      <c r="E40" s="129" t="str">
        <f t="shared" ca="1" si="27"/>
        <v>char(4)</v>
      </c>
      <c r="F40" s="129" t="str">
        <f t="shared" ca="1" si="27"/>
        <v>Transction Code</v>
      </c>
      <c r="G40" s="129" t="str">
        <f t="shared" ca="1" si="27"/>
        <v>trans:trans ;trans:trans.tran_type + tran:trans.dr_cr</v>
      </c>
      <c r="H40" s="129" t="e" vm="1">
        <f t="shared" ca="1" si="27"/>
        <v>#VALUE!</v>
      </c>
    </row>
    <row r="41" spans="1:8" ht="12" customHeight="1">
      <c r="A41" s="186" t="s">
        <v>61</v>
      </c>
      <c r="B41" s="186" t="s">
        <v>138</v>
      </c>
      <c r="C41" s="129" t="str">
        <f t="shared" ref="C41:H41" ca="1" si="28">VLOOKUP($B41,INDIRECT("'"&amp;$A$32&amp;"'!F3:P300"),D$1,FALSE)</f>
        <v>TRX_MMDDYYYYHHmmSS, TRXALT_MMDDYYYYHHmmSS</v>
      </c>
      <c r="D41" s="129" t="str">
        <f t="shared" ca="1" si="28"/>
        <v>cust_br_acct</v>
      </c>
      <c r="E41" s="129" t="str">
        <f t="shared" ca="1" si="28"/>
        <v>char(30)</v>
      </c>
      <c r="F41" s="129" t="str">
        <f t="shared" ca="1" si="28"/>
        <v>Custodian Acount Id</v>
      </c>
      <c r="G41" s="129" t="str">
        <f t="shared" ca="1" si="28"/>
        <v>client:renumber_xref;client:renumber_xref.new_br_acct</v>
      </c>
      <c r="H41" s="129" t="e" vm="1">
        <f t="shared" ca="1" si="28"/>
        <v>#VALUE!</v>
      </c>
    </row>
    <row r="42" spans="1:8" ht="12" customHeight="1">
      <c r="A42" s="186" t="s">
        <v>61</v>
      </c>
      <c r="B42" s="186" t="s">
        <v>139</v>
      </c>
      <c r="C42" s="129" t="str">
        <f t="shared" ref="C42:H42" ca="1" si="29">VLOOKUP($B42,INDIRECT("'"&amp;$A$32&amp;"'!F3:P300"),D$1,FALSE)</f>
        <v>TRX_MMDDYYYYHHmmSS, TRXALT_MMDDYYYYHHmmSS</v>
      </c>
      <c r="D42" s="129" t="str">
        <f t="shared" ca="1" si="29"/>
        <v>port_trans_no</v>
      </c>
      <c r="E42" s="129" t="str">
        <f t="shared" ca="1" si="29"/>
        <v>int</v>
      </c>
      <c r="F42" s="129" t="str">
        <f t="shared" ca="1" si="29"/>
        <v>Transaction Number for non Journals</v>
      </c>
      <c r="G42" s="129" t="str">
        <f t="shared" ca="1" si="29"/>
        <v>trans:trans ;NB will pass NULL</v>
      </c>
      <c r="H42" s="129" t="e" vm="1">
        <f t="shared" ca="1" si="29"/>
        <v>#VALUE!</v>
      </c>
    </row>
    <row r="43" spans="1:8" ht="12" customHeight="1">
      <c r="A43" s="186" t="s">
        <v>61</v>
      </c>
      <c r="B43" s="186" t="s">
        <v>128</v>
      </c>
      <c r="C43" s="129" t="str">
        <f t="shared" ref="C43:H43" ca="1" si="30">VLOOKUP($B43,INDIRECT("'"&amp;$A$32&amp;"'!F3:P300"),D$1,FALSE)</f>
        <v>TRX_MMDDYYYYHHmmSS, TRXALT_MMDDYYYYHHmmSS</v>
      </c>
      <c r="D43" s="129" t="str">
        <f t="shared" ca="1" si="30"/>
        <v>long_short_indicator</v>
      </c>
      <c r="E43" s="129" t="str">
        <f t="shared" ca="1" si="30"/>
        <v>char(1)</v>
      </c>
      <c r="F43" s="129" t="str">
        <f t="shared" ca="1" si="30"/>
        <v xml:space="preserve">indicates directionality of trade </v>
      </c>
      <c r="G43" s="129">
        <f t="shared" ca="1" si="30"/>
        <v>0</v>
      </c>
      <c r="H43" s="129" t="e" vm="1">
        <f t="shared" ca="1" si="30"/>
        <v>#VALUE!</v>
      </c>
    </row>
    <row r="44" spans="1:8" ht="12" customHeight="1">
      <c r="A44" s="186" t="s">
        <v>61</v>
      </c>
      <c r="B44" s="186" t="s">
        <v>140</v>
      </c>
      <c r="C44" s="129" t="str">
        <f t="shared" ref="C44:H44" ca="1" si="31">VLOOKUP($B44,INDIRECT("'"&amp;$A$32&amp;"'!F3:P300"),D$1,FALSE)</f>
        <v>TRX_MMDDYYYYHHmmSS, TRXALT_MMDDYYYYHHmmSS</v>
      </c>
      <c r="D44" s="129" t="str">
        <f t="shared" ca="1" si="31"/>
        <v>net</v>
      </c>
      <c r="E44" s="129" t="str">
        <f t="shared" ca="1" si="31"/>
        <v>dec(18,6)</v>
      </c>
      <c r="F44" s="129" t="str">
        <f t="shared" ca="1" si="31"/>
        <v>Net Amount in Local</v>
      </c>
      <c r="G44" s="129" t="str">
        <f t="shared" ca="1" si="31"/>
        <v>trans:trans ;trans:trans.pcpl_amt + trans:trans.income_amt * trans.base_xrate</v>
      </c>
      <c r="H44" s="129" t="e" vm="1">
        <f t="shared" ca="1" si="31"/>
        <v>#VALUE!</v>
      </c>
    </row>
    <row r="45" spans="1:8" ht="12" customHeight="1">
      <c r="A45" s="186" t="s">
        <v>61</v>
      </c>
      <c r="B45" s="186" t="s">
        <v>129</v>
      </c>
      <c r="C45" s="129" t="str">
        <f t="shared" ref="C45:H45" ca="1" si="32">VLOOKUP($B45,INDIRECT("'"&amp;$A$32&amp;"'!F3:P300"),D$1,FALSE)</f>
        <v>TRX_MMDDYYYYHHmmSS, TRXALT_MMDDYYYYHHmmSS</v>
      </c>
      <c r="D45" s="129" t="str">
        <f t="shared" ca="1" si="32"/>
        <v>sec_iso_code</v>
      </c>
      <c r="E45" s="129" t="str">
        <f t="shared" ca="1" si="32"/>
        <v>char(2)</v>
      </c>
      <c r="F45" s="129" t="str">
        <f t="shared" ca="1" si="32"/>
        <v>ISO Code of Security</v>
      </c>
      <c r="G45" s="129" t="str">
        <f t="shared" ca="1" si="32"/>
        <v>trans:trans ;assets:currency.iso_code using trans:trans.sec_curr_id</v>
      </c>
      <c r="H45" s="129" t="e" vm="1">
        <f t="shared" ca="1" si="32"/>
        <v>#VALUE!</v>
      </c>
    </row>
    <row r="46" spans="1:8" ht="12" customHeight="1">
      <c r="A46" s="186" t="s">
        <v>61</v>
      </c>
      <c r="B46" s="186" t="s">
        <v>141</v>
      </c>
      <c r="C46" s="129" t="str">
        <f t="shared" ref="C46:H46" ca="1" si="33">VLOOKUP($B46,INDIRECT("'"&amp;$A$32&amp;"'!F3:P300"),D$1,FALSE)</f>
        <v>TRX_MMDDYYYYHHmmSS, TRXALT_MMDDYYYYHHmmSS</v>
      </c>
      <c r="D46" s="129" t="str">
        <f t="shared" ca="1" si="33"/>
        <v>net_cash</v>
      </c>
      <c r="E46" s="129" t="str">
        <f t="shared" ca="1" si="33"/>
        <v xml:space="preserve">dec(18,2) </v>
      </c>
      <c r="F46" s="129" t="str">
        <f t="shared" ca="1" si="33"/>
        <v xml:space="preserve">Net Cash in Local </v>
      </c>
      <c r="G46" s="129" t="str">
        <f t="shared" ca="1" si="33"/>
        <v>trans:trans ;trans:trans.pcpl_amt + trans:trans.income_amt * trans.base_xrate</v>
      </c>
      <c r="H46" s="129" t="e" vm="1">
        <f t="shared" ca="1" si="33"/>
        <v>#VALUE!</v>
      </c>
    </row>
    <row r="47" spans="1:8" ht="12" customHeight="1">
      <c r="A47" s="186" t="s">
        <v>61</v>
      </c>
      <c r="B47" s="186" t="s">
        <v>142</v>
      </c>
      <c r="C47" s="129" t="str">
        <f t="shared" ref="C47:H47" ca="1" si="34">VLOOKUP($B47,INDIRECT("'"&amp;$A$32&amp;"'!F3:P300"),D$1,FALSE)</f>
        <v>TRX_MMDDYYYYHHmmSS, TRXALT_MMDDYYYYHHmmSS</v>
      </c>
      <c r="D47" s="129" t="str">
        <f t="shared" ca="1" si="34"/>
        <v>unit_cost</v>
      </c>
      <c r="E47" s="129" t="str">
        <f t="shared" ca="1" si="34"/>
        <v>dec(18,6)</v>
      </c>
      <c r="F47" s="129" t="str">
        <f t="shared" ca="1" si="34"/>
        <v>Execution Price in Local</v>
      </c>
      <c r="G47" s="129" t="str">
        <f t="shared" ca="1" si="34"/>
        <v xml:space="preserve">trans:trans ;trans:trans.unit_cost </v>
      </c>
      <c r="H47" s="129" t="e" vm="1">
        <f t="shared" ca="1" si="34"/>
        <v>#VALUE!</v>
      </c>
    </row>
    <row r="48" spans="1:8" ht="12" customHeight="1">
      <c r="A48" s="186" t="s">
        <v>61</v>
      </c>
      <c r="B48" s="186" t="s">
        <v>143</v>
      </c>
      <c r="C48" s="129" t="str">
        <f t="shared" ref="C48:H48" ca="1" si="35">VLOOKUP($B48,INDIRECT("'"&amp;$A$32&amp;"'!F3:P300"),D$1,FALSE)</f>
        <v>TRX_MMDDYYYYHHmmSS, TRXALT_MMDDYYYYHHmmSS</v>
      </c>
      <c r="D48" s="129" t="str">
        <f t="shared" ca="1" si="35"/>
        <v>sec_gl</v>
      </c>
      <c r="E48" s="129" t="str">
        <f t="shared" ca="1" si="35"/>
        <v xml:space="preserve">dec(18,2) </v>
      </c>
      <c r="F48" s="129" t="str">
        <f t="shared" ca="1" si="35"/>
        <v>Security Gain Loss in local</v>
      </c>
      <c r="G48" s="129" t="str">
        <f t="shared" ca="1" si="35"/>
        <v xml:space="preserve">gain loss calculator;security gl * trans:trans.base_xrate </v>
      </c>
      <c r="H48" s="129" t="e" vm="1">
        <f t="shared" ca="1" si="35"/>
        <v>#VALUE!</v>
      </c>
    </row>
    <row r="49" spans="1:8" ht="12" customHeight="1">
      <c r="A49" s="186" t="s">
        <v>61</v>
      </c>
      <c r="B49" s="186" t="s">
        <v>144</v>
      </c>
      <c r="C49" s="129" t="str">
        <f t="shared" ref="C49:H49" ca="1" si="36">VLOOKUP($B49,INDIRECT("'"&amp;$A$32&amp;"'!F3:P300"),D$1,FALSE)</f>
        <v>TRX_MMDDYYYYHHmmSS, TRXALT_MMDDYYYYHHmmSS</v>
      </c>
      <c r="D49" s="129" t="str">
        <f t="shared" ca="1" si="36"/>
        <v>units</v>
      </c>
      <c r="E49" s="129" t="str">
        <f t="shared" ca="1" si="36"/>
        <v>dec(18,5)</v>
      </c>
      <c r="F49" s="129" t="str">
        <f t="shared" ca="1" si="36"/>
        <v xml:space="preserve">Units </v>
      </c>
      <c r="G49" s="129" t="str">
        <f t="shared" ca="1" si="36"/>
        <v xml:space="preserve">trans:trans ;trans:trans.units  </v>
      </c>
      <c r="H49" s="129" t="e" vm="1">
        <f t="shared" ca="1" si="36"/>
        <v>#VALUE!</v>
      </c>
    </row>
    <row r="50" spans="1:8" ht="12" customHeight="1">
      <c r="A50" s="186" t="s">
        <v>61</v>
      </c>
      <c r="B50" s="186" t="s">
        <v>145</v>
      </c>
      <c r="C50" s="129" t="str">
        <f t="shared" ref="C50:H50" ca="1" si="37">VLOOKUP($B50,INDIRECT("'"&amp;$A$32&amp;"'!F3:P300"),D$1,FALSE)</f>
        <v>TRX_MMDDYYYYHHmmSS, TRXALT_MMDDYYYYHHmmSS</v>
      </c>
      <c r="D50" s="129" t="str">
        <f t="shared" ca="1" si="37"/>
        <v>stl_curr_id</v>
      </c>
      <c r="E50" s="129" t="str">
        <f t="shared" ca="1" si="37"/>
        <v>char(3)</v>
      </c>
      <c r="F50" s="129" t="str">
        <f t="shared" ca="1" si="37"/>
        <v>Settlement Currency</v>
      </c>
      <c r="G50" s="129" t="str">
        <f t="shared" ca="1" si="37"/>
        <v>trans:trans ;assets:currency.iso_code for trans:trans.curr_id</v>
      </c>
      <c r="H50" s="129" t="e" vm="1">
        <f t="shared" ca="1" si="37"/>
        <v>#VALUE!</v>
      </c>
    </row>
    <row r="51" spans="1:8" ht="12" customHeight="1">
      <c r="A51" s="186" t="s">
        <v>61</v>
      </c>
      <c r="B51" s="186" t="s">
        <v>146</v>
      </c>
      <c r="C51" s="129" t="str">
        <f t="shared" ref="C51:H51" ca="1" si="38">VLOOKUP($B51,INDIRECT("'"&amp;$A$32&amp;"'!F3:P300"),D$1,FALSE)</f>
        <v>TRX_MMDDYYYYHHmmSS, TRXALT_MMDDYYYYHHmmSS</v>
      </c>
      <c r="D51" s="129" t="str">
        <f t="shared" ca="1" si="38"/>
        <v>is_a_trade</v>
      </c>
      <c r="E51" s="129" t="str">
        <f t="shared" ca="1" si="38"/>
        <v>char(1)</v>
      </c>
      <c r="F51" s="129" t="str">
        <f t="shared" ca="1" si="38"/>
        <v>Trade Indicator</v>
      </c>
      <c r="G51" s="129" t="str">
        <f t="shared" ca="1" si="38"/>
        <v>if tran_type is PS,SL, SS, CS, set is _a_trade to Y, else N</v>
      </c>
      <c r="H51" s="129" t="e" vm="1">
        <f t="shared" ca="1" si="38"/>
        <v>#VALUE!</v>
      </c>
    </row>
    <row r="52" spans="1:8" ht="12" customHeight="1">
      <c r="A52" s="186" t="s">
        <v>61</v>
      </c>
      <c r="B52" s="186" t="s">
        <v>147</v>
      </c>
      <c r="C52" s="129" t="str">
        <f t="shared" ref="C52:H52" ca="1" si="39">VLOOKUP($B52,INDIRECT("'"&amp;$A$32&amp;"'!F3:P300"),D$1,FALSE)</f>
        <v>TRX_MMDDYYYYHHmmSS, TRXALT_MMDDYYYYHHmmSS</v>
      </c>
      <c r="D52" s="129" t="str">
        <f t="shared" ca="1" si="39"/>
        <v>taxlot_id</v>
      </c>
      <c r="E52" s="129" t="str">
        <f t="shared" ca="1" si="39"/>
        <v>int</v>
      </c>
      <c r="F52" s="129" t="str">
        <f t="shared" ca="1" si="39"/>
        <v>Taxlot id</v>
      </c>
      <c r="G52" s="129" t="str">
        <f t="shared" ca="1" si="39"/>
        <v>trans:trans;Taxlot_id = br_acct + sec_no  + wi + sec_xtend + acct_type + trans_no</v>
      </c>
      <c r="H52" s="129" t="e" vm="1">
        <f t="shared" ca="1" si="39"/>
        <v>#VALUE!</v>
      </c>
    </row>
    <row r="53" spans="1:8" ht="12" customHeight="1">
      <c r="A53" s="186" t="s">
        <v>61</v>
      </c>
      <c r="B53" s="186" t="s">
        <v>148</v>
      </c>
      <c r="C53" s="129" t="str">
        <f t="shared" ref="C53:H53" ca="1" si="40">VLOOKUP($B53,INDIRECT("'"&amp;$A$32&amp;"'!F3:P300"),D$1,FALSE)</f>
        <v>TRX_MMDDYYYYHHmmSS, TRXALT_MMDDYYYYHHmmSS</v>
      </c>
      <c r="D53" s="129" t="str">
        <f t="shared" ca="1" si="40"/>
        <v>trd_date</v>
      </c>
      <c r="E53" s="129" t="str">
        <f t="shared" ca="1" si="40"/>
        <v>date</v>
      </c>
      <c r="F53" s="129" t="str">
        <f t="shared" ca="1" si="40"/>
        <v>Trade Date</v>
      </c>
      <c r="G53" s="129" t="str">
        <f t="shared" ca="1" si="40"/>
        <v>trans:trans;trans:trans.trd_date</v>
      </c>
      <c r="H53" s="129" t="e" vm="1">
        <f t="shared" ca="1" si="40"/>
        <v>#VALUE!</v>
      </c>
    </row>
    <row r="54" spans="1:8" ht="12" customHeight="1">
      <c r="A54" s="209" t="s">
        <v>61</v>
      </c>
      <c r="B54" s="209" t="s">
        <v>118</v>
      </c>
      <c r="C54" s="129" t="str">
        <f t="shared" ref="C54:H54" ca="1" si="41">VLOOKUP($B54,INDIRECT("'"&amp;$A$32&amp;"'!F3:P300"),D$1,FALSE)</f>
        <v>TRX_MMDDYYYYHHmmSS, TRXALT_MMDDYYYYHHmmSS</v>
      </c>
      <c r="D54" s="129" t="str">
        <f t="shared" ca="1" si="41"/>
        <v>br_acct</v>
      </c>
      <c r="E54" s="129" t="str">
        <f t="shared" ca="1" si="41"/>
        <v>char(8)</v>
      </c>
      <c r="F54" s="129" t="str">
        <f t="shared" ca="1" si="41"/>
        <v>NB account id</v>
      </c>
      <c r="G54" s="129" t="str">
        <f t="shared" ca="1" si="41"/>
        <v>pmr:portdir;</v>
      </c>
      <c r="H54" s="129" t="e" vm="1">
        <f t="shared" ca="1" si="41"/>
        <v>#VALUE!</v>
      </c>
    </row>
    <row r="55" spans="1:8" ht="12" customHeight="1">
      <c r="A55" s="186" t="s">
        <v>61</v>
      </c>
      <c r="B55" s="186" t="s">
        <v>149</v>
      </c>
      <c r="C55" s="129" t="str">
        <f t="shared" ref="C55:H55" ca="1" si="42">VLOOKUP($B55,INDIRECT("'"&amp;$A$32&amp;"'!F3:P300"),D$1,FALSE)</f>
        <v>TRX_MMDDYYYYHHmmSS, TRXALT_MMDDYYYYHHmmSS</v>
      </c>
      <c r="D55" s="129" t="str">
        <f t="shared" ca="1" si="42"/>
        <v>rpt_group_desc</v>
      </c>
      <c r="E55" s="129" t="str">
        <f t="shared" ca="1" si="42"/>
        <v>char(30)</v>
      </c>
      <c r="F55" s="129" t="str">
        <f t="shared" ca="1" si="42"/>
        <v xml:space="preserve">Rpt group desc </v>
      </c>
      <c r="G55" s="129">
        <f t="shared" ca="1" si="42"/>
        <v>0</v>
      </c>
      <c r="H55" s="129" t="e" vm="1">
        <f t="shared" ca="1" si="42"/>
        <v>#VALUE!</v>
      </c>
    </row>
    <row r="56" spans="1:8" ht="12" customHeight="1">
      <c r="A56" s="186" t="s">
        <v>61</v>
      </c>
      <c r="B56" s="186" t="s">
        <v>150</v>
      </c>
      <c r="C56" s="129" t="str">
        <f t="shared" ref="C56:H56" ca="1" si="43">VLOOKUP($B56,INDIRECT("'"&amp;$A$32&amp;"'!F3:P300"),D$1,FALSE)</f>
        <v>TRX_MMDDYYYYHHmmSS, TRXALT_MMDDYYYYHHmmSS</v>
      </c>
      <c r="D56" s="129" t="str">
        <f t="shared" ca="1" si="43"/>
        <v>asset_class</v>
      </c>
      <c r="E56" s="129" t="str">
        <f t="shared" ca="1" si="43"/>
        <v>char(50)</v>
      </c>
      <c r="F56" s="129">
        <f t="shared" ca="1" si="43"/>
        <v>0</v>
      </c>
      <c r="G56" s="129">
        <f t="shared" ca="1" si="43"/>
        <v>0</v>
      </c>
      <c r="H56" s="129" t="e" vm="1">
        <f t="shared" ca="1" si="43"/>
        <v>#VALUE!</v>
      </c>
    </row>
    <row r="57" spans="1:8" ht="12" customHeight="1">
      <c r="A57" s="186" t="s">
        <v>61</v>
      </c>
      <c r="B57" s="186" t="s">
        <v>151</v>
      </c>
      <c r="C57" s="129" t="str">
        <f t="shared" ref="C57:H57" ca="1" si="44">VLOOKUP($B57,INDIRECT("'"&amp;$A$32&amp;"'!F3:P300"),D$1,FALSE)</f>
        <v>TRX_MMDDYYYYHHmmSS, TRXALT_MMDDYYYYHHmmSS</v>
      </c>
      <c r="D57" s="129" t="str">
        <f t="shared" ca="1" si="44"/>
        <v>level1</v>
      </c>
      <c r="E57" s="129" t="str">
        <f t="shared" ca="1" si="44"/>
        <v>char(30)</v>
      </c>
      <c r="F57" s="129" t="str">
        <f t="shared" ca="1" si="44"/>
        <v>Segment of Security</v>
      </c>
      <c r="G57" s="129" t="str">
        <f t="shared" ca="1" si="44"/>
        <v xml:space="preserve">pmr:indust_levels;pmr:indust_level.indust_desc </v>
      </c>
      <c r="H57" s="129" t="e" vm="1">
        <f t="shared" ca="1" si="44"/>
        <v>#VALUE!</v>
      </c>
    </row>
    <row r="58" spans="1:8" ht="12" customHeight="1">
      <c r="A58" s="186" t="s">
        <v>61</v>
      </c>
      <c r="B58" s="186" t="s">
        <v>152</v>
      </c>
      <c r="C58" s="129" t="str">
        <f t="shared" ref="C58:H58" ca="1" si="45">VLOOKUP($B58,INDIRECT("'"&amp;$A$32&amp;"'!F3:P300"),D$1,FALSE)</f>
        <v>TRX_MMDDYYYYHHmmSS, TRXALT_MMDDYYYYHHmmSS</v>
      </c>
      <c r="D58" s="129" t="str">
        <f t="shared" ca="1" si="45"/>
        <v>sec_symbol</v>
      </c>
      <c r="E58" s="129" t="str">
        <f t="shared" ca="1" si="45"/>
        <v>char(12)</v>
      </c>
      <c r="F58" s="129" t="str">
        <f t="shared" ca="1" si="45"/>
        <v>Sec Symbol on Transaction</v>
      </c>
      <c r="G58" s="129" t="str">
        <f t="shared" ca="1" si="45"/>
        <v xml:space="preserve">trans:trans ;trans:trans.sec_symbol </v>
      </c>
      <c r="H58" s="129" t="e" vm="1">
        <f t="shared" ca="1" si="45"/>
        <v>#VALUE!</v>
      </c>
    </row>
    <row r="59" spans="1:8" ht="12" customHeight="1">
      <c r="A59" s="210" t="s">
        <v>61</v>
      </c>
      <c r="B59" s="210" t="s">
        <v>126</v>
      </c>
      <c r="C59" s="129" t="str">
        <f t="shared" ref="C59:H59" ca="1" si="46">VLOOKUP($B59,INDIRECT("'"&amp;$A$32&amp;"'!F3:P300"),D$1,FALSE)</f>
        <v>TRX_MMDDYYYYHHmmSS, TRXALT_MMDDYYYYHHmmSS</v>
      </c>
      <c r="D59" s="129" t="str">
        <f t="shared" ca="1" si="46"/>
        <v>sec_no</v>
      </c>
      <c r="E59" s="129" t="str">
        <f t="shared" ca="1" si="46"/>
        <v>char(13)</v>
      </c>
      <c r="F59" s="129" t="str">
        <f t="shared" ca="1" si="46"/>
        <v>The NB security id</v>
      </c>
      <c r="G59" s="129" t="str">
        <f t="shared" ca="1" si="46"/>
        <v>trans:trans ;trans:trans.sec_no + trans:trans.wi</v>
      </c>
      <c r="H59" s="129" t="e" vm="1">
        <f t="shared" ca="1" si="46"/>
        <v>#VALUE!</v>
      </c>
    </row>
    <row r="60" spans="1:8" ht="12" customHeight="1">
      <c r="A60" s="186" t="s">
        <v>61</v>
      </c>
      <c r="B60" s="186" t="s">
        <v>153</v>
      </c>
      <c r="C60" s="129" t="str">
        <f t="shared" ref="C60:H60" ca="1" si="47">VLOOKUP($B60,INDIRECT("'"&amp;$A$32&amp;"'!F3:P300"),D$1,FALSE)</f>
        <v>TRX_MMDDYYYYHHmmSS, TRXALT_MMDDYYYYHHmmSS</v>
      </c>
      <c r="D60" s="129" t="str">
        <f t="shared" ca="1" si="47"/>
        <v>sec_desc</v>
      </c>
      <c r="E60" s="129" t="str">
        <f t="shared" ca="1" si="47"/>
        <v>char(150)</v>
      </c>
      <c r="F60" s="129" t="str">
        <f t="shared" ca="1" si="47"/>
        <v>Security Description</v>
      </c>
      <c r="G60" s="129" t="str">
        <f t="shared" ca="1" si="47"/>
        <v xml:space="preserve">assets:assets;assets:sec_desc1  - assets.sec_desc5 </v>
      </c>
      <c r="H60" s="129" t="e" vm="1">
        <f t="shared" ca="1" si="47"/>
        <v>#VALUE!</v>
      </c>
    </row>
    <row r="61" spans="1:8" ht="12" customHeight="1">
      <c r="A61" s="129"/>
      <c r="B61" s="129"/>
      <c r="C61" s="129"/>
      <c r="D61" s="129"/>
      <c r="E61" s="129"/>
      <c r="F61" s="129"/>
      <c r="G61" s="129"/>
      <c r="H61" s="129"/>
    </row>
    <row r="62" spans="1:8" ht="12" customHeight="1">
      <c r="A62" s="129"/>
      <c r="B62" s="129"/>
      <c r="C62" s="129"/>
      <c r="D62" s="129"/>
      <c r="E62" s="129"/>
      <c r="F62" s="129"/>
      <c r="G62" s="129"/>
      <c r="H62" s="129"/>
    </row>
    <row r="63" spans="1:8" ht="18.75" customHeight="1">
      <c r="A63" s="208" t="s">
        <v>154</v>
      </c>
      <c r="B63" s="208"/>
      <c r="C63" s="208"/>
      <c r="D63" s="208"/>
      <c r="E63" s="208"/>
      <c r="F63" s="208"/>
      <c r="G63" s="208"/>
      <c r="H63" s="208"/>
    </row>
    <row r="64" spans="1:8" ht="12" customHeight="1">
      <c r="A64" s="186" t="s">
        <v>61</v>
      </c>
      <c r="B64" s="186" t="s">
        <v>150</v>
      </c>
      <c r="C64" s="129">
        <f t="shared" ref="C64:G64" ca="1" si="48">VLOOKUP($B64,INDIRECT("'"&amp;$A$63&amp;"'!F3:P300"),D$1,FALSE)</f>
        <v>0</v>
      </c>
      <c r="D64" s="18">
        <f t="shared" ca="1" si="48"/>
        <v>0</v>
      </c>
      <c r="E64" s="18">
        <f t="shared" ca="1" si="48"/>
        <v>0</v>
      </c>
      <c r="F64" s="18">
        <f t="shared" ca="1" si="48"/>
        <v>0</v>
      </c>
      <c r="G64" s="129">
        <f t="shared" ca="1" si="48"/>
        <v>0</v>
      </c>
    </row>
    <row r="65" spans="1:8" ht="12" customHeight="1">
      <c r="A65" s="210" t="s">
        <v>61</v>
      </c>
      <c r="B65" s="210" t="s">
        <v>126</v>
      </c>
      <c r="C65" s="211" t="str">
        <f t="shared" ref="C65:G65" ca="1" si="49">VLOOKUP($B65,INDIRECT("'"&amp;$A$63&amp;"'!F3:P300"),D$1,FALSE)</f>
        <v>"NEB_" + benchmarkid</v>
      </c>
      <c r="D65" s="211">
        <f t="shared" ca="1" si="49"/>
        <v>0</v>
      </c>
      <c r="E65" s="211">
        <f t="shared" ca="1" si="49"/>
        <v>0</v>
      </c>
      <c r="F65" s="211">
        <f t="shared" ca="1" si="49"/>
        <v>0</v>
      </c>
      <c r="G65" s="211">
        <f t="shared" ca="1" si="49"/>
        <v>0</v>
      </c>
    </row>
    <row r="66" spans="1:8" ht="12" customHeight="1">
      <c r="A66" s="186" t="s">
        <v>61</v>
      </c>
      <c r="B66" s="186" t="s">
        <v>155</v>
      </c>
      <c r="C66" s="18">
        <f t="shared" ref="C66:G66" ca="1" si="50">VLOOKUP($B66,INDIRECT("'"&amp;$A$63&amp;"'!F3:P300"),D$1,FALSE)</f>
        <v>0</v>
      </c>
      <c r="D66" s="18">
        <f t="shared" ca="1" si="50"/>
        <v>0</v>
      </c>
      <c r="E66" s="18">
        <f t="shared" ca="1" si="50"/>
        <v>0</v>
      </c>
      <c r="F66" s="18">
        <f t="shared" ca="1" si="50"/>
        <v>0</v>
      </c>
      <c r="G66" s="18">
        <f t="shared" ca="1" si="50"/>
        <v>0</v>
      </c>
    </row>
    <row r="67" spans="1:8" ht="12" customHeight="1">
      <c r="A67" s="186" t="s">
        <v>61</v>
      </c>
      <c r="B67" s="186" t="s">
        <v>156</v>
      </c>
      <c r="C67" s="18">
        <f t="shared" ref="C67:G67" ca="1" si="51">VLOOKUP($B67,INDIRECT("'"&amp;$A$63&amp;"'!F3:P300"),D$1,FALSE)</f>
        <v>0</v>
      </c>
      <c r="D67" s="18">
        <f t="shared" ca="1" si="51"/>
        <v>0</v>
      </c>
      <c r="E67" s="18">
        <f t="shared" ca="1" si="51"/>
        <v>0</v>
      </c>
      <c r="F67" s="18">
        <f t="shared" ca="1" si="51"/>
        <v>0</v>
      </c>
      <c r="G67" s="18">
        <f t="shared" ca="1" si="51"/>
        <v>0</v>
      </c>
    </row>
    <row r="68" spans="1:8" ht="12" customHeight="1">
      <c r="A68" s="186" t="s">
        <v>61</v>
      </c>
      <c r="B68" s="186" t="s">
        <v>152</v>
      </c>
      <c r="C68" s="18" t="str">
        <f t="shared" ref="C68:G68" ca="1" si="52">VLOOKUP($B68,INDIRECT("'"&amp;$A$63&amp;"'!F3:P300"),D$1,FALSE)</f>
        <v>benchmarkid</v>
      </c>
      <c r="D68" s="18">
        <f t="shared" ca="1" si="52"/>
        <v>0</v>
      </c>
      <c r="E68" s="18">
        <f t="shared" ca="1" si="52"/>
        <v>0</v>
      </c>
      <c r="F68" s="18">
        <f t="shared" ca="1" si="52"/>
        <v>0</v>
      </c>
      <c r="G68" s="18">
        <f t="shared" ca="1" si="52"/>
        <v>0</v>
      </c>
    </row>
    <row r="69" spans="1:8" ht="12" customHeight="1">
      <c r="A69" s="186" t="s">
        <v>61</v>
      </c>
      <c r="B69" s="186" t="s">
        <v>153</v>
      </c>
      <c r="C69" s="18">
        <f t="shared" ref="C69:G69" ca="1" si="53">VLOOKUP($B69,INDIRECT("'"&amp;$A$63&amp;"'!F3:P300"),D$1,FALSE)</f>
        <v>0</v>
      </c>
      <c r="D69" s="18">
        <f t="shared" ca="1" si="53"/>
        <v>0</v>
      </c>
      <c r="E69" s="18">
        <f t="shared" ca="1" si="53"/>
        <v>0</v>
      </c>
      <c r="F69" s="18">
        <f t="shared" ca="1" si="53"/>
        <v>0</v>
      </c>
      <c r="G69" s="18">
        <f t="shared" ca="1" si="53"/>
        <v>0</v>
      </c>
    </row>
    <row r="70" spans="1:8" ht="12" customHeight="1">
      <c r="A70" s="186" t="s">
        <v>61</v>
      </c>
      <c r="B70" s="186" t="s">
        <v>157</v>
      </c>
      <c r="C70" s="18" t="str">
        <f t="shared" ref="C70:G70" ca="1" si="54">VLOOKUP($B70,INDIRECT("'"&amp;$A$63&amp;"'!F3:P300"),D$1,FALSE)</f>
        <v>benchmarkdescription</v>
      </c>
      <c r="D70" s="18">
        <f t="shared" ca="1" si="54"/>
        <v>0</v>
      </c>
      <c r="E70" s="18">
        <f t="shared" ca="1" si="54"/>
        <v>0</v>
      </c>
      <c r="F70" s="18">
        <f t="shared" ca="1" si="54"/>
        <v>0</v>
      </c>
      <c r="G70" s="18">
        <f t="shared" ca="1" si="54"/>
        <v>0</v>
      </c>
    </row>
    <row r="71" spans="1:8" ht="12" customHeight="1">
      <c r="A71" s="186" t="s">
        <v>61</v>
      </c>
      <c r="B71" s="186" t="s">
        <v>151</v>
      </c>
      <c r="C71" s="18">
        <f t="shared" ref="C71:G71" ca="1" si="55">VLOOKUP($B71,INDIRECT("'"&amp;$A$63&amp;"'!F3:P300"),D$1,FALSE)</f>
        <v>0</v>
      </c>
      <c r="D71" s="18">
        <f t="shared" ca="1" si="55"/>
        <v>0</v>
      </c>
      <c r="E71" s="18">
        <f t="shared" ca="1" si="55"/>
        <v>0</v>
      </c>
      <c r="F71" s="18">
        <f t="shared" ca="1" si="55"/>
        <v>0</v>
      </c>
      <c r="G71" s="18">
        <f t="shared" ca="1" si="55"/>
        <v>0</v>
      </c>
    </row>
    <row r="72" spans="1:8" ht="12" customHeight="1">
      <c r="A72" s="186" t="s">
        <v>61</v>
      </c>
      <c r="B72" s="186" t="s">
        <v>158</v>
      </c>
      <c r="C72" s="18" t="str">
        <f t="shared" ref="C72:G72" ca="1" si="56">VLOOKUP($B72,INDIRECT("'"&amp;$A$63&amp;"'!F3:P300"),D$1,FALSE)</f>
        <v>Hardcode to "Index"</v>
      </c>
      <c r="D72" s="18">
        <f t="shared" ca="1" si="56"/>
        <v>0</v>
      </c>
      <c r="E72" s="18">
        <f t="shared" ca="1" si="56"/>
        <v>0</v>
      </c>
      <c r="F72" s="18">
        <f t="shared" ca="1" si="56"/>
        <v>0</v>
      </c>
      <c r="G72" s="18">
        <f t="shared" ca="1" si="56"/>
        <v>0</v>
      </c>
    </row>
    <row r="73" spans="1:8" ht="12" customHeight="1">
      <c r="A73" s="129"/>
      <c r="B73" s="129"/>
      <c r="C73" s="129"/>
      <c r="D73" s="129"/>
      <c r="E73" s="129"/>
      <c r="F73" s="129"/>
      <c r="G73" s="129"/>
      <c r="H73" s="129"/>
    </row>
    <row r="74" spans="1:8" ht="12" customHeight="1">
      <c r="A74" s="129"/>
      <c r="B74" s="129"/>
      <c r="C74" s="129"/>
      <c r="D74" s="129"/>
      <c r="E74" s="129"/>
      <c r="F74" s="129"/>
      <c r="G74" s="129"/>
      <c r="H74" s="129"/>
    </row>
    <row r="75" spans="1:8" ht="18.75" customHeight="1">
      <c r="A75" s="208" t="s">
        <v>159</v>
      </c>
      <c r="B75" s="208"/>
      <c r="C75" s="208"/>
      <c r="D75" s="208"/>
      <c r="E75" s="208"/>
      <c r="F75" s="208"/>
      <c r="G75" s="208"/>
      <c r="H75" s="208"/>
    </row>
    <row r="76" spans="1:8" ht="12" customHeight="1">
      <c r="A76" s="186" t="s">
        <v>61</v>
      </c>
      <c r="B76" s="186" t="s">
        <v>160</v>
      </c>
      <c r="C76" s="129" t="str">
        <f t="shared" ref="C76:G76" ca="1" si="57">VLOOKUP($B76,INDIRECT("'"&amp;$A$75&amp;"'!F3:P300"),D$1,FALSE)</f>
        <v xml:space="preserve">PERFACCTGROSS_MMDDYYYYHHmmSS
PERFACCTGROSS_ME_MMDDYYYYHHmmSS
PERFACCTNET_MMDDYYYYHHmmSS
PERFACCTNET_ME_MMDDYYYYHHmmSS
PERFAGGGROSS_MMDDYYYYHHmmSS
PERFAGGGROSS_ME_MMDDYYYYHHmmSS
PERFAGGNET_MMDDYYYYHHmmSS
PERFAGGNET_ME_MMDDYYYYHHmmSS </v>
      </c>
      <c r="D76" s="129" t="str">
        <f t="shared" ca="1" si="57"/>
        <v>target_name</v>
      </c>
      <c r="E76" s="129" t="str">
        <f t="shared" ca="1" si="57"/>
        <v>char(30)</v>
      </c>
      <c r="F76" s="129" t="str">
        <f t="shared" ca="1" si="57"/>
        <v>char(30)</v>
      </c>
      <c r="G76" s="129" t="str">
        <f t="shared" ca="1" si="57"/>
        <v xml:space="preserve">short name of the account </v>
      </c>
    </row>
    <row r="77" spans="1:8" ht="12" customHeight="1">
      <c r="A77" s="209" t="s">
        <v>61</v>
      </c>
      <c r="B77" s="209" t="s">
        <v>118</v>
      </c>
      <c r="C77" s="212" t="str">
        <f t="shared" ref="C77:G77" ca="1" si="58">VLOOKUP($B77,INDIRECT("'"&amp;$A$75&amp;"'!F3:P300"),D$1,FALSE)</f>
        <v xml:space="preserve">PERFACCTGROSS_MMDDYYYYHHmmSS
PERFACCTGROSS_ME_MMDDYYYYHHmmSS
PERFACCTNET_MMDDYYYYHHmmSS
PERFACCTNET_ME_MMDDYYYYHHmmSS
PERFAGGGROSS_MMDDYYYYHHmmSS
PERFAGGGROSS_ME_MMDDYYYYHHmmSS
PERFAGGNET_MMDDYYYYHHmmSS
PERFAGGNET_ME_MMDDYYYYHHmmSS </v>
      </c>
      <c r="D77" s="212" t="str">
        <f t="shared" ca="1" si="58"/>
        <v>br_acct</v>
      </c>
      <c r="E77" s="212" t="str">
        <f t="shared" ca="1" si="58"/>
        <v>char(8)</v>
      </c>
      <c r="F77" s="212" t="str">
        <f t="shared" ca="1" si="58"/>
        <v>char(8)</v>
      </c>
      <c r="G77" s="212" t="str">
        <f t="shared" ca="1" si="58"/>
        <v xml:space="preserve">account id </v>
      </c>
    </row>
    <row r="78" spans="1:8" ht="12" customHeight="1">
      <c r="A78" s="186" t="s">
        <v>61</v>
      </c>
      <c r="B78" s="186" t="s">
        <v>120</v>
      </c>
      <c r="C78" s="129" t="str">
        <f t="shared" ref="C78:G78" ca="1" si="59">VLOOKUP($B78,INDIRECT("'"&amp;$A$75&amp;"'!F3:P300"),D$1,FALSE)</f>
        <v xml:space="preserve">PERFACCTGROSS_MMDDYYYYHHmmSS
PERFACCTGROSS_ME_MMDDYYYYHHmmSS
PERFACCTNET_MMDDYYYYHHmmSS
PERFACCTNET_ME_MMDDYYYYHHmmSS
PERFAGGGROSS_MMDDYYYYHHmmSS
PERFAGGGROSS_ME_MMDDYYYYHHmmSS
PERFAGGNET_MMDDYYYYHHmmSS
PERFAGGNET_ME_MMDDYYYYHHmmSS </v>
      </c>
      <c r="D78" s="129" t="str">
        <f t="shared" ca="1" si="59"/>
        <v>perf_iso_code</v>
      </c>
      <c r="E78" s="129" t="str">
        <f t="shared" ca="1" si="59"/>
        <v>char(3)</v>
      </c>
      <c r="F78" s="129" t="str">
        <f t="shared" ca="1" si="59"/>
        <v>char(3)</v>
      </c>
      <c r="G78" s="129" t="str">
        <f t="shared" ca="1" si="59"/>
        <v>denomination of returns</v>
      </c>
    </row>
    <row r="79" spans="1:8" ht="12" customHeight="1">
      <c r="A79" s="186" t="s">
        <v>61</v>
      </c>
      <c r="B79" s="186" t="s">
        <v>161</v>
      </c>
      <c r="C79" s="129" t="str">
        <f t="shared" ref="C79:G79" ca="1" si="60">VLOOKUP($B79,INDIRECT("'"&amp;$A$75&amp;"'!F3:P300"),D$1,FALSE)</f>
        <v xml:space="preserve">PERFACCTGROSS_MMDDYYYYHHmmSS
PERFACCTGROSS_ME_MMDDYYYYHHmmSS
PERFACCTNET_MMDDYYYYHHmmSS
PERFACCTNET_ME_MMDDYYYYHHmmSS
PERFAGGGROSS_MMDDYYYYHHmmSS
PERFAGGGROSS_ME_MMDDYYYYHHmmSS
PERFAGGNET_MMDDYYYYHHmmSS
PERFAGGNET_ME_MMDDYYYYHHmmSS </v>
      </c>
      <c r="D79" s="129" t="str">
        <f t="shared" ca="1" si="60"/>
        <v>classifiername</v>
      </c>
      <c r="E79" s="129" t="str">
        <f t="shared" ca="1" si="60"/>
        <v>char(30)</v>
      </c>
      <c r="F79" s="129" t="str">
        <f t="shared" ca="1" si="60"/>
        <v>char(30)</v>
      </c>
      <c r="G79" s="129">
        <f t="shared" ca="1" si="60"/>
        <v>0</v>
      </c>
    </row>
    <row r="80" spans="1:8" ht="12" customHeight="1">
      <c r="A80" s="186" t="s">
        <v>61</v>
      </c>
      <c r="B80" s="186" t="s">
        <v>162</v>
      </c>
      <c r="C80" s="129" t="str">
        <f t="shared" ref="C80:G80" ca="1" si="61">VLOOKUP($B80,INDIRECT("'"&amp;$A$75&amp;"'!F3:P300"),D$1,FALSE)</f>
        <v xml:space="preserve">PERFACCTGROSS_MMDDYYYYHHmmSS
PERFACCTGROSS_ME_MMDDYYYYHHmmSS
PERFACCTNET_MMDDYYYYHHmmSS
PERFACCTNET_ME_MMDDYYYYHHmmSS
PERFAGGGROSS_MMDDYYYYHHmmSS
PERFAGGGROSS_ME_MMDDYYYYHHmmSS
PERFAGGNET_MMDDYYYYHHmmSS
PERFAGGNET_ME_MMDDYYYYHHmmSS </v>
      </c>
      <c r="D80" s="129" t="str">
        <f t="shared" ca="1" si="61"/>
        <v>classifiertype</v>
      </c>
      <c r="E80" s="129" t="str">
        <f t="shared" ca="1" si="61"/>
        <v>CHAR(40)</v>
      </c>
      <c r="F80" s="129" t="str">
        <f t="shared" ca="1" si="61"/>
        <v>char(10)</v>
      </c>
      <c r="G80" s="129">
        <f t="shared" ca="1" si="61"/>
        <v>0</v>
      </c>
    </row>
    <row r="81" spans="1:8" ht="12" customHeight="1">
      <c r="A81" s="186" t="s">
        <v>61</v>
      </c>
      <c r="B81" s="186" t="s">
        <v>163</v>
      </c>
      <c r="C81" s="129" t="str">
        <f t="shared" ref="C81:G81" ca="1" si="62">VLOOKUP($B81,INDIRECT("'"&amp;$A$75&amp;"'!F3:P300"),D$1,FALSE)</f>
        <v xml:space="preserve">PERFACCTGROSS_MMDDYYYYHHmmSS
PERFACCTGROSS_ME_MMDDYYYYHHmmSS
PERFACCTNET_MMDDYYYYHHmmSS
PERFACCTNET_ME_MMDDYYYYHHmmSS
PERFAGGGROSS_MMDDYYYYHHmmSS
PERFAGGGROSS_ME_MMDDYYYYHHmmSS
PERFAGGNET_MMDDYYYYHHmmSS
PERFAGGNET_ME_MMDDYYYYHHmmSS </v>
      </c>
      <c r="D81" s="129" t="str">
        <f t="shared" ca="1" si="62"/>
        <v>inc_date</v>
      </c>
      <c r="E81" s="129" t="str">
        <f t="shared" ca="1" si="62"/>
        <v>MM/DD/YYYY</v>
      </c>
      <c r="F81" s="129" t="str">
        <f t="shared" ca="1" si="62"/>
        <v>MM/DD/YYYY</v>
      </c>
      <c r="G81" s="129" t="str">
        <f t="shared" ca="1" si="62"/>
        <v>inception date of segment</v>
      </c>
    </row>
    <row r="82" spans="1:8" ht="12" customHeight="1">
      <c r="A82" s="186" t="s">
        <v>61</v>
      </c>
      <c r="B82" s="186" t="s">
        <v>164</v>
      </c>
      <c r="C82" s="129" t="str">
        <f t="shared" ref="C82:G82" ca="1" si="63">VLOOKUP($B82,INDIRECT("'"&amp;$A$75&amp;"'!F3:P300"),D$1,FALSE)</f>
        <v xml:space="preserve">PERFACCTGROSS_MMDDYYYYHHmmSS
PERFACCTGROSS_ME_MMDDYYYYHHmmSS
PERFACCTNET_MMDDYYYYHHmmSS
PERFACCTNET_ME_MMDDYYYYHHmmSS
PERFAGGGROSS_MMDDYYYYHHmmSS
PERFAGGGROSS_ME_MMDDYYYYHHmmSS
PERFAGGNET_MMDDYYYYHHmmSS
PERFAGGNET_ME_MMDDYYYYHHmmSS </v>
      </c>
      <c r="D82" s="129" t="str">
        <f t="shared" ca="1" si="63"/>
        <v>current_date</v>
      </c>
      <c r="E82" s="129" t="str">
        <f t="shared" ca="1" si="63"/>
        <v>MM/DD/YYYY</v>
      </c>
      <c r="F82" s="129" t="str">
        <f t="shared" ca="1" si="63"/>
        <v>MM/DD/YYYY</v>
      </c>
      <c r="G82" s="129" t="str">
        <f t="shared" ca="1" si="63"/>
        <v xml:space="preserve">end date </v>
      </c>
    </row>
    <row r="83" spans="1:8" ht="12" customHeight="1">
      <c r="A83" s="186" t="s">
        <v>61</v>
      </c>
      <c r="B83" s="186" t="s">
        <v>165</v>
      </c>
      <c r="C83" s="129" t="str">
        <f t="shared" ref="C83:G83" ca="1" si="64">VLOOKUP($B83,INDIRECT("'"&amp;$A$75&amp;"'!F3:P300"),D$1,FALSE)</f>
        <v xml:space="preserve">PERFACCTGROSS_MMDDYYYYHHmmSS
PERFACCTGROSS_ME_MMDDYYYYHHmmSS
PERFACCTNET_MMDDYYYYHHmmSS
PERFACCTNET_ME_MMDDYYYYHHmmSS
PERFAGGGROSS_MMDDYYYYHHmmSS
PERFAGGGROSS_ME_MMDDYYYYHHmmSS
PERFAGGNET_MMDDYYYYHHmmSS
PERFAGGNET_ME_MMDDYYYYHHmmSS </v>
      </c>
      <c r="D83" s="129" t="str">
        <f t="shared" ca="1" si="64"/>
        <v>rule_no</v>
      </c>
      <c r="E83" s="129" t="str">
        <f t="shared" ca="1" si="64"/>
        <v>int</v>
      </c>
      <c r="F83" s="129" t="str">
        <f t="shared" ca="1" si="64"/>
        <v>int</v>
      </c>
      <c r="G83" s="129" t="str">
        <f t="shared" ca="1" si="64"/>
        <v>rule number for the return segment</v>
      </c>
    </row>
    <row r="84" spans="1:8" ht="12" customHeight="1">
      <c r="A84" s="186" t="s">
        <v>53</v>
      </c>
      <c r="B84" s="186" t="s">
        <v>123</v>
      </c>
      <c r="C84" s="129" t="str">
        <f t="shared" ref="C84:F84" ca="1" si="65">VLOOKUP($B84,INDIRECT("'"&amp;$A$75&amp;"'!F3:P300"),D$1,FALSE)</f>
        <v>Hardcoded</v>
      </c>
      <c r="D84" s="129" t="str">
        <f t="shared" ca="1" si="65"/>
        <v>Map Tenant Id of the tenant "NeubergerBerman_Accounts"</v>
      </c>
      <c r="E84" s="129">
        <f t="shared" ca="1" si="65"/>
        <v>0</v>
      </c>
      <c r="F84" s="129">
        <f t="shared" ca="1" si="65"/>
        <v>0</v>
      </c>
      <c r="H84" s="129">
        <f t="shared" ref="H84:H85" ca="1" si="66">VLOOKUP($B84,INDIRECT("'"&amp;$A$75&amp;"'!F3:P300"),H$1,FALSE)</f>
        <v>0</v>
      </c>
    </row>
    <row r="85" spans="1:8" ht="12" customHeight="1">
      <c r="A85" s="186" t="s">
        <v>53</v>
      </c>
      <c r="B85" s="186" t="s">
        <v>122</v>
      </c>
      <c r="C85" s="129" t="str">
        <f t="shared" ref="C85:F85" ca="1" si="67">VLOOKUP($B85,INDIRECT("'"&amp;$A$75&amp;"'!F3:P300"),D$1,FALSE)</f>
        <v>Hardcoded</v>
      </c>
      <c r="D85" s="129" t="str">
        <f t="shared" ca="1" si="67"/>
        <v>"NeubergerBerman_Accounts"</v>
      </c>
      <c r="E85" s="129">
        <f t="shared" ca="1" si="67"/>
        <v>0</v>
      </c>
      <c r="F85" s="129">
        <f t="shared" ca="1" si="67"/>
        <v>0</v>
      </c>
      <c r="H85" s="129">
        <f t="shared" ca="1" si="66"/>
        <v>0</v>
      </c>
    </row>
    <row r="86" spans="1:8" ht="12" customHeight="1">
      <c r="A86" s="129"/>
      <c r="B86" s="129"/>
      <c r="C86" s="129"/>
      <c r="D86" s="129"/>
      <c r="E86" s="129"/>
      <c r="F86" s="129"/>
      <c r="G86" s="129"/>
      <c r="H86" s="129"/>
    </row>
    <row r="87" spans="1:8" ht="12" customHeight="1">
      <c r="A87" s="129"/>
      <c r="B87" s="129"/>
      <c r="C87" s="129"/>
      <c r="D87" s="129"/>
      <c r="E87" s="129"/>
      <c r="F87" s="129"/>
      <c r="G87" s="129"/>
      <c r="H87" s="129"/>
    </row>
    <row r="88" spans="1:8" ht="18.75" customHeight="1">
      <c r="A88" s="208" t="s">
        <v>166</v>
      </c>
      <c r="B88" s="208"/>
      <c r="C88" s="208"/>
      <c r="D88" s="208"/>
      <c r="E88" s="208"/>
      <c r="F88" s="208"/>
      <c r="G88" s="208"/>
      <c r="H88" s="208"/>
    </row>
    <row r="89" spans="1:8" ht="12" customHeight="1">
      <c r="A89" s="186" t="s">
        <v>61</v>
      </c>
      <c r="B89" s="186" t="s">
        <v>167</v>
      </c>
      <c r="C89" s="129" t="str">
        <f t="shared" ref="C89:G89" ca="1" si="68">VLOOKUP($B89,INDIRECT("'"&amp;$A$88&amp;"'!F3:P300"),D$1,FALSE)</f>
        <v>FAMILY_MMDDYYYYHHmmSS</v>
      </c>
      <c r="D89" s="129" t="str">
        <f t="shared" ca="1" si="68"/>
        <v>RELATIONSHIP_GROUP_NAME</v>
      </c>
      <c r="E89" s="18" t="str">
        <f t="shared" ca="1" si="68"/>
        <v>varchar(80)</v>
      </c>
      <c r="F89" s="18" t="str">
        <f t="shared" ca="1" si="68"/>
        <v>Name of the Relationship Group</v>
      </c>
      <c r="G89" s="18" t="str">
        <f t="shared" ca="1" si="68"/>
        <v>Relationship_Group__c.Name</v>
      </c>
    </row>
    <row r="90" spans="1:8" ht="12" customHeight="1">
      <c r="A90" s="186" t="s">
        <v>61</v>
      </c>
      <c r="B90" s="186" t="s">
        <v>168</v>
      </c>
      <c r="C90" s="129" t="str">
        <f t="shared" ref="C90:G90" ca="1" si="69">VLOOKUP($B90,INDIRECT("'"&amp;$A$88&amp;"'!F3:P300"),D$1,FALSE)</f>
        <v>FAMILY_MMDDYYYYHHmmSS</v>
      </c>
      <c r="D90" s="129" t="str">
        <f t="shared" ca="1" si="69"/>
        <v>RELATIONSHIP_GROUP_ID</v>
      </c>
      <c r="E90" s="18" t="str">
        <f t="shared" ca="1" si="69"/>
        <v>varchar(18)</v>
      </c>
      <c r="F90" s="18" t="str">
        <f t="shared" ca="1" si="69"/>
        <v>18 character alphanumeric unique id</v>
      </c>
      <c r="G90" s="19" t="str">
        <f t="shared" ca="1" si="69"/>
        <v>Relationship_Group__c.Id</v>
      </c>
    </row>
    <row r="91" spans="1:8" ht="12" customHeight="1">
      <c r="A91" s="186" t="s">
        <v>61</v>
      </c>
      <c r="B91" s="186" t="s">
        <v>169</v>
      </c>
      <c r="C91" s="129" t="str">
        <f t="shared" ref="C91:G91" ca="1" si="70">VLOOKUP($B91,INDIRECT("'"&amp;$A$88&amp;"'!F3:P300"),D$1,FALSE)</f>
        <v>FAMILY_MMDDYYYYHHmmSS</v>
      </c>
      <c r="D91" s="129" t="str">
        <f t="shared" ca="1" si="70"/>
        <v>CATEGORY</v>
      </c>
      <c r="E91" s="18" t="str">
        <f t="shared" ca="1" si="70"/>
        <v>varchar(40)</v>
      </c>
      <c r="F91" s="18" t="str">
        <f t="shared" ca="1" si="70"/>
        <v xml:space="preserve">Category of the Relationship Group. It is a dropdown with possible values Family Group
Common Referral Source
Business Associates
Trustees and Beneficiaries
Clients of Accountant/Attorney
Other
</v>
      </c>
      <c r="G91" s="18" t="str">
        <f t="shared" ca="1" si="70"/>
        <v>Relationship_Group__c.Category__c</v>
      </c>
    </row>
    <row r="92" spans="1:8" ht="12" customHeight="1">
      <c r="A92" s="213" t="s">
        <v>59</v>
      </c>
      <c r="B92" s="213" t="s">
        <v>170</v>
      </c>
      <c r="C92" s="214" t="str">
        <f t="shared" ref="C92:H92" ca="1" si="71">VLOOKUP($B92,INDIRECT("'"&amp;$A$88&amp;"'!F3:P300"),C$1,FALSE)</f>
        <v>N</v>
      </c>
      <c r="D92" s="214">
        <f t="shared" ca="1" si="71"/>
        <v>0</v>
      </c>
      <c r="E92" s="214">
        <f t="shared" ca="1" si="71"/>
        <v>0</v>
      </c>
      <c r="F92" s="215">
        <f t="shared" ca="1" si="71"/>
        <v>0</v>
      </c>
      <c r="G92" s="215">
        <f t="shared" ca="1" si="71"/>
        <v>0</v>
      </c>
      <c r="H92" s="215">
        <f t="shared" ca="1" si="71"/>
        <v>0</v>
      </c>
    </row>
    <row r="93" spans="1:8" ht="12" customHeight="1">
      <c r="A93" s="129"/>
      <c r="B93" s="129"/>
      <c r="C93" s="129"/>
      <c r="D93" s="129"/>
      <c r="E93" s="129"/>
      <c r="F93" s="129"/>
      <c r="G93" s="129"/>
      <c r="H93" s="129"/>
    </row>
    <row r="94" spans="1:8" ht="18.75" customHeight="1">
      <c r="A94" s="208" t="s">
        <v>171</v>
      </c>
      <c r="B94" s="208"/>
      <c r="C94" s="208"/>
      <c r="D94" s="208"/>
      <c r="E94" s="208"/>
      <c r="F94" s="208"/>
      <c r="G94" s="208"/>
      <c r="H94" s="208"/>
    </row>
    <row r="95" spans="1:8" ht="12" customHeight="1">
      <c r="A95" s="186" t="s">
        <v>61</v>
      </c>
      <c r="B95" s="186" t="s">
        <v>172</v>
      </c>
      <c r="C95" s="129" t="str">
        <f t="shared" ref="C95:G95" ca="1" si="72">VLOOKUP($B95,INDIRECT("'"&amp;$A$94&amp;"'!F3:P300"),D$1,FALSE)</f>
        <v>FM_MMDDYYYYHHmmSS</v>
      </c>
      <c r="D95" s="129" t="str">
        <f t="shared" ca="1" si="72"/>
        <v>RELATIONSHIP_GROUP_ID</v>
      </c>
      <c r="E95" s="129" t="str">
        <f t="shared" ca="1" si="72"/>
        <v>varchar(50)</v>
      </c>
      <c r="F95" s="129" t="str">
        <f t="shared" ca="1" si="72"/>
        <v>Relationship Group name</v>
      </c>
      <c r="G95" s="129" t="str">
        <f t="shared" ca="1" si="72"/>
        <v>Relationship_Group_Member__c.Relationship_Group__c</v>
      </c>
    </row>
    <row r="96" spans="1:8" ht="12" customHeight="1">
      <c r="A96" s="186" t="s">
        <v>61</v>
      </c>
      <c r="B96" s="186" t="s">
        <v>173</v>
      </c>
      <c r="C96" s="129" t="str">
        <f t="shared" ref="C96:G96" ca="1" si="73">VLOOKUP($B96,INDIRECT("'"&amp;$A$94&amp;"'!F3:P300"),D$1,FALSE)</f>
        <v>FM_MMDDYYYYHHmmSS</v>
      </c>
      <c r="D96" s="129" t="str">
        <f t="shared" ca="1" si="73"/>
        <v>RELATIONSHIP_GROUP_MEMBER_ID</v>
      </c>
      <c r="E96" s="129" t="str">
        <f t="shared" ca="1" si="73"/>
        <v>varchar(18)</v>
      </c>
      <c r="F96" s="129" t="str">
        <f t="shared" ca="1" si="73"/>
        <v>18 character alphanumeric unique id</v>
      </c>
      <c r="G96" s="216" t="str">
        <f t="shared" ca="1" si="73"/>
        <v>Relationship_Group_Member__c.Id</v>
      </c>
    </row>
    <row r="97" spans="1:8" ht="12" customHeight="1">
      <c r="A97" s="186" t="s">
        <v>61</v>
      </c>
      <c r="B97" s="186" t="s">
        <v>174</v>
      </c>
      <c r="C97" s="129" t="str">
        <f t="shared" ref="C97:G97" ca="1" si="74">VLOOKUP($B97,INDIRECT("'"&amp;$A$94&amp;"'!F3:P300"),D$1,FALSE)</f>
        <v>FM_MMDDYYYYHHmmSS</v>
      </c>
      <c r="D97" s="129" t="str">
        <f t="shared" ca="1" si="74"/>
        <v>RELATIONSHIP_GROUP_MEMBER_NAME</v>
      </c>
      <c r="E97" s="129" t="str">
        <f t="shared" ca="1" si="74"/>
        <v>varchar(80)</v>
      </c>
      <c r="F97" s="129" t="str">
        <f t="shared" ca="1" si="74"/>
        <v>Full name of the Group Member</v>
      </c>
      <c r="G97" s="129" t="str">
        <f t="shared" ca="1" si="74"/>
        <v>Relationship_Group_Member__c.Name__c</v>
      </c>
    </row>
    <row r="98" spans="1:8" ht="12" customHeight="1">
      <c r="A98" s="129"/>
      <c r="B98" s="129"/>
      <c r="C98" s="129"/>
      <c r="D98" s="129"/>
      <c r="E98" s="129"/>
      <c r="F98" s="129"/>
      <c r="G98" s="129"/>
      <c r="H98" s="129"/>
    </row>
    <row r="99" spans="1:8" ht="12" customHeight="1">
      <c r="A99" s="129"/>
      <c r="B99" s="129"/>
      <c r="C99" s="129"/>
      <c r="D99" s="129"/>
      <c r="E99" s="129"/>
      <c r="F99" s="129"/>
      <c r="G99" s="129"/>
      <c r="H99" s="129"/>
    </row>
    <row r="100" spans="1:8" ht="12" customHeight="1">
      <c r="A100" s="129"/>
      <c r="B100" s="129"/>
      <c r="C100" s="129"/>
      <c r="D100" s="129"/>
      <c r="E100" s="129"/>
      <c r="F100" s="129"/>
      <c r="G100" s="129"/>
      <c r="H100" s="129"/>
    </row>
    <row r="101" spans="1:8" ht="18.75" customHeight="1">
      <c r="A101" s="208" t="s">
        <v>175</v>
      </c>
      <c r="B101" s="208"/>
      <c r="C101" s="208"/>
      <c r="D101" s="208"/>
      <c r="E101" s="208"/>
      <c r="F101" s="208"/>
      <c r="G101" s="208"/>
      <c r="H101" s="208"/>
    </row>
    <row r="102" spans="1:8" ht="12" customHeight="1">
      <c r="A102" s="209" t="s">
        <v>61</v>
      </c>
      <c r="B102" s="209" t="s">
        <v>118</v>
      </c>
      <c r="C102" s="212" t="e">
        <f t="shared" ref="C102:H102" ca="1" si="75">VLOOKUP($B102,INDIRECT("'"&amp;$A$101&amp;"'!F3:P300"),C$1,FALSE)</f>
        <v>#REF!</v>
      </c>
      <c r="D102" s="212" t="e">
        <f t="shared" ca="1" si="75"/>
        <v>#REF!</v>
      </c>
      <c r="E102" s="212" t="e">
        <f t="shared" ca="1" si="75"/>
        <v>#REF!</v>
      </c>
      <c r="F102" s="212" t="e">
        <f t="shared" ca="1" si="75"/>
        <v>#REF!</v>
      </c>
      <c r="G102" s="212" t="e">
        <f t="shared" ca="1" si="75"/>
        <v>#REF!</v>
      </c>
      <c r="H102" s="212" t="e">
        <f t="shared" ca="1" si="75"/>
        <v>#REF!</v>
      </c>
    </row>
    <row r="103" spans="1:8" ht="12" customHeight="1">
      <c r="A103" s="186" t="s">
        <v>61</v>
      </c>
      <c r="B103" s="186" t="s">
        <v>173</v>
      </c>
      <c r="C103" s="129" t="e">
        <f t="shared" ref="C103:H103" ca="1" si="76">VLOOKUP($B103,INDIRECT("'"&amp;$A$101&amp;"'!F3:P300"),C$1,FALSE)</f>
        <v>#REF!</v>
      </c>
      <c r="D103" s="129" t="e">
        <f t="shared" ca="1" si="76"/>
        <v>#REF!</v>
      </c>
      <c r="E103" s="129" t="e">
        <f t="shared" ca="1" si="76"/>
        <v>#REF!</v>
      </c>
      <c r="F103" s="129" t="e">
        <f t="shared" ca="1" si="76"/>
        <v>#REF!</v>
      </c>
      <c r="G103" s="129" t="e">
        <f t="shared" ca="1" si="76"/>
        <v>#REF!</v>
      </c>
      <c r="H103" s="129" t="e">
        <f t="shared" ca="1" si="76"/>
        <v>#REF!</v>
      </c>
    </row>
    <row r="104" spans="1:8" ht="12" customHeight="1">
      <c r="A104" s="129"/>
      <c r="B104" s="129"/>
      <c r="C104" s="129"/>
      <c r="D104" s="129"/>
      <c r="E104" s="129"/>
      <c r="F104" s="129"/>
      <c r="G104" s="129"/>
      <c r="H104" s="129"/>
    </row>
    <row r="105" spans="1:8" ht="12" customHeight="1">
      <c r="A105" s="129"/>
      <c r="B105" s="129"/>
      <c r="C105" s="129"/>
      <c r="D105" s="129"/>
      <c r="E105" s="129"/>
      <c r="F105" s="129"/>
      <c r="G105" s="129"/>
      <c r="H105" s="129"/>
    </row>
    <row r="106" spans="1:8" ht="12" customHeight="1">
      <c r="A106" s="129"/>
      <c r="B106" s="129"/>
      <c r="C106" s="129"/>
      <c r="D106" s="129"/>
      <c r="E106" s="129"/>
      <c r="F106" s="129"/>
      <c r="G106" s="129"/>
      <c r="H106" s="129"/>
    </row>
    <row r="107" spans="1:8" ht="18.75" customHeight="1">
      <c r="A107" s="208" t="s">
        <v>176</v>
      </c>
      <c r="B107" s="208"/>
      <c r="C107" s="208"/>
      <c r="D107" s="208"/>
      <c r="E107" s="208"/>
      <c r="F107" s="208"/>
      <c r="G107" s="208"/>
      <c r="H107" s="208"/>
    </row>
    <row r="108" spans="1:8" ht="12" customHeight="1">
      <c r="A108" s="213" t="s">
        <v>61</v>
      </c>
      <c r="B108" s="213" t="s">
        <v>170</v>
      </c>
      <c r="C108" s="214" t="str">
        <f t="shared" ref="C108:H108" ca="1" si="77">VLOOKUP($B108,INDIRECT("'"&amp;$A$107&amp;"'!F3:P300"),C$1,FALSE)</f>
        <v>ACCOUNTGROUP_MMDDYYYYHHmmSS.txt</v>
      </c>
      <c r="D108" s="214" t="str">
        <f t="shared" ca="1" si="77"/>
        <v>AGSSHORTNAME</v>
      </c>
      <c r="E108" s="214" t="str">
        <f t="shared" ca="1" si="77"/>
        <v>String</v>
      </c>
      <c r="F108" s="214" t="str">
        <f t="shared" ca="1" si="77"/>
        <v>Unique identifier of Account Group</v>
      </c>
      <c r="G108" s="214">
        <f t="shared" ca="1" si="77"/>
        <v>0</v>
      </c>
      <c r="H108" s="214">
        <f t="shared" ca="1" si="77"/>
        <v>0</v>
      </c>
    </row>
    <row r="109" spans="1:8" ht="12" customHeight="1">
      <c r="A109" s="186" t="s">
        <v>61</v>
      </c>
      <c r="B109" s="186" t="s">
        <v>168</v>
      </c>
      <c r="C109" s="129" t="e">
        <f t="shared" ref="C109:H109" ca="1" si="78">VLOOKUP($B109,INDIRECT("'"&amp;$A$107&amp;"'!F3:P300"),C$1,FALSE)</f>
        <v>#N/A</v>
      </c>
      <c r="D109" s="129" t="e">
        <f t="shared" ca="1" si="78"/>
        <v>#N/A</v>
      </c>
      <c r="E109" s="129" t="e">
        <f t="shared" ca="1" si="78"/>
        <v>#N/A</v>
      </c>
      <c r="F109" s="129" t="e">
        <f t="shared" ca="1" si="78"/>
        <v>#N/A</v>
      </c>
      <c r="G109" s="129" t="e">
        <f t="shared" ca="1" si="78"/>
        <v>#N/A</v>
      </c>
      <c r="H109" s="129" t="e">
        <f t="shared" ca="1" si="78"/>
        <v>#N/A</v>
      </c>
    </row>
    <row r="113" spans="1:8" ht="18.75" customHeight="1">
      <c r="A113" s="208" t="s">
        <v>177</v>
      </c>
      <c r="B113" s="208"/>
      <c r="C113" s="208"/>
      <c r="D113" s="208"/>
      <c r="E113" s="208"/>
      <c r="F113" s="208"/>
      <c r="G113" s="208"/>
      <c r="H113" s="208"/>
    </row>
    <row r="114" spans="1:8" ht="12" customHeight="1">
      <c r="A114" s="186" t="s">
        <v>61</v>
      </c>
      <c r="B114" s="186" t="s">
        <v>178</v>
      </c>
      <c r="C114" s="129" t="str">
        <f t="shared" ref="C114:H114" ca="1" si="79">VLOOKUP($B114,INDIRECT("'"&amp;$A$113&amp;"'!F3:P300"),C$1,FALSE)</f>
        <v>ACCOUNTGROUP_MMDDYYYYHHmmSS.txt</v>
      </c>
      <c r="D114" s="129" t="str">
        <f t="shared" ca="1" si="79"/>
        <v>AGSDESC</v>
      </c>
      <c r="E114" s="18" t="str">
        <f t="shared" ca="1" si="79"/>
        <v>String</v>
      </c>
      <c r="F114" s="18" t="str">
        <f t="shared" ca="1" si="79"/>
        <v xml:space="preserve">Description of Account Group. This is also the External Account Group Name that can be updated by advisors via the Advisor Portal </v>
      </c>
      <c r="G114" s="18">
        <f t="shared" ca="1" si="79"/>
        <v>0</v>
      </c>
      <c r="H114" s="129">
        <f t="shared" ca="1" si="79"/>
        <v>0</v>
      </c>
    </row>
    <row r="115" spans="1:8" ht="12" customHeight="1">
      <c r="A115" s="186" t="s">
        <v>61</v>
      </c>
      <c r="B115" s="186" t="s">
        <v>179</v>
      </c>
      <c r="C115" s="129" t="str">
        <f t="shared" ref="C115:H115" ca="1" si="80">VLOOKUP($B115,INDIRECT("'"&amp;$A$113&amp;"'!F3:P300"),C$1,FALSE)</f>
        <v>ACCOUNTGROUP_MMDDYYYYHHmmSS.txt</v>
      </c>
      <c r="D115" s="129" t="str">
        <f t="shared" ca="1" si="80"/>
        <v>AGSNAME</v>
      </c>
      <c r="E115" s="18" t="str">
        <f t="shared" ca="1" si="80"/>
        <v>String</v>
      </c>
      <c r="F115" s="18" t="str">
        <f t="shared" ca="1" si="80"/>
        <v>Name of Account Group</v>
      </c>
      <c r="G115" s="18">
        <f t="shared" ca="1" si="80"/>
        <v>0</v>
      </c>
      <c r="H115" s="129">
        <f t="shared" ca="1" si="80"/>
        <v>0</v>
      </c>
    </row>
    <row r="116" spans="1:8" ht="12" customHeight="1">
      <c r="A116" s="213" t="s">
        <v>61</v>
      </c>
      <c r="B116" s="213" t="s">
        <v>170</v>
      </c>
      <c r="C116" s="214" t="str">
        <f t="shared" ref="C116:H116" ca="1" si="81">VLOOKUP($B116,INDIRECT("'"&amp;$A$113&amp;"'!F3:P300"),C$1,FALSE)</f>
        <v>ACCOUNTGROUP_MMDDYYYYHHmmSS.txt</v>
      </c>
      <c r="D116" s="214" t="str">
        <f t="shared" ca="1" si="81"/>
        <v>AGSSHORTNAME</v>
      </c>
      <c r="E116" s="215" t="str">
        <f t="shared" ca="1" si="81"/>
        <v>String</v>
      </c>
      <c r="F116" s="215" t="str">
        <f t="shared" ca="1" si="81"/>
        <v>Unique identifier of Account Group</v>
      </c>
      <c r="G116" s="215">
        <f t="shared" ca="1" si="81"/>
        <v>0</v>
      </c>
      <c r="H116" s="214">
        <f t="shared" ca="1" si="81"/>
        <v>0</v>
      </c>
    </row>
    <row r="117" spans="1:8" ht="12" customHeight="1">
      <c r="A117" s="186" t="s">
        <v>61</v>
      </c>
      <c r="B117" s="186" t="s">
        <v>180</v>
      </c>
      <c r="C117" s="129" t="str">
        <f t="shared" ref="C117:H117" ca="1" si="82">VLOOKUP($B117,INDIRECT("'"&amp;$A$113&amp;"'!F3:P300"),C$1,FALSE)</f>
        <v>ACCOUNTGROUP_MMDDYYYYHHmmSS.txt</v>
      </c>
      <c r="D117" s="129" t="str">
        <f t="shared" ca="1" si="82"/>
        <v>AGSTYPE</v>
      </c>
      <c r="E117" s="18" t="str">
        <f t="shared" ca="1" si="82"/>
        <v>String</v>
      </c>
      <c r="F117" s="18" t="str">
        <f t="shared" ca="1" si="82"/>
        <v xml:space="preserve">Type of Account Group. Expected values: Family / Allocation / Retirement / Wash </v>
      </c>
      <c r="G117" s="18">
        <f t="shared" ca="1" si="82"/>
        <v>0</v>
      </c>
      <c r="H117" s="129">
        <f t="shared" ca="1" si="82"/>
        <v>0</v>
      </c>
    </row>
    <row r="118" spans="1:8" ht="12" customHeight="1">
      <c r="A118" s="209" t="s">
        <v>61</v>
      </c>
      <c r="B118" s="209" t="s">
        <v>118</v>
      </c>
      <c r="C118" s="212" t="str">
        <f t="shared" ref="C118:H118" ca="1" si="83">VLOOKUP($B118,INDIRECT("'"&amp;$A$113&amp;"'!F3:P300"),C$1,FALSE)</f>
        <v>ACCOUNTGROUP_MMDDYYYYHHmmSS.txt</v>
      </c>
      <c r="D118" s="212" t="str">
        <f t="shared" ca="1" si="83"/>
        <v>ACCOUNTSHORTNAME</v>
      </c>
      <c r="E118" s="217" t="str">
        <f t="shared" ca="1" si="83"/>
        <v>String</v>
      </c>
      <c r="F118" s="217" t="str">
        <f t="shared" ca="1" si="83"/>
        <v>Unique identifier of Account that is associated with the Account Group</v>
      </c>
      <c r="G118" s="217">
        <f t="shared" ca="1" si="83"/>
        <v>0</v>
      </c>
      <c r="H118" s="212">
        <f t="shared" ca="1" si="83"/>
        <v>0</v>
      </c>
    </row>
  </sheetData>
  <pageMargins left="0.7" right="0.7" top="0.75" bottom="0.75" header="0" footer="0"/>
  <pageSetup orientation="landscape"/>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outlinePr summaryBelow="0" summaryRight="0"/>
  </sheetPr>
  <dimension ref="B3:D17"/>
  <sheetViews>
    <sheetView workbookViewId="0"/>
  </sheetViews>
  <sheetFormatPr defaultColWidth="14.453125" defaultRowHeight="15" customHeight="1"/>
  <cols>
    <col min="1" max="1" width="10.7265625" customWidth="1"/>
    <col min="2" max="2" width="18.7265625" customWidth="1"/>
    <col min="3" max="3" width="19.7265625" customWidth="1"/>
    <col min="4" max="4" width="88.7265625" customWidth="1"/>
    <col min="5" max="6" width="10.7265625" customWidth="1"/>
    <col min="7" max="26" width="17.26953125" customWidth="1"/>
  </cols>
  <sheetData>
    <row r="3" spans="2:4" ht="12" customHeight="1">
      <c r="B3" s="218" t="s">
        <v>181</v>
      </c>
      <c r="C3" s="218"/>
      <c r="D3" s="218"/>
    </row>
    <row r="4" spans="2:4" ht="12" customHeight="1">
      <c r="B4" s="206" t="s">
        <v>182</v>
      </c>
      <c r="C4" s="206" t="s">
        <v>183</v>
      </c>
      <c r="D4" s="206" t="s">
        <v>47</v>
      </c>
    </row>
    <row r="5" spans="2:4" ht="12" customHeight="1">
      <c r="B5" s="5" t="s">
        <v>184</v>
      </c>
      <c r="C5" s="56" t="s">
        <v>185</v>
      </c>
      <c r="D5" s="56" t="s">
        <v>186</v>
      </c>
    </row>
    <row r="6" spans="2:4" ht="12" customHeight="1">
      <c r="B6" s="5" t="s">
        <v>187</v>
      </c>
      <c r="C6" s="56" t="s">
        <v>188</v>
      </c>
      <c r="D6" s="56" t="s">
        <v>189</v>
      </c>
    </row>
    <row r="7" spans="2:4" ht="12" customHeight="1">
      <c r="B7" s="5" t="s">
        <v>190</v>
      </c>
      <c r="C7" s="56" t="s">
        <v>191</v>
      </c>
      <c r="D7" s="56" t="s">
        <v>192</v>
      </c>
    </row>
    <row r="8" spans="2:4" ht="12" customHeight="1">
      <c r="B8" s="5" t="s">
        <v>193</v>
      </c>
      <c r="C8" s="56" t="s">
        <v>194</v>
      </c>
      <c r="D8" s="56" t="s">
        <v>195</v>
      </c>
    </row>
    <row r="9" spans="2:4" ht="12" customHeight="1">
      <c r="B9" s="5" t="s">
        <v>196</v>
      </c>
      <c r="C9" s="56" t="s">
        <v>197</v>
      </c>
      <c r="D9" s="56" t="s">
        <v>198</v>
      </c>
    </row>
    <row r="10" spans="2:4" ht="12" customHeight="1">
      <c r="B10" s="5" t="s">
        <v>199</v>
      </c>
      <c r="C10" s="56" t="s">
        <v>200</v>
      </c>
      <c r="D10" s="56" t="s">
        <v>201</v>
      </c>
    </row>
    <row r="11" spans="2:4" ht="12" customHeight="1">
      <c r="B11" s="5" t="s">
        <v>202</v>
      </c>
      <c r="C11" s="56" t="s">
        <v>203</v>
      </c>
      <c r="D11" s="56" t="s">
        <v>204</v>
      </c>
    </row>
    <row r="12" spans="2:4" ht="12" customHeight="1">
      <c r="B12" s="5" t="s">
        <v>205</v>
      </c>
      <c r="C12" s="56" t="s">
        <v>206</v>
      </c>
      <c r="D12" s="56" t="s">
        <v>207</v>
      </c>
    </row>
    <row r="13" spans="2:4" ht="12" customHeight="1">
      <c r="B13" s="5" t="s">
        <v>208</v>
      </c>
      <c r="C13" s="56" t="s">
        <v>209</v>
      </c>
      <c r="D13" s="56" t="s">
        <v>210</v>
      </c>
    </row>
    <row r="14" spans="2:4" ht="12" customHeight="1">
      <c r="B14" s="5" t="s">
        <v>211</v>
      </c>
      <c r="C14" s="56" t="s">
        <v>212</v>
      </c>
      <c r="D14" s="56" t="s">
        <v>213</v>
      </c>
    </row>
    <row r="15" spans="2:4" ht="12" customHeight="1">
      <c r="B15" s="5" t="s">
        <v>214</v>
      </c>
      <c r="C15" s="56" t="s">
        <v>215</v>
      </c>
      <c r="D15" s="56" t="s">
        <v>216</v>
      </c>
    </row>
    <row r="16" spans="2:4" ht="12" customHeight="1">
      <c r="B16" s="5" t="s">
        <v>217</v>
      </c>
      <c r="C16" s="5" t="s">
        <v>218</v>
      </c>
      <c r="D16" s="5" t="s">
        <v>218</v>
      </c>
    </row>
    <row r="17" spans="2:4" ht="12" customHeight="1">
      <c r="B17" s="5" t="s">
        <v>219</v>
      </c>
      <c r="C17" s="5" t="s">
        <v>220</v>
      </c>
      <c r="D17" s="5"/>
    </row>
  </sheetData>
  <pageMargins left="0.7" right="0.7" top="0.75" bottom="0.75" header="0" footer="0"/>
  <pageSetup orientation="landscape"/>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Y484"/>
  <sheetViews>
    <sheetView workbookViewId="0">
      <pane xSplit="3" ySplit="2" topLeftCell="I453" activePane="bottomRight" state="frozen"/>
      <selection pane="topRight" activeCell="D1" sqref="D1"/>
      <selection pane="bottomLeft" activeCell="A3" sqref="A3"/>
      <selection pane="bottomRight" activeCell="J455" sqref="J455"/>
    </sheetView>
  </sheetViews>
  <sheetFormatPr defaultColWidth="14.453125" defaultRowHeight="15" customHeight="1"/>
  <cols>
    <col min="1" max="1" width="26.54296875" customWidth="1"/>
    <col min="2" max="2" width="26" customWidth="1"/>
    <col min="3" max="3" width="33.453125" customWidth="1"/>
    <col min="4" max="4" width="20.453125" customWidth="1"/>
    <col min="5" max="5" width="8.26953125" customWidth="1"/>
    <col min="6" max="6" width="4.7265625" customWidth="1"/>
    <col min="7" max="7" width="19.7265625" customWidth="1"/>
    <col min="8" max="8" width="26.1796875" customWidth="1"/>
    <col min="9" max="9" width="33.81640625" customWidth="1"/>
    <col min="10" max="10" width="32.1796875" customWidth="1"/>
    <col min="11" max="11" width="14.81640625" customWidth="1"/>
    <col min="12" max="12" width="76.26953125" customWidth="1"/>
    <col min="13" max="13" width="7.7265625" customWidth="1"/>
    <col min="14" max="14" width="26.7265625" customWidth="1"/>
    <col min="15" max="15" width="14.81640625" hidden="1" customWidth="1"/>
    <col min="16" max="16" width="49.7265625" customWidth="1"/>
    <col min="17" max="17" width="24" customWidth="1"/>
    <col min="18" max="18" width="13" customWidth="1"/>
    <col min="19" max="19" width="96.1796875" customWidth="1"/>
    <col min="20" max="20" width="15.1796875" customWidth="1"/>
    <col min="21" max="22" width="19.453125" customWidth="1"/>
    <col min="23" max="26" width="8.81640625" customWidth="1"/>
  </cols>
  <sheetData>
    <row r="1" spans="1:22" ht="12.75" customHeight="1">
      <c r="A1" s="70"/>
      <c r="B1" s="70"/>
      <c r="C1" s="70"/>
      <c r="D1" s="70"/>
      <c r="E1" s="70"/>
      <c r="F1" s="70"/>
      <c r="G1" s="70"/>
      <c r="H1" s="70"/>
      <c r="I1" s="70"/>
      <c r="J1" s="70"/>
      <c r="K1" s="70" t="s">
        <v>221</v>
      </c>
      <c r="L1" s="70"/>
      <c r="M1" s="70"/>
      <c r="N1" s="70"/>
      <c r="O1" s="70" t="s">
        <v>222</v>
      </c>
      <c r="P1" s="70"/>
      <c r="Q1" s="219"/>
      <c r="R1" s="220"/>
      <c r="S1" s="221"/>
      <c r="T1" s="70"/>
      <c r="U1" s="70"/>
      <c r="V1" s="70"/>
    </row>
    <row r="2" spans="1:22" ht="14.25" customHeight="1">
      <c r="A2" s="222" t="s">
        <v>223</v>
      </c>
      <c r="B2" s="222" t="s">
        <v>224</v>
      </c>
      <c r="C2" s="222" t="s">
        <v>225</v>
      </c>
      <c r="D2" s="222" t="s">
        <v>226</v>
      </c>
      <c r="E2" s="222" t="s">
        <v>227</v>
      </c>
      <c r="F2" s="222" t="s">
        <v>228</v>
      </c>
      <c r="G2" s="222" t="s">
        <v>113</v>
      </c>
      <c r="H2" s="223" t="s">
        <v>229</v>
      </c>
      <c r="I2" s="223" t="s">
        <v>230</v>
      </c>
      <c r="J2" s="224" t="s">
        <v>231</v>
      </c>
      <c r="K2" s="225" t="s">
        <v>232</v>
      </c>
      <c r="L2" s="225" t="s">
        <v>233</v>
      </c>
      <c r="M2" s="224" t="s">
        <v>234</v>
      </c>
      <c r="N2" s="224" t="s">
        <v>235</v>
      </c>
      <c r="O2" s="225" t="s">
        <v>236</v>
      </c>
      <c r="P2" s="225" t="s">
        <v>110</v>
      </c>
      <c r="Q2" s="226" t="s">
        <v>237</v>
      </c>
      <c r="R2" s="227" t="s">
        <v>1</v>
      </c>
      <c r="S2" s="228" t="s">
        <v>238</v>
      </c>
      <c r="T2" s="228" t="s">
        <v>239</v>
      </c>
      <c r="U2" s="228" t="s">
        <v>240</v>
      </c>
      <c r="V2" s="228" t="s">
        <v>241</v>
      </c>
    </row>
    <row r="3" spans="1:22" ht="12.75" customHeight="1">
      <c r="A3" s="70" t="s">
        <v>114</v>
      </c>
      <c r="B3" s="56" t="s">
        <v>61</v>
      </c>
      <c r="C3" s="56" t="s">
        <v>115</v>
      </c>
      <c r="D3" s="56" t="s">
        <v>242</v>
      </c>
      <c r="E3" s="56" t="s">
        <v>243</v>
      </c>
      <c r="F3" s="56">
        <v>3</v>
      </c>
      <c r="G3" s="56" t="str">
        <f>VLOOKUP(C3,'1. ACCOUNT'!F:T,15,FALSE)</f>
        <v>The name of the Account that is friendly to the fund, defined by the fund.</v>
      </c>
      <c r="H3" s="20">
        <v>43538</v>
      </c>
      <c r="I3" s="56" t="e">
        <v>#N/A</v>
      </c>
      <c r="J3" s="70" t="str">
        <f ca="1">VLOOKUP($C3,INDIRECT("'"&amp;$A3&amp;"'!F3:AA300"),8,FALSE)</f>
        <v>ACCOUNTFRIENDLYNAME</v>
      </c>
      <c r="K3" s="70" t="e">
        <f t="shared" ref="K3:K257" ca="1" si="0">I3=J3</f>
        <v>#N/A</v>
      </c>
      <c r="L3" s="70"/>
      <c r="M3" s="70">
        <f t="shared" ref="M3:M257" ca="1" si="1">VLOOKUP($C3,INDIRECT("'"&amp;$A3&amp;"'!F3:AA300"),19,FALSE)</f>
        <v>1</v>
      </c>
      <c r="N3" s="70" t="s">
        <v>115</v>
      </c>
      <c r="O3" s="70" t="b">
        <f t="shared" ref="O3:O257" ca="1" si="2">J3=N3</f>
        <v>1</v>
      </c>
      <c r="P3" s="70"/>
      <c r="Q3" s="70" t="str">
        <f t="shared" ref="Q3:Q257" ca="1" si="3">VLOOKUP($C3,INDIRECT("'"&amp;$A3&amp;"'!F3:AA300"),21,FALSE)</f>
        <v xml:space="preserve">Common InterfaceACCOUNT  - NB v0.0 </v>
      </c>
      <c r="R3" s="20">
        <f t="shared" ref="R3:R257" ca="1" si="4">VLOOKUP($C3,INDIRECT("'"&amp;$A3&amp;"'!F3:AC300"),22,FALSE)</f>
        <v>43405</v>
      </c>
      <c r="S3" s="5" t="str">
        <f t="shared" ref="S3:S257" ca="1" si="5">VLOOKUP($C3,INDIRECT("'"&amp;$A3&amp;"'!F3:AC300"),23,FALSE)</f>
        <v>Initial Mapping</v>
      </c>
      <c r="T3" s="70" t="s">
        <v>244</v>
      </c>
      <c r="U3" s="20">
        <v>43535</v>
      </c>
      <c r="V3" s="70" t="s">
        <v>245</v>
      </c>
    </row>
    <row r="4" spans="1:22" ht="12.75" customHeight="1">
      <c r="A4" s="70" t="s">
        <v>114</v>
      </c>
      <c r="B4" s="56" t="s">
        <v>61</v>
      </c>
      <c r="C4" s="56" t="s">
        <v>116</v>
      </c>
      <c r="D4" s="56" t="s">
        <v>246</v>
      </c>
      <c r="E4" s="56" t="s">
        <v>243</v>
      </c>
      <c r="F4" s="56">
        <v>4</v>
      </c>
      <c r="G4" s="56" t="str">
        <f>VLOOKUP(C4,'1. ACCOUNT'!F:T,15,FALSE)</f>
        <v>The full legal name of the account</v>
      </c>
      <c r="H4" s="20">
        <v>43538</v>
      </c>
      <c r="I4" s="56" t="e">
        <v>#N/A</v>
      </c>
      <c r="J4" s="70" t="str">
        <f t="shared" ref="J4:J258" ca="1" si="6">VLOOKUP($C4,INDIRECT("'"&amp;A4&amp;"'!F3:Q300"),8,FALSE)</f>
        <v>ACCOUNTNAME</v>
      </c>
      <c r="K4" s="70" t="e">
        <f t="shared" ca="1" si="0"/>
        <v>#N/A</v>
      </c>
      <c r="L4" s="70"/>
      <c r="M4" s="70">
        <f t="shared" ca="1" si="1"/>
        <v>2</v>
      </c>
      <c r="N4" s="70" t="s">
        <v>116</v>
      </c>
      <c r="O4" s="70" t="b">
        <f t="shared" ca="1" si="2"/>
        <v>1</v>
      </c>
      <c r="P4" s="70"/>
      <c r="Q4" s="70" t="str">
        <f t="shared" ca="1" si="3"/>
        <v xml:space="preserve">Common InterfaceACCOUNT  - NB v0.0 </v>
      </c>
      <c r="R4" s="20">
        <f t="shared" ca="1" si="4"/>
        <v>43405</v>
      </c>
      <c r="S4" s="5" t="str">
        <f t="shared" ca="1" si="5"/>
        <v>Initial Mapping</v>
      </c>
      <c r="T4" s="70" t="s">
        <v>244</v>
      </c>
      <c r="U4" s="20">
        <v>43535</v>
      </c>
      <c r="V4" s="70" t="s">
        <v>245</v>
      </c>
    </row>
    <row r="5" spans="1:22" ht="12.75" customHeight="1">
      <c r="A5" s="70" t="s">
        <v>114</v>
      </c>
      <c r="B5" s="56" t="s">
        <v>61</v>
      </c>
      <c r="C5" s="56" t="s">
        <v>117</v>
      </c>
      <c r="D5" s="56" t="s">
        <v>247</v>
      </c>
      <c r="E5" s="56" t="s">
        <v>243</v>
      </c>
      <c r="F5" s="56">
        <v>5</v>
      </c>
      <c r="G5" s="56" t="str">
        <f>VLOOKUP(C5,'1. ACCOUNT'!F:T,15,FALSE)</f>
        <v>The account number of the prime broker account or custody account (may be Conifer, Goldman, MS etc)</v>
      </c>
      <c r="H5" s="20">
        <v>43538</v>
      </c>
      <c r="I5" s="56" t="e">
        <v>#N/A</v>
      </c>
      <c r="J5" s="70" t="str">
        <f t="shared" ca="1" si="6"/>
        <v>ACCOUNTNUMBER</v>
      </c>
      <c r="K5" s="70" t="e">
        <f t="shared" ca="1" si="0"/>
        <v>#N/A</v>
      </c>
      <c r="L5" s="70"/>
      <c r="M5" s="70">
        <f t="shared" ca="1" si="1"/>
        <v>3</v>
      </c>
      <c r="N5" s="70" t="s">
        <v>117</v>
      </c>
      <c r="O5" s="70" t="b">
        <f t="shared" ca="1" si="2"/>
        <v>1</v>
      </c>
      <c r="P5" s="70"/>
      <c r="Q5" s="70" t="str">
        <f t="shared" ca="1" si="3"/>
        <v xml:space="preserve">Common InterfaceACCOUNT  - NB v0.0 </v>
      </c>
      <c r="R5" s="20">
        <f t="shared" ca="1" si="4"/>
        <v>43405</v>
      </c>
      <c r="S5" s="5" t="str">
        <f t="shared" ca="1" si="5"/>
        <v>Initial Mapping</v>
      </c>
      <c r="T5" s="70" t="s">
        <v>244</v>
      </c>
      <c r="U5" s="20">
        <v>43535</v>
      </c>
      <c r="V5" s="70" t="s">
        <v>245</v>
      </c>
    </row>
    <row r="6" spans="1:22" ht="12.75" customHeight="1">
      <c r="A6" s="70" t="s">
        <v>114</v>
      </c>
      <c r="B6" s="56" t="s">
        <v>61</v>
      </c>
      <c r="C6" s="56" t="s">
        <v>118</v>
      </c>
      <c r="D6" s="56" t="s">
        <v>247</v>
      </c>
      <c r="E6" s="56" t="s">
        <v>243</v>
      </c>
      <c r="F6" s="56">
        <v>9</v>
      </c>
      <c r="G6" s="56" t="str">
        <f>VLOOKUP(C6,'1. ACCOUNT'!F:T,15,FALSE)</f>
        <v>The short name or code (readable) for accounts to aid in matching, identifying and queries. Must be unique across all accounts.</v>
      </c>
      <c r="H6" s="20">
        <v>43538</v>
      </c>
      <c r="I6" s="56" t="e">
        <v>#N/A</v>
      </c>
      <c r="J6" s="70" t="str">
        <f t="shared" ca="1" si="6"/>
        <v>ACCOUNTSHORTNAME</v>
      </c>
      <c r="K6" s="70" t="e">
        <f t="shared" ca="1" si="0"/>
        <v>#N/A</v>
      </c>
      <c r="L6" s="70"/>
      <c r="M6" s="70">
        <f t="shared" ca="1" si="1"/>
        <v>4</v>
      </c>
      <c r="N6" s="70" t="s">
        <v>118</v>
      </c>
      <c r="O6" s="70" t="b">
        <f t="shared" ca="1" si="2"/>
        <v>1</v>
      </c>
      <c r="P6" s="70"/>
      <c r="Q6" s="70" t="str">
        <f t="shared" ca="1" si="3"/>
        <v xml:space="preserve">Common InterfaceACCOUNT  - NB v0.0 </v>
      </c>
      <c r="R6" s="20">
        <f t="shared" ca="1" si="4"/>
        <v>43405</v>
      </c>
      <c r="S6" s="5" t="str">
        <f t="shared" ca="1" si="5"/>
        <v>Initial Mapping</v>
      </c>
      <c r="T6" s="70" t="s">
        <v>244</v>
      </c>
      <c r="U6" s="20">
        <v>43535</v>
      </c>
      <c r="V6" s="70" t="s">
        <v>245</v>
      </c>
    </row>
    <row r="7" spans="1:22" ht="12.75" customHeight="1">
      <c r="A7" s="70" t="s">
        <v>114</v>
      </c>
      <c r="B7" s="56" t="s">
        <v>61</v>
      </c>
      <c r="C7" s="56" t="s">
        <v>248</v>
      </c>
      <c r="D7" s="56" t="s">
        <v>249</v>
      </c>
      <c r="E7" s="56" t="s">
        <v>243</v>
      </c>
      <c r="F7" s="56">
        <v>53</v>
      </c>
      <c r="G7" s="56" t="str">
        <f>VLOOKUP(C7,'1. ACCOUNT'!F:T,15,FALSE)</f>
        <v>Current status of the account</v>
      </c>
      <c r="H7" s="20">
        <v>43538</v>
      </c>
      <c r="I7" s="56" t="e">
        <v>#N/A</v>
      </c>
      <c r="J7" s="70" t="str">
        <f t="shared" ca="1" si="6"/>
        <v>ACCOUNTSTATUS</v>
      </c>
      <c r="K7" s="70" t="e">
        <f t="shared" ca="1" si="0"/>
        <v>#N/A</v>
      </c>
      <c r="L7" s="70"/>
      <c r="M7" s="70">
        <f t="shared" ca="1" si="1"/>
        <v>5</v>
      </c>
      <c r="N7" s="70" t="s">
        <v>248</v>
      </c>
      <c r="O7" s="70" t="b">
        <f t="shared" ca="1" si="2"/>
        <v>1</v>
      </c>
      <c r="P7" s="70"/>
      <c r="Q7" s="70" t="str">
        <f t="shared" ca="1" si="3"/>
        <v xml:space="preserve">Common InterfaceACCOUNT  - NB v0.0 </v>
      </c>
      <c r="R7" s="20">
        <f t="shared" ca="1" si="4"/>
        <v>43405</v>
      </c>
      <c r="S7" s="5" t="str">
        <f t="shared" ca="1" si="5"/>
        <v>Initial Mapping</v>
      </c>
      <c r="T7" s="70" t="s">
        <v>244</v>
      </c>
      <c r="U7" s="20">
        <v>43535</v>
      </c>
      <c r="V7" s="70" t="s">
        <v>245</v>
      </c>
    </row>
    <row r="8" spans="1:22" ht="12.75" customHeight="1">
      <c r="A8" s="70" t="s">
        <v>114</v>
      </c>
      <c r="B8" s="56" t="s">
        <v>61</v>
      </c>
      <c r="C8" s="56" t="s">
        <v>120</v>
      </c>
      <c r="D8" s="56" t="s">
        <v>250</v>
      </c>
      <c r="E8" s="56" t="s">
        <v>243</v>
      </c>
      <c r="F8" s="56">
        <v>28</v>
      </c>
      <c r="G8" s="56" t="str">
        <f>VLOOKUP(C8,'1. ACCOUNT'!F:T,15,FALSE)</f>
        <v>The currency of denomination of the account</v>
      </c>
      <c r="H8" s="20">
        <v>43538</v>
      </c>
      <c r="I8" s="56" t="e">
        <v>#N/A</v>
      </c>
      <c r="J8" s="70" t="str">
        <f t="shared" ca="1" si="6"/>
        <v>BOOKCCY</v>
      </c>
      <c r="K8" s="70" t="e">
        <f t="shared" ca="1" si="0"/>
        <v>#N/A</v>
      </c>
      <c r="L8" s="70"/>
      <c r="M8" s="70">
        <f t="shared" ca="1" si="1"/>
        <v>6</v>
      </c>
      <c r="N8" s="70" t="s">
        <v>120</v>
      </c>
      <c r="O8" s="70" t="b">
        <f t="shared" ca="1" si="2"/>
        <v>1</v>
      </c>
      <c r="P8" s="70"/>
      <c r="Q8" s="70" t="str">
        <f t="shared" ca="1" si="3"/>
        <v xml:space="preserve">Common InterfaceACCOUNT  - NB v0.0 </v>
      </c>
      <c r="R8" s="20">
        <f t="shared" ca="1" si="4"/>
        <v>43405</v>
      </c>
      <c r="S8" s="5" t="str">
        <f t="shared" ca="1" si="5"/>
        <v>Initial Mapping</v>
      </c>
      <c r="T8" s="70" t="s">
        <v>244</v>
      </c>
      <c r="U8" s="20">
        <v>43535</v>
      </c>
      <c r="V8" s="70" t="s">
        <v>245</v>
      </c>
    </row>
    <row r="9" spans="1:22" ht="12.75" customHeight="1">
      <c r="A9" s="70" t="s">
        <v>114</v>
      </c>
      <c r="B9" s="56" t="s">
        <v>59</v>
      </c>
      <c r="C9" s="56" t="s">
        <v>251</v>
      </c>
      <c r="D9" s="56" t="s">
        <v>252</v>
      </c>
      <c r="E9" s="56" t="s">
        <v>243</v>
      </c>
      <c r="F9" s="56">
        <v>2</v>
      </c>
      <c r="G9" s="56" t="str">
        <f>VLOOKUP(C9,'1. ACCOUNT'!F:T,15,FALSE)</f>
        <v>Date the account was closed</v>
      </c>
      <c r="H9" s="20">
        <v>43538</v>
      </c>
      <c r="I9" s="56" t="e">
        <v>#N/A</v>
      </c>
      <c r="J9" s="70" t="str">
        <f t="shared" ca="1" si="6"/>
        <v>ACCOUNTCLOSEDATE</v>
      </c>
      <c r="K9" s="70" t="e">
        <f t="shared" ca="1" si="0"/>
        <v>#N/A</v>
      </c>
      <c r="L9" s="70"/>
      <c r="M9" s="70">
        <f t="shared" ca="1" si="1"/>
        <v>7</v>
      </c>
      <c r="N9" s="70" t="s">
        <v>251</v>
      </c>
      <c r="O9" s="70" t="b">
        <f t="shared" ca="1" si="2"/>
        <v>1</v>
      </c>
      <c r="P9" s="70"/>
      <c r="Q9" s="70" t="str">
        <f t="shared" ca="1" si="3"/>
        <v xml:space="preserve">Common InterfaceACCOUNT  - NB v0.0 </v>
      </c>
      <c r="R9" s="20">
        <f t="shared" ca="1" si="4"/>
        <v>43405</v>
      </c>
      <c r="S9" s="5" t="str">
        <f t="shared" ca="1" si="5"/>
        <v>Initial Mapping</v>
      </c>
      <c r="T9" s="70" t="s">
        <v>244</v>
      </c>
      <c r="U9" s="20">
        <v>43535</v>
      </c>
      <c r="V9" s="70" t="s">
        <v>245</v>
      </c>
    </row>
    <row r="10" spans="1:22" ht="12.75" customHeight="1">
      <c r="A10" s="70" t="s">
        <v>114</v>
      </c>
      <c r="B10" s="56" t="s">
        <v>59</v>
      </c>
      <c r="C10" s="56" t="s">
        <v>253</v>
      </c>
      <c r="D10" s="56" t="s">
        <v>247</v>
      </c>
      <c r="E10" s="56" t="s">
        <v>243</v>
      </c>
      <c r="F10" s="56">
        <v>56</v>
      </c>
      <c r="G10" s="56" t="str">
        <f>VLOOKUP(C10,'1. ACCOUNT'!F:T,15,FALSE)</f>
        <v>The Investment Advisor / Representative code for the account</v>
      </c>
      <c r="H10" s="20">
        <v>43538</v>
      </c>
      <c r="I10" s="56" t="e">
        <v>#N/A</v>
      </c>
      <c r="J10" s="70" t="str">
        <f t="shared" ca="1" si="6"/>
        <v>ACCOUNTMANAGER</v>
      </c>
      <c r="K10" s="70" t="e">
        <f t="shared" ca="1" si="0"/>
        <v>#N/A</v>
      </c>
      <c r="L10" s="70"/>
      <c r="M10" s="70">
        <f t="shared" ca="1" si="1"/>
        <v>8</v>
      </c>
      <c r="N10" s="70" t="s">
        <v>253</v>
      </c>
      <c r="O10" s="70" t="b">
        <f t="shared" ca="1" si="2"/>
        <v>1</v>
      </c>
      <c r="P10" s="70"/>
      <c r="Q10" s="70" t="str">
        <f t="shared" ca="1" si="3"/>
        <v xml:space="preserve">Common InterfaceACCOUNT  - NB v0.0 </v>
      </c>
      <c r="R10" s="20">
        <f t="shared" ca="1" si="4"/>
        <v>43405</v>
      </c>
      <c r="S10" s="5" t="str">
        <f t="shared" ca="1" si="5"/>
        <v>x</v>
      </c>
      <c r="T10" s="70" t="s">
        <v>244</v>
      </c>
      <c r="U10" s="20">
        <v>43535</v>
      </c>
      <c r="V10" s="70" t="s">
        <v>245</v>
      </c>
    </row>
    <row r="11" spans="1:22" ht="12.75" customHeight="1">
      <c r="A11" s="70" t="s">
        <v>114</v>
      </c>
      <c r="B11" s="56" t="s">
        <v>59</v>
      </c>
      <c r="C11" s="56" t="s">
        <v>254</v>
      </c>
      <c r="D11" s="56" t="s">
        <v>255</v>
      </c>
      <c r="E11" s="56" t="s">
        <v>243</v>
      </c>
      <c r="F11" s="56">
        <v>6</v>
      </c>
      <c r="G11" s="56" t="str">
        <f>VLOOKUP(C11,'1. ACCOUNT'!F:T,15,FALSE)</f>
        <v>Date the account was opened</v>
      </c>
      <c r="H11" s="20">
        <v>43538</v>
      </c>
      <c r="I11" s="56" t="e">
        <v>#N/A</v>
      </c>
      <c r="J11" s="70" t="str">
        <f t="shared" ca="1" si="6"/>
        <v>ACCOUNTOPENDATE</v>
      </c>
      <c r="K11" s="70" t="e">
        <f t="shared" ca="1" si="0"/>
        <v>#N/A</v>
      </c>
      <c r="L11" s="70"/>
      <c r="M11" s="70">
        <f t="shared" ca="1" si="1"/>
        <v>9</v>
      </c>
      <c r="N11" s="70" t="s">
        <v>254</v>
      </c>
      <c r="O11" s="70" t="b">
        <f t="shared" ca="1" si="2"/>
        <v>1</v>
      </c>
      <c r="P11" s="70"/>
      <c r="Q11" s="70" t="str">
        <f t="shared" ca="1" si="3"/>
        <v>Common Interface NB v0.9</v>
      </c>
      <c r="R11" s="20">
        <f t="shared" ca="1" si="4"/>
        <v>43550</v>
      </c>
      <c r="S11" s="5">
        <f t="shared" ca="1" si="5"/>
        <v>0</v>
      </c>
      <c r="T11" s="70" t="s">
        <v>244</v>
      </c>
      <c r="U11" s="20">
        <v>43550</v>
      </c>
      <c r="V11" s="70" t="s">
        <v>256</v>
      </c>
    </row>
    <row r="12" spans="1:22" ht="12.75" customHeight="1">
      <c r="A12" s="70" t="s">
        <v>114</v>
      </c>
      <c r="B12" s="56" t="s">
        <v>59</v>
      </c>
      <c r="C12" s="56" t="s">
        <v>257</v>
      </c>
      <c r="D12" s="56" t="s">
        <v>247</v>
      </c>
      <c r="E12" s="56" t="s">
        <v>243</v>
      </c>
      <c r="F12" s="56">
        <v>7</v>
      </c>
      <c r="G12" s="56" t="str">
        <f>VLOOKUP(C12,'1. ACCOUNT'!F:T,15,FALSE)</f>
        <v>Open text to describe the owner of the account</v>
      </c>
      <c r="H12" s="20">
        <v>43538</v>
      </c>
      <c r="I12" s="56" t="e">
        <v>#N/A</v>
      </c>
      <c r="J12" s="70" t="str">
        <f t="shared" ca="1" si="6"/>
        <v>ACCOUNTOWNERDESC</v>
      </c>
      <c r="K12" s="70" t="e">
        <f t="shared" ca="1" si="0"/>
        <v>#N/A</v>
      </c>
      <c r="L12" s="70"/>
      <c r="M12" s="70">
        <f t="shared" ca="1" si="1"/>
        <v>10</v>
      </c>
      <c r="N12" s="70" t="s">
        <v>257</v>
      </c>
      <c r="O12" s="70" t="b">
        <f t="shared" ca="1" si="2"/>
        <v>1</v>
      </c>
      <c r="P12" s="70"/>
      <c r="Q12" s="70" t="str">
        <f t="shared" ca="1" si="3"/>
        <v xml:space="preserve">Common InterfaceACCOUNT  - NB v0.0 </v>
      </c>
      <c r="R12" s="20">
        <f t="shared" ca="1" si="4"/>
        <v>43405</v>
      </c>
      <c r="S12" s="5" t="str">
        <f t="shared" ca="1" si="5"/>
        <v>Initial Mapping</v>
      </c>
      <c r="T12" s="70" t="s">
        <v>244</v>
      </c>
      <c r="U12" s="20">
        <v>43535</v>
      </c>
      <c r="V12" s="70" t="s">
        <v>245</v>
      </c>
    </row>
    <row r="13" spans="1:22" ht="12.75" customHeight="1">
      <c r="A13" s="70" t="s">
        <v>114</v>
      </c>
      <c r="B13" s="56" t="s">
        <v>59</v>
      </c>
      <c r="C13" s="56" t="s">
        <v>258</v>
      </c>
      <c r="D13" s="56" t="s">
        <v>247</v>
      </c>
      <c r="E13" s="56" t="s">
        <v>243</v>
      </c>
      <c r="F13" s="56">
        <v>8</v>
      </c>
      <c r="G13" s="56" t="str">
        <f>VLOOKUP(C13,'1. ACCOUNT'!F:T,15,FALSE)</f>
        <v>Description or categorization of the type of owner of the account.</v>
      </c>
      <c r="H13" s="20">
        <v>43538</v>
      </c>
      <c r="I13" s="56" t="e">
        <v>#N/A</v>
      </c>
      <c r="J13" s="70" t="str">
        <f t="shared" ca="1" si="6"/>
        <v>ACCOUNTOWNERTYPE</v>
      </c>
      <c r="K13" s="70" t="e">
        <f t="shared" ca="1" si="0"/>
        <v>#N/A</v>
      </c>
      <c r="L13" s="70"/>
      <c r="M13" s="70">
        <f t="shared" ca="1" si="1"/>
        <v>11</v>
      </c>
      <c r="N13" s="70" t="s">
        <v>258</v>
      </c>
      <c r="O13" s="70" t="b">
        <f t="shared" ca="1" si="2"/>
        <v>1</v>
      </c>
      <c r="P13" s="70"/>
      <c r="Q13" s="70" t="str">
        <f t="shared" ca="1" si="3"/>
        <v xml:space="preserve">Common InterfaceACCOUNT  - NB v0.0 </v>
      </c>
      <c r="R13" s="20">
        <f t="shared" ca="1" si="4"/>
        <v>43405</v>
      </c>
      <c r="S13" s="5" t="str">
        <f t="shared" ca="1" si="5"/>
        <v>Initial Mapping</v>
      </c>
      <c r="T13" s="70" t="s">
        <v>244</v>
      </c>
      <c r="U13" s="20">
        <v>43535</v>
      </c>
      <c r="V13" s="70" t="s">
        <v>245</v>
      </c>
    </row>
    <row r="14" spans="1:22" ht="12.75" customHeight="1">
      <c r="A14" s="70" t="s">
        <v>114</v>
      </c>
      <c r="B14" s="56" t="s">
        <v>59</v>
      </c>
      <c r="C14" s="56" t="s">
        <v>259</v>
      </c>
      <c r="D14" s="56" t="s">
        <v>247</v>
      </c>
      <c r="E14" s="56" t="s">
        <v>243</v>
      </c>
      <c r="F14" s="56">
        <v>11</v>
      </c>
      <c r="G14" s="56" t="str">
        <f>VLOOKUP(C14,'1. ACCOUNT'!F:T,15,FALSE)</f>
        <v>For reporting purposes, the type of account: e.g. Taxable, IRA, Prime Broker</v>
      </c>
      <c r="H14" s="20">
        <v>43538</v>
      </c>
      <c r="I14" s="56" t="e">
        <v>#N/A</v>
      </c>
      <c r="J14" s="70" t="str">
        <f t="shared" ca="1" si="6"/>
        <v>ACCOUNTTYPE</v>
      </c>
      <c r="K14" s="70" t="e">
        <f t="shared" ca="1" si="0"/>
        <v>#N/A</v>
      </c>
      <c r="L14" s="70"/>
      <c r="M14" s="70">
        <f t="shared" ca="1" si="1"/>
        <v>12</v>
      </c>
      <c r="N14" s="70" t="s">
        <v>259</v>
      </c>
      <c r="O14" s="70" t="b">
        <f t="shared" ca="1" si="2"/>
        <v>1</v>
      </c>
      <c r="P14" s="70"/>
      <c r="Q14" s="70" t="str">
        <f t="shared" ca="1" si="3"/>
        <v xml:space="preserve">Common InterfaceACCOUNT  - NB v0.0 </v>
      </c>
      <c r="R14" s="20">
        <f t="shared" ca="1" si="4"/>
        <v>43405</v>
      </c>
      <c r="S14" s="5" t="str">
        <f t="shared" ca="1" si="5"/>
        <v>Initial Mapping</v>
      </c>
      <c r="T14" s="70" t="s">
        <v>244</v>
      </c>
      <c r="U14" s="20">
        <v>43535</v>
      </c>
      <c r="V14" s="70" t="s">
        <v>245</v>
      </c>
    </row>
    <row r="15" spans="1:22" ht="12.75" customHeight="1">
      <c r="A15" s="70" t="s">
        <v>114</v>
      </c>
      <c r="B15" s="56" t="s">
        <v>59</v>
      </c>
      <c r="C15" s="56" t="s">
        <v>260</v>
      </c>
      <c r="D15" s="56" t="s">
        <v>242</v>
      </c>
      <c r="E15" s="56" t="s">
        <v>243</v>
      </c>
      <c r="F15" s="56">
        <v>29</v>
      </c>
      <c r="G15" s="56" t="str">
        <f>VLOOKUP(C15,'1. ACCOUNT'!F:T,15,FALSE)</f>
        <v>Account Classification (Flexible)</v>
      </c>
      <c r="H15" s="20">
        <v>43538</v>
      </c>
      <c r="I15" s="56" t="e">
        <v>#N/A</v>
      </c>
      <c r="J15" s="70" t="str">
        <f t="shared" ca="1" si="6"/>
        <v>CLASSIFICATION1</v>
      </c>
      <c r="K15" s="70" t="e">
        <f t="shared" ca="1" si="0"/>
        <v>#N/A</v>
      </c>
      <c r="L15" s="70"/>
      <c r="M15" s="70">
        <f t="shared" ca="1" si="1"/>
        <v>13</v>
      </c>
      <c r="N15" s="70" t="s">
        <v>260</v>
      </c>
      <c r="O15" s="70" t="b">
        <f t="shared" ca="1" si="2"/>
        <v>1</v>
      </c>
      <c r="P15" s="70"/>
      <c r="Q15" s="70" t="str">
        <f t="shared" ca="1" si="3"/>
        <v xml:space="preserve">Common InterfaceACCOUNT  - NB v0.0 </v>
      </c>
      <c r="R15" s="20">
        <f t="shared" ca="1" si="4"/>
        <v>43405</v>
      </c>
      <c r="S15" s="5" t="str">
        <f t="shared" ca="1" si="5"/>
        <v>Initial Mapping</v>
      </c>
      <c r="T15" s="70" t="s">
        <v>244</v>
      </c>
      <c r="U15" s="20">
        <v>43535</v>
      </c>
      <c r="V15" s="70" t="s">
        <v>245</v>
      </c>
    </row>
    <row r="16" spans="1:22" ht="12.75" customHeight="1">
      <c r="A16" s="70" t="s">
        <v>114</v>
      </c>
      <c r="B16" s="56" t="s">
        <v>59</v>
      </c>
      <c r="C16" s="56" t="s">
        <v>261</v>
      </c>
      <c r="D16" s="56" t="s">
        <v>262</v>
      </c>
      <c r="E16" s="56" t="s">
        <v>243</v>
      </c>
      <c r="F16" s="56">
        <v>33</v>
      </c>
      <c r="G16" s="56" t="str">
        <f>VLOOKUP(C16,'1. ACCOUNT'!F:T,15,FALSE)</f>
        <v>e.g. LIFO, FIFO, HIFO, Average Cost, etc.</v>
      </c>
      <c r="H16" s="20">
        <v>43538</v>
      </c>
      <c r="I16" s="56" t="e">
        <v>#N/A</v>
      </c>
      <c r="J16" s="70" t="str">
        <f t="shared" ca="1" si="6"/>
        <v>DEFAULTLOTRELIEFMETHOD</v>
      </c>
      <c r="K16" s="70" t="e">
        <f t="shared" ca="1" si="0"/>
        <v>#N/A</v>
      </c>
      <c r="L16" s="70"/>
      <c r="M16" s="70">
        <f t="shared" ca="1" si="1"/>
        <v>14</v>
      </c>
      <c r="N16" s="70" t="s">
        <v>261</v>
      </c>
      <c r="O16" s="70" t="b">
        <f t="shared" ca="1" si="2"/>
        <v>1</v>
      </c>
      <c r="P16" s="70"/>
      <c r="Q16" s="70" t="str">
        <f t="shared" ca="1" si="3"/>
        <v xml:space="preserve">Common InterfaceACCOUNT  - NB v0.0 </v>
      </c>
      <c r="R16" s="20">
        <f t="shared" ca="1" si="4"/>
        <v>43405</v>
      </c>
      <c r="S16" s="5" t="str">
        <f t="shared" ca="1" si="5"/>
        <v>Initial Mapping</v>
      </c>
      <c r="T16" s="70" t="s">
        <v>244</v>
      </c>
      <c r="U16" s="20">
        <v>43535</v>
      </c>
      <c r="V16" s="70" t="s">
        <v>245</v>
      </c>
    </row>
    <row r="17" spans="1:22" ht="12.75" customHeight="1">
      <c r="A17" s="70" t="s">
        <v>114</v>
      </c>
      <c r="B17" s="56" t="s">
        <v>59</v>
      </c>
      <c r="C17" s="56" t="s">
        <v>263</v>
      </c>
      <c r="D17" s="56" t="s">
        <v>264</v>
      </c>
      <c r="E17" s="56" t="s">
        <v>243</v>
      </c>
      <c r="F17" s="56">
        <v>34</v>
      </c>
      <c r="G17" s="56" t="str">
        <f>VLOOKUP(C17,'1. ACCOUNT'!F:T,15,FALSE)</f>
        <v>Country where the account is registered/based</v>
      </c>
      <c r="H17" s="20">
        <v>43538</v>
      </c>
      <c r="I17" s="56" t="e">
        <v>#N/A</v>
      </c>
      <c r="J17" s="70" t="str">
        <f t="shared" ca="1" si="6"/>
        <v>DOMICILECOUNTRY</v>
      </c>
      <c r="K17" s="70" t="e">
        <f t="shared" ca="1" si="0"/>
        <v>#N/A</v>
      </c>
      <c r="L17" s="70"/>
      <c r="M17" s="70">
        <f t="shared" ca="1" si="1"/>
        <v>15</v>
      </c>
      <c r="N17" s="70" t="s">
        <v>263</v>
      </c>
      <c r="O17" s="70" t="b">
        <f t="shared" ca="1" si="2"/>
        <v>1</v>
      </c>
      <c r="P17" s="70"/>
      <c r="Q17" s="70" t="str">
        <f t="shared" ca="1" si="3"/>
        <v xml:space="preserve">Common InterfaceACCOUNT  - NB v0.0 </v>
      </c>
      <c r="R17" s="20">
        <f t="shared" ca="1" si="4"/>
        <v>43405</v>
      </c>
      <c r="S17" s="5" t="str">
        <f t="shared" ca="1" si="5"/>
        <v>Initial Mapping</v>
      </c>
      <c r="T17" s="70" t="s">
        <v>244</v>
      </c>
      <c r="U17" s="20">
        <v>43535</v>
      </c>
      <c r="V17" s="70" t="s">
        <v>245</v>
      </c>
    </row>
    <row r="18" spans="1:22" ht="12.75" customHeight="1">
      <c r="A18" s="70" t="s">
        <v>114</v>
      </c>
      <c r="B18" s="56" t="s">
        <v>59</v>
      </c>
      <c r="C18" s="56" t="s">
        <v>265</v>
      </c>
      <c r="D18" s="56" t="s">
        <v>247</v>
      </c>
      <c r="E18" s="56" t="s">
        <v>243</v>
      </c>
      <c r="F18" s="56">
        <v>37</v>
      </c>
      <c r="G18" s="56" t="str">
        <f>VLOOKUP(C18,'1. ACCOUNT'!F:T,15,FALSE)</f>
        <v>Short Name for the location of the account owner</v>
      </c>
      <c r="H18" s="20">
        <v>43538</v>
      </c>
      <c r="I18" s="56" t="e">
        <v>#N/A</v>
      </c>
      <c r="J18" s="70" t="str">
        <f t="shared" ca="1" si="6"/>
        <v>LOCATION</v>
      </c>
      <c r="K18" s="70" t="e">
        <f t="shared" ca="1" si="0"/>
        <v>#N/A</v>
      </c>
      <c r="L18" s="70"/>
      <c r="M18" s="70">
        <f t="shared" ca="1" si="1"/>
        <v>16</v>
      </c>
      <c r="N18" s="70" t="s">
        <v>265</v>
      </c>
      <c r="O18" s="70" t="b">
        <f t="shared" ca="1" si="2"/>
        <v>1</v>
      </c>
      <c r="P18" s="70"/>
      <c r="Q18" s="70" t="str">
        <f t="shared" ca="1" si="3"/>
        <v xml:space="preserve">Common InterfaceACCOUNT  - NB v0.0 </v>
      </c>
      <c r="R18" s="20">
        <f t="shared" ca="1" si="4"/>
        <v>43405</v>
      </c>
      <c r="S18" s="5" t="str">
        <f t="shared" ca="1" si="5"/>
        <v>Initial Mapping</v>
      </c>
      <c r="T18" s="70" t="s">
        <v>244</v>
      </c>
      <c r="U18" s="20">
        <v>43535</v>
      </c>
      <c r="V18" s="70" t="s">
        <v>245</v>
      </c>
    </row>
    <row r="19" spans="1:22" ht="12.75" customHeight="1">
      <c r="A19" s="70" t="s">
        <v>114</v>
      </c>
      <c r="B19" s="56" t="s">
        <v>59</v>
      </c>
      <c r="C19" s="56" t="s">
        <v>266</v>
      </c>
      <c r="D19" s="56" t="s">
        <v>247</v>
      </c>
      <c r="E19" s="56" t="s">
        <v>243</v>
      </c>
      <c r="F19" s="56">
        <v>40</v>
      </c>
      <c r="G19" s="56" t="str">
        <f>VLOOKUP(C19,'1. ACCOUNT'!F:T,15,FALSE)</f>
        <v>The short name/code for the Broker/Custodian where this account is held</v>
      </c>
      <c r="H19" s="20">
        <v>43538</v>
      </c>
      <c r="I19" s="56" t="e">
        <v>#N/A</v>
      </c>
      <c r="J19" s="70" t="str">
        <f t="shared" ca="1" si="6"/>
        <v>If ACCOUNTSOURCE = "IC Green", perform logic below. Else, leave blank.
If input.PBCODE does not exist, map "NFS"
Otherwise, lookup CodeSetSecure.Value
 where CodeType = EXECUTIONVENUE
 and TenantName = &lt;ETL TenantName, default L1&gt;
 and Code = input.PBCODE
If nothing found in the lookup, map blank value</v>
      </c>
      <c r="K19" s="70" t="e">
        <f t="shared" ca="1" si="0"/>
        <v>#N/A</v>
      </c>
      <c r="L19" s="70"/>
      <c r="M19" s="70">
        <f t="shared" ca="1" si="1"/>
        <v>17</v>
      </c>
      <c r="N19" s="70" t="s">
        <v>266</v>
      </c>
      <c r="O19" s="70" t="b">
        <f t="shared" ca="1" si="2"/>
        <v>0</v>
      </c>
      <c r="P19" s="70"/>
      <c r="Q19" s="70" t="str">
        <f t="shared" ca="1" si="3"/>
        <v xml:space="preserve">Common InterfaceACCOUNT  - NB v0.0 </v>
      </c>
      <c r="R19" s="20">
        <f t="shared" ca="1" si="4"/>
        <v>43405</v>
      </c>
      <c r="S19" s="5" t="str">
        <f t="shared" ca="1" si="5"/>
        <v>Initial Mapping</v>
      </c>
      <c r="T19" s="70" t="s">
        <v>244</v>
      </c>
      <c r="U19" s="20">
        <v>43535</v>
      </c>
      <c r="V19" s="70" t="s">
        <v>245</v>
      </c>
    </row>
    <row r="20" spans="1:22" ht="12.75" customHeight="1">
      <c r="A20" s="70" t="s">
        <v>114</v>
      </c>
      <c r="B20" s="56" t="s">
        <v>55</v>
      </c>
      <c r="C20" s="56" t="s">
        <v>267</v>
      </c>
      <c r="D20" s="56" t="s">
        <v>249</v>
      </c>
      <c r="E20" s="56" t="s">
        <v>243</v>
      </c>
      <c r="F20" s="56"/>
      <c r="G20" s="21" t="str">
        <f>VLOOKUP(C20,'1. ACCOUNT'!F:T,15,FALSE)</f>
        <v>Business unit code.</v>
      </c>
      <c r="H20" s="20">
        <v>43538</v>
      </c>
      <c r="I20" s="56" t="e">
        <v>#N/A</v>
      </c>
      <c r="J20" s="70" t="str">
        <f t="shared" ca="1" si="6"/>
        <v>ACCOUNTDIVISIONCODE</v>
      </c>
      <c r="K20" s="70" t="e">
        <f t="shared" ca="1" si="0"/>
        <v>#N/A</v>
      </c>
      <c r="L20" s="70"/>
      <c r="M20" s="70">
        <f t="shared" ca="1" si="1"/>
        <v>18</v>
      </c>
      <c r="N20" s="70" t="s">
        <v>267</v>
      </c>
      <c r="O20" s="70" t="b">
        <f t="shared" ca="1" si="2"/>
        <v>1</v>
      </c>
      <c r="P20" s="70"/>
      <c r="Q20" s="70" t="str">
        <f t="shared" ca="1" si="3"/>
        <v xml:space="preserve">Common InterfaceACCOUNT  - NB v0.0 </v>
      </c>
      <c r="R20" s="20">
        <f t="shared" ca="1" si="4"/>
        <v>43405</v>
      </c>
      <c r="S20" s="5" t="str">
        <f t="shared" ca="1" si="5"/>
        <v>Initial Mapping</v>
      </c>
      <c r="T20" s="70" t="s">
        <v>244</v>
      </c>
      <c r="U20" s="20">
        <v>43535</v>
      </c>
      <c r="V20" s="70" t="s">
        <v>245</v>
      </c>
    </row>
    <row r="21" spans="1:22" ht="12.75" customHeight="1">
      <c r="A21" s="70" t="s">
        <v>114</v>
      </c>
      <c r="B21" s="56" t="s">
        <v>55</v>
      </c>
      <c r="C21" s="56" t="s">
        <v>268</v>
      </c>
      <c r="D21" s="56" t="s">
        <v>247</v>
      </c>
      <c r="E21" s="56" t="s">
        <v>243</v>
      </c>
      <c r="F21" s="56"/>
      <c r="G21" s="21" t="str">
        <f>VLOOKUP(C21,'1. ACCOUNT'!F:T,15,FALSE)</f>
        <v>Business unit name.</v>
      </c>
      <c r="H21" s="20">
        <v>43538</v>
      </c>
      <c r="I21" s="56" t="e">
        <v>#N/A</v>
      </c>
      <c r="J21" s="70" t="str">
        <f t="shared" ca="1" si="6"/>
        <v>ACCOUNTDIVISIONNAME</v>
      </c>
      <c r="K21" s="70" t="e">
        <f t="shared" ca="1" si="0"/>
        <v>#N/A</v>
      </c>
      <c r="L21" s="70"/>
      <c r="M21" s="70">
        <f t="shared" ca="1" si="1"/>
        <v>19</v>
      </c>
      <c r="N21" s="70" t="s">
        <v>268</v>
      </c>
      <c r="O21" s="70" t="b">
        <f t="shared" ca="1" si="2"/>
        <v>1</v>
      </c>
      <c r="P21" s="70"/>
      <c r="Q21" s="70" t="str">
        <f t="shared" ca="1" si="3"/>
        <v xml:space="preserve">Common InterfaceACCOUNT  - NB v0.0 </v>
      </c>
      <c r="R21" s="20">
        <f t="shared" ca="1" si="4"/>
        <v>43405</v>
      </c>
      <c r="S21" s="5" t="str">
        <f t="shared" ca="1" si="5"/>
        <v>Initial Mapping</v>
      </c>
      <c r="T21" s="70" t="s">
        <v>244</v>
      </c>
      <c r="U21" s="20">
        <v>43535</v>
      </c>
      <c r="V21" s="70" t="s">
        <v>245</v>
      </c>
    </row>
    <row r="22" spans="1:22" ht="12.75" customHeight="1">
      <c r="A22" s="70" t="s">
        <v>114</v>
      </c>
      <c r="B22" s="56" t="s">
        <v>55</v>
      </c>
      <c r="C22" s="56" t="s">
        <v>269</v>
      </c>
      <c r="D22" s="56" t="s">
        <v>247</v>
      </c>
      <c r="E22" s="56" t="s">
        <v>243</v>
      </c>
      <c r="F22" s="56">
        <v>12</v>
      </c>
      <c r="G22" s="56" t="str">
        <f>VLOOKUP(C22,'1. ACCOUNT'!F:T,15,FALSE)</f>
        <v>Alternative System Identifiers for reconciliation with 3rd parties</v>
      </c>
      <c r="H22" s="20">
        <v>43538</v>
      </c>
      <c r="I22" s="56" t="e">
        <v>#N/A</v>
      </c>
      <c r="J22" s="70" t="str">
        <f t="shared" ca="1" si="6"/>
        <v>ALTSYSTEMID1</v>
      </c>
      <c r="K22" s="70" t="e">
        <f t="shared" ca="1" si="0"/>
        <v>#N/A</v>
      </c>
      <c r="L22" s="70"/>
      <c r="M22" s="70">
        <f t="shared" ca="1" si="1"/>
        <v>20</v>
      </c>
      <c r="N22" s="70" t="s">
        <v>269</v>
      </c>
      <c r="O22" s="70" t="b">
        <f t="shared" ca="1" si="2"/>
        <v>1</v>
      </c>
      <c r="P22" s="70"/>
      <c r="Q22" s="70" t="str">
        <f t="shared" ca="1" si="3"/>
        <v xml:space="preserve">Common InterfaceACCOUNT  - NB v0.0 </v>
      </c>
      <c r="R22" s="20">
        <f t="shared" ca="1" si="4"/>
        <v>43405</v>
      </c>
      <c r="S22" s="5" t="str">
        <f t="shared" ca="1" si="5"/>
        <v>Initial Mapping</v>
      </c>
      <c r="T22" s="70" t="s">
        <v>244</v>
      </c>
      <c r="U22" s="20">
        <v>43535</v>
      </c>
      <c r="V22" s="70" t="s">
        <v>245</v>
      </c>
    </row>
    <row r="23" spans="1:22" ht="12.75" customHeight="1">
      <c r="A23" s="70" t="s">
        <v>114</v>
      </c>
      <c r="B23" s="56" t="s">
        <v>55</v>
      </c>
      <c r="C23" s="56" t="s">
        <v>270</v>
      </c>
      <c r="D23" s="56" t="s">
        <v>264</v>
      </c>
      <c r="E23" s="56" t="s">
        <v>243</v>
      </c>
      <c r="F23" s="56">
        <v>30</v>
      </c>
      <c r="G23" s="56" t="str">
        <f>VLOOKUP(C23,'1. ACCOUNT'!F:T,15,FALSE)</f>
        <v>Account Classification (Flexible)</v>
      </c>
      <c r="H23" s="20">
        <v>43538</v>
      </c>
      <c r="I23" s="56" t="e">
        <v>#N/A</v>
      </c>
      <c r="J23" s="70" t="str">
        <f t="shared" ca="1" si="6"/>
        <v>[Reserved for Jupiter Functionality]
Benchmark Name</v>
      </c>
      <c r="K23" s="70" t="e">
        <f t="shared" ca="1" si="0"/>
        <v>#N/A</v>
      </c>
      <c r="L23" s="70"/>
      <c r="M23" s="70">
        <f t="shared" ca="1" si="1"/>
        <v>21</v>
      </c>
      <c r="N23" s="70" t="s">
        <v>270</v>
      </c>
      <c r="O23" s="70" t="b">
        <f t="shared" ca="1" si="2"/>
        <v>0</v>
      </c>
      <c r="P23" s="70"/>
      <c r="Q23" s="70" t="str">
        <f t="shared" ca="1" si="3"/>
        <v xml:space="preserve">Common InterfaceACCOUNT  - NB v0.0 </v>
      </c>
      <c r="R23" s="20">
        <f t="shared" ca="1" si="4"/>
        <v>43405</v>
      </c>
      <c r="S23" s="5" t="str">
        <f t="shared" ca="1" si="5"/>
        <v>Initial Mapping</v>
      </c>
      <c r="T23" s="70" t="s">
        <v>244</v>
      </c>
      <c r="U23" s="20">
        <v>43535</v>
      </c>
      <c r="V23" s="70" t="s">
        <v>245</v>
      </c>
    </row>
    <row r="24" spans="1:22" ht="12.75" customHeight="1">
      <c r="A24" s="70" t="s">
        <v>114</v>
      </c>
      <c r="B24" s="56" t="s">
        <v>55</v>
      </c>
      <c r="C24" s="56" t="s">
        <v>271</v>
      </c>
      <c r="D24" s="56" t="s">
        <v>247</v>
      </c>
      <c r="E24" s="56" t="s">
        <v>243</v>
      </c>
      <c r="F24" s="56"/>
      <c r="G24" s="21" t="str">
        <f>VLOOKUP(C24,'1. ACCOUNT'!F:T,15,FALSE)</f>
        <v>Client tax status for the purposes of the specific account.</v>
      </c>
      <c r="H24" s="20">
        <v>43538</v>
      </c>
      <c r="I24" s="56" t="e">
        <v>#N/A</v>
      </c>
      <c r="J24" s="70" t="str">
        <f t="shared" ca="1" si="6"/>
        <v>CUSTOMERTAXSTATUS</v>
      </c>
      <c r="K24" s="70" t="e">
        <f t="shared" ca="1" si="0"/>
        <v>#N/A</v>
      </c>
      <c r="L24" s="70"/>
      <c r="M24" s="70">
        <f t="shared" ca="1" si="1"/>
        <v>22</v>
      </c>
      <c r="N24" s="70" t="s">
        <v>271</v>
      </c>
      <c r="O24" s="70" t="b">
        <f t="shared" ca="1" si="2"/>
        <v>1</v>
      </c>
      <c r="P24" s="70"/>
      <c r="Q24" s="70" t="str">
        <f t="shared" ca="1" si="3"/>
        <v xml:space="preserve">Common InterfaceACCOUNT  - NB v0.0 </v>
      </c>
      <c r="R24" s="20">
        <f t="shared" ca="1" si="4"/>
        <v>43405</v>
      </c>
      <c r="S24" s="5" t="str">
        <f t="shared" ca="1" si="5"/>
        <v>Initial Mapping</v>
      </c>
      <c r="T24" s="70" t="s">
        <v>244</v>
      </c>
      <c r="U24" s="20">
        <v>43535</v>
      </c>
      <c r="V24" s="70" t="s">
        <v>245</v>
      </c>
    </row>
    <row r="25" spans="1:22" ht="12.75" customHeight="1">
      <c r="A25" s="70" t="s">
        <v>114</v>
      </c>
      <c r="B25" s="56" t="s">
        <v>55</v>
      </c>
      <c r="C25" s="56" t="s">
        <v>272</v>
      </c>
      <c r="D25" s="56" t="s">
        <v>273</v>
      </c>
      <c r="E25" s="56" t="s">
        <v>243</v>
      </c>
      <c r="F25" s="56"/>
      <c r="G25" s="21" t="str">
        <f>VLOOKUP(C25,'1. ACCOUNT'!F:T,15,FALSE)</f>
        <v>State where the account is registered/based,</v>
      </c>
      <c r="H25" s="20">
        <v>43538</v>
      </c>
      <c r="I25" s="56" t="e">
        <v>#N/A</v>
      </c>
      <c r="J25" s="70" t="str">
        <f t="shared" ca="1" si="6"/>
        <v>DOMICILESTATE</v>
      </c>
      <c r="K25" s="70" t="e">
        <f t="shared" ca="1" si="0"/>
        <v>#N/A</v>
      </c>
      <c r="L25" s="70"/>
      <c r="M25" s="70">
        <f t="shared" ca="1" si="1"/>
        <v>23</v>
      </c>
      <c r="N25" s="70" t="s">
        <v>272</v>
      </c>
      <c r="O25" s="70" t="b">
        <f t="shared" ca="1" si="2"/>
        <v>1</v>
      </c>
      <c r="P25" s="70"/>
      <c r="Q25" s="70" t="str">
        <f t="shared" ca="1" si="3"/>
        <v xml:space="preserve">Common InterfaceACCOUNT  - NB v0.0 </v>
      </c>
      <c r="R25" s="20">
        <f t="shared" ca="1" si="4"/>
        <v>43405</v>
      </c>
      <c r="S25" s="5" t="str">
        <f t="shared" ca="1" si="5"/>
        <v>Initial Mapping</v>
      </c>
      <c r="T25" s="70" t="s">
        <v>244</v>
      </c>
      <c r="U25" s="20">
        <v>43535</v>
      </c>
      <c r="V25" s="70" t="s">
        <v>245</v>
      </c>
    </row>
    <row r="26" spans="1:22" ht="12.75" customHeight="1">
      <c r="A26" s="70" t="s">
        <v>114</v>
      </c>
      <c r="B26" s="56" t="s">
        <v>55</v>
      </c>
      <c r="C26" s="56" t="s">
        <v>274</v>
      </c>
      <c r="D26" s="56" t="s">
        <v>247</v>
      </c>
      <c r="E26" s="56" t="s">
        <v>243</v>
      </c>
      <c r="F26" s="56"/>
      <c r="G26" s="56" t="str">
        <f>VLOOKUP(C26,'1. ACCOUNT'!F:T,15,FALSE)</f>
        <v>The full name/code for the Broker/Custodian where this account is held</v>
      </c>
      <c r="H26" s="20">
        <v>43538</v>
      </c>
      <c r="I26" s="56" t="e">
        <v>#N/A</v>
      </c>
      <c r="J26" s="70" t="str">
        <f t="shared" ca="1" si="6"/>
        <v>If ACCOUNTSOURCE = "IC Green", perform logic below. Else, leave blank.
If input.PBCODE does not exist, map "NFS"
Otherwise, lookup CodeSetSecure.Value2
 where CodeType = EXECUTIONVENUE
 and TenantName = &lt;ETL TenantName, default L1&gt;
 and Code = input.PBCODE
If nothing found in the lookup, map input.PBNAME</v>
      </c>
      <c r="K26" s="70" t="e">
        <f t="shared" ca="1" si="0"/>
        <v>#N/A</v>
      </c>
      <c r="L26" s="70"/>
      <c r="M26" s="70">
        <f t="shared" ca="1" si="1"/>
        <v>24</v>
      </c>
      <c r="N26" s="70" t="s">
        <v>274</v>
      </c>
      <c r="O26" s="70" t="b">
        <f t="shared" ca="1" si="2"/>
        <v>0</v>
      </c>
      <c r="P26" s="70"/>
      <c r="Q26" s="70" t="str">
        <f t="shared" ca="1" si="3"/>
        <v xml:space="preserve">Common InterfaceACCOUNT  - NB v0.0 </v>
      </c>
      <c r="R26" s="20">
        <f t="shared" ca="1" si="4"/>
        <v>43405</v>
      </c>
      <c r="S26" s="5" t="str">
        <f t="shared" ca="1" si="5"/>
        <v>Initial Mapping</v>
      </c>
      <c r="T26" s="70" t="s">
        <v>244</v>
      </c>
      <c r="U26" s="20">
        <v>43535</v>
      </c>
      <c r="V26" s="70" t="s">
        <v>245</v>
      </c>
    </row>
    <row r="27" spans="1:22" ht="12.75" customHeight="1">
      <c r="A27" s="70" t="s">
        <v>114</v>
      </c>
      <c r="B27" s="56" t="s">
        <v>55</v>
      </c>
      <c r="C27" s="56" t="s">
        <v>275</v>
      </c>
      <c r="D27" s="56" t="s">
        <v>276</v>
      </c>
      <c r="E27" s="56" t="s">
        <v>243</v>
      </c>
      <c r="F27" s="56"/>
      <c r="G27" s="21" t="str">
        <f>VLOOKUP(C27,'1. ACCOUNT'!F:T,15,FALSE)</f>
        <v>Discretionary account status e.g. Full etc.</v>
      </c>
      <c r="H27" s="20">
        <v>43538</v>
      </c>
      <c r="I27" s="56" t="e">
        <v>#N/A</v>
      </c>
      <c r="J27" s="70" t="str">
        <f t="shared" ca="1" si="6"/>
        <v>DISCRETIONARYSTATUS</v>
      </c>
      <c r="K27" s="70" t="e">
        <f t="shared" ca="1" si="0"/>
        <v>#N/A</v>
      </c>
      <c r="L27" s="70"/>
      <c r="M27" s="70">
        <f t="shared" ca="1" si="1"/>
        <v>25</v>
      </c>
      <c r="N27" s="70" t="s">
        <v>275</v>
      </c>
      <c r="O27" s="70" t="b">
        <f t="shared" ca="1" si="2"/>
        <v>1</v>
      </c>
      <c r="P27" s="70"/>
      <c r="Q27" s="70" t="str">
        <f t="shared" ca="1" si="3"/>
        <v xml:space="preserve">Common InterfaceACCOUNT  - NB v0.0 </v>
      </c>
      <c r="R27" s="20">
        <f t="shared" ca="1" si="4"/>
        <v>43405</v>
      </c>
      <c r="S27" s="5" t="str">
        <f t="shared" ca="1" si="5"/>
        <v>Initial Mapping</v>
      </c>
      <c r="T27" s="70" t="s">
        <v>244</v>
      </c>
      <c r="U27" s="20">
        <v>43535</v>
      </c>
      <c r="V27" s="70" t="s">
        <v>245</v>
      </c>
    </row>
    <row r="28" spans="1:22" ht="12.75" customHeight="1">
      <c r="A28" s="70" t="s">
        <v>114</v>
      </c>
      <c r="B28" s="56" t="s">
        <v>55</v>
      </c>
      <c r="C28" s="56" t="s">
        <v>277</v>
      </c>
      <c r="D28" s="56" t="s">
        <v>278</v>
      </c>
      <c r="E28" s="56" t="s">
        <v>243</v>
      </c>
      <c r="F28" s="56"/>
      <c r="G28" s="56" t="str">
        <f>VLOOKUP(C28,'1. ACCOUNT'!F:T,15,FALSE)</f>
        <v>Account assets include in Proxy voting (flag).</v>
      </c>
      <c r="H28" s="20">
        <v>43538</v>
      </c>
      <c r="I28" s="56" t="e">
        <v>#N/A</v>
      </c>
      <c r="J28" s="70" t="str">
        <f t="shared" ca="1" si="6"/>
        <v>PROXYVOTING</v>
      </c>
      <c r="K28" s="70" t="e">
        <f t="shared" ca="1" si="0"/>
        <v>#N/A</v>
      </c>
      <c r="L28" s="70" t="s">
        <v>279</v>
      </c>
      <c r="M28" s="70">
        <f t="shared" ca="1" si="1"/>
        <v>26</v>
      </c>
      <c r="N28" s="70" t="s">
        <v>277</v>
      </c>
      <c r="O28" s="70" t="b">
        <f t="shared" ca="1" si="2"/>
        <v>1</v>
      </c>
      <c r="P28" s="70"/>
      <c r="Q28" s="70" t="str">
        <f t="shared" ca="1" si="3"/>
        <v xml:space="preserve">Common InterfaceACCOUNT  - NB v0.0 </v>
      </c>
      <c r="R28" s="20">
        <f t="shared" ca="1" si="4"/>
        <v>43405</v>
      </c>
      <c r="S28" s="70" t="str">
        <f t="shared" ca="1" si="5"/>
        <v>3/12 -RP from IC advised names in the ETL Name &amp; NB Field name match.  Waiting confirm this is correct.</v>
      </c>
      <c r="T28" s="70" t="s">
        <v>244</v>
      </c>
      <c r="U28" s="20">
        <v>43550</v>
      </c>
      <c r="V28" s="70" t="s">
        <v>256</v>
      </c>
    </row>
    <row r="29" spans="1:22" ht="12.75" customHeight="1">
      <c r="A29" s="70" t="s">
        <v>114</v>
      </c>
      <c r="B29" s="56" t="s">
        <v>55</v>
      </c>
      <c r="C29" s="56" t="s">
        <v>280</v>
      </c>
      <c r="D29" s="56" t="s">
        <v>252</v>
      </c>
      <c r="E29" s="56" t="s">
        <v>243</v>
      </c>
      <c r="F29" s="56"/>
      <c r="G29" s="21" t="str">
        <f>VLOOKUP(C29,'1. ACCOUNT'!F:T,15,FALSE)</f>
        <v>User defined date (Flexible)</v>
      </c>
      <c r="H29" s="20">
        <v>43538</v>
      </c>
      <c r="I29" s="56" t="e">
        <v>#N/A</v>
      </c>
      <c r="J29" s="70" t="str">
        <f t="shared" ca="1" si="6"/>
        <v>USERDEFINEDDATE1</v>
      </c>
      <c r="K29" s="70" t="e">
        <f t="shared" ca="1" si="0"/>
        <v>#N/A</v>
      </c>
      <c r="L29" s="70" t="s">
        <v>279</v>
      </c>
      <c r="M29" s="70">
        <f t="shared" ca="1" si="1"/>
        <v>27</v>
      </c>
      <c r="N29" s="70" t="s">
        <v>280</v>
      </c>
      <c r="O29" s="70" t="b">
        <f t="shared" ca="1" si="2"/>
        <v>1</v>
      </c>
      <c r="P29" s="70"/>
      <c r="Q29" s="70" t="str">
        <f t="shared" ca="1" si="3"/>
        <v>Common Interface NB v0.9</v>
      </c>
      <c r="R29" s="20">
        <f t="shared" ca="1" si="4"/>
        <v>43550</v>
      </c>
      <c r="S29" s="70">
        <f t="shared" ca="1" si="5"/>
        <v>0</v>
      </c>
      <c r="T29" s="70" t="s">
        <v>244</v>
      </c>
      <c r="U29" s="20">
        <v>43550</v>
      </c>
      <c r="V29" s="70" t="s">
        <v>256</v>
      </c>
    </row>
    <row r="30" spans="1:22" ht="12.75" customHeight="1">
      <c r="A30" s="219" t="s">
        <v>114</v>
      </c>
      <c r="B30" s="229" t="s">
        <v>281</v>
      </c>
      <c r="C30" s="230" t="s">
        <v>282</v>
      </c>
      <c r="D30" s="231" t="s">
        <v>252</v>
      </c>
      <c r="E30" s="229" t="s">
        <v>243</v>
      </c>
      <c r="F30" s="229"/>
      <c r="G30" s="229" t="e">
        <f>VLOOKUP(C30,'1. ACCOUNT'!F:T,15,FALSE)</f>
        <v>#N/A</v>
      </c>
      <c r="H30" s="220">
        <v>43538</v>
      </c>
      <c r="I30" s="229" t="e">
        <v>#N/A</v>
      </c>
      <c r="J30" s="219" t="e">
        <f t="shared" ca="1" si="6"/>
        <v>#N/A</v>
      </c>
      <c r="K30" s="219" t="e">
        <f t="shared" ca="1" si="0"/>
        <v>#N/A</v>
      </c>
      <c r="L30" s="219" t="s">
        <v>279</v>
      </c>
      <c r="M30" s="219" t="e">
        <f t="shared" ca="1" si="1"/>
        <v>#N/A</v>
      </c>
      <c r="N30" s="219" t="s">
        <v>280</v>
      </c>
      <c r="O30" s="219" t="e">
        <f t="shared" ca="1" si="2"/>
        <v>#N/A</v>
      </c>
      <c r="P30" s="219"/>
      <c r="Q30" s="219" t="e">
        <f t="shared" ca="1" si="3"/>
        <v>#N/A</v>
      </c>
      <c r="R30" s="220" t="e">
        <f t="shared" ca="1" si="4"/>
        <v>#N/A</v>
      </c>
      <c r="S30" s="219" t="e">
        <f t="shared" ca="1" si="5"/>
        <v>#N/A</v>
      </c>
      <c r="T30" s="70"/>
      <c r="U30" s="20"/>
      <c r="V30" s="70"/>
    </row>
    <row r="31" spans="1:22" ht="12.75" customHeight="1">
      <c r="A31" s="219" t="s">
        <v>114</v>
      </c>
      <c r="B31" s="229" t="s">
        <v>281</v>
      </c>
      <c r="C31" s="230" t="s">
        <v>283</v>
      </c>
      <c r="D31" s="231" t="s">
        <v>252</v>
      </c>
      <c r="E31" s="229" t="s">
        <v>243</v>
      </c>
      <c r="F31" s="229"/>
      <c r="G31" s="232">
        <f>VLOOKUP(C31,'1. ACCOUNT'!F:T,15,FALSE)</f>
        <v>0</v>
      </c>
      <c r="H31" s="220">
        <v>43538</v>
      </c>
      <c r="I31" s="229" t="e">
        <v>#N/A</v>
      </c>
      <c r="J31" s="219" t="str">
        <f t="shared" ca="1" si="6"/>
        <v>BILLINGINCEPTIONDATE</v>
      </c>
      <c r="K31" s="219" t="e">
        <f t="shared" ca="1" si="0"/>
        <v>#N/A</v>
      </c>
      <c r="L31" s="219" t="s">
        <v>279</v>
      </c>
      <c r="M31" s="219">
        <f t="shared" ca="1" si="1"/>
        <v>0</v>
      </c>
      <c r="N31" s="219" t="s">
        <v>280</v>
      </c>
      <c r="O31" s="219" t="b">
        <f t="shared" ca="1" si="2"/>
        <v>0</v>
      </c>
      <c r="P31" s="219"/>
      <c r="Q31" s="219" t="str">
        <f t="shared" ca="1" si="3"/>
        <v>Common Interface NB v1.2</v>
      </c>
      <c r="R31" s="220">
        <f t="shared" ca="1" si="4"/>
        <v>43607</v>
      </c>
      <c r="S31" s="219" t="str">
        <f t="shared" ca="1" si="5"/>
        <v>Updated based on CC-NB 01 needed for accountgroupautomation</v>
      </c>
      <c r="T31" s="70"/>
      <c r="U31" s="20"/>
      <c r="V31" s="70"/>
    </row>
    <row r="32" spans="1:22" ht="12.75" customHeight="1">
      <c r="A32" s="219" t="s">
        <v>114</v>
      </c>
      <c r="B32" s="229" t="s">
        <v>281</v>
      </c>
      <c r="C32" s="230" t="s">
        <v>284</v>
      </c>
      <c r="D32" s="231" t="s">
        <v>252</v>
      </c>
      <c r="E32" s="229" t="s">
        <v>243</v>
      </c>
      <c r="F32" s="229"/>
      <c r="G32" s="232">
        <f>VLOOKUP(C32,'1. ACCOUNT'!F:T,15,FALSE)</f>
        <v>0</v>
      </c>
      <c r="H32" s="220">
        <v>43538</v>
      </c>
      <c r="I32" s="229" t="e">
        <v>#N/A</v>
      </c>
      <c r="J32" s="219" t="str">
        <f t="shared" ca="1" si="6"/>
        <v>LASTASSETTRANSFERINDATE</v>
      </c>
      <c r="K32" s="219" t="e">
        <f t="shared" ca="1" si="0"/>
        <v>#N/A</v>
      </c>
      <c r="L32" s="219" t="s">
        <v>279</v>
      </c>
      <c r="M32" s="219">
        <f t="shared" ca="1" si="1"/>
        <v>0</v>
      </c>
      <c r="N32" s="219" t="s">
        <v>280</v>
      </c>
      <c r="O32" s="219" t="b">
        <f t="shared" ca="1" si="2"/>
        <v>0</v>
      </c>
      <c r="P32" s="219"/>
      <c r="Q32" s="219" t="str">
        <f t="shared" ca="1" si="3"/>
        <v>Common Interface NB v1.2</v>
      </c>
      <c r="R32" s="220">
        <f t="shared" ca="1" si="4"/>
        <v>43607</v>
      </c>
      <c r="S32" s="219" t="str">
        <f t="shared" ca="1" si="5"/>
        <v>Updated based on CC-NB 01 needed for accountgroupautomation</v>
      </c>
      <c r="T32" s="70"/>
      <c r="U32" s="20"/>
      <c r="V32" s="70"/>
    </row>
    <row r="33" spans="1:22" ht="12.75" customHeight="1">
      <c r="A33" s="219" t="s">
        <v>114</v>
      </c>
      <c r="B33" s="229" t="s">
        <v>281</v>
      </c>
      <c r="C33" s="230" t="s">
        <v>285</v>
      </c>
      <c r="D33" s="231" t="s">
        <v>252</v>
      </c>
      <c r="E33" s="229" t="s">
        <v>243</v>
      </c>
      <c r="F33" s="229"/>
      <c r="G33" s="232">
        <f>VLOOKUP(C33,'1. ACCOUNT'!F:T,15,FALSE)</f>
        <v>0</v>
      </c>
      <c r="H33" s="220">
        <v>43538</v>
      </c>
      <c r="I33" s="229" t="e">
        <v>#N/A</v>
      </c>
      <c r="J33" s="219" t="str">
        <f t="shared" ca="1" si="6"/>
        <v>LASTASSETTRANSFEROUTDATE</v>
      </c>
      <c r="K33" s="219" t="e">
        <f t="shared" ca="1" si="0"/>
        <v>#N/A</v>
      </c>
      <c r="L33" s="219" t="s">
        <v>279</v>
      </c>
      <c r="M33" s="219">
        <f t="shared" ca="1" si="1"/>
        <v>0</v>
      </c>
      <c r="N33" s="219" t="s">
        <v>280</v>
      </c>
      <c r="O33" s="219" t="b">
        <f t="shared" ca="1" si="2"/>
        <v>0</v>
      </c>
      <c r="P33" s="219"/>
      <c r="Q33" s="219" t="str">
        <f t="shared" ca="1" si="3"/>
        <v>Common Interface NB v1.2</v>
      </c>
      <c r="R33" s="220">
        <f t="shared" ca="1" si="4"/>
        <v>43607</v>
      </c>
      <c r="S33" s="219" t="str">
        <f t="shared" ca="1" si="5"/>
        <v>Updated based on CC-NB 01 needed for accountgroupautomation</v>
      </c>
      <c r="T33" s="70"/>
      <c r="U33" s="20"/>
      <c r="V33" s="70"/>
    </row>
    <row r="34" spans="1:22" ht="12.75" customHeight="1">
      <c r="A34" s="219" t="s">
        <v>114</v>
      </c>
      <c r="B34" s="229" t="s">
        <v>281</v>
      </c>
      <c r="C34" s="230" t="s">
        <v>286</v>
      </c>
      <c r="D34" s="231" t="s">
        <v>252</v>
      </c>
      <c r="E34" s="229" t="s">
        <v>243</v>
      </c>
      <c r="F34" s="229"/>
      <c r="G34" s="229" t="e">
        <f>VLOOKUP(C34,'1. ACCOUNT'!F:T,15,FALSE)</f>
        <v>#N/A</v>
      </c>
      <c r="H34" s="220">
        <v>43538</v>
      </c>
      <c r="I34" s="229" t="e">
        <v>#N/A</v>
      </c>
      <c r="J34" s="219" t="e">
        <f t="shared" ca="1" si="6"/>
        <v>#N/A</v>
      </c>
      <c r="K34" s="219" t="e">
        <f t="shared" ca="1" si="0"/>
        <v>#N/A</v>
      </c>
      <c r="L34" s="219" t="s">
        <v>279</v>
      </c>
      <c r="M34" s="219" t="e">
        <f t="shared" ca="1" si="1"/>
        <v>#N/A</v>
      </c>
      <c r="N34" s="219" t="s">
        <v>280</v>
      </c>
      <c r="O34" s="219" t="e">
        <f t="shared" ca="1" si="2"/>
        <v>#N/A</v>
      </c>
      <c r="P34" s="219"/>
      <c r="Q34" s="219" t="e">
        <f t="shared" ca="1" si="3"/>
        <v>#N/A</v>
      </c>
      <c r="R34" s="220" t="e">
        <f t="shared" ca="1" si="4"/>
        <v>#N/A</v>
      </c>
      <c r="S34" s="219" t="e">
        <f t="shared" ca="1" si="5"/>
        <v>#N/A</v>
      </c>
      <c r="T34" s="70"/>
      <c r="U34" s="20"/>
      <c r="V34" s="70"/>
    </row>
    <row r="35" spans="1:22" ht="12.75" customHeight="1">
      <c r="A35" s="219" t="s">
        <v>114</v>
      </c>
      <c r="B35" s="229" t="s">
        <v>281</v>
      </c>
      <c r="C35" s="230" t="s">
        <v>287</v>
      </c>
      <c r="D35" s="231" t="s">
        <v>252</v>
      </c>
      <c r="E35" s="229" t="s">
        <v>243</v>
      </c>
      <c r="F35" s="229"/>
      <c r="G35" s="232">
        <f>VLOOKUP(C35,'1. ACCOUNT'!F:T,15,FALSE)</f>
        <v>0</v>
      </c>
      <c r="H35" s="220">
        <v>43538</v>
      </c>
      <c r="I35" s="229" t="e">
        <v>#N/A</v>
      </c>
      <c r="J35" s="219" t="str">
        <f t="shared" ca="1" si="6"/>
        <v>INVESTMENTADVISORYTERMDATE</v>
      </c>
      <c r="K35" s="219" t="e">
        <f t="shared" ca="1" si="0"/>
        <v>#N/A</v>
      </c>
      <c r="L35" s="219" t="s">
        <v>279</v>
      </c>
      <c r="M35" s="219">
        <f t="shared" ca="1" si="1"/>
        <v>0</v>
      </c>
      <c r="N35" s="219" t="s">
        <v>280</v>
      </c>
      <c r="O35" s="219" t="b">
        <f t="shared" ca="1" si="2"/>
        <v>0</v>
      </c>
      <c r="P35" s="219"/>
      <c r="Q35" s="219" t="str">
        <f t="shared" ca="1" si="3"/>
        <v>Common Interface NB v1.2</v>
      </c>
      <c r="R35" s="220">
        <f t="shared" ca="1" si="4"/>
        <v>43607</v>
      </c>
      <c r="S35" s="219" t="str">
        <f t="shared" ca="1" si="5"/>
        <v>Updated based on CC-NB 01 needed for accountgroupautomation</v>
      </c>
      <c r="T35" s="70"/>
      <c r="U35" s="20"/>
      <c r="V35" s="70"/>
    </row>
    <row r="36" spans="1:22" ht="12.75" customHeight="1">
      <c r="A36" s="219" t="s">
        <v>114</v>
      </c>
      <c r="B36" s="229" t="s">
        <v>281</v>
      </c>
      <c r="C36" s="230" t="s">
        <v>288</v>
      </c>
      <c r="D36" s="230" t="s">
        <v>289</v>
      </c>
      <c r="E36" s="229" t="s">
        <v>243</v>
      </c>
      <c r="F36" s="229"/>
      <c r="G36" s="232">
        <f>VLOOKUP(C36,'1. ACCOUNT'!F:T,15,FALSE)</f>
        <v>0</v>
      </c>
      <c r="H36" s="220">
        <v>43538</v>
      </c>
      <c r="I36" s="229" t="e">
        <v>#N/A</v>
      </c>
      <c r="J36" s="219" t="str">
        <f t="shared" ca="1" si="6"/>
        <v>LASTASSETTRANSFERINACCOUNT</v>
      </c>
      <c r="K36" s="219" t="e">
        <f t="shared" ca="1" si="0"/>
        <v>#N/A</v>
      </c>
      <c r="L36" s="219" t="s">
        <v>279</v>
      </c>
      <c r="M36" s="219">
        <f t="shared" ca="1" si="1"/>
        <v>0</v>
      </c>
      <c r="N36" s="219" t="s">
        <v>280</v>
      </c>
      <c r="O36" s="219" t="b">
        <f t="shared" ca="1" si="2"/>
        <v>0</v>
      </c>
      <c r="P36" s="219"/>
      <c r="Q36" s="219" t="str">
        <f t="shared" ca="1" si="3"/>
        <v>Common Interface NB v1.2</v>
      </c>
      <c r="R36" s="220">
        <f t="shared" ca="1" si="4"/>
        <v>43607</v>
      </c>
      <c r="S36" s="219" t="str">
        <f t="shared" ca="1" si="5"/>
        <v>Updated based on CC-NB 01 needed for accountgroupautomation</v>
      </c>
      <c r="T36" s="70"/>
      <c r="U36" s="20"/>
      <c r="V36" s="70"/>
    </row>
    <row r="37" spans="1:22" ht="12.75" customHeight="1">
      <c r="A37" s="219" t="s">
        <v>114</v>
      </c>
      <c r="B37" s="229" t="s">
        <v>281</v>
      </c>
      <c r="C37" s="230" t="s">
        <v>290</v>
      </c>
      <c r="D37" s="230" t="s">
        <v>289</v>
      </c>
      <c r="E37" s="229" t="s">
        <v>243</v>
      </c>
      <c r="F37" s="229"/>
      <c r="G37" s="232">
        <f>VLOOKUP(C37,'1. ACCOUNT'!F:T,15,FALSE)</f>
        <v>0</v>
      </c>
      <c r="H37" s="220">
        <v>43538</v>
      </c>
      <c r="I37" s="229" t="e">
        <v>#N/A</v>
      </c>
      <c r="J37" s="219" t="str">
        <f t="shared" ca="1" si="6"/>
        <v>LASTASSETTRANSFEROUTACCOUNT</v>
      </c>
      <c r="K37" s="219" t="e">
        <f t="shared" ca="1" si="0"/>
        <v>#N/A</v>
      </c>
      <c r="L37" s="219" t="s">
        <v>279</v>
      </c>
      <c r="M37" s="219">
        <f t="shared" ca="1" si="1"/>
        <v>0</v>
      </c>
      <c r="N37" s="219" t="s">
        <v>280</v>
      </c>
      <c r="O37" s="219" t="b">
        <f t="shared" ca="1" si="2"/>
        <v>0</v>
      </c>
      <c r="P37" s="219"/>
      <c r="Q37" s="219" t="str">
        <f t="shared" ca="1" si="3"/>
        <v>Common Interface NB v1.2</v>
      </c>
      <c r="R37" s="220">
        <f t="shared" ca="1" si="4"/>
        <v>43607</v>
      </c>
      <c r="S37" s="219" t="str">
        <f t="shared" ca="1" si="5"/>
        <v>Updated based on CC-NB 01 needed for accountgroupautomation</v>
      </c>
      <c r="T37" s="70"/>
      <c r="U37" s="20"/>
      <c r="V37" s="70"/>
    </row>
    <row r="38" spans="1:22" ht="12.75" customHeight="1">
      <c r="A38" s="219" t="s">
        <v>114</v>
      </c>
      <c r="B38" s="229" t="s">
        <v>281</v>
      </c>
      <c r="C38" s="230" t="s">
        <v>291</v>
      </c>
      <c r="D38" s="230" t="s">
        <v>289</v>
      </c>
      <c r="E38" s="229" t="s">
        <v>243</v>
      </c>
      <c r="F38" s="229"/>
      <c r="G38" s="229" t="e">
        <f>VLOOKUP(C38,'1. ACCOUNT'!F:T,15,FALSE)</f>
        <v>#N/A</v>
      </c>
      <c r="H38" s="220">
        <v>43538</v>
      </c>
      <c r="I38" s="229" t="e">
        <v>#N/A</v>
      </c>
      <c r="J38" s="219" t="e">
        <f t="shared" ca="1" si="6"/>
        <v>#N/A</v>
      </c>
      <c r="K38" s="219" t="e">
        <f t="shared" ca="1" si="0"/>
        <v>#N/A</v>
      </c>
      <c r="L38" s="219" t="s">
        <v>279</v>
      </c>
      <c r="M38" s="219" t="e">
        <f t="shared" ca="1" si="1"/>
        <v>#N/A</v>
      </c>
      <c r="N38" s="219" t="s">
        <v>280</v>
      </c>
      <c r="O38" s="219" t="e">
        <f t="shared" ca="1" si="2"/>
        <v>#N/A</v>
      </c>
      <c r="P38" s="219"/>
      <c r="Q38" s="219" t="e">
        <f t="shared" ca="1" si="3"/>
        <v>#N/A</v>
      </c>
      <c r="R38" s="220" t="e">
        <f t="shared" ca="1" si="4"/>
        <v>#N/A</v>
      </c>
      <c r="S38" s="219" t="e">
        <f t="shared" ca="1" si="5"/>
        <v>#N/A</v>
      </c>
      <c r="T38" s="70"/>
      <c r="U38" s="20"/>
      <c r="V38" s="70"/>
    </row>
    <row r="39" spans="1:22" ht="12.75" customHeight="1">
      <c r="A39" s="219" t="s">
        <v>114</v>
      </c>
      <c r="B39" s="229" t="s">
        <v>281</v>
      </c>
      <c r="C39" s="230" t="s">
        <v>292</v>
      </c>
      <c r="D39" s="230" t="s">
        <v>289</v>
      </c>
      <c r="E39" s="229" t="s">
        <v>243</v>
      </c>
      <c r="F39" s="229"/>
      <c r="G39" s="229" t="e">
        <f>VLOOKUP(C39,'1. ACCOUNT'!F:T,15,FALSE)</f>
        <v>#N/A</v>
      </c>
      <c r="H39" s="220">
        <v>43538</v>
      </c>
      <c r="I39" s="229" t="e">
        <v>#N/A</v>
      </c>
      <c r="J39" s="219" t="e">
        <f t="shared" ca="1" si="6"/>
        <v>#N/A</v>
      </c>
      <c r="K39" s="219" t="e">
        <f t="shared" ca="1" si="0"/>
        <v>#N/A</v>
      </c>
      <c r="L39" s="219" t="s">
        <v>279</v>
      </c>
      <c r="M39" s="219" t="e">
        <f t="shared" ca="1" si="1"/>
        <v>#N/A</v>
      </c>
      <c r="N39" s="219" t="s">
        <v>280</v>
      </c>
      <c r="O39" s="219" t="e">
        <f t="shared" ca="1" si="2"/>
        <v>#N/A</v>
      </c>
      <c r="P39" s="219"/>
      <c r="Q39" s="219" t="e">
        <f t="shared" ca="1" si="3"/>
        <v>#N/A</v>
      </c>
      <c r="R39" s="220" t="e">
        <f t="shared" ca="1" si="4"/>
        <v>#N/A</v>
      </c>
      <c r="S39" s="219" t="e">
        <f t="shared" ca="1" si="5"/>
        <v>#N/A</v>
      </c>
      <c r="T39" s="70"/>
      <c r="U39" s="20"/>
      <c r="V39" s="70"/>
    </row>
    <row r="40" spans="1:22" ht="12.75" customHeight="1">
      <c r="A40" s="219" t="s">
        <v>114</v>
      </c>
      <c r="B40" s="229" t="s">
        <v>281</v>
      </c>
      <c r="C40" s="230" t="s">
        <v>293</v>
      </c>
      <c r="D40" s="230" t="s">
        <v>289</v>
      </c>
      <c r="E40" s="229" t="s">
        <v>243</v>
      </c>
      <c r="F40" s="229"/>
      <c r="G40" s="229" t="e">
        <f>VLOOKUP(C40,'1. ACCOUNT'!F:T,15,FALSE)</f>
        <v>#N/A</v>
      </c>
      <c r="H40" s="220">
        <v>43538</v>
      </c>
      <c r="I40" s="229" t="e">
        <v>#N/A</v>
      </c>
      <c r="J40" s="219" t="e">
        <f t="shared" ca="1" si="6"/>
        <v>#N/A</v>
      </c>
      <c r="K40" s="219" t="e">
        <f t="shared" ca="1" si="0"/>
        <v>#N/A</v>
      </c>
      <c r="L40" s="219" t="s">
        <v>279</v>
      </c>
      <c r="M40" s="219" t="e">
        <f t="shared" ca="1" si="1"/>
        <v>#N/A</v>
      </c>
      <c r="N40" s="219" t="s">
        <v>280</v>
      </c>
      <c r="O40" s="219" t="e">
        <f t="shared" ca="1" si="2"/>
        <v>#N/A</v>
      </c>
      <c r="P40" s="219"/>
      <c r="Q40" s="219" t="e">
        <f t="shared" ca="1" si="3"/>
        <v>#N/A</v>
      </c>
      <c r="R40" s="220" t="e">
        <f t="shared" ca="1" si="4"/>
        <v>#N/A</v>
      </c>
      <c r="S40" s="219" t="e">
        <f t="shared" ca="1" si="5"/>
        <v>#N/A</v>
      </c>
      <c r="T40" s="70"/>
      <c r="U40" s="20"/>
      <c r="V40" s="70"/>
    </row>
    <row r="41" spans="1:22" ht="15" customHeight="1">
      <c r="A41" s="70" t="s">
        <v>121</v>
      </c>
      <c r="B41" s="56" t="s">
        <v>61</v>
      </c>
      <c r="C41" s="56" t="s">
        <v>125</v>
      </c>
      <c r="D41" s="56" t="s">
        <v>255</v>
      </c>
      <c r="E41" s="56" t="s">
        <v>243</v>
      </c>
      <c r="F41" s="56">
        <v>15</v>
      </c>
      <c r="G41" s="56" t="str">
        <f>VLOOKUP(C41,'2a. PROFITLOSSLITE - PLL'!F:T,15,FALSE)</f>
        <v>As of Date of the Holding. Should be the same for all holindgs in the file unless this is a special load file for multiple days</v>
      </c>
      <c r="H41" s="20">
        <v>43538</v>
      </c>
      <c r="I41" s="70" t="e">
        <v>#N/A</v>
      </c>
      <c r="J41" s="70" t="e">
        <f t="shared" ca="1" si="6"/>
        <v>#REF!</v>
      </c>
      <c r="K41" s="70" t="e">
        <f t="shared" ca="1" si="0"/>
        <v>#N/A</v>
      </c>
      <c r="L41" s="70"/>
      <c r="M41" s="70" t="e">
        <f t="shared" ca="1" si="1"/>
        <v>#REF!</v>
      </c>
      <c r="N41" s="129" t="s">
        <v>294</v>
      </c>
      <c r="O41" s="70" t="e">
        <f t="shared" ca="1" si="2"/>
        <v>#REF!</v>
      </c>
      <c r="P41" s="70"/>
      <c r="Q41" s="70" t="e">
        <f t="shared" ca="1" si="3"/>
        <v>#REF!</v>
      </c>
      <c r="R41" s="20" t="e">
        <f t="shared" ca="1" si="4"/>
        <v>#REF!</v>
      </c>
      <c r="S41" s="5" t="e">
        <f t="shared" ca="1" si="5"/>
        <v>#REF!</v>
      </c>
      <c r="T41" s="70" t="s">
        <v>244</v>
      </c>
      <c r="U41" s="20">
        <v>43535</v>
      </c>
      <c r="V41" s="70" t="s">
        <v>245</v>
      </c>
    </row>
    <row r="42" spans="1:22" ht="12.75" customHeight="1">
      <c r="A42" s="70" t="s">
        <v>121</v>
      </c>
      <c r="B42" s="56" t="s">
        <v>61</v>
      </c>
      <c r="C42" s="56" t="s">
        <v>120</v>
      </c>
      <c r="D42" s="56" t="s">
        <v>250</v>
      </c>
      <c r="E42" s="56" t="s">
        <v>243</v>
      </c>
      <c r="F42" s="56">
        <v>25</v>
      </c>
      <c r="G42" s="56" t="str">
        <f>VLOOKUP(C42,'2a. PROFITLOSSLITE - PLL'!F:T,15,FALSE)</f>
        <v>Account's book currency code (e.g. USD)</v>
      </c>
      <c r="H42" s="20">
        <v>43538</v>
      </c>
      <c r="I42" s="70" t="e">
        <v>#N/A</v>
      </c>
      <c r="J42" s="70" t="e">
        <f t="shared" ca="1" si="6"/>
        <v>#REF!</v>
      </c>
      <c r="K42" s="70" t="e">
        <f t="shared" ca="1" si="0"/>
        <v>#N/A</v>
      </c>
      <c r="L42" s="70"/>
      <c r="M42" s="70" t="e">
        <f t="shared" ca="1" si="1"/>
        <v>#REF!</v>
      </c>
      <c r="N42" s="129" t="s">
        <v>295</v>
      </c>
      <c r="O42" s="70" t="e">
        <f t="shared" ca="1" si="2"/>
        <v>#REF!</v>
      </c>
      <c r="P42" s="70"/>
      <c r="Q42" s="70" t="e">
        <f t="shared" ca="1" si="3"/>
        <v>#REF!</v>
      </c>
      <c r="R42" s="20" t="e">
        <f t="shared" ca="1" si="4"/>
        <v>#REF!</v>
      </c>
      <c r="S42" s="5" t="e">
        <f t="shared" ca="1" si="5"/>
        <v>#REF!</v>
      </c>
      <c r="T42" s="70" t="s">
        <v>244</v>
      </c>
      <c r="U42" s="20">
        <v>43535</v>
      </c>
      <c r="V42" s="70" t="s">
        <v>245</v>
      </c>
    </row>
    <row r="43" spans="1:22" ht="12.75" customHeight="1">
      <c r="A43" s="70" t="s">
        <v>121</v>
      </c>
      <c r="B43" s="56" t="s">
        <v>59</v>
      </c>
      <c r="C43" s="56" t="s">
        <v>296</v>
      </c>
      <c r="D43" s="56" t="s">
        <v>242</v>
      </c>
      <c r="E43" s="56" t="s">
        <v>243</v>
      </c>
      <c r="F43" s="56">
        <v>73</v>
      </c>
      <c r="G43" s="56" t="str">
        <f>VLOOKUP(C43,'2a. PROFITLOSSLITE - PLL'!F:T,15,FALSE)</f>
        <v>Description of the Account's Currency of the Holding (e.g. U.S. Dollar)</v>
      </c>
      <c r="H43" s="20">
        <v>43538</v>
      </c>
      <c r="I43" s="70" t="e">
        <v>#N/A</v>
      </c>
      <c r="J43" s="70" t="e">
        <f t="shared" ca="1" si="6"/>
        <v>#REF!</v>
      </c>
      <c r="K43" s="70" t="e">
        <f t="shared" ca="1" si="0"/>
        <v>#N/A</v>
      </c>
      <c r="L43" s="70"/>
      <c r="M43" s="70" t="e">
        <f t="shared" ca="1" si="1"/>
        <v>#REF!</v>
      </c>
      <c r="N43" s="129" t="s">
        <v>297</v>
      </c>
      <c r="O43" s="70" t="e">
        <f t="shared" ca="1" si="2"/>
        <v>#REF!</v>
      </c>
      <c r="P43" s="70"/>
      <c r="Q43" s="70" t="e">
        <f t="shared" ca="1" si="3"/>
        <v>#REF!</v>
      </c>
      <c r="R43" s="20" t="e">
        <f t="shared" ca="1" si="4"/>
        <v>#REF!</v>
      </c>
      <c r="S43" s="5" t="e">
        <f t="shared" ca="1" si="5"/>
        <v>#REF!</v>
      </c>
      <c r="T43" s="70" t="s">
        <v>244</v>
      </c>
      <c r="U43" s="20">
        <v>43535</v>
      </c>
      <c r="V43" s="70" t="s">
        <v>245</v>
      </c>
    </row>
    <row r="44" spans="1:22" ht="12.75" customHeight="1">
      <c r="A44" s="70" t="s">
        <v>121</v>
      </c>
      <c r="B44" s="56" t="s">
        <v>55</v>
      </c>
      <c r="C44" s="56" t="s">
        <v>298</v>
      </c>
      <c r="D44" s="56" t="s">
        <v>242</v>
      </c>
      <c r="E44" s="56" t="s">
        <v>243</v>
      </c>
      <c r="F44" s="56">
        <v>85</v>
      </c>
      <c r="G44" s="56" t="str">
        <f>VLOOKUP(C44,'2a. PROFITLOSSLITE - PLL'!F:T,15,FALSE)</f>
        <v>Name of the Planner or Advisor who manages the holding/account</v>
      </c>
      <c r="H44" s="20">
        <v>43538</v>
      </c>
      <c r="I44" s="70" t="e">
        <v>#N/A</v>
      </c>
      <c r="J44" s="70" t="e">
        <f t="shared" ca="1" si="6"/>
        <v>#REF!</v>
      </c>
      <c r="K44" s="70" t="e">
        <f t="shared" ca="1" si="0"/>
        <v>#N/A</v>
      </c>
      <c r="L44" s="70"/>
      <c r="M44" s="70" t="e">
        <f t="shared" ca="1" si="1"/>
        <v>#REF!</v>
      </c>
      <c r="N44" s="129" t="s">
        <v>299</v>
      </c>
      <c r="O44" s="70" t="e">
        <f t="shared" ca="1" si="2"/>
        <v>#REF!</v>
      </c>
      <c r="P44" s="70"/>
      <c r="Q44" s="70" t="e">
        <f t="shared" ca="1" si="3"/>
        <v>#REF!</v>
      </c>
      <c r="R44" s="20" t="e">
        <f t="shared" ca="1" si="4"/>
        <v>#REF!</v>
      </c>
      <c r="S44" s="5" t="e">
        <f t="shared" ca="1" si="5"/>
        <v>#REF!</v>
      </c>
      <c r="T44" s="70" t="s">
        <v>244</v>
      </c>
      <c r="U44" s="20">
        <v>43535</v>
      </c>
      <c r="V44" s="70" t="s">
        <v>245</v>
      </c>
    </row>
    <row r="45" spans="1:22" ht="12.75" customHeight="1">
      <c r="A45" s="70" t="s">
        <v>121</v>
      </c>
      <c r="B45" s="56" t="s">
        <v>55</v>
      </c>
      <c r="C45" s="56" t="s">
        <v>300</v>
      </c>
      <c r="D45" s="56" t="s">
        <v>242</v>
      </c>
      <c r="E45" s="56" t="s">
        <v>243</v>
      </c>
      <c r="F45" s="56">
        <v>86</v>
      </c>
      <c r="G45" s="56" t="str">
        <f>VLOOKUP(C45,'2a. PROFITLOSSLITE - PLL'!F:T,15,FALSE)</f>
        <v>Name of the Portfolio Manager for the account.</v>
      </c>
      <c r="H45" s="20">
        <v>43538</v>
      </c>
      <c r="I45" s="70" t="e">
        <v>#N/A</v>
      </c>
      <c r="J45" s="70" t="e">
        <f t="shared" ca="1" si="6"/>
        <v>#REF!</v>
      </c>
      <c r="K45" s="70" t="e">
        <f t="shared" ca="1" si="0"/>
        <v>#N/A</v>
      </c>
      <c r="L45" s="70"/>
      <c r="M45" s="70" t="e">
        <f t="shared" ca="1" si="1"/>
        <v>#REF!</v>
      </c>
      <c r="N45" s="129" t="s">
        <v>301</v>
      </c>
      <c r="O45" s="70" t="e">
        <f t="shared" ca="1" si="2"/>
        <v>#REF!</v>
      </c>
      <c r="P45" s="70"/>
      <c r="Q45" s="70" t="e">
        <f t="shared" ca="1" si="3"/>
        <v>#REF!</v>
      </c>
      <c r="R45" s="20" t="e">
        <f t="shared" ca="1" si="4"/>
        <v>#REF!</v>
      </c>
      <c r="S45" s="5" t="e">
        <f t="shared" ca="1" si="5"/>
        <v>#REF!</v>
      </c>
      <c r="T45" s="70" t="s">
        <v>244</v>
      </c>
      <c r="U45" s="20">
        <v>43535</v>
      </c>
      <c r="V45" s="70" t="s">
        <v>245</v>
      </c>
    </row>
    <row r="46" spans="1:22" ht="12.75" customHeight="1">
      <c r="A46" s="70" t="s">
        <v>121</v>
      </c>
      <c r="B46" s="56" t="s">
        <v>61</v>
      </c>
      <c r="C46" s="56" t="s">
        <v>118</v>
      </c>
      <c r="D46" s="56" t="s">
        <v>247</v>
      </c>
      <c r="E46" s="56" t="s">
        <v>243</v>
      </c>
      <c r="F46" s="56">
        <v>4</v>
      </c>
      <c r="G46" s="56" t="str">
        <f>VLOOKUP(C46,'2a. PROFITLOSSLITE - PLL'!F:T,15,FALSE)</f>
        <v>Must be Unique. Short name or description for Account.</v>
      </c>
      <c r="H46" s="20">
        <v>43538</v>
      </c>
      <c r="I46" s="70" t="e">
        <v>#N/A</v>
      </c>
      <c r="J46" s="70" t="e">
        <f t="shared" ca="1" si="6"/>
        <v>#REF!</v>
      </c>
      <c r="K46" s="70" t="e">
        <f t="shared" ca="1" si="0"/>
        <v>#N/A</v>
      </c>
      <c r="L46" s="70"/>
      <c r="M46" s="70" t="e">
        <f t="shared" ca="1" si="1"/>
        <v>#REF!</v>
      </c>
      <c r="N46" s="129" t="s">
        <v>302</v>
      </c>
      <c r="O46" s="70" t="e">
        <f t="shared" ca="1" si="2"/>
        <v>#REF!</v>
      </c>
      <c r="P46" s="70"/>
      <c r="Q46" s="70" t="e">
        <f t="shared" ca="1" si="3"/>
        <v>#REF!</v>
      </c>
      <c r="R46" s="20" t="e">
        <f t="shared" ca="1" si="4"/>
        <v>#REF!</v>
      </c>
      <c r="S46" s="5" t="e">
        <f t="shared" ca="1" si="5"/>
        <v>#REF!</v>
      </c>
      <c r="T46" s="70" t="s">
        <v>244</v>
      </c>
      <c r="U46" s="20">
        <v>43535</v>
      </c>
      <c r="V46" s="70" t="s">
        <v>245</v>
      </c>
    </row>
    <row r="47" spans="1:22" ht="12.75" customHeight="1">
      <c r="A47" s="70" t="s">
        <v>121</v>
      </c>
      <c r="B47" s="70" t="s">
        <v>55</v>
      </c>
      <c r="C47" s="56" t="s">
        <v>303</v>
      </c>
      <c r="D47" s="56" t="s">
        <v>250</v>
      </c>
      <c r="E47" s="70" t="s">
        <v>243</v>
      </c>
      <c r="F47" s="70">
        <v>100</v>
      </c>
      <c r="G47" s="56" t="str">
        <f>VLOOKUP(C47,'2a. PROFITLOSSLITE - PLL'!F:T,15,FALSE)</f>
        <v>Account's reporting currency code (e.g. USD).</v>
      </c>
      <c r="H47" s="20">
        <v>43538</v>
      </c>
      <c r="I47" s="70" t="e">
        <v>#N/A</v>
      </c>
      <c r="J47" s="70" t="e">
        <f t="shared" ca="1" si="6"/>
        <v>#REF!</v>
      </c>
      <c r="K47" s="70" t="e">
        <f t="shared" ca="1" si="0"/>
        <v>#N/A</v>
      </c>
      <c r="L47" s="70"/>
      <c r="M47" s="70" t="e">
        <f t="shared" ca="1" si="1"/>
        <v>#REF!</v>
      </c>
      <c r="N47" s="129" t="s">
        <v>304</v>
      </c>
      <c r="O47" s="70" t="e">
        <f t="shared" ca="1" si="2"/>
        <v>#REF!</v>
      </c>
      <c r="P47" s="70"/>
      <c r="Q47" s="70" t="e">
        <f t="shared" ca="1" si="3"/>
        <v>#REF!</v>
      </c>
      <c r="R47" s="20" t="e">
        <f t="shared" ca="1" si="4"/>
        <v>#REF!</v>
      </c>
      <c r="S47" s="5" t="e">
        <f t="shared" ca="1" si="5"/>
        <v>#REF!</v>
      </c>
      <c r="T47" s="70" t="s">
        <v>244</v>
      </c>
      <c r="U47" s="20">
        <v>43535</v>
      </c>
      <c r="V47" s="70" t="s">
        <v>245</v>
      </c>
    </row>
    <row r="48" spans="1:22" ht="12.75" customHeight="1">
      <c r="A48" s="70" t="s">
        <v>121</v>
      </c>
      <c r="B48" s="70" t="s">
        <v>55</v>
      </c>
      <c r="C48" s="56" t="s">
        <v>305</v>
      </c>
      <c r="D48" s="56" t="s">
        <v>242</v>
      </c>
      <c r="E48" s="70" t="s">
        <v>243</v>
      </c>
      <c r="F48" s="70">
        <v>105</v>
      </c>
      <c r="G48" s="56" t="str">
        <f>VLOOKUP(C48,'2a. PROFITLOSSLITE - PLL'!F:T,15,FALSE)</f>
        <v>Description of the Account's Reporting Currency of the Holding (e.g. U.S. Dollar)</v>
      </c>
      <c r="H48" s="20">
        <v>43538</v>
      </c>
      <c r="I48" s="70" t="e">
        <v>#N/A</v>
      </c>
      <c r="J48" s="70" t="e">
        <f t="shared" ca="1" si="6"/>
        <v>#REF!</v>
      </c>
      <c r="K48" s="70" t="e">
        <f t="shared" ca="1" si="0"/>
        <v>#N/A</v>
      </c>
      <c r="L48" s="70"/>
      <c r="M48" s="70" t="e">
        <f t="shared" ca="1" si="1"/>
        <v>#REF!</v>
      </c>
      <c r="N48" s="129" t="s">
        <v>306</v>
      </c>
      <c r="O48" s="70" t="e">
        <f t="shared" ca="1" si="2"/>
        <v>#REF!</v>
      </c>
      <c r="P48" s="70"/>
      <c r="Q48" s="70" t="e">
        <f t="shared" ca="1" si="3"/>
        <v>#REF!</v>
      </c>
      <c r="R48" s="20" t="e">
        <f t="shared" ca="1" si="4"/>
        <v>#REF!</v>
      </c>
      <c r="S48" s="5" t="e">
        <f t="shared" ca="1" si="5"/>
        <v>#REF!</v>
      </c>
      <c r="T48" s="70" t="s">
        <v>244</v>
      </c>
      <c r="U48" s="20">
        <v>43535</v>
      </c>
      <c r="V48" s="70" t="s">
        <v>245</v>
      </c>
    </row>
    <row r="49" spans="1:22" ht="12.75" customHeight="1">
      <c r="A49" s="70" t="s">
        <v>121</v>
      </c>
      <c r="B49" s="56" t="s">
        <v>61</v>
      </c>
      <c r="C49" s="56" t="s">
        <v>150</v>
      </c>
      <c r="D49" s="56" t="s">
        <v>247</v>
      </c>
      <c r="E49" s="56" t="s">
        <v>243</v>
      </c>
      <c r="F49" s="56">
        <v>9</v>
      </c>
      <c r="G49" s="56" t="str">
        <f>VLOOKUP(C49,'2a. PROFITLOSSLITE - PLL'!F:T,15,FALSE)</f>
        <v>Major Asset Class (Highest Level, ususally: Equity, Fixed Income, Alternatives, Cash, etc.)</v>
      </c>
      <c r="H49" s="20">
        <v>43538</v>
      </c>
      <c r="I49" s="70" t="e">
        <v>#N/A</v>
      </c>
      <c r="J49" s="70" t="e">
        <f t="shared" ca="1" si="6"/>
        <v>#REF!</v>
      </c>
      <c r="K49" s="70" t="e">
        <f t="shared" ca="1" si="0"/>
        <v>#N/A</v>
      </c>
      <c r="L49" s="70"/>
      <c r="M49" s="70" t="e">
        <f t="shared" ca="1" si="1"/>
        <v>#REF!</v>
      </c>
      <c r="N49" s="129" t="s">
        <v>307</v>
      </c>
      <c r="O49" s="70" t="e">
        <f t="shared" ca="1" si="2"/>
        <v>#REF!</v>
      </c>
      <c r="P49" s="70"/>
      <c r="Q49" s="70" t="e">
        <f t="shared" ca="1" si="3"/>
        <v>#REF!</v>
      </c>
      <c r="R49" s="20" t="e">
        <f t="shared" ca="1" si="4"/>
        <v>#REF!</v>
      </c>
      <c r="S49" s="5" t="e">
        <f t="shared" ca="1" si="5"/>
        <v>#REF!</v>
      </c>
      <c r="T49" s="70" t="s">
        <v>244</v>
      </c>
      <c r="U49" s="20">
        <v>43535</v>
      </c>
      <c r="V49" s="70" t="s">
        <v>245</v>
      </c>
    </row>
    <row r="50" spans="1:22" ht="12.75" customHeight="1">
      <c r="A50" s="70" t="s">
        <v>121</v>
      </c>
      <c r="B50" s="56" t="s">
        <v>59</v>
      </c>
      <c r="C50" s="56" t="s">
        <v>308</v>
      </c>
      <c r="D50" s="56" t="s">
        <v>247</v>
      </c>
      <c r="E50" s="56" t="s">
        <v>243</v>
      </c>
      <c r="F50" s="56">
        <v>10</v>
      </c>
      <c r="G50" s="56" t="str">
        <f>VLOOKUP(C50,'2a. PROFITLOSSLITE - PLL'!F:T,15,FALSE)</f>
        <v>2nd Level Asset Class</v>
      </c>
      <c r="H50" s="20">
        <v>43538</v>
      </c>
      <c r="I50" s="70" t="e">
        <v>#N/A</v>
      </c>
      <c r="J50" s="70" t="e">
        <f t="shared" ca="1" si="6"/>
        <v>#REF!</v>
      </c>
      <c r="K50" s="70" t="e">
        <f t="shared" ca="1" si="0"/>
        <v>#N/A</v>
      </c>
      <c r="L50" s="70"/>
      <c r="M50" s="70" t="e">
        <f t="shared" ca="1" si="1"/>
        <v>#REF!</v>
      </c>
      <c r="N50" s="129" t="s">
        <v>309</v>
      </c>
      <c r="O50" s="70" t="e">
        <f t="shared" ca="1" si="2"/>
        <v>#REF!</v>
      </c>
      <c r="P50" s="70"/>
      <c r="Q50" s="70" t="e">
        <f t="shared" ca="1" si="3"/>
        <v>#REF!</v>
      </c>
      <c r="R50" s="20" t="e">
        <f t="shared" ca="1" si="4"/>
        <v>#REF!</v>
      </c>
      <c r="S50" s="5" t="e">
        <f t="shared" ca="1" si="5"/>
        <v>#REF!</v>
      </c>
      <c r="T50" s="70" t="s">
        <v>244</v>
      </c>
      <c r="U50" s="20">
        <v>43535</v>
      </c>
      <c r="V50" s="70" t="s">
        <v>245</v>
      </c>
    </row>
    <row r="51" spans="1:22" ht="12.75" customHeight="1">
      <c r="A51" s="70" t="s">
        <v>121</v>
      </c>
      <c r="B51" s="56" t="s">
        <v>55</v>
      </c>
      <c r="C51" s="56" t="s">
        <v>310</v>
      </c>
      <c r="D51" s="56" t="s">
        <v>247</v>
      </c>
      <c r="E51" s="56" t="s">
        <v>243</v>
      </c>
      <c r="F51" s="56">
        <v>11</v>
      </c>
      <c r="G51" s="56" t="str">
        <f>VLOOKUP(C51,'2a. PROFITLOSSLITE - PLL'!F:T,15,FALSE)</f>
        <v>3rd Level Asset Class</v>
      </c>
      <c r="H51" s="20">
        <v>43538</v>
      </c>
      <c r="I51" s="70" t="e">
        <v>#N/A</v>
      </c>
      <c r="J51" s="70" t="e">
        <f t="shared" ca="1" si="6"/>
        <v>#REF!</v>
      </c>
      <c r="K51" s="70" t="e">
        <f t="shared" ca="1" si="0"/>
        <v>#N/A</v>
      </c>
      <c r="L51" s="70"/>
      <c r="M51" s="70" t="e">
        <f t="shared" ca="1" si="1"/>
        <v>#REF!</v>
      </c>
      <c r="N51" s="129" t="s">
        <v>311</v>
      </c>
      <c r="O51" s="70" t="e">
        <f t="shared" ca="1" si="2"/>
        <v>#REF!</v>
      </c>
      <c r="P51" s="70"/>
      <c r="Q51" s="70" t="e">
        <f t="shared" ca="1" si="3"/>
        <v>#REF!</v>
      </c>
      <c r="R51" s="20" t="e">
        <f t="shared" ca="1" si="4"/>
        <v>#REF!</v>
      </c>
      <c r="S51" s="5" t="e">
        <f t="shared" ca="1" si="5"/>
        <v>#REF!</v>
      </c>
      <c r="T51" s="70" t="s">
        <v>244</v>
      </c>
      <c r="U51" s="20">
        <v>43535</v>
      </c>
      <c r="V51" s="70" t="s">
        <v>245</v>
      </c>
    </row>
    <row r="52" spans="1:22" ht="12.75" customHeight="1">
      <c r="A52" s="70" t="s">
        <v>121</v>
      </c>
      <c r="B52" s="56" t="s">
        <v>55</v>
      </c>
      <c r="C52" s="56" t="s">
        <v>312</v>
      </c>
      <c r="D52" s="56" t="s">
        <v>249</v>
      </c>
      <c r="E52" s="56" t="s">
        <v>243</v>
      </c>
      <c r="F52" s="22"/>
      <c r="G52" s="21" t="str">
        <f>VLOOKUP(C52,'2a. PROFITLOSSLITE - PLL'!F:T,15,FALSE)</f>
        <v>Sweep vehicle to be used for income resulting from the position.</v>
      </c>
      <c r="H52" s="20">
        <v>43538</v>
      </c>
      <c r="I52" s="70" t="e">
        <v>#N/A</v>
      </c>
      <c r="J52" s="70" t="e">
        <f t="shared" ca="1" si="6"/>
        <v>#REF!</v>
      </c>
      <c r="K52" s="70" t="e">
        <f t="shared" ca="1" si="0"/>
        <v>#N/A</v>
      </c>
      <c r="L52" s="70"/>
      <c r="M52" s="70" t="e">
        <f t="shared" ca="1" si="1"/>
        <v>#REF!</v>
      </c>
      <c r="N52" s="129" t="s">
        <v>313</v>
      </c>
      <c r="O52" s="70" t="e">
        <f t="shared" ca="1" si="2"/>
        <v>#REF!</v>
      </c>
      <c r="P52" s="70"/>
      <c r="Q52" s="70" t="e">
        <f t="shared" ca="1" si="3"/>
        <v>#REF!</v>
      </c>
      <c r="R52" s="20" t="e">
        <f t="shared" ca="1" si="4"/>
        <v>#REF!</v>
      </c>
      <c r="S52" s="5" t="e">
        <f t="shared" ca="1" si="5"/>
        <v>#REF!</v>
      </c>
      <c r="T52" s="70" t="s">
        <v>244</v>
      </c>
      <c r="U52" s="20">
        <v>43535</v>
      </c>
      <c r="V52" s="70" t="s">
        <v>245</v>
      </c>
    </row>
    <row r="53" spans="1:22" ht="12.75" customHeight="1">
      <c r="A53" s="70" t="s">
        <v>121</v>
      </c>
      <c r="B53" s="56" t="s">
        <v>61</v>
      </c>
      <c r="C53" s="56" t="s">
        <v>126</v>
      </c>
      <c r="D53" s="56" t="s">
        <v>242</v>
      </c>
      <c r="E53" s="56" t="s">
        <v>243</v>
      </c>
      <c r="F53" s="56">
        <v>37</v>
      </c>
      <c r="G53" s="56" t="str">
        <f>VLOOKUP(C53,'2a. PROFITLOSSLITE - PLL'!F:T,15,FALSE)</f>
        <v>100% Uniquie Identifer for the security. Commonly a unique Integer.</v>
      </c>
      <c r="H53" s="20">
        <v>43538</v>
      </c>
      <c r="I53" s="70" t="e">
        <v>#N/A</v>
      </c>
      <c r="J53" s="70" t="e">
        <f t="shared" ca="1" si="6"/>
        <v>#REF!</v>
      </c>
      <c r="K53" s="70" t="e">
        <f t="shared" ca="1" si="0"/>
        <v>#N/A</v>
      </c>
      <c r="L53" s="70"/>
      <c r="M53" s="70" t="e">
        <f t="shared" ca="1" si="1"/>
        <v>#REF!</v>
      </c>
      <c r="N53" s="129" t="s">
        <v>314</v>
      </c>
      <c r="O53" s="70" t="e">
        <f t="shared" ca="1" si="2"/>
        <v>#REF!</v>
      </c>
      <c r="P53" s="70"/>
      <c r="Q53" s="70" t="e">
        <f t="shared" ca="1" si="3"/>
        <v>#REF!</v>
      </c>
      <c r="R53" s="20" t="e">
        <f t="shared" ca="1" si="4"/>
        <v>#REF!</v>
      </c>
      <c r="S53" s="5" t="e">
        <f t="shared" ca="1" si="5"/>
        <v>#REF!</v>
      </c>
      <c r="T53" s="70" t="s">
        <v>244</v>
      </c>
      <c r="U53" s="20">
        <v>43535</v>
      </c>
      <c r="V53" s="70" t="s">
        <v>245</v>
      </c>
    </row>
    <row r="54" spans="1:22" ht="12.75" customHeight="1">
      <c r="A54" s="70" t="s">
        <v>121</v>
      </c>
      <c r="B54" s="56" t="s">
        <v>61</v>
      </c>
      <c r="C54" s="56" t="s">
        <v>152</v>
      </c>
      <c r="D54" s="56" t="s">
        <v>247</v>
      </c>
      <c r="E54" s="56" t="s">
        <v>243</v>
      </c>
      <c r="F54" s="56">
        <v>50</v>
      </c>
      <c r="G54" s="56" t="str">
        <f>VLOOKUP(C54,'2a. PROFITLOSSLITE - PLL'!F:T,15,FALSE)</f>
        <v>Primary Security Symbol for display to end users; should also be unique.</v>
      </c>
      <c r="H54" s="20">
        <v>43538</v>
      </c>
      <c r="I54" s="70" t="e">
        <v>#N/A</v>
      </c>
      <c r="J54" s="70" t="e">
        <f t="shared" ca="1" si="6"/>
        <v>#REF!</v>
      </c>
      <c r="K54" s="70" t="e">
        <f t="shared" ca="1" si="0"/>
        <v>#N/A</v>
      </c>
      <c r="L54" s="70"/>
      <c r="M54" s="70" t="e">
        <f t="shared" ca="1" si="1"/>
        <v>#REF!</v>
      </c>
      <c r="N54" s="129" t="s">
        <v>315</v>
      </c>
      <c r="O54" s="70" t="e">
        <f t="shared" ca="1" si="2"/>
        <v>#REF!</v>
      </c>
      <c r="P54" s="70"/>
      <c r="Q54" s="70" t="e">
        <f t="shared" ca="1" si="3"/>
        <v>#REF!</v>
      </c>
      <c r="R54" s="20" t="e">
        <f t="shared" ca="1" si="4"/>
        <v>#REF!</v>
      </c>
      <c r="S54" s="5" t="e">
        <f t="shared" ca="1" si="5"/>
        <v>#REF!</v>
      </c>
      <c r="T54" s="70" t="s">
        <v>244</v>
      </c>
      <c r="U54" s="20">
        <v>43535</v>
      </c>
      <c r="V54" s="70" t="s">
        <v>245</v>
      </c>
    </row>
    <row r="55" spans="1:22" ht="12.75" customHeight="1">
      <c r="A55" s="70" t="s">
        <v>121</v>
      </c>
      <c r="B55" s="56" t="s">
        <v>59</v>
      </c>
      <c r="C55" s="56" t="s">
        <v>316</v>
      </c>
      <c r="D55" s="56" t="s">
        <v>264</v>
      </c>
      <c r="E55" s="56" t="s">
        <v>243</v>
      </c>
      <c r="F55" s="56">
        <v>65</v>
      </c>
      <c r="G55" s="56" t="str">
        <f>VLOOKUP(C55,'2a. PROFITLOSSLITE - PLL'!F:T,15,FALSE)</f>
        <v>Ticker</v>
      </c>
      <c r="H55" s="20">
        <v>43538</v>
      </c>
      <c r="I55" s="70" t="e">
        <v>#N/A</v>
      </c>
      <c r="J55" s="70" t="e">
        <f t="shared" ca="1" si="6"/>
        <v>#REF!</v>
      </c>
      <c r="K55" s="70" t="e">
        <f t="shared" ca="1" si="0"/>
        <v>#N/A</v>
      </c>
      <c r="L55" s="70"/>
      <c r="M55" s="70" t="e">
        <f t="shared" ca="1" si="1"/>
        <v>#REF!</v>
      </c>
      <c r="N55" s="129" t="s">
        <v>317</v>
      </c>
      <c r="O55" s="70" t="e">
        <f t="shared" ca="1" si="2"/>
        <v>#REF!</v>
      </c>
      <c r="P55" s="70"/>
      <c r="Q55" s="70" t="e">
        <f t="shared" ca="1" si="3"/>
        <v>#REF!</v>
      </c>
      <c r="R55" s="20" t="e">
        <f t="shared" ca="1" si="4"/>
        <v>#REF!</v>
      </c>
      <c r="S55" s="5" t="e">
        <f t="shared" ca="1" si="5"/>
        <v>#REF!</v>
      </c>
      <c r="T55" s="70" t="s">
        <v>244</v>
      </c>
      <c r="U55" s="20">
        <v>43535</v>
      </c>
      <c r="V55" s="70" t="s">
        <v>245</v>
      </c>
    </row>
    <row r="56" spans="1:22" ht="12.75" customHeight="1">
      <c r="A56" s="70" t="s">
        <v>121</v>
      </c>
      <c r="B56" s="56" t="s">
        <v>59</v>
      </c>
      <c r="C56" s="56" t="s">
        <v>318</v>
      </c>
      <c r="D56" s="56" t="s">
        <v>264</v>
      </c>
      <c r="E56" s="56" t="s">
        <v>243</v>
      </c>
      <c r="F56" s="56">
        <v>35</v>
      </c>
      <c r="G56" s="56" t="str">
        <f>VLOOKUP(C56,'2a. PROFITLOSSLITE - PLL'!F:T,15,FALSE)</f>
        <v>CUSIP</v>
      </c>
      <c r="H56" s="20">
        <v>43538</v>
      </c>
      <c r="I56" s="70" t="e">
        <v>#N/A</v>
      </c>
      <c r="J56" s="70" t="e">
        <f t="shared" ca="1" si="6"/>
        <v>#REF!</v>
      </c>
      <c r="K56" s="70" t="e">
        <f t="shared" ca="1" si="0"/>
        <v>#N/A</v>
      </c>
      <c r="L56" s="70"/>
      <c r="M56" s="70" t="e">
        <f t="shared" ca="1" si="1"/>
        <v>#REF!</v>
      </c>
      <c r="N56" s="129" t="s">
        <v>319</v>
      </c>
      <c r="O56" s="70" t="e">
        <f t="shared" ca="1" si="2"/>
        <v>#REF!</v>
      </c>
      <c r="P56" s="70"/>
      <c r="Q56" s="70" t="e">
        <f t="shared" ca="1" si="3"/>
        <v>#REF!</v>
      </c>
      <c r="R56" s="20" t="e">
        <f t="shared" ca="1" si="4"/>
        <v>#REF!</v>
      </c>
      <c r="S56" s="5" t="e">
        <f t="shared" ca="1" si="5"/>
        <v>#REF!</v>
      </c>
      <c r="T56" s="70" t="s">
        <v>244</v>
      </c>
      <c r="U56" s="20">
        <v>43535</v>
      </c>
      <c r="V56" s="70" t="s">
        <v>245</v>
      </c>
    </row>
    <row r="57" spans="1:22" ht="12.75" customHeight="1">
      <c r="A57" s="70" t="s">
        <v>121</v>
      </c>
      <c r="B57" s="56" t="s">
        <v>59</v>
      </c>
      <c r="C57" s="56" t="s">
        <v>320</v>
      </c>
      <c r="D57" s="56" t="s">
        <v>264</v>
      </c>
      <c r="E57" s="56" t="s">
        <v>243</v>
      </c>
      <c r="F57" s="56">
        <v>59</v>
      </c>
      <c r="G57" s="56" t="str">
        <f>VLOOKUP(C57,'2a. PROFITLOSSLITE - PLL'!F:T,15,FALSE)</f>
        <v>SEDOL</v>
      </c>
      <c r="H57" s="20">
        <v>43538</v>
      </c>
      <c r="I57" s="70" t="e">
        <v>#N/A</v>
      </c>
      <c r="J57" s="70" t="e">
        <f t="shared" ca="1" si="6"/>
        <v>#REF!</v>
      </c>
      <c r="K57" s="70" t="e">
        <f t="shared" ca="1" si="0"/>
        <v>#N/A</v>
      </c>
      <c r="L57" s="70"/>
      <c r="M57" s="70" t="e">
        <f t="shared" ca="1" si="1"/>
        <v>#REF!</v>
      </c>
      <c r="N57" s="129" t="s">
        <v>321</v>
      </c>
      <c r="O57" s="70" t="e">
        <f t="shared" ca="1" si="2"/>
        <v>#REF!</v>
      </c>
      <c r="P57" s="70"/>
      <c r="Q57" s="70" t="e">
        <f t="shared" ca="1" si="3"/>
        <v>#REF!</v>
      </c>
      <c r="R57" s="20" t="e">
        <f t="shared" ca="1" si="4"/>
        <v>#REF!</v>
      </c>
      <c r="S57" s="5" t="e">
        <f t="shared" ca="1" si="5"/>
        <v>#REF!</v>
      </c>
      <c r="T57" s="70" t="s">
        <v>244</v>
      </c>
      <c r="U57" s="20">
        <v>43535</v>
      </c>
      <c r="V57" s="70" t="s">
        <v>245</v>
      </c>
    </row>
    <row r="58" spans="1:22" ht="12.75" customHeight="1">
      <c r="A58" s="70" t="s">
        <v>121</v>
      </c>
      <c r="B58" s="56" t="s">
        <v>59</v>
      </c>
      <c r="C58" s="56" t="s">
        <v>322</v>
      </c>
      <c r="D58" s="56" t="s">
        <v>264</v>
      </c>
      <c r="E58" s="56" t="s">
        <v>243</v>
      </c>
      <c r="F58" s="56">
        <v>41</v>
      </c>
      <c r="G58" s="56" t="str">
        <f>VLOOKUP(C58,'2a. PROFITLOSSLITE - PLL'!F:T,15,FALSE)</f>
        <v>ISIN</v>
      </c>
      <c r="H58" s="20">
        <v>43538</v>
      </c>
      <c r="I58" s="70" t="e">
        <v>#N/A</v>
      </c>
      <c r="J58" s="70" t="e">
        <f t="shared" ca="1" si="6"/>
        <v>#REF!</v>
      </c>
      <c r="K58" s="70" t="e">
        <f t="shared" ca="1" si="0"/>
        <v>#N/A</v>
      </c>
      <c r="L58" s="70"/>
      <c r="M58" s="70" t="e">
        <f t="shared" ca="1" si="1"/>
        <v>#REF!</v>
      </c>
      <c r="N58" s="129" t="s">
        <v>323</v>
      </c>
      <c r="O58" s="70" t="e">
        <f t="shared" ca="1" si="2"/>
        <v>#REF!</v>
      </c>
      <c r="P58" s="70"/>
      <c r="Q58" s="70" t="e">
        <f t="shared" ca="1" si="3"/>
        <v>#REF!</v>
      </c>
      <c r="R58" s="20" t="e">
        <f t="shared" ca="1" si="4"/>
        <v>#REF!</v>
      </c>
      <c r="S58" s="5" t="e">
        <f t="shared" ca="1" si="5"/>
        <v>#REF!</v>
      </c>
      <c r="T58" s="70" t="s">
        <v>244</v>
      </c>
      <c r="U58" s="20">
        <v>43535</v>
      </c>
      <c r="V58" s="70" t="s">
        <v>245</v>
      </c>
    </row>
    <row r="59" spans="1:22" ht="12.75" customHeight="1">
      <c r="A59" s="70" t="s">
        <v>121</v>
      </c>
      <c r="B59" s="56" t="s">
        <v>61</v>
      </c>
      <c r="C59" s="56" t="s">
        <v>153</v>
      </c>
      <c r="D59" s="56" t="s">
        <v>324</v>
      </c>
      <c r="E59" s="56" t="s">
        <v>243</v>
      </c>
      <c r="F59" s="56">
        <v>55</v>
      </c>
      <c r="G59" s="56" t="str">
        <f>VLOOKUP(C59,'2a. PROFITLOSSLITE - PLL'!F:T,15,FALSE)</f>
        <v>Long description/name of the security</v>
      </c>
      <c r="H59" s="20">
        <v>43538</v>
      </c>
      <c r="I59" s="70" t="e">
        <v>#N/A</v>
      </c>
      <c r="J59" s="70" t="e">
        <f t="shared" ca="1" si="6"/>
        <v>#REF!</v>
      </c>
      <c r="K59" s="70" t="e">
        <f t="shared" ca="1" si="0"/>
        <v>#N/A</v>
      </c>
      <c r="L59" s="70"/>
      <c r="M59" s="70" t="e">
        <f t="shared" ca="1" si="1"/>
        <v>#REF!</v>
      </c>
      <c r="N59" s="129" t="s">
        <v>325</v>
      </c>
      <c r="O59" s="70" t="e">
        <f t="shared" ca="1" si="2"/>
        <v>#REF!</v>
      </c>
      <c r="P59" s="70"/>
      <c r="Q59" s="70" t="e">
        <f t="shared" ca="1" si="3"/>
        <v>#REF!</v>
      </c>
      <c r="R59" s="20" t="e">
        <f t="shared" ca="1" si="4"/>
        <v>#REF!</v>
      </c>
      <c r="S59" s="5" t="e">
        <f t="shared" ca="1" si="5"/>
        <v>#REF!</v>
      </c>
      <c r="T59" s="70" t="s">
        <v>244</v>
      </c>
      <c r="U59" s="20">
        <v>43535</v>
      </c>
      <c r="V59" s="70" t="s">
        <v>245</v>
      </c>
    </row>
    <row r="60" spans="1:22" ht="12.75" customHeight="1">
      <c r="A60" s="70" t="s">
        <v>121</v>
      </c>
      <c r="B60" s="56" t="s">
        <v>55</v>
      </c>
      <c r="C60" s="56" t="s">
        <v>326</v>
      </c>
      <c r="D60" s="56" t="s">
        <v>242</v>
      </c>
      <c r="E60" s="56" t="s">
        <v>243</v>
      </c>
      <c r="F60" s="22"/>
      <c r="G60" s="21" t="str">
        <f>VLOOKUP(C60,'2a. PROFITLOSSLITE - PLL'!F:T,15,FALSE)</f>
        <v>Alternate security short description</v>
      </c>
      <c r="H60" s="20">
        <v>43538</v>
      </c>
      <c r="I60" s="70" t="e">
        <v>#N/A</v>
      </c>
      <c r="J60" s="70" t="e">
        <f t="shared" ca="1" si="6"/>
        <v>#REF!</v>
      </c>
      <c r="K60" s="70" t="e">
        <f t="shared" ca="1" si="0"/>
        <v>#N/A</v>
      </c>
      <c r="L60" s="70"/>
      <c r="M60" s="70" t="e">
        <f t="shared" ca="1" si="1"/>
        <v>#REF!</v>
      </c>
      <c r="N60" s="129" t="s">
        <v>327</v>
      </c>
      <c r="O60" s="70" t="e">
        <f t="shared" ca="1" si="2"/>
        <v>#REF!</v>
      </c>
      <c r="P60" s="70"/>
      <c r="Q60" s="70" t="e">
        <f t="shared" ca="1" si="3"/>
        <v>#REF!</v>
      </c>
      <c r="R60" s="20" t="e">
        <f t="shared" ca="1" si="4"/>
        <v>#REF!</v>
      </c>
      <c r="S60" s="5" t="e">
        <f t="shared" ca="1" si="5"/>
        <v>#REF!</v>
      </c>
      <c r="T60" s="70" t="s">
        <v>244</v>
      </c>
      <c r="U60" s="20">
        <v>43535</v>
      </c>
      <c r="V60" s="70" t="s">
        <v>245</v>
      </c>
    </row>
    <row r="61" spans="1:22" ht="12.75" customHeight="1">
      <c r="A61" s="70" t="s">
        <v>121</v>
      </c>
      <c r="B61" s="56" t="s">
        <v>59</v>
      </c>
      <c r="C61" s="56" t="s">
        <v>328</v>
      </c>
      <c r="D61" s="56" t="s">
        <v>329</v>
      </c>
      <c r="E61" s="56" t="s">
        <v>243</v>
      </c>
      <c r="F61" s="56">
        <v>45</v>
      </c>
      <c r="G61" s="56" t="str">
        <f>VLOOKUP(C61,'2a. PROFITLOSSLITE - PLL'!F:T,15,FALSE)</f>
        <v>Price of the holding/lot in the local currency of the security</v>
      </c>
      <c r="H61" s="20">
        <v>43538</v>
      </c>
      <c r="I61" s="70" t="e">
        <v>#N/A</v>
      </c>
      <c r="J61" s="70" t="e">
        <f t="shared" ca="1" si="6"/>
        <v>#REF!</v>
      </c>
      <c r="K61" s="70" t="e">
        <f t="shared" ca="1" si="0"/>
        <v>#N/A</v>
      </c>
      <c r="L61" s="70"/>
      <c r="M61" s="70" t="e">
        <f t="shared" ca="1" si="1"/>
        <v>#REF!</v>
      </c>
      <c r="N61" s="129" t="s">
        <v>330</v>
      </c>
      <c r="O61" s="70" t="e">
        <f t="shared" ca="1" si="2"/>
        <v>#REF!</v>
      </c>
      <c r="P61" s="70"/>
      <c r="Q61" s="70" t="e">
        <f t="shared" ca="1" si="3"/>
        <v>#REF!</v>
      </c>
      <c r="R61" s="20" t="e">
        <f t="shared" ca="1" si="4"/>
        <v>#REF!</v>
      </c>
      <c r="S61" s="5" t="e">
        <f t="shared" ca="1" si="5"/>
        <v>#REF!</v>
      </c>
      <c r="T61" s="70" t="s">
        <v>244</v>
      </c>
      <c r="U61" s="20">
        <v>43535</v>
      </c>
      <c r="V61" s="70" t="s">
        <v>245</v>
      </c>
    </row>
    <row r="62" spans="1:22" ht="12.75" customHeight="1">
      <c r="A62" s="70" t="s">
        <v>121</v>
      </c>
      <c r="B62" s="56" t="s">
        <v>59</v>
      </c>
      <c r="C62" s="56" t="s">
        <v>331</v>
      </c>
      <c r="D62" s="56" t="s">
        <v>329</v>
      </c>
      <c r="E62" s="56" t="s">
        <v>243</v>
      </c>
      <c r="F62" s="56">
        <v>39</v>
      </c>
      <c r="G62" s="56" t="str">
        <f>VLOOKUP(C62,'2a. PROFITLOSSLITE - PLL'!F:T,15,FALSE)</f>
        <v>Exchange rate as of the date of the valuation for the holding/lot from Local to Book CCY</v>
      </c>
      <c r="H62" s="20">
        <v>43538</v>
      </c>
      <c r="I62" s="70" t="e">
        <v>#N/A</v>
      </c>
      <c r="J62" s="70" t="e">
        <f t="shared" ca="1" si="6"/>
        <v>#REF!</v>
      </c>
      <c r="K62" s="70" t="e">
        <f t="shared" ca="1" si="0"/>
        <v>#N/A</v>
      </c>
      <c r="L62" s="70"/>
      <c r="M62" s="70" t="e">
        <f t="shared" ca="1" si="1"/>
        <v>#REF!</v>
      </c>
      <c r="N62" s="129" t="s">
        <v>332</v>
      </c>
      <c r="O62" s="70" t="e">
        <f t="shared" ca="1" si="2"/>
        <v>#REF!</v>
      </c>
      <c r="P62" s="70"/>
      <c r="Q62" s="70" t="e">
        <f t="shared" ca="1" si="3"/>
        <v>#REF!</v>
      </c>
      <c r="R62" s="20" t="e">
        <f t="shared" ca="1" si="4"/>
        <v>#REF!</v>
      </c>
      <c r="S62" s="5" t="e">
        <f t="shared" ca="1" si="5"/>
        <v>#REF!</v>
      </c>
      <c r="T62" s="70" t="s">
        <v>244</v>
      </c>
      <c r="U62" s="20">
        <v>43535</v>
      </c>
      <c r="V62" s="70" t="s">
        <v>245</v>
      </c>
    </row>
    <row r="63" spans="1:22" ht="12.75" customHeight="1">
      <c r="A63" s="70" t="s">
        <v>121</v>
      </c>
      <c r="B63" s="56" t="s">
        <v>61</v>
      </c>
      <c r="C63" s="56" t="s">
        <v>333</v>
      </c>
      <c r="D63" s="56" t="s">
        <v>329</v>
      </c>
      <c r="E63" s="56" t="s">
        <v>243</v>
      </c>
      <c r="F63" s="56">
        <v>28</v>
      </c>
      <c r="G63" s="56" t="str">
        <f>VLOOKUP(C63,'2a. PROFITLOSSLITE - PLL'!F:T,15,FALSE)</f>
        <v>Price of the holding/lot in the account's currency</v>
      </c>
      <c r="H63" s="20">
        <v>43538</v>
      </c>
      <c r="I63" s="70" t="e">
        <v>#N/A</v>
      </c>
      <c r="J63" s="70" t="e">
        <f t="shared" ca="1" si="6"/>
        <v>#REF!</v>
      </c>
      <c r="K63" s="70" t="e">
        <f t="shared" ca="1" si="0"/>
        <v>#N/A</v>
      </c>
      <c r="L63" s="70"/>
      <c r="M63" s="70" t="e">
        <f t="shared" ca="1" si="1"/>
        <v>#REF!</v>
      </c>
      <c r="N63" s="129" t="s">
        <v>334</v>
      </c>
      <c r="O63" s="70" t="e">
        <f t="shared" ca="1" si="2"/>
        <v>#REF!</v>
      </c>
      <c r="P63" s="70"/>
      <c r="Q63" s="70" t="e">
        <f t="shared" ca="1" si="3"/>
        <v>#REF!</v>
      </c>
      <c r="R63" s="20" t="e">
        <f t="shared" ca="1" si="4"/>
        <v>#REF!</v>
      </c>
      <c r="S63" s="5" t="e">
        <f t="shared" ca="1" si="5"/>
        <v>#REF!</v>
      </c>
      <c r="T63" s="70" t="s">
        <v>244</v>
      </c>
      <c r="U63" s="20">
        <v>43535</v>
      </c>
      <c r="V63" s="70" t="s">
        <v>245</v>
      </c>
    </row>
    <row r="64" spans="1:22" ht="12.75" customHeight="1">
      <c r="A64" s="70" t="s">
        <v>121</v>
      </c>
      <c r="B64" s="70" t="s">
        <v>55</v>
      </c>
      <c r="C64" s="56" t="s">
        <v>335</v>
      </c>
      <c r="D64" s="56" t="s">
        <v>329</v>
      </c>
      <c r="E64" s="70" t="s">
        <v>243</v>
      </c>
      <c r="F64" s="70">
        <v>102</v>
      </c>
      <c r="G64" s="56" t="str">
        <f>VLOOKUP(C64,'2a. PROFITLOSSLITE - PLL'!F:T,15,FALSE)</f>
        <v>Price of the holding/lot in the account's currency.</v>
      </c>
      <c r="H64" s="20">
        <v>43538</v>
      </c>
      <c r="I64" s="70" t="e">
        <v>#N/A</v>
      </c>
      <c r="J64" s="70" t="e">
        <f t="shared" ca="1" si="6"/>
        <v>#REF!</v>
      </c>
      <c r="K64" s="70" t="e">
        <f t="shared" ca="1" si="0"/>
        <v>#N/A</v>
      </c>
      <c r="L64" s="70"/>
      <c r="M64" s="70" t="e">
        <f t="shared" ca="1" si="1"/>
        <v>#REF!</v>
      </c>
      <c r="N64" s="129" t="s">
        <v>336</v>
      </c>
      <c r="O64" s="70" t="e">
        <f t="shared" ca="1" si="2"/>
        <v>#REF!</v>
      </c>
      <c r="P64" s="70"/>
      <c r="Q64" s="70" t="e">
        <f t="shared" ca="1" si="3"/>
        <v>#REF!</v>
      </c>
      <c r="R64" s="20" t="e">
        <f t="shared" ca="1" si="4"/>
        <v>#REF!</v>
      </c>
      <c r="S64" s="5" t="e">
        <f t="shared" ca="1" si="5"/>
        <v>#REF!</v>
      </c>
      <c r="T64" s="70" t="s">
        <v>244</v>
      </c>
      <c r="U64" s="20">
        <v>43535</v>
      </c>
      <c r="V64" s="70" t="s">
        <v>245</v>
      </c>
    </row>
    <row r="65" spans="1:22" ht="12.75" customHeight="1">
      <c r="A65" s="70" t="s">
        <v>121</v>
      </c>
      <c r="B65" s="56" t="s">
        <v>59</v>
      </c>
      <c r="C65" s="56" t="s">
        <v>129</v>
      </c>
      <c r="D65" s="56" t="s">
        <v>250</v>
      </c>
      <c r="E65" s="56" t="s">
        <v>243</v>
      </c>
      <c r="F65" s="56">
        <v>43</v>
      </c>
      <c r="G65" s="56" t="str">
        <f>VLOOKUP(C65,'2a. PROFITLOSSLITE - PLL'!F:T,15,FALSE)</f>
        <v>Local Currenty Code (e.g. USD)</v>
      </c>
      <c r="H65" s="20">
        <v>43538</v>
      </c>
      <c r="I65" s="70" t="e">
        <v>#N/A</v>
      </c>
      <c r="J65" s="70" t="e">
        <f t="shared" ca="1" si="6"/>
        <v>#REF!</v>
      </c>
      <c r="K65" s="70" t="e">
        <f t="shared" ca="1" si="0"/>
        <v>#N/A</v>
      </c>
      <c r="L65" s="70"/>
      <c r="M65" s="70" t="e">
        <f t="shared" ca="1" si="1"/>
        <v>#REF!</v>
      </c>
      <c r="N65" s="129" t="s">
        <v>337</v>
      </c>
      <c r="O65" s="70" t="e">
        <f t="shared" ca="1" si="2"/>
        <v>#REF!</v>
      </c>
      <c r="P65" s="70"/>
      <c r="Q65" s="70" t="e">
        <f t="shared" ca="1" si="3"/>
        <v>#REF!</v>
      </c>
      <c r="R65" s="20" t="e">
        <f t="shared" ca="1" si="4"/>
        <v>#REF!</v>
      </c>
      <c r="S65" s="5" t="e">
        <f t="shared" ca="1" si="5"/>
        <v>#REF!</v>
      </c>
      <c r="T65" s="70" t="s">
        <v>244</v>
      </c>
      <c r="U65" s="20">
        <v>43536</v>
      </c>
      <c r="V65" s="70" t="s">
        <v>338</v>
      </c>
    </row>
    <row r="66" spans="1:22" ht="12.75" customHeight="1">
      <c r="A66" s="70" t="s">
        <v>121</v>
      </c>
      <c r="B66" s="56" t="s">
        <v>59</v>
      </c>
      <c r="C66" s="56" t="s">
        <v>339</v>
      </c>
      <c r="D66" s="56" t="s">
        <v>242</v>
      </c>
      <c r="E66" s="56" t="s">
        <v>243</v>
      </c>
      <c r="F66" s="56">
        <v>72</v>
      </c>
      <c r="G66" s="56" t="str">
        <f>VLOOKUP(C66,'2a. PROFITLOSSLITE - PLL'!F:T,15,FALSE)</f>
        <v>Description of the Local Currency of the Holding (e.g. U.S. Dollar)</v>
      </c>
      <c r="H66" s="20">
        <v>43538</v>
      </c>
      <c r="I66" s="70" t="e">
        <v>#N/A</v>
      </c>
      <c r="J66" s="70" t="e">
        <f t="shared" ca="1" si="6"/>
        <v>#REF!</v>
      </c>
      <c r="K66" s="70" t="e">
        <f t="shared" ca="1" si="0"/>
        <v>#N/A</v>
      </c>
      <c r="L66" s="70"/>
      <c r="M66" s="70" t="e">
        <f t="shared" ca="1" si="1"/>
        <v>#REF!</v>
      </c>
      <c r="N66" s="129" t="s">
        <v>340</v>
      </c>
      <c r="O66" s="70" t="e">
        <f t="shared" ca="1" si="2"/>
        <v>#REF!</v>
      </c>
      <c r="P66" s="70"/>
      <c r="Q66" s="70" t="e">
        <f t="shared" ca="1" si="3"/>
        <v>#REF!</v>
      </c>
      <c r="R66" s="20" t="e">
        <f t="shared" ca="1" si="4"/>
        <v>#REF!</v>
      </c>
      <c r="S66" s="5" t="e">
        <f t="shared" ca="1" si="5"/>
        <v>#REF!</v>
      </c>
      <c r="T66" s="70" t="s">
        <v>244</v>
      </c>
      <c r="U66" s="20">
        <v>43536</v>
      </c>
      <c r="V66" s="70" t="s">
        <v>338</v>
      </c>
    </row>
    <row r="67" spans="1:22" ht="12.75" customHeight="1">
      <c r="A67" s="70" t="s">
        <v>121</v>
      </c>
      <c r="B67" s="56" t="s">
        <v>59</v>
      </c>
      <c r="C67" s="56" t="s">
        <v>341</v>
      </c>
      <c r="D67" s="56" t="s">
        <v>247</v>
      </c>
      <c r="E67" s="56" t="s">
        <v>243</v>
      </c>
      <c r="F67" s="56">
        <v>32</v>
      </c>
      <c r="G67" s="56" t="str">
        <f>VLOOKUP(C67,'2a. PROFITLOSSLITE - PLL'!F:T,15,FALSE)</f>
        <v>Contry of Issuance</v>
      </c>
      <c r="H67" s="20">
        <v>43538</v>
      </c>
      <c r="I67" s="70" t="e">
        <v>#N/A</v>
      </c>
      <c r="J67" s="70" t="e">
        <f t="shared" ca="1" si="6"/>
        <v>#REF!</v>
      </c>
      <c r="K67" s="70" t="e">
        <f t="shared" ca="1" si="0"/>
        <v>#N/A</v>
      </c>
      <c r="L67" s="70"/>
      <c r="M67" s="70" t="e">
        <f t="shared" ca="1" si="1"/>
        <v>#REF!</v>
      </c>
      <c r="N67" s="129" t="s">
        <v>342</v>
      </c>
      <c r="O67" s="70" t="e">
        <f t="shared" ca="1" si="2"/>
        <v>#REF!</v>
      </c>
      <c r="P67" s="70"/>
      <c r="Q67" s="70" t="e">
        <f t="shared" ca="1" si="3"/>
        <v>#REF!</v>
      </c>
      <c r="R67" s="20" t="e">
        <f t="shared" ca="1" si="4"/>
        <v>#REF!</v>
      </c>
      <c r="S67" s="5" t="e">
        <f t="shared" ca="1" si="5"/>
        <v>#REF!</v>
      </c>
      <c r="T67" s="70" t="s">
        <v>244</v>
      </c>
      <c r="U67" s="20">
        <v>43535</v>
      </c>
      <c r="V67" s="70" t="s">
        <v>245</v>
      </c>
    </row>
    <row r="68" spans="1:22" ht="12.75" customHeight="1">
      <c r="A68" s="70" t="s">
        <v>121</v>
      </c>
      <c r="B68" s="56" t="s">
        <v>59</v>
      </c>
      <c r="C68" s="56" t="s">
        <v>343</v>
      </c>
      <c r="D68" s="56" t="s">
        <v>247</v>
      </c>
      <c r="E68" s="56" t="s">
        <v>243</v>
      </c>
      <c r="F68" s="56">
        <v>33</v>
      </c>
      <c r="G68" s="56" t="str">
        <f>VLOOKUP(C68,'2a. PROFITLOSSLITE - PLL'!F:T,15,FALSE)</f>
        <v>Country of Risk</v>
      </c>
      <c r="H68" s="20">
        <v>43538</v>
      </c>
      <c r="I68" s="70" t="e">
        <v>#N/A</v>
      </c>
      <c r="J68" s="70" t="e">
        <f t="shared" ca="1" si="6"/>
        <v>#REF!</v>
      </c>
      <c r="K68" s="70" t="e">
        <f t="shared" ca="1" si="0"/>
        <v>#N/A</v>
      </c>
      <c r="L68" s="70"/>
      <c r="M68" s="70" t="e">
        <f t="shared" ca="1" si="1"/>
        <v>#REF!</v>
      </c>
      <c r="N68" s="129" t="s">
        <v>344</v>
      </c>
      <c r="O68" s="70" t="e">
        <f t="shared" ca="1" si="2"/>
        <v>#REF!</v>
      </c>
      <c r="P68" s="70"/>
      <c r="Q68" s="70" t="e">
        <f t="shared" ca="1" si="3"/>
        <v>#REF!</v>
      </c>
      <c r="R68" s="20" t="e">
        <f t="shared" ca="1" si="4"/>
        <v>#REF!</v>
      </c>
      <c r="S68" s="5" t="e">
        <f t="shared" ca="1" si="5"/>
        <v>#REF!</v>
      </c>
      <c r="T68" s="70" t="s">
        <v>244</v>
      </c>
      <c r="U68" s="20">
        <v>43535</v>
      </c>
      <c r="V68" s="70" t="s">
        <v>245</v>
      </c>
    </row>
    <row r="69" spans="1:22" ht="12.75" customHeight="1">
      <c r="A69" s="70" t="s">
        <v>121</v>
      </c>
      <c r="B69" s="56" t="s">
        <v>55</v>
      </c>
      <c r="C69" s="56" t="s">
        <v>345</v>
      </c>
      <c r="D69" s="56" t="s">
        <v>346</v>
      </c>
      <c r="E69" s="56" t="s">
        <v>243</v>
      </c>
      <c r="F69" s="56">
        <v>49</v>
      </c>
      <c r="G69" s="56" t="str">
        <f>VLOOKUP(C69,'2a. PROFITLOSSLITE - PLL'!F:T,15,FALSE)</f>
        <v>Flexible, but common values ar "EQUITY: Equity; MoE: MediumOfExchange; INT: InterestBearing; OPTION: Option; SWAP: Swap; BENCHMARK: Benchmark; FUND: Fund"</v>
      </c>
      <c r="H69" s="20">
        <v>43538</v>
      </c>
      <c r="I69" s="70" t="e">
        <v>#N/A</v>
      </c>
      <c r="J69" s="70" t="e">
        <f t="shared" ca="1" si="6"/>
        <v>#REF!</v>
      </c>
      <c r="K69" s="70" t="e">
        <f t="shared" ca="1" si="0"/>
        <v>#N/A</v>
      </c>
      <c r="L69" s="70"/>
      <c r="M69" s="70" t="e">
        <f t="shared" ca="1" si="1"/>
        <v>#REF!</v>
      </c>
      <c r="N69" s="129" t="s">
        <v>347</v>
      </c>
      <c r="O69" s="70" t="e">
        <f t="shared" ca="1" si="2"/>
        <v>#REF!</v>
      </c>
      <c r="P69" s="70"/>
      <c r="Q69" s="70" t="e">
        <f t="shared" ca="1" si="3"/>
        <v>#REF!</v>
      </c>
      <c r="R69" s="20" t="e">
        <f t="shared" ca="1" si="4"/>
        <v>#REF!</v>
      </c>
      <c r="S69" s="5" t="e">
        <f t="shared" ca="1" si="5"/>
        <v>#REF!</v>
      </c>
      <c r="T69" s="70" t="s">
        <v>244</v>
      </c>
      <c r="U69" s="20">
        <v>43535</v>
      </c>
      <c r="V69" s="70" t="s">
        <v>245</v>
      </c>
    </row>
    <row r="70" spans="1:22" ht="12.75" customHeight="1">
      <c r="A70" s="70" t="s">
        <v>121</v>
      </c>
      <c r="B70" s="56" t="s">
        <v>59</v>
      </c>
      <c r="C70" s="56" t="s">
        <v>151</v>
      </c>
      <c r="D70" s="56" t="s">
        <v>247</v>
      </c>
      <c r="E70" s="56" t="s">
        <v>243</v>
      </c>
      <c r="F70" s="56">
        <v>56</v>
      </c>
      <c r="G70" s="56" t="str">
        <f>VLOOKUP(C70,'2a. PROFITLOSSLITE - PLL'!F:T,15,FALSE)</f>
        <v>Highest Sector Level</v>
      </c>
      <c r="H70" s="20">
        <v>43538</v>
      </c>
      <c r="I70" s="70" t="e">
        <v>#N/A</v>
      </c>
      <c r="J70" s="70" t="e">
        <f t="shared" ca="1" si="6"/>
        <v>#REF!</v>
      </c>
      <c r="K70" s="70" t="e">
        <f t="shared" ca="1" si="0"/>
        <v>#N/A</v>
      </c>
      <c r="L70" s="70"/>
      <c r="M70" s="70" t="e">
        <f t="shared" ca="1" si="1"/>
        <v>#REF!</v>
      </c>
      <c r="N70" s="129" t="s">
        <v>348</v>
      </c>
      <c r="O70" s="70" t="e">
        <f t="shared" ca="1" si="2"/>
        <v>#REF!</v>
      </c>
      <c r="P70" s="70"/>
      <c r="Q70" s="70" t="e">
        <f t="shared" ca="1" si="3"/>
        <v>#REF!</v>
      </c>
      <c r="R70" s="20" t="e">
        <f t="shared" ca="1" si="4"/>
        <v>#REF!</v>
      </c>
      <c r="S70" s="5" t="e">
        <f t="shared" ca="1" si="5"/>
        <v>#REF!</v>
      </c>
      <c r="T70" s="70" t="s">
        <v>244</v>
      </c>
      <c r="U70" s="20">
        <v>43535</v>
      </c>
      <c r="V70" s="70" t="s">
        <v>245</v>
      </c>
    </row>
    <row r="71" spans="1:22" ht="12.75" customHeight="1">
      <c r="A71" s="70" t="s">
        <v>121</v>
      </c>
      <c r="B71" s="56" t="s">
        <v>59</v>
      </c>
      <c r="C71" s="56" t="s">
        <v>349</v>
      </c>
      <c r="D71" s="56" t="s">
        <v>247</v>
      </c>
      <c r="E71" s="56" t="s">
        <v>243</v>
      </c>
      <c r="F71" s="56">
        <v>57</v>
      </c>
      <c r="G71" s="56" t="str">
        <f>VLOOKUP(C71,'2a. PROFITLOSSLITE - PLL'!F:T,15,FALSE)</f>
        <v>2nd Level sector</v>
      </c>
      <c r="H71" s="20">
        <v>43538</v>
      </c>
      <c r="I71" s="70" t="e">
        <v>#N/A</v>
      </c>
      <c r="J71" s="70" t="e">
        <f t="shared" ca="1" si="6"/>
        <v>#REF!</v>
      </c>
      <c r="K71" s="70" t="e">
        <f t="shared" ca="1" si="0"/>
        <v>#N/A</v>
      </c>
      <c r="L71" s="70"/>
      <c r="M71" s="70" t="e">
        <f t="shared" ca="1" si="1"/>
        <v>#REF!</v>
      </c>
      <c r="N71" s="129" t="s">
        <v>350</v>
      </c>
      <c r="O71" s="70" t="e">
        <f t="shared" ca="1" si="2"/>
        <v>#REF!</v>
      </c>
      <c r="P71" s="70"/>
      <c r="Q71" s="70" t="e">
        <f t="shared" ca="1" si="3"/>
        <v>#REF!</v>
      </c>
      <c r="R71" s="20" t="e">
        <f t="shared" ca="1" si="4"/>
        <v>#REF!</v>
      </c>
      <c r="S71" s="5" t="e">
        <f t="shared" ca="1" si="5"/>
        <v>#REF!</v>
      </c>
      <c r="T71" s="70" t="s">
        <v>244</v>
      </c>
      <c r="U71" s="20">
        <v>43535</v>
      </c>
      <c r="V71" s="70" t="s">
        <v>245</v>
      </c>
    </row>
    <row r="72" spans="1:22" ht="12.75" customHeight="1">
      <c r="A72" s="70" t="s">
        <v>121</v>
      </c>
      <c r="B72" s="56" t="s">
        <v>55</v>
      </c>
      <c r="C72" s="56" t="s">
        <v>351</v>
      </c>
      <c r="D72" s="56" t="s">
        <v>247</v>
      </c>
      <c r="E72" s="56" t="s">
        <v>243</v>
      </c>
      <c r="F72" s="56">
        <v>58</v>
      </c>
      <c r="G72" s="56" t="str">
        <f>VLOOKUP(C72,'2a. PROFITLOSSLITE - PLL'!F:T,15,FALSE)</f>
        <v>3rd Level secotr (most granular)</v>
      </c>
      <c r="H72" s="20">
        <v>43538</v>
      </c>
      <c r="I72" s="70" t="e">
        <v>#N/A</v>
      </c>
      <c r="J72" s="70" t="e">
        <f t="shared" ca="1" si="6"/>
        <v>#REF!</v>
      </c>
      <c r="K72" s="70" t="e">
        <f t="shared" ca="1" si="0"/>
        <v>#N/A</v>
      </c>
      <c r="L72" s="70"/>
      <c r="M72" s="70" t="e">
        <f t="shared" ca="1" si="1"/>
        <v>#REF!</v>
      </c>
      <c r="N72" s="129" t="s">
        <v>352</v>
      </c>
      <c r="O72" s="70" t="e">
        <f t="shared" ca="1" si="2"/>
        <v>#REF!</v>
      </c>
      <c r="P72" s="70"/>
      <c r="Q72" s="70" t="e">
        <f t="shared" ca="1" si="3"/>
        <v>#REF!</v>
      </c>
      <c r="R72" s="20" t="e">
        <f t="shared" ca="1" si="4"/>
        <v>#REF!</v>
      </c>
      <c r="S72" s="5" t="e">
        <f t="shared" ca="1" si="5"/>
        <v>#REF!</v>
      </c>
      <c r="T72" s="70" t="s">
        <v>244</v>
      </c>
      <c r="U72" s="20">
        <v>43535</v>
      </c>
      <c r="V72" s="70" t="s">
        <v>245</v>
      </c>
    </row>
    <row r="73" spans="1:22" ht="12.75" customHeight="1">
      <c r="A73" s="70" t="s">
        <v>121</v>
      </c>
      <c r="B73" s="56" t="s">
        <v>59</v>
      </c>
      <c r="C73" s="56" t="s">
        <v>353</v>
      </c>
      <c r="D73" s="56" t="s">
        <v>346</v>
      </c>
      <c r="E73" s="56" t="s">
        <v>243</v>
      </c>
      <c r="F73" s="56">
        <v>46</v>
      </c>
      <c r="G73" s="56" t="str">
        <f>VLOOKUP(C73,'2a. PROFITLOSSLITE - PLL'!F:T,15,FALSE)</f>
        <v>Moody's Rating Code or Description</v>
      </c>
      <c r="H73" s="20">
        <v>43538</v>
      </c>
      <c r="I73" s="70" t="e">
        <v>#N/A</v>
      </c>
      <c r="J73" s="70" t="e">
        <f t="shared" ca="1" si="6"/>
        <v>#REF!</v>
      </c>
      <c r="K73" s="70" t="e">
        <f t="shared" ca="1" si="0"/>
        <v>#N/A</v>
      </c>
      <c r="L73" s="70"/>
      <c r="M73" s="70" t="e">
        <f t="shared" ca="1" si="1"/>
        <v>#REF!</v>
      </c>
      <c r="N73" s="129" t="s">
        <v>354</v>
      </c>
      <c r="O73" s="70" t="e">
        <f t="shared" ca="1" si="2"/>
        <v>#REF!</v>
      </c>
      <c r="P73" s="70"/>
      <c r="Q73" s="70" t="e">
        <f t="shared" ca="1" si="3"/>
        <v>#REF!</v>
      </c>
      <c r="R73" s="20" t="e">
        <f t="shared" ca="1" si="4"/>
        <v>#REF!</v>
      </c>
      <c r="S73" s="5" t="e">
        <f t="shared" ca="1" si="5"/>
        <v>#REF!</v>
      </c>
      <c r="T73" s="70" t="s">
        <v>244</v>
      </c>
      <c r="U73" s="20">
        <v>43535</v>
      </c>
      <c r="V73" s="70" t="s">
        <v>245</v>
      </c>
    </row>
    <row r="74" spans="1:22" ht="12.75" customHeight="1">
      <c r="A74" s="70" t="s">
        <v>121</v>
      </c>
      <c r="B74" s="56" t="s">
        <v>59</v>
      </c>
      <c r="C74" s="56" t="s">
        <v>355</v>
      </c>
      <c r="D74" s="56" t="s">
        <v>346</v>
      </c>
      <c r="E74" s="56" t="s">
        <v>243</v>
      </c>
      <c r="F74" s="56">
        <v>3</v>
      </c>
      <c r="G74" s="56" t="str">
        <f>VLOOKUP(C74,'2a. PROFITLOSSLITE - PLL'!F:T,15,FALSE)</f>
        <v>S&amp;P Rating</v>
      </c>
      <c r="H74" s="20">
        <v>43538</v>
      </c>
      <c r="I74" s="70" t="e">
        <v>#N/A</v>
      </c>
      <c r="J74" s="70" t="e">
        <f t="shared" ca="1" si="6"/>
        <v>#REF!</v>
      </c>
      <c r="K74" s="70" t="e">
        <f t="shared" ca="1" si="0"/>
        <v>#N/A</v>
      </c>
      <c r="L74" s="70"/>
      <c r="M74" s="70" t="e">
        <f t="shared" ca="1" si="1"/>
        <v>#REF!</v>
      </c>
      <c r="N74" s="129" t="s">
        <v>356</v>
      </c>
      <c r="O74" s="70" t="e">
        <f t="shared" ca="1" si="2"/>
        <v>#REF!</v>
      </c>
      <c r="P74" s="70"/>
      <c r="Q74" s="70" t="e">
        <f t="shared" ca="1" si="3"/>
        <v>#REF!</v>
      </c>
      <c r="R74" s="20" t="e">
        <f t="shared" ca="1" si="4"/>
        <v>#REF!</v>
      </c>
      <c r="S74" s="5" t="e">
        <f t="shared" ca="1" si="5"/>
        <v>#REF!</v>
      </c>
      <c r="T74" s="70" t="s">
        <v>244</v>
      </c>
      <c r="U74" s="20">
        <v>43535</v>
      </c>
      <c r="V74" s="70" t="s">
        <v>245</v>
      </c>
    </row>
    <row r="75" spans="1:22" ht="12.75" customHeight="1">
      <c r="A75" s="70" t="s">
        <v>121</v>
      </c>
      <c r="B75" s="56" t="s">
        <v>55</v>
      </c>
      <c r="C75" s="56" t="s">
        <v>357</v>
      </c>
      <c r="D75" s="56" t="s">
        <v>329</v>
      </c>
      <c r="E75" s="56" t="s">
        <v>243</v>
      </c>
      <c r="F75" s="22"/>
      <c r="G75" s="21" t="str">
        <f>VLOOKUP(C75,'2a. PROFITLOSSLITE - PLL'!F:T,15,FALSE)</f>
        <v>Annual income rate</v>
      </c>
      <c r="H75" s="20">
        <v>43538</v>
      </c>
      <c r="I75" s="70" t="e">
        <v>#N/A</v>
      </c>
      <c r="J75" s="70" t="e">
        <f t="shared" ca="1" si="6"/>
        <v>#REF!</v>
      </c>
      <c r="K75" s="70" t="e">
        <f t="shared" ca="1" si="0"/>
        <v>#N/A</v>
      </c>
      <c r="L75" s="70"/>
      <c r="M75" s="70" t="e">
        <f t="shared" ca="1" si="1"/>
        <v>#REF!</v>
      </c>
      <c r="N75" s="129" t="s">
        <v>358</v>
      </c>
      <c r="O75" s="70" t="e">
        <f t="shared" ca="1" si="2"/>
        <v>#REF!</v>
      </c>
      <c r="P75" s="70"/>
      <c r="Q75" s="70" t="e">
        <f t="shared" ca="1" si="3"/>
        <v>#REF!</v>
      </c>
      <c r="R75" s="20" t="e">
        <f t="shared" ca="1" si="4"/>
        <v>#REF!</v>
      </c>
      <c r="S75" s="5" t="e">
        <f t="shared" ca="1" si="5"/>
        <v>#REF!</v>
      </c>
      <c r="T75" s="70" t="s">
        <v>244</v>
      </c>
      <c r="U75" s="20">
        <v>43535</v>
      </c>
      <c r="V75" s="70" t="s">
        <v>245</v>
      </c>
    </row>
    <row r="76" spans="1:22" ht="12.75" customHeight="1">
      <c r="A76" s="70" t="s">
        <v>121</v>
      </c>
      <c r="B76" s="56" t="s">
        <v>55</v>
      </c>
      <c r="C76" s="56" t="s">
        <v>359</v>
      </c>
      <c r="D76" s="56" t="s">
        <v>329</v>
      </c>
      <c r="E76" s="56" t="s">
        <v>243</v>
      </c>
      <c r="F76" s="56">
        <v>93</v>
      </c>
      <c r="G76" s="56" t="str">
        <f>VLOOKUP(C76,'2a. PROFITLOSSLITE - PLL'!F:T,15,FALSE)</f>
        <v>Market Yield</v>
      </c>
      <c r="H76" s="20">
        <v>43538</v>
      </c>
      <c r="I76" s="70" t="e">
        <v>#N/A</v>
      </c>
      <c r="J76" s="70" t="e">
        <f t="shared" ca="1" si="6"/>
        <v>#REF!</v>
      </c>
      <c r="K76" s="70" t="e">
        <f t="shared" ca="1" si="0"/>
        <v>#N/A</v>
      </c>
      <c r="L76" s="70"/>
      <c r="M76" s="70" t="e">
        <f t="shared" ca="1" si="1"/>
        <v>#REF!</v>
      </c>
      <c r="N76" s="129" t="s">
        <v>360</v>
      </c>
      <c r="O76" s="70" t="e">
        <f t="shared" ca="1" si="2"/>
        <v>#REF!</v>
      </c>
      <c r="P76" s="70"/>
      <c r="Q76" s="70" t="e">
        <f t="shared" ca="1" si="3"/>
        <v>#REF!</v>
      </c>
      <c r="R76" s="20" t="e">
        <f t="shared" ca="1" si="4"/>
        <v>#REF!</v>
      </c>
      <c r="S76" s="5" t="e">
        <f t="shared" ca="1" si="5"/>
        <v>#REF!</v>
      </c>
      <c r="T76" s="70" t="s">
        <v>244</v>
      </c>
      <c r="U76" s="20">
        <v>43535</v>
      </c>
      <c r="V76" s="70" t="s">
        <v>245</v>
      </c>
    </row>
    <row r="77" spans="1:22" ht="12.75" customHeight="1">
      <c r="A77" s="70" t="s">
        <v>121</v>
      </c>
      <c r="B77" s="56" t="s">
        <v>55</v>
      </c>
      <c r="C77" s="56" t="s">
        <v>361</v>
      </c>
      <c r="D77" s="56" t="s">
        <v>255</v>
      </c>
      <c r="E77" s="56" t="s">
        <v>243</v>
      </c>
      <c r="F77" s="56">
        <v>40</v>
      </c>
      <c r="G77" s="56" t="str">
        <f>VLOOKUP(C77,'2a. PROFITLOSSLITE - PLL'!F:T,15,FALSE)</f>
        <v xml:space="preserve">Maturity Date / Expiry Date for Options </v>
      </c>
      <c r="H77" s="20">
        <v>43538</v>
      </c>
      <c r="I77" s="70" t="e">
        <v>#N/A</v>
      </c>
      <c r="J77" s="70" t="e">
        <f t="shared" ca="1" si="6"/>
        <v>#REF!</v>
      </c>
      <c r="K77" s="70" t="e">
        <f t="shared" ca="1" si="0"/>
        <v>#N/A</v>
      </c>
      <c r="L77" s="70"/>
      <c r="M77" s="70" t="e">
        <f t="shared" ca="1" si="1"/>
        <v>#REF!</v>
      </c>
      <c r="N77" s="129" t="s">
        <v>362</v>
      </c>
      <c r="O77" s="70" t="e">
        <f t="shared" ca="1" si="2"/>
        <v>#REF!</v>
      </c>
      <c r="P77" s="70"/>
      <c r="Q77" s="70" t="e">
        <f t="shared" ca="1" si="3"/>
        <v>#REF!</v>
      </c>
      <c r="R77" s="20" t="e">
        <f t="shared" ca="1" si="4"/>
        <v>#REF!</v>
      </c>
      <c r="S77" s="5" t="e">
        <f t="shared" ca="1" si="5"/>
        <v>#REF!</v>
      </c>
      <c r="T77" s="70" t="s">
        <v>244</v>
      </c>
      <c r="U77" s="20">
        <v>43536</v>
      </c>
      <c r="V77" s="70" t="s">
        <v>338</v>
      </c>
    </row>
    <row r="78" spans="1:22" ht="12.75" customHeight="1">
      <c r="A78" s="70" t="s">
        <v>121</v>
      </c>
      <c r="B78" s="56" t="s">
        <v>59</v>
      </c>
      <c r="C78" s="56" t="s">
        <v>363</v>
      </c>
      <c r="D78" s="56" t="s">
        <v>364</v>
      </c>
      <c r="E78" s="56" t="s">
        <v>243</v>
      </c>
      <c r="F78" s="56">
        <v>34</v>
      </c>
      <c r="G78" s="56" t="str">
        <f>VLOOKUP(C78,'2a. PROFITLOSSLITE - PLL'!F:T,15,FALSE)</f>
        <v>Coupon Rate</v>
      </c>
      <c r="H78" s="20">
        <v>43538</v>
      </c>
      <c r="I78" s="70" t="e">
        <v>#N/A</v>
      </c>
      <c r="J78" s="70" t="e">
        <f t="shared" ca="1" si="6"/>
        <v>#REF!</v>
      </c>
      <c r="K78" s="70" t="e">
        <f t="shared" ca="1" si="0"/>
        <v>#N/A</v>
      </c>
      <c r="L78" s="70"/>
      <c r="M78" s="70" t="e">
        <f t="shared" ca="1" si="1"/>
        <v>#REF!</v>
      </c>
      <c r="N78" s="129" t="s">
        <v>365</v>
      </c>
      <c r="O78" s="70" t="e">
        <f t="shared" ca="1" si="2"/>
        <v>#REF!</v>
      </c>
      <c r="P78" s="70"/>
      <c r="Q78" s="70" t="e">
        <f t="shared" ca="1" si="3"/>
        <v>#REF!</v>
      </c>
      <c r="R78" s="20" t="e">
        <f t="shared" ca="1" si="4"/>
        <v>#REF!</v>
      </c>
      <c r="S78" s="5" t="e">
        <f t="shared" ca="1" si="5"/>
        <v>#REF!</v>
      </c>
      <c r="T78" s="70" t="s">
        <v>244</v>
      </c>
      <c r="U78" s="20">
        <v>43535</v>
      </c>
      <c r="V78" s="70" t="s">
        <v>245</v>
      </c>
    </row>
    <row r="79" spans="1:22" ht="12.75" customHeight="1">
      <c r="A79" s="70" t="s">
        <v>121</v>
      </c>
      <c r="B79" s="56" t="s">
        <v>55</v>
      </c>
      <c r="C79" s="56" t="s">
        <v>366</v>
      </c>
      <c r="D79" s="56" t="s">
        <v>329</v>
      </c>
      <c r="E79" s="56" t="s">
        <v>243</v>
      </c>
      <c r="F79" s="56">
        <v>90</v>
      </c>
      <c r="G79" s="56" t="str">
        <f>VLOOKUP(C79,'2a. PROFITLOSSLITE - PLL'!F:T,15,FALSE)</f>
        <v>Yield to Maturity</v>
      </c>
      <c r="H79" s="20">
        <v>43538</v>
      </c>
      <c r="I79" s="70" t="e">
        <v>#N/A</v>
      </c>
      <c r="J79" s="70" t="e">
        <f t="shared" ca="1" si="6"/>
        <v>#REF!</v>
      </c>
      <c r="K79" s="70" t="e">
        <f t="shared" ca="1" si="0"/>
        <v>#N/A</v>
      </c>
      <c r="L79" s="70"/>
      <c r="M79" s="70" t="e">
        <f t="shared" ca="1" si="1"/>
        <v>#REF!</v>
      </c>
      <c r="N79" s="129" t="s">
        <v>367</v>
      </c>
      <c r="O79" s="70" t="e">
        <f t="shared" ca="1" si="2"/>
        <v>#REF!</v>
      </c>
      <c r="P79" s="70"/>
      <c r="Q79" s="70" t="e">
        <f t="shared" ca="1" si="3"/>
        <v>#REF!</v>
      </c>
      <c r="R79" s="20" t="e">
        <f t="shared" ca="1" si="4"/>
        <v>#REF!</v>
      </c>
      <c r="S79" s="5" t="e">
        <f t="shared" ca="1" si="5"/>
        <v>#REF!</v>
      </c>
      <c r="T79" s="70" t="s">
        <v>244</v>
      </c>
      <c r="U79" s="20">
        <v>43536</v>
      </c>
      <c r="V79" s="70" t="s">
        <v>338</v>
      </c>
    </row>
    <row r="80" spans="1:22" ht="12.75" customHeight="1">
      <c r="A80" s="70" t="s">
        <v>121</v>
      </c>
      <c r="B80" s="56" t="s">
        <v>55</v>
      </c>
      <c r="C80" s="56" t="s">
        <v>368</v>
      </c>
      <c r="D80" s="56" t="s">
        <v>329</v>
      </c>
      <c r="E80" s="56" t="s">
        <v>243</v>
      </c>
      <c r="F80" s="56">
        <v>89</v>
      </c>
      <c r="G80" s="56" t="str">
        <f>VLOOKUP(C80,'2a. PROFITLOSSLITE - PLL'!F:T,15,FALSE)</f>
        <v>Yield to Worst</v>
      </c>
      <c r="H80" s="20">
        <v>43538</v>
      </c>
      <c r="I80" s="70" t="e">
        <v>#N/A</v>
      </c>
      <c r="J80" s="70" t="e">
        <f t="shared" ca="1" si="6"/>
        <v>#REF!</v>
      </c>
      <c r="K80" s="70" t="e">
        <f t="shared" ca="1" si="0"/>
        <v>#N/A</v>
      </c>
      <c r="L80" s="70"/>
      <c r="M80" s="70" t="e">
        <f t="shared" ca="1" si="1"/>
        <v>#REF!</v>
      </c>
      <c r="N80" s="129" t="s">
        <v>369</v>
      </c>
      <c r="O80" s="70" t="e">
        <f t="shared" ca="1" si="2"/>
        <v>#REF!</v>
      </c>
      <c r="P80" s="70"/>
      <c r="Q80" s="70" t="e">
        <f t="shared" ca="1" si="3"/>
        <v>#REF!</v>
      </c>
      <c r="R80" s="20" t="e">
        <f t="shared" ca="1" si="4"/>
        <v>#REF!</v>
      </c>
      <c r="S80" s="5" t="e">
        <f t="shared" ca="1" si="5"/>
        <v>#REF!</v>
      </c>
      <c r="T80" s="70" t="s">
        <v>244</v>
      </c>
      <c r="U80" s="20">
        <v>43535</v>
      </c>
      <c r="V80" s="70" t="s">
        <v>245</v>
      </c>
    </row>
    <row r="81" spans="1:22" ht="12.75" customHeight="1">
      <c r="A81" s="70" t="s">
        <v>121</v>
      </c>
      <c r="B81" s="56" t="s">
        <v>55</v>
      </c>
      <c r="C81" s="56" t="s">
        <v>370</v>
      </c>
      <c r="D81" s="56" t="s">
        <v>329</v>
      </c>
      <c r="E81" s="56" t="s">
        <v>243</v>
      </c>
      <c r="F81" s="22"/>
      <c r="G81" s="21" t="str">
        <f>VLOOKUP(C81,'2a. PROFITLOSSLITE - PLL'!F:T,15,FALSE)</f>
        <v>Yield to Cost on a Tax Adjusted Basis</v>
      </c>
      <c r="H81" s="20">
        <v>43538</v>
      </c>
      <c r="I81" s="70" t="e">
        <v>#N/A</v>
      </c>
      <c r="J81" s="70" t="e">
        <f t="shared" ca="1" si="6"/>
        <v>#REF!</v>
      </c>
      <c r="K81" s="70" t="e">
        <f t="shared" ca="1" si="0"/>
        <v>#N/A</v>
      </c>
      <c r="L81" s="70"/>
      <c r="M81" s="70" t="e">
        <f t="shared" ca="1" si="1"/>
        <v>#REF!</v>
      </c>
      <c r="N81" s="129" t="s">
        <v>371</v>
      </c>
      <c r="O81" s="70" t="e">
        <f t="shared" ca="1" si="2"/>
        <v>#REF!</v>
      </c>
      <c r="P81" s="70"/>
      <c r="Q81" s="70" t="e">
        <f t="shared" ca="1" si="3"/>
        <v>#REF!</v>
      </c>
      <c r="R81" s="20" t="e">
        <f t="shared" ca="1" si="4"/>
        <v>#REF!</v>
      </c>
      <c r="S81" s="5" t="e">
        <f t="shared" ca="1" si="5"/>
        <v>#REF!</v>
      </c>
      <c r="T81" s="70" t="s">
        <v>244</v>
      </c>
      <c r="U81" s="20">
        <v>43535</v>
      </c>
      <c r="V81" s="70" t="s">
        <v>245</v>
      </c>
    </row>
    <row r="82" spans="1:22" ht="12.75" customHeight="1">
      <c r="A82" s="70" t="s">
        <v>121</v>
      </c>
      <c r="B82" s="56" t="s">
        <v>55</v>
      </c>
      <c r="C82" s="56" t="s">
        <v>372</v>
      </c>
      <c r="D82" s="56" t="s">
        <v>329</v>
      </c>
      <c r="E82" s="56" t="s">
        <v>243</v>
      </c>
      <c r="F82" s="56">
        <v>38</v>
      </c>
      <c r="G82" s="56" t="str">
        <f>VLOOKUP(C82,'2a. PROFITLOSSLITE - PLL'!F:T,15,FALSE)</f>
        <v>Factor</v>
      </c>
      <c r="H82" s="20">
        <v>43538</v>
      </c>
      <c r="I82" s="70" t="e">
        <v>#N/A</v>
      </c>
      <c r="J82" s="70" t="e">
        <f t="shared" ca="1" si="6"/>
        <v>#REF!</v>
      </c>
      <c r="K82" s="70" t="e">
        <f t="shared" ca="1" si="0"/>
        <v>#N/A</v>
      </c>
      <c r="L82" s="70"/>
      <c r="M82" s="70" t="e">
        <f t="shared" ca="1" si="1"/>
        <v>#REF!</v>
      </c>
      <c r="N82" s="129" t="s">
        <v>373</v>
      </c>
      <c r="O82" s="70" t="e">
        <f t="shared" ca="1" si="2"/>
        <v>#REF!</v>
      </c>
      <c r="P82" s="70"/>
      <c r="Q82" s="70" t="e">
        <f t="shared" ca="1" si="3"/>
        <v>#REF!</v>
      </c>
      <c r="R82" s="20" t="e">
        <f t="shared" ca="1" si="4"/>
        <v>#REF!</v>
      </c>
      <c r="S82" s="5" t="e">
        <f t="shared" ca="1" si="5"/>
        <v>#REF!</v>
      </c>
      <c r="T82" s="70" t="s">
        <v>244</v>
      </c>
      <c r="U82" s="20">
        <v>43535</v>
      </c>
      <c r="V82" s="70" t="s">
        <v>245</v>
      </c>
    </row>
    <row r="83" spans="1:22" ht="12.75" customHeight="1">
      <c r="A83" s="70" t="s">
        <v>121</v>
      </c>
      <c r="B83" s="56" t="s">
        <v>55</v>
      </c>
      <c r="C83" s="56" t="s">
        <v>374</v>
      </c>
      <c r="D83" s="56" t="s">
        <v>329</v>
      </c>
      <c r="E83" s="56" t="s">
        <v>243</v>
      </c>
      <c r="F83" s="56">
        <v>95</v>
      </c>
      <c r="G83" s="56" t="str">
        <f>VLOOKUP(C83,'2a. PROFITLOSSLITE - PLL'!F:T,15,FALSE)</f>
        <v>Market Duration</v>
      </c>
      <c r="H83" s="20">
        <v>43538</v>
      </c>
      <c r="I83" s="70" t="e">
        <v>#N/A</v>
      </c>
      <c r="J83" s="70" t="e">
        <f t="shared" ca="1" si="6"/>
        <v>#REF!</v>
      </c>
      <c r="K83" s="70" t="e">
        <f t="shared" ca="1" si="0"/>
        <v>#N/A</v>
      </c>
      <c r="L83" s="70"/>
      <c r="M83" s="70" t="e">
        <f t="shared" ca="1" si="1"/>
        <v>#REF!</v>
      </c>
      <c r="N83" s="129" t="s">
        <v>375</v>
      </c>
      <c r="O83" s="70" t="e">
        <f t="shared" ca="1" si="2"/>
        <v>#REF!</v>
      </c>
      <c r="P83" s="70"/>
      <c r="Q83" s="70" t="e">
        <f t="shared" ca="1" si="3"/>
        <v>#REF!</v>
      </c>
      <c r="R83" s="20" t="e">
        <f t="shared" ca="1" si="4"/>
        <v>#REF!</v>
      </c>
      <c r="S83" s="5" t="e">
        <f t="shared" ca="1" si="5"/>
        <v>#REF!</v>
      </c>
      <c r="T83" s="70" t="s">
        <v>244</v>
      </c>
      <c r="U83" s="20">
        <v>43535</v>
      </c>
      <c r="V83" s="70" t="s">
        <v>245</v>
      </c>
    </row>
    <row r="84" spans="1:22" ht="12.75" customHeight="1">
      <c r="A84" s="70" t="s">
        <v>121</v>
      </c>
      <c r="B84" s="56" t="s">
        <v>55</v>
      </c>
      <c r="C84" s="56" t="s">
        <v>376</v>
      </c>
      <c r="D84" s="56" t="s">
        <v>247</v>
      </c>
      <c r="E84" s="56" t="s">
        <v>243</v>
      </c>
      <c r="F84" s="56">
        <v>22</v>
      </c>
      <c r="G84" s="56" t="str">
        <f>VLOOKUP(C84,'2a. PROFITLOSSLITE - PLL'!F:T,15,FALSE)</f>
        <v>Bond's Insurer</v>
      </c>
      <c r="H84" s="20">
        <v>43538</v>
      </c>
      <c r="I84" s="70" t="e">
        <v>#N/A</v>
      </c>
      <c r="J84" s="70" t="e">
        <f t="shared" ca="1" si="6"/>
        <v>#REF!</v>
      </c>
      <c r="K84" s="70" t="e">
        <f t="shared" ca="1" si="0"/>
        <v>#N/A</v>
      </c>
      <c r="L84" s="70"/>
      <c r="M84" s="70" t="e">
        <f t="shared" ca="1" si="1"/>
        <v>#REF!</v>
      </c>
      <c r="N84" s="129" t="s">
        <v>377</v>
      </c>
      <c r="O84" s="70" t="e">
        <f t="shared" ca="1" si="2"/>
        <v>#REF!</v>
      </c>
      <c r="P84" s="70"/>
      <c r="Q84" s="70" t="e">
        <f t="shared" ca="1" si="3"/>
        <v>#REF!</v>
      </c>
      <c r="R84" s="20" t="e">
        <f t="shared" ca="1" si="4"/>
        <v>#REF!</v>
      </c>
      <c r="S84" s="5" t="e">
        <f t="shared" ca="1" si="5"/>
        <v>#REF!</v>
      </c>
      <c r="T84" s="70" t="s">
        <v>244</v>
      </c>
      <c r="U84" s="20">
        <v>43535</v>
      </c>
      <c r="V84" s="70" t="s">
        <v>245</v>
      </c>
    </row>
    <row r="85" spans="1:22" ht="12.75" customHeight="1">
      <c r="A85" s="70" t="s">
        <v>121</v>
      </c>
      <c r="B85" s="56" t="s">
        <v>55</v>
      </c>
      <c r="C85" s="56" t="s">
        <v>378</v>
      </c>
      <c r="D85" s="56" t="s">
        <v>247</v>
      </c>
      <c r="E85" s="56" t="s">
        <v>243</v>
      </c>
      <c r="F85" s="56">
        <v>66</v>
      </c>
      <c r="G85" s="56" t="str">
        <f>VLOOKUP(C85,'2a. PROFITLOSSLITE - PLL'!F:T,15,FALSE)</f>
        <v>Primary Security Sybol of an unerlying holding. Typically used for Options.</v>
      </c>
      <c r="H85" s="20">
        <v>43538</v>
      </c>
      <c r="I85" s="70" t="e">
        <v>#N/A</v>
      </c>
      <c r="J85" s="70" t="e">
        <f t="shared" ca="1" si="6"/>
        <v>#REF!</v>
      </c>
      <c r="K85" s="70" t="e">
        <f t="shared" ca="1" si="0"/>
        <v>#N/A</v>
      </c>
      <c r="L85" s="70"/>
      <c r="M85" s="70" t="e">
        <f t="shared" ca="1" si="1"/>
        <v>#REF!</v>
      </c>
      <c r="N85" s="129" t="s">
        <v>379</v>
      </c>
      <c r="O85" s="70" t="e">
        <f t="shared" ca="1" si="2"/>
        <v>#REF!</v>
      </c>
      <c r="P85" s="70"/>
      <c r="Q85" s="70" t="e">
        <f t="shared" ca="1" si="3"/>
        <v>#REF!</v>
      </c>
      <c r="R85" s="20" t="e">
        <f t="shared" ca="1" si="4"/>
        <v>#REF!</v>
      </c>
      <c r="S85" s="5" t="e">
        <f t="shared" ca="1" si="5"/>
        <v>#REF!</v>
      </c>
      <c r="T85" s="70" t="s">
        <v>244</v>
      </c>
      <c r="U85" s="20">
        <v>43535</v>
      </c>
      <c r="V85" s="70" t="s">
        <v>245</v>
      </c>
    </row>
    <row r="86" spans="1:22" ht="12.75" customHeight="1">
      <c r="A86" s="70" t="s">
        <v>121</v>
      </c>
      <c r="B86" s="56" t="s">
        <v>55</v>
      </c>
      <c r="C86" s="56" t="s">
        <v>380</v>
      </c>
      <c r="D86" s="56" t="s">
        <v>324</v>
      </c>
      <c r="E86" s="56" t="s">
        <v>243</v>
      </c>
      <c r="F86" s="56">
        <v>67</v>
      </c>
      <c r="G86" s="56" t="str">
        <f>VLOOKUP(C86,'2a. PROFITLOSSLITE - PLL'!F:T,15,FALSE)</f>
        <v>Security Description of an underlying holding. Typically used for Options.</v>
      </c>
      <c r="H86" s="20">
        <v>43538</v>
      </c>
      <c r="I86" s="70" t="e">
        <v>#N/A</v>
      </c>
      <c r="J86" s="70" t="e">
        <f t="shared" ca="1" si="6"/>
        <v>#REF!</v>
      </c>
      <c r="K86" s="70" t="e">
        <f t="shared" ca="1" si="0"/>
        <v>#N/A</v>
      </c>
      <c r="L86" s="70"/>
      <c r="M86" s="70" t="e">
        <f t="shared" ca="1" si="1"/>
        <v>#REF!</v>
      </c>
      <c r="N86" s="129" t="s">
        <v>381</v>
      </c>
      <c r="O86" s="70" t="e">
        <f t="shared" ca="1" si="2"/>
        <v>#REF!</v>
      </c>
      <c r="P86" s="70"/>
      <c r="Q86" s="70" t="e">
        <f t="shared" ca="1" si="3"/>
        <v>#REF!</v>
      </c>
      <c r="R86" s="20" t="e">
        <f t="shared" ca="1" si="4"/>
        <v>#REF!</v>
      </c>
      <c r="S86" s="5" t="e">
        <f t="shared" ca="1" si="5"/>
        <v>#REF!</v>
      </c>
      <c r="T86" s="70" t="s">
        <v>244</v>
      </c>
      <c r="U86" s="20">
        <v>43535</v>
      </c>
      <c r="V86" s="70" t="s">
        <v>245</v>
      </c>
    </row>
    <row r="87" spans="1:22" ht="12.75" customHeight="1">
      <c r="A87" s="70" t="s">
        <v>121</v>
      </c>
      <c r="B87" s="56" t="s">
        <v>59</v>
      </c>
      <c r="C87" s="56" t="s">
        <v>147</v>
      </c>
      <c r="D87" s="56" t="s">
        <v>247</v>
      </c>
      <c r="E87" s="56" t="s">
        <v>243</v>
      </c>
      <c r="F87" s="56">
        <v>64</v>
      </c>
      <c r="G87" s="56" t="str">
        <f>VLOOKUP(C87,'2a. PROFITLOSSLITE - PLL'!F:T,15,FALSE)</f>
        <v>Unique ID for the Tax Lot in the source system</v>
      </c>
      <c r="H87" s="20">
        <v>43538</v>
      </c>
      <c r="I87" s="70" t="e">
        <v>#N/A</v>
      </c>
      <c r="J87" s="70" t="e">
        <f t="shared" ca="1" si="6"/>
        <v>#REF!</v>
      </c>
      <c r="K87" s="70" t="e">
        <f t="shared" ca="1" si="0"/>
        <v>#N/A</v>
      </c>
      <c r="L87" s="70"/>
      <c r="M87" s="70" t="e">
        <f t="shared" ca="1" si="1"/>
        <v>#REF!</v>
      </c>
      <c r="N87" s="129" t="s">
        <v>382</v>
      </c>
      <c r="O87" s="70" t="e">
        <f t="shared" ca="1" si="2"/>
        <v>#REF!</v>
      </c>
      <c r="P87" s="70"/>
      <c r="Q87" s="70" t="e">
        <f t="shared" ca="1" si="3"/>
        <v>#REF!</v>
      </c>
      <c r="R87" s="20" t="e">
        <f t="shared" ca="1" si="4"/>
        <v>#REF!</v>
      </c>
      <c r="S87" s="5" t="e">
        <f t="shared" ca="1" si="5"/>
        <v>#REF!</v>
      </c>
      <c r="T87" s="70" t="s">
        <v>244</v>
      </c>
      <c r="U87" s="20">
        <v>43535</v>
      </c>
      <c r="V87" s="70" t="s">
        <v>245</v>
      </c>
    </row>
    <row r="88" spans="1:22" ht="12.75" customHeight="1">
      <c r="A88" s="70" t="s">
        <v>121</v>
      </c>
      <c r="B88" s="56" t="s">
        <v>59</v>
      </c>
      <c r="C88" s="56" t="s">
        <v>383</v>
      </c>
      <c r="D88" s="56" t="s">
        <v>255</v>
      </c>
      <c r="E88" s="56" t="s">
        <v>243</v>
      </c>
      <c r="F88" s="56">
        <v>63</v>
      </c>
      <c r="G88" s="56" t="str">
        <f>VLOOKUP(C88,'2a. PROFITLOSSLITE - PLL'!F:T,15,FALSE)</f>
        <v>Orignal open date of the tax lot (tax lot level records only)</v>
      </c>
      <c r="H88" s="20">
        <v>43538</v>
      </c>
      <c r="I88" s="70" t="e">
        <v>#N/A</v>
      </c>
      <c r="J88" s="70" t="e">
        <f t="shared" ca="1" si="6"/>
        <v>#REF!</v>
      </c>
      <c r="K88" s="70" t="e">
        <f t="shared" ca="1" si="0"/>
        <v>#N/A</v>
      </c>
      <c r="L88" s="70"/>
      <c r="M88" s="70" t="e">
        <f t="shared" ca="1" si="1"/>
        <v>#REF!</v>
      </c>
      <c r="N88" s="129" t="s">
        <v>384</v>
      </c>
      <c r="O88" s="70" t="e">
        <f t="shared" ca="1" si="2"/>
        <v>#REF!</v>
      </c>
      <c r="P88" s="70"/>
      <c r="Q88" s="70" t="e">
        <f t="shared" ca="1" si="3"/>
        <v>#REF!</v>
      </c>
      <c r="R88" s="20" t="e">
        <f t="shared" ca="1" si="4"/>
        <v>#REF!</v>
      </c>
      <c r="S88" s="5" t="e">
        <f t="shared" ca="1" si="5"/>
        <v>#REF!</v>
      </c>
      <c r="T88" s="70" t="s">
        <v>244</v>
      </c>
      <c r="U88" s="20">
        <v>43535</v>
      </c>
      <c r="V88" s="70" t="s">
        <v>245</v>
      </c>
    </row>
    <row r="89" spans="1:22" ht="12.75" customHeight="1">
      <c r="A89" s="70" t="s">
        <v>121</v>
      </c>
      <c r="B89" s="56" t="s">
        <v>61</v>
      </c>
      <c r="C89" s="56" t="s">
        <v>144</v>
      </c>
      <c r="D89" s="56" t="s">
        <v>329</v>
      </c>
      <c r="E89" s="56" t="s">
        <v>243</v>
      </c>
      <c r="F89" s="56">
        <v>51</v>
      </c>
      <c r="G89" s="56" t="str">
        <f>VLOOKUP(C89,'2a. PROFITLOSSLITE - PLL'!F:T,15,FALSE)</f>
        <v>Quantity</v>
      </c>
      <c r="H89" s="20">
        <v>43538</v>
      </c>
      <c r="I89" s="70" t="e">
        <v>#N/A</v>
      </c>
      <c r="J89" s="70" t="e">
        <f t="shared" ca="1" si="6"/>
        <v>#REF!</v>
      </c>
      <c r="K89" s="70" t="e">
        <f t="shared" ca="1" si="0"/>
        <v>#N/A</v>
      </c>
      <c r="L89" s="70"/>
      <c r="M89" s="70" t="e">
        <f t="shared" ca="1" si="1"/>
        <v>#REF!</v>
      </c>
      <c r="N89" s="129" t="s">
        <v>385</v>
      </c>
      <c r="O89" s="70" t="e">
        <f t="shared" ca="1" si="2"/>
        <v>#REF!</v>
      </c>
      <c r="P89" s="70"/>
      <c r="Q89" s="70" t="e">
        <f t="shared" ca="1" si="3"/>
        <v>#REF!</v>
      </c>
      <c r="R89" s="20" t="e">
        <f t="shared" ca="1" si="4"/>
        <v>#REF!</v>
      </c>
      <c r="S89" s="5" t="e">
        <f t="shared" ca="1" si="5"/>
        <v>#REF!</v>
      </c>
      <c r="T89" s="70" t="s">
        <v>244</v>
      </c>
      <c r="U89" s="20">
        <v>43535</v>
      </c>
      <c r="V89" s="70" t="s">
        <v>245</v>
      </c>
    </row>
    <row r="90" spans="1:22" ht="12.75" customHeight="1">
      <c r="A90" s="70" t="s">
        <v>121</v>
      </c>
      <c r="B90" s="56" t="s">
        <v>55</v>
      </c>
      <c r="C90" s="56" t="s">
        <v>386</v>
      </c>
      <c r="D90" s="56" t="s">
        <v>329</v>
      </c>
      <c r="E90" s="56" t="s">
        <v>243</v>
      </c>
      <c r="F90" s="56">
        <v>47</v>
      </c>
      <c r="G90" s="56" t="str">
        <f>VLOOKUP(C90,'2a. PROFITLOSSLITE - PLL'!F:T,15,FALSE)</f>
        <v>Original Face</v>
      </c>
      <c r="H90" s="20">
        <v>43538</v>
      </c>
      <c r="I90" s="70" t="e">
        <v>#N/A</v>
      </c>
      <c r="J90" s="70" t="e">
        <f t="shared" ca="1" si="6"/>
        <v>#REF!</v>
      </c>
      <c r="K90" s="70" t="e">
        <f t="shared" ca="1" si="0"/>
        <v>#N/A</v>
      </c>
      <c r="L90" s="70"/>
      <c r="M90" s="70" t="e">
        <f t="shared" ca="1" si="1"/>
        <v>#REF!</v>
      </c>
      <c r="N90" s="129" t="s">
        <v>387</v>
      </c>
      <c r="O90" s="70" t="e">
        <f t="shared" ca="1" si="2"/>
        <v>#REF!</v>
      </c>
      <c r="P90" s="70"/>
      <c r="Q90" s="70" t="e">
        <f t="shared" ca="1" si="3"/>
        <v>#REF!</v>
      </c>
      <c r="R90" s="20" t="e">
        <f t="shared" ca="1" si="4"/>
        <v>#REF!</v>
      </c>
      <c r="S90" s="5" t="e">
        <f t="shared" ca="1" si="5"/>
        <v>#REF!</v>
      </c>
      <c r="T90" s="70" t="s">
        <v>244</v>
      </c>
      <c r="U90" s="20">
        <v>43535</v>
      </c>
      <c r="V90" s="70" t="s">
        <v>245</v>
      </c>
    </row>
    <row r="91" spans="1:22" ht="12.75" customHeight="1">
      <c r="A91" s="70" t="s">
        <v>121</v>
      </c>
      <c r="B91" s="56" t="s">
        <v>55</v>
      </c>
      <c r="C91" s="56" t="s">
        <v>388</v>
      </c>
      <c r="D91" s="56" t="s">
        <v>329</v>
      </c>
      <c r="E91" s="56" t="s">
        <v>243</v>
      </c>
      <c r="F91" s="56">
        <v>13</v>
      </c>
      <c r="G91" s="56" t="str">
        <f>VLOOKUP(C91,'2a. PROFITLOSSLITE - PLL'!F:T,15,FALSE)</f>
        <v>Average unit cost in security's local currency</v>
      </c>
      <c r="H91" s="20">
        <v>43538</v>
      </c>
      <c r="I91" s="70" t="e">
        <v>#N/A</v>
      </c>
      <c r="J91" s="70" t="e">
        <f t="shared" ca="1" si="6"/>
        <v>#REF!</v>
      </c>
      <c r="K91" s="70" t="e">
        <f t="shared" ca="1" si="0"/>
        <v>#N/A</v>
      </c>
      <c r="L91" s="70"/>
      <c r="M91" s="70" t="e">
        <f t="shared" ca="1" si="1"/>
        <v>#REF!</v>
      </c>
      <c r="N91" s="129" t="s">
        <v>389</v>
      </c>
      <c r="O91" s="70" t="e">
        <f t="shared" ca="1" si="2"/>
        <v>#REF!</v>
      </c>
      <c r="P91" s="70"/>
      <c r="Q91" s="70" t="e">
        <f t="shared" ca="1" si="3"/>
        <v>#REF!</v>
      </c>
      <c r="R91" s="20" t="e">
        <f t="shared" ca="1" si="4"/>
        <v>#REF!</v>
      </c>
      <c r="S91" s="5" t="e">
        <f t="shared" ca="1" si="5"/>
        <v>#REF!</v>
      </c>
      <c r="T91" s="70" t="s">
        <v>244</v>
      </c>
      <c r="U91" s="20">
        <v>43535</v>
      </c>
      <c r="V91" s="70" t="s">
        <v>245</v>
      </c>
    </row>
    <row r="92" spans="1:22" ht="12.75" customHeight="1">
      <c r="A92" s="70" t="s">
        <v>121</v>
      </c>
      <c r="B92" s="56" t="s">
        <v>59</v>
      </c>
      <c r="C92" s="56" t="s">
        <v>390</v>
      </c>
      <c r="D92" s="56" t="s">
        <v>329</v>
      </c>
      <c r="E92" s="56" t="s">
        <v>243</v>
      </c>
      <c r="F92" s="56">
        <v>12</v>
      </c>
      <c r="G92" s="56" t="str">
        <f>VLOOKUP(C92,'2a. PROFITLOSSLITE - PLL'!F:T,15,FALSE)</f>
        <v>Average unit cost in account's book currency</v>
      </c>
      <c r="H92" s="20">
        <v>43538</v>
      </c>
      <c r="I92" s="70" t="e">
        <v>#N/A</v>
      </c>
      <c r="J92" s="70" t="e">
        <f t="shared" ca="1" si="6"/>
        <v>#REF!</v>
      </c>
      <c r="K92" s="70" t="e">
        <f t="shared" ca="1" si="0"/>
        <v>#N/A</v>
      </c>
      <c r="L92" s="70"/>
      <c r="M92" s="70" t="e">
        <f t="shared" ca="1" si="1"/>
        <v>#REF!</v>
      </c>
      <c r="N92" s="129" t="s">
        <v>391</v>
      </c>
      <c r="O92" s="70" t="e">
        <f t="shared" ca="1" si="2"/>
        <v>#REF!</v>
      </c>
      <c r="P92" s="70"/>
      <c r="Q92" s="70" t="e">
        <f t="shared" ca="1" si="3"/>
        <v>#REF!</v>
      </c>
      <c r="R92" s="20" t="e">
        <f t="shared" ca="1" si="4"/>
        <v>#REF!</v>
      </c>
      <c r="S92" s="5" t="e">
        <f t="shared" ca="1" si="5"/>
        <v>#REF!</v>
      </c>
      <c r="T92" s="70" t="s">
        <v>244</v>
      </c>
      <c r="U92" s="20">
        <v>43535</v>
      </c>
      <c r="V92" s="70" t="s">
        <v>245</v>
      </c>
    </row>
    <row r="93" spans="1:22" ht="12.75" customHeight="1">
      <c r="A93" s="70" t="s">
        <v>121</v>
      </c>
      <c r="B93" s="70" t="s">
        <v>55</v>
      </c>
      <c r="C93" s="56" t="s">
        <v>392</v>
      </c>
      <c r="D93" s="56" t="s">
        <v>329</v>
      </c>
      <c r="E93" s="70" t="s">
        <v>243</v>
      </c>
      <c r="F93" s="70">
        <v>97</v>
      </c>
      <c r="G93" s="56" t="str">
        <f>VLOOKUP(C93,'2a. PROFITLOSSLITE - PLL'!F:T,15,FALSE)</f>
        <v>Average unit cost in account's reporting currency.</v>
      </c>
      <c r="H93" s="20">
        <v>43538</v>
      </c>
      <c r="I93" s="70" t="e">
        <v>#N/A</v>
      </c>
      <c r="J93" s="70" t="e">
        <f t="shared" ca="1" si="6"/>
        <v>#REF!</v>
      </c>
      <c r="K93" s="70" t="e">
        <f t="shared" ca="1" si="0"/>
        <v>#N/A</v>
      </c>
      <c r="L93" s="70"/>
      <c r="M93" s="70" t="e">
        <f t="shared" ca="1" si="1"/>
        <v>#REF!</v>
      </c>
      <c r="N93" s="129" t="s">
        <v>393</v>
      </c>
      <c r="O93" s="70" t="e">
        <f t="shared" ca="1" si="2"/>
        <v>#REF!</v>
      </c>
      <c r="P93" s="70"/>
      <c r="Q93" s="70" t="e">
        <f t="shared" ca="1" si="3"/>
        <v>#REF!</v>
      </c>
      <c r="R93" s="20" t="e">
        <f t="shared" ca="1" si="4"/>
        <v>#REF!</v>
      </c>
      <c r="S93" s="5" t="e">
        <f t="shared" ca="1" si="5"/>
        <v>#REF!</v>
      </c>
      <c r="T93" s="70" t="s">
        <v>244</v>
      </c>
      <c r="U93" s="20">
        <v>43535</v>
      </c>
      <c r="V93" s="70" t="s">
        <v>245</v>
      </c>
    </row>
    <row r="94" spans="1:22" ht="12.75" customHeight="1">
      <c r="A94" s="70" t="s">
        <v>121</v>
      </c>
      <c r="B94" s="56" t="s">
        <v>55</v>
      </c>
      <c r="C94" s="56" t="s">
        <v>394</v>
      </c>
      <c r="D94" s="56" t="s">
        <v>329</v>
      </c>
      <c r="E94" s="56" t="s">
        <v>243</v>
      </c>
      <c r="F94" s="56">
        <v>92</v>
      </c>
      <c r="G94" s="56" t="str">
        <f>VLOOKUP(C94,'2a. PROFITLOSSLITE - PLL'!F:T,15,FALSE)</f>
        <v>Original Cost</v>
      </c>
      <c r="H94" s="20">
        <v>43538</v>
      </c>
      <c r="I94" s="70" t="e">
        <v>#N/A</v>
      </c>
      <c r="J94" s="70" t="e">
        <f t="shared" ca="1" si="6"/>
        <v>#REF!</v>
      </c>
      <c r="K94" s="70" t="e">
        <f t="shared" ca="1" si="0"/>
        <v>#N/A</v>
      </c>
      <c r="L94" s="70"/>
      <c r="M94" s="70" t="e">
        <f t="shared" ca="1" si="1"/>
        <v>#REF!</v>
      </c>
      <c r="N94" s="129" t="s">
        <v>395</v>
      </c>
      <c r="O94" s="70" t="e">
        <f t="shared" ca="1" si="2"/>
        <v>#REF!</v>
      </c>
      <c r="P94" s="70"/>
      <c r="Q94" s="70" t="e">
        <f t="shared" ca="1" si="3"/>
        <v>#REF!</v>
      </c>
      <c r="R94" s="20" t="e">
        <f t="shared" ca="1" si="4"/>
        <v>#REF!</v>
      </c>
      <c r="S94" s="5" t="e">
        <f t="shared" ca="1" si="5"/>
        <v>#REF!</v>
      </c>
      <c r="T94" s="70" t="s">
        <v>244</v>
      </c>
      <c r="U94" s="20">
        <v>43535</v>
      </c>
      <c r="V94" s="70" t="s">
        <v>245</v>
      </c>
    </row>
    <row r="95" spans="1:22" ht="12.75" customHeight="1">
      <c r="A95" s="70" t="s">
        <v>121</v>
      </c>
      <c r="B95" s="56" t="s">
        <v>55</v>
      </c>
      <c r="C95" s="56" t="s">
        <v>396</v>
      </c>
      <c r="D95" s="56" t="s">
        <v>329</v>
      </c>
      <c r="E95" s="56" t="s">
        <v>243</v>
      </c>
      <c r="F95" s="56">
        <v>94</v>
      </c>
      <c r="G95" s="56" t="str">
        <f>VLOOKUP(C95,'2a. PROFITLOSSLITE - PLL'!F:T,15,FALSE)</f>
        <v>Purchase Yield</v>
      </c>
      <c r="H95" s="20">
        <v>43538</v>
      </c>
      <c r="I95" s="70" t="e">
        <v>#N/A</v>
      </c>
      <c r="J95" s="70" t="e">
        <f t="shared" ca="1" si="6"/>
        <v>#REF!</v>
      </c>
      <c r="K95" s="70" t="e">
        <f t="shared" ca="1" si="0"/>
        <v>#N/A</v>
      </c>
      <c r="L95" s="70"/>
      <c r="M95" s="70" t="e">
        <f t="shared" ca="1" si="1"/>
        <v>#REF!</v>
      </c>
      <c r="N95" s="129" t="s">
        <v>397</v>
      </c>
      <c r="O95" s="70" t="e">
        <f t="shared" ca="1" si="2"/>
        <v>#REF!</v>
      </c>
      <c r="P95" s="70"/>
      <c r="Q95" s="70" t="e">
        <f t="shared" ca="1" si="3"/>
        <v>#REF!</v>
      </c>
      <c r="R95" s="20" t="e">
        <f t="shared" ca="1" si="4"/>
        <v>#REF!</v>
      </c>
      <c r="S95" s="5" t="e">
        <f t="shared" ca="1" si="5"/>
        <v>#REF!</v>
      </c>
      <c r="T95" s="70" t="s">
        <v>244</v>
      </c>
      <c r="U95" s="20">
        <v>43535</v>
      </c>
      <c r="V95" s="70" t="s">
        <v>245</v>
      </c>
    </row>
    <row r="96" spans="1:22" ht="12.75" customHeight="1">
      <c r="A96" s="70" t="s">
        <v>121</v>
      </c>
      <c r="B96" s="56" t="s">
        <v>55</v>
      </c>
      <c r="C96" s="56" t="s">
        <v>398</v>
      </c>
      <c r="D96" s="56" t="s">
        <v>329</v>
      </c>
      <c r="E96" s="56" t="s">
        <v>243</v>
      </c>
      <c r="F96" s="56">
        <v>42</v>
      </c>
      <c r="G96" s="56" t="str">
        <f>VLOOKUP(C96,'2a. PROFITLOSSLITE - PLL'!F:T,15,FALSE)</f>
        <v>Amoritized cost for the for the holding/lot as of the date of the file in local currency of the security</v>
      </c>
      <c r="H96" s="20">
        <v>43538</v>
      </c>
      <c r="I96" s="70" t="e">
        <v>#N/A</v>
      </c>
      <c r="J96" s="70" t="e">
        <f t="shared" ca="1" si="6"/>
        <v>#REF!</v>
      </c>
      <c r="K96" s="70" t="e">
        <f t="shared" ca="1" si="0"/>
        <v>#N/A</v>
      </c>
      <c r="L96" s="70"/>
      <c r="M96" s="70" t="e">
        <f t="shared" ca="1" si="1"/>
        <v>#REF!</v>
      </c>
      <c r="N96" s="129" t="s">
        <v>399</v>
      </c>
      <c r="O96" s="70" t="e">
        <f t="shared" ca="1" si="2"/>
        <v>#REF!</v>
      </c>
      <c r="P96" s="70"/>
      <c r="Q96" s="70" t="e">
        <f t="shared" ca="1" si="3"/>
        <v>#REF!</v>
      </c>
      <c r="R96" s="20" t="e">
        <f t="shared" ca="1" si="4"/>
        <v>#REF!</v>
      </c>
      <c r="S96" s="5" t="e">
        <f t="shared" ca="1" si="5"/>
        <v>#REF!</v>
      </c>
      <c r="T96" s="70" t="s">
        <v>244</v>
      </c>
      <c r="U96" s="20">
        <v>43535</v>
      </c>
      <c r="V96" s="70" t="s">
        <v>245</v>
      </c>
    </row>
    <row r="97" spans="1:22" ht="12.75" customHeight="1">
      <c r="A97" s="70" t="s">
        <v>121</v>
      </c>
      <c r="B97" s="56" t="s">
        <v>61</v>
      </c>
      <c r="C97" s="56" t="s">
        <v>400</v>
      </c>
      <c r="D97" s="56" t="s">
        <v>329</v>
      </c>
      <c r="E97" s="56" t="s">
        <v>243</v>
      </c>
      <c r="F97" s="56">
        <v>24</v>
      </c>
      <c r="G97" s="56" t="str">
        <f>VLOOKUP(C97,'2a. PROFITLOSSLITE - PLL'!F:T,15,FALSE)</f>
        <v>Amoritized cost for the for the holding/lot as of the date of the file in account's book currency</v>
      </c>
      <c r="H97" s="20">
        <v>43538</v>
      </c>
      <c r="I97" s="70" t="e">
        <v>#N/A</v>
      </c>
      <c r="J97" s="70" t="e">
        <f t="shared" ca="1" si="6"/>
        <v>#REF!</v>
      </c>
      <c r="K97" s="70" t="e">
        <f t="shared" ca="1" si="0"/>
        <v>#N/A</v>
      </c>
      <c r="L97" s="70"/>
      <c r="M97" s="70" t="e">
        <f t="shared" ca="1" si="1"/>
        <v>#REF!</v>
      </c>
      <c r="N97" s="129" t="s">
        <v>401</v>
      </c>
      <c r="O97" s="70" t="e">
        <f t="shared" ca="1" si="2"/>
        <v>#REF!</v>
      </c>
      <c r="P97" s="70"/>
      <c r="Q97" s="70" t="e">
        <f t="shared" ca="1" si="3"/>
        <v>#REF!</v>
      </c>
      <c r="R97" s="20" t="e">
        <f t="shared" ca="1" si="4"/>
        <v>#REF!</v>
      </c>
      <c r="S97" s="5" t="e">
        <f t="shared" ca="1" si="5"/>
        <v>#REF!</v>
      </c>
      <c r="T97" s="70" t="s">
        <v>244</v>
      </c>
      <c r="U97" s="20">
        <v>43535</v>
      </c>
      <c r="V97" s="70" t="s">
        <v>245</v>
      </c>
    </row>
    <row r="98" spans="1:22" ht="12.75" customHeight="1">
      <c r="A98" s="70" t="s">
        <v>121</v>
      </c>
      <c r="B98" s="70" t="s">
        <v>55</v>
      </c>
      <c r="C98" s="56" t="s">
        <v>402</v>
      </c>
      <c r="D98" s="56" t="s">
        <v>329</v>
      </c>
      <c r="E98" s="70" t="s">
        <v>243</v>
      </c>
      <c r="F98" s="70">
        <v>99</v>
      </c>
      <c r="G98" s="56" t="str">
        <f>VLOOKUP(C98,'2a. PROFITLOSSLITE - PLL'!F:T,15,FALSE)</f>
        <v>Amortized cost for the for the holding/lot as of the date of the file in account's reporting currency.</v>
      </c>
      <c r="H98" s="20">
        <v>43538</v>
      </c>
      <c r="I98" s="70" t="e">
        <v>#N/A</v>
      </c>
      <c r="J98" s="70" t="e">
        <f t="shared" ca="1" si="6"/>
        <v>#REF!</v>
      </c>
      <c r="K98" s="70" t="e">
        <f t="shared" ca="1" si="0"/>
        <v>#N/A</v>
      </c>
      <c r="L98" s="70"/>
      <c r="M98" s="70" t="e">
        <f t="shared" ca="1" si="1"/>
        <v>#REF!</v>
      </c>
      <c r="N98" s="129" t="s">
        <v>403</v>
      </c>
      <c r="O98" s="70" t="e">
        <f t="shared" ca="1" si="2"/>
        <v>#REF!</v>
      </c>
      <c r="P98" s="70"/>
      <c r="Q98" s="70" t="e">
        <f t="shared" ca="1" si="3"/>
        <v>#REF!</v>
      </c>
      <c r="R98" s="20" t="e">
        <f t="shared" ca="1" si="4"/>
        <v>#REF!</v>
      </c>
      <c r="S98" s="5" t="e">
        <f t="shared" ca="1" si="5"/>
        <v>#REF!</v>
      </c>
      <c r="T98" s="70" t="s">
        <v>244</v>
      </c>
      <c r="U98" s="20">
        <v>43535</v>
      </c>
      <c r="V98" s="70" t="s">
        <v>245</v>
      </c>
    </row>
    <row r="99" spans="1:22" ht="12.75" customHeight="1">
      <c r="A99" s="70" t="s">
        <v>121</v>
      </c>
      <c r="B99" s="56" t="s">
        <v>59</v>
      </c>
      <c r="C99" s="56" t="s">
        <v>404</v>
      </c>
      <c r="D99" s="56" t="s">
        <v>329</v>
      </c>
      <c r="E99" s="56" t="s">
        <v>243</v>
      </c>
      <c r="F99" s="56">
        <v>44</v>
      </c>
      <c r="G99" s="56" t="str">
        <f>VLOOKUP(C99,'2a. PROFITLOSSLITE - PLL'!F:T,15,FALSE)</f>
        <v>Market Value for the holding/lot as of the date of the file in the local currency of the security</v>
      </c>
      <c r="H99" s="20">
        <v>43538</v>
      </c>
      <c r="I99" s="70" t="e">
        <v>#N/A</v>
      </c>
      <c r="J99" s="70" t="e">
        <f t="shared" ca="1" si="6"/>
        <v>#REF!</v>
      </c>
      <c r="K99" s="70" t="e">
        <f t="shared" ca="1" si="0"/>
        <v>#N/A</v>
      </c>
      <c r="L99" s="70"/>
      <c r="M99" s="70" t="e">
        <f t="shared" ca="1" si="1"/>
        <v>#REF!</v>
      </c>
      <c r="N99" s="129" t="s">
        <v>405</v>
      </c>
      <c r="O99" s="70" t="e">
        <f t="shared" ca="1" si="2"/>
        <v>#REF!</v>
      </c>
      <c r="P99" s="70"/>
      <c r="Q99" s="70" t="e">
        <f t="shared" ca="1" si="3"/>
        <v>#REF!</v>
      </c>
      <c r="R99" s="20" t="e">
        <f t="shared" ca="1" si="4"/>
        <v>#REF!</v>
      </c>
      <c r="S99" s="70" t="e">
        <f t="shared" ca="1" si="5"/>
        <v>#REF!</v>
      </c>
      <c r="T99" s="70" t="s">
        <v>244</v>
      </c>
      <c r="U99" s="20">
        <v>43536</v>
      </c>
      <c r="V99" s="70" t="s">
        <v>406</v>
      </c>
    </row>
    <row r="100" spans="1:22" ht="12.75" customHeight="1">
      <c r="A100" s="70" t="s">
        <v>121</v>
      </c>
      <c r="B100" s="56" t="s">
        <v>61</v>
      </c>
      <c r="C100" s="56" t="s">
        <v>407</v>
      </c>
      <c r="D100" s="56" t="s">
        <v>329</v>
      </c>
      <c r="E100" s="56" t="s">
        <v>243</v>
      </c>
      <c r="F100" s="56">
        <v>27</v>
      </c>
      <c r="G100" s="56" t="str">
        <f>VLOOKUP(C100,'2a. PROFITLOSSLITE - PLL'!F:T,15,FALSE)</f>
        <v>Market Value for the holding/lot as of the date of the file in account's book currency</v>
      </c>
      <c r="H100" s="20">
        <v>43538</v>
      </c>
      <c r="I100" s="70" t="e">
        <v>#N/A</v>
      </c>
      <c r="J100" s="70" t="e">
        <f t="shared" ca="1" si="6"/>
        <v>#REF!</v>
      </c>
      <c r="K100" s="70" t="e">
        <f t="shared" ca="1" si="0"/>
        <v>#N/A</v>
      </c>
      <c r="L100" s="70"/>
      <c r="M100" s="70" t="e">
        <f t="shared" ca="1" si="1"/>
        <v>#REF!</v>
      </c>
      <c r="N100" s="129" t="s">
        <v>408</v>
      </c>
      <c r="O100" s="70" t="e">
        <f t="shared" ca="1" si="2"/>
        <v>#REF!</v>
      </c>
      <c r="P100" s="70"/>
      <c r="Q100" s="70" t="e">
        <f t="shared" ca="1" si="3"/>
        <v>#REF!</v>
      </c>
      <c r="R100" s="20" t="e">
        <f t="shared" ca="1" si="4"/>
        <v>#REF!</v>
      </c>
      <c r="S100" s="70" t="e">
        <f t="shared" ca="1" si="5"/>
        <v>#REF!</v>
      </c>
      <c r="T100" s="70" t="s">
        <v>244</v>
      </c>
      <c r="U100" s="20">
        <v>43536</v>
      </c>
      <c r="V100" s="70" t="s">
        <v>406</v>
      </c>
    </row>
    <row r="101" spans="1:22" ht="12.75" customHeight="1">
      <c r="A101" s="70" t="s">
        <v>121</v>
      </c>
      <c r="B101" s="70" t="s">
        <v>55</v>
      </c>
      <c r="C101" s="56" t="s">
        <v>409</v>
      </c>
      <c r="D101" s="56" t="s">
        <v>329</v>
      </c>
      <c r="E101" s="70" t="s">
        <v>243</v>
      </c>
      <c r="F101" s="70">
        <v>101</v>
      </c>
      <c r="G101" s="56" t="str">
        <f>VLOOKUP(C101,'2a. PROFITLOSSLITE - PLL'!F:T,15,FALSE)</f>
        <v>Market Value for the holding/lot as of the date of the file in account's reporting currency.</v>
      </c>
      <c r="H101" s="20">
        <v>43538</v>
      </c>
      <c r="I101" s="70" t="e">
        <v>#N/A</v>
      </c>
      <c r="J101" s="70" t="e">
        <f t="shared" ca="1" si="6"/>
        <v>#REF!</v>
      </c>
      <c r="K101" s="70" t="e">
        <f t="shared" ca="1" si="0"/>
        <v>#N/A</v>
      </c>
      <c r="L101" s="70"/>
      <c r="M101" s="70" t="e">
        <f t="shared" ca="1" si="1"/>
        <v>#REF!</v>
      </c>
      <c r="N101" s="129" t="s">
        <v>410</v>
      </c>
      <c r="O101" s="70" t="e">
        <f t="shared" ca="1" si="2"/>
        <v>#REF!</v>
      </c>
      <c r="P101" s="70"/>
      <c r="Q101" s="70" t="e">
        <f t="shared" ca="1" si="3"/>
        <v>#REF!</v>
      </c>
      <c r="R101" s="20" t="e">
        <f t="shared" ca="1" si="4"/>
        <v>#REF!</v>
      </c>
      <c r="S101" s="5" t="e">
        <f t="shared" ca="1" si="5"/>
        <v>#REF!</v>
      </c>
      <c r="T101" s="70" t="s">
        <v>244</v>
      </c>
      <c r="U101" s="20">
        <v>43535</v>
      </c>
      <c r="V101" s="70" t="s">
        <v>245</v>
      </c>
    </row>
    <row r="102" spans="1:22" ht="12.75" customHeight="1">
      <c r="A102" s="70" t="s">
        <v>121</v>
      </c>
      <c r="B102" s="56" t="s">
        <v>55</v>
      </c>
      <c r="C102" s="56" t="s">
        <v>411</v>
      </c>
      <c r="D102" s="56" t="s">
        <v>329</v>
      </c>
      <c r="E102" s="56" t="s">
        <v>243</v>
      </c>
      <c r="F102" s="22"/>
      <c r="G102" s="21" t="str">
        <f>VLOOKUP(C102,'2a. PROFITLOSSLITE - PLL'!F:T,15,FALSE)</f>
        <v>Accrued Interest Balance for the holding/lot as of the date of the file in the local currency of the position</v>
      </c>
      <c r="H102" s="20">
        <v>43538</v>
      </c>
      <c r="I102" s="70" t="e">
        <v>#N/A</v>
      </c>
      <c r="J102" s="70" t="e">
        <f t="shared" ca="1" si="6"/>
        <v>#REF!</v>
      </c>
      <c r="K102" s="70" t="e">
        <f t="shared" ca="1" si="0"/>
        <v>#N/A</v>
      </c>
      <c r="L102" s="70"/>
      <c r="M102" s="70" t="e">
        <f t="shared" ca="1" si="1"/>
        <v>#REF!</v>
      </c>
      <c r="N102" s="129" t="s">
        <v>412</v>
      </c>
      <c r="O102" s="70" t="e">
        <f t="shared" ca="1" si="2"/>
        <v>#REF!</v>
      </c>
      <c r="P102" s="70"/>
      <c r="Q102" s="70" t="e">
        <f t="shared" ca="1" si="3"/>
        <v>#REF!</v>
      </c>
      <c r="R102" s="20" t="e">
        <f t="shared" ca="1" si="4"/>
        <v>#REF!</v>
      </c>
      <c r="S102" s="5" t="e">
        <f t="shared" ca="1" si="5"/>
        <v>#REF!</v>
      </c>
      <c r="T102" s="70" t="s">
        <v>244</v>
      </c>
      <c r="U102" s="20">
        <v>43535</v>
      </c>
      <c r="V102" s="70" t="s">
        <v>245</v>
      </c>
    </row>
    <row r="103" spans="1:22" ht="12.75" customHeight="1">
      <c r="A103" s="70" t="s">
        <v>121</v>
      </c>
      <c r="B103" s="56" t="s">
        <v>59</v>
      </c>
      <c r="C103" s="56" t="s">
        <v>413</v>
      </c>
      <c r="D103" s="56" t="s">
        <v>329</v>
      </c>
      <c r="E103" s="56" t="s">
        <v>243</v>
      </c>
      <c r="F103" s="56">
        <v>23</v>
      </c>
      <c r="G103" s="56" t="str">
        <f>VLOOKUP(C103,'2a. PROFITLOSSLITE - PLL'!F:T,15,FALSE)</f>
        <v>Accrued end Interest Balance for the holding/lot as of the date of the file in account's book currency</v>
      </c>
      <c r="H103" s="20">
        <v>43538</v>
      </c>
      <c r="I103" s="70" t="e">
        <v>#N/A</v>
      </c>
      <c r="J103" s="70" t="e">
        <f t="shared" ca="1" si="6"/>
        <v>#REF!</v>
      </c>
      <c r="K103" s="70" t="e">
        <f t="shared" ca="1" si="0"/>
        <v>#N/A</v>
      </c>
      <c r="L103" s="70"/>
      <c r="M103" s="70" t="e">
        <f t="shared" ca="1" si="1"/>
        <v>#REF!</v>
      </c>
      <c r="N103" s="129" t="s">
        <v>414</v>
      </c>
      <c r="O103" s="70" t="e">
        <f t="shared" ca="1" si="2"/>
        <v>#REF!</v>
      </c>
      <c r="P103" s="70"/>
      <c r="Q103" s="70" t="e">
        <f t="shared" ca="1" si="3"/>
        <v>#REF!</v>
      </c>
      <c r="R103" s="20" t="e">
        <f t="shared" ca="1" si="4"/>
        <v>#REF!</v>
      </c>
      <c r="S103" s="5" t="e">
        <f t="shared" ca="1" si="5"/>
        <v>#REF!</v>
      </c>
      <c r="T103" s="70" t="s">
        <v>244</v>
      </c>
      <c r="U103" s="20">
        <v>43535</v>
      </c>
      <c r="V103" s="70" t="s">
        <v>245</v>
      </c>
    </row>
    <row r="104" spans="1:22" ht="12.75" customHeight="1">
      <c r="A104" s="70" t="s">
        <v>121</v>
      </c>
      <c r="B104" s="70" t="s">
        <v>55</v>
      </c>
      <c r="C104" s="56" t="s">
        <v>415</v>
      </c>
      <c r="D104" s="56" t="s">
        <v>329</v>
      </c>
      <c r="E104" s="70" t="s">
        <v>243</v>
      </c>
      <c r="F104" s="70">
        <v>98</v>
      </c>
      <c r="G104" s="56" t="str">
        <f>VLOOKUP(C104,'2a. PROFITLOSSLITE - PLL'!F:T,15,FALSE)</f>
        <v>Accrued Interest Balance for the holding/lot as of the date of the file in account's reporting currency.</v>
      </c>
      <c r="H104" s="20">
        <v>43538</v>
      </c>
      <c r="I104" s="70" t="e">
        <v>#N/A</v>
      </c>
      <c r="J104" s="70" t="e">
        <f t="shared" ca="1" si="6"/>
        <v>#REF!</v>
      </c>
      <c r="K104" s="70" t="e">
        <f t="shared" ca="1" si="0"/>
        <v>#N/A</v>
      </c>
      <c r="L104" s="70" t="s">
        <v>416</v>
      </c>
      <c r="M104" s="70" t="e">
        <f t="shared" ca="1" si="1"/>
        <v>#REF!</v>
      </c>
      <c r="N104" s="129" t="s">
        <v>417</v>
      </c>
      <c r="O104" s="70" t="e">
        <f t="shared" ca="1" si="2"/>
        <v>#REF!</v>
      </c>
      <c r="P104" s="70"/>
      <c r="Q104" s="70" t="e">
        <f t="shared" ca="1" si="3"/>
        <v>#REF!</v>
      </c>
      <c r="R104" s="20" t="e">
        <f t="shared" ca="1" si="4"/>
        <v>#REF!</v>
      </c>
      <c r="S104" s="70" t="e">
        <f t="shared" ca="1" si="5"/>
        <v>#REF!</v>
      </c>
      <c r="T104" s="70" t="s">
        <v>244</v>
      </c>
      <c r="U104" s="20">
        <v>43550</v>
      </c>
      <c r="V104" s="70" t="s">
        <v>256</v>
      </c>
    </row>
    <row r="105" spans="1:22" ht="12.75" customHeight="1">
      <c r="A105" s="70" t="s">
        <v>121</v>
      </c>
      <c r="B105" s="56" t="s">
        <v>55</v>
      </c>
      <c r="C105" s="56" t="s">
        <v>418</v>
      </c>
      <c r="D105" s="56" t="s">
        <v>329</v>
      </c>
      <c r="E105" s="56" t="s">
        <v>243</v>
      </c>
      <c r="F105" s="22"/>
      <c r="G105" s="56" t="str">
        <f>VLOOKUP(C105,'2a. PROFITLOSSLITE - PLL'!F:T,15,FALSE)</f>
        <v>Annual Income in Local Currency</v>
      </c>
      <c r="H105" s="20">
        <v>43538</v>
      </c>
      <c r="I105" s="70" t="e">
        <v>#N/A</v>
      </c>
      <c r="J105" s="70" t="e">
        <f t="shared" ca="1" si="6"/>
        <v>#REF!</v>
      </c>
      <c r="K105" s="70" t="e">
        <f t="shared" ca="1" si="0"/>
        <v>#N/A</v>
      </c>
      <c r="L105" s="70" t="s">
        <v>416</v>
      </c>
      <c r="M105" s="70" t="e">
        <f t="shared" ca="1" si="1"/>
        <v>#REF!</v>
      </c>
      <c r="N105" s="129" t="s">
        <v>419</v>
      </c>
      <c r="O105" s="70" t="e">
        <f t="shared" ca="1" si="2"/>
        <v>#REF!</v>
      </c>
      <c r="P105" s="70"/>
      <c r="Q105" s="70" t="e">
        <f t="shared" ca="1" si="3"/>
        <v>#REF!</v>
      </c>
      <c r="R105" s="20" t="e">
        <f t="shared" ca="1" si="4"/>
        <v>#REF!</v>
      </c>
      <c r="S105" s="70" t="e">
        <f t="shared" ca="1" si="5"/>
        <v>#REF!</v>
      </c>
      <c r="T105" s="70" t="s">
        <v>244</v>
      </c>
      <c r="U105" s="20">
        <v>43550</v>
      </c>
      <c r="V105" s="70" t="s">
        <v>256</v>
      </c>
    </row>
    <row r="106" spans="1:22" ht="12.75" customHeight="1">
      <c r="A106" s="70" t="s">
        <v>121</v>
      </c>
      <c r="B106" s="56" t="s">
        <v>59</v>
      </c>
      <c r="C106" s="56" t="s">
        <v>420</v>
      </c>
      <c r="D106" s="56" t="s">
        <v>329</v>
      </c>
      <c r="E106" s="56" t="s">
        <v>243</v>
      </c>
      <c r="F106" s="56">
        <v>8</v>
      </c>
      <c r="G106" s="56" t="str">
        <f>VLOOKUP(C106,'2a. PROFITLOSSLITE - PLL'!F:T,15,FALSE)</f>
        <v>Annual Income in Book Currency</v>
      </c>
      <c r="H106" s="20">
        <v>43538</v>
      </c>
      <c r="I106" s="70" t="e">
        <v>#N/A</v>
      </c>
      <c r="J106" s="70" t="e">
        <f t="shared" ca="1" si="6"/>
        <v>#REF!</v>
      </c>
      <c r="K106" s="70" t="e">
        <f t="shared" ca="1" si="0"/>
        <v>#N/A</v>
      </c>
      <c r="L106" s="70"/>
      <c r="M106" s="70" t="e">
        <f t="shared" ca="1" si="1"/>
        <v>#REF!</v>
      </c>
      <c r="N106" s="129" t="s">
        <v>421</v>
      </c>
      <c r="O106" s="70" t="e">
        <f t="shared" ca="1" si="2"/>
        <v>#REF!</v>
      </c>
      <c r="P106" s="70"/>
      <c r="Q106" s="70" t="e">
        <f t="shared" ca="1" si="3"/>
        <v>#REF!</v>
      </c>
      <c r="R106" s="20" t="e">
        <f t="shared" ca="1" si="4"/>
        <v>#REF!</v>
      </c>
      <c r="S106" s="5" t="e">
        <f t="shared" ca="1" si="5"/>
        <v>#REF!</v>
      </c>
      <c r="T106" s="70" t="s">
        <v>244</v>
      </c>
      <c r="U106" s="20">
        <v>43535</v>
      </c>
      <c r="V106" s="70" t="s">
        <v>245</v>
      </c>
    </row>
    <row r="107" spans="1:22" ht="12.75" customHeight="1">
      <c r="A107" s="70" t="s">
        <v>121</v>
      </c>
      <c r="B107" s="70" t="s">
        <v>55</v>
      </c>
      <c r="C107" s="56" t="s">
        <v>422</v>
      </c>
      <c r="D107" s="56" t="s">
        <v>329</v>
      </c>
      <c r="E107" s="70" t="s">
        <v>243</v>
      </c>
      <c r="F107" s="70">
        <v>104</v>
      </c>
      <c r="G107" s="56" t="str">
        <f>VLOOKUP(C107,'2a. PROFITLOSSLITE - PLL'!F:T,15,FALSE)</f>
        <v>Actual Annual Income on a settlement date basis in the reporting ccy.</v>
      </c>
      <c r="H107" s="20">
        <v>43538</v>
      </c>
      <c r="I107" s="70" t="e">
        <v>#N/A</v>
      </c>
      <c r="J107" s="70" t="e">
        <f t="shared" ca="1" si="6"/>
        <v>#REF!</v>
      </c>
      <c r="K107" s="70" t="e">
        <f t="shared" ca="1" si="0"/>
        <v>#N/A</v>
      </c>
      <c r="L107" s="70"/>
      <c r="M107" s="70" t="e">
        <f t="shared" ca="1" si="1"/>
        <v>#REF!</v>
      </c>
      <c r="N107" s="129" t="s">
        <v>423</v>
      </c>
      <c r="O107" s="70" t="e">
        <f t="shared" ca="1" si="2"/>
        <v>#REF!</v>
      </c>
      <c r="P107" s="70"/>
      <c r="Q107" s="70" t="e">
        <f t="shared" ca="1" si="3"/>
        <v>#REF!</v>
      </c>
      <c r="R107" s="20" t="e">
        <f t="shared" ca="1" si="4"/>
        <v>#REF!</v>
      </c>
      <c r="S107" s="5" t="e">
        <f t="shared" ca="1" si="5"/>
        <v>#REF!</v>
      </c>
      <c r="T107" s="70" t="s">
        <v>244</v>
      </c>
      <c r="U107" s="20">
        <v>43535</v>
      </c>
      <c r="V107" s="70" t="s">
        <v>245</v>
      </c>
    </row>
    <row r="108" spans="1:22" ht="12.75" customHeight="1">
      <c r="A108" s="70" t="s">
        <v>121</v>
      </c>
      <c r="B108" s="56" t="s">
        <v>59</v>
      </c>
      <c r="C108" s="56" t="s">
        <v>424</v>
      </c>
      <c r="D108" s="56" t="s">
        <v>329</v>
      </c>
      <c r="E108" s="56" t="s">
        <v>243</v>
      </c>
      <c r="F108" s="56">
        <v>29</v>
      </c>
      <c r="G108" s="56" t="str">
        <f>VLOOKUP(C108,'2a. PROFITLOSSLITE - PLL'!F:T,15,FALSE)</f>
        <v>Unrealized G/L Balance for the holding/lot as of the date of the file in account's book currency.</v>
      </c>
      <c r="H108" s="20">
        <v>43538</v>
      </c>
      <c r="I108" s="70" t="e">
        <v>#N/A</v>
      </c>
      <c r="J108" s="70" t="e">
        <f t="shared" ca="1" si="6"/>
        <v>#REF!</v>
      </c>
      <c r="K108" s="70" t="e">
        <f t="shared" ca="1" si="0"/>
        <v>#N/A</v>
      </c>
      <c r="L108" s="70"/>
      <c r="M108" s="70" t="e">
        <f t="shared" ca="1" si="1"/>
        <v>#REF!</v>
      </c>
      <c r="N108" s="129" t="s">
        <v>425</v>
      </c>
      <c r="O108" s="70" t="e">
        <f t="shared" ca="1" si="2"/>
        <v>#REF!</v>
      </c>
      <c r="P108" s="70"/>
      <c r="Q108" s="70" t="e">
        <f t="shared" ca="1" si="3"/>
        <v>#REF!</v>
      </c>
      <c r="R108" s="20" t="e">
        <f t="shared" ca="1" si="4"/>
        <v>#REF!</v>
      </c>
      <c r="S108" s="5" t="e">
        <f t="shared" ca="1" si="5"/>
        <v>#REF!</v>
      </c>
      <c r="T108" s="70" t="s">
        <v>244</v>
      </c>
      <c r="U108" s="20">
        <v>43535</v>
      </c>
      <c r="V108" s="70" t="s">
        <v>245</v>
      </c>
    </row>
    <row r="109" spans="1:22" ht="12.75" customHeight="1">
      <c r="A109" s="70" t="s">
        <v>121</v>
      </c>
      <c r="B109" s="70" t="s">
        <v>55</v>
      </c>
      <c r="C109" s="56" t="s">
        <v>426</v>
      </c>
      <c r="D109" s="56" t="s">
        <v>329</v>
      </c>
      <c r="E109" s="70" t="s">
        <v>243</v>
      </c>
      <c r="F109" s="70">
        <v>103</v>
      </c>
      <c r="G109" s="56" t="str">
        <f>VLOOKUP(C109,'2a. PROFITLOSSLITE - PLL'!F:T,15,FALSE)</f>
        <v>Unrealized G/L Balance for the holding/lot as of the date of the file in account's reporting currency.</v>
      </c>
      <c r="H109" s="20">
        <v>43538</v>
      </c>
      <c r="I109" s="70" t="e">
        <v>#N/A</v>
      </c>
      <c r="J109" s="70" t="e">
        <f t="shared" ca="1" si="6"/>
        <v>#REF!</v>
      </c>
      <c r="K109" s="70" t="e">
        <f t="shared" ca="1" si="0"/>
        <v>#N/A</v>
      </c>
      <c r="L109" s="70"/>
      <c r="M109" s="70" t="e">
        <f t="shared" ca="1" si="1"/>
        <v>#REF!</v>
      </c>
      <c r="N109" s="129" t="s">
        <v>427</v>
      </c>
      <c r="O109" s="70" t="e">
        <f t="shared" ca="1" si="2"/>
        <v>#REF!</v>
      </c>
      <c r="P109" s="70"/>
      <c r="Q109" s="70" t="e">
        <f t="shared" ca="1" si="3"/>
        <v>#REF!</v>
      </c>
      <c r="R109" s="20" t="e">
        <f t="shared" ca="1" si="4"/>
        <v>#REF!</v>
      </c>
      <c r="S109" s="5" t="e">
        <f t="shared" ca="1" si="5"/>
        <v>#REF!</v>
      </c>
      <c r="T109" s="70" t="s">
        <v>244</v>
      </c>
      <c r="U109" s="20">
        <v>43535</v>
      </c>
      <c r="V109" s="70" t="s">
        <v>245</v>
      </c>
    </row>
    <row r="110" spans="1:22" ht="12.75" customHeight="1">
      <c r="A110" s="70" t="s">
        <v>121</v>
      </c>
      <c r="B110" s="56" t="s">
        <v>55</v>
      </c>
      <c r="C110" s="56" t="s">
        <v>428</v>
      </c>
      <c r="D110" s="56" t="s">
        <v>429</v>
      </c>
      <c r="E110" s="56" t="s">
        <v>243</v>
      </c>
      <c r="F110" s="22"/>
      <c r="G110" s="21" t="str">
        <f>VLOOKUP(C110,'2a. PROFITLOSSLITE - PLL'!F:T,15,FALSE)</f>
        <v>Flag to indicate where Tax Cost is unknown</v>
      </c>
      <c r="H110" s="20">
        <v>43538</v>
      </c>
      <c r="I110" s="70" t="e">
        <v>#N/A</v>
      </c>
      <c r="J110" s="70" t="e">
        <f t="shared" ca="1" si="6"/>
        <v>#REF!</v>
      </c>
      <c r="K110" s="70" t="e">
        <f t="shared" ca="1" si="0"/>
        <v>#N/A</v>
      </c>
      <c r="L110" s="70"/>
      <c r="M110" s="70" t="e">
        <f t="shared" ca="1" si="1"/>
        <v>#REF!</v>
      </c>
      <c r="N110" s="129" t="s">
        <v>430</v>
      </c>
      <c r="O110" s="70" t="e">
        <f t="shared" ca="1" si="2"/>
        <v>#REF!</v>
      </c>
      <c r="P110" s="70"/>
      <c r="Q110" s="70" t="e">
        <f t="shared" ca="1" si="3"/>
        <v>#REF!</v>
      </c>
      <c r="R110" s="20" t="e">
        <f t="shared" ca="1" si="4"/>
        <v>#REF!</v>
      </c>
      <c r="S110" s="5" t="e">
        <f t="shared" ca="1" si="5"/>
        <v>#REF!</v>
      </c>
      <c r="T110" s="70" t="s">
        <v>244</v>
      </c>
      <c r="U110" s="20">
        <v>43535</v>
      </c>
      <c r="V110" s="70" t="s">
        <v>245</v>
      </c>
    </row>
    <row r="111" spans="1:22" ht="12.75" customHeight="1">
      <c r="A111" s="70" t="s">
        <v>121</v>
      </c>
      <c r="B111" s="56" t="s">
        <v>55</v>
      </c>
      <c r="C111" s="56" t="s">
        <v>431</v>
      </c>
      <c r="D111" s="56" t="s">
        <v>432</v>
      </c>
      <c r="E111" s="56" t="s">
        <v>243</v>
      </c>
      <c r="F111" s="56">
        <v>80</v>
      </c>
      <c r="G111" s="56" t="str">
        <f>VLOOKUP(C111,'2a. PROFITLOSSLITE - PLL'!F:T,15,FALSE)</f>
        <v>Custom reporting field commonly used to indicate whether a holding is managed with discretion or non-discretion. Can be Y or N</v>
      </c>
      <c r="H111" s="20">
        <v>43538</v>
      </c>
      <c r="I111" s="70" t="e">
        <v>#N/A</v>
      </c>
      <c r="J111" s="70" t="e">
        <f t="shared" ca="1" si="6"/>
        <v>#REF!</v>
      </c>
      <c r="K111" s="70" t="e">
        <f t="shared" ca="1" si="0"/>
        <v>#N/A</v>
      </c>
      <c r="L111" s="70"/>
      <c r="M111" s="70" t="e">
        <f t="shared" ca="1" si="1"/>
        <v>#REF!</v>
      </c>
      <c r="N111" s="129" t="s">
        <v>433</v>
      </c>
      <c r="O111" s="70" t="e">
        <f t="shared" ca="1" si="2"/>
        <v>#REF!</v>
      </c>
      <c r="P111" s="70"/>
      <c r="Q111" s="70" t="e">
        <f t="shared" ca="1" si="3"/>
        <v>#REF!</v>
      </c>
      <c r="R111" s="20" t="e">
        <f t="shared" ca="1" si="4"/>
        <v>#REF!</v>
      </c>
      <c r="S111" s="5" t="e">
        <f t="shared" ca="1" si="5"/>
        <v>#REF!</v>
      </c>
      <c r="T111" s="70" t="s">
        <v>244</v>
      </c>
      <c r="U111" s="20">
        <v>43535</v>
      </c>
      <c r="V111" s="70" t="s">
        <v>245</v>
      </c>
    </row>
    <row r="112" spans="1:22" ht="12.75" customHeight="1">
      <c r="A112" s="70" t="s">
        <v>121</v>
      </c>
      <c r="B112" s="56" t="s">
        <v>55</v>
      </c>
      <c r="C112" s="56" t="s">
        <v>434</v>
      </c>
      <c r="D112" s="56" t="s">
        <v>324</v>
      </c>
      <c r="E112" s="56" t="s">
        <v>243</v>
      </c>
      <c r="F112" s="56"/>
      <c r="G112" s="21" t="str">
        <f>VLOOKUP(C112,'2a. PROFITLOSSLITE - PLL'!F:T,15,FALSE)</f>
        <v>Denotes whether data is Trade Date or Settlement Date</v>
      </c>
      <c r="H112" s="20">
        <v>43538</v>
      </c>
      <c r="I112" s="70" t="e">
        <v>#N/A</v>
      </c>
      <c r="J112" s="70" t="e">
        <f t="shared" ca="1" si="6"/>
        <v>#REF!</v>
      </c>
      <c r="K112" s="70" t="e">
        <f t="shared" ca="1" si="0"/>
        <v>#N/A</v>
      </c>
      <c r="L112" s="70"/>
      <c r="M112" s="70" t="e">
        <f t="shared" ca="1" si="1"/>
        <v>#REF!</v>
      </c>
      <c r="N112" s="129" t="s">
        <v>435</v>
      </c>
      <c r="O112" s="70" t="e">
        <f t="shared" ca="1" si="2"/>
        <v>#REF!</v>
      </c>
      <c r="P112" s="70"/>
      <c r="Q112" s="70" t="e">
        <f t="shared" ca="1" si="3"/>
        <v>#REF!</v>
      </c>
      <c r="R112" s="20" t="e">
        <f t="shared" ca="1" si="4"/>
        <v>#REF!</v>
      </c>
      <c r="S112" s="5" t="e">
        <f t="shared" ca="1" si="5"/>
        <v>#REF!</v>
      </c>
      <c r="T112" s="70" t="s">
        <v>244</v>
      </c>
      <c r="U112" s="20">
        <v>43535</v>
      </c>
      <c r="V112" s="70" t="s">
        <v>245</v>
      </c>
    </row>
    <row r="113" spans="1:22" ht="12.75" customHeight="1">
      <c r="A113" s="70" t="s">
        <v>121</v>
      </c>
      <c r="B113" s="56" t="s">
        <v>55</v>
      </c>
      <c r="C113" s="56" t="s">
        <v>436</v>
      </c>
      <c r="D113" s="56" t="s">
        <v>429</v>
      </c>
      <c r="E113" s="56" t="s">
        <v>243</v>
      </c>
      <c r="F113" s="56"/>
      <c r="G113" s="21" t="str">
        <f>VLOOKUP(C113,'2a. PROFITLOSSLITE - PLL'!F:T,15,FALSE)</f>
        <v>Tax Lot details</v>
      </c>
      <c r="H113" s="20">
        <v>43538</v>
      </c>
      <c r="I113" s="70" t="e">
        <v>#N/A</v>
      </c>
      <c r="J113" s="70" t="e">
        <f t="shared" ca="1" si="6"/>
        <v>#REF!</v>
      </c>
      <c r="K113" s="70" t="e">
        <f t="shared" ca="1" si="0"/>
        <v>#N/A</v>
      </c>
      <c r="L113" s="70"/>
      <c r="M113" s="70" t="e">
        <f t="shared" ca="1" si="1"/>
        <v>#REF!</v>
      </c>
      <c r="N113" s="129" t="s">
        <v>437</v>
      </c>
      <c r="O113" s="70" t="e">
        <f t="shared" ca="1" si="2"/>
        <v>#REF!</v>
      </c>
      <c r="P113" s="70"/>
      <c r="Q113" s="70" t="e">
        <f t="shared" ca="1" si="3"/>
        <v>#REF!</v>
      </c>
      <c r="R113" s="20" t="e">
        <f t="shared" ca="1" si="4"/>
        <v>#REF!</v>
      </c>
      <c r="S113" s="5" t="e">
        <f t="shared" ca="1" si="5"/>
        <v>#REF!</v>
      </c>
      <c r="T113" s="70" t="s">
        <v>244</v>
      </c>
      <c r="U113" s="20">
        <v>43535</v>
      </c>
      <c r="V113" s="70" t="s">
        <v>245</v>
      </c>
    </row>
    <row r="114" spans="1:22" ht="12.75" customHeight="1">
      <c r="A114" s="70" t="s">
        <v>121</v>
      </c>
      <c r="B114" s="56" t="s">
        <v>438</v>
      </c>
      <c r="C114" s="56" t="s">
        <v>439</v>
      </c>
      <c r="D114" s="70"/>
      <c r="E114" s="70"/>
      <c r="F114" s="70"/>
      <c r="G114" s="56" t="e">
        <f>VLOOKUP(C114,'2a. PROFITLOSSLITE - PLL'!F:T,15,FALSE)</f>
        <v>#N/A</v>
      </c>
      <c r="H114" s="20">
        <v>43538</v>
      </c>
      <c r="I114" s="70" t="e">
        <v>#N/A</v>
      </c>
      <c r="J114" s="70" t="e">
        <f t="shared" ca="1" si="6"/>
        <v>#REF!</v>
      </c>
      <c r="K114" s="23" t="e">
        <f t="shared" ca="1" si="0"/>
        <v>#N/A</v>
      </c>
      <c r="L114" s="70" t="s">
        <v>440</v>
      </c>
      <c r="M114" s="70" t="e">
        <f t="shared" ca="1" si="1"/>
        <v>#REF!</v>
      </c>
      <c r="N114" s="70" t="s">
        <v>441</v>
      </c>
      <c r="O114" s="70" t="e">
        <f t="shared" ca="1" si="2"/>
        <v>#REF!</v>
      </c>
      <c r="P114" s="70"/>
      <c r="Q114" s="70" t="e">
        <f t="shared" ca="1" si="3"/>
        <v>#REF!</v>
      </c>
      <c r="R114" s="20" t="e">
        <f t="shared" ca="1" si="4"/>
        <v>#REF!</v>
      </c>
      <c r="S114" s="70" t="e">
        <f t="shared" ca="1" si="5"/>
        <v>#REF!</v>
      </c>
      <c r="T114" s="70" t="s">
        <v>244</v>
      </c>
      <c r="U114" s="20">
        <v>43550</v>
      </c>
      <c r="V114" s="70" t="s">
        <v>256</v>
      </c>
    </row>
    <row r="115" spans="1:22" ht="12.75" customHeight="1">
      <c r="A115" s="219" t="s">
        <v>121</v>
      </c>
      <c r="B115" s="229" t="s">
        <v>438</v>
      </c>
      <c r="C115" s="229" t="s">
        <v>442</v>
      </c>
      <c r="D115" s="219"/>
      <c r="E115" s="219"/>
      <c r="F115" s="219"/>
      <c r="G115" s="229" t="e">
        <f>VLOOKUP(C115,'2a. PROFITLOSSLITE - PLL'!F:T,15,FALSE)</f>
        <v>#N/A</v>
      </c>
      <c r="H115" s="220">
        <v>43538</v>
      </c>
      <c r="I115" s="219" t="e">
        <v>#N/A</v>
      </c>
      <c r="J115" s="219" t="e">
        <f t="shared" ca="1" si="6"/>
        <v>#REF!</v>
      </c>
      <c r="K115" s="233" t="e">
        <f t="shared" ca="1" si="0"/>
        <v>#N/A</v>
      </c>
      <c r="L115" s="219" t="s">
        <v>440</v>
      </c>
      <c r="M115" s="219" t="e">
        <f t="shared" ca="1" si="1"/>
        <v>#REF!</v>
      </c>
      <c r="N115" s="219" t="s">
        <v>443</v>
      </c>
      <c r="O115" s="219" t="e">
        <f t="shared" ca="1" si="2"/>
        <v>#REF!</v>
      </c>
      <c r="P115" s="219"/>
      <c r="Q115" s="219" t="e">
        <f t="shared" ca="1" si="3"/>
        <v>#REF!</v>
      </c>
      <c r="R115" s="220" t="e">
        <f t="shared" ca="1" si="4"/>
        <v>#REF!</v>
      </c>
      <c r="S115" s="219" t="e">
        <f t="shared" ca="1" si="5"/>
        <v>#REF!</v>
      </c>
      <c r="T115" s="70"/>
      <c r="U115" s="20"/>
      <c r="V115" s="70"/>
    </row>
    <row r="116" spans="1:22" ht="12.75" customHeight="1">
      <c r="A116" s="219" t="s">
        <v>121</v>
      </c>
      <c r="B116" s="229" t="s">
        <v>438</v>
      </c>
      <c r="C116" s="229" t="s">
        <v>444</v>
      </c>
      <c r="D116" s="219"/>
      <c r="E116" s="219"/>
      <c r="F116" s="219"/>
      <c r="G116" s="229" t="e">
        <f>VLOOKUP(C116,'2a. PROFITLOSSLITE - PLL'!F:T,15,FALSE)</f>
        <v>#N/A</v>
      </c>
      <c r="H116" s="220">
        <v>43538</v>
      </c>
      <c r="I116" s="219" t="e">
        <v>#N/A</v>
      </c>
      <c r="J116" s="219" t="e">
        <f t="shared" ca="1" si="6"/>
        <v>#REF!</v>
      </c>
      <c r="K116" s="233" t="e">
        <f t="shared" ca="1" si="0"/>
        <v>#N/A</v>
      </c>
      <c r="L116" s="219" t="s">
        <v>440</v>
      </c>
      <c r="M116" s="219" t="e">
        <f t="shared" ca="1" si="1"/>
        <v>#REF!</v>
      </c>
      <c r="N116" s="219" t="s">
        <v>445</v>
      </c>
      <c r="O116" s="219" t="e">
        <f t="shared" ca="1" si="2"/>
        <v>#REF!</v>
      </c>
      <c r="P116" s="219"/>
      <c r="Q116" s="219" t="e">
        <f t="shared" ca="1" si="3"/>
        <v>#REF!</v>
      </c>
      <c r="R116" s="220" t="e">
        <f t="shared" ca="1" si="4"/>
        <v>#REF!</v>
      </c>
      <c r="S116" s="219" t="e">
        <f t="shared" ca="1" si="5"/>
        <v>#REF!</v>
      </c>
      <c r="T116" s="70"/>
      <c r="U116" s="20"/>
      <c r="V116" s="70"/>
    </row>
    <row r="117" spans="1:22" ht="12.75" customHeight="1">
      <c r="A117" s="219" t="s">
        <v>121</v>
      </c>
      <c r="B117" s="229" t="s">
        <v>438</v>
      </c>
      <c r="C117" s="229" t="s">
        <v>446</v>
      </c>
      <c r="D117" s="219"/>
      <c r="E117" s="219"/>
      <c r="F117" s="219"/>
      <c r="G117" s="229"/>
      <c r="H117" s="220">
        <v>43538</v>
      </c>
      <c r="I117" s="219" t="e">
        <v>#N/A</v>
      </c>
      <c r="J117" s="219" t="e">
        <f t="shared" ca="1" si="6"/>
        <v>#REF!</v>
      </c>
      <c r="K117" s="233" t="e">
        <f t="shared" ca="1" si="0"/>
        <v>#N/A</v>
      </c>
      <c r="L117" s="219" t="s">
        <v>440</v>
      </c>
      <c r="M117" s="219" t="e">
        <f t="shared" ca="1" si="1"/>
        <v>#REF!</v>
      </c>
      <c r="N117" s="219" t="s">
        <v>447</v>
      </c>
      <c r="O117" s="219" t="e">
        <f t="shared" ca="1" si="2"/>
        <v>#REF!</v>
      </c>
      <c r="P117" s="219"/>
      <c r="Q117" s="219" t="e">
        <f t="shared" ca="1" si="3"/>
        <v>#REF!</v>
      </c>
      <c r="R117" s="220" t="e">
        <f t="shared" ca="1" si="4"/>
        <v>#REF!</v>
      </c>
      <c r="S117" s="219" t="e">
        <f t="shared" ca="1" si="5"/>
        <v>#REF!</v>
      </c>
      <c r="T117" s="70"/>
      <c r="U117" s="20"/>
      <c r="V117" s="70"/>
    </row>
    <row r="118" spans="1:22" ht="12.75" customHeight="1">
      <c r="A118" s="219" t="s">
        <v>121</v>
      </c>
      <c r="B118" s="229" t="s">
        <v>438</v>
      </c>
      <c r="C118" s="229" t="s">
        <v>448</v>
      </c>
      <c r="D118" s="219"/>
      <c r="E118" s="219"/>
      <c r="F118" s="219"/>
      <c r="G118" s="229"/>
      <c r="H118" s="220">
        <v>43538</v>
      </c>
      <c r="I118" s="219" t="e">
        <v>#N/A</v>
      </c>
      <c r="J118" s="219" t="e">
        <f t="shared" ca="1" si="6"/>
        <v>#REF!</v>
      </c>
      <c r="K118" s="233" t="e">
        <f t="shared" ca="1" si="0"/>
        <v>#N/A</v>
      </c>
      <c r="L118" s="219" t="s">
        <v>440</v>
      </c>
      <c r="M118" s="219" t="e">
        <f t="shared" ca="1" si="1"/>
        <v>#REF!</v>
      </c>
      <c r="N118" s="219" t="s">
        <v>449</v>
      </c>
      <c r="O118" s="219" t="e">
        <f t="shared" ca="1" si="2"/>
        <v>#REF!</v>
      </c>
      <c r="P118" s="219"/>
      <c r="Q118" s="219" t="e">
        <f t="shared" ca="1" si="3"/>
        <v>#REF!</v>
      </c>
      <c r="R118" s="220" t="e">
        <f t="shared" ca="1" si="4"/>
        <v>#REF!</v>
      </c>
      <c r="S118" s="219" t="e">
        <f t="shared" ca="1" si="5"/>
        <v>#REF!</v>
      </c>
      <c r="T118" s="70"/>
      <c r="U118" s="20"/>
      <c r="V118" s="70"/>
    </row>
    <row r="119" spans="1:22" ht="12.75" customHeight="1">
      <c r="A119" s="70" t="s">
        <v>121</v>
      </c>
      <c r="B119" s="56" t="s">
        <v>438</v>
      </c>
      <c r="C119" s="56" t="s">
        <v>450</v>
      </c>
      <c r="D119" s="70"/>
      <c r="E119" s="70"/>
      <c r="F119" s="70"/>
      <c r="G119" s="56" t="e">
        <f>VLOOKUP(C119,'2a. PROFITLOSSLITE - PLL'!F:T,15,FALSE)</f>
        <v>#N/A</v>
      </c>
      <c r="H119" s="20">
        <v>43538</v>
      </c>
      <c r="I119" s="70" t="e">
        <v>#N/A</v>
      </c>
      <c r="J119" s="70" t="e">
        <f t="shared" ca="1" si="6"/>
        <v>#REF!</v>
      </c>
      <c r="K119" s="23" t="e">
        <f t="shared" ca="1" si="0"/>
        <v>#N/A</v>
      </c>
      <c r="L119" s="70" t="s">
        <v>440</v>
      </c>
      <c r="M119" s="70" t="e">
        <f t="shared" ca="1" si="1"/>
        <v>#REF!</v>
      </c>
      <c r="N119" s="70" t="s">
        <v>451</v>
      </c>
      <c r="O119" s="70" t="e">
        <f t="shared" ca="1" si="2"/>
        <v>#REF!</v>
      </c>
      <c r="P119" s="70"/>
      <c r="Q119" s="70" t="e">
        <f t="shared" ca="1" si="3"/>
        <v>#REF!</v>
      </c>
      <c r="R119" s="20" t="e">
        <f t="shared" ca="1" si="4"/>
        <v>#REF!</v>
      </c>
      <c r="S119" s="70" t="e">
        <f t="shared" ca="1" si="5"/>
        <v>#REF!</v>
      </c>
      <c r="T119" s="70" t="s">
        <v>244</v>
      </c>
      <c r="U119" s="20">
        <v>43550</v>
      </c>
      <c r="V119" s="70" t="s">
        <v>256</v>
      </c>
    </row>
    <row r="120" spans="1:22" ht="12.75" customHeight="1">
      <c r="A120" s="70" t="s">
        <v>121</v>
      </c>
      <c r="B120" s="56" t="s">
        <v>438</v>
      </c>
      <c r="C120" s="56" t="s">
        <v>452</v>
      </c>
      <c r="D120" s="70"/>
      <c r="E120" s="70"/>
      <c r="F120" s="70"/>
      <c r="G120" s="56" t="e">
        <f>VLOOKUP(C120,'2a. PROFITLOSSLITE - PLL'!F:T,15,FALSE)</f>
        <v>#N/A</v>
      </c>
      <c r="H120" s="20">
        <v>43538</v>
      </c>
      <c r="I120" s="70" t="e">
        <v>#N/A</v>
      </c>
      <c r="J120" s="70" t="e">
        <f t="shared" ca="1" si="6"/>
        <v>#REF!</v>
      </c>
      <c r="K120" s="23" t="e">
        <f t="shared" ca="1" si="0"/>
        <v>#N/A</v>
      </c>
      <c r="L120" s="70" t="s">
        <v>440</v>
      </c>
      <c r="M120" s="70" t="e">
        <f t="shared" ca="1" si="1"/>
        <v>#REF!</v>
      </c>
      <c r="N120" s="70" t="s">
        <v>453</v>
      </c>
      <c r="O120" s="70" t="e">
        <f t="shared" ca="1" si="2"/>
        <v>#REF!</v>
      </c>
      <c r="P120" s="70"/>
      <c r="Q120" s="70" t="e">
        <f t="shared" ca="1" si="3"/>
        <v>#REF!</v>
      </c>
      <c r="R120" s="20" t="e">
        <f t="shared" ca="1" si="4"/>
        <v>#REF!</v>
      </c>
      <c r="S120" s="70" t="e">
        <f t="shared" ca="1" si="5"/>
        <v>#REF!</v>
      </c>
      <c r="T120" s="70" t="s">
        <v>244</v>
      </c>
      <c r="U120" s="20">
        <v>43550</v>
      </c>
      <c r="V120" s="70" t="s">
        <v>256</v>
      </c>
    </row>
    <row r="121" spans="1:22" ht="12.75" customHeight="1">
      <c r="A121" s="70" t="s">
        <v>121</v>
      </c>
      <c r="B121" s="56" t="s">
        <v>438</v>
      </c>
      <c r="C121" s="56" t="s">
        <v>454</v>
      </c>
      <c r="D121" s="70"/>
      <c r="E121" s="70"/>
      <c r="F121" s="70"/>
      <c r="G121" s="56" t="e">
        <f>VLOOKUP(C121,'2a. PROFITLOSSLITE - PLL'!F:T,15,FALSE)</f>
        <v>#N/A</v>
      </c>
      <c r="H121" s="20">
        <v>43538</v>
      </c>
      <c r="I121" s="70" t="e">
        <v>#N/A</v>
      </c>
      <c r="J121" s="70" t="e">
        <f t="shared" ca="1" si="6"/>
        <v>#REF!</v>
      </c>
      <c r="K121" s="23" t="e">
        <f t="shared" ca="1" si="0"/>
        <v>#N/A</v>
      </c>
      <c r="L121" s="70" t="s">
        <v>440</v>
      </c>
      <c r="M121" s="70" t="e">
        <f t="shared" ca="1" si="1"/>
        <v>#REF!</v>
      </c>
      <c r="N121" s="70" t="s">
        <v>455</v>
      </c>
      <c r="O121" s="70" t="e">
        <f t="shared" ca="1" si="2"/>
        <v>#REF!</v>
      </c>
      <c r="P121" s="70"/>
      <c r="Q121" s="70" t="e">
        <f t="shared" ca="1" si="3"/>
        <v>#REF!</v>
      </c>
      <c r="R121" s="20" t="e">
        <f t="shared" ca="1" si="4"/>
        <v>#REF!</v>
      </c>
      <c r="S121" s="70" t="e">
        <f t="shared" ca="1" si="5"/>
        <v>#REF!</v>
      </c>
      <c r="T121" s="70" t="s">
        <v>244</v>
      </c>
      <c r="U121" s="20">
        <v>43550</v>
      </c>
      <c r="V121" s="70" t="s">
        <v>256</v>
      </c>
    </row>
    <row r="122" spans="1:22" ht="12.75" customHeight="1">
      <c r="A122" s="70" t="s">
        <v>121</v>
      </c>
      <c r="B122" s="56" t="s">
        <v>438</v>
      </c>
      <c r="C122" s="56" t="s">
        <v>456</v>
      </c>
      <c r="D122" s="70"/>
      <c r="E122" s="70"/>
      <c r="F122" s="70"/>
      <c r="G122" s="56" t="e">
        <f>VLOOKUP(C122,'2a. PROFITLOSSLITE - PLL'!F:T,15,FALSE)</f>
        <v>#N/A</v>
      </c>
      <c r="H122" s="20">
        <v>43538</v>
      </c>
      <c r="I122" s="70" t="e">
        <v>#N/A</v>
      </c>
      <c r="J122" s="70" t="e">
        <f t="shared" ca="1" si="6"/>
        <v>#REF!</v>
      </c>
      <c r="K122" s="23" t="e">
        <f t="shared" ca="1" si="0"/>
        <v>#N/A</v>
      </c>
      <c r="L122" s="70" t="s">
        <v>440</v>
      </c>
      <c r="M122" s="70" t="e">
        <f t="shared" ca="1" si="1"/>
        <v>#REF!</v>
      </c>
      <c r="N122" s="70" t="s">
        <v>457</v>
      </c>
      <c r="O122" s="70" t="e">
        <f t="shared" ca="1" si="2"/>
        <v>#REF!</v>
      </c>
      <c r="P122" s="70"/>
      <c r="Q122" s="70" t="e">
        <f t="shared" ca="1" si="3"/>
        <v>#REF!</v>
      </c>
      <c r="R122" s="20" t="e">
        <f t="shared" ca="1" si="4"/>
        <v>#REF!</v>
      </c>
      <c r="S122" s="70" t="e">
        <f t="shared" ca="1" si="5"/>
        <v>#REF!</v>
      </c>
      <c r="T122" s="70" t="s">
        <v>244</v>
      </c>
      <c r="U122" s="20">
        <v>43550</v>
      </c>
      <c r="V122" s="70" t="s">
        <v>256</v>
      </c>
    </row>
    <row r="123" spans="1:22" ht="12.75" customHeight="1">
      <c r="A123" s="70" t="s">
        <v>121</v>
      </c>
      <c r="B123" s="56" t="s">
        <v>438</v>
      </c>
      <c r="C123" s="56" t="s">
        <v>458</v>
      </c>
      <c r="D123" s="70"/>
      <c r="E123" s="70"/>
      <c r="F123" s="70"/>
      <c r="G123" s="56" t="e">
        <f>VLOOKUP(C123,'2a. PROFITLOSSLITE - PLL'!F:T,15,FALSE)</f>
        <v>#N/A</v>
      </c>
      <c r="H123" s="20">
        <v>43538</v>
      </c>
      <c r="I123" s="70" t="e">
        <v>#N/A</v>
      </c>
      <c r="J123" s="70" t="e">
        <f t="shared" ca="1" si="6"/>
        <v>#REF!</v>
      </c>
      <c r="K123" s="23" t="e">
        <f t="shared" ca="1" si="0"/>
        <v>#N/A</v>
      </c>
      <c r="L123" s="70" t="s">
        <v>440</v>
      </c>
      <c r="M123" s="70" t="e">
        <f t="shared" ca="1" si="1"/>
        <v>#REF!</v>
      </c>
      <c r="N123" s="70" t="s">
        <v>459</v>
      </c>
      <c r="O123" s="70" t="e">
        <f t="shared" ca="1" si="2"/>
        <v>#REF!</v>
      </c>
      <c r="P123" s="70"/>
      <c r="Q123" s="70" t="e">
        <f t="shared" ca="1" si="3"/>
        <v>#REF!</v>
      </c>
      <c r="R123" s="20" t="e">
        <f t="shared" ca="1" si="4"/>
        <v>#REF!</v>
      </c>
      <c r="S123" s="70" t="e">
        <f t="shared" ca="1" si="5"/>
        <v>#REF!</v>
      </c>
      <c r="T123" s="70" t="s">
        <v>244</v>
      </c>
      <c r="U123" s="20">
        <v>43550</v>
      </c>
      <c r="V123" s="70" t="s">
        <v>256</v>
      </c>
    </row>
    <row r="124" spans="1:22" ht="12.75" customHeight="1">
      <c r="A124" s="70" t="s">
        <v>121</v>
      </c>
      <c r="B124" s="56" t="s">
        <v>438</v>
      </c>
      <c r="C124" s="56" t="s">
        <v>460</v>
      </c>
      <c r="D124" s="70"/>
      <c r="E124" s="70"/>
      <c r="F124" s="70"/>
      <c r="G124" s="56" t="e">
        <f>VLOOKUP(C124,'2a. PROFITLOSSLITE - PLL'!F:T,15,FALSE)</f>
        <v>#N/A</v>
      </c>
      <c r="H124" s="20">
        <v>43538</v>
      </c>
      <c r="I124" s="70" t="e">
        <v>#N/A</v>
      </c>
      <c r="J124" s="70" t="e">
        <f t="shared" ca="1" si="6"/>
        <v>#REF!</v>
      </c>
      <c r="K124" s="23" t="e">
        <f t="shared" ca="1" si="0"/>
        <v>#N/A</v>
      </c>
      <c r="L124" s="70" t="s">
        <v>440</v>
      </c>
      <c r="M124" s="70" t="e">
        <f t="shared" ca="1" si="1"/>
        <v>#REF!</v>
      </c>
      <c r="N124" s="70" t="s">
        <v>461</v>
      </c>
      <c r="O124" s="70" t="e">
        <f t="shared" ca="1" si="2"/>
        <v>#REF!</v>
      </c>
      <c r="P124" s="70"/>
      <c r="Q124" s="70" t="e">
        <f t="shared" ca="1" si="3"/>
        <v>#REF!</v>
      </c>
      <c r="R124" s="20" t="e">
        <f t="shared" ca="1" si="4"/>
        <v>#REF!</v>
      </c>
      <c r="S124" s="70" t="e">
        <f t="shared" ca="1" si="5"/>
        <v>#REF!</v>
      </c>
      <c r="T124" s="70" t="s">
        <v>244</v>
      </c>
      <c r="U124" s="20">
        <v>43550</v>
      </c>
      <c r="V124" s="70" t="s">
        <v>256</v>
      </c>
    </row>
    <row r="125" spans="1:22" ht="12.75" customHeight="1">
      <c r="A125" s="70" t="s">
        <v>121</v>
      </c>
      <c r="B125" s="56" t="s">
        <v>438</v>
      </c>
      <c r="C125" s="56" t="s">
        <v>462</v>
      </c>
      <c r="D125" s="70"/>
      <c r="E125" s="70"/>
      <c r="F125" s="70"/>
      <c r="G125" s="56" t="e">
        <f>VLOOKUP(C125,'2a. PROFITLOSSLITE - PLL'!F:T,15,FALSE)</f>
        <v>#N/A</v>
      </c>
      <c r="H125" s="20">
        <v>43538</v>
      </c>
      <c r="I125" s="70" t="e">
        <v>#N/A</v>
      </c>
      <c r="J125" s="70" t="e">
        <f t="shared" ca="1" si="6"/>
        <v>#REF!</v>
      </c>
      <c r="K125" s="23" t="e">
        <f t="shared" ca="1" si="0"/>
        <v>#N/A</v>
      </c>
      <c r="L125" s="70" t="s">
        <v>440</v>
      </c>
      <c r="M125" s="70" t="e">
        <f t="shared" ca="1" si="1"/>
        <v>#REF!</v>
      </c>
      <c r="N125" s="70" t="s">
        <v>463</v>
      </c>
      <c r="O125" s="70" t="e">
        <f t="shared" ca="1" si="2"/>
        <v>#REF!</v>
      </c>
      <c r="P125" s="70"/>
      <c r="Q125" s="70" t="e">
        <f t="shared" ca="1" si="3"/>
        <v>#REF!</v>
      </c>
      <c r="R125" s="20" t="e">
        <f t="shared" ca="1" si="4"/>
        <v>#REF!</v>
      </c>
      <c r="S125" s="70" t="e">
        <f t="shared" ca="1" si="5"/>
        <v>#REF!</v>
      </c>
      <c r="T125" s="70" t="s">
        <v>244</v>
      </c>
      <c r="U125" s="20">
        <v>43550</v>
      </c>
      <c r="V125" s="70" t="s">
        <v>256</v>
      </c>
    </row>
    <row r="126" spans="1:22" ht="12.75" customHeight="1">
      <c r="A126" s="70" t="s">
        <v>121</v>
      </c>
      <c r="B126" s="56" t="s">
        <v>438</v>
      </c>
      <c r="C126" s="56" t="s">
        <v>464</v>
      </c>
      <c r="D126" s="70"/>
      <c r="E126" s="70"/>
      <c r="F126" s="70"/>
      <c r="G126" s="56" t="e">
        <f>VLOOKUP(C126,'2a. PROFITLOSSLITE - PLL'!F:T,15,FALSE)</f>
        <v>#N/A</v>
      </c>
      <c r="H126" s="20">
        <v>43538</v>
      </c>
      <c r="I126" s="70" t="e">
        <v>#N/A</v>
      </c>
      <c r="J126" s="70" t="e">
        <f t="shared" ca="1" si="6"/>
        <v>#REF!</v>
      </c>
      <c r="K126" s="23" t="e">
        <f t="shared" ca="1" si="0"/>
        <v>#N/A</v>
      </c>
      <c r="L126" s="70" t="s">
        <v>440</v>
      </c>
      <c r="M126" s="70" t="e">
        <f t="shared" ca="1" si="1"/>
        <v>#REF!</v>
      </c>
      <c r="N126" s="70" t="s">
        <v>465</v>
      </c>
      <c r="O126" s="70" t="e">
        <f t="shared" ca="1" si="2"/>
        <v>#REF!</v>
      </c>
      <c r="P126" s="70"/>
      <c r="Q126" s="70" t="e">
        <f t="shared" ca="1" si="3"/>
        <v>#REF!</v>
      </c>
      <c r="R126" s="20" t="e">
        <f t="shared" ca="1" si="4"/>
        <v>#REF!</v>
      </c>
      <c r="S126" s="70" t="e">
        <f t="shared" ca="1" si="5"/>
        <v>#REF!</v>
      </c>
      <c r="T126" s="70" t="s">
        <v>244</v>
      </c>
      <c r="U126" s="20">
        <v>43550</v>
      </c>
      <c r="V126" s="70" t="s">
        <v>256</v>
      </c>
    </row>
    <row r="127" spans="1:22" ht="12.75" customHeight="1">
      <c r="A127" s="70" t="s">
        <v>121</v>
      </c>
      <c r="B127" s="56" t="s">
        <v>438</v>
      </c>
      <c r="C127" s="56" t="s">
        <v>466</v>
      </c>
      <c r="D127" s="70"/>
      <c r="E127" s="70"/>
      <c r="F127" s="70"/>
      <c r="G127" s="56">
        <f>VLOOKUP(C127,'2a. PROFITLOSSLITE - PLL'!F:T,15,FALSE)</f>
        <v>0</v>
      </c>
      <c r="H127" s="20">
        <v>43538</v>
      </c>
      <c r="I127" s="70" t="e">
        <v>#N/A</v>
      </c>
      <c r="J127" s="70" t="e">
        <f t="shared" ca="1" si="6"/>
        <v>#REF!</v>
      </c>
      <c r="K127" s="23" t="e">
        <f t="shared" ca="1" si="0"/>
        <v>#N/A</v>
      </c>
      <c r="L127" s="70" t="s">
        <v>440</v>
      </c>
      <c r="M127" s="70" t="e">
        <f t="shared" ca="1" si="1"/>
        <v>#REF!</v>
      </c>
      <c r="N127" s="70" t="s">
        <v>467</v>
      </c>
      <c r="O127" s="70" t="e">
        <f t="shared" ca="1" si="2"/>
        <v>#REF!</v>
      </c>
      <c r="P127" s="70"/>
      <c r="Q127" s="70" t="e">
        <f t="shared" ca="1" si="3"/>
        <v>#REF!</v>
      </c>
      <c r="R127" s="20" t="e">
        <f t="shared" ca="1" si="4"/>
        <v>#REF!</v>
      </c>
      <c r="S127" s="70" t="e">
        <f t="shared" ca="1" si="5"/>
        <v>#REF!</v>
      </c>
      <c r="T127" s="70" t="s">
        <v>244</v>
      </c>
      <c r="U127" s="20">
        <v>43550</v>
      </c>
      <c r="V127" s="70" t="s">
        <v>256</v>
      </c>
    </row>
    <row r="128" spans="1:22" ht="12.75" customHeight="1">
      <c r="A128" s="70" t="s">
        <v>121</v>
      </c>
      <c r="B128" s="56" t="s">
        <v>438</v>
      </c>
      <c r="C128" s="56" t="s">
        <v>468</v>
      </c>
      <c r="D128" s="70"/>
      <c r="E128" s="70"/>
      <c r="F128" s="70"/>
      <c r="G128" s="56" t="e">
        <f>VLOOKUP(C128,'2a. PROFITLOSSLITE - PLL'!F:T,15,FALSE)</f>
        <v>#N/A</v>
      </c>
      <c r="H128" s="20">
        <v>43538</v>
      </c>
      <c r="I128" s="70" t="e">
        <v>#N/A</v>
      </c>
      <c r="J128" s="70" t="e">
        <f t="shared" ca="1" si="6"/>
        <v>#REF!</v>
      </c>
      <c r="K128" s="23" t="e">
        <f t="shared" ca="1" si="0"/>
        <v>#N/A</v>
      </c>
      <c r="L128" s="70" t="s">
        <v>440</v>
      </c>
      <c r="M128" s="70" t="e">
        <f t="shared" ca="1" si="1"/>
        <v>#REF!</v>
      </c>
      <c r="N128" s="70" t="s">
        <v>469</v>
      </c>
      <c r="O128" s="70" t="e">
        <f t="shared" ca="1" si="2"/>
        <v>#REF!</v>
      </c>
      <c r="P128" s="70"/>
      <c r="Q128" s="70" t="e">
        <f t="shared" ca="1" si="3"/>
        <v>#REF!</v>
      </c>
      <c r="R128" s="20" t="e">
        <f t="shared" ca="1" si="4"/>
        <v>#REF!</v>
      </c>
      <c r="S128" s="70" t="e">
        <f t="shared" ca="1" si="5"/>
        <v>#REF!</v>
      </c>
      <c r="T128" s="70" t="s">
        <v>244</v>
      </c>
      <c r="U128" s="20">
        <v>43550</v>
      </c>
      <c r="V128" s="70" t="s">
        <v>256</v>
      </c>
    </row>
    <row r="129" spans="1:22" ht="12.75" customHeight="1">
      <c r="A129" s="70" t="s">
        <v>121</v>
      </c>
      <c r="B129" s="56" t="s">
        <v>438</v>
      </c>
      <c r="C129" s="56" t="s">
        <v>470</v>
      </c>
      <c r="D129" s="70"/>
      <c r="E129" s="70"/>
      <c r="F129" s="70"/>
      <c r="G129" s="56" t="e">
        <f>VLOOKUP(C129,'2a. PROFITLOSSLITE - PLL'!F:T,15,FALSE)</f>
        <v>#N/A</v>
      </c>
      <c r="H129" s="20">
        <v>43538</v>
      </c>
      <c r="I129" s="70" t="e">
        <v>#N/A</v>
      </c>
      <c r="J129" s="70" t="e">
        <f t="shared" ca="1" si="6"/>
        <v>#REF!</v>
      </c>
      <c r="K129" s="23" t="e">
        <f t="shared" ca="1" si="0"/>
        <v>#N/A</v>
      </c>
      <c r="L129" s="70" t="s">
        <v>440</v>
      </c>
      <c r="M129" s="70" t="e">
        <f t="shared" ca="1" si="1"/>
        <v>#REF!</v>
      </c>
      <c r="N129" s="70" t="s">
        <v>471</v>
      </c>
      <c r="O129" s="70" t="e">
        <f t="shared" ca="1" si="2"/>
        <v>#REF!</v>
      </c>
      <c r="P129" s="70"/>
      <c r="Q129" s="70" t="e">
        <f t="shared" ca="1" si="3"/>
        <v>#REF!</v>
      </c>
      <c r="R129" s="20" t="e">
        <f t="shared" ca="1" si="4"/>
        <v>#REF!</v>
      </c>
      <c r="S129" s="70" t="e">
        <f t="shared" ca="1" si="5"/>
        <v>#REF!</v>
      </c>
      <c r="T129" s="70" t="s">
        <v>244</v>
      </c>
      <c r="U129" s="20">
        <v>43550</v>
      </c>
      <c r="V129" s="70" t="s">
        <v>256</v>
      </c>
    </row>
    <row r="130" spans="1:22" ht="12.75" customHeight="1">
      <c r="A130" s="70" t="s">
        <v>121</v>
      </c>
      <c r="B130" s="56" t="s">
        <v>438</v>
      </c>
      <c r="C130" s="56" t="s">
        <v>472</v>
      </c>
      <c r="D130" s="70"/>
      <c r="E130" s="70"/>
      <c r="F130" s="70"/>
      <c r="G130" s="56" t="e">
        <f>VLOOKUP(C130,'2a. PROFITLOSSLITE - PLL'!F:T,15,FALSE)</f>
        <v>#N/A</v>
      </c>
      <c r="H130" s="20">
        <v>43538</v>
      </c>
      <c r="I130" s="70" t="e">
        <v>#N/A</v>
      </c>
      <c r="J130" s="70" t="e">
        <f t="shared" ca="1" si="6"/>
        <v>#REF!</v>
      </c>
      <c r="K130" s="23" t="e">
        <f t="shared" ca="1" si="0"/>
        <v>#N/A</v>
      </c>
      <c r="L130" s="70" t="s">
        <v>440</v>
      </c>
      <c r="M130" s="70" t="e">
        <f t="shared" ca="1" si="1"/>
        <v>#REF!</v>
      </c>
      <c r="N130" s="70" t="s">
        <v>473</v>
      </c>
      <c r="O130" s="70" t="e">
        <f t="shared" ca="1" si="2"/>
        <v>#REF!</v>
      </c>
      <c r="P130" s="70"/>
      <c r="Q130" s="70" t="e">
        <f t="shared" ca="1" si="3"/>
        <v>#REF!</v>
      </c>
      <c r="R130" s="20" t="e">
        <f t="shared" ca="1" si="4"/>
        <v>#REF!</v>
      </c>
      <c r="S130" s="70" t="e">
        <f t="shared" ca="1" si="5"/>
        <v>#REF!</v>
      </c>
      <c r="T130" s="70" t="s">
        <v>244</v>
      </c>
      <c r="U130" s="20">
        <v>43550</v>
      </c>
      <c r="V130" s="70" t="s">
        <v>256</v>
      </c>
    </row>
    <row r="131" spans="1:22" ht="12.75" customHeight="1">
      <c r="A131" s="70" t="s">
        <v>121</v>
      </c>
      <c r="B131" s="56" t="s">
        <v>438</v>
      </c>
      <c r="C131" s="70" t="s">
        <v>474</v>
      </c>
      <c r="D131" s="70"/>
      <c r="E131" s="70"/>
      <c r="F131" s="70"/>
      <c r="G131" s="56" t="e">
        <f>VLOOKUP(C131,'2a. PROFITLOSSLITE - PLL'!F:T,15,FALSE)</f>
        <v>#N/A</v>
      </c>
      <c r="H131" s="20">
        <v>43538</v>
      </c>
      <c r="I131" s="70" t="e">
        <v>#N/A</v>
      </c>
      <c r="J131" s="70" t="e">
        <f t="shared" ca="1" si="6"/>
        <v>#REF!</v>
      </c>
      <c r="K131" s="23" t="e">
        <f t="shared" ca="1" si="0"/>
        <v>#N/A</v>
      </c>
      <c r="L131" s="70" t="s">
        <v>440</v>
      </c>
      <c r="M131" s="70" t="e">
        <f t="shared" ca="1" si="1"/>
        <v>#REF!</v>
      </c>
      <c r="N131" s="70" t="s">
        <v>475</v>
      </c>
      <c r="O131" s="70" t="e">
        <f t="shared" ca="1" si="2"/>
        <v>#REF!</v>
      </c>
      <c r="P131" s="70"/>
      <c r="Q131" s="70" t="e">
        <f t="shared" ca="1" si="3"/>
        <v>#REF!</v>
      </c>
      <c r="R131" s="20" t="e">
        <f t="shared" ca="1" si="4"/>
        <v>#REF!</v>
      </c>
      <c r="S131" s="70" t="e">
        <f t="shared" ca="1" si="5"/>
        <v>#REF!</v>
      </c>
      <c r="T131" s="70" t="s">
        <v>244</v>
      </c>
      <c r="U131" s="20">
        <v>43550</v>
      </c>
      <c r="V131" s="70" t="s">
        <v>256</v>
      </c>
    </row>
    <row r="132" spans="1:22" ht="12.75" customHeight="1">
      <c r="A132" s="219" t="s">
        <v>121</v>
      </c>
      <c r="B132" s="234" t="s">
        <v>55</v>
      </c>
      <c r="C132" s="234" t="s">
        <v>476</v>
      </c>
      <c r="D132" s="234"/>
      <c r="E132" s="219"/>
      <c r="F132" s="219"/>
      <c r="G132" s="229" t="str">
        <f>VLOOKUP(C132,'2a. PROFITLOSSLITE - PLL'!F:T,15,FALSE)</f>
        <v>Cusomizable field for generating custom collections of holdings/lots.  Commonly used by firms that use "Sleeve" or "Deal" or "Product" concepts.</v>
      </c>
      <c r="H132" s="220">
        <v>43538</v>
      </c>
      <c r="I132" s="219" t="e">
        <v>#N/A</v>
      </c>
      <c r="J132" s="219" t="e">
        <f t="shared" ca="1" si="6"/>
        <v>#REF!</v>
      </c>
      <c r="K132" s="233" t="e">
        <f t="shared" ca="1" si="0"/>
        <v>#N/A</v>
      </c>
      <c r="L132" s="219"/>
      <c r="M132" s="219" t="e">
        <f t="shared" ca="1" si="1"/>
        <v>#REF!</v>
      </c>
      <c r="N132" s="219" t="s">
        <v>477</v>
      </c>
      <c r="O132" s="219" t="e">
        <f t="shared" ca="1" si="2"/>
        <v>#REF!</v>
      </c>
      <c r="P132" s="219"/>
      <c r="Q132" s="219" t="e">
        <f t="shared" ca="1" si="3"/>
        <v>#REF!</v>
      </c>
      <c r="R132" s="220" t="e">
        <f t="shared" ca="1" si="4"/>
        <v>#REF!</v>
      </c>
      <c r="S132" s="219" t="e">
        <f t="shared" ca="1" si="5"/>
        <v>#REF!</v>
      </c>
      <c r="T132" s="70"/>
      <c r="U132" s="20"/>
      <c r="V132" s="70"/>
    </row>
    <row r="133" spans="1:22" ht="12.75" customHeight="1">
      <c r="A133" s="219" t="s">
        <v>121</v>
      </c>
      <c r="B133" s="229" t="s">
        <v>438</v>
      </c>
      <c r="C133" s="219" t="s">
        <v>478</v>
      </c>
      <c r="D133" s="234"/>
      <c r="E133" s="219"/>
      <c r="F133" s="219"/>
      <c r="G133" s="229" t="e">
        <f>VLOOKUP(C133,'2a. PROFITLOSSLITE - PLL'!F:T,15,FALSE)</f>
        <v>#N/A</v>
      </c>
      <c r="H133" s="220">
        <v>43538</v>
      </c>
      <c r="I133" s="219" t="e">
        <v>#N/A</v>
      </c>
      <c r="J133" s="219" t="e">
        <f t="shared" ca="1" si="6"/>
        <v>#REF!</v>
      </c>
      <c r="K133" s="233" t="e">
        <f t="shared" ca="1" si="0"/>
        <v>#N/A</v>
      </c>
      <c r="L133" s="219"/>
      <c r="M133" s="219" t="e">
        <f t="shared" ca="1" si="1"/>
        <v>#REF!</v>
      </c>
      <c r="N133" s="219" t="s">
        <v>479</v>
      </c>
      <c r="O133" s="219" t="e">
        <f t="shared" ca="1" si="2"/>
        <v>#REF!</v>
      </c>
      <c r="P133" s="219"/>
      <c r="Q133" s="219" t="e">
        <f t="shared" ca="1" si="3"/>
        <v>#REF!</v>
      </c>
      <c r="R133" s="220" t="e">
        <f t="shared" ca="1" si="4"/>
        <v>#REF!</v>
      </c>
      <c r="S133" s="219" t="e">
        <f t="shared" ca="1" si="5"/>
        <v>#REF!</v>
      </c>
      <c r="T133" s="70"/>
      <c r="U133" s="20"/>
      <c r="V133" s="70"/>
    </row>
    <row r="134" spans="1:22" ht="12.75" customHeight="1">
      <c r="A134" s="219" t="s">
        <v>121</v>
      </c>
      <c r="B134" s="229" t="s">
        <v>438</v>
      </c>
      <c r="C134" s="219" t="s">
        <v>480</v>
      </c>
      <c r="D134" s="234"/>
      <c r="E134" s="219"/>
      <c r="F134" s="219"/>
      <c r="G134" s="229" t="e">
        <f>VLOOKUP(C134,'2a. PROFITLOSSLITE - PLL'!F:T,15,FALSE)</f>
        <v>#N/A</v>
      </c>
      <c r="H134" s="220">
        <v>43538</v>
      </c>
      <c r="I134" s="219" t="e">
        <v>#N/A</v>
      </c>
      <c r="J134" s="219" t="e">
        <f t="shared" ca="1" si="6"/>
        <v>#REF!</v>
      </c>
      <c r="K134" s="233" t="e">
        <f t="shared" ca="1" si="0"/>
        <v>#N/A</v>
      </c>
      <c r="L134" s="219"/>
      <c r="M134" s="219" t="e">
        <f t="shared" ca="1" si="1"/>
        <v>#REF!</v>
      </c>
      <c r="N134" s="219" t="s">
        <v>481</v>
      </c>
      <c r="O134" s="219" t="e">
        <f t="shared" ca="1" si="2"/>
        <v>#REF!</v>
      </c>
      <c r="P134" s="219"/>
      <c r="Q134" s="219" t="e">
        <f t="shared" ca="1" si="3"/>
        <v>#REF!</v>
      </c>
      <c r="R134" s="220" t="e">
        <f t="shared" ca="1" si="4"/>
        <v>#REF!</v>
      </c>
      <c r="S134" s="219" t="e">
        <f t="shared" ca="1" si="5"/>
        <v>#REF!</v>
      </c>
      <c r="T134" s="70"/>
      <c r="U134" s="20"/>
      <c r="V134" s="70"/>
    </row>
    <row r="135" spans="1:22" ht="12.75" customHeight="1">
      <c r="A135" s="219" t="s">
        <v>121</v>
      </c>
      <c r="B135" s="229" t="s">
        <v>438</v>
      </c>
      <c r="C135" s="219" t="s">
        <v>482</v>
      </c>
      <c r="D135" s="234"/>
      <c r="E135" s="219"/>
      <c r="F135" s="219"/>
      <c r="G135" s="229" t="e">
        <f>VLOOKUP(C135,'2a. PROFITLOSSLITE - PLL'!F:T,15,FALSE)</f>
        <v>#N/A</v>
      </c>
      <c r="H135" s="220">
        <v>43538</v>
      </c>
      <c r="I135" s="219" t="e">
        <v>#N/A</v>
      </c>
      <c r="J135" s="219" t="e">
        <f t="shared" ca="1" si="6"/>
        <v>#REF!</v>
      </c>
      <c r="K135" s="233" t="e">
        <f t="shared" ca="1" si="0"/>
        <v>#N/A</v>
      </c>
      <c r="L135" s="219"/>
      <c r="M135" s="219" t="e">
        <f t="shared" ca="1" si="1"/>
        <v>#REF!</v>
      </c>
      <c r="N135" s="219" t="s">
        <v>483</v>
      </c>
      <c r="O135" s="219" t="e">
        <f t="shared" ca="1" si="2"/>
        <v>#REF!</v>
      </c>
      <c r="P135" s="219"/>
      <c r="Q135" s="219" t="e">
        <f t="shared" ca="1" si="3"/>
        <v>#REF!</v>
      </c>
      <c r="R135" s="220" t="e">
        <f t="shared" ca="1" si="4"/>
        <v>#REF!</v>
      </c>
      <c r="S135" s="219" t="e">
        <f t="shared" ca="1" si="5"/>
        <v>#REF!</v>
      </c>
      <c r="T135" s="70"/>
      <c r="U135" s="20"/>
      <c r="V135" s="70"/>
    </row>
    <row r="136" spans="1:22" ht="12.75" customHeight="1">
      <c r="A136" s="219" t="s">
        <v>121</v>
      </c>
      <c r="B136" s="229" t="s">
        <v>438</v>
      </c>
      <c r="C136" s="219" t="s">
        <v>484</v>
      </c>
      <c r="D136" s="234"/>
      <c r="E136" s="219"/>
      <c r="F136" s="219"/>
      <c r="G136" s="229" t="e">
        <f>VLOOKUP(C136,'2a. PROFITLOSSLITE - PLL'!F:T,15,FALSE)</f>
        <v>#N/A</v>
      </c>
      <c r="H136" s="220">
        <v>43538</v>
      </c>
      <c r="I136" s="219" t="e">
        <v>#N/A</v>
      </c>
      <c r="J136" s="219" t="e">
        <f t="shared" ca="1" si="6"/>
        <v>#REF!</v>
      </c>
      <c r="K136" s="233" t="e">
        <f t="shared" ca="1" si="0"/>
        <v>#N/A</v>
      </c>
      <c r="L136" s="219"/>
      <c r="M136" s="219" t="e">
        <f t="shared" ca="1" si="1"/>
        <v>#REF!</v>
      </c>
      <c r="N136" s="219" t="s">
        <v>485</v>
      </c>
      <c r="O136" s="219" t="e">
        <f t="shared" ca="1" si="2"/>
        <v>#REF!</v>
      </c>
      <c r="P136" s="219"/>
      <c r="Q136" s="219" t="e">
        <f t="shared" ca="1" si="3"/>
        <v>#REF!</v>
      </c>
      <c r="R136" s="220" t="e">
        <f t="shared" ca="1" si="4"/>
        <v>#REF!</v>
      </c>
      <c r="S136" s="219" t="e">
        <f t="shared" ca="1" si="5"/>
        <v>#REF!</v>
      </c>
      <c r="T136" s="70"/>
      <c r="U136" s="20"/>
      <c r="V136" s="70"/>
    </row>
    <row r="137" spans="1:22" ht="12.75" customHeight="1">
      <c r="A137" s="70" t="s">
        <v>121</v>
      </c>
      <c r="B137" s="56" t="s">
        <v>55</v>
      </c>
      <c r="C137" s="56" t="s">
        <v>486</v>
      </c>
      <c r="D137" s="186" t="s">
        <v>346</v>
      </c>
      <c r="E137" s="186" t="s">
        <v>243</v>
      </c>
      <c r="F137" s="186"/>
      <c r="G137" s="56" t="str">
        <f>VLOOKUP(C137,'2a. PROFITLOSSLITE - PLL'!F:T,15,FALSE)</f>
        <v>Alternate Security Identifier.  May link to AltID2 on 5.SMCOMMON</v>
      </c>
      <c r="H137" s="20">
        <v>43550</v>
      </c>
      <c r="I137" s="70" t="e">
        <v>#N/A</v>
      </c>
      <c r="J137" s="70" t="e">
        <f t="shared" ca="1" si="6"/>
        <v>#REF!</v>
      </c>
      <c r="K137" s="23" t="e">
        <f t="shared" ca="1" si="0"/>
        <v>#N/A</v>
      </c>
      <c r="L137" s="70" t="s">
        <v>487</v>
      </c>
      <c r="M137" s="70" t="e">
        <f t="shared" ca="1" si="1"/>
        <v>#REF!</v>
      </c>
      <c r="N137" s="70" t="s">
        <v>488</v>
      </c>
      <c r="O137" s="70" t="e">
        <f t="shared" ca="1" si="2"/>
        <v>#REF!</v>
      </c>
      <c r="P137" s="70"/>
      <c r="Q137" s="70" t="e">
        <f t="shared" ca="1" si="3"/>
        <v>#REF!</v>
      </c>
      <c r="R137" s="20" t="e">
        <f t="shared" ca="1" si="4"/>
        <v>#REF!</v>
      </c>
      <c r="S137" s="5" t="e">
        <f t="shared" ca="1" si="5"/>
        <v>#REF!</v>
      </c>
      <c r="T137" s="70" t="s">
        <v>244</v>
      </c>
      <c r="U137" s="20">
        <v>43552</v>
      </c>
      <c r="V137" s="70" t="s">
        <v>256</v>
      </c>
    </row>
    <row r="138" spans="1:22" ht="12.75" customHeight="1">
      <c r="A138" s="70" t="s">
        <v>121</v>
      </c>
      <c r="B138" s="56" t="s">
        <v>55</v>
      </c>
      <c r="C138" s="56" t="s">
        <v>489</v>
      </c>
      <c r="D138" s="186" t="s">
        <v>346</v>
      </c>
      <c r="E138" s="186" t="s">
        <v>243</v>
      </c>
      <c r="F138" s="186"/>
      <c r="G138" s="56" t="str">
        <f>VLOOKUP(C138,'2a. PROFITLOSSLITE - PLL'!F:T,15,FALSE)</f>
        <v>Alternate Security Identifier.  May link to AltID3 on 5.SMCOMMON</v>
      </c>
      <c r="H138" s="20">
        <v>43550</v>
      </c>
      <c r="I138" s="70" t="e">
        <v>#N/A</v>
      </c>
      <c r="J138" s="70" t="e">
        <f t="shared" ca="1" si="6"/>
        <v>#REF!</v>
      </c>
      <c r="K138" s="23" t="e">
        <f t="shared" ca="1" si="0"/>
        <v>#N/A</v>
      </c>
      <c r="L138" s="70" t="s">
        <v>487</v>
      </c>
      <c r="M138" s="70" t="e">
        <f t="shared" ca="1" si="1"/>
        <v>#REF!</v>
      </c>
      <c r="N138" s="70" t="s">
        <v>490</v>
      </c>
      <c r="O138" s="70" t="e">
        <f t="shared" ca="1" si="2"/>
        <v>#REF!</v>
      </c>
      <c r="P138" s="70"/>
      <c r="Q138" s="70" t="e">
        <f t="shared" ca="1" si="3"/>
        <v>#REF!</v>
      </c>
      <c r="R138" s="20" t="e">
        <f t="shared" ca="1" si="4"/>
        <v>#REF!</v>
      </c>
      <c r="S138" s="5" t="e">
        <f t="shared" ca="1" si="5"/>
        <v>#REF!</v>
      </c>
      <c r="T138" s="70" t="s">
        <v>244</v>
      </c>
      <c r="U138" s="20">
        <v>43552</v>
      </c>
      <c r="V138" s="70" t="s">
        <v>256</v>
      </c>
    </row>
    <row r="139" spans="1:22" ht="12.75" customHeight="1">
      <c r="A139" s="70" t="s">
        <v>121</v>
      </c>
      <c r="B139" s="56" t="s">
        <v>55</v>
      </c>
      <c r="C139" s="56" t="s">
        <v>491</v>
      </c>
      <c r="D139" s="186" t="s">
        <v>346</v>
      </c>
      <c r="E139" s="186" t="s">
        <v>243</v>
      </c>
      <c r="F139" s="186"/>
      <c r="G139" s="21" t="str">
        <f>VLOOKUP(C139,'2a. PROFITLOSSLITE - PLL'!F:T,15,FALSE)</f>
        <v>Strategy code.</v>
      </c>
      <c r="H139" s="20">
        <v>43550</v>
      </c>
      <c r="I139" s="70" t="e">
        <v>#N/A</v>
      </c>
      <c r="J139" s="70" t="e">
        <f t="shared" ca="1" si="6"/>
        <v>#REF!</v>
      </c>
      <c r="K139" s="23" t="e">
        <f t="shared" ca="1" si="0"/>
        <v>#N/A</v>
      </c>
      <c r="L139" s="70" t="s">
        <v>487</v>
      </c>
      <c r="M139" s="70" t="e">
        <f t="shared" ca="1" si="1"/>
        <v>#REF!</v>
      </c>
      <c r="N139" s="70" t="s">
        <v>492</v>
      </c>
      <c r="O139" s="70" t="e">
        <f t="shared" ca="1" si="2"/>
        <v>#REF!</v>
      </c>
      <c r="P139" s="70"/>
      <c r="Q139" s="70" t="e">
        <f t="shared" ca="1" si="3"/>
        <v>#REF!</v>
      </c>
      <c r="R139" s="20" t="e">
        <f t="shared" ca="1" si="4"/>
        <v>#REF!</v>
      </c>
      <c r="S139" s="5" t="e">
        <f t="shared" ca="1" si="5"/>
        <v>#REF!</v>
      </c>
      <c r="T139" s="70" t="s">
        <v>244</v>
      </c>
      <c r="U139" s="20">
        <v>43552</v>
      </c>
      <c r="V139" s="70" t="s">
        <v>256</v>
      </c>
    </row>
    <row r="140" spans="1:22" ht="12.75" customHeight="1">
      <c r="A140" s="70" t="s">
        <v>121</v>
      </c>
      <c r="B140" s="56" t="s">
        <v>55</v>
      </c>
      <c r="C140" s="56" t="s">
        <v>493</v>
      </c>
      <c r="D140" s="186" t="s">
        <v>346</v>
      </c>
      <c r="E140" s="186" t="s">
        <v>243</v>
      </c>
      <c r="F140" s="186"/>
      <c r="G140" s="56" t="str">
        <f>VLOOKUP(C140,'2a. PROFITLOSSLITE - PLL'!F:T,15,FALSE)</f>
        <v>Custom reporting field commonly used for higher level aggregations such as "Global Macro" or "Capital Preservation"</v>
      </c>
      <c r="H140" s="20">
        <v>43550</v>
      </c>
      <c r="I140" s="70" t="e">
        <v>#N/A</v>
      </c>
      <c r="J140" s="70" t="e">
        <f t="shared" ca="1" si="6"/>
        <v>#REF!</v>
      </c>
      <c r="K140" s="23" t="e">
        <f t="shared" ca="1" si="0"/>
        <v>#N/A</v>
      </c>
      <c r="L140" s="70" t="s">
        <v>487</v>
      </c>
      <c r="M140" s="70" t="e">
        <f t="shared" ca="1" si="1"/>
        <v>#REF!</v>
      </c>
      <c r="N140" s="70" t="s">
        <v>494</v>
      </c>
      <c r="O140" s="70" t="e">
        <f t="shared" ca="1" si="2"/>
        <v>#REF!</v>
      </c>
      <c r="P140" s="70"/>
      <c r="Q140" s="70" t="e">
        <f t="shared" ca="1" si="3"/>
        <v>#REF!</v>
      </c>
      <c r="R140" s="20" t="e">
        <f t="shared" ca="1" si="4"/>
        <v>#REF!</v>
      </c>
      <c r="S140" s="5" t="e">
        <f t="shared" ca="1" si="5"/>
        <v>#REF!</v>
      </c>
      <c r="T140" s="70" t="s">
        <v>244</v>
      </c>
      <c r="U140" s="20">
        <v>43552</v>
      </c>
      <c r="V140" s="70" t="s">
        <v>256</v>
      </c>
    </row>
    <row r="141" spans="1:22" ht="12.75" customHeight="1">
      <c r="A141" s="219" t="s">
        <v>121</v>
      </c>
      <c r="B141" s="229" t="s">
        <v>438</v>
      </c>
      <c r="C141" s="219" t="s">
        <v>495</v>
      </c>
      <c r="D141" s="234"/>
      <c r="E141" s="219"/>
      <c r="F141" s="219"/>
      <c r="G141" s="229" t="e">
        <f>VLOOKUP(C141,'2a. PROFITLOSSLITE - PLL'!F:T,15,FALSE)</f>
        <v>#N/A</v>
      </c>
      <c r="H141" s="220">
        <v>43538</v>
      </c>
      <c r="I141" s="219" t="e">
        <v>#N/A</v>
      </c>
      <c r="J141" s="219" t="e">
        <f t="shared" ca="1" si="6"/>
        <v>#REF!</v>
      </c>
      <c r="K141" s="233" t="e">
        <f t="shared" ca="1" si="0"/>
        <v>#N/A</v>
      </c>
      <c r="L141" s="219"/>
      <c r="M141" s="219" t="e">
        <f t="shared" ca="1" si="1"/>
        <v>#REF!</v>
      </c>
      <c r="N141" s="219"/>
      <c r="O141" s="219" t="e">
        <f t="shared" ca="1" si="2"/>
        <v>#REF!</v>
      </c>
      <c r="P141" s="219"/>
      <c r="Q141" s="219" t="e">
        <f t="shared" ca="1" si="3"/>
        <v>#REF!</v>
      </c>
      <c r="R141" s="220" t="e">
        <f t="shared" ca="1" si="4"/>
        <v>#REF!</v>
      </c>
      <c r="S141" s="219" t="e">
        <f t="shared" ca="1" si="5"/>
        <v>#REF!</v>
      </c>
      <c r="T141" s="70"/>
      <c r="U141" s="20"/>
      <c r="V141" s="70"/>
    </row>
    <row r="142" spans="1:22" ht="12.75" customHeight="1">
      <c r="A142" s="219" t="s">
        <v>121</v>
      </c>
      <c r="B142" s="229" t="s">
        <v>438</v>
      </c>
      <c r="C142" s="219" t="s">
        <v>496</v>
      </c>
      <c r="D142" s="234"/>
      <c r="E142" s="219"/>
      <c r="F142" s="219"/>
      <c r="G142" s="229" t="e">
        <f>VLOOKUP(C142,'2a. PROFITLOSSLITE - PLL'!F:T,15,FALSE)</f>
        <v>#N/A</v>
      </c>
      <c r="H142" s="220">
        <v>43538</v>
      </c>
      <c r="I142" s="219" t="e">
        <v>#N/A</v>
      </c>
      <c r="J142" s="219" t="e">
        <f t="shared" ca="1" si="6"/>
        <v>#REF!</v>
      </c>
      <c r="K142" s="233" t="e">
        <f t="shared" ca="1" si="0"/>
        <v>#N/A</v>
      </c>
      <c r="L142" s="219"/>
      <c r="M142" s="219" t="e">
        <f t="shared" ca="1" si="1"/>
        <v>#REF!</v>
      </c>
      <c r="N142" s="219"/>
      <c r="O142" s="219" t="e">
        <f t="shared" ca="1" si="2"/>
        <v>#REF!</v>
      </c>
      <c r="P142" s="219"/>
      <c r="Q142" s="219" t="e">
        <f t="shared" ca="1" si="3"/>
        <v>#REF!</v>
      </c>
      <c r="R142" s="220" t="e">
        <f t="shared" ca="1" si="4"/>
        <v>#REF!</v>
      </c>
      <c r="S142" s="219" t="e">
        <f t="shared" ca="1" si="5"/>
        <v>#REF!</v>
      </c>
      <c r="T142" s="70"/>
      <c r="U142" s="20"/>
      <c r="V142" s="70"/>
    </row>
    <row r="143" spans="1:22" ht="12.75" customHeight="1">
      <c r="A143" s="219" t="s">
        <v>121</v>
      </c>
      <c r="B143" s="229" t="s">
        <v>438</v>
      </c>
      <c r="C143" s="219" t="s">
        <v>497</v>
      </c>
      <c r="D143" s="234"/>
      <c r="E143" s="219"/>
      <c r="F143" s="219"/>
      <c r="G143" s="229" t="e">
        <f>VLOOKUP(C143,'2a. PROFITLOSSLITE - PLL'!F:T,15,FALSE)</f>
        <v>#N/A</v>
      </c>
      <c r="H143" s="220">
        <v>43538</v>
      </c>
      <c r="I143" s="219" t="e">
        <v>#N/A</v>
      </c>
      <c r="J143" s="219" t="e">
        <f t="shared" ca="1" si="6"/>
        <v>#REF!</v>
      </c>
      <c r="K143" s="233" t="e">
        <f t="shared" ca="1" si="0"/>
        <v>#N/A</v>
      </c>
      <c r="L143" s="219"/>
      <c r="M143" s="219" t="e">
        <f t="shared" ca="1" si="1"/>
        <v>#REF!</v>
      </c>
      <c r="N143" s="219"/>
      <c r="O143" s="219" t="e">
        <f t="shared" ca="1" si="2"/>
        <v>#REF!</v>
      </c>
      <c r="P143" s="219"/>
      <c r="Q143" s="219" t="e">
        <f t="shared" ca="1" si="3"/>
        <v>#REF!</v>
      </c>
      <c r="R143" s="220" t="e">
        <f t="shared" ca="1" si="4"/>
        <v>#REF!</v>
      </c>
      <c r="S143" s="219" t="e">
        <f t="shared" ca="1" si="5"/>
        <v>#REF!</v>
      </c>
      <c r="T143" s="70"/>
      <c r="U143" s="20"/>
      <c r="V143" s="70"/>
    </row>
    <row r="144" spans="1:22" ht="12.75" customHeight="1">
      <c r="A144" s="70" t="s">
        <v>130</v>
      </c>
      <c r="B144" s="56" t="s">
        <v>61</v>
      </c>
      <c r="C144" s="56" t="s">
        <v>120</v>
      </c>
      <c r="D144" s="56" t="s">
        <v>250</v>
      </c>
      <c r="E144" s="56" t="s">
        <v>243</v>
      </c>
      <c r="F144" s="56">
        <v>24</v>
      </c>
      <c r="G144" s="70" t="str">
        <f>VLOOKUP(C144,'4. TRANSACTIONS'!F:T,15,FALSE)</f>
        <v>Book Currency</v>
      </c>
      <c r="H144" s="20">
        <v>43538</v>
      </c>
      <c r="I144" s="70" t="e">
        <v>#N/A</v>
      </c>
      <c r="J144" s="70" t="str">
        <f t="shared" ca="1" si="6"/>
        <v>firm_iso_code</v>
      </c>
      <c r="K144" s="70" t="e">
        <f t="shared" ca="1" si="0"/>
        <v>#N/A</v>
      </c>
      <c r="L144" s="70"/>
      <c r="M144" s="70">
        <f t="shared" ca="1" si="1"/>
        <v>1</v>
      </c>
      <c r="N144" s="129" t="s">
        <v>295</v>
      </c>
      <c r="O144" s="70" t="b">
        <f t="shared" ca="1" si="2"/>
        <v>1</v>
      </c>
      <c r="P144" s="70"/>
      <c r="Q144" s="70" t="str">
        <f t="shared" ca="1" si="3"/>
        <v>CommonInterface-TransactionMapping-20181130-v2</v>
      </c>
      <c r="R144" s="20">
        <f t="shared" ca="1" si="4"/>
        <v>43449</v>
      </c>
      <c r="S144" s="5" t="str">
        <f t="shared" ca="1" si="5"/>
        <v>Initial Mapping</v>
      </c>
      <c r="T144" s="70" t="s">
        <v>244</v>
      </c>
      <c r="U144" s="20">
        <v>43535</v>
      </c>
      <c r="V144" s="70" t="s">
        <v>245</v>
      </c>
    </row>
    <row r="145" spans="1:22" ht="12.75" customHeight="1">
      <c r="A145" s="70" t="s">
        <v>130</v>
      </c>
      <c r="B145" s="56" t="s">
        <v>59</v>
      </c>
      <c r="C145" s="56" t="s">
        <v>498</v>
      </c>
      <c r="D145" s="56" t="s">
        <v>242</v>
      </c>
      <c r="E145" s="56" t="s">
        <v>243</v>
      </c>
      <c r="F145" s="56">
        <v>97</v>
      </c>
      <c r="G145" s="70" t="str">
        <f>VLOOKUP(C145,'4. TRANSACTIONS'!F:T,15,FALSE)</f>
        <v>Portfolio Manager's Name or Code</v>
      </c>
      <c r="H145" s="20">
        <v>43538</v>
      </c>
      <c r="I145" s="70" t="e">
        <v>#N/A</v>
      </c>
      <c r="J145" s="70" t="str">
        <f t="shared" ca="1" si="6"/>
        <v>mgr_name</v>
      </c>
      <c r="K145" s="70" t="e">
        <f t="shared" ca="1" si="0"/>
        <v>#N/A</v>
      </c>
      <c r="L145" s="70"/>
      <c r="M145" s="70">
        <f t="shared" ca="1" si="1"/>
        <v>2</v>
      </c>
      <c r="N145" s="129" t="s">
        <v>301</v>
      </c>
      <c r="O145" s="70" t="b">
        <f t="shared" ca="1" si="2"/>
        <v>1</v>
      </c>
      <c r="P145" s="70"/>
      <c r="Q145" s="70" t="str">
        <f t="shared" ca="1" si="3"/>
        <v>CommonInterface-TransactionMapping-20181130-v2</v>
      </c>
      <c r="R145" s="20">
        <f t="shared" ca="1" si="4"/>
        <v>43449</v>
      </c>
      <c r="S145" s="5" t="str">
        <f t="shared" ca="1" si="5"/>
        <v>Initial Mapping</v>
      </c>
      <c r="T145" s="70" t="s">
        <v>244</v>
      </c>
      <c r="U145" s="20">
        <v>43535</v>
      </c>
      <c r="V145" s="70" t="s">
        <v>245</v>
      </c>
    </row>
    <row r="146" spans="1:22" ht="12.75" customHeight="1">
      <c r="A146" s="70" t="s">
        <v>130</v>
      </c>
      <c r="B146" s="56" t="s">
        <v>61</v>
      </c>
      <c r="C146" s="56" t="s">
        <v>118</v>
      </c>
      <c r="D146" s="56" t="s">
        <v>247</v>
      </c>
      <c r="E146" s="56" t="s">
        <v>243</v>
      </c>
      <c r="F146" s="56">
        <v>-1</v>
      </c>
      <c r="G146" s="70" t="str">
        <f>VLOOKUP(C146,'4. TRANSACTIONS'!F:T,15,FALSE)</f>
        <v>Must be Unique. Short name or description for Account.</v>
      </c>
      <c r="H146" s="20">
        <v>43538</v>
      </c>
      <c r="I146" s="70" t="e">
        <v>#N/A</v>
      </c>
      <c r="J146" s="70" t="str">
        <f t="shared" ca="1" si="6"/>
        <v>br_acct</v>
      </c>
      <c r="K146" s="70" t="e">
        <f t="shared" ca="1" si="0"/>
        <v>#N/A</v>
      </c>
      <c r="L146" s="70"/>
      <c r="M146" s="70">
        <f t="shared" ca="1" si="1"/>
        <v>3</v>
      </c>
      <c r="N146" s="129" t="s">
        <v>302</v>
      </c>
      <c r="O146" s="70" t="b">
        <f t="shared" ca="1" si="2"/>
        <v>1</v>
      </c>
      <c r="P146" s="70"/>
      <c r="Q146" s="70" t="str">
        <f t="shared" ca="1" si="3"/>
        <v>CommonInterface-TransactionMapping-20181130-v2</v>
      </c>
      <c r="R146" s="20">
        <f t="shared" ca="1" si="4"/>
        <v>43449</v>
      </c>
      <c r="S146" s="5" t="str">
        <f t="shared" ca="1" si="5"/>
        <v>Initial Mapping</v>
      </c>
      <c r="T146" s="70" t="s">
        <v>244</v>
      </c>
      <c r="U146" s="20">
        <v>43535</v>
      </c>
      <c r="V146" s="70" t="s">
        <v>245</v>
      </c>
    </row>
    <row r="147" spans="1:22" ht="12.75" customHeight="1">
      <c r="A147" s="70" t="s">
        <v>130</v>
      </c>
      <c r="B147" s="56" t="s">
        <v>59</v>
      </c>
      <c r="C147" s="56" t="s">
        <v>499</v>
      </c>
      <c r="D147" s="56" t="s">
        <v>242</v>
      </c>
      <c r="E147" s="56" t="s">
        <v>243</v>
      </c>
      <c r="F147" s="56">
        <v>51</v>
      </c>
      <c r="G147" s="70" t="str">
        <f>VLOOKUP(C147,'4. TRANSACTIONS'!F:T,15,FALSE)</f>
        <v>Custodian Account Name</v>
      </c>
      <c r="H147" s="20">
        <v>43538</v>
      </c>
      <c r="I147" s="70" t="e">
        <v>#N/A</v>
      </c>
      <c r="J147" s="70" t="str">
        <f t="shared" ca="1" si="6"/>
        <v>target_name</v>
      </c>
      <c r="K147" s="70" t="e">
        <f t="shared" ca="1" si="0"/>
        <v>#N/A</v>
      </c>
      <c r="L147" s="70"/>
      <c r="M147" s="70">
        <f t="shared" ca="1" si="1"/>
        <v>4</v>
      </c>
      <c r="N147" s="129" t="s">
        <v>500</v>
      </c>
      <c r="O147" s="70" t="b">
        <f t="shared" ca="1" si="2"/>
        <v>1</v>
      </c>
      <c r="P147" s="70"/>
      <c r="Q147" s="70" t="str">
        <f t="shared" ca="1" si="3"/>
        <v>CommonInterface-TransactionMapping-20181130-v2</v>
      </c>
      <c r="R147" s="20">
        <f t="shared" ca="1" si="4"/>
        <v>43449</v>
      </c>
      <c r="S147" s="5" t="str">
        <f t="shared" ca="1" si="5"/>
        <v>Initial Mapping</v>
      </c>
      <c r="T147" s="70" t="s">
        <v>244</v>
      </c>
      <c r="U147" s="20">
        <v>43535</v>
      </c>
      <c r="V147" s="70" t="s">
        <v>245</v>
      </c>
    </row>
    <row r="148" spans="1:22" ht="12.75" customHeight="1">
      <c r="A148" s="70" t="s">
        <v>130</v>
      </c>
      <c r="B148" s="56" t="s">
        <v>59</v>
      </c>
      <c r="C148" s="56" t="s">
        <v>501</v>
      </c>
      <c r="D148" s="56" t="s">
        <v>346</v>
      </c>
      <c r="E148" s="56" t="s">
        <v>243</v>
      </c>
      <c r="F148" s="56">
        <v>52</v>
      </c>
      <c r="G148" s="70" t="str">
        <f>VLOOKUP(C148,'4. TRANSACTIONS'!F:T,15,FALSE)</f>
        <v>Custodian Name</v>
      </c>
      <c r="H148" s="20">
        <v>43538</v>
      </c>
      <c r="I148" s="70" t="e">
        <v>#N/A</v>
      </c>
      <c r="J148" s="70" t="str">
        <f t="shared" ca="1" si="6"/>
        <v>cust_name</v>
      </c>
      <c r="K148" s="70" t="e">
        <f t="shared" ca="1" si="0"/>
        <v>#N/A</v>
      </c>
      <c r="L148" s="70"/>
      <c r="M148" s="70">
        <f t="shared" ca="1" si="1"/>
        <v>5</v>
      </c>
      <c r="N148" s="129" t="s">
        <v>502</v>
      </c>
      <c r="O148" s="70" t="b">
        <f t="shared" ca="1" si="2"/>
        <v>1</v>
      </c>
      <c r="P148" s="70"/>
      <c r="Q148" s="70" t="str">
        <f t="shared" ca="1" si="3"/>
        <v>CommonInterface-TransactionMapping-20181130-v2</v>
      </c>
      <c r="R148" s="20">
        <f t="shared" ca="1" si="4"/>
        <v>43449</v>
      </c>
      <c r="S148" s="5" t="str">
        <f t="shared" ca="1" si="5"/>
        <v>Initial Mapping</v>
      </c>
      <c r="T148" s="70" t="s">
        <v>244</v>
      </c>
      <c r="U148" s="20">
        <v>43535</v>
      </c>
      <c r="V148" s="70" t="s">
        <v>245</v>
      </c>
    </row>
    <row r="149" spans="1:22" ht="12.75" customHeight="1">
      <c r="A149" s="70" t="s">
        <v>130</v>
      </c>
      <c r="B149" s="56" t="s">
        <v>59</v>
      </c>
      <c r="C149" s="56" t="s">
        <v>138</v>
      </c>
      <c r="D149" s="56" t="s">
        <v>346</v>
      </c>
      <c r="E149" s="56" t="s">
        <v>243</v>
      </c>
      <c r="F149" s="56">
        <v>63</v>
      </c>
      <c r="G149" s="70" t="str">
        <f>VLOOKUP(C149,'4. TRANSACTIONS'!F:T,15,FALSE)</f>
        <v>Custodian Account</v>
      </c>
      <c r="H149" s="20">
        <v>43538</v>
      </c>
      <c r="I149" s="70" t="e">
        <v>#N/A</v>
      </c>
      <c r="J149" s="70" t="str">
        <f t="shared" ca="1" si="6"/>
        <v>cust_br_acct</v>
      </c>
      <c r="K149" s="70" t="e">
        <f t="shared" ca="1" si="0"/>
        <v>#N/A</v>
      </c>
      <c r="L149" s="70" t="s">
        <v>503</v>
      </c>
      <c r="M149" s="70">
        <f t="shared" ca="1" si="1"/>
        <v>6</v>
      </c>
      <c r="N149" s="129" t="s">
        <v>504</v>
      </c>
      <c r="O149" s="70" t="b">
        <f t="shared" ca="1" si="2"/>
        <v>1</v>
      </c>
      <c r="P149" s="70"/>
      <c r="Q149" s="70" t="str">
        <f t="shared" ca="1" si="3"/>
        <v>CommonInterface-TransactionMapping-20181130-v2</v>
      </c>
      <c r="R149" s="20">
        <f t="shared" ca="1" si="4"/>
        <v>43449</v>
      </c>
      <c r="S149" s="70" t="str">
        <f t="shared" ca="1" si="5"/>
        <v>Initial Mapping</v>
      </c>
      <c r="T149" s="70" t="s">
        <v>244</v>
      </c>
      <c r="U149" s="20">
        <v>43550</v>
      </c>
      <c r="V149" s="70" t="s">
        <v>256</v>
      </c>
    </row>
    <row r="150" spans="1:22" ht="12.75" customHeight="1">
      <c r="A150" s="70" t="s">
        <v>130</v>
      </c>
      <c r="B150" s="56" t="s">
        <v>55</v>
      </c>
      <c r="C150" s="56" t="s">
        <v>505</v>
      </c>
      <c r="D150" s="56" t="s">
        <v>247</v>
      </c>
      <c r="E150" s="56" t="s">
        <v>243</v>
      </c>
      <c r="F150" s="22">
        <v>183</v>
      </c>
      <c r="G150" s="24" t="str">
        <f>VLOOKUP(C150,'4. TRANSACTIONS'!F:T,15,FALSE)</f>
        <v>Transfer from account number.</v>
      </c>
      <c r="H150" s="20">
        <v>43538</v>
      </c>
      <c r="I150" s="70" t="e">
        <v>#N/A</v>
      </c>
      <c r="J150" s="70" t="str">
        <f t="shared" ca="1" si="6"/>
        <v>x_br_acct</v>
      </c>
      <c r="K150" s="70" t="e">
        <f t="shared" ca="1" si="0"/>
        <v>#N/A</v>
      </c>
      <c r="L150" s="70"/>
      <c r="M150" s="70">
        <f t="shared" ca="1" si="1"/>
        <v>7</v>
      </c>
      <c r="N150" s="129" t="s">
        <v>506</v>
      </c>
      <c r="O150" s="70" t="b">
        <f t="shared" ca="1" si="2"/>
        <v>1</v>
      </c>
      <c r="P150" s="70"/>
      <c r="Q150" s="70" t="str">
        <f t="shared" ca="1" si="3"/>
        <v>CommonInterface-TransactionMapping-20181130-v2</v>
      </c>
      <c r="R150" s="20">
        <f t="shared" ca="1" si="4"/>
        <v>43449</v>
      </c>
      <c r="S150" s="5" t="str">
        <f t="shared" ca="1" si="5"/>
        <v>Initial Mapping</v>
      </c>
      <c r="T150" s="70" t="s">
        <v>244</v>
      </c>
      <c r="U150" s="20">
        <v>43535</v>
      </c>
      <c r="V150" s="70" t="s">
        <v>245</v>
      </c>
    </row>
    <row r="151" spans="1:22" ht="12.75" customHeight="1">
      <c r="A151" s="70" t="s">
        <v>130</v>
      </c>
      <c r="B151" s="56" t="s">
        <v>61</v>
      </c>
      <c r="C151" s="56" t="s">
        <v>150</v>
      </c>
      <c r="D151" s="56" t="s">
        <v>247</v>
      </c>
      <c r="E151" s="56" t="s">
        <v>243</v>
      </c>
      <c r="F151" s="56">
        <v>141</v>
      </c>
      <c r="G151" s="70" t="str">
        <f>VLOOKUP(C151,'4. TRANSACTIONS'!F:T,15,FALSE)</f>
        <v>Major Asset Class (Highest Level, ususally: Equity, Fixed Income, Alternatives, Cash, etc.)</v>
      </c>
      <c r="H151" s="20">
        <v>43538</v>
      </c>
      <c r="I151" s="70" t="e">
        <v>#N/A</v>
      </c>
      <c r="J151" s="70" t="str">
        <f t="shared" ca="1" si="6"/>
        <v>asset_class</v>
      </c>
      <c r="K151" s="70" t="e">
        <f t="shared" ca="1" si="0"/>
        <v>#N/A</v>
      </c>
      <c r="L151" s="70"/>
      <c r="M151" s="70">
        <f t="shared" ca="1" si="1"/>
        <v>8</v>
      </c>
      <c r="N151" s="129" t="s">
        <v>507</v>
      </c>
      <c r="O151" s="70" t="b">
        <f t="shared" ca="1" si="2"/>
        <v>1</v>
      </c>
      <c r="P151" s="70"/>
      <c r="Q151" s="70" t="str">
        <f t="shared" ca="1" si="3"/>
        <v>CommonInterface-TransactionMapping-20181130-v2</v>
      </c>
      <c r="R151" s="20">
        <f t="shared" ca="1" si="4"/>
        <v>43449</v>
      </c>
      <c r="S151" s="5" t="str">
        <f t="shared" ca="1" si="5"/>
        <v>Initial Mapping</v>
      </c>
      <c r="T151" s="70" t="s">
        <v>244</v>
      </c>
      <c r="U151" s="20">
        <v>43535</v>
      </c>
      <c r="V151" s="70" t="s">
        <v>245</v>
      </c>
    </row>
    <row r="152" spans="1:22" ht="12.75" customHeight="1">
      <c r="A152" s="70" t="s">
        <v>130</v>
      </c>
      <c r="B152" s="56" t="s">
        <v>59</v>
      </c>
      <c r="C152" s="56" t="s">
        <v>308</v>
      </c>
      <c r="D152" s="56" t="s">
        <v>247</v>
      </c>
      <c r="E152" s="56" t="s">
        <v>243</v>
      </c>
      <c r="F152" s="56">
        <v>142</v>
      </c>
      <c r="G152" s="70" t="str">
        <f>VLOOKUP(C152,'4. TRANSACTIONS'!F:T,15,FALSE)</f>
        <v>2nd Level Asset Class</v>
      </c>
      <c r="H152" s="20">
        <v>43538</v>
      </c>
      <c r="I152" s="70" t="e">
        <v>#N/A</v>
      </c>
      <c r="J152" s="70" t="str">
        <f t="shared" ca="1" si="6"/>
        <v>asset_class2</v>
      </c>
      <c r="K152" s="70" t="e">
        <f t="shared" ca="1" si="0"/>
        <v>#N/A</v>
      </c>
      <c r="L152" s="70"/>
      <c r="M152" s="70">
        <f t="shared" ca="1" si="1"/>
        <v>9</v>
      </c>
      <c r="N152" s="129" t="s">
        <v>508</v>
      </c>
      <c r="O152" s="70" t="b">
        <f t="shared" ca="1" si="2"/>
        <v>1</v>
      </c>
      <c r="P152" s="70"/>
      <c r="Q152" s="70" t="str">
        <f t="shared" ca="1" si="3"/>
        <v>CommonInterface-TransactionMapping-20181130-v2</v>
      </c>
      <c r="R152" s="20">
        <f t="shared" ca="1" si="4"/>
        <v>43449</v>
      </c>
      <c r="S152" s="5" t="str">
        <f t="shared" ca="1" si="5"/>
        <v>Initial Mapping</v>
      </c>
      <c r="T152" s="70" t="s">
        <v>244</v>
      </c>
      <c r="U152" s="20">
        <v>43535</v>
      </c>
      <c r="V152" s="70" t="s">
        <v>245</v>
      </c>
    </row>
    <row r="153" spans="1:22" ht="12.75" customHeight="1">
      <c r="A153" s="70" t="s">
        <v>130</v>
      </c>
      <c r="B153" s="56" t="s">
        <v>59</v>
      </c>
      <c r="C153" s="56" t="s">
        <v>310</v>
      </c>
      <c r="D153" s="56" t="s">
        <v>247</v>
      </c>
      <c r="E153" s="56" t="s">
        <v>243</v>
      </c>
      <c r="F153" s="56">
        <v>143</v>
      </c>
      <c r="G153" s="70" t="str">
        <f>VLOOKUP(C153,'4. TRANSACTIONS'!F:T,15,FALSE)</f>
        <v>3rd Level Asset Class</v>
      </c>
      <c r="H153" s="20">
        <v>43538</v>
      </c>
      <c r="I153" s="70" t="e">
        <v>#N/A</v>
      </c>
      <c r="J153" s="70" t="str">
        <f t="shared" ca="1" si="6"/>
        <v>sub_asset_class</v>
      </c>
      <c r="K153" s="70" t="e">
        <f t="shared" ca="1" si="0"/>
        <v>#N/A</v>
      </c>
      <c r="L153" s="70"/>
      <c r="M153" s="70">
        <f t="shared" ca="1" si="1"/>
        <v>10</v>
      </c>
      <c r="N153" s="129" t="s">
        <v>509</v>
      </c>
      <c r="O153" s="70" t="b">
        <f t="shared" ca="1" si="2"/>
        <v>1</v>
      </c>
      <c r="P153" s="70"/>
      <c r="Q153" s="70" t="str">
        <f t="shared" ca="1" si="3"/>
        <v>CommonInterface-TransactionMapping-20181130-v2</v>
      </c>
      <c r="R153" s="20">
        <f t="shared" ca="1" si="4"/>
        <v>43449</v>
      </c>
      <c r="S153" s="5" t="str">
        <f t="shared" ca="1" si="5"/>
        <v>Initial Mapping</v>
      </c>
      <c r="T153" s="70" t="s">
        <v>244</v>
      </c>
      <c r="U153" s="20">
        <v>43535</v>
      </c>
      <c r="V153" s="70" t="s">
        <v>245</v>
      </c>
    </row>
    <row r="154" spans="1:22" ht="12.75" customHeight="1">
      <c r="A154" s="70" t="s">
        <v>130</v>
      </c>
      <c r="B154" s="56" t="s">
        <v>61</v>
      </c>
      <c r="C154" s="56" t="s">
        <v>126</v>
      </c>
      <c r="D154" s="56" t="s">
        <v>242</v>
      </c>
      <c r="E154" s="56" t="s">
        <v>243</v>
      </c>
      <c r="F154" s="56">
        <v>155</v>
      </c>
      <c r="G154" s="70" t="str">
        <f>VLOOKUP(C154,'4. TRANSACTIONS'!F:T,15,FALSE)</f>
        <v>100% Uniquie Identifer for the security. Commonly a unique Integer.</v>
      </c>
      <c r="H154" s="20">
        <v>43538</v>
      </c>
      <c r="I154" s="70" t="e">
        <v>#N/A</v>
      </c>
      <c r="J154" s="70" t="str">
        <f t="shared" ca="1" si="6"/>
        <v>sec_no</v>
      </c>
      <c r="K154" s="70" t="e">
        <f t="shared" ca="1" si="0"/>
        <v>#N/A</v>
      </c>
      <c r="L154" s="70"/>
      <c r="M154" s="70">
        <f t="shared" ca="1" si="1"/>
        <v>11</v>
      </c>
      <c r="N154" s="129" t="s">
        <v>314</v>
      </c>
      <c r="O154" s="70" t="b">
        <f t="shared" ca="1" si="2"/>
        <v>1</v>
      </c>
      <c r="P154" s="70"/>
      <c r="Q154" s="70" t="str">
        <f t="shared" ca="1" si="3"/>
        <v>CommonInterface-TransactionMapping-20181130-v2</v>
      </c>
      <c r="R154" s="20">
        <f t="shared" ca="1" si="4"/>
        <v>43449</v>
      </c>
      <c r="S154" s="5" t="str">
        <f t="shared" ca="1" si="5"/>
        <v>Initial Mapping</v>
      </c>
      <c r="T154" s="70" t="s">
        <v>244</v>
      </c>
      <c r="U154" s="20">
        <v>43535</v>
      </c>
      <c r="V154" s="70" t="s">
        <v>245</v>
      </c>
    </row>
    <row r="155" spans="1:22" ht="12.75" customHeight="1">
      <c r="A155" s="70" t="s">
        <v>130</v>
      </c>
      <c r="B155" s="56" t="s">
        <v>61</v>
      </c>
      <c r="C155" s="56" t="s">
        <v>152</v>
      </c>
      <c r="D155" s="56" t="s">
        <v>247</v>
      </c>
      <c r="E155" s="56" t="s">
        <v>243</v>
      </c>
      <c r="F155" s="56">
        <v>154</v>
      </c>
      <c r="G155" s="70" t="str">
        <f>VLOOKUP(C155,'4. TRANSACTIONS'!F:T,15,FALSE)</f>
        <v>Primary Security Symbol for display to end users; should also be unique.</v>
      </c>
      <c r="H155" s="20">
        <v>43538</v>
      </c>
      <c r="I155" s="70" t="e">
        <v>#N/A</v>
      </c>
      <c r="J155" s="70" t="str">
        <f t="shared" ca="1" si="6"/>
        <v>sec_symbol</v>
      </c>
      <c r="K155" s="70" t="e">
        <f t="shared" ca="1" si="0"/>
        <v>#N/A</v>
      </c>
      <c r="L155" s="70"/>
      <c r="M155" s="70">
        <f t="shared" ca="1" si="1"/>
        <v>12</v>
      </c>
      <c r="N155" s="129" t="s">
        <v>315</v>
      </c>
      <c r="O155" s="70" t="b">
        <f t="shared" ca="1" si="2"/>
        <v>1</v>
      </c>
      <c r="P155" s="70"/>
      <c r="Q155" s="70" t="str">
        <f t="shared" ca="1" si="3"/>
        <v>CommonInterface-TransactionMapping-20181130-v2</v>
      </c>
      <c r="R155" s="20">
        <f t="shared" ca="1" si="4"/>
        <v>43449</v>
      </c>
      <c r="S155" s="5" t="str">
        <f t="shared" ca="1" si="5"/>
        <v>Initial Mapping</v>
      </c>
      <c r="T155" s="70" t="s">
        <v>244</v>
      </c>
      <c r="U155" s="20">
        <v>43535</v>
      </c>
      <c r="V155" s="70" t="s">
        <v>245</v>
      </c>
    </row>
    <row r="156" spans="1:22" ht="12.75" customHeight="1">
      <c r="A156" s="70" t="s">
        <v>130</v>
      </c>
      <c r="B156" s="56" t="s">
        <v>59</v>
      </c>
      <c r="C156" s="56" t="s">
        <v>316</v>
      </c>
      <c r="D156" s="56" t="s">
        <v>264</v>
      </c>
      <c r="E156" s="56" t="s">
        <v>243</v>
      </c>
      <c r="F156" s="56">
        <v>157</v>
      </c>
      <c r="G156" s="70" t="str">
        <f>VLOOKUP(C156,'4. TRANSACTIONS'!F:T,15,FALSE)</f>
        <v>Ticker</v>
      </c>
      <c r="H156" s="20">
        <v>43538</v>
      </c>
      <c r="I156" s="70" t="e">
        <v>#N/A</v>
      </c>
      <c r="J156" s="70" t="str">
        <f t="shared" ca="1" si="6"/>
        <v>ticker</v>
      </c>
      <c r="K156" s="70" t="e">
        <f t="shared" ca="1" si="0"/>
        <v>#N/A</v>
      </c>
      <c r="L156" s="70"/>
      <c r="M156" s="70">
        <f t="shared" ca="1" si="1"/>
        <v>13</v>
      </c>
      <c r="N156" s="129" t="s">
        <v>510</v>
      </c>
      <c r="O156" s="70" t="b">
        <f t="shared" ca="1" si="2"/>
        <v>1</v>
      </c>
      <c r="P156" s="70"/>
      <c r="Q156" s="70" t="str">
        <f t="shared" ca="1" si="3"/>
        <v>CommonInterface-TransactionMapping-20181130-v2</v>
      </c>
      <c r="R156" s="20">
        <f t="shared" ca="1" si="4"/>
        <v>43449</v>
      </c>
      <c r="S156" s="5" t="str">
        <f t="shared" ca="1" si="5"/>
        <v>Initial Mapping</v>
      </c>
      <c r="T156" s="70" t="s">
        <v>244</v>
      </c>
      <c r="U156" s="20">
        <v>43535</v>
      </c>
      <c r="V156" s="70" t="s">
        <v>245</v>
      </c>
    </row>
    <row r="157" spans="1:22" ht="12.75" customHeight="1">
      <c r="A157" s="70" t="s">
        <v>130</v>
      </c>
      <c r="B157" s="56" t="s">
        <v>59</v>
      </c>
      <c r="C157" s="56" t="s">
        <v>318</v>
      </c>
      <c r="D157" s="56" t="s">
        <v>264</v>
      </c>
      <c r="E157" s="56" t="s">
        <v>243</v>
      </c>
      <c r="F157" s="56">
        <v>158</v>
      </c>
      <c r="G157" s="70" t="str">
        <f>VLOOKUP(C157,'4. TRANSACTIONS'!F:T,15,FALSE)</f>
        <v>CUSIP</v>
      </c>
      <c r="H157" s="20">
        <v>43538</v>
      </c>
      <c r="I157" s="70" t="e">
        <v>#N/A</v>
      </c>
      <c r="J157" s="70" t="str">
        <f t="shared" ca="1" si="6"/>
        <v>cusip</v>
      </c>
      <c r="K157" s="70" t="e">
        <f t="shared" ca="1" si="0"/>
        <v>#N/A</v>
      </c>
      <c r="L157" s="70"/>
      <c r="M157" s="70">
        <f t="shared" ca="1" si="1"/>
        <v>14</v>
      </c>
      <c r="N157" s="129" t="s">
        <v>511</v>
      </c>
      <c r="O157" s="70" t="b">
        <f t="shared" ca="1" si="2"/>
        <v>1</v>
      </c>
      <c r="P157" s="70"/>
      <c r="Q157" s="70" t="str">
        <f t="shared" ca="1" si="3"/>
        <v>CommonInterface-TransactionMapping-20181130-v2</v>
      </c>
      <c r="R157" s="20">
        <f t="shared" ca="1" si="4"/>
        <v>43449</v>
      </c>
      <c r="S157" s="5" t="str">
        <f t="shared" ca="1" si="5"/>
        <v>Initial Mapping</v>
      </c>
      <c r="T157" s="70" t="s">
        <v>244</v>
      </c>
      <c r="U157" s="20">
        <v>43535</v>
      </c>
      <c r="V157" s="70" t="s">
        <v>245</v>
      </c>
    </row>
    <row r="158" spans="1:22" ht="12.75" customHeight="1">
      <c r="A158" s="70" t="s">
        <v>130</v>
      </c>
      <c r="B158" s="56" t="s">
        <v>59</v>
      </c>
      <c r="C158" s="56" t="s">
        <v>320</v>
      </c>
      <c r="D158" s="56" t="s">
        <v>264</v>
      </c>
      <c r="E158" s="56" t="s">
        <v>243</v>
      </c>
      <c r="F158" s="56">
        <v>160</v>
      </c>
      <c r="G158" s="70" t="str">
        <f>VLOOKUP(C158,'4. TRANSACTIONS'!F:T,15,FALSE)</f>
        <v>SEDOL</v>
      </c>
      <c r="H158" s="20">
        <v>43538</v>
      </c>
      <c r="I158" s="70" t="e">
        <v>#N/A</v>
      </c>
      <c r="J158" s="70" t="str">
        <f t="shared" ca="1" si="6"/>
        <v>sedol</v>
      </c>
      <c r="K158" s="70" t="e">
        <f t="shared" ca="1" si="0"/>
        <v>#N/A</v>
      </c>
      <c r="L158" s="70"/>
      <c r="M158" s="70">
        <f t="shared" ca="1" si="1"/>
        <v>15</v>
      </c>
      <c r="N158" s="129" t="s">
        <v>321</v>
      </c>
      <c r="O158" s="70" t="b">
        <f t="shared" ca="1" si="2"/>
        <v>0</v>
      </c>
      <c r="P158" s="70"/>
      <c r="Q158" s="70" t="str">
        <f t="shared" ca="1" si="3"/>
        <v>Common Interface NB v0.6</v>
      </c>
      <c r="R158" s="20">
        <f t="shared" ca="1" si="4"/>
        <v>43173</v>
      </c>
      <c r="S158" s="70" t="str">
        <f t="shared" ca="1" si="5"/>
        <v xml:space="preserve">3/12 - NB updated CI doc to match was in original Doc + IC ETL </v>
      </c>
      <c r="T158" s="70" t="s">
        <v>244</v>
      </c>
      <c r="U158" s="20">
        <v>43536</v>
      </c>
      <c r="V158" s="70" t="s">
        <v>512</v>
      </c>
    </row>
    <row r="159" spans="1:22" ht="12.75" customHeight="1">
      <c r="A159" s="70" t="s">
        <v>130</v>
      </c>
      <c r="B159" s="56" t="s">
        <v>59</v>
      </c>
      <c r="C159" s="56" t="s">
        <v>322</v>
      </c>
      <c r="D159" s="56" t="s">
        <v>264</v>
      </c>
      <c r="E159" s="56" t="s">
        <v>243</v>
      </c>
      <c r="F159" s="56">
        <v>159</v>
      </c>
      <c r="G159" s="70" t="str">
        <f>VLOOKUP(C159,'4. TRANSACTIONS'!F:T,15,FALSE)</f>
        <v>ISIN</v>
      </c>
      <c r="H159" s="20">
        <v>43538</v>
      </c>
      <c r="I159" s="70" t="e">
        <v>#N/A</v>
      </c>
      <c r="J159" s="70" t="str">
        <f t="shared" ca="1" si="6"/>
        <v>isin</v>
      </c>
      <c r="K159" s="70" t="e">
        <f t="shared" ca="1" si="0"/>
        <v>#N/A</v>
      </c>
      <c r="L159" s="70"/>
      <c r="M159" s="70">
        <f t="shared" ca="1" si="1"/>
        <v>16</v>
      </c>
      <c r="N159" s="129" t="s">
        <v>513</v>
      </c>
      <c r="O159" s="70" t="b">
        <f t="shared" ca="1" si="2"/>
        <v>1</v>
      </c>
      <c r="P159" s="70"/>
      <c r="Q159" s="70" t="str">
        <f t="shared" ca="1" si="3"/>
        <v>CommonInterface-TransactionMapping-20181130-v2</v>
      </c>
      <c r="R159" s="20">
        <f t="shared" ca="1" si="4"/>
        <v>43449</v>
      </c>
      <c r="S159" s="5" t="str">
        <f t="shared" ca="1" si="5"/>
        <v>Initial Mapping</v>
      </c>
      <c r="T159" s="70" t="s">
        <v>244</v>
      </c>
      <c r="U159" s="20">
        <v>43535</v>
      </c>
      <c r="V159" s="70" t="s">
        <v>245</v>
      </c>
    </row>
    <row r="160" spans="1:22" ht="12.75" customHeight="1">
      <c r="A160" s="70" t="s">
        <v>130</v>
      </c>
      <c r="B160" s="56" t="s">
        <v>61</v>
      </c>
      <c r="C160" s="56" t="s">
        <v>153</v>
      </c>
      <c r="D160" s="56" t="s">
        <v>324</v>
      </c>
      <c r="E160" s="56" t="s">
        <v>243</v>
      </c>
      <c r="F160" s="56">
        <v>156</v>
      </c>
      <c r="G160" s="70" t="str">
        <f>VLOOKUP(C160,'4. TRANSACTIONS'!F:T,15,FALSE)</f>
        <v>Long description/name of the security</v>
      </c>
      <c r="H160" s="20">
        <v>43538</v>
      </c>
      <c r="I160" s="70" t="e">
        <v>#N/A</v>
      </c>
      <c r="J160" s="70" t="str">
        <f t="shared" ca="1" si="6"/>
        <v>sec_desc</v>
      </c>
      <c r="K160" s="70" t="e">
        <f t="shared" ca="1" si="0"/>
        <v>#N/A</v>
      </c>
      <c r="L160" s="70"/>
      <c r="M160" s="70">
        <f t="shared" ca="1" si="1"/>
        <v>17</v>
      </c>
      <c r="N160" s="129" t="s">
        <v>325</v>
      </c>
      <c r="O160" s="70" t="b">
        <f t="shared" ca="1" si="2"/>
        <v>1</v>
      </c>
      <c r="P160" s="70"/>
      <c r="Q160" s="70" t="str">
        <f t="shared" ca="1" si="3"/>
        <v>CommonInterface-TransactionMapping-20181130-v2</v>
      </c>
      <c r="R160" s="20">
        <f t="shared" ca="1" si="4"/>
        <v>43449</v>
      </c>
      <c r="S160" s="5" t="str">
        <f t="shared" ca="1" si="5"/>
        <v>Initial Mapping</v>
      </c>
      <c r="T160" s="70" t="s">
        <v>244</v>
      </c>
      <c r="U160" s="20">
        <v>43535</v>
      </c>
      <c r="V160" s="70" t="s">
        <v>245</v>
      </c>
    </row>
    <row r="161" spans="1:22" ht="12.75" customHeight="1">
      <c r="A161" s="70" t="s">
        <v>130</v>
      </c>
      <c r="B161" s="56" t="s">
        <v>61</v>
      </c>
      <c r="C161" s="56" t="s">
        <v>129</v>
      </c>
      <c r="D161" s="56" t="s">
        <v>250</v>
      </c>
      <c r="E161" s="56" t="s">
        <v>243</v>
      </c>
      <c r="F161" s="56">
        <v>83</v>
      </c>
      <c r="G161" s="70" t="str">
        <f>VLOOKUP(C161,'4. TRANSACTIONS'!F:T,15,FALSE)</f>
        <v>Local Currency Name</v>
      </c>
      <c r="H161" s="20">
        <v>43538</v>
      </c>
      <c r="I161" s="70" t="e">
        <v>#N/A</v>
      </c>
      <c r="J161" s="70" t="str">
        <f t="shared" ca="1" si="6"/>
        <v>sec_iso_code</v>
      </c>
      <c r="K161" s="70" t="e">
        <f t="shared" ca="1" si="0"/>
        <v>#N/A</v>
      </c>
      <c r="L161" s="70"/>
      <c r="M161" s="70">
        <f t="shared" ca="1" si="1"/>
        <v>18</v>
      </c>
      <c r="N161" s="129" t="s">
        <v>514</v>
      </c>
      <c r="O161" s="70" t="b">
        <f t="shared" ca="1" si="2"/>
        <v>1</v>
      </c>
      <c r="P161" s="70"/>
      <c r="Q161" s="70" t="str">
        <f t="shared" ca="1" si="3"/>
        <v>CommonInterface-TransactionMapping-20181130-v2</v>
      </c>
      <c r="R161" s="20">
        <f t="shared" ca="1" si="4"/>
        <v>43449</v>
      </c>
      <c r="S161" s="5" t="str">
        <f t="shared" ca="1" si="5"/>
        <v>Initial Mapping</v>
      </c>
      <c r="T161" s="70" t="s">
        <v>244</v>
      </c>
      <c r="U161" s="20">
        <v>43535</v>
      </c>
      <c r="V161" s="70" t="s">
        <v>245</v>
      </c>
    </row>
    <row r="162" spans="1:22" ht="12.75" customHeight="1">
      <c r="A162" s="70" t="s">
        <v>130</v>
      </c>
      <c r="B162" s="56" t="s">
        <v>59</v>
      </c>
      <c r="C162" s="56" t="s">
        <v>341</v>
      </c>
      <c r="D162" s="56" t="s">
        <v>247</v>
      </c>
      <c r="E162" s="56" t="s">
        <v>243</v>
      </c>
      <c r="F162" s="56">
        <v>151</v>
      </c>
      <c r="G162" s="70" t="str">
        <f>VLOOKUP(C162,'4. TRANSACTIONS'!F:T,15,FALSE)</f>
        <v>Contry of Issuenace</v>
      </c>
      <c r="H162" s="20">
        <v>43538</v>
      </c>
      <c r="I162" s="70" t="e">
        <v>#N/A</v>
      </c>
      <c r="J162" s="70" t="str">
        <f t="shared" ca="1" si="6"/>
        <v>country_iss</v>
      </c>
      <c r="K162" s="70" t="e">
        <f t="shared" ca="1" si="0"/>
        <v>#N/A</v>
      </c>
      <c r="L162" s="70"/>
      <c r="M162" s="70">
        <f t="shared" ca="1" si="1"/>
        <v>19</v>
      </c>
      <c r="N162" s="129" t="s">
        <v>342</v>
      </c>
      <c r="O162" s="70" t="b">
        <f t="shared" ca="1" si="2"/>
        <v>1</v>
      </c>
      <c r="P162" s="70"/>
      <c r="Q162" s="70" t="str">
        <f t="shared" ca="1" si="3"/>
        <v>CommonInterface-TransactionMapping-20181130-v2</v>
      </c>
      <c r="R162" s="20">
        <f t="shared" ca="1" si="4"/>
        <v>43449</v>
      </c>
      <c r="S162" s="5" t="str">
        <f t="shared" ca="1" si="5"/>
        <v>Initial Mapping</v>
      </c>
      <c r="T162" s="70" t="s">
        <v>244</v>
      </c>
      <c r="U162" s="20">
        <v>43535</v>
      </c>
      <c r="V162" s="70" t="s">
        <v>245</v>
      </c>
    </row>
    <row r="163" spans="1:22" ht="12.75" customHeight="1">
      <c r="A163" s="70" t="s">
        <v>130</v>
      </c>
      <c r="B163" s="56" t="s">
        <v>59</v>
      </c>
      <c r="C163" s="56" t="s">
        <v>343</v>
      </c>
      <c r="D163" s="56" t="s">
        <v>247</v>
      </c>
      <c r="E163" s="56" t="s">
        <v>243</v>
      </c>
      <c r="F163" s="56">
        <v>152</v>
      </c>
      <c r="G163" s="70" t="str">
        <f>VLOOKUP(C163,'4. TRANSACTIONS'!F:T,15,FALSE)</f>
        <v>Country of Risk</v>
      </c>
      <c r="H163" s="20">
        <v>43538</v>
      </c>
      <c r="I163" s="70" t="e">
        <v>#N/A</v>
      </c>
      <c r="J163" s="70" t="str">
        <f t="shared" ca="1" si="6"/>
        <v>country_ops</v>
      </c>
      <c r="K163" s="70" t="e">
        <f t="shared" ca="1" si="0"/>
        <v>#N/A</v>
      </c>
      <c r="L163" s="70"/>
      <c r="M163" s="70">
        <f t="shared" ca="1" si="1"/>
        <v>20</v>
      </c>
      <c r="N163" s="129" t="s">
        <v>344</v>
      </c>
      <c r="O163" s="70" t="b">
        <f t="shared" ca="1" si="2"/>
        <v>1</v>
      </c>
      <c r="P163" s="70"/>
      <c r="Q163" s="70" t="str">
        <f t="shared" ca="1" si="3"/>
        <v>CommonInterface-TransactionMapping-20181130-v2</v>
      </c>
      <c r="R163" s="20">
        <f t="shared" ca="1" si="4"/>
        <v>43449</v>
      </c>
      <c r="S163" s="5" t="str">
        <f t="shared" ca="1" si="5"/>
        <v>Initial Mapping</v>
      </c>
      <c r="T163" s="70" t="s">
        <v>244</v>
      </c>
      <c r="U163" s="20">
        <v>43535</v>
      </c>
      <c r="V163" s="70" t="s">
        <v>245</v>
      </c>
    </row>
    <row r="164" spans="1:22" ht="12.75" customHeight="1">
      <c r="A164" s="70" t="s">
        <v>130</v>
      </c>
      <c r="B164" s="56" t="s">
        <v>59</v>
      </c>
      <c r="C164" s="56" t="s">
        <v>151</v>
      </c>
      <c r="D164" s="56" t="s">
        <v>247</v>
      </c>
      <c r="E164" s="56" t="s">
        <v>243</v>
      </c>
      <c r="F164" s="56">
        <v>147</v>
      </c>
      <c r="G164" s="70" t="str">
        <f>VLOOKUP(C164,'4. TRANSACTIONS'!F:T,15,FALSE)</f>
        <v>Highest Sector Level</v>
      </c>
      <c r="H164" s="20">
        <v>43538</v>
      </c>
      <c r="I164" s="70" t="e">
        <v>#N/A</v>
      </c>
      <c r="J164" s="70" t="str">
        <f t="shared" ca="1" si="6"/>
        <v>level1</v>
      </c>
      <c r="K164" s="70" t="e">
        <f t="shared" ca="1" si="0"/>
        <v>#N/A</v>
      </c>
      <c r="L164" s="70"/>
      <c r="M164" s="70">
        <f t="shared" ca="1" si="1"/>
        <v>21</v>
      </c>
      <c r="N164" s="129" t="s">
        <v>515</v>
      </c>
      <c r="O164" s="70" t="b">
        <f t="shared" ca="1" si="2"/>
        <v>1</v>
      </c>
      <c r="P164" s="70"/>
      <c r="Q164" s="70" t="str">
        <f t="shared" ca="1" si="3"/>
        <v>CommonInterface-TransactionMapping-20181130-v2</v>
      </c>
      <c r="R164" s="20">
        <f t="shared" ca="1" si="4"/>
        <v>43449</v>
      </c>
      <c r="S164" s="5" t="str">
        <f t="shared" ca="1" si="5"/>
        <v>Initial Mapping</v>
      </c>
      <c r="T164" s="70" t="s">
        <v>244</v>
      </c>
      <c r="U164" s="20">
        <v>43535</v>
      </c>
      <c r="V164" s="70" t="s">
        <v>245</v>
      </c>
    </row>
    <row r="165" spans="1:22" ht="12.75" customHeight="1">
      <c r="A165" s="70" t="s">
        <v>130</v>
      </c>
      <c r="B165" s="56" t="s">
        <v>59</v>
      </c>
      <c r="C165" s="56" t="s">
        <v>349</v>
      </c>
      <c r="D165" s="56" t="s">
        <v>247</v>
      </c>
      <c r="E165" s="56" t="s">
        <v>243</v>
      </c>
      <c r="F165" s="56">
        <v>148</v>
      </c>
      <c r="G165" s="70" t="str">
        <f>VLOOKUP(C165,'4. TRANSACTIONS'!F:T,15,FALSE)</f>
        <v>2nd Level sector</v>
      </c>
      <c r="H165" s="20">
        <v>43538</v>
      </c>
      <c r="I165" s="70" t="e">
        <v>#N/A</v>
      </c>
      <c r="J165" s="70" t="str">
        <f t="shared" ca="1" si="6"/>
        <v>level2</v>
      </c>
      <c r="K165" s="70" t="e">
        <f t="shared" ca="1" si="0"/>
        <v>#N/A</v>
      </c>
      <c r="L165" s="70"/>
      <c r="M165" s="70">
        <f t="shared" ca="1" si="1"/>
        <v>22</v>
      </c>
      <c r="N165" s="129" t="s">
        <v>516</v>
      </c>
      <c r="O165" s="70" t="b">
        <f t="shared" ca="1" si="2"/>
        <v>1</v>
      </c>
      <c r="P165" s="70"/>
      <c r="Q165" s="70" t="str">
        <f t="shared" ca="1" si="3"/>
        <v>CommonInterface-TransactionMapping-20181130-v2</v>
      </c>
      <c r="R165" s="20">
        <f t="shared" ca="1" si="4"/>
        <v>43449</v>
      </c>
      <c r="S165" s="5" t="str">
        <f t="shared" ca="1" si="5"/>
        <v>Initial Mapping</v>
      </c>
      <c r="T165" s="70" t="s">
        <v>244</v>
      </c>
      <c r="U165" s="20">
        <v>43535</v>
      </c>
      <c r="V165" s="70" t="s">
        <v>245</v>
      </c>
    </row>
    <row r="166" spans="1:22" ht="12.75" customHeight="1">
      <c r="A166" s="70" t="s">
        <v>130</v>
      </c>
      <c r="B166" s="56" t="s">
        <v>59</v>
      </c>
      <c r="C166" s="56" t="s">
        <v>351</v>
      </c>
      <c r="D166" s="56" t="s">
        <v>247</v>
      </c>
      <c r="E166" s="56" t="s">
        <v>243</v>
      </c>
      <c r="F166" s="56">
        <v>149</v>
      </c>
      <c r="G166" s="70" t="str">
        <f>VLOOKUP(C166,'4. TRANSACTIONS'!F:T,15,FALSE)</f>
        <v>3rd Level sector (most granular)</v>
      </c>
      <c r="H166" s="20">
        <v>43538</v>
      </c>
      <c r="I166" s="70" t="e">
        <v>#N/A</v>
      </c>
      <c r="J166" s="70" t="str">
        <f t="shared" ca="1" si="6"/>
        <v>level3</v>
      </c>
      <c r="K166" s="70" t="e">
        <f t="shared" ca="1" si="0"/>
        <v>#N/A</v>
      </c>
      <c r="L166" s="70"/>
      <c r="M166" s="70">
        <f t="shared" ca="1" si="1"/>
        <v>23</v>
      </c>
      <c r="N166" s="129" t="s">
        <v>517</v>
      </c>
      <c r="O166" s="70" t="b">
        <f t="shared" ca="1" si="2"/>
        <v>1</v>
      </c>
      <c r="P166" s="70"/>
      <c r="Q166" s="70" t="str">
        <f t="shared" ca="1" si="3"/>
        <v>CommonInterface-TransactionMapping-20181130-v2</v>
      </c>
      <c r="R166" s="20">
        <f t="shared" ca="1" si="4"/>
        <v>43449</v>
      </c>
      <c r="S166" s="5" t="str">
        <f t="shared" ca="1" si="5"/>
        <v>Initial Mapping</v>
      </c>
      <c r="T166" s="70" t="s">
        <v>244</v>
      </c>
      <c r="U166" s="20">
        <v>43535</v>
      </c>
      <c r="V166" s="70" t="s">
        <v>245</v>
      </c>
    </row>
    <row r="167" spans="1:22" ht="12.75" customHeight="1">
      <c r="A167" s="70" t="s">
        <v>130</v>
      </c>
      <c r="B167" s="56" t="s">
        <v>59</v>
      </c>
      <c r="C167" s="56" t="s">
        <v>353</v>
      </c>
      <c r="D167" s="56" t="s">
        <v>346</v>
      </c>
      <c r="E167" s="56" t="s">
        <v>243</v>
      </c>
      <c r="F167" s="56">
        <v>162</v>
      </c>
      <c r="G167" s="70" t="str">
        <f>VLOOKUP(C167,'4. TRANSACTIONS'!F:T,15,FALSE)</f>
        <v>Moody's Rating Code or Description</v>
      </c>
      <c r="H167" s="20">
        <v>43538</v>
      </c>
      <c r="I167" s="70" t="e">
        <v>#N/A</v>
      </c>
      <c r="J167" s="70" t="str">
        <f t="shared" ca="1" si="6"/>
        <v>moody_rating</v>
      </c>
      <c r="K167" s="70" t="e">
        <f t="shared" ca="1" si="0"/>
        <v>#N/A</v>
      </c>
      <c r="L167" s="70"/>
      <c r="M167" s="70">
        <f t="shared" ca="1" si="1"/>
        <v>24</v>
      </c>
      <c r="N167" s="129" t="s">
        <v>354</v>
      </c>
      <c r="O167" s="70" t="b">
        <f t="shared" ca="1" si="2"/>
        <v>1</v>
      </c>
      <c r="P167" s="70"/>
      <c r="Q167" s="70" t="str">
        <f t="shared" ca="1" si="3"/>
        <v>CommonInterface-TransactionMapping-20181130-v2</v>
      </c>
      <c r="R167" s="20">
        <f t="shared" ca="1" si="4"/>
        <v>43449</v>
      </c>
      <c r="S167" s="5" t="str">
        <f t="shared" ca="1" si="5"/>
        <v>Initial Mapping</v>
      </c>
      <c r="T167" s="70" t="s">
        <v>244</v>
      </c>
      <c r="U167" s="20">
        <v>43535</v>
      </c>
      <c r="V167" s="70" t="s">
        <v>245</v>
      </c>
    </row>
    <row r="168" spans="1:22" ht="12.75" customHeight="1">
      <c r="A168" s="70" t="s">
        <v>130</v>
      </c>
      <c r="B168" s="56" t="s">
        <v>55</v>
      </c>
      <c r="C168" s="56" t="s">
        <v>355</v>
      </c>
      <c r="D168" s="56" t="s">
        <v>346</v>
      </c>
      <c r="E168" s="56" t="s">
        <v>243</v>
      </c>
      <c r="F168" s="56">
        <v>153</v>
      </c>
      <c r="G168" s="70" t="str">
        <f>VLOOKUP(C168,'4. TRANSACTIONS'!F:T,15,FALSE)</f>
        <v>S&amp;P Rating</v>
      </c>
      <c r="H168" s="20">
        <v>43538</v>
      </c>
      <c r="I168" s="70" t="e">
        <v>#N/A</v>
      </c>
      <c r="J168" s="70" t="str">
        <f t="shared" ca="1" si="6"/>
        <v>sp_rating</v>
      </c>
      <c r="K168" s="70" t="e">
        <f t="shared" ca="1" si="0"/>
        <v>#N/A</v>
      </c>
      <c r="L168" s="70"/>
      <c r="M168" s="70">
        <f t="shared" ca="1" si="1"/>
        <v>25</v>
      </c>
      <c r="N168" s="129" t="s">
        <v>356</v>
      </c>
      <c r="O168" s="70" t="b">
        <f t="shared" ca="1" si="2"/>
        <v>1</v>
      </c>
      <c r="P168" s="70"/>
      <c r="Q168" s="70" t="str">
        <f t="shared" ca="1" si="3"/>
        <v>CommonInterface-TransactionMapping-20181130-v2</v>
      </c>
      <c r="R168" s="20">
        <f t="shared" ca="1" si="4"/>
        <v>43449</v>
      </c>
      <c r="S168" s="5" t="str">
        <f t="shared" ca="1" si="5"/>
        <v>Initial Mapping</v>
      </c>
      <c r="T168" s="70" t="s">
        <v>244</v>
      </c>
      <c r="U168" s="20">
        <v>43535</v>
      </c>
      <c r="V168" s="70" t="s">
        <v>245</v>
      </c>
    </row>
    <row r="169" spans="1:22" ht="12.75" customHeight="1">
      <c r="A169" s="70" t="s">
        <v>130</v>
      </c>
      <c r="B169" s="56" t="s">
        <v>59</v>
      </c>
      <c r="C169" s="56" t="s">
        <v>361</v>
      </c>
      <c r="D169" s="56" t="s">
        <v>252</v>
      </c>
      <c r="E169" s="56" t="s">
        <v>243</v>
      </c>
      <c r="F169" s="56">
        <v>161</v>
      </c>
      <c r="G169" s="70" t="str">
        <f>VLOOKUP(C169,'4. TRANSACTIONS'!F:T,15,FALSE)</f>
        <v xml:space="preserve">Maturity Date </v>
      </c>
      <c r="H169" s="20">
        <v>43538</v>
      </c>
      <c r="I169" s="70" t="e">
        <v>#N/A</v>
      </c>
      <c r="J169" s="70" t="str">
        <f t="shared" ca="1" si="6"/>
        <v>mat_date</v>
      </c>
      <c r="K169" s="70" t="e">
        <f t="shared" ca="1" si="0"/>
        <v>#N/A</v>
      </c>
      <c r="L169" s="70"/>
      <c r="M169" s="70">
        <f t="shared" ca="1" si="1"/>
        <v>26</v>
      </c>
      <c r="N169" s="129" t="s">
        <v>518</v>
      </c>
      <c r="O169" s="70" t="b">
        <f t="shared" ca="1" si="2"/>
        <v>1</v>
      </c>
      <c r="P169" s="70"/>
      <c r="Q169" s="70" t="str">
        <f t="shared" ca="1" si="3"/>
        <v>CommonInterface-TransactionMapping-20181130-v2</v>
      </c>
      <c r="R169" s="20">
        <f t="shared" ca="1" si="4"/>
        <v>43449</v>
      </c>
      <c r="S169" s="5" t="str">
        <f t="shared" ca="1" si="5"/>
        <v>Initial Mapping</v>
      </c>
      <c r="T169" s="70" t="s">
        <v>244</v>
      </c>
      <c r="U169" s="20">
        <v>43535</v>
      </c>
      <c r="V169" s="70" t="s">
        <v>245</v>
      </c>
    </row>
    <row r="170" spans="1:22" ht="12.75" customHeight="1">
      <c r="A170" s="70" t="s">
        <v>130</v>
      </c>
      <c r="B170" s="56" t="s">
        <v>59</v>
      </c>
      <c r="C170" s="56" t="s">
        <v>363</v>
      </c>
      <c r="D170" s="56" t="s">
        <v>364</v>
      </c>
      <c r="E170" s="56" t="s">
        <v>243</v>
      </c>
      <c r="F170" s="56">
        <v>150</v>
      </c>
      <c r="G170" s="70" t="str">
        <f>VLOOKUP(C170,'4. TRANSACTIONS'!F:T,15,FALSE)</f>
        <v>Coupon Rate</v>
      </c>
      <c r="H170" s="20">
        <v>43538</v>
      </c>
      <c r="I170" s="70" t="e">
        <v>#N/A</v>
      </c>
      <c r="J170" s="70" t="str">
        <f t="shared" ca="1" si="6"/>
        <v>cpn_rate</v>
      </c>
      <c r="K170" s="70" t="e">
        <f t="shared" ca="1" si="0"/>
        <v>#N/A</v>
      </c>
      <c r="L170" s="70"/>
      <c r="M170" s="70">
        <f t="shared" ca="1" si="1"/>
        <v>27</v>
      </c>
      <c r="N170" s="129" t="s">
        <v>519</v>
      </c>
      <c r="O170" s="70" t="b">
        <f t="shared" ca="1" si="2"/>
        <v>1</v>
      </c>
      <c r="P170" s="70"/>
      <c r="Q170" s="70" t="str">
        <f t="shared" ca="1" si="3"/>
        <v>CommonInterface-TransactionMapping-20181130-v2</v>
      </c>
      <c r="R170" s="20">
        <f t="shared" ca="1" si="4"/>
        <v>43449</v>
      </c>
      <c r="S170" s="5" t="str">
        <f t="shared" ca="1" si="5"/>
        <v>Initial Mapping</v>
      </c>
      <c r="T170" s="70" t="s">
        <v>244</v>
      </c>
      <c r="U170" s="20">
        <v>43535</v>
      </c>
      <c r="V170" s="70" t="s">
        <v>245</v>
      </c>
    </row>
    <row r="171" spans="1:22" ht="12.75" customHeight="1">
      <c r="A171" s="70" t="s">
        <v>130</v>
      </c>
      <c r="B171" s="56" t="s">
        <v>55</v>
      </c>
      <c r="C171" s="56" t="s">
        <v>376</v>
      </c>
      <c r="D171" s="56" t="s">
        <v>247</v>
      </c>
      <c r="E171" s="56" t="s">
        <v>243</v>
      </c>
      <c r="F171" s="56">
        <v>144</v>
      </c>
      <c r="G171" s="70" t="str">
        <f>VLOOKUP(C171,'4. TRANSACTIONS'!F:T,15,FALSE)</f>
        <v>Bond's Insurer</v>
      </c>
      <c r="H171" s="20">
        <v>43538</v>
      </c>
      <c r="I171" s="70" t="e">
        <v>#N/A</v>
      </c>
      <c r="J171" s="70" t="str">
        <f t="shared" ca="1" si="6"/>
        <v>insurer</v>
      </c>
      <c r="K171" s="70" t="e">
        <f t="shared" ca="1" si="0"/>
        <v>#N/A</v>
      </c>
      <c r="L171" s="70"/>
      <c r="M171" s="70">
        <f t="shared" ca="1" si="1"/>
        <v>28</v>
      </c>
      <c r="N171" s="129" t="s">
        <v>377</v>
      </c>
      <c r="O171" s="70" t="b">
        <f t="shared" ca="1" si="2"/>
        <v>1</v>
      </c>
      <c r="P171" s="70"/>
      <c r="Q171" s="70" t="str">
        <f t="shared" ca="1" si="3"/>
        <v>CommonInterface-TransactionMapping-20181130-v2</v>
      </c>
      <c r="R171" s="20">
        <f t="shared" ca="1" si="4"/>
        <v>43449</v>
      </c>
      <c r="S171" s="5" t="str">
        <f t="shared" ca="1" si="5"/>
        <v>Initial Mapping</v>
      </c>
      <c r="T171" s="70" t="s">
        <v>244</v>
      </c>
      <c r="U171" s="20">
        <v>43535</v>
      </c>
      <c r="V171" s="70" t="s">
        <v>245</v>
      </c>
    </row>
    <row r="172" spans="1:22" ht="12.75" customHeight="1">
      <c r="A172" s="70" t="s">
        <v>130</v>
      </c>
      <c r="B172" s="56" t="s">
        <v>59</v>
      </c>
      <c r="C172" s="56" t="s">
        <v>520</v>
      </c>
      <c r="D172" s="56" t="s">
        <v>252</v>
      </c>
      <c r="E172" s="56" t="s">
        <v>243</v>
      </c>
      <c r="F172" s="56">
        <v>145</v>
      </c>
      <c r="G172" s="70" t="str">
        <f>VLOOKUP(C172,'4. TRANSACTIONS'!F:T,15,FALSE)</f>
        <v>Call date</v>
      </c>
      <c r="H172" s="20">
        <v>43538</v>
      </c>
      <c r="I172" s="70" t="e">
        <v>#N/A</v>
      </c>
      <c r="J172" s="70" t="str">
        <f t="shared" ca="1" si="6"/>
        <v>call_date</v>
      </c>
      <c r="K172" s="70" t="e">
        <f t="shared" ca="1" si="0"/>
        <v>#N/A</v>
      </c>
      <c r="L172" s="70"/>
      <c r="M172" s="70">
        <f t="shared" ca="1" si="1"/>
        <v>29</v>
      </c>
      <c r="N172" s="129" t="s">
        <v>521</v>
      </c>
      <c r="O172" s="70" t="b">
        <f t="shared" ca="1" si="2"/>
        <v>1</v>
      </c>
      <c r="P172" s="70"/>
      <c r="Q172" s="70" t="str">
        <f t="shared" ca="1" si="3"/>
        <v>CommonInterface-TransactionMapping-20181130-v2</v>
      </c>
      <c r="R172" s="20">
        <f t="shared" ca="1" si="4"/>
        <v>43449</v>
      </c>
      <c r="S172" s="5" t="str">
        <f t="shared" ca="1" si="5"/>
        <v>Initial Mapping</v>
      </c>
      <c r="T172" s="70" t="s">
        <v>244</v>
      </c>
      <c r="U172" s="20">
        <v>43535</v>
      </c>
      <c r="V172" s="70" t="s">
        <v>245</v>
      </c>
    </row>
    <row r="173" spans="1:22" ht="12.75" customHeight="1">
      <c r="A173" s="70" t="s">
        <v>130</v>
      </c>
      <c r="B173" s="56" t="s">
        <v>59</v>
      </c>
      <c r="C173" s="56" t="s">
        <v>522</v>
      </c>
      <c r="D173" s="56" t="s">
        <v>329</v>
      </c>
      <c r="E173" s="56" t="s">
        <v>243</v>
      </c>
      <c r="F173" s="56">
        <v>146</v>
      </c>
      <c r="G173" s="70" t="str">
        <f>VLOOKUP(C173,'4. TRANSACTIONS'!F:T,15,FALSE)</f>
        <v>Call Price</v>
      </c>
      <c r="H173" s="20">
        <v>43538</v>
      </c>
      <c r="I173" s="70" t="e">
        <v>#N/A</v>
      </c>
      <c r="J173" s="70" t="str">
        <f t="shared" ca="1" si="6"/>
        <v>call_price</v>
      </c>
      <c r="K173" s="70" t="e">
        <f t="shared" ca="1" si="0"/>
        <v>#N/A</v>
      </c>
      <c r="L173" s="70"/>
      <c r="M173" s="70">
        <f t="shared" ca="1" si="1"/>
        <v>30</v>
      </c>
      <c r="N173" s="129" t="s">
        <v>523</v>
      </c>
      <c r="O173" s="70" t="b">
        <f t="shared" ca="1" si="2"/>
        <v>1</v>
      </c>
      <c r="P173" s="70"/>
      <c r="Q173" s="70" t="str">
        <f t="shared" ca="1" si="3"/>
        <v>CommonInterface-TransactionMapping-20181130-v2</v>
      </c>
      <c r="R173" s="20">
        <f t="shared" ca="1" si="4"/>
        <v>43449</v>
      </c>
      <c r="S173" s="5" t="str">
        <f t="shared" ca="1" si="5"/>
        <v>Initial Mapping</v>
      </c>
      <c r="T173" s="70" t="s">
        <v>244</v>
      </c>
      <c r="U173" s="20">
        <v>43535</v>
      </c>
      <c r="V173" s="70" t="s">
        <v>245</v>
      </c>
    </row>
    <row r="174" spans="1:22" ht="12.75" customHeight="1">
      <c r="A174" s="70" t="s">
        <v>130</v>
      </c>
      <c r="B174" s="56" t="s">
        <v>55</v>
      </c>
      <c r="C174" s="56" t="s">
        <v>524</v>
      </c>
      <c r="D174" s="56" t="s">
        <v>429</v>
      </c>
      <c r="E174" s="56" t="s">
        <v>243</v>
      </c>
      <c r="F174" s="56">
        <v>128</v>
      </c>
      <c r="G174" s="70" t="str">
        <f>VLOOKUP(C174,'4. TRANSACTIONS'!F:T,15,FALSE)</f>
        <v xml:space="preserve">Indiactor of a Variable Rate security </v>
      </c>
      <c r="H174" s="20">
        <v>43538</v>
      </c>
      <c r="I174" s="70" t="e">
        <v>#N/A</v>
      </c>
      <c r="J174" s="70" t="str">
        <f t="shared" ca="1" si="6"/>
        <v>variable_flag</v>
      </c>
      <c r="K174" s="70" t="e">
        <f t="shared" ca="1" si="0"/>
        <v>#N/A</v>
      </c>
      <c r="L174" s="70"/>
      <c r="M174" s="70">
        <f t="shared" ca="1" si="1"/>
        <v>31</v>
      </c>
      <c r="N174" s="129" t="s">
        <v>525</v>
      </c>
      <c r="O174" s="70" t="b">
        <f t="shared" ca="1" si="2"/>
        <v>1</v>
      </c>
      <c r="P174" s="70"/>
      <c r="Q174" s="70" t="str">
        <f t="shared" ca="1" si="3"/>
        <v>CommonInterface-TransactionMapping-20181130-v2</v>
      </c>
      <c r="R174" s="20">
        <f t="shared" ca="1" si="4"/>
        <v>43449</v>
      </c>
      <c r="S174" s="5" t="str">
        <f t="shared" ca="1" si="5"/>
        <v>Initial Mapping</v>
      </c>
      <c r="T174" s="70" t="s">
        <v>244</v>
      </c>
      <c r="U174" s="20">
        <v>43535</v>
      </c>
      <c r="V174" s="70" t="s">
        <v>245</v>
      </c>
    </row>
    <row r="175" spans="1:22" ht="12.75" customHeight="1">
      <c r="A175" s="70" t="s">
        <v>130</v>
      </c>
      <c r="B175" s="56" t="s">
        <v>59</v>
      </c>
      <c r="C175" s="56" t="s">
        <v>378</v>
      </c>
      <c r="D175" s="56" t="s">
        <v>247</v>
      </c>
      <c r="E175" s="56" t="s">
        <v>243</v>
      </c>
      <c r="F175" s="56">
        <v>166</v>
      </c>
      <c r="G175" s="70" t="str">
        <f>VLOOKUP(C175,'4. TRANSACTIONS'!F:T,15,FALSE)</f>
        <v>Primary Security Sybol of an unerlying holding. Typically used for Options. Used to look up UNDERLYLEGSECURITYMASTERFID If there is a value here.</v>
      </c>
      <c r="H175" s="20">
        <v>43538</v>
      </c>
      <c r="I175" s="70" t="e">
        <v>#N/A</v>
      </c>
      <c r="J175" s="70" t="str">
        <f t="shared" ca="1" si="6"/>
        <v>und_ticker</v>
      </c>
      <c r="K175" s="70" t="e">
        <f t="shared" ca="1" si="0"/>
        <v>#N/A</v>
      </c>
      <c r="L175" s="70"/>
      <c r="M175" s="70">
        <f t="shared" ca="1" si="1"/>
        <v>32</v>
      </c>
      <c r="N175" s="129" t="s">
        <v>526</v>
      </c>
      <c r="O175" s="70" t="b">
        <f t="shared" ca="1" si="2"/>
        <v>1</v>
      </c>
      <c r="P175" s="70"/>
      <c r="Q175" s="70" t="str">
        <f t="shared" ca="1" si="3"/>
        <v>CommonInterface-TransactionMapping-20181130-v2</v>
      </c>
      <c r="R175" s="20">
        <f t="shared" ca="1" si="4"/>
        <v>43449</v>
      </c>
      <c r="S175" s="5" t="str">
        <f t="shared" ca="1" si="5"/>
        <v>Initial Mapping</v>
      </c>
      <c r="T175" s="70" t="s">
        <v>244</v>
      </c>
      <c r="U175" s="20">
        <v>43535</v>
      </c>
      <c r="V175" s="70" t="s">
        <v>245</v>
      </c>
    </row>
    <row r="176" spans="1:22" ht="12.75" customHeight="1">
      <c r="A176" s="70" t="s">
        <v>130</v>
      </c>
      <c r="B176" s="56" t="s">
        <v>59</v>
      </c>
      <c r="C176" s="56" t="s">
        <v>380</v>
      </c>
      <c r="D176" s="56" t="s">
        <v>324</v>
      </c>
      <c r="E176" s="56" t="s">
        <v>243</v>
      </c>
      <c r="F176" s="56">
        <v>167</v>
      </c>
      <c r="G176" s="70" t="str">
        <f>VLOOKUP(C176,'4. TRANSACTIONS'!F:T,15,FALSE)</f>
        <v>Security Description of an underlying holding. Typically used for Options.</v>
      </c>
      <c r="H176" s="20">
        <v>43538</v>
      </c>
      <c r="I176" s="70" t="e">
        <v>#N/A</v>
      </c>
      <c r="J176" s="70" t="str">
        <f t="shared" ca="1" si="6"/>
        <v>und_sec_desc</v>
      </c>
      <c r="K176" s="70" t="e">
        <f t="shared" ca="1" si="0"/>
        <v>#N/A</v>
      </c>
      <c r="L176" s="70"/>
      <c r="M176" s="70">
        <f t="shared" ca="1" si="1"/>
        <v>33</v>
      </c>
      <c r="N176" s="129" t="s">
        <v>381</v>
      </c>
      <c r="O176" s="70" t="b">
        <f t="shared" ca="1" si="2"/>
        <v>1</v>
      </c>
      <c r="P176" s="70"/>
      <c r="Q176" s="70" t="str">
        <f t="shared" ca="1" si="3"/>
        <v>CommonInterface-TransactionMapping-20181130-v2</v>
      </c>
      <c r="R176" s="20">
        <f t="shared" ca="1" si="4"/>
        <v>43449</v>
      </c>
      <c r="S176" s="5" t="str">
        <f t="shared" ca="1" si="5"/>
        <v>Initial Mapping</v>
      </c>
      <c r="T176" s="70" t="s">
        <v>244</v>
      </c>
      <c r="U176" s="20">
        <v>43535</v>
      </c>
      <c r="V176" s="70" t="s">
        <v>245</v>
      </c>
    </row>
    <row r="177" spans="1:22" ht="12.75" customHeight="1">
      <c r="A177" s="70" t="s">
        <v>130</v>
      </c>
      <c r="B177" s="56" t="s">
        <v>55</v>
      </c>
      <c r="C177" s="56" t="s">
        <v>527</v>
      </c>
      <c r="D177" s="56" t="s">
        <v>255</v>
      </c>
      <c r="E177" s="56" t="s">
        <v>243</v>
      </c>
      <c r="F177" s="22">
        <v>190</v>
      </c>
      <c r="G177" s="24" t="str">
        <f>VLOOKUP(C177,'4. TRANSACTIONS'!F:T,15,FALSE)</f>
        <v>Start date for accrued income.</v>
      </c>
      <c r="H177" s="20">
        <v>43538</v>
      </c>
      <c r="I177" s="70" t="e">
        <v>#N/A</v>
      </c>
      <c r="J177" s="70" t="str">
        <f t="shared" ca="1" si="6"/>
        <v>current_ex_date</v>
      </c>
      <c r="K177" s="70" t="e">
        <f t="shared" ca="1" si="0"/>
        <v>#N/A</v>
      </c>
      <c r="L177" s="70" t="s">
        <v>528</v>
      </c>
      <c r="M177" s="70">
        <f t="shared" ca="1" si="1"/>
        <v>34</v>
      </c>
      <c r="N177" s="129" t="s">
        <v>529</v>
      </c>
      <c r="O177" s="70" t="b">
        <f t="shared" ca="1" si="2"/>
        <v>1</v>
      </c>
      <c r="P177" s="70"/>
      <c r="Q177" s="70" t="str">
        <f t="shared" ca="1" si="3"/>
        <v>CommonInterface-TransactionMapping-20181130-v2</v>
      </c>
      <c r="R177" s="20">
        <f t="shared" ca="1" si="4"/>
        <v>43449</v>
      </c>
      <c r="S177" s="70" t="str">
        <f t="shared" ca="1" si="5"/>
        <v xml:space="preserve">3/12 - IC confirmed this was a typo on their end.  They will correct ETL to match NB. </v>
      </c>
      <c r="T177" s="70" t="s">
        <v>244</v>
      </c>
      <c r="U177" s="20">
        <v>43550</v>
      </c>
      <c r="V177" s="70" t="s">
        <v>256</v>
      </c>
    </row>
    <row r="178" spans="1:22" ht="12.75" customHeight="1">
      <c r="A178" s="70" t="s">
        <v>130</v>
      </c>
      <c r="B178" s="56" t="s">
        <v>55</v>
      </c>
      <c r="C178" s="56" t="s">
        <v>530</v>
      </c>
      <c r="D178" s="56" t="s">
        <v>255</v>
      </c>
      <c r="E178" s="56" t="s">
        <v>243</v>
      </c>
      <c r="F178" s="22">
        <v>191</v>
      </c>
      <c r="G178" s="24" t="str">
        <f>VLOOKUP(C178,'4. TRANSACTIONS'!F:T,15,FALSE)</f>
        <v>End date for accrued income.</v>
      </c>
      <c r="H178" s="20">
        <v>43538</v>
      </c>
      <c r="I178" s="70" t="e">
        <v>#N/A</v>
      </c>
      <c r="J178" s="70" t="str">
        <f t="shared" ca="1" si="6"/>
        <v>current_pay_date</v>
      </c>
      <c r="K178" s="70" t="e">
        <f t="shared" ca="1" si="0"/>
        <v>#N/A</v>
      </c>
      <c r="L178" s="70" t="s">
        <v>528</v>
      </c>
      <c r="M178" s="70">
        <f t="shared" ca="1" si="1"/>
        <v>35</v>
      </c>
      <c r="N178" s="129" t="s">
        <v>531</v>
      </c>
      <c r="O178" s="70" t="b">
        <f t="shared" ca="1" si="2"/>
        <v>1</v>
      </c>
      <c r="P178" s="70"/>
      <c r="Q178" s="70" t="str">
        <f t="shared" ca="1" si="3"/>
        <v>CommonInterface-TransactionMapping-20181130-v2</v>
      </c>
      <c r="R178" s="20">
        <f t="shared" ca="1" si="4"/>
        <v>43449</v>
      </c>
      <c r="S178" s="70" t="str">
        <f t="shared" ca="1" si="5"/>
        <v xml:space="preserve">3/12 - IC confirmed this was a typo on their end.  They will correct ETL to match NB. </v>
      </c>
      <c r="T178" s="70" t="s">
        <v>244</v>
      </c>
      <c r="U178" s="20">
        <v>43550</v>
      </c>
      <c r="V178" s="70" t="s">
        <v>256</v>
      </c>
    </row>
    <row r="179" spans="1:22" ht="12.75" customHeight="1">
      <c r="A179" s="70" t="s">
        <v>130</v>
      </c>
      <c r="B179" s="56" t="s">
        <v>55</v>
      </c>
      <c r="C179" s="56" t="s">
        <v>420</v>
      </c>
      <c r="D179" s="56" t="s">
        <v>329</v>
      </c>
      <c r="E179" s="56" t="s">
        <v>243</v>
      </c>
      <c r="F179" s="56">
        <v>140</v>
      </c>
      <c r="G179" s="70" t="str">
        <f>VLOOKUP(C179,'4. TRANSACTIONS'!F:T,15,FALSE)</f>
        <v>Annual Income of the Security</v>
      </c>
      <c r="H179" s="20">
        <v>43538</v>
      </c>
      <c r="I179" s="70" t="e">
        <v>#N/A</v>
      </c>
      <c r="J179" s="70" t="str">
        <f t="shared" ca="1" si="6"/>
        <v>ann_income</v>
      </c>
      <c r="K179" s="70" t="e">
        <f t="shared" ca="1" si="0"/>
        <v>#N/A</v>
      </c>
      <c r="L179" s="70"/>
      <c r="M179" s="70">
        <f t="shared" ca="1" si="1"/>
        <v>36</v>
      </c>
      <c r="N179" s="129" t="s">
        <v>532</v>
      </c>
      <c r="O179" s="70" t="b">
        <f t="shared" ca="1" si="2"/>
        <v>1</v>
      </c>
      <c r="P179" s="70"/>
      <c r="Q179" s="70" t="str">
        <f t="shared" ca="1" si="3"/>
        <v>CommonInterface-TransactionMapping-20181130-v2</v>
      </c>
      <c r="R179" s="20">
        <f t="shared" ca="1" si="4"/>
        <v>43449</v>
      </c>
      <c r="S179" s="5" t="str">
        <f t="shared" ca="1" si="5"/>
        <v>Initial Mapping</v>
      </c>
      <c r="T179" s="70" t="s">
        <v>244</v>
      </c>
      <c r="U179" s="20">
        <v>43535</v>
      </c>
      <c r="V179" s="70" t="s">
        <v>245</v>
      </c>
    </row>
    <row r="180" spans="1:22" ht="12.75" customHeight="1">
      <c r="A180" s="70" t="s">
        <v>130</v>
      </c>
      <c r="B180" s="56" t="s">
        <v>61</v>
      </c>
      <c r="C180" s="56" t="s">
        <v>533</v>
      </c>
      <c r="D180" s="56" t="s">
        <v>242</v>
      </c>
      <c r="E180" s="56" t="s">
        <v>243</v>
      </c>
      <c r="F180" s="56">
        <v>72</v>
      </c>
      <c r="G180" s="70" t="str">
        <f>VLOOKUP(C180,'4. TRANSACTIONS'!F:T,15,FALSE)</f>
        <v>Unique Id of the Journal Transaction in source system</v>
      </c>
      <c r="H180" s="20">
        <v>43538</v>
      </c>
      <c r="I180" s="70" t="e">
        <v>#N/A</v>
      </c>
      <c r="J180" s="70" t="str">
        <f t="shared" ca="1" si="6"/>
        <v>jrl_trans_no</v>
      </c>
      <c r="K180" s="70" t="e">
        <f t="shared" ca="1" si="0"/>
        <v>#N/A</v>
      </c>
      <c r="L180" s="70"/>
      <c r="M180" s="70">
        <f t="shared" ca="1" si="1"/>
        <v>37</v>
      </c>
      <c r="N180" s="129" t="s">
        <v>534</v>
      </c>
      <c r="O180" s="70" t="b">
        <f t="shared" ca="1" si="2"/>
        <v>1</v>
      </c>
      <c r="P180" s="70"/>
      <c r="Q180" s="70" t="str">
        <f t="shared" ca="1" si="3"/>
        <v>CommonInterface-TransactionMapping-20181130-v2</v>
      </c>
      <c r="R180" s="20">
        <f t="shared" ca="1" si="4"/>
        <v>43449</v>
      </c>
      <c r="S180" s="5" t="str">
        <f t="shared" ca="1" si="5"/>
        <v>Initial Mapping</v>
      </c>
      <c r="T180" s="70" t="s">
        <v>244</v>
      </c>
      <c r="U180" s="20">
        <v>43535</v>
      </c>
      <c r="V180" s="70" t="s">
        <v>245</v>
      </c>
    </row>
    <row r="181" spans="1:22" ht="12.75" customHeight="1">
      <c r="A181" s="70" t="s">
        <v>130</v>
      </c>
      <c r="B181" s="56" t="s">
        <v>59</v>
      </c>
      <c r="C181" s="56" t="s">
        <v>139</v>
      </c>
      <c r="D181" s="56" t="s">
        <v>535</v>
      </c>
      <c r="E181" s="56" t="s">
        <v>243</v>
      </c>
      <c r="F181" s="56">
        <v>73</v>
      </c>
      <c r="G181" s="70" t="str">
        <f>VLOOKUP(C181,'4. TRANSACTIONS'!F:T,15,FALSE)</f>
        <v>Unique Id of the Portfolio Transaction in source system</v>
      </c>
      <c r="H181" s="20">
        <v>43538</v>
      </c>
      <c r="I181" s="70" t="e">
        <v>#N/A</v>
      </c>
      <c r="J181" s="70" t="str">
        <f t="shared" ca="1" si="6"/>
        <v>port_trans_no</v>
      </c>
      <c r="K181" s="70" t="e">
        <f t="shared" ca="1" si="0"/>
        <v>#N/A</v>
      </c>
      <c r="L181" s="70"/>
      <c r="M181" s="70">
        <f t="shared" ca="1" si="1"/>
        <v>38</v>
      </c>
      <c r="N181" s="129" t="s">
        <v>536</v>
      </c>
      <c r="O181" s="70" t="b">
        <f t="shared" ca="1" si="2"/>
        <v>1</v>
      </c>
      <c r="P181" s="70"/>
      <c r="Q181" s="70" t="str">
        <f t="shared" ca="1" si="3"/>
        <v>CommonInterface-TransactionMapping-20181130-v2</v>
      </c>
      <c r="R181" s="20">
        <f t="shared" ca="1" si="4"/>
        <v>43449</v>
      </c>
      <c r="S181" s="5" t="str">
        <f t="shared" ca="1" si="5"/>
        <v>Initial Mapping</v>
      </c>
      <c r="T181" s="70" t="s">
        <v>244</v>
      </c>
      <c r="U181" s="20">
        <v>43535</v>
      </c>
      <c r="V181" s="70" t="s">
        <v>245</v>
      </c>
    </row>
    <row r="182" spans="1:22" ht="12.75" customHeight="1">
      <c r="A182" s="70" t="s">
        <v>130</v>
      </c>
      <c r="B182" s="56" t="s">
        <v>55</v>
      </c>
      <c r="C182" s="56" t="s">
        <v>537</v>
      </c>
      <c r="D182" s="56" t="s">
        <v>346</v>
      </c>
      <c r="E182" s="56" t="s">
        <v>243</v>
      </c>
      <c r="F182" s="56">
        <v>98</v>
      </c>
      <c r="G182" s="70" t="str">
        <f>VLOOKUP(C182,'4. TRANSACTIONS'!F:T,15,FALSE)</f>
        <v>Source system's unique Tax Lot ID for a mutlway pair off</v>
      </c>
      <c r="H182" s="20">
        <v>43538</v>
      </c>
      <c r="I182" s="70" t="e">
        <v>#N/A</v>
      </c>
      <c r="J182" s="70" t="str">
        <f t="shared" ca="1" si="6"/>
        <v>xref_trans_no</v>
      </c>
      <c r="K182" s="70" t="e">
        <f t="shared" ca="1" si="0"/>
        <v>#N/A</v>
      </c>
      <c r="L182" s="70"/>
      <c r="M182" s="70">
        <f t="shared" ca="1" si="1"/>
        <v>39</v>
      </c>
      <c r="N182" s="129" t="s">
        <v>538</v>
      </c>
      <c r="O182" s="70" t="b">
        <f t="shared" ca="1" si="2"/>
        <v>1</v>
      </c>
      <c r="P182" s="70"/>
      <c r="Q182" s="70" t="str">
        <f t="shared" ca="1" si="3"/>
        <v>CommonInterface-TransactionMapping-20181130-v2</v>
      </c>
      <c r="R182" s="20">
        <f t="shared" ca="1" si="4"/>
        <v>43449</v>
      </c>
      <c r="S182" s="5" t="str">
        <f t="shared" ca="1" si="5"/>
        <v>Initial Mapping</v>
      </c>
      <c r="T182" s="70" t="s">
        <v>244</v>
      </c>
      <c r="U182" s="20">
        <v>43535</v>
      </c>
      <c r="V182" s="70" t="s">
        <v>245</v>
      </c>
    </row>
    <row r="183" spans="1:22" ht="12.75" customHeight="1">
      <c r="A183" s="70" t="s">
        <v>130</v>
      </c>
      <c r="B183" s="56" t="s">
        <v>55</v>
      </c>
      <c r="C183" s="56" t="s">
        <v>539</v>
      </c>
      <c r="D183" s="56" t="s">
        <v>242</v>
      </c>
      <c r="E183" s="56" t="s">
        <v>243</v>
      </c>
      <c r="F183" s="56">
        <v>217</v>
      </c>
      <c r="G183" s="70" t="str">
        <f>VLOOKUP(C183,'4. TRANSACTIONS'!F:T,15,FALSE)</f>
        <v>Original Unique Id of the Journal Transaction in source system for cancel/corrections</v>
      </c>
      <c r="H183" s="20">
        <v>43538</v>
      </c>
      <c r="I183" s="70" t="e">
        <v>#N/A</v>
      </c>
      <c r="J183" s="70" t="str">
        <f t="shared" ca="1" si="6"/>
        <v>jrl_rev_trans_no</v>
      </c>
      <c r="K183" s="70" t="e">
        <f t="shared" ca="1" si="0"/>
        <v>#N/A</v>
      </c>
      <c r="L183" s="70" t="s">
        <v>528</v>
      </c>
      <c r="M183" s="70">
        <f t="shared" ca="1" si="1"/>
        <v>40</v>
      </c>
      <c r="N183" s="129" t="s">
        <v>540</v>
      </c>
      <c r="O183" s="70" t="b">
        <f t="shared" ca="1" si="2"/>
        <v>1</v>
      </c>
      <c r="P183" s="70"/>
      <c r="Q183" s="70" t="str">
        <f t="shared" ca="1" si="3"/>
        <v>CommonInterface-TransactionMapping-20181130-v2</v>
      </c>
      <c r="R183" s="20">
        <f t="shared" ca="1" si="4"/>
        <v>43449</v>
      </c>
      <c r="S183" s="70" t="str">
        <f t="shared" ca="1" si="5"/>
        <v xml:space="preserve">3/12 - IC confirmed this was a typo on their end.  They will correct ETL to match NB. </v>
      </c>
      <c r="T183" s="70" t="s">
        <v>244</v>
      </c>
      <c r="U183" s="20">
        <v>43550</v>
      </c>
      <c r="V183" s="70" t="s">
        <v>256</v>
      </c>
    </row>
    <row r="184" spans="1:22" ht="12.75" customHeight="1">
      <c r="A184" s="70" t="s">
        <v>130</v>
      </c>
      <c r="B184" s="56" t="s">
        <v>55</v>
      </c>
      <c r="C184" s="56" t="s">
        <v>541</v>
      </c>
      <c r="D184" s="56" t="s">
        <v>535</v>
      </c>
      <c r="E184" s="56" t="s">
        <v>243</v>
      </c>
      <c r="F184" s="22">
        <v>171</v>
      </c>
      <c r="G184" s="24" t="str">
        <f>VLOOKUP(C184,'4. TRANSACTIONS'!F:T,15,FALSE)</f>
        <v>Transaction identifier for the original transaction for which the current record is the correction.</v>
      </c>
      <c r="H184" s="20">
        <v>43538</v>
      </c>
      <c r="I184" s="70" t="e">
        <v>#N/A</v>
      </c>
      <c r="J184" s="70" t="str">
        <f t="shared" ca="1" si="6"/>
        <v>port_rev_trans_no</v>
      </c>
      <c r="K184" s="70" t="e">
        <f t="shared" ca="1" si="0"/>
        <v>#N/A</v>
      </c>
      <c r="L184" s="70" t="s">
        <v>528</v>
      </c>
      <c r="M184" s="70">
        <f t="shared" ca="1" si="1"/>
        <v>41</v>
      </c>
      <c r="N184" s="129" t="s">
        <v>542</v>
      </c>
      <c r="O184" s="70" t="b">
        <f t="shared" ca="1" si="2"/>
        <v>1</v>
      </c>
      <c r="P184" s="70"/>
      <c r="Q184" s="70" t="str">
        <f t="shared" ca="1" si="3"/>
        <v>CommonInterface-TransactionMapping-20181130-v2</v>
      </c>
      <c r="R184" s="20">
        <f t="shared" ca="1" si="4"/>
        <v>43449</v>
      </c>
      <c r="S184" s="70" t="str">
        <f t="shared" ca="1" si="5"/>
        <v xml:space="preserve">3/12 - IC confirmed this was a typo on their end.  They will correct ETL to match NB. </v>
      </c>
      <c r="T184" s="70" t="s">
        <v>244</v>
      </c>
      <c r="U184" s="20">
        <v>43550</v>
      </c>
      <c r="V184" s="70" t="s">
        <v>256</v>
      </c>
    </row>
    <row r="185" spans="1:22" ht="12.75" customHeight="1">
      <c r="A185" s="70" t="s">
        <v>130</v>
      </c>
      <c r="B185" s="56" t="s">
        <v>59</v>
      </c>
      <c r="C185" s="56" t="s">
        <v>147</v>
      </c>
      <c r="D185" s="56" t="s">
        <v>242</v>
      </c>
      <c r="E185" s="56" t="s">
        <v>243</v>
      </c>
      <c r="F185" s="56">
        <v>122</v>
      </c>
      <c r="G185" s="70" t="str">
        <f>VLOOKUP(C185,'4. TRANSACTIONS'!F:T,15,FALSE)</f>
        <v>Source System's unique ID for the related tax lot</v>
      </c>
      <c r="H185" s="20">
        <v>43538</v>
      </c>
      <c r="I185" s="70" t="e">
        <v>#N/A</v>
      </c>
      <c r="J185" s="70" t="str">
        <f t="shared" ca="1" si="6"/>
        <v>taxlot_id</v>
      </c>
      <c r="K185" s="70" t="e">
        <f t="shared" ca="1" si="0"/>
        <v>#N/A</v>
      </c>
      <c r="L185" s="70"/>
      <c r="M185" s="70">
        <f t="shared" ca="1" si="1"/>
        <v>42</v>
      </c>
      <c r="N185" s="129" t="s">
        <v>382</v>
      </c>
      <c r="O185" s="70" t="b">
        <f t="shared" ca="1" si="2"/>
        <v>1</v>
      </c>
      <c r="P185" s="70"/>
      <c r="Q185" s="70" t="str">
        <f t="shared" ca="1" si="3"/>
        <v>CommonInterface-TransactionMapping-20181130-v2</v>
      </c>
      <c r="R185" s="20">
        <f t="shared" ca="1" si="4"/>
        <v>43449</v>
      </c>
      <c r="S185" s="5" t="str">
        <f t="shared" ca="1" si="5"/>
        <v>Initial Mapping</v>
      </c>
      <c r="T185" s="70" t="s">
        <v>244</v>
      </c>
      <c r="U185" s="20">
        <v>43535</v>
      </c>
      <c r="V185" s="70" t="s">
        <v>245</v>
      </c>
    </row>
    <row r="186" spans="1:22" ht="12.75" customHeight="1">
      <c r="A186" s="70" t="s">
        <v>130</v>
      </c>
      <c r="B186" s="56" t="s">
        <v>61</v>
      </c>
      <c r="C186" s="56" t="s">
        <v>137</v>
      </c>
      <c r="D186" s="56" t="s">
        <v>346</v>
      </c>
      <c r="E186" s="56" t="s">
        <v>243</v>
      </c>
      <c r="F186" s="56">
        <v>61</v>
      </c>
      <c r="G186" s="70" t="str">
        <f>VLOOKUP(C186,'4. TRANSACTIONS'!F:T,15,FALSE)</f>
        <v>Transaction Type (CRITICAL FIELD)</v>
      </c>
      <c r="H186" s="20">
        <v>43538</v>
      </c>
      <c r="I186" s="70" t="e">
        <v>#N/A</v>
      </c>
      <c r="J186" s="70" t="str">
        <f t="shared" ca="1" si="6"/>
        <v>tran_type_drcr</v>
      </c>
      <c r="K186" s="70" t="e">
        <f t="shared" ca="1" si="0"/>
        <v>#N/A</v>
      </c>
      <c r="L186" s="70"/>
      <c r="M186" s="70">
        <f t="shared" ca="1" si="1"/>
        <v>43</v>
      </c>
      <c r="N186" s="129" t="s">
        <v>543</v>
      </c>
      <c r="O186" s="70" t="b">
        <f t="shared" ca="1" si="2"/>
        <v>1</v>
      </c>
      <c r="P186" s="70"/>
      <c r="Q186" s="70" t="str">
        <f t="shared" ca="1" si="3"/>
        <v>CommonInterface-TransactionMapping-20181130-v2</v>
      </c>
      <c r="R186" s="20">
        <f t="shared" ca="1" si="4"/>
        <v>43449</v>
      </c>
      <c r="S186" s="5" t="str">
        <f t="shared" ca="1" si="5"/>
        <v>Initial Mapping</v>
      </c>
      <c r="T186" s="70" t="s">
        <v>244</v>
      </c>
      <c r="U186" s="20">
        <v>43535</v>
      </c>
      <c r="V186" s="70" t="s">
        <v>245</v>
      </c>
    </row>
    <row r="187" spans="1:22" ht="12.75" customHeight="1">
      <c r="A187" s="70" t="s">
        <v>130</v>
      </c>
      <c r="B187" s="56" t="s">
        <v>55</v>
      </c>
      <c r="C187" s="56" t="s">
        <v>544</v>
      </c>
      <c r="D187" s="56" t="s">
        <v>346</v>
      </c>
      <c r="E187" s="56" t="s">
        <v>243</v>
      </c>
      <c r="F187" s="22">
        <v>204</v>
      </c>
      <c r="G187" s="24" t="str">
        <f>VLOOKUP(C187,'4. TRANSACTIONS'!F:T,15,FALSE)</f>
        <v>Transaction Type Description.</v>
      </c>
      <c r="H187" s="20">
        <v>43538</v>
      </c>
      <c r="I187" s="70" t="e">
        <v>#N/A</v>
      </c>
      <c r="J187" s="70" t="str">
        <f t="shared" ca="1" si="6"/>
        <v>tran_type_desc</v>
      </c>
      <c r="K187" s="70" t="e">
        <f t="shared" ca="1" si="0"/>
        <v>#N/A</v>
      </c>
      <c r="L187" s="70"/>
      <c r="M187" s="70">
        <f t="shared" ca="1" si="1"/>
        <v>44</v>
      </c>
      <c r="N187" s="129" t="s">
        <v>545</v>
      </c>
      <c r="O187" s="70" t="b">
        <f t="shared" ca="1" si="2"/>
        <v>1</v>
      </c>
      <c r="P187" s="70"/>
      <c r="Q187" s="70" t="str">
        <f t="shared" ca="1" si="3"/>
        <v>CommonInterface-TransactionMapping-20181130-v2</v>
      </c>
      <c r="R187" s="20">
        <f t="shared" ca="1" si="4"/>
        <v>43449</v>
      </c>
      <c r="S187" s="5" t="str">
        <f t="shared" ca="1" si="5"/>
        <v>Initial Mapping</v>
      </c>
      <c r="T187" s="70" t="s">
        <v>244</v>
      </c>
      <c r="U187" s="20">
        <v>43535</v>
      </c>
      <c r="V187" s="70" t="s">
        <v>245</v>
      </c>
    </row>
    <row r="188" spans="1:22" ht="12.75" customHeight="1">
      <c r="A188" s="70" t="s">
        <v>130</v>
      </c>
      <c r="B188" s="56" t="s">
        <v>55</v>
      </c>
      <c r="C188" s="56" t="s">
        <v>546</v>
      </c>
      <c r="D188" s="56" t="s">
        <v>346</v>
      </c>
      <c r="E188" s="56" t="s">
        <v>243</v>
      </c>
      <c r="F188" s="56">
        <v>106</v>
      </c>
      <c r="G188" s="70" t="str">
        <f>VLOOKUP(C188,'4. TRANSACTIONS'!F:T,15,FALSE)</f>
        <v>Rvs Acct Event ID</v>
      </c>
      <c r="H188" s="20">
        <v>43538</v>
      </c>
      <c r="I188" s="70" t="e">
        <v>#N/A</v>
      </c>
      <c r="J188" s="70" t="str">
        <f t="shared" ca="1" si="6"/>
        <v>rev_type</v>
      </c>
      <c r="K188" s="70" t="e">
        <f t="shared" ca="1" si="0"/>
        <v>#N/A</v>
      </c>
      <c r="L188" s="70"/>
      <c r="M188" s="70">
        <f t="shared" ca="1" si="1"/>
        <v>45</v>
      </c>
      <c r="N188" s="129" t="s">
        <v>547</v>
      </c>
      <c r="O188" s="70" t="b">
        <f t="shared" ca="1" si="2"/>
        <v>1</v>
      </c>
      <c r="P188" s="70"/>
      <c r="Q188" s="70" t="str">
        <f t="shared" ca="1" si="3"/>
        <v>CommonInterface-TransactionMapping-20181130-v2</v>
      </c>
      <c r="R188" s="20">
        <f t="shared" ca="1" si="4"/>
        <v>43449</v>
      </c>
      <c r="S188" s="5" t="str">
        <f t="shared" ca="1" si="5"/>
        <v>Initial Mapping</v>
      </c>
      <c r="T188" s="70" t="s">
        <v>244</v>
      </c>
      <c r="U188" s="20">
        <v>43535</v>
      </c>
      <c r="V188" s="70" t="s">
        <v>245</v>
      </c>
    </row>
    <row r="189" spans="1:22" ht="12.75" customHeight="1">
      <c r="A189" s="70" t="s">
        <v>130</v>
      </c>
      <c r="B189" s="56" t="s">
        <v>59</v>
      </c>
      <c r="C189" s="56" t="s">
        <v>135</v>
      </c>
      <c r="D189" s="56" t="s">
        <v>346</v>
      </c>
      <c r="E189" s="56" t="s">
        <v>243</v>
      </c>
      <c r="F189" s="56">
        <v>59</v>
      </c>
      <c r="G189" s="70" t="str">
        <f>VLOOKUP(C189,'4. TRANSACTIONS'!F:T,15,FALSE)</f>
        <v>Event Code</v>
      </c>
      <c r="H189" s="20">
        <v>43538</v>
      </c>
      <c r="I189" s="70" t="e">
        <v>#N/A</v>
      </c>
      <c r="J189" s="70" t="str">
        <f t="shared" ca="1" si="6"/>
        <v>rpt_group</v>
      </c>
      <c r="K189" s="70" t="e">
        <f t="shared" ca="1" si="0"/>
        <v>#N/A</v>
      </c>
      <c r="L189" s="70"/>
      <c r="M189" s="70">
        <f t="shared" ca="1" si="1"/>
        <v>46</v>
      </c>
      <c r="N189" s="129" t="s">
        <v>548</v>
      </c>
      <c r="O189" s="70" t="b">
        <f t="shared" ca="1" si="2"/>
        <v>1</v>
      </c>
      <c r="P189" s="70"/>
      <c r="Q189" s="70" t="str">
        <f t="shared" ca="1" si="3"/>
        <v>CommonInterface-TransactionMapping-20181130-v2</v>
      </c>
      <c r="R189" s="20">
        <f t="shared" ca="1" si="4"/>
        <v>43449</v>
      </c>
      <c r="S189" s="5" t="str">
        <f t="shared" ca="1" si="5"/>
        <v>Initial Mapping</v>
      </c>
      <c r="T189" s="70" t="s">
        <v>244</v>
      </c>
      <c r="U189" s="20">
        <v>43535</v>
      </c>
      <c r="V189" s="70" t="s">
        <v>245</v>
      </c>
    </row>
    <row r="190" spans="1:22" ht="12.75" customHeight="1">
      <c r="A190" s="70" t="s">
        <v>130</v>
      </c>
      <c r="B190" s="56" t="s">
        <v>59</v>
      </c>
      <c r="C190" s="56" t="s">
        <v>149</v>
      </c>
      <c r="D190" s="56" t="s">
        <v>242</v>
      </c>
      <c r="E190" s="56" t="s">
        <v>243</v>
      </c>
      <c r="F190" s="56">
        <v>139</v>
      </c>
      <c r="G190" s="70" t="str">
        <f>VLOOKUP(C190,'4. TRANSACTIONS'!F:T,15,FALSE)</f>
        <v>Short name for the Event Type</v>
      </c>
      <c r="H190" s="20">
        <v>43538</v>
      </c>
      <c r="I190" s="70" t="e">
        <v>#N/A</v>
      </c>
      <c r="J190" s="70" t="str">
        <f t="shared" ca="1" si="6"/>
        <v>rpt_group_desc</v>
      </c>
      <c r="K190" s="70" t="e">
        <f t="shared" ca="1" si="0"/>
        <v>#N/A</v>
      </c>
      <c r="L190" s="70"/>
      <c r="M190" s="70">
        <f t="shared" ca="1" si="1"/>
        <v>47</v>
      </c>
      <c r="N190" s="129" t="s">
        <v>549</v>
      </c>
      <c r="O190" s="70" t="b">
        <f t="shared" ca="1" si="2"/>
        <v>1</v>
      </c>
      <c r="P190" s="70"/>
      <c r="Q190" s="70" t="str">
        <f t="shared" ca="1" si="3"/>
        <v>CommonInterface-TransactionMapping-20181130-v2</v>
      </c>
      <c r="R190" s="20">
        <f t="shared" ca="1" si="4"/>
        <v>43449</v>
      </c>
      <c r="S190" s="5" t="str">
        <f t="shared" ca="1" si="5"/>
        <v>Initial Mapping</v>
      </c>
      <c r="T190" s="70" t="s">
        <v>244</v>
      </c>
      <c r="U190" s="20">
        <v>43535</v>
      </c>
      <c r="V190" s="70" t="s">
        <v>245</v>
      </c>
    </row>
    <row r="191" spans="1:22" ht="12.75" customHeight="1">
      <c r="A191" s="70" t="s">
        <v>130</v>
      </c>
      <c r="B191" s="56" t="s">
        <v>59</v>
      </c>
      <c r="C191" s="56" t="s">
        <v>550</v>
      </c>
      <c r="D191" s="56" t="s">
        <v>432</v>
      </c>
      <c r="E191" s="56" t="s">
        <v>243</v>
      </c>
      <c r="F191" s="56">
        <v>55</v>
      </c>
      <c r="G191" s="70" t="str">
        <f>VLOOKUP(C191,'4. TRANSACTIONS'!F:T,15,FALSE)</f>
        <v>Indicator that the transaction is a dividend</v>
      </c>
      <c r="H191" s="20">
        <v>43538</v>
      </c>
      <c r="I191" s="70" t="e">
        <v>#N/A</v>
      </c>
      <c r="J191" s="70" t="str">
        <f t="shared" ca="1" si="6"/>
        <v>div_flag</v>
      </c>
      <c r="K191" s="70" t="e">
        <f t="shared" ca="1" si="0"/>
        <v>#N/A</v>
      </c>
      <c r="L191" s="70"/>
      <c r="M191" s="70">
        <f t="shared" ca="1" si="1"/>
        <v>48</v>
      </c>
      <c r="N191" s="129" t="s">
        <v>551</v>
      </c>
      <c r="O191" s="70" t="b">
        <f t="shared" ca="1" si="2"/>
        <v>1</v>
      </c>
      <c r="P191" s="70"/>
      <c r="Q191" s="70" t="str">
        <f t="shared" ca="1" si="3"/>
        <v>CommonInterface-TransactionMapping-20181130-v2</v>
      </c>
      <c r="R191" s="20">
        <f t="shared" ca="1" si="4"/>
        <v>43449</v>
      </c>
      <c r="S191" s="5" t="str">
        <f t="shared" ca="1" si="5"/>
        <v>Initial Mapping</v>
      </c>
      <c r="T191" s="70" t="s">
        <v>244</v>
      </c>
      <c r="U191" s="20">
        <v>43535</v>
      </c>
      <c r="V191" s="70" t="s">
        <v>245</v>
      </c>
    </row>
    <row r="192" spans="1:22" ht="12.75" customHeight="1">
      <c r="A192" s="70" t="s">
        <v>130</v>
      </c>
      <c r="B192" s="56" t="s">
        <v>59</v>
      </c>
      <c r="C192" s="56" t="s">
        <v>146</v>
      </c>
      <c r="D192" s="56" t="s">
        <v>432</v>
      </c>
      <c r="E192" s="56" t="s">
        <v>243</v>
      </c>
      <c r="F192" s="56">
        <v>113</v>
      </c>
      <c r="G192" s="70" t="str">
        <f>VLOOKUP(C192,'4. TRANSACTIONS'!F:T,15,FALSE)</f>
        <v>Is a Buy, Sell, Buy to Cover or Cover Short Transaction. (1 or 0 are accepted values.)</v>
      </c>
      <c r="H192" s="20">
        <v>43538</v>
      </c>
      <c r="I192" s="70" t="e">
        <v>#N/A</v>
      </c>
      <c r="J192" s="70" t="str">
        <f t="shared" ca="1" si="6"/>
        <v>is_a_trade</v>
      </c>
      <c r="K192" s="70" t="e">
        <f t="shared" ca="1" si="0"/>
        <v>#N/A</v>
      </c>
      <c r="L192" s="70"/>
      <c r="M192" s="70">
        <f t="shared" ca="1" si="1"/>
        <v>49</v>
      </c>
      <c r="N192" s="129" t="s">
        <v>552</v>
      </c>
      <c r="O192" s="70" t="b">
        <f t="shared" ca="1" si="2"/>
        <v>1</v>
      </c>
      <c r="P192" s="70"/>
      <c r="Q192" s="70" t="str">
        <f t="shared" ca="1" si="3"/>
        <v>CommonInterface-TransactionMapping-20181130-v2</v>
      </c>
      <c r="R192" s="20">
        <f t="shared" ca="1" si="4"/>
        <v>43449</v>
      </c>
      <c r="S192" s="5" t="str">
        <f t="shared" ca="1" si="5"/>
        <v>Initial Mapping</v>
      </c>
      <c r="T192" s="70" t="s">
        <v>244</v>
      </c>
      <c r="U192" s="20">
        <v>43535</v>
      </c>
      <c r="V192" s="70" t="s">
        <v>245</v>
      </c>
    </row>
    <row r="193" spans="1:22" ht="12.75" customHeight="1">
      <c r="A193" s="70" t="s">
        <v>130</v>
      </c>
      <c r="B193" s="56" t="s">
        <v>59</v>
      </c>
      <c r="C193" s="56" t="s">
        <v>128</v>
      </c>
      <c r="D193" s="56" t="s">
        <v>432</v>
      </c>
      <c r="E193" s="56" t="s">
        <v>243</v>
      </c>
      <c r="F193" s="56">
        <v>77</v>
      </c>
      <c r="G193" s="70" t="str">
        <f>VLOOKUP(C193,'4. TRANSACTIONS'!F:T,15,FALSE)</f>
        <v>"L" or "S": Transaciton is Long or Short</v>
      </c>
      <c r="H193" s="20">
        <v>43538</v>
      </c>
      <c r="I193" s="70" t="e">
        <v>#N/A</v>
      </c>
      <c r="J193" s="70" t="str">
        <f t="shared" ca="1" si="6"/>
        <v>long_short_indicator</v>
      </c>
      <c r="K193" s="70" t="e">
        <f t="shared" ca="1" si="0"/>
        <v>#N/A</v>
      </c>
      <c r="L193" s="70"/>
      <c r="M193" s="70">
        <f t="shared" ca="1" si="1"/>
        <v>50</v>
      </c>
      <c r="N193" s="129" t="s">
        <v>553</v>
      </c>
      <c r="O193" s="70" t="b">
        <f t="shared" ca="1" si="2"/>
        <v>1</v>
      </c>
      <c r="P193" s="70"/>
      <c r="Q193" s="70" t="str">
        <f t="shared" ca="1" si="3"/>
        <v>CommonInterface-TransactionMapping-20181130-v2</v>
      </c>
      <c r="R193" s="20">
        <f t="shared" ca="1" si="4"/>
        <v>43449</v>
      </c>
      <c r="S193" s="5" t="str">
        <f t="shared" ca="1" si="5"/>
        <v>Initial Mapping</v>
      </c>
      <c r="T193" s="70" t="s">
        <v>244</v>
      </c>
      <c r="U193" s="20">
        <v>43535</v>
      </c>
      <c r="V193" s="70" t="s">
        <v>245</v>
      </c>
    </row>
    <row r="194" spans="1:22" ht="12.75" customHeight="1">
      <c r="A194" s="70" t="s">
        <v>130</v>
      </c>
      <c r="B194" s="56" t="s">
        <v>55</v>
      </c>
      <c r="C194" s="56" t="s">
        <v>554</v>
      </c>
      <c r="D194" s="56" t="s">
        <v>247</v>
      </c>
      <c r="E194" s="56" t="s">
        <v>243</v>
      </c>
      <c r="F194" s="56">
        <v>48</v>
      </c>
      <c r="G194" s="70" t="str">
        <f>VLOOKUP(C194,'4. TRANSACTIONS'!F:T,15,FALSE)</f>
        <v>Lot Relief method for closing the current lot</v>
      </c>
      <c r="H194" s="20">
        <v>43538</v>
      </c>
      <c r="I194" s="70" t="e">
        <v>#N/A</v>
      </c>
      <c r="J194" s="70" t="str">
        <f t="shared" ca="1" si="6"/>
        <v>accounting_method</v>
      </c>
      <c r="K194" s="70" t="e">
        <f t="shared" ca="1" si="0"/>
        <v>#N/A</v>
      </c>
      <c r="L194" s="70"/>
      <c r="M194" s="70">
        <f t="shared" ca="1" si="1"/>
        <v>51</v>
      </c>
      <c r="N194" s="129" t="s">
        <v>555</v>
      </c>
      <c r="O194" s="70" t="b">
        <f t="shared" ca="1" si="2"/>
        <v>1</v>
      </c>
      <c r="P194" s="70"/>
      <c r="Q194" s="70" t="str">
        <f t="shared" ca="1" si="3"/>
        <v>CommonInterface-TransactionMapping-20181130-v2</v>
      </c>
      <c r="R194" s="20">
        <f t="shared" ca="1" si="4"/>
        <v>43449</v>
      </c>
      <c r="S194" s="5" t="str">
        <f t="shared" ca="1" si="5"/>
        <v>Initial Mapping</v>
      </c>
      <c r="T194" s="70" t="s">
        <v>244</v>
      </c>
      <c r="U194" s="20">
        <v>43535</v>
      </c>
      <c r="V194" s="70" t="s">
        <v>245</v>
      </c>
    </row>
    <row r="195" spans="1:22" ht="12.75" customHeight="1">
      <c r="A195" s="70" t="s">
        <v>130</v>
      </c>
      <c r="B195" s="56" t="s">
        <v>55</v>
      </c>
      <c r="C195" s="56" t="s">
        <v>556</v>
      </c>
      <c r="D195" s="56" t="s">
        <v>346</v>
      </c>
      <c r="E195" s="56" t="s">
        <v>243</v>
      </c>
      <c r="F195" s="56">
        <v>71</v>
      </c>
      <c r="G195" s="70" t="str">
        <f>VLOOKUP(C195,'4. TRANSACTIONS'!F:T,15,FALSE)</f>
        <v>Ledger Account Type Code</v>
      </c>
      <c r="H195" s="20">
        <v>43538</v>
      </c>
      <c r="I195" s="70" t="e">
        <v>#N/A</v>
      </c>
      <c r="J195" s="70" t="str">
        <f t="shared" ca="1" si="6"/>
        <v>acct_type</v>
      </c>
      <c r="K195" s="70" t="e">
        <f t="shared" ca="1" si="0"/>
        <v>#N/A</v>
      </c>
      <c r="L195" s="70"/>
      <c r="M195" s="70">
        <f t="shared" ca="1" si="1"/>
        <v>52</v>
      </c>
      <c r="N195" s="129" t="s">
        <v>557</v>
      </c>
      <c r="O195" s="70" t="b">
        <f t="shared" ca="1" si="2"/>
        <v>1</v>
      </c>
      <c r="P195" s="70"/>
      <c r="Q195" s="70" t="str">
        <f t="shared" ca="1" si="3"/>
        <v>CommonInterface-TransactionMapping-20181130-v2</v>
      </c>
      <c r="R195" s="20">
        <f t="shared" ca="1" si="4"/>
        <v>43449</v>
      </c>
      <c r="S195" s="5" t="str">
        <f t="shared" ca="1" si="5"/>
        <v>Initial Mapping</v>
      </c>
      <c r="T195" s="70" t="s">
        <v>244</v>
      </c>
      <c r="U195" s="20">
        <v>43535</v>
      </c>
      <c r="V195" s="70" t="s">
        <v>245</v>
      </c>
    </row>
    <row r="196" spans="1:22" ht="12.75" customHeight="1">
      <c r="A196" s="70" t="s">
        <v>130</v>
      </c>
      <c r="B196" s="56" t="s">
        <v>55</v>
      </c>
      <c r="C196" s="56" t="s">
        <v>558</v>
      </c>
      <c r="D196" s="56" t="s">
        <v>346</v>
      </c>
      <c r="E196" s="56" t="s">
        <v>243</v>
      </c>
      <c r="F196" s="56">
        <v>66</v>
      </c>
      <c r="G196" s="70" t="str">
        <f>VLOOKUP(C196,'4. TRANSACTIONS'!F:T,15,FALSE)</f>
        <v>Ledger Account Book Type</v>
      </c>
      <c r="H196" s="20">
        <v>43538</v>
      </c>
      <c r="I196" s="70" t="e">
        <v>#N/A</v>
      </c>
      <c r="J196" s="70" t="str">
        <f t="shared" ca="1" si="6"/>
        <v>acct_type_desc</v>
      </c>
      <c r="K196" s="70" t="e">
        <f t="shared" ca="1" si="0"/>
        <v>#N/A</v>
      </c>
      <c r="L196" s="70"/>
      <c r="M196" s="70">
        <f t="shared" ca="1" si="1"/>
        <v>53</v>
      </c>
      <c r="N196" s="129" t="s">
        <v>559</v>
      </c>
      <c r="O196" s="70" t="b">
        <f t="shared" ca="1" si="2"/>
        <v>1</v>
      </c>
      <c r="P196" s="70"/>
      <c r="Q196" s="70" t="str">
        <f t="shared" ca="1" si="3"/>
        <v>CommonInterface-TransactionMapping-20181130-v2</v>
      </c>
      <c r="R196" s="20">
        <f t="shared" ca="1" si="4"/>
        <v>43449</v>
      </c>
      <c r="S196" s="5" t="str">
        <f t="shared" ca="1" si="5"/>
        <v>Initial Mapping</v>
      </c>
      <c r="T196" s="70" t="s">
        <v>244</v>
      </c>
      <c r="U196" s="20">
        <v>43535</v>
      </c>
      <c r="V196" s="70" t="s">
        <v>245</v>
      </c>
    </row>
    <row r="197" spans="1:22" ht="12.75" customHeight="1">
      <c r="A197" s="70" t="s">
        <v>130</v>
      </c>
      <c r="B197" s="56" t="s">
        <v>61</v>
      </c>
      <c r="C197" s="56" t="s">
        <v>148</v>
      </c>
      <c r="D197" s="56" t="s">
        <v>255</v>
      </c>
      <c r="E197" s="56" t="s">
        <v>243</v>
      </c>
      <c r="F197" s="56">
        <v>123</v>
      </c>
      <c r="G197" s="70" t="str">
        <f>VLOOKUP(C197,'4. TRANSACTIONS'!F:T,15,FALSE)</f>
        <v>Trade Date</v>
      </c>
      <c r="H197" s="20">
        <v>43538</v>
      </c>
      <c r="I197" s="70" t="e">
        <v>#N/A</v>
      </c>
      <c r="J197" s="70" t="str">
        <f t="shared" ca="1" si="6"/>
        <v>trd_date</v>
      </c>
      <c r="K197" s="70" t="e">
        <f t="shared" ca="1" si="0"/>
        <v>#N/A</v>
      </c>
      <c r="L197" s="70"/>
      <c r="M197" s="70">
        <f t="shared" ca="1" si="1"/>
        <v>54</v>
      </c>
      <c r="N197" s="129" t="s">
        <v>384</v>
      </c>
      <c r="O197" s="70" t="b">
        <f t="shared" ca="1" si="2"/>
        <v>1</v>
      </c>
      <c r="P197" s="70"/>
      <c r="Q197" s="70" t="str">
        <f t="shared" ca="1" si="3"/>
        <v>CommonInterface-TransactionMapping-20181130-v2</v>
      </c>
      <c r="R197" s="20">
        <f t="shared" ca="1" si="4"/>
        <v>43449</v>
      </c>
      <c r="S197" s="5" t="str">
        <f t="shared" ca="1" si="5"/>
        <v>Initial Mapping</v>
      </c>
      <c r="T197" s="70" t="s">
        <v>244</v>
      </c>
      <c r="U197" s="20">
        <v>43535</v>
      </c>
      <c r="V197" s="70" t="s">
        <v>245</v>
      </c>
    </row>
    <row r="198" spans="1:22" ht="12.75" customHeight="1">
      <c r="A198" s="70" t="s">
        <v>130</v>
      </c>
      <c r="B198" s="56" t="s">
        <v>55</v>
      </c>
      <c r="C198" s="56" t="s">
        <v>560</v>
      </c>
      <c r="D198" s="56" t="s">
        <v>255</v>
      </c>
      <c r="E198" s="56" t="s">
        <v>243</v>
      </c>
      <c r="F198" s="56">
        <v>3</v>
      </c>
      <c r="G198" s="70" t="str">
        <f>VLOOKUP(C198,'4. TRANSACTIONS'!F:T,15,FALSE)</f>
        <v>Settlement Date (updated post settlement date to reflect actual date)</v>
      </c>
      <c r="H198" s="20">
        <v>43538</v>
      </c>
      <c r="I198" s="70" t="e">
        <v>#N/A</v>
      </c>
      <c r="J198" s="70" t="str">
        <f t="shared" ca="1" si="6"/>
        <v>stl_date</v>
      </c>
      <c r="K198" s="70" t="e">
        <f t="shared" ca="1" si="0"/>
        <v>#N/A</v>
      </c>
      <c r="L198" s="70"/>
      <c r="M198" s="70">
        <f t="shared" ca="1" si="1"/>
        <v>55</v>
      </c>
      <c r="N198" s="129" t="s">
        <v>561</v>
      </c>
      <c r="O198" s="70" t="b">
        <f t="shared" ca="1" si="2"/>
        <v>1</v>
      </c>
      <c r="P198" s="70"/>
      <c r="Q198" s="70" t="str">
        <f t="shared" ca="1" si="3"/>
        <v>CommonInterface-TransactionMapping-20181130-v2</v>
      </c>
      <c r="R198" s="20">
        <f t="shared" ca="1" si="4"/>
        <v>43449</v>
      </c>
      <c r="S198" s="5" t="str">
        <f t="shared" ca="1" si="5"/>
        <v>Initial Mapping</v>
      </c>
      <c r="T198" s="70" t="s">
        <v>244</v>
      </c>
      <c r="U198" s="20">
        <v>43535</v>
      </c>
      <c r="V198" s="70" t="s">
        <v>245</v>
      </c>
    </row>
    <row r="199" spans="1:22" ht="12.75" customHeight="1">
      <c r="A199" s="70" t="s">
        <v>130</v>
      </c>
      <c r="B199" s="56" t="s">
        <v>61</v>
      </c>
      <c r="C199" s="56" t="s">
        <v>136</v>
      </c>
      <c r="D199" s="56" t="s">
        <v>255</v>
      </c>
      <c r="E199" s="56" t="s">
        <v>243</v>
      </c>
      <c r="F199" s="56">
        <v>60</v>
      </c>
      <c r="G199" s="70" t="str">
        <f>VLOOKUP(C199,'4. TRANSACTIONS'!F:T,15,FALSE)</f>
        <v>Knowledge Date</v>
      </c>
      <c r="H199" s="20">
        <v>43538</v>
      </c>
      <c r="I199" s="70" t="e">
        <v>#N/A</v>
      </c>
      <c r="J199" s="70" t="str">
        <f t="shared" ca="1" si="6"/>
        <v>eff_date</v>
      </c>
      <c r="K199" s="70" t="e">
        <f t="shared" ca="1" si="0"/>
        <v>#N/A</v>
      </c>
      <c r="L199" s="70"/>
      <c r="M199" s="70">
        <f t="shared" ca="1" si="1"/>
        <v>56</v>
      </c>
      <c r="N199" s="129" t="s">
        <v>562</v>
      </c>
      <c r="O199" s="70" t="b">
        <f t="shared" ca="1" si="2"/>
        <v>1</v>
      </c>
      <c r="P199" s="70"/>
      <c r="Q199" s="70" t="str">
        <f t="shared" ca="1" si="3"/>
        <v>CommonInterface-TransactionMapping-20181130-v2</v>
      </c>
      <c r="R199" s="20">
        <f t="shared" ca="1" si="4"/>
        <v>43449</v>
      </c>
      <c r="S199" s="5" t="str">
        <f t="shared" ca="1" si="5"/>
        <v>Initial Mapping</v>
      </c>
      <c r="T199" s="70" t="s">
        <v>244</v>
      </c>
      <c r="U199" s="20">
        <v>43535</v>
      </c>
      <c r="V199" s="70" t="s">
        <v>245</v>
      </c>
    </row>
    <row r="200" spans="1:22" ht="12.75" customHeight="1">
      <c r="A200" s="70" t="s">
        <v>130</v>
      </c>
      <c r="B200" s="56" t="s">
        <v>55</v>
      </c>
      <c r="C200" s="56" t="s">
        <v>563</v>
      </c>
      <c r="D200" s="56" t="s">
        <v>346</v>
      </c>
      <c r="E200" s="56" t="s">
        <v>243</v>
      </c>
      <c r="F200" s="56">
        <v>56</v>
      </c>
      <c r="G200" s="70" t="str">
        <f>VLOOKUP(C200,'4. TRANSACTIONS'!F:T,15,FALSE)</f>
        <v>Date of the Reversal or AS OF Adjustment to a transaction</v>
      </c>
      <c r="H200" s="20">
        <v>43538</v>
      </c>
      <c r="I200" s="70" t="e">
        <v>#N/A</v>
      </c>
      <c r="J200" s="70" t="str">
        <f t="shared" ca="1" si="6"/>
        <v>asof_date</v>
      </c>
      <c r="K200" s="70" t="e">
        <f t="shared" ca="1" si="0"/>
        <v>#N/A</v>
      </c>
      <c r="L200" s="70"/>
      <c r="M200" s="70">
        <f t="shared" ca="1" si="1"/>
        <v>57</v>
      </c>
      <c r="N200" s="129" t="s">
        <v>564</v>
      </c>
      <c r="O200" s="70" t="b">
        <f t="shared" ca="1" si="2"/>
        <v>0</v>
      </c>
      <c r="P200" s="70"/>
      <c r="Q200" s="70" t="str">
        <f t="shared" ca="1" si="3"/>
        <v>Common Interface NB v0.6</v>
      </c>
      <c r="R200" s="20">
        <f t="shared" ca="1" si="4"/>
        <v>43173</v>
      </c>
      <c r="S200" s="70" t="str">
        <f t="shared" ca="1" si="5"/>
        <v xml:space="preserve">3/12 - NB updated CI doc to match was in original Doc + IC ETL </v>
      </c>
      <c r="T200" s="70" t="s">
        <v>244</v>
      </c>
      <c r="U200" s="20">
        <v>43536</v>
      </c>
      <c r="V200" s="70" t="s">
        <v>512</v>
      </c>
    </row>
    <row r="201" spans="1:22" ht="12.75" customHeight="1">
      <c r="A201" s="70" t="s">
        <v>130</v>
      </c>
      <c r="B201" s="56" t="s">
        <v>55</v>
      </c>
      <c r="C201" s="56" t="s">
        <v>565</v>
      </c>
      <c r="D201" s="56" t="s">
        <v>255</v>
      </c>
      <c r="E201" s="56" t="s">
        <v>243</v>
      </c>
      <c r="F201" s="22">
        <v>189</v>
      </c>
      <c r="G201" s="24" t="str">
        <f>VLOOKUP(C201,'4. TRANSACTIONS'!F:T,15,FALSE)</f>
        <v>Transaction posting date.</v>
      </c>
      <c r="H201" s="20">
        <v>43538</v>
      </c>
      <c r="I201" s="70" t="e">
        <v>#N/A</v>
      </c>
      <c r="J201" s="70" t="str">
        <f t="shared" ca="1" si="6"/>
        <v>post_date</v>
      </c>
      <c r="K201" s="70" t="e">
        <f t="shared" ca="1" si="0"/>
        <v>#N/A</v>
      </c>
      <c r="L201" s="70"/>
      <c r="M201" s="70">
        <f t="shared" ca="1" si="1"/>
        <v>58</v>
      </c>
      <c r="N201" s="129" t="s">
        <v>566</v>
      </c>
      <c r="O201" s="70" t="b">
        <f t="shared" ca="1" si="2"/>
        <v>1</v>
      </c>
      <c r="P201" s="70"/>
      <c r="Q201" s="70" t="str">
        <f t="shared" ca="1" si="3"/>
        <v>CommonInterface-TransactionMapping-20181130-v2</v>
      </c>
      <c r="R201" s="20">
        <f t="shared" ca="1" si="4"/>
        <v>43449</v>
      </c>
      <c r="S201" s="5" t="str">
        <f t="shared" ca="1" si="5"/>
        <v>Initial Mapping</v>
      </c>
      <c r="T201" s="70" t="s">
        <v>244</v>
      </c>
      <c r="U201" s="20">
        <v>43535</v>
      </c>
      <c r="V201" s="70" t="s">
        <v>245</v>
      </c>
    </row>
    <row r="202" spans="1:22" ht="12.75" customHeight="1">
      <c r="A202" s="70" t="s">
        <v>130</v>
      </c>
      <c r="B202" s="56" t="s">
        <v>55</v>
      </c>
      <c r="C202" s="56" t="s">
        <v>567</v>
      </c>
      <c r="D202" s="56" t="s">
        <v>255</v>
      </c>
      <c r="E202" s="56" t="s">
        <v>243</v>
      </c>
      <c r="F202" s="56">
        <v>49</v>
      </c>
      <c r="G202" s="70" t="str">
        <f>VLOOKUP(C202,'4. TRANSACTIONS'!F:T,15,FALSE)</f>
        <v>Settlement Date</v>
      </c>
      <c r="H202" s="20">
        <v>43538</v>
      </c>
      <c r="I202" s="70" t="e">
        <v>#N/A</v>
      </c>
      <c r="J202" s="70" t="str">
        <f t="shared" ca="1" si="6"/>
        <v>contract_stl_date</v>
      </c>
      <c r="K202" s="70" t="e">
        <f t="shared" ca="1" si="0"/>
        <v>#N/A</v>
      </c>
      <c r="L202" s="70" t="s">
        <v>528</v>
      </c>
      <c r="M202" s="70">
        <f t="shared" ca="1" si="1"/>
        <v>59</v>
      </c>
      <c r="N202" s="129" t="s">
        <v>568</v>
      </c>
      <c r="O202" s="70" t="b">
        <f t="shared" ca="1" si="2"/>
        <v>1</v>
      </c>
      <c r="P202" s="70"/>
      <c r="Q202" s="70" t="str">
        <f t="shared" ca="1" si="3"/>
        <v>CommonInterface-TransactionMapping-20181130-v2</v>
      </c>
      <c r="R202" s="20">
        <f t="shared" ca="1" si="4"/>
        <v>43449</v>
      </c>
      <c r="S202" s="70" t="str">
        <f t="shared" ca="1" si="5"/>
        <v xml:space="preserve">3/12 - IC confirmed this was a typo on their end.  They will correct ETL to match NB. </v>
      </c>
      <c r="T202" s="70" t="s">
        <v>244</v>
      </c>
      <c r="U202" s="20">
        <v>43550</v>
      </c>
      <c r="V202" s="70" t="s">
        <v>256</v>
      </c>
    </row>
    <row r="203" spans="1:22" ht="12.75" customHeight="1">
      <c r="A203" s="70" t="s">
        <v>130</v>
      </c>
      <c r="B203" s="56" t="s">
        <v>59</v>
      </c>
      <c r="C203" s="56" t="s">
        <v>569</v>
      </c>
      <c r="D203" s="56" t="s">
        <v>255</v>
      </c>
      <c r="E203" s="56" t="s">
        <v>243</v>
      </c>
      <c r="F203" s="56">
        <v>62</v>
      </c>
      <c r="G203" s="70" t="str">
        <f>VLOOKUP(C203,'4. TRANSACTIONS'!F:T,15,FALSE)</f>
        <v>Expected Settlement date</v>
      </c>
      <c r="H203" s="20">
        <v>43538</v>
      </c>
      <c r="I203" s="70" t="e">
        <v>#N/A</v>
      </c>
      <c r="J203" s="70" t="str">
        <f t="shared" ca="1" si="6"/>
        <v>exp_stl_date</v>
      </c>
      <c r="K203" s="70" t="e">
        <f t="shared" ca="1" si="0"/>
        <v>#N/A</v>
      </c>
      <c r="L203" s="70"/>
      <c r="M203" s="70">
        <f t="shared" ca="1" si="1"/>
        <v>60</v>
      </c>
      <c r="N203" s="129" t="s">
        <v>570</v>
      </c>
      <c r="O203" s="70" t="b">
        <f t="shared" ca="1" si="2"/>
        <v>1</v>
      </c>
      <c r="P203" s="70"/>
      <c r="Q203" s="70" t="str">
        <f t="shared" ca="1" si="3"/>
        <v>CommonInterface-TransactionMapping-20181130-v2</v>
      </c>
      <c r="R203" s="20">
        <f t="shared" ca="1" si="4"/>
        <v>43449</v>
      </c>
      <c r="S203" s="5" t="str">
        <f t="shared" ca="1" si="5"/>
        <v>Initial Mapping</v>
      </c>
      <c r="T203" s="70" t="s">
        <v>244</v>
      </c>
      <c r="U203" s="20">
        <v>43535</v>
      </c>
      <c r="V203" s="70" t="s">
        <v>245</v>
      </c>
    </row>
    <row r="204" spans="1:22" ht="12.75" customHeight="1">
      <c r="A204" s="70" t="s">
        <v>130</v>
      </c>
      <c r="B204" s="56" t="s">
        <v>55</v>
      </c>
      <c r="C204" s="56" t="s">
        <v>571</v>
      </c>
      <c r="D204" s="56" t="s">
        <v>346</v>
      </c>
      <c r="E204" s="56" t="s">
        <v>243</v>
      </c>
      <c r="F204" s="56">
        <v>105</v>
      </c>
      <c r="G204" s="70" t="str">
        <f>VLOOKUP(C204,'4. TRANSACTIONS'!F:T,15,FALSE)</f>
        <v>Knowledge Date of Reversal</v>
      </c>
      <c r="H204" s="20">
        <v>43538</v>
      </c>
      <c r="I204" s="70" t="e">
        <v>#N/A</v>
      </c>
      <c r="J204" s="70" t="str">
        <f t="shared" ca="1" si="6"/>
        <v>rev_date</v>
      </c>
      <c r="K204" s="70" t="e">
        <f t="shared" ca="1" si="0"/>
        <v>#N/A</v>
      </c>
      <c r="L204" s="70"/>
      <c r="M204" s="70">
        <f t="shared" ca="1" si="1"/>
        <v>61</v>
      </c>
      <c r="N204" s="129" t="s">
        <v>572</v>
      </c>
      <c r="O204" s="70" t="b">
        <f t="shared" ca="1" si="2"/>
        <v>1</v>
      </c>
      <c r="P204" s="70"/>
      <c r="Q204" s="70" t="str">
        <f t="shared" ca="1" si="3"/>
        <v>CommonInterface-TransactionMapping-20181130-v2</v>
      </c>
      <c r="R204" s="20">
        <f t="shared" ca="1" si="4"/>
        <v>43449</v>
      </c>
      <c r="S204" s="5" t="str">
        <f t="shared" ca="1" si="5"/>
        <v>Initial Mapping</v>
      </c>
      <c r="T204" s="70" t="s">
        <v>244</v>
      </c>
      <c r="U204" s="20">
        <v>43535</v>
      </c>
      <c r="V204" s="70" t="s">
        <v>245</v>
      </c>
    </row>
    <row r="205" spans="1:22" ht="12.75" customHeight="1">
      <c r="A205" s="70" t="s">
        <v>130</v>
      </c>
      <c r="B205" s="56" t="s">
        <v>59</v>
      </c>
      <c r="C205" s="56" t="s">
        <v>573</v>
      </c>
      <c r="D205" s="56" t="s">
        <v>255</v>
      </c>
      <c r="E205" s="56" t="s">
        <v>243</v>
      </c>
      <c r="F205" s="56">
        <v>99</v>
      </c>
      <c r="G205" s="70" t="str">
        <f>VLOOKUP(C205,'4. TRANSACTIONS'!F:T,15,FALSE)</f>
        <v>Trade date when the tax lot was purchased</v>
      </c>
      <c r="H205" s="20">
        <v>43538</v>
      </c>
      <c r="I205" s="70" t="e">
        <v>#N/A</v>
      </c>
      <c r="J205" s="70" t="str">
        <f t="shared" ca="1" si="6"/>
        <v>open_trd_date</v>
      </c>
      <c r="K205" s="70" t="e">
        <f t="shared" ca="1" si="0"/>
        <v>#N/A</v>
      </c>
      <c r="L205" s="70"/>
      <c r="M205" s="70">
        <f t="shared" ca="1" si="1"/>
        <v>62</v>
      </c>
      <c r="N205" s="129" t="s">
        <v>574</v>
      </c>
      <c r="O205" s="70" t="b">
        <f t="shared" ca="1" si="2"/>
        <v>1</v>
      </c>
      <c r="P205" s="70"/>
      <c r="Q205" s="70" t="str">
        <f t="shared" ca="1" si="3"/>
        <v>Common Interface NB v0.9</v>
      </c>
      <c r="R205" s="20">
        <f t="shared" ca="1" si="4"/>
        <v>43550</v>
      </c>
      <c r="S205" s="5" t="str">
        <f t="shared" ca="1" si="5"/>
        <v>No impact to IC (updated Comments only to update NB rules based on feedback from J Nichols)</v>
      </c>
      <c r="T205" s="70" t="s">
        <v>244</v>
      </c>
      <c r="U205" s="20">
        <v>43535</v>
      </c>
      <c r="V205" s="70" t="s">
        <v>245</v>
      </c>
    </row>
    <row r="206" spans="1:22" ht="12.75" customHeight="1">
      <c r="A206" s="70" t="s">
        <v>130</v>
      </c>
      <c r="B206" s="56" t="s">
        <v>55</v>
      </c>
      <c r="C206" s="56" t="s">
        <v>575</v>
      </c>
      <c r="D206" s="56" t="s">
        <v>255</v>
      </c>
      <c r="E206" s="56" t="s">
        <v>243</v>
      </c>
      <c r="F206" s="22">
        <v>187</v>
      </c>
      <c r="G206" s="24" t="str">
        <f>VLOOKUP(C206,'4. TRANSACTIONS'!F:T,15,FALSE)</f>
        <v>Ex-dvidend date.</v>
      </c>
      <c r="H206" s="20">
        <v>43538</v>
      </c>
      <c r="I206" s="70" t="e">
        <v>#N/A</v>
      </c>
      <c r="J206" s="70" t="str">
        <f t="shared" ca="1" si="6"/>
        <v>ex_date</v>
      </c>
      <c r="K206" s="70" t="e">
        <f t="shared" ca="1" si="0"/>
        <v>#N/A</v>
      </c>
      <c r="L206" s="70"/>
      <c r="M206" s="70">
        <f t="shared" ca="1" si="1"/>
        <v>63</v>
      </c>
      <c r="N206" s="129" t="s">
        <v>576</v>
      </c>
      <c r="O206" s="70" t="b">
        <f t="shared" ca="1" si="2"/>
        <v>1</v>
      </c>
      <c r="P206" s="70"/>
      <c r="Q206" s="70" t="str">
        <f t="shared" ca="1" si="3"/>
        <v>CommonInterface-TransactionMapping-20181130-v2</v>
      </c>
      <c r="R206" s="20">
        <f t="shared" ca="1" si="4"/>
        <v>43449</v>
      </c>
      <c r="S206" s="5" t="str">
        <f t="shared" ca="1" si="5"/>
        <v>Initial Mapping</v>
      </c>
      <c r="T206" s="70" t="s">
        <v>244</v>
      </c>
      <c r="U206" s="20">
        <v>43535</v>
      </c>
      <c r="V206" s="70" t="s">
        <v>245</v>
      </c>
    </row>
    <row r="207" spans="1:22" ht="12.75" customHeight="1">
      <c r="A207" s="70" t="s">
        <v>130</v>
      </c>
      <c r="B207" s="56" t="s">
        <v>55</v>
      </c>
      <c r="C207" s="56" t="s">
        <v>577</v>
      </c>
      <c r="D207" s="56" t="s">
        <v>255</v>
      </c>
      <c r="E207" s="56" t="s">
        <v>243</v>
      </c>
      <c r="F207" s="22">
        <v>188</v>
      </c>
      <c r="G207" s="24" t="str">
        <f>VLOOKUP(C207,'4. TRANSACTIONS'!F:T,15,FALSE)</f>
        <v>Payable date, applicable to dividends, interest, principal paydowns and principal payment at maturity.</v>
      </c>
      <c r="H207" s="20">
        <v>43538</v>
      </c>
      <c r="I207" s="70" t="e">
        <v>#N/A</v>
      </c>
      <c r="J207" s="70" t="str">
        <f t="shared" ca="1" si="6"/>
        <v>pay_date</v>
      </c>
      <c r="K207" s="70" t="e">
        <f t="shared" ca="1" si="0"/>
        <v>#N/A</v>
      </c>
      <c r="L207" s="70"/>
      <c r="M207" s="70">
        <f t="shared" ca="1" si="1"/>
        <v>64</v>
      </c>
      <c r="N207" s="129" t="s">
        <v>578</v>
      </c>
      <c r="O207" s="70" t="b">
        <f t="shared" ca="1" si="2"/>
        <v>1</v>
      </c>
      <c r="P207" s="70"/>
      <c r="Q207" s="70" t="str">
        <f t="shared" ca="1" si="3"/>
        <v>CommonInterface-TransactionMapping-20181130-v2</v>
      </c>
      <c r="R207" s="20">
        <f t="shared" ca="1" si="4"/>
        <v>43449</v>
      </c>
      <c r="S207" s="5" t="str">
        <f t="shared" ca="1" si="5"/>
        <v>Initial Mapping</v>
      </c>
      <c r="T207" s="70" t="s">
        <v>244</v>
      </c>
      <c r="U207" s="20">
        <v>43535</v>
      </c>
      <c r="V207" s="70" t="s">
        <v>245</v>
      </c>
    </row>
    <row r="208" spans="1:22" ht="12.75" customHeight="1">
      <c r="A208" s="70" t="s">
        <v>130</v>
      </c>
      <c r="B208" s="56" t="s">
        <v>55</v>
      </c>
      <c r="C208" s="56" t="s">
        <v>579</v>
      </c>
      <c r="D208" s="56" t="s">
        <v>329</v>
      </c>
      <c r="E208" s="56" t="s">
        <v>243</v>
      </c>
      <c r="F208" s="22">
        <v>177</v>
      </c>
      <c r="G208" s="24" t="str">
        <f>VLOOKUP(C208,'4. TRANSACTIONS'!F:T,15,FALSE)</f>
        <v>Dividend payment rate</v>
      </c>
      <c r="H208" s="20">
        <v>43538</v>
      </c>
      <c r="I208" s="70" t="e">
        <v>#N/A</v>
      </c>
      <c r="J208" s="70" t="str">
        <f t="shared" ca="1" si="6"/>
        <v>div_rate</v>
      </c>
      <c r="K208" s="70" t="e">
        <f t="shared" ca="1" si="0"/>
        <v>#N/A</v>
      </c>
      <c r="L208" s="70"/>
      <c r="M208" s="70">
        <f t="shared" ca="1" si="1"/>
        <v>65</v>
      </c>
      <c r="N208" s="129" t="s">
        <v>580</v>
      </c>
      <c r="O208" s="70" t="b">
        <f t="shared" ca="1" si="2"/>
        <v>1</v>
      </c>
      <c r="P208" s="70"/>
      <c r="Q208" s="70" t="str">
        <f t="shared" ca="1" si="3"/>
        <v>CommonInterface-TransactionMapping-20181130-v2</v>
      </c>
      <c r="R208" s="20">
        <f t="shared" ca="1" si="4"/>
        <v>43449</v>
      </c>
      <c r="S208" s="5" t="str">
        <f t="shared" ca="1" si="5"/>
        <v>Initial Mapping</v>
      </c>
      <c r="T208" s="70" t="s">
        <v>244</v>
      </c>
      <c r="U208" s="20">
        <v>43535</v>
      </c>
      <c r="V208" s="70" t="s">
        <v>245</v>
      </c>
    </row>
    <row r="209" spans="1:22" ht="12.75" customHeight="1">
      <c r="A209" s="70" t="s">
        <v>130</v>
      </c>
      <c r="B209" s="56" t="s">
        <v>55</v>
      </c>
      <c r="C209" s="56" t="s">
        <v>581</v>
      </c>
      <c r="D209" s="56" t="s">
        <v>250</v>
      </c>
      <c r="E209" s="56" t="s">
        <v>243</v>
      </c>
      <c r="F209" s="56">
        <v>47</v>
      </c>
      <c r="G209" s="70" t="str">
        <f>VLOOKUP(C209,'4. TRANSACTIONS'!F:T,15,FALSE)</f>
        <v>Cash Instrument ID if affected by the transaction and is not in instr_id</v>
      </c>
      <c r="H209" s="20">
        <v>43538</v>
      </c>
      <c r="I209" s="70" t="e">
        <v>#N/A</v>
      </c>
      <c r="J209" s="70" t="str">
        <f t="shared" ca="1" si="6"/>
        <v>curr_id</v>
      </c>
      <c r="K209" s="70" t="e">
        <f t="shared" ca="1" si="0"/>
        <v>#N/A</v>
      </c>
      <c r="L209" s="70"/>
      <c r="M209" s="70">
        <f t="shared" ca="1" si="1"/>
        <v>66</v>
      </c>
      <c r="N209" s="129" t="s">
        <v>582</v>
      </c>
      <c r="O209" s="70" t="b">
        <f t="shared" ca="1" si="2"/>
        <v>1</v>
      </c>
      <c r="P209" s="70"/>
      <c r="Q209" s="70" t="str">
        <f t="shared" ca="1" si="3"/>
        <v>CommonInterface-TransactionMapping-20181130-v2</v>
      </c>
      <c r="R209" s="20">
        <f t="shared" ca="1" si="4"/>
        <v>43449</v>
      </c>
      <c r="S209" s="5" t="str">
        <f t="shared" ca="1" si="5"/>
        <v>Initial Mapping</v>
      </c>
      <c r="T209" s="70" t="s">
        <v>244</v>
      </c>
      <c r="U209" s="20">
        <v>43535</v>
      </c>
      <c r="V209" s="70" t="s">
        <v>245</v>
      </c>
    </row>
    <row r="210" spans="1:22" ht="12.75" customHeight="1">
      <c r="A210" s="70" t="s">
        <v>130</v>
      </c>
      <c r="B210" s="56" t="s">
        <v>59</v>
      </c>
      <c r="C210" s="56" t="s">
        <v>145</v>
      </c>
      <c r="D210" s="56" t="s">
        <v>250</v>
      </c>
      <c r="E210" s="56" t="s">
        <v>243</v>
      </c>
      <c r="F210" s="56">
        <v>110</v>
      </c>
      <c r="G210" s="70" t="str">
        <f>VLOOKUP(C210,'4. TRANSACTIONS'!F:T,15,FALSE)</f>
        <v>Payable/Receivable Instrument ID if affected by the transaction and is not in instr_id</v>
      </c>
      <c r="H210" s="20">
        <v>43538</v>
      </c>
      <c r="I210" s="70" t="e">
        <v>#N/A</v>
      </c>
      <c r="J210" s="70" t="str">
        <f t="shared" ca="1" si="6"/>
        <v>stl_curr_id</v>
      </c>
      <c r="K210" s="70" t="e">
        <f t="shared" ca="1" si="0"/>
        <v>#N/A</v>
      </c>
      <c r="L210" s="70"/>
      <c r="M210" s="70">
        <f t="shared" ca="1" si="1"/>
        <v>67</v>
      </c>
      <c r="N210" s="129" t="s">
        <v>583</v>
      </c>
      <c r="O210" s="70" t="b">
        <f t="shared" ca="1" si="2"/>
        <v>1</v>
      </c>
      <c r="P210" s="70"/>
      <c r="Q210" s="70" t="str">
        <f t="shared" ca="1" si="3"/>
        <v>CommonInterface-TransactionMapping-20181130-v2</v>
      </c>
      <c r="R210" s="20">
        <f t="shared" ca="1" si="4"/>
        <v>43449</v>
      </c>
      <c r="S210" s="5" t="str">
        <f t="shared" ca="1" si="5"/>
        <v>Initial Mapping</v>
      </c>
      <c r="T210" s="70" t="s">
        <v>244</v>
      </c>
      <c r="U210" s="20">
        <v>43535</v>
      </c>
      <c r="V210" s="70" t="s">
        <v>245</v>
      </c>
    </row>
    <row r="211" spans="1:22" ht="12.75" customHeight="1">
      <c r="A211" s="70" t="s">
        <v>130</v>
      </c>
      <c r="B211" s="56" t="s">
        <v>55</v>
      </c>
      <c r="C211" s="56" t="s">
        <v>584</v>
      </c>
      <c r="D211" s="56" t="s">
        <v>242</v>
      </c>
      <c r="E211" s="56" t="s">
        <v>243</v>
      </c>
      <c r="F211" s="56">
        <v>43</v>
      </c>
      <c r="G211" s="70" t="str">
        <f>VLOOKUP(C211,'4. TRANSACTIONS'!F:T,15,FALSE)</f>
        <v>Broker name 2 (long)</v>
      </c>
      <c r="H211" s="20">
        <v>43538</v>
      </c>
      <c r="I211" s="70" t="e">
        <v>#N/A</v>
      </c>
      <c r="J211" s="70" t="str">
        <f t="shared" ca="1" si="6"/>
        <v>executing broker</v>
      </c>
      <c r="K211" s="70" t="e">
        <f t="shared" ca="1" si="0"/>
        <v>#N/A</v>
      </c>
      <c r="L211" s="70"/>
      <c r="M211" s="70">
        <f t="shared" ca="1" si="1"/>
        <v>68</v>
      </c>
      <c r="N211" s="129" t="s">
        <v>585</v>
      </c>
      <c r="O211" s="70" t="b">
        <f t="shared" ca="1" si="2"/>
        <v>0</v>
      </c>
      <c r="P211" s="70"/>
      <c r="Q211" s="70" t="str">
        <f t="shared" ca="1" si="3"/>
        <v>Common Interface NB v0.6</v>
      </c>
      <c r="R211" s="20">
        <f t="shared" ca="1" si="4"/>
        <v>43173</v>
      </c>
      <c r="S211" s="70" t="str">
        <f t="shared" ca="1" si="5"/>
        <v xml:space="preserve">3/12 - NB updated CI doc to match was in original Doc + IC ETL </v>
      </c>
      <c r="T211" s="70" t="s">
        <v>244</v>
      </c>
      <c r="U211" s="20">
        <v>43536</v>
      </c>
      <c r="V211" s="70" t="s">
        <v>512</v>
      </c>
    </row>
    <row r="212" spans="1:22" ht="12.75" customHeight="1">
      <c r="A212" s="70" t="s">
        <v>130</v>
      </c>
      <c r="B212" s="56" t="s">
        <v>59</v>
      </c>
      <c r="C212" s="56" t="s">
        <v>586</v>
      </c>
      <c r="D212" s="56" t="s">
        <v>242</v>
      </c>
      <c r="E212" s="56" t="s">
        <v>243</v>
      </c>
      <c r="F212" s="56">
        <v>42</v>
      </c>
      <c r="G212" s="70" t="str">
        <f>VLOOKUP(C212,'4. TRANSACTIONS'!F:T,15,FALSE)</f>
        <v>Broker name 1 (Short)</v>
      </c>
      <c r="H212" s="20">
        <v>43538</v>
      </c>
      <c r="I212" s="70" t="e">
        <v>#N/A</v>
      </c>
      <c r="J212" s="70" t="str">
        <f t="shared" ca="1" si="6"/>
        <v>clearing_broker</v>
      </c>
      <c r="K212" s="70" t="e">
        <f t="shared" ca="1" si="0"/>
        <v>#N/A</v>
      </c>
      <c r="L212" s="70"/>
      <c r="M212" s="70">
        <f t="shared" ca="1" si="1"/>
        <v>69</v>
      </c>
      <c r="N212" s="129" t="s">
        <v>587</v>
      </c>
      <c r="O212" s="70" t="b">
        <f t="shared" ca="1" si="2"/>
        <v>1</v>
      </c>
      <c r="P212" s="70"/>
      <c r="Q212" s="70" t="str">
        <f t="shared" ca="1" si="3"/>
        <v>CommonInterface-TransactionMapping-20181130-v2</v>
      </c>
      <c r="R212" s="20">
        <f t="shared" ca="1" si="4"/>
        <v>43449</v>
      </c>
      <c r="S212" s="5" t="str">
        <f t="shared" ca="1" si="5"/>
        <v>Initial Mapping</v>
      </c>
      <c r="T212" s="70" t="s">
        <v>244</v>
      </c>
      <c r="U212" s="20">
        <v>43535</v>
      </c>
      <c r="V212" s="70" t="s">
        <v>245</v>
      </c>
    </row>
    <row r="213" spans="1:22" ht="12.75" customHeight="1">
      <c r="A213" s="70" t="s">
        <v>130</v>
      </c>
      <c r="B213" s="56" t="s">
        <v>59</v>
      </c>
      <c r="C213" s="56" t="s">
        <v>588</v>
      </c>
      <c r="D213" s="56" t="s">
        <v>589</v>
      </c>
      <c r="E213" s="56" t="s">
        <v>243</v>
      </c>
      <c r="F213" s="56">
        <v>121</v>
      </c>
      <c r="G213" s="70" t="str">
        <f>VLOOKUP(C213,'4. TRANSACTIONS'!F:T,15,FALSE)</f>
        <v>Comments</v>
      </c>
      <c r="H213" s="20">
        <v>43538</v>
      </c>
      <c r="I213" s="70" t="e">
        <v>#N/A</v>
      </c>
      <c r="J213" s="70" t="str">
        <f t="shared" ca="1" si="6"/>
        <v>trans_desc</v>
      </c>
      <c r="K213" s="70" t="e">
        <f t="shared" ca="1" si="0"/>
        <v>#N/A</v>
      </c>
      <c r="L213" s="70"/>
      <c r="M213" s="70">
        <f t="shared" ca="1" si="1"/>
        <v>70</v>
      </c>
      <c r="N213" s="129" t="s">
        <v>590</v>
      </c>
      <c r="O213" s="70" t="b">
        <f t="shared" ca="1" si="2"/>
        <v>1</v>
      </c>
      <c r="P213" s="70"/>
      <c r="Q213" s="70" t="str">
        <f t="shared" ca="1" si="3"/>
        <v>CommonInterface-TransactionMapping-20181130-v2</v>
      </c>
      <c r="R213" s="20">
        <f t="shared" ca="1" si="4"/>
        <v>43449</v>
      </c>
      <c r="S213" s="5" t="str">
        <f t="shared" ca="1" si="5"/>
        <v>Initial Mapping</v>
      </c>
      <c r="T213" s="70" t="s">
        <v>244</v>
      </c>
      <c r="U213" s="20">
        <v>43535</v>
      </c>
      <c r="V213" s="70" t="s">
        <v>245</v>
      </c>
    </row>
    <row r="214" spans="1:22" ht="12.75" customHeight="1">
      <c r="A214" s="70" t="s">
        <v>130</v>
      </c>
      <c r="B214" s="56" t="s">
        <v>61</v>
      </c>
      <c r="C214" s="56" t="s">
        <v>144</v>
      </c>
      <c r="D214" s="56" t="s">
        <v>329</v>
      </c>
      <c r="E214" s="56" t="s">
        <v>243</v>
      </c>
      <c r="F214" s="56">
        <v>102</v>
      </c>
      <c r="G214" s="70" t="str">
        <f>VLOOKUP(C214,'4. TRANSACTIONS'!F:T,15,FALSE)</f>
        <v>Affected quantity of the security</v>
      </c>
      <c r="H214" s="20">
        <v>43538</v>
      </c>
      <c r="I214" s="70" t="e">
        <v>#N/A</v>
      </c>
      <c r="J214" s="70" t="str">
        <f t="shared" ca="1" si="6"/>
        <v>units</v>
      </c>
      <c r="K214" s="70" t="e">
        <f t="shared" ca="1" si="0"/>
        <v>#N/A</v>
      </c>
      <c r="L214" s="70"/>
      <c r="M214" s="70">
        <f t="shared" ca="1" si="1"/>
        <v>71</v>
      </c>
      <c r="N214" s="129" t="s">
        <v>385</v>
      </c>
      <c r="O214" s="70" t="b">
        <f t="shared" ca="1" si="2"/>
        <v>1</v>
      </c>
      <c r="P214" s="70"/>
      <c r="Q214" s="70" t="str">
        <f t="shared" ca="1" si="3"/>
        <v>CommonInterface-TransactionMapping-20181130-v2</v>
      </c>
      <c r="R214" s="20">
        <f t="shared" ca="1" si="4"/>
        <v>43449</v>
      </c>
      <c r="S214" s="5" t="str">
        <f t="shared" ca="1" si="5"/>
        <v>Initial Mapping</v>
      </c>
      <c r="T214" s="70" t="s">
        <v>244</v>
      </c>
      <c r="U214" s="20">
        <v>43535</v>
      </c>
      <c r="V214" s="70" t="s">
        <v>245</v>
      </c>
    </row>
    <row r="215" spans="1:22" ht="12.75" customHeight="1">
      <c r="A215" s="70" t="s">
        <v>130</v>
      </c>
      <c r="B215" s="56" t="s">
        <v>55</v>
      </c>
      <c r="C215" s="56" t="s">
        <v>386</v>
      </c>
      <c r="D215" s="56" t="s">
        <v>329</v>
      </c>
      <c r="E215" s="56" t="s">
        <v>243</v>
      </c>
      <c r="F215" s="22">
        <v>170</v>
      </c>
      <c r="G215" s="24" t="str">
        <f>VLOOKUP(C215,'4. TRANSACTIONS'!F:T,15,FALSE)</f>
        <v>Original face.</v>
      </c>
      <c r="H215" s="20">
        <v>43538</v>
      </c>
      <c r="I215" s="70" t="e">
        <v>#N/A</v>
      </c>
      <c r="J215" s="70" t="str">
        <f t="shared" ca="1" si="6"/>
        <v>orig_face</v>
      </c>
      <c r="K215" s="70" t="e">
        <f t="shared" ca="1" si="0"/>
        <v>#N/A</v>
      </c>
      <c r="L215" s="70"/>
      <c r="M215" s="70">
        <f t="shared" ca="1" si="1"/>
        <v>72</v>
      </c>
      <c r="N215" s="129" t="s">
        <v>387</v>
      </c>
      <c r="O215" s="70" t="b">
        <f t="shared" ca="1" si="2"/>
        <v>1</v>
      </c>
      <c r="P215" s="70"/>
      <c r="Q215" s="70" t="str">
        <f t="shared" ca="1" si="3"/>
        <v>CommonInterface-TransactionMapping-20181130-v2</v>
      </c>
      <c r="R215" s="20">
        <f t="shared" ca="1" si="4"/>
        <v>43449</v>
      </c>
      <c r="S215" s="5" t="str">
        <f t="shared" ca="1" si="5"/>
        <v>Initial Mapping</v>
      </c>
      <c r="T215" s="70" t="s">
        <v>244</v>
      </c>
      <c r="U215" s="20">
        <v>43535</v>
      </c>
      <c r="V215" s="70" t="s">
        <v>245</v>
      </c>
    </row>
    <row r="216" spans="1:22" ht="12.75" customHeight="1">
      <c r="A216" s="70" t="s">
        <v>130</v>
      </c>
      <c r="B216" s="56" t="s">
        <v>61</v>
      </c>
      <c r="C216" s="56" t="s">
        <v>133</v>
      </c>
      <c r="D216" s="56" t="s">
        <v>329</v>
      </c>
      <c r="E216" s="56" t="s">
        <v>243</v>
      </c>
      <c r="F216" s="56">
        <v>32</v>
      </c>
      <c r="G216" s="70" t="str">
        <f>VLOOKUP(C216,'4. TRANSACTIONS'!F:T,15,FALSE)</f>
        <v>Book Price</v>
      </c>
      <c r="H216" s="20">
        <v>43538</v>
      </c>
      <c r="I216" s="70" t="e">
        <v>#N/A</v>
      </c>
      <c r="J216" s="70" t="str">
        <f t="shared" ca="1" si="6"/>
        <v>firm_price</v>
      </c>
      <c r="K216" s="70" t="e">
        <f t="shared" ca="1" si="0"/>
        <v>#N/A</v>
      </c>
      <c r="L216" s="70"/>
      <c r="M216" s="70">
        <f t="shared" ca="1" si="1"/>
        <v>73</v>
      </c>
      <c r="N216" s="129" t="s">
        <v>591</v>
      </c>
      <c r="O216" s="70" t="b">
        <f t="shared" ca="1" si="2"/>
        <v>1</v>
      </c>
      <c r="P216" s="70"/>
      <c r="Q216" s="70" t="str">
        <f t="shared" ca="1" si="3"/>
        <v>CommonInterface-TransactionMapping-20181130-v2</v>
      </c>
      <c r="R216" s="20">
        <f t="shared" ca="1" si="4"/>
        <v>43449</v>
      </c>
      <c r="S216" s="5" t="str">
        <f t="shared" ca="1" si="5"/>
        <v>Initial Mapping</v>
      </c>
      <c r="T216" s="70" t="s">
        <v>244</v>
      </c>
      <c r="U216" s="20">
        <v>43535</v>
      </c>
      <c r="V216" s="70" t="s">
        <v>245</v>
      </c>
    </row>
    <row r="217" spans="1:22" ht="12.75" customHeight="1">
      <c r="A217" s="70" t="s">
        <v>130</v>
      </c>
      <c r="B217" s="56" t="s">
        <v>61</v>
      </c>
      <c r="C217" s="56" t="s">
        <v>142</v>
      </c>
      <c r="D217" s="56" t="s">
        <v>329</v>
      </c>
      <c r="E217" s="56" t="s">
        <v>243</v>
      </c>
      <c r="F217" s="56">
        <v>91</v>
      </c>
      <c r="G217" s="70" t="str">
        <f>VLOOKUP(C217,'4. TRANSACTIONS'!F:T,15,FALSE)</f>
        <v>Price</v>
      </c>
      <c r="H217" s="20">
        <v>43538</v>
      </c>
      <c r="I217" s="70" t="e">
        <v>#N/A</v>
      </c>
      <c r="J217" s="70" t="str">
        <f t="shared" ca="1" si="6"/>
        <v>unit_cost</v>
      </c>
      <c r="K217" s="70" t="e">
        <f t="shared" ca="1" si="0"/>
        <v>#N/A</v>
      </c>
      <c r="L217" s="70"/>
      <c r="M217" s="70">
        <f t="shared" ca="1" si="1"/>
        <v>74</v>
      </c>
      <c r="N217" s="129" t="s">
        <v>389</v>
      </c>
      <c r="O217" s="70" t="b">
        <f t="shared" ca="1" si="2"/>
        <v>1</v>
      </c>
      <c r="P217" s="70"/>
      <c r="Q217" s="70" t="str">
        <f t="shared" ca="1" si="3"/>
        <v>CommonInterface-TransactionMapping-20181130-v2</v>
      </c>
      <c r="R217" s="20">
        <f t="shared" ca="1" si="4"/>
        <v>43449</v>
      </c>
      <c r="S217" s="5" t="str">
        <f t="shared" ca="1" si="5"/>
        <v>Initial Mapping</v>
      </c>
      <c r="T217" s="70" t="s">
        <v>244</v>
      </c>
      <c r="U217" s="20">
        <v>43535</v>
      </c>
      <c r="V217" s="70" t="s">
        <v>245</v>
      </c>
    </row>
    <row r="218" spans="1:22" ht="12.75" customHeight="1">
      <c r="A218" s="70" t="s">
        <v>130</v>
      </c>
      <c r="B218" s="56" t="s">
        <v>55</v>
      </c>
      <c r="C218" s="56" t="s">
        <v>592</v>
      </c>
      <c r="D218" s="56" t="s">
        <v>329</v>
      </c>
      <c r="E218" s="56" t="s">
        <v>243</v>
      </c>
      <c r="F218" s="56">
        <v>84</v>
      </c>
      <c r="G218" s="70" t="str">
        <f>VLOOKUP(C218,'4. TRANSACTIONS'!F:T,15,FALSE)</f>
        <v>Change in Cost relative to the security</v>
      </c>
      <c r="H218" s="20">
        <v>43538</v>
      </c>
      <c r="I218" s="70" t="e">
        <v>#N/A</v>
      </c>
      <c r="J218" s="70" t="str">
        <f t="shared" ca="1" si="6"/>
        <v>tot_cost</v>
      </c>
      <c r="K218" s="70" t="e">
        <f t="shared" ca="1" si="0"/>
        <v>#N/A</v>
      </c>
      <c r="L218" s="70"/>
      <c r="M218" s="70">
        <f t="shared" ca="1" si="1"/>
        <v>75</v>
      </c>
      <c r="N218" s="129" t="s">
        <v>399</v>
      </c>
      <c r="O218" s="70" t="b">
        <f t="shared" ca="1" si="2"/>
        <v>1</v>
      </c>
      <c r="P218" s="70"/>
      <c r="Q218" s="70" t="str">
        <f t="shared" ca="1" si="3"/>
        <v>CommonInterface-TransactionMapping-20181130-v2</v>
      </c>
      <c r="R218" s="20">
        <f t="shared" ca="1" si="4"/>
        <v>43449</v>
      </c>
      <c r="S218" s="5" t="str">
        <f t="shared" ca="1" si="5"/>
        <v>Initial Mapping</v>
      </c>
      <c r="T218" s="70" t="s">
        <v>244</v>
      </c>
      <c r="U218" s="20">
        <v>43535</v>
      </c>
      <c r="V218" s="70" t="s">
        <v>245</v>
      </c>
    </row>
    <row r="219" spans="1:22" ht="12.75" customHeight="1">
      <c r="A219" s="70" t="s">
        <v>130</v>
      </c>
      <c r="B219" s="56" t="s">
        <v>55</v>
      </c>
      <c r="C219" s="56" t="s">
        <v>593</v>
      </c>
      <c r="D219" s="56" t="s">
        <v>329</v>
      </c>
      <c r="E219" s="56" t="s">
        <v>243</v>
      </c>
      <c r="F219" s="56">
        <v>25</v>
      </c>
      <c r="G219" s="70" t="str">
        <f>VLOOKUP(C219,'4. TRANSACTIONS'!F:T,15,FALSE)</f>
        <v>Change in Book Cost relative to the security</v>
      </c>
      <c r="H219" s="20">
        <v>43538</v>
      </c>
      <c r="I219" s="70" t="e">
        <v>#N/A</v>
      </c>
      <c r="J219" s="70" t="str">
        <f t="shared" ca="1" si="6"/>
        <v>firm_cost</v>
      </c>
      <c r="K219" s="70" t="e">
        <f t="shared" ca="1" si="0"/>
        <v>#N/A</v>
      </c>
      <c r="L219" s="70"/>
      <c r="M219" s="70">
        <f t="shared" ca="1" si="1"/>
        <v>76</v>
      </c>
      <c r="N219" s="129" t="s">
        <v>594</v>
      </c>
      <c r="O219" s="70" t="b">
        <f t="shared" ca="1" si="2"/>
        <v>1</v>
      </c>
      <c r="P219" s="70"/>
      <c r="Q219" s="70" t="str">
        <f t="shared" ca="1" si="3"/>
        <v>CommonInterface-TransactionMapping-20181130-v2</v>
      </c>
      <c r="R219" s="20">
        <f t="shared" ca="1" si="4"/>
        <v>43449</v>
      </c>
      <c r="S219" s="5" t="str">
        <f t="shared" ca="1" si="5"/>
        <v>Initial Mapping</v>
      </c>
      <c r="T219" s="70" t="s">
        <v>244</v>
      </c>
      <c r="U219" s="20">
        <v>43535</v>
      </c>
      <c r="V219" s="70" t="s">
        <v>245</v>
      </c>
    </row>
    <row r="220" spans="1:22" ht="12.75" customHeight="1">
      <c r="A220" s="70" t="s">
        <v>130</v>
      </c>
      <c r="B220" s="56" t="s">
        <v>55</v>
      </c>
      <c r="C220" s="56" t="s">
        <v>595</v>
      </c>
      <c r="D220" s="56" t="s">
        <v>329</v>
      </c>
      <c r="E220" s="56" t="s">
        <v>243</v>
      </c>
      <c r="F220" s="22">
        <v>184</v>
      </c>
      <c r="G220" s="24" t="str">
        <f>VLOOKUP(C220,'4. TRANSACTIONS'!F:T,15,FALSE)</f>
        <v>Federal tax cost in base currency.</v>
      </c>
      <c r="H220" s="20">
        <v>43538</v>
      </c>
      <c r="I220" s="70" t="e">
        <v>#N/A</v>
      </c>
      <c r="J220" s="70" t="str">
        <f t="shared" ca="1" si="6"/>
        <v>firm_fed_cost</v>
      </c>
      <c r="K220" s="70" t="e">
        <f t="shared" ca="1" si="0"/>
        <v>#N/A</v>
      </c>
      <c r="L220" s="70"/>
      <c r="M220" s="70">
        <f t="shared" ca="1" si="1"/>
        <v>77</v>
      </c>
      <c r="N220" s="129" t="s">
        <v>596</v>
      </c>
      <c r="O220" s="70" t="b">
        <f t="shared" ca="1" si="2"/>
        <v>1</v>
      </c>
      <c r="P220" s="70"/>
      <c r="Q220" s="70" t="str">
        <f t="shared" ca="1" si="3"/>
        <v>CommonInterface-TransactionMapping-20181130-v2</v>
      </c>
      <c r="R220" s="20">
        <f t="shared" ca="1" si="4"/>
        <v>43449</v>
      </c>
      <c r="S220" s="5" t="str">
        <f t="shared" ca="1" si="5"/>
        <v>Initial Mapping</v>
      </c>
      <c r="T220" s="70" t="s">
        <v>244</v>
      </c>
      <c r="U220" s="20">
        <v>43535</v>
      </c>
      <c r="V220" s="70" t="s">
        <v>245</v>
      </c>
    </row>
    <row r="221" spans="1:22" ht="12.75" customHeight="1">
      <c r="A221" s="70" t="s">
        <v>130</v>
      </c>
      <c r="B221" s="56" t="s">
        <v>55</v>
      </c>
      <c r="C221" s="56" t="s">
        <v>597</v>
      </c>
      <c r="D221" s="56" t="s">
        <v>329</v>
      </c>
      <c r="E221" s="56" t="s">
        <v>243</v>
      </c>
      <c r="F221" s="22">
        <v>193</v>
      </c>
      <c r="G221" s="24" t="str">
        <f>VLOOKUP(C221,'4. TRANSACTIONS'!F:T,15,FALSE)</f>
        <v>Post disposition federal cost adjustment applied prior to computing the gain/loss in the book currency.</v>
      </c>
      <c r="H221" s="20">
        <v>43538</v>
      </c>
      <c r="I221" s="70" t="e">
        <v>#N/A</v>
      </c>
      <c r="J221" s="70" t="str">
        <f t="shared" ca="1" si="6"/>
        <v>firm_close_cost</v>
      </c>
      <c r="K221" s="70" t="e">
        <f t="shared" ca="1" si="0"/>
        <v>#N/A</v>
      </c>
      <c r="L221" s="70"/>
      <c r="M221" s="70">
        <f t="shared" ca="1" si="1"/>
        <v>78</v>
      </c>
      <c r="N221" s="129" t="s">
        <v>598</v>
      </c>
      <c r="O221" s="70" t="b">
        <f t="shared" ca="1" si="2"/>
        <v>1</v>
      </c>
      <c r="P221" s="70"/>
      <c r="Q221" s="70" t="str">
        <f t="shared" ca="1" si="3"/>
        <v>CommonInterface-TransactionMapping-20181130-v2</v>
      </c>
      <c r="R221" s="20">
        <f t="shared" ca="1" si="4"/>
        <v>43449</v>
      </c>
      <c r="S221" s="5" t="str">
        <f t="shared" ca="1" si="5"/>
        <v>Initial Mapping</v>
      </c>
      <c r="T221" s="70" t="s">
        <v>244</v>
      </c>
      <c r="U221" s="20">
        <v>43535</v>
      </c>
      <c r="V221" s="70" t="s">
        <v>245</v>
      </c>
    </row>
    <row r="222" spans="1:22" ht="12.75" customHeight="1">
      <c r="A222" s="70" t="s">
        <v>130</v>
      </c>
      <c r="B222" s="56" t="s">
        <v>55</v>
      </c>
      <c r="C222" s="56" t="s">
        <v>599</v>
      </c>
      <c r="D222" s="56" t="s">
        <v>329</v>
      </c>
      <c r="E222" s="56" t="s">
        <v>243</v>
      </c>
      <c r="F222" s="22">
        <v>194</v>
      </c>
      <c r="G222" s="24" t="str">
        <f>VLOOKUP(C222,'4. TRANSACTIONS'!F:T,15,FALSE)</f>
        <v>Post disposition federal cost adjustment applied prior to computing the gain/loss in the localcurrency.</v>
      </c>
      <c r="H222" s="20">
        <v>43538</v>
      </c>
      <c r="I222" s="70" t="e">
        <v>#N/A</v>
      </c>
      <c r="J222" s="70" t="str">
        <f t="shared" ca="1" si="6"/>
        <v>cost_adj_amt</v>
      </c>
      <c r="K222" s="70" t="e">
        <f t="shared" ca="1" si="0"/>
        <v>#N/A</v>
      </c>
      <c r="L222" s="70"/>
      <c r="M222" s="70">
        <f t="shared" ca="1" si="1"/>
        <v>79</v>
      </c>
      <c r="N222" s="129" t="s">
        <v>600</v>
      </c>
      <c r="O222" s="70" t="b">
        <f t="shared" ca="1" si="2"/>
        <v>1</v>
      </c>
      <c r="P222" s="70"/>
      <c r="Q222" s="70" t="str">
        <f t="shared" ca="1" si="3"/>
        <v>CommonInterface-TransactionMapping-20181130-v2</v>
      </c>
      <c r="R222" s="20">
        <f t="shared" ca="1" si="4"/>
        <v>43449</v>
      </c>
      <c r="S222" s="5" t="str">
        <f t="shared" ca="1" si="5"/>
        <v>Initial Mapping</v>
      </c>
      <c r="T222" s="70" t="s">
        <v>244</v>
      </c>
      <c r="U222" s="20">
        <v>43535</v>
      </c>
      <c r="V222" s="70" t="s">
        <v>245</v>
      </c>
    </row>
    <row r="223" spans="1:22" ht="12.75" customHeight="1">
      <c r="A223" s="70" t="s">
        <v>130</v>
      </c>
      <c r="B223" s="56" t="s">
        <v>61</v>
      </c>
      <c r="C223" s="56" t="s">
        <v>140</v>
      </c>
      <c r="D223" s="56" t="s">
        <v>329</v>
      </c>
      <c r="E223" s="56" t="s">
        <v>243</v>
      </c>
      <c r="F223" s="56">
        <v>80</v>
      </c>
      <c r="G223" s="70" t="str">
        <f>VLOOKUP(C223,'4. TRANSACTIONS'!F:T,15,FALSE)</f>
        <v>Total Transaction Amount in Local CCY</v>
      </c>
      <c r="H223" s="20">
        <v>43538</v>
      </c>
      <c r="I223" s="70" t="e">
        <v>#N/A</v>
      </c>
      <c r="J223" s="70" t="str">
        <f t="shared" ca="1" si="6"/>
        <v>net</v>
      </c>
      <c r="K223" s="70" t="e">
        <f t="shared" ca="1" si="0"/>
        <v>#N/A</v>
      </c>
      <c r="L223" s="70"/>
      <c r="M223" s="70">
        <f t="shared" ca="1" si="1"/>
        <v>80</v>
      </c>
      <c r="N223" s="129" t="s">
        <v>601</v>
      </c>
      <c r="O223" s="70" t="b">
        <f t="shared" ca="1" si="2"/>
        <v>1</v>
      </c>
      <c r="P223" s="70"/>
      <c r="Q223" s="70" t="str">
        <f t="shared" ca="1" si="3"/>
        <v>CommonInterface-TransactionMapping-20181130-v2</v>
      </c>
      <c r="R223" s="20">
        <f t="shared" ca="1" si="4"/>
        <v>43449</v>
      </c>
      <c r="S223" s="5" t="str">
        <f t="shared" ca="1" si="5"/>
        <v>Initial Mapping</v>
      </c>
      <c r="T223" s="70" t="s">
        <v>244</v>
      </c>
      <c r="U223" s="20">
        <v>43535</v>
      </c>
      <c r="V223" s="70" t="s">
        <v>245</v>
      </c>
    </row>
    <row r="224" spans="1:22" ht="12.75" customHeight="1">
      <c r="A224" s="70" t="s">
        <v>130</v>
      </c>
      <c r="B224" s="56" t="s">
        <v>59</v>
      </c>
      <c r="C224" s="56" t="s">
        <v>141</v>
      </c>
      <c r="D224" s="56" t="s">
        <v>329</v>
      </c>
      <c r="E224" s="56" t="s">
        <v>243</v>
      </c>
      <c r="F224" s="56">
        <v>87</v>
      </c>
      <c r="G224" s="70" t="str">
        <f>VLOOKUP(C224,'4. TRANSACTIONS'!F:T,15,FALSE)</f>
        <v>Net Cash based on Effective Date</v>
      </c>
      <c r="H224" s="20">
        <v>43538</v>
      </c>
      <c r="I224" s="70" t="e">
        <v>#N/A</v>
      </c>
      <c r="J224" s="70" t="str">
        <f t="shared" ca="1" si="6"/>
        <v>net_cash</v>
      </c>
      <c r="K224" s="70" t="e">
        <f t="shared" ca="1" si="0"/>
        <v>#N/A</v>
      </c>
      <c r="L224" s="70" t="s">
        <v>528</v>
      </c>
      <c r="M224" s="70">
        <f t="shared" ca="1" si="1"/>
        <v>81</v>
      </c>
      <c r="N224" s="129" t="s">
        <v>602</v>
      </c>
      <c r="O224" s="70" t="b">
        <f t="shared" ca="1" si="2"/>
        <v>1</v>
      </c>
      <c r="P224" s="70"/>
      <c r="Q224" s="70" t="str">
        <f t="shared" ca="1" si="3"/>
        <v>CommonInterface-TransactionMapping-20181130-v2</v>
      </c>
      <c r="R224" s="20">
        <f t="shared" ca="1" si="4"/>
        <v>43449</v>
      </c>
      <c r="S224" s="70" t="str">
        <f t="shared" ca="1" si="5"/>
        <v xml:space="preserve">3/12 - IC confirmed this was a typo on their end.  They will correct ETL to match NB. </v>
      </c>
      <c r="T224" s="70" t="s">
        <v>244</v>
      </c>
      <c r="U224" s="20">
        <v>43550</v>
      </c>
      <c r="V224" s="70" t="s">
        <v>256</v>
      </c>
    </row>
    <row r="225" spans="1:22" ht="12.75" customHeight="1">
      <c r="A225" s="70" t="s">
        <v>130</v>
      </c>
      <c r="B225" s="56" t="s">
        <v>61</v>
      </c>
      <c r="C225" s="56" t="s">
        <v>131</v>
      </c>
      <c r="D225" s="56" t="s">
        <v>329</v>
      </c>
      <c r="E225" s="56" t="s">
        <v>243</v>
      </c>
      <c r="F225" s="56">
        <v>21</v>
      </c>
      <c r="G225" s="70" t="str">
        <f>VLOOKUP(C225,'4. TRANSACTIONS'!F:T,15,FALSE)</f>
        <v>Total Transaction Amount in Book CCY</v>
      </c>
      <c r="H225" s="20">
        <v>43538</v>
      </c>
      <c r="I225" s="70" t="e">
        <v>#N/A</v>
      </c>
      <c r="J225" s="70" t="str">
        <f t="shared" ca="1" si="6"/>
        <v>firm_net</v>
      </c>
      <c r="K225" s="70" t="e">
        <f t="shared" ca="1" si="0"/>
        <v>#N/A</v>
      </c>
      <c r="L225" s="70"/>
      <c r="M225" s="70">
        <f t="shared" ca="1" si="1"/>
        <v>82</v>
      </c>
      <c r="N225" s="129" t="s">
        <v>603</v>
      </c>
      <c r="O225" s="70" t="b">
        <f t="shared" ca="1" si="2"/>
        <v>1</v>
      </c>
      <c r="P225" s="70"/>
      <c r="Q225" s="70" t="str">
        <f t="shared" ca="1" si="3"/>
        <v>CommonInterface-TransactionMapping-20181130-v2</v>
      </c>
      <c r="R225" s="20">
        <f t="shared" ca="1" si="4"/>
        <v>43449</v>
      </c>
      <c r="S225" s="5" t="str">
        <f t="shared" ca="1" si="5"/>
        <v>Initial Mapping</v>
      </c>
      <c r="T225" s="70" t="s">
        <v>244</v>
      </c>
      <c r="U225" s="20">
        <v>43535</v>
      </c>
      <c r="V225" s="70" t="s">
        <v>245</v>
      </c>
    </row>
    <row r="226" spans="1:22" ht="12.75" customHeight="1">
      <c r="A226" s="70" t="s">
        <v>130</v>
      </c>
      <c r="B226" s="56" t="s">
        <v>59</v>
      </c>
      <c r="C226" s="56" t="s">
        <v>132</v>
      </c>
      <c r="D226" s="56" t="s">
        <v>329</v>
      </c>
      <c r="E226" s="56" t="s">
        <v>243</v>
      </c>
      <c r="F226" s="56">
        <v>28</v>
      </c>
      <c r="G226" s="70" t="str">
        <f>VLOOKUP(C226,'4. TRANSACTIONS'!F:T,15,FALSE)</f>
        <v>Net Cash Book based on Effective Date</v>
      </c>
      <c r="H226" s="20">
        <v>43538</v>
      </c>
      <c r="I226" s="70" t="e">
        <v>#N/A</v>
      </c>
      <c r="J226" s="70" t="str">
        <f t="shared" ca="1" si="6"/>
        <v>firm_net_cash</v>
      </c>
      <c r="K226" s="70" t="e">
        <f t="shared" ca="1" si="0"/>
        <v>#N/A</v>
      </c>
      <c r="L226" s="70"/>
      <c r="M226" s="70">
        <f t="shared" ca="1" si="1"/>
        <v>83</v>
      </c>
      <c r="N226" s="129" t="s">
        <v>604</v>
      </c>
      <c r="O226" s="70" t="b">
        <f t="shared" ca="1" si="2"/>
        <v>1</v>
      </c>
      <c r="P226" s="70"/>
      <c r="Q226" s="70" t="str">
        <f t="shared" ca="1" si="3"/>
        <v>CommonInterface-TransactionMapping-20181130-v2</v>
      </c>
      <c r="R226" s="20">
        <f t="shared" ca="1" si="4"/>
        <v>43449</v>
      </c>
      <c r="S226" s="5" t="str">
        <f t="shared" ca="1" si="5"/>
        <v>Initial Mapping</v>
      </c>
      <c r="T226" s="70" t="s">
        <v>244</v>
      </c>
      <c r="U226" s="20">
        <v>43535</v>
      </c>
      <c r="V226" s="70" t="s">
        <v>245</v>
      </c>
    </row>
    <row r="227" spans="1:22" ht="12.75" customHeight="1">
      <c r="A227" s="70" t="s">
        <v>130</v>
      </c>
      <c r="B227" s="56" t="s">
        <v>55</v>
      </c>
      <c r="C227" s="56" t="s">
        <v>605</v>
      </c>
      <c r="D227" s="56" t="s">
        <v>329</v>
      </c>
      <c r="E227" s="56" t="s">
        <v>243</v>
      </c>
      <c r="F227" s="56">
        <v>29</v>
      </c>
      <c r="G227" s="70" t="str">
        <f>VLOOKUP(C227,'4. TRANSACTIONS'!F:T,15,FALSE)</f>
        <v>Net Payable Book based on effective date</v>
      </c>
      <c r="H227" s="20">
        <v>43538</v>
      </c>
      <c r="I227" s="70" t="e">
        <v>#N/A</v>
      </c>
      <c r="J227" s="70" t="str">
        <f t="shared" ca="1" si="6"/>
        <v>firm_net_payable</v>
      </c>
      <c r="K227" s="70" t="e">
        <f t="shared" ca="1" si="0"/>
        <v>#N/A</v>
      </c>
      <c r="L227" s="70"/>
      <c r="M227" s="70">
        <f t="shared" ca="1" si="1"/>
        <v>84</v>
      </c>
      <c r="N227" s="129" t="s">
        <v>606</v>
      </c>
      <c r="O227" s="70" t="b">
        <f t="shared" ca="1" si="2"/>
        <v>1</v>
      </c>
      <c r="P227" s="70"/>
      <c r="Q227" s="70" t="str">
        <f t="shared" ca="1" si="3"/>
        <v>CommonInterface-TransactionMapping-20181130-v2</v>
      </c>
      <c r="R227" s="20">
        <f t="shared" ca="1" si="4"/>
        <v>43449</v>
      </c>
      <c r="S227" s="5" t="str">
        <f t="shared" ca="1" si="5"/>
        <v>Initial Mapping</v>
      </c>
      <c r="T227" s="70" t="s">
        <v>244</v>
      </c>
      <c r="U227" s="20">
        <v>43535</v>
      </c>
      <c r="V227" s="70" t="s">
        <v>245</v>
      </c>
    </row>
    <row r="228" spans="1:22" ht="12.75" customHeight="1">
      <c r="A228" s="70" t="s">
        <v>130</v>
      </c>
      <c r="B228" s="56" t="s">
        <v>55</v>
      </c>
      <c r="C228" s="56" t="s">
        <v>607</v>
      </c>
      <c r="D228" s="56" t="s">
        <v>329</v>
      </c>
      <c r="E228" s="56" t="s">
        <v>243</v>
      </c>
      <c r="F228" s="56">
        <v>30</v>
      </c>
      <c r="G228" s="70" t="str">
        <f>VLOOKUP(C228,'4. TRANSACTIONS'!F:T,15,FALSE)</f>
        <v>Net Receivable Book based on effective dat</v>
      </c>
      <c r="H228" s="20">
        <v>43538</v>
      </c>
      <c r="I228" s="70" t="e">
        <v>#N/A</v>
      </c>
      <c r="J228" s="70" t="str">
        <f t="shared" ca="1" si="6"/>
        <v>firm_net_receivable</v>
      </c>
      <c r="K228" s="70" t="e">
        <f t="shared" ca="1" si="0"/>
        <v>#N/A</v>
      </c>
      <c r="L228" s="70"/>
      <c r="M228" s="70">
        <f t="shared" ca="1" si="1"/>
        <v>85</v>
      </c>
      <c r="N228" s="129" t="s">
        <v>608</v>
      </c>
      <c r="O228" s="70" t="b">
        <f t="shared" ca="1" si="2"/>
        <v>1</v>
      </c>
      <c r="P228" s="70"/>
      <c r="Q228" s="70" t="str">
        <f t="shared" ca="1" si="3"/>
        <v>CommonInterface-TransactionMapping-20181130-v2</v>
      </c>
      <c r="R228" s="20">
        <f t="shared" ca="1" si="4"/>
        <v>43449</v>
      </c>
      <c r="S228" s="5" t="str">
        <f t="shared" ca="1" si="5"/>
        <v>Initial Mapping</v>
      </c>
      <c r="T228" s="70" t="s">
        <v>244</v>
      </c>
      <c r="U228" s="20">
        <v>43535</v>
      </c>
      <c r="V228" s="70" t="s">
        <v>245</v>
      </c>
    </row>
    <row r="229" spans="1:22" ht="12.75" customHeight="1">
      <c r="A229" s="70" t="s">
        <v>130</v>
      </c>
      <c r="B229" s="56" t="s">
        <v>55</v>
      </c>
      <c r="C229" s="56" t="s">
        <v>609</v>
      </c>
      <c r="D229" s="56" t="s">
        <v>329</v>
      </c>
      <c r="E229" s="56" t="s">
        <v>243</v>
      </c>
      <c r="F229" s="22">
        <v>212</v>
      </c>
      <c r="G229" s="24" t="str">
        <f>VLOOKUP(C229,'4. TRANSACTIONS'!F:T,15,FALSE)</f>
        <v>Cash flow in the book currency of the account.</v>
      </c>
      <c r="H229" s="20">
        <v>43538</v>
      </c>
      <c r="I229" s="70" t="e">
        <v>#N/A</v>
      </c>
      <c r="J229" s="70" t="str">
        <f t="shared" ca="1" si="6"/>
        <v>firm_cashflow</v>
      </c>
      <c r="K229" s="70" t="e">
        <f t="shared" ca="1" si="0"/>
        <v>#N/A</v>
      </c>
      <c r="L229" s="70"/>
      <c r="M229" s="70">
        <f t="shared" ca="1" si="1"/>
        <v>86</v>
      </c>
      <c r="N229" s="129" t="s">
        <v>610</v>
      </c>
      <c r="O229" s="70" t="b">
        <f t="shared" ca="1" si="2"/>
        <v>0</v>
      </c>
      <c r="P229" s="70"/>
      <c r="Q229" s="70" t="str">
        <f t="shared" ca="1" si="3"/>
        <v>Common Interface NB v0.6</v>
      </c>
      <c r="R229" s="20">
        <f t="shared" ca="1" si="4"/>
        <v>43173</v>
      </c>
      <c r="S229" s="70" t="str">
        <f t="shared" ca="1" si="5"/>
        <v xml:space="preserve">3/12 - NB updated CI doc to match was in original Doc + IC ETL </v>
      </c>
      <c r="T229" s="70" t="s">
        <v>244</v>
      </c>
      <c r="U229" s="20">
        <v>43536</v>
      </c>
      <c r="V229" s="70" t="s">
        <v>512</v>
      </c>
    </row>
    <row r="230" spans="1:22" ht="12.75" customHeight="1">
      <c r="A230" s="70" t="s">
        <v>130</v>
      </c>
      <c r="B230" s="56" t="s">
        <v>55</v>
      </c>
      <c r="C230" s="56" t="s">
        <v>611</v>
      </c>
      <c r="D230" s="56" t="s">
        <v>329</v>
      </c>
      <c r="E230" s="56" t="s">
        <v>243</v>
      </c>
      <c r="F230" s="22">
        <v>200</v>
      </c>
      <c r="G230" s="24" t="str">
        <f>VLOOKUP(C230,'4. TRANSACTIONS'!F:T,15,FALSE)</f>
        <v>Disposed value in book currency of the account.</v>
      </c>
      <c r="H230" s="20">
        <v>43538</v>
      </c>
      <c r="I230" s="70" t="e">
        <v>#N/A</v>
      </c>
      <c r="J230" s="70" t="str">
        <f t="shared" ca="1" si="6"/>
        <v>firm_close_value</v>
      </c>
      <c r="K230" s="70" t="e">
        <f t="shared" ca="1" si="0"/>
        <v>#N/A</v>
      </c>
      <c r="L230" s="70"/>
      <c r="M230" s="70">
        <f t="shared" ca="1" si="1"/>
        <v>87</v>
      </c>
      <c r="N230" s="129" t="s">
        <v>612</v>
      </c>
      <c r="O230" s="70" t="b">
        <f t="shared" ca="1" si="2"/>
        <v>1</v>
      </c>
      <c r="P230" s="70"/>
      <c r="Q230" s="70" t="str">
        <f t="shared" ca="1" si="3"/>
        <v>CommonInterface-TransactionMapping-20181130-v2</v>
      </c>
      <c r="R230" s="20">
        <f t="shared" ca="1" si="4"/>
        <v>43449</v>
      </c>
      <c r="S230" s="5" t="str">
        <f t="shared" ca="1" si="5"/>
        <v>Initial Mapping</v>
      </c>
      <c r="T230" s="70" t="s">
        <v>244</v>
      </c>
      <c r="U230" s="20">
        <v>43535</v>
      </c>
      <c r="V230" s="70" t="s">
        <v>245</v>
      </c>
    </row>
    <row r="231" spans="1:22" ht="12.75" customHeight="1">
      <c r="A231" s="70" t="s">
        <v>130</v>
      </c>
      <c r="B231" s="56" t="s">
        <v>55</v>
      </c>
      <c r="C231" s="56" t="s">
        <v>613</v>
      </c>
      <c r="D231" s="56" t="s">
        <v>329</v>
      </c>
      <c r="E231" s="56" t="s">
        <v>243</v>
      </c>
      <c r="F231" s="22">
        <v>180</v>
      </c>
      <c r="G231" s="24" t="str">
        <f>VLOOKUP(C231,'4. TRANSACTIONS'!F:T,15,FALSE)</f>
        <v>Cash amount in base currency applied to the ledger.</v>
      </c>
      <c r="H231" s="20">
        <v>43538</v>
      </c>
      <c r="I231" s="70" t="e">
        <v>#N/A</v>
      </c>
      <c r="J231" s="70" t="str">
        <f t="shared" ca="1" si="6"/>
        <v>firm_cash_impact</v>
      </c>
      <c r="K231" s="70" t="e">
        <f t="shared" ca="1" si="0"/>
        <v>#N/A</v>
      </c>
      <c r="L231" s="70"/>
      <c r="M231" s="70">
        <f t="shared" ca="1" si="1"/>
        <v>88</v>
      </c>
      <c r="N231" s="129" t="s">
        <v>614</v>
      </c>
      <c r="O231" s="70" t="b">
        <f t="shared" ca="1" si="2"/>
        <v>1</v>
      </c>
      <c r="P231" s="70"/>
      <c r="Q231" s="70" t="str">
        <f t="shared" ca="1" si="3"/>
        <v>CommonInterface-TransactionMapping-20181130-v2</v>
      </c>
      <c r="R231" s="20">
        <f t="shared" ca="1" si="4"/>
        <v>43449</v>
      </c>
      <c r="S231" s="5" t="str">
        <f t="shared" ca="1" si="5"/>
        <v>Initial Mapping</v>
      </c>
      <c r="T231" s="70" t="s">
        <v>244</v>
      </c>
      <c r="U231" s="20">
        <v>43535</v>
      </c>
      <c r="V231" s="70" t="s">
        <v>245</v>
      </c>
    </row>
    <row r="232" spans="1:22" ht="12.75" customHeight="1">
      <c r="A232" s="70" t="s">
        <v>130</v>
      </c>
      <c r="B232" s="56" t="s">
        <v>55</v>
      </c>
      <c r="C232" s="56" t="s">
        <v>615</v>
      </c>
      <c r="D232" s="56" t="s">
        <v>329</v>
      </c>
      <c r="E232" s="56" t="s">
        <v>243</v>
      </c>
      <c r="F232" s="22">
        <v>186</v>
      </c>
      <c r="G232" s="24" t="str">
        <f>VLOOKUP(C232,'4. TRANSACTIONS'!F:T,15,FALSE)</f>
        <v>Gross cash amount, before fees etc, in local currency.</v>
      </c>
      <c r="H232" s="20">
        <v>43538</v>
      </c>
      <c r="I232" s="70" t="e">
        <v>#N/A</v>
      </c>
      <c r="J232" s="70" t="str">
        <f t="shared" ca="1" si="6"/>
        <v>local_gross</v>
      </c>
      <c r="K232" s="70" t="e">
        <f t="shared" ca="1" si="0"/>
        <v>#N/A</v>
      </c>
      <c r="L232" s="70" t="s">
        <v>528</v>
      </c>
      <c r="M232" s="70">
        <f t="shared" ca="1" si="1"/>
        <v>89</v>
      </c>
      <c r="N232" s="129" t="s">
        <v>616</v>
      </c>
      <c r="O232" s="70" t="b">
        <f t="shared" ca="1" si="2"/>
        <v>1</v>
      </c>
      <c r="P232" s="70"/>
      <c r="Q232" s="70" t="str">
        <f t="shared" ca="1" si="3"/>
        <v>CommonInterface-TransactionMapping-20181130-v2</v>
      </c>
      <c r="R232" s="20">
        <f t="shared" ca="1" si="4"/>
        <v>43449</v>
      </c>
      <c r="S232" s="70" t="str">
        <f t="shared" ca="1" si="5"/>
        <v xml:space="preserve">3/12 - IC confirmed this was a typo on their end.  They will correct ETL to match NB. </v>
      </c>
      <c r="T232" s="70" t="s">
        <v>244</v>
      </c>
      <c r="U232" s="20">
        <v>43550</v>
      </c>
      <c r="V232" s="70" t="s">
        <v>256</v>
      </c>
    </row>
    <row r="233" spans="1:22" ht="12.75" customHeight="1">
      <c r="A233" s="70" t="s">
        <v>130</v>
      </c>
      <c r="B233" s="56" t="s">
        <v>55</v>
      </c>
      <c r="C233" s="56" t="s">
        <v>617</v>
      </c>
      <c r="D233" s="56" t="s">
        <v>329</v>
      </c>
      <c r="E233" s="56" t="s">
        <v>243</v>
      </c>
      <c r="F233" s="22">
        <v>185</v>
      </c>
      <c r="G233" s="24" t="str">
        <f>VLOOKUP(C233,'4. TRANSACTIONS'!F:T,15,FALSE)</f>
        <v>Gross cash amount, before fees etc, in base currency.</v>
      </c>
      <c r="H233" s="20">
        <v>43538</v>
      </c>
      <c r="I233" s="70" t="e">
        <v>#N/A</v>
      </c>
      <c r="J233" s="70" t="str">
        <f t="shared" ca="1" si="6"/>
        <v>firm_gross</v>
      </c>
      <c r="K233" s="70" t="e">
        <f t="shared" ca="1" si="0"/>
        <v>#N/A</v>
      </c>
      <c r="L233" s="70" t="s">
        <v>528</v>
      </c>
      <c r="M233" s="70">
        <f t="shared" ca="1" si="1"/>
        <v>90</v>
      </c>
      <c r="N233" s="129" t="s">
        <v>618</v>
      </c>
      <c r="O233" s="70" t="b">
        <f t="shared" ca="1" si="2"/>
        <v>1</v>
      </c>
      <c r="P233" s="70"/>
      <c r="Q233" s="70" t="str">
        <f t="shared" ca="1" si="3"/>
        <v>CommonInterface-TransactionMapping-20181130-v2</v>
      </c>
      <c r="R233" s="20">
        <f t="shared" ca="1" si="4"/>
        <v>43449</v>
      </c>
      <c r="S233" s="70" t="str">
        <f t="shared" ca="1" si="5"/>
        <v xml:space="preserve">3/12 - IC confirmed this was a typo on their end.  They will correct ETL to match NB. </v>
      </c>
      <c r="T233" s="70" t="s">
        <v>244</v>
      </c>
      <c r="U233" s="20">
        <v>43550</v>
      </c>
      <c r="V233" s="70" t="s">
        <v>256</v>
      </c>
    </row>
    <row r="234" spans="1:22" ht="12.75" customHeight="1">
      <c r="A234" s="70" t="s">
        <v>130</v>
      </c>
      <c r="B234" s="56" t="s">
        <v>55</v>
      </c>
      <c r="C234" s="56" t="s">
        <v>619</v>
      </c>
      <c r="D234" s="56" t="s">
        <v>329</v>
      </c>
      <c r="E234" s="56" t="s">
        <v>243</v>
      </c>
      <c r="F234" s="56">
        <v>79</v>
      </c>
      <c r="G234" s="70" t="str">
        <f>VLOOKUP(C234,'4. TRANSACTIONS'!F:T,15,FALSE)</f>
        <v>Accrued Income signed relative to cash</v>
      </c>
      <c r="H234" s="20">
        <v>43538</v>
      </c>
      <c r="I234" s="70" t="e">
        <v>#N/A</v>
      </c>
      <c r="J234" s="70" t="str">
        <f t="shared" ca="1" si="6"/>
        <v>accr_int</v>
      </c>
      <c r="K234" s="70" t="e">
        <f t="shared" ca="1" si="0"/>
        <v>#N/A</v>
      </c>
      <c r="L234" s="70"/>
      <c r="M234" s="70">
        <f t="shared" ca="1" si="1"/>
        <v>91</v>
      </c>
      <c r="N234" s="129" t="s">
        <v>412</v>
      </c>
      <c r="O234" s="70" t="b">
        <f t="shared" ca="1" si="2"/>
        <v>1</v>
      </c>
      <c r="P234" s="70"/>
      <c r="Q234" s="70" t="str">
        <f t="shared" ca="1" si="3"/>
        <v>CommonInterface-TransactionMapping-20181130-v2</v>
      </c>
      <c r="R234" s="20">
        <f t="shared" ca="1" si="4"/>
        <v>43449</v>
      </c>
      <c r="S234" s="5" t="str">
        <f t="shared" ca="1" si="5"/>
        <v>Initial Mapping</v>
      </c>
      <c r="T234" s="70" t="s">
        <v>244</v>
      </c>
      <c r="U234" s="20">
        <v>43535</v>
      </c>
      <c r="V234" s="70" t="s">
        <v>245</v>
      </c>
    </row>
    <row r="235" spans="1:22" ht="12.75" customHeight="1">
      <c r="A235" s="70" t="s">
        <v>130</v>
      </c>
      <c r="B235" s="56" t="s">
        <v>55</v>
      </c>
      <c r="C235" s="56" t="s">
        <v>620</v>
      </c>
      <c r="D235" s="56" t="s">
        <v>329</v>
      </c>
      <c r="E235" s="56" t="s">
        <v>243</v>
      </c>
      <c r="F235" s="56">
        <v>92</v>
      </c>
      <c r="G235" s="70" t="str">
        <f>VLOOKUP(C235,'4. TRANSACTIONS'!F:T,15,FALSE)</f>
        <v>Accrued Income Purchased or sold signed relative to accrued income</v>
      </c>
      <c r="H235" s="20">
        <v>43538</v>
      </c>
      <c r="I235" s="70" t="e">
        <v>#N/A</v>
      </c>
      <c r="J235" s="70" t="str">
        <f t="shared" ca="1" si="6"/>
        <v>ps_accrued</v>
      </c>
      <c r="K235" s="70" t="e">
        <f t="shared" ca="1" si="0"/>
        <v>#N/A</v>
      </c>
      <c r="L235" s="70" t="s">
        <v>621</v>
      </c>
      <c r="M235" s="70">
        <f t="shared" ca="1" si="1"/>
        <v>92</v>
      </c>
      <c r="N235" s="129" t="s">
        <v>622</v>
      </c>
      <c r="O235" s="70" t="b">
        <f t="shared" ca="1" si="2"/>
        <v>1</v>
      </c>
      <c r="P235" s="70"/>
      <c r="Q235" s="70" t="str">
        <f t="shared" ca="1" si="3"/>
        <v>CommonInterface-TransactionMapping-20181130-v2</v>
      </c>
      <c r="R235" s="20">
        <f t="shared" ca="1" si="4"/>
        <v>43449</v>
      </c>
      <c r="S235" s="70" t="str">
        <f t="shared" ca="1" si="5"/>
        <v xml:space="preserve">3/12 - IC confirmed this was a typo on their end.  They will correct ETL to match NB. </v>
      </c>
      <c r="T235" s="70" t="s">
        <v>244</v>
      </c>
      <c r="U235" s="20">
        <v>43550</v>
      </c>
      <c r="V235" s="70" t="s">
        <v>256</v>
      </c>
    </row>
    <row r="236" spans="1:22" ht="12.75" customHeight="1">
      <c r="A236" s="70" t="s">
        <v>130</v>
      </c>
      <c r="B236" s="56" t="s">
        <v>55</v>
      </c>
      <c r="C236" s="56" t="s">
        <v>623</v>
      </c>
      <c r="D236" s="56" t="s">
        <v>329</v>
      </c>
      <c r="E236" s="56" t="s">
        <v>243</v>
      </c>
      <c r="F236" s="56">
        <v>33</v>
      </c>
      <c r="G236" s="70" t="str">
        <f>VLOOKUP(C236,'4. TRANSACTIONS'!F:T,15,FALSE)</f>
        <v>Income Purchased/Sold Book</v>
      </c>
      <c r="H236" s="20">
        <v>43538</v>
      </c>
      <c r="I236" s="70" t="e">
        <v>#N/A</v>
      </c>
      <c r="J236" s="70" t="str">
        <f t="shared" ca="1" si="6"/>
        <v>firm_ps_accrued</v>
      </c>
      <c r="K236" s="70" t="e">
        <f t="shared" ca="1" si="0"/>
        <v>#N/A</v>
      </c>
      <c r="L236" s="70"/>
      <c r="M236" s="70">
        <f t="shared" ca="1" si="1"/>
        <v>93</v>
      </c>
      <c r="N236" s="129" t="s">
        <v>624</v>
      </c>
      <c r="O236" s="70" t="b">
        <f t="shared" ca="1" si="2"/>
        <v>1</v>
      </c>
      <c r="P236" s="70"/>
      <c r="Q236" s="70" t="str">
        <f t="shared" ca="1" si="3"/>
        <v>CommonInterface-TransactionMapping-20181130-v2</v>
      </c>
      <c r="R236" s="20">
        <f t="shared" ca="1" si="4"/>
        <v>43449</v>
      </c>
      <c r="S236" s="5" t="str">
        <f t="shared" ca="1" si="5"/>
        <v>Initial Mapping</v>
      </c>
      <c r="T236" s="70" t="s">
        <v>244</v>
      </c>
      <c r="U236" s="20">
        <v>43535</v>
      </c>
      <c r="V236" s="70" t="s">
        <v>245</v>
      </c>
    </row>
    <row r="237" spans="1:22" ht="12.75" customHeight="1">
      <c r="A237" s="70" t="s">
        <v>130</v>
      </c>
      <c r="B237" s="56" t="s">
        <v>55</v>
      </c>
      <c r="C237" s="56" t="s">
        <v>625</v>
      </c>
      <c r="D237" s="56" t="s">
        <v>329</v>
      </c>
      <c r="E237" s="56" t="s">
        <v>243</v>
      </c>
      <c r="F237" s="22">
        <v>201</v>
      </c>
      <c r="G237" s="24" t="str">
        <f>VLOOKUP(C237,'4. TRANSACTIONS'!F:T,15,FALSE)</f>
        <v>FX Rate used to convert accrued interest amount from local ccy to book ccy</v>
      </c>
      <c r="H237" s="20">
        <v>43538</v>
      </c>
      <c r="I237" s="70" t="e">
        <v>#N/A</v>
      </c>
      <c r="J237" s="70" t="str">
        <f t="shared" ca="1" si="6"/>
        <v>firm_accr_xrate</v>
      </c>
      <c r="K237" s="70" t="e">
        <f t="shared" ca="1" si="0"/>
        <v>#N/A</v>
      </c>
      <c r="L237" s="70"/>
      <c r="M237" s="70">
        <f t="shared" ca="1" si="1"/>
        <v>94</v>
      </c>
      <c r="N237" s="129" t="s">
        <v>626</v>
      </c>
      <c r="O237" s="70" t="b">
        <f t="shared" ca="1" si="2"/>
        <v>1</v>
      </c>
      <c r="P237" s="70"/>
      <c r="Q237" s="70" t="str">
        <f t="shared" ca="1" si="3"/>
        <v>CommonInterface-TransactionMapping-20181130-v2</v>
      </c>
      <c r="R237" s="20">
        <f t="shared" ca="1" si="4"/>
        <v>43449</v>
      </c>
      <c r="S237" s="5" t="str">
        <f t="shared" ca="1" si="5"/>
        <v>Initial Mapping</v>
      </c>
      <c r="T237" s="70" t="s">
        <v>244</v>
      </c>
      <c r="U237" s="20">
        <v>43535</v>
      </c>
      <c r="V237" s="70" t="s">
        <v>245</v>
      </c>
    </row>
    <row r="238" spans="1:22" ht="12.75" customHeight="1">
      <c r="A238" s="70" t="s">
        <v>130</v>
      </c>
      <c r="B238" s="56" t="s">
        <v>55</v>
      </c>
      <c r="C238" s="56" t="s">
        <v>627</v>
      </c>
      <c r="D238" s="56" t="s">
        <v>329</v>
      </c>
      <c r="E238" s="56" t="s">
        <v>243</v>
      </c>
      <c r="F238" s="56">
        <v>82</v>
      </c>
      <c r="G238" s="70" t="str">
        <f>VLOOKUP(C238,'4. TRANSACTIONS'!F:T,15,FALSE)</f>
        <v>Broker Commission signed relative to cash</v>
      </c>
      <c r="H238" s="20">
        <v>43538</v>
      </c>
      <c r="I238" s="70" t="e">
        <v>#N/A</v>
      </c>
      <c r="J238" s="70" t="str">
        <f t="shared" ca="1" si="6"/>
        <v>comm_signed</v>
      </c>
      <c r="K238" s="70" t="e">
        <f t="shared" ca="1" si="0"/>
        <v>#N/A</v>
      </c>
      <c r="L238" s="70"/>
      <c r="M238" s="70">
        <f t="shared" ca="1" si="1"/>
        <v>95</v>
      </c>
      <c r="N238" s="129" t="s">
        <v>628</v>
      </c>
      <c r="O238" s="70" t="b">
        <f t="shared" ca="1" si="2"/>
        <v>1</v>
      </c>
      <c r="P238" s="70"/>
      <c r="Q238" s="70" t="str">
        <f t="shared" ca="1" si="3"/>
        <v>CommonInterface-TransactionMapping-20181130-v2</v>
      </c>
      <c r="R238" s="20">
        <f t="shared" ca="1" si="4"/>
        <v>43449</v>
      </c>
      <c r="S238" s="5" t="str">
        <f t="shared" ca="1" si="5"/>
        <v>Initial Mapping</v>
      </c>
      <c r="T238" s="70" t="s">
        <v>244</v>
      </c>
      <c r="U238" s="20">
        <v>43535</v>
      </c>
      <c r="V238" s="70" t="s">
        <v>245</v>
      </c>
    </row>
    <row r="239" spans="1:22" ht="12.75" customHeight="1">
      <c r="A239" s="70" t="s">
        <v>130</v>
      </c>
      <c r="B239" s="56" t="s">
        <v>59</v>
      </c>
      <c r="C239" s="56" t="s">
        <v>629</v>
      </c>
      <c r="D239" s="56" t="s">
        <v>329</v>
      </c>
      <c r="E239" s="56" t="s">
        <v>243</v>
      </c>
      <c r="F239" s="56">
        <v>23</v>
      </c>
      <c r="G239" s="70" t="str">
        <f>VLOOKUP(C239,'4. TRANSACTIONS'!F:T,15,FALSE)</f>
        <v>Broker Commission Book signed relative to cash</v>
      </c>
      <c r="H239" s="20">
        <v>43538</v>
      </c>
      <c r="I239" s="70" t="e">
        <v>#N/A</v>
      </c>
      <c r="J239" s="70" t="str">
        <f t="shared" ca="1" si="6"/>
        <v>firm_comm</v>
      </c>
      <c r="K239" s="70" t="e">
        <f t="shared" ca="1" si="0"/>
        <v>#N/A</v>
      </c>
      <c r="L239" s="70"/>
      <c r="M239" s="70">
        <f t="shared" ca="1" si="1"/>
        <v>96</v>
      </c>
      <c r="N239" s="129" t="s">
        <v>630</v>
      </c>
      <c r="O239" s="70" t="b">
        <f t="shared" ca="1" si="2"/>
        <v>1</v>
      </c>
      <c r="P239" s="70"/>
      <c r="Q239" s="70" t="str">
        <f t="shared" ca="1" si="3"/>
        <v>CommonInterface-TransactionMapping-20181130-v2</v>
      </c>
      <c r="R239" s="20">
        <f t="shared" ca="1" si="4"/>
        <v>43449</v>
      </c>
      <c r="S239" s="5" t="str">
        <f t="shared" ca="1" si="5"/>
        <v>Initial Mapping</v>
      </c>
      <c r="T239" s="70" t="s">
        <v>244</v>
      </c>
      <c r="U239" s="20">
        <v>43535</v>
      </c>
      <c r="V239" s="70" t="s">
        <v>245</v>
      </c>
    </row>
    <row r="240" spans="1:22" ht="12.75" customHeight="1">
      <c r="A240" s="70" t="s">
        <v>130</v>
      </c>
      <c r="B240" s="56" t="s">
        <v>55</v>
      </c>
      <c r="C240" s="56" t="s">
        <v>631</v>
      </c>
      <c r="D240" s="56" t="s">
        <v>329</v>
      </c>
      <c r="E240" s="56" t="s">
        <v>243</v>
      </c>
      <c r="F240" s="56">
        <v>38</v>
      </c>
      <c r="G240" s="70" t="str">
        <f>VLOOKUP(C240,'4. TRANSACTIONS'!F:T,15,FALSE)</f>
        <v>SEC Fee Amount</v>
      </c>
      <c r="H240" s="20">
        <v>43538</v>
      </c>
      <c r="I240" s="70" t="e">
        <v>#N/A</v>
      </c>
      <c r="J240" s="70" t="str">
        <f t="shared" ca="1" si="6"/>
        <v>firm_sec_fees</v>
      </c>
      <c r="K240" s="70" t="e">
        <f t="shared" ca="1" si="0"/>
        <v>#N/A</v>
      </c>
      <c r="L240" s="70"/>
      <c r="M240" s="70">
        <f t="shared" ca="1" si="1"/>
        <v>97</v>
      </c>
      <c r="N240" s="129" t="s">
        <v>632</v>
      </c>
      <c r="O240" s="70" t="b">
        <f t="shared" ca="1" si="2"/>
        <v>1</v>
      </c>
      <c r="P240" s="70"/>
      <c r="Q240" s="70" t="str">
        <f t="shared" ca="1" si="3"/>
        <v>CommonInterface-TransactionMapping-20181130-v2</v>
      </c>
      <c r="R240" s="20">
        <f t="shared" ca="1" si="4"/>
        <v>43449</v>
      </c>
      <c r="S240" s="5" t="str">
        <f t="shared" ca="1" si="5"/>
        <v>Initial Mapping</v>
      </c>
      <c r="T240" s="70" t="s">
        <v>244</v>
      </c>
      <c r="U240" s="20">
        <v>43535</v>
      </c>
      <c r="V240" s="70" t="s">
        <v>245</v>
      </c>
    </row>
    <row r="241" spans="1:22" ht="12.75" customHeight="1">
      <c r="A241" s="70" t="s">
        <v>130</v>
      </c>
      <c r="B241" s="56" t="s">
        <v>55</v>
      </c>
      <c r="C241" s="56" t="s">
        <v>633</v>
      </c>
      <c r="D241" s="56" t="s">
        <v>329</v>
      </c>
      <c r="E241" s="56" t="s">
        <v>243</v>
      </c>
      <c r="F241" s="22">
        <v>196</v>
      </c>
      <c r="G241" s="24" t="str">
        <f>VLOOKUP(C241,'4. TRANSACTIONS'!F:T,15,FALSE)</f>
        <v>Total amount of national taxes withheld.</v>
      </c>
      <c r="H241" s="20">
        <v>43538</v>
      </c>
      <c r="I241" s="70" t="e">
        <v>#N/A</v>
      </c>
      <c r="J241" s="70" t="str">
        <f t="shared" ca="1" si="6"/>
        <v>firm_nra_wh</v>
      </c>
      <c r="K241" s="70" t="e">
        <f t="shared" ca="1" si="0"/>
        <v>#N/A</v>
      </c>
      <c r="L241" s="70"/>
      <c r="M241" s="70">
        <f t="shared" ca="1" si="1"/>
        <v>98</v>
      </c>
      <c r="N241" s="129" t="s">
        <v>634</v>
      </c>
      <c r="O241" s="70" t="b">
        <f t="shared" ca="1" si="2"/>
        <v>1</v>
      </c>
      <c r="P241" s="70"/>
      <c r="Q241" s="70" t="str">
        <f t="shared" ca="1" si="3"/>
        <v>CommonInterface-TransactionMapping-20181130-v2</v>
      </c>
      <c r="R241" s="20">
        <f t="shared" ca="1" si="4"/>
        <v>43449</v>
      </c>
      <c r="S241" s="5" t="str">
        <f t="shared" ca="1" si="5"/>
        <v>Initial Mapping</v>
      </c>
      <c r="T241" s="70" t="s">
        <v>244</v>
      </c>
      <c r="U241" s="20">
        <v>43535</v>
      </c>
      <c r="V241" s="70" t="s">
        <v>245</v>
      </c>
    </row>
    <row r="242" spans="1:22" ht="12.75" customHeight="1">
      <c r="A242" s="70" t="s">
        <v>130</v>
      </c>
      <c r="B242" s="56" t="s">
        <v>55</v>
      </c>
      <c r="C242" s="56" t="s">
        <v>635</v>
      </c>
      <c r="D242" s="56" t="s">
        <v>329</v>
      </c>
      <c r="E242" s="56" t="s">
        <v>243</v>
      </c>
      <c r="F242" s="22">
        <v>173</v>
      </c>
      <c r="G242" s="24" t="str">
        <f>VLOOKUP(C242,'4. TRANSACTIONS'!F:T,15,FALSE)</f>
        <v>NRA Withholding tax. Refer to IRS website for complete description.</v>
      </c>
      <c r="H242" s="20">
        <v>43538</v>
      </c>
      <c r="I242" s="70" t="e">
        <v>#N/A</v>
      </c>
      <c r="J242" s="70" t="str">
        <f t="shared" ca="1" si="6"/>
        <v>firm_nra_wh_irs</v>
      </c>
      <c r="K242" s="70" t="e">
        <f t="shared" ca="1" si="0"/>
        <v>#N/A</v>
      </c>
      <c r="L242" s="70"/>
      <c r="M242" s="70">
        <f t="shared" ca="1" si="1"/>
        <v>99</v>
      </c>
      <c r="N242" s="129" t="s">
        <v>636</v>
      </c>
      <c r="O242" s="70" t="b">
        <f t="shared" ca="1" si="2"/>
        <v>1</v>
      </c>
      <c r="P242" s="70"/>
      <c r="Q242" s="70" t="str">
        <f t="shared" ca="1" si="3"/>
        <v>CommonInterface-TransactionMapping-20181130-v2</v>
      </c>
      <c r="R242" s="20">
        <f t="shared" ca="1" si="4"/>
        <v>43449</v>
      </c>
      <c r="S242" s="5" t="str">
        <f t="shared" ca="1" si="5"/>
        <v>Initial Mapping</v>
      </c>
      <c r="T242" s="70" t="s">
        <v>244</v>
      </c>
      <c r="U242" s="20">
        <v>43535</v>
      </c>
      <c r="V242" s="70" t="s">
        <v>245</v>
      </c>
    </row>
    <row r="243" spans="1:22" ht="12.75" customHeight="1">
      <c r="A243" s="70" t="s">
        <v>130</v>
      </c>
      <c r="B243" s="56" t="s">
        <v>55</v>
      </c>
      <c r="C243" s="56" t="s">
        <v>637</v>
      </c>
      <c r="D243" s="56" t="s">
        <v>329</v>
      </c>
      <c r="E243" s="56" t="s">
        <v>243</v>
      </c>
      <c r="F243" s="22">
        <v>197</v>
      </c>
      <c r="G243" s="24" t="str">
        <f>VLOOKUP(C243,'4. TRANSACTIONS'!F:T,15,FALSE)</f>
        <v>The amount of the national tax withheld by us.</v>
      </c>
      <c r="H243" s="20">
        <v>43538</v>
      </c>
      <c r="I243" s="70" t="e">
        <v>#N/A</v>
      </c>
      <c r="J243" s="70" t="str">
        <f t="shared" ca="1" si="6"/>
        <v>firm_nra_wh_us</v>
      </c>
      <c r="K243" s="70" t="e">
        <f t="shared" ca="1" si="0"/>
        <v>#N/A</v>
      </c>
      <c r="L243" s="70"/>
      <c r="M243" s="70">
        <f t="shared" ca="1" si="1"/>
        <v>100</v>
      </c>
      <c r="N243" s="129" t="s">
        <v>638</v>
      </c>
      <c r="O243" s="70" t="b">
        <f t="shared" ca="1" si="2"/>
        <v>1</v>
      </c>
      <c r="P243" s="70"/>
      <c r="Q243" s="70" t="str">
        <f t="shared" ca="1" si="3"/>
        <v>CommonInterface-TransactionMapping-20181130-v2</v>
      </c>
      <c r="R243" s="20">
        <f t="shared" ca="1" si="4"/>
        <v>43449</v>
      </c>
      <c r="S243" s="5" t="str">
        <f t="shared" ca="1" si="5"/>
        <v>Initial Mapping</v>
      </c>
      <c r="T243" s="70" t="s">
        <v>244</v>
      </c>
      <c r="U243" s="20">
        <v>43535</v>
      </c>
      <c r="V243" s="70" t="s">
        <v>245</v>
      </c>
    </row>
    <row r="244" spans="1:22" ht="12.75" customHeight="1">
      <c r="A244" s="70" t="s">
        <v>130</v>
      </c>
      <c r="B244" s="56" t="s">
        <v>59</v>
      </c>
      <c r="C244" s="56" t="s">
        <v>639</v>
      </c>
      <c r="D244" s="56" t="s">
        <v>329</v>
      </c>
      <c r="E244" s="56" t="s">
        <v>243</v>
      </c>
      <c r="F244" s="56">
        <v>41</v>
      </c>
      <c r="G244" s="70" t="str">
        <f>VLOOKUP(C244,'4. TRANSACTIONS'!F:T,15,FALSE)</f>
        <v>Withholding Tax Expense</v>
      </c>
      <c r="H244" s="20">
        <v>43538</v>
      </c>
      <c r="I244" s="70" t="e">
        <v>#N/A</v>
      </c>
      <c r="J244" s="70" t="str">
        <f t="shared" ca="1" si="6"/>
        <v>firm_wh_amt</v>
      </c>
      <c r="K244" s="70" t="e">
        <f t="shared" ca="1" si="0"/>
        <v>#N/A</v>
      </c>
      <c r="L244" s="70"/>
      <c r="M244" s="70">
        <f t="shared" ca="1" si="1"/>
        <v>101</v>
      </c>
      <c r="N244" s="129" t="s">
        <v>640</v>
      </c>
      <c r="O244" s="70" t="b">
        <f t="shared" ca="1" si="2"/>
        <v>1</v>
      </c>
      <c r="P244" s="70"/>
      <c r="Q244" s="70" t="str">
        <f t="shared" ca="1" si="3"/>
        <v>CommonInterface-TransactionMapping-20181130-v2</v>
      </c>
      <c r="R244" s="20">
        <f t="shared" ca="1" si="4"/>
        <v>43449</v>
      </c>
      <c r="S244" s="5" t="str">
        <f t="shared" ca="1" si="5"/>
        <v>Initial Mapping</v>
      </c>
      <c r="T244" s="70" t="s">
        <v>244</v>
      </c>
      <c r="U244" s="20">
        <v>43535</v>
      </c>
      <c r="V244" s="70" t="s">
        <v>245</v>
      </c>
    </row>
    <row r="245" spans="1:22" ht="12.75" customHeight="1">
      <c r="A245" s="70" t="s">
        <v>130</v>
      </c>
      <c r="B245" s="56" t="s">
        <v>55</v>
      </c>
      <c r="C245" s="56" t="s">
        <v>641</v>
      </c>
      <c r="D245" s="56" t="s">
        <v>329</v>
      </c>
      <c r="E245" s="56" t="s">
        <v>243</v>
      </c>
      <c r="F245" s="22">
        <v>172</v>
      </c>
      <c r="G245" s="24" t="str">
        <f>VLOOKUP(C245,'4. TRANSACTIONS'!F:T,15,FALSE)</f>
        <v>Foreign tax amount in base currency.</v>
      </c>
      <c r="H245" s="20">
        <v>43538</v>
      </c>
      <c r="I245" s="70" t="e">
        <v>#N/A</v>
      </c>
      <c r="J245" s="70" t="str">
        <f t="shared" ca="1" si="6"/>
        <v>firm_foreign_tax</v>
      </c>
      <c r="K245" s="70" t="e">
        <f t="shared" ca="1" si="0"/>
        <v>#N/A</v>
      </c>
      <c r="L245" s="70" t="s">
        <v>528</v>
      </c>
      <c r="M245" s="70">
        <f t="shared" ca="1" si="1"/>
        <v>102</v>
      </c>
      <c r="N245" s="129" t="s">
        <v>642</v>
      </c>
      <c r="O245" s="70" t="b">
        <f t="shared" ca="1" si="2"/>
        <v>1</v>
      </c>
      <c r="P245" s="70"/>
      <c r="Q245" s="70" t="str">
        <f t="shared" ca="1" si="3"/>
        <v>CommonInterface-TransactionMapping-20181130-v2</v>
      </c>
      <c r="R245" s="20">
        <f t="shared" ca="1" si="4"/>
        <v>43449</v>
      </c>
      <c r="S245" s="70" t="str">
        <f t="shared" ca="1" si="5"/>
        <v xml:space="preserve">3/12 - IC confirmed this was a typo on their end.  They will correct ETL to match NB. </v>
      </c>
      <c r="T245" s="70" t="s">
        <v>244</v>
      </c>
      <c r="U245" s="20">
        <v>43550</v>
      </c>
      <c r="V245" s="70" t="s">
        <v>256</v>
      </c>
    </row>
    <row r="246" spans="1:22" ht="12.75" customHeight="1">
      <c r="A246" s="70" t="s">
        <v>130</v>
      </c>
      <c r="B246" s="56" t="s">
        <v>59</v>
      </c>
      <c r="C246" s="56" t="s">
        <v>643</v>
      </c>
      <c r="D246" s="56" t="s">
        <v>329</v>
      </c>
      <c r="E246" s="56" t="s">
        <v>243</v>
      </c>
      <c r="F246" s="56">
        <v>111</v>
      </c>
      <c r="G246" s="70" t="str">
        <f>VLOOKUP(C246,'4. TRANSACTIONS'!F:T,15,FALSE)</f>
        <v>FX rate between the buy and sell currency for FX transactions</v>
      </c>
      <c r="H246" s="20">
        <v>43538</v>
      </c>
      <c r="I246" s="70" t="e">
        <v>#N/A</v>
      </c>
      <c r="J246" s="70" t="str">
        <f t="shared" ca="1" si="6"/>
        <v>fx_rate</v>
      </c>
      <c r="K246" s="70" t="e">
        <f t="shared" ca="1" si="0"/>
        <v>#N/A</v>
      </c>
      <c r="L246" s="70"/>
      <c r="M246" s="70">
        <f t="shared" ca="1" si="1"/>
        <v>103</v>
      </c>
      <c r="N246" s="129" t="s">
        <v>644</v>
      </c>
      <c r="O246" s="70" t="b">
        <f t="shared" ca="1" si="2"/>
        <v>1</v>
      </c>
      <c r="P246" s="70"/>
      <c r="Q246" s="70" t="str">
        <f t="shared" ca="1" si="3"/>
        <v>CommonInterface-TransactionMapping-20181130-v2</v>
      </c>
      <c r="R246" s="20">
        <f t="shared" ca="1" si="4"/>
        <v>43449</v>
      </c>
      <c r="S246" s="5" t="str">
        <f t="shared" ca="1" si="5"/>
        <v>Initial Mapping</v>
      </c>
      <c r="T246" s="70" t="s">
        <v>244</v>
      </c>
      <c r="U246" s="20">
        <v>43535</v>
      </c>
      <c r="V246" s="70" t="s">
        <v>245</v>
      </c>
    </row>
    <row r="247" spans="1:22" ht="12.75" customHeight="1">
      <c r="A247" s="70" t="s">
        <v>130</v>
      </c>
      <c r="B247" s="56" t="s">
        <v>55</v>
      </c>
      <c r="C247" s="56" t="s">
        <v>645</v>
      </c>
      <c r="D247" s="56" t="s">
        <v>329</v>
      </c>
      <c r="E247" s="56" t="s">
        <v>243</v>
      </c>
      <c r="F247" s="22">
        <v>202</v>
      </c>
      <c r="G247" s="24" t="str">
        <f>VLOOKUP(C247,'4. TRANSACTIONS'!F:T,15,FALSE)</f>
        <v>Total gain / loss proceds in base currency.</v>
      </c>
      <c r="H247" s="20">
        <v>43538</v>
      </c>
      <c r="I247" s="70" t="e">
        <v>#N/A</v>
      </c>
      <c r="J247" s="70" t="str">
        <f t="shared" ca="1" si="6"/>
        <v>firm_tot_gl</v>
      </c>
      <c r="K247" s="70" t="e">
        <f t="shared" ca="1" si="0"/>
        <v>#N/A</v>
      </c>
      <c r="L247" s="70"/>
      <c r="M247" s="70">
        <f t="shared" ca="1" si="1"/>
        <v>104</v>
      </c>
      <c r="N247" s="129" t="s">
        <v>646</v>
      </c>
      <c r="O247" s="70" t="b">
        <f t="shared" ca="1" si="2"/>
        <v>1</v>
      </c>
      <c r="P247" s="70"/>
      <c r="Q247" s="70" t="str">
        <f t="shared" ca="1" si="3"/>
        <v>CommonInterface-TransactionMapping-20181130-v2</v>
      </c>
      <c r="R247" s="20">
        <f t="shared" ca="1" si="4"/>
        <v>43449</v>
      </c>
      <c r="S247" s="5" t="str">
        <f t="shared" ca="1" si="5"/>
        <v>Initial Mapping</v>
      </c>
      <c r="T247" s="70" t="s">
        <v>244</v>
      </c>
      <c r="U247" s="20">
        <v>43535</v>
      </c>
      <c r="V247" s="70" t="s">
        <v>245</v>
      </c>
    </row>
    <row r="248" spans="1:22" ht="12.75" customHeight="1">
      <c r="A248" s="70" t="s">
        <v>130</v>
      </c>
      <c r="B248" s="56" t="s">
        <v>55</v>
      </c>
      <c r="C248" s="56" t="s">
        <v>647</v>
      </c>
      <c r="D248" s="56" t="s">
        <v>329</v>
      </c>
      <c r="E248" s="56" t="s">
        <v>243</v>
      </c>
      <c r="F248" s="22">
        <v>214</v>
      </c>
      <c r="G248" s="24" t="str">
        <f>VLOOKUP(C248,'4. TRANSACTIONS'!F:T,15,FALSE)</f>
        <v>Total realized gains in the book currency of the account.</v>
      </c>
      <c r="H248" s="20">
        <v>43538</v>
      </c>
      <c r="I248" s="70" t="e">
        <v>#N/A</v>
      </c>
      <c r="J248" s="70" t="str">
        <f t="shared" ca="1" si="6"/>
        <v>firm_total_gain</v>
      </c>
      <c r="K248" s="70" t="e">
        <f t="shared" ca="1" si="0"/>
        <v>#N/A</v>
      </c>
      <c r="L248" s="70"/>
      <c r="M248" s="70">
        <f t="shared" ca="1" si="1"/>
        <v>105</v>
      </c>
      <c r="N248" s="129" t="s">
        <v>648</v>
      </c>
      <c r="O248" s="70" t="b">
        <f t="shared" ca="1" si="2"/>
        <v>1</v>
      </c>
      <c r="P248" s="70"/>
      <c r="Q248" s="70" t="str">
        <f t="shared" ca="1" si="3"/>
        <v>CommonInterface-TransactionMapping-20181130-v2</v>
      </c>
      <c r="R248" s="20">
        <f t="shared" ca="1" si="4"/>
        <v>43449</v>
      </c>
      <c r="S248" s="5" t="str">
        <f t="shared" ca="1" si="5"/>
        <v>Initial Mapping</v>
      </c>
      <c r="T248" s="70" t="s">
        <v>244</v>
      </c>
      <c r="U248" s="20">
        <v>43535</v>
      </c>
      <c r="V248" s="70" t="s">
        <v>245</v>
      </c>
    </row>
    <row r="249" spans="1:22" ht="12.75" customHeight="1">
      <c r="A249" s="70" t="s">
        <v>130</v>
      </c>
      <c r="B249" s="56" t="s">
        <v>55</v>
      </c>
      <c r="C249" s="56" t="s">
        <v>649</v>
      </c>
      <c r="D249" s="56" t="s">
        <v>329</v>
      </c>
      <c r="E249" s="56" t="s">
        <v>243</v>
      </c>
      <c r="F249" s="22">
        <v>213</v>
      </c>
      <c r="G249" s="24" t="str">
        <f>VLOOKUP(C249,'4. TRANSACTIONS'!F:T,15,FALSE)</f>
        <v>Total realized losses in the book currency of the account.</v>
      </c>
      <c r="H249" s="20">
        <v>43538</v>
      </c>
      <c r="I249" s="70" t="e">
        <v>#N/A</v>
      </c>
      <c r="J249" s="70" t="str">
        <f t="shared" ca="1" si="6"/>
        <v>firm_total_loss</v>
      </c>
      <c r="K249" s="70" t="e">
        <f t="shared" ca="1" si="0"/>
        <v>#N/A</v>
      </c>
      <c r="L249" s="70"/>
      <c r="M249" s="70">
        <f t="shared" ca="1" si="1"/>
        <v>106</v>
      </c>
      <c r="N249" s="129" t="s">
        <v>650</v>
      </c>
      <c r="O249" s="70" t="b">
        <f t="shared" ca="1" si="2"/>
        <v>1</v>
      </c>
      <c r="P249" s="70"/>
      <c r="Q249" s="70" t="str">
        <f t="shared" ca="1" si="3"/>
        <v>CommonInterface-TransactionMapping-20181130-v2</v>
      </c>
      <c r="R249" s="20">
        <f t="shared" ca="1" si="4"/>
        <v>43449</v>
      </c>
      <c r="S249" s="5" t="str">
        <f t="shared" ca="1" si="5"/>
        <v>Initial Mapping</v>
      </c>
      <c r="T249" s="70" t="s">
        <v>244</v>
      </c>
      <c r="U249" s="20">
        <v>43535</v>
      </c>
      <c r="V249" s="70" t="s">
        <v>245</v>
      </c>
    </row>
    <row r="250" spans="1:22" ht="12.75" customHeight="1">
      <c r="A250" s="70" t="s">
        <v>130</v>
      </c>
      <c r="B250" s="56" t="s">
        <v>59</v>
      </c>
      <c r="C250" s="56" t="s">
        <v>651</v>
      </c>
      <c r="D250" s="56" t="s">
        <v>329</v>
      </c>
      <c r="E250" s="56" t="s">
        <v>243</v>
      </c>
      <c r="F250" s="56">
        <v>26</v>
      </c>
      <c r="G250" s="70" t="str">
        <f>VLOOKUP(C250,'4. TRANSACTIONS'!F:T,15,FALSE)</f>
        <v>G/L Amount Book Long Term</v>
      </c>
      <c r="H250" s="20">
        <v>43538</v>
      </c>
      <c r="I250" s="70" t="e">
        <v>#N/A</v>
      </c>
      <c r="J250" s="70" t="str">
        <f t="shared" ca="1" si="6"/>
        <v>firm_long_gl</v>
      </c>
      <c r="K250" s="70" t="e">
        <f t="shared" ca="1" si="0"/>
        <v>#N/A</v>
      </c>
      <c r="L250" s="70"/>
      <c r="M250" s="70">
        <f t="shared" ca="1" si="1"/>
        <v>107</v>
      </c>
      <c r="N250" s="129" t="s">
        <v>652</v>
      </c>
      <c r="O250" s="70" t="b">
        <f t="shared" ca="1" si="2"/>
        <v>1</v>
      </c>
      <c r="P250" s="70"/>
      <c r="Q250" s="70" t="str">
        <f t="shared" ca="1" si="3"/>
        <v>CommonInterface-TransactionMapping-20181130-v2</v>
      </c>
      <c r="R250" s="20">
        <f t="shared" ca="1" si="4"/>
        <v>43449</v>
      </c>
      <c r="S250" s="5" t="str">
        <f t="shared" ca="1" si="5"/>
        <v>Initial Mapping</v>
      </c>
      <c r="T250" s="70" t="s">
        <v>244</v>
      </c>
      <c r="U250" s="20">
        <v>43535</v>
      </c>
      <c r="V250" s="70" t="s">
        <v>245</v>
      </c>
    </row>
    <row r="251" spans="1:22" ht="12.75" customHeight="1">
      <c r="A251" s="70" t="s">
        <v>130</v>
      </c>
      <c r="B251" s="56" t="s">
        <v>55</v>
      </c>
      <c r="C251" s="56" t="s">
        <v>653</v>
      </c>
      <c r="D251" s="56" t="s">
        <v>329</v>
      </c>
      <c r="E251" s="56" t="s">
        <v>243</v>
      </c>
      <c r="F251" s="22">
        <v>210</v>
      </c>
      <c r="G251" s="24" t="str">
        <f>VLOOKUP(C251,'4. TRANSACTIONS'!F:T,15,FALSE)</f>
        <v>National / Fed realized long term gains and losses in the book currency of the account.</v>
      </c>
      <c r="H251" s="20">
        <v>43538</v>
      </c>
      <c r="I251" s="70" t="e">
        <v>#N/A</v>
      </c>
      <c r="J251" s="70" t="str">
        <f t="shared" ca="1" si="6"/>
        <v>firm_fed_long_gl</v>
      </c>
      <c r="K251" s="70" t="e">
        <f t="shared" ca="1" si="0"/>
        <v>#N/A</v>
      </c>
      <c r="L251" s="70"/>
      <c r="M251" s="70">
        <f t="shared" ca="1" si="1"/>
        <v>108</v>
      </c>
      <c r="N251" s="129" t="s">
        <v>654</v>
      </c>
      <c r="O251" s="70" t="b">
        <f t="shared" ca="1" si="2"/>
        <v>1</v>
      </c>
      <c r="P251" s="70"/>
      <c r="Q251" s="70" t="str">
        <f t="shared" ca="1" si="3"/>
        <v>CommonInterface-TransactionMapping-20181130-v2</v>
      </c>
      <c r="R251" s="20">
        <f t="shared" ca="1" si="4"/>
        <v>43449</v>
      </c>
      <c r="S251" s="5" t="str">
        <f t="shared" ca="1" si="5"/>
        <v>Initial Mapping</v>
      </c>
      <c r="T251" s="70" t="s">
        <v>244</v>
      </c>
      <c r="U251" s="20">
        <v>43535</v>
      </c>
      <c r="V251" s="70" t="s">
        <v>245</v>
      </c>
    </row>
    <row r="252" spans="1:22" ht="12.75" customHeight="1">
      <c r="A252" s="70" t="s">
        <v>130</v>
      </c>
      <c r="B252" s="56" t="s">
        <v>59</v>
      </c>
      <c r="C252" s="56" t="s">
        <v>655</v>
      </c>
      <c r="D252" s="56" t="s">
        <v>329</v>
      </c>
      <c r="E252" s="56" t="s">
        <v>243</v>
      </c>
      <c r="F252" s="56">
        <v>85</v>
      </c>
      <c r="G252" s="70" t="str">
        <f>VLOOKUP(C252,'4. TRANSACTIONS'!F:T,15,FALSE)</f>
        <v>G/L Amount Long Term</v>
      </c>
      <c r="H252" s="20">
        <v>43538</v>
      </c>
      <c r="I252" s="70" t="e">
        <v>#N/A</v>
      </c>
      <c r="J252" s="70" t="str">
        <f t="shared" ca="1" si="6"/>
        <v>long_gl</v>
      </c>
      <c r="K252" s="70" t="e">
        <f t="shared" ca="1" si="0"/>
        <v>#N/A</v>
      </c>
      <c r="L252" s="70" t="s">
        <v>528</v>
      </c>
      <c r="M252" s="70">
        <f t="shared" ca="1" si="1"/>
        <v>109</v>
      </c>
      <c r="N252" s="129" t="s">
        <v>656</v>
      </c>
      <c r="O252" s="70" t="b">
        <f t="shared" ca="1" si="2"/>
        <v>1</v>
      </c>
      <c r="P252" s="70"/>
      <c r="Q252" s="70" t="str">
        <f t="shared" ca="1" si="3"/>
        <v>CommonInterface-TransactionMapping-20181130-v2</v>
      </c>
      <c r="R252" s="20">
        <f t="shared" ca="1" si="4"/>
        <v>43449</v>
      </c>
      <c r="S252" s="70" t="str">
        <f t="shared" ca="1" si="5"/>
        <v xml:space="preserve">3/12 - IC confirmed this was a typo on their end.  They will correct ETL to match NB. </v>
      </c>
      <c r="T252" s="70" t="s">
        <v>244</v>
      </c>
      <c r="U252" s="20">
        <v>43550</v>
      </c>
      <c r="V252" s="70" t="s">
        <v>256</v>
      </c>
    </row>
    <row r="253" spans="1:22" ht="12.75" customHeight="1">
      <c r="A253" s="70" t="s">
        <v>130</v>
      </c>
      <c r="B253" s="56" t="s">
        <v>59</v>
      </c>
      <c r="C253" s="56" t="s">
        <v>657</v>
      </c>
      <c r="D253" s="56" t="s">
        <v>329</v>
      </c>
      <c r="E253" s="56" t="s">
        <v>243</v>
      </c>
      <c r="F253" s="56">
        <v>40</v>
      </c>
      <c r="G253" s="70" t="str">
        <f>VLOOKUP(C253,'4. TRANSACTIONS'!F:T,15,FALSE)</f>
        <v>G/L Amount Book Short Term</v>
      </c>
      <c r="H253" s="20">
        <v>43538</v>
      </c>
      <c r="I253" s="70" t="e">
        <v>#N/A</v>
      </c>
      <c r="J253" s="70" t="str">
        <f t="shared" ca="1" si="6"/>
        <v>firm_short_gl</v>
      </c>
      <c r="K253" s="70" t="e">
        <f t="shared" ca="1" si="0"/>
        <v>#N/A</v>
      </c>
      <c r="L253" s="70"/>
      <c r="M253" s="70">
        <f t="shared" ca="1" si="1"/>
        <v>110</v>
      </c>
      <c r="N253" s="129" t="s">
        <v>658</v>
      </c>
      <c r="O253" s="70" t="b">
        <f t="shared" ca="1" si="2"/>
        <v>1</v>
      </c>
      <c r="P253" s="70"/>
      <c r="Q253" s="70" t="str">
        <f t="shared" ca="1" si="3"/>
        <v>CommonInterface-TransactionMapping-20181130-v2</v>
      </c>
      <c r="R253" s="20">
        <f t="shared" ca="1" si="4"/>
        <v>43449</v>
      </c>
      <c r="S253" s="5" t="str">
        <f t="shared" ca="1" si="5"/>
        <v>Initial Mapping</v>
      </c>
      <c r="T253" s="70" t="s">
        <v>244</v>
      </c>
      <c r="U253" s="20">
        <v>43535</v>
      </c>
      <c r="V253" s="70" t="s">
        <v>245</v>
      </c>
    </row>
    <row r="254" spans="1:22" ht="12.75" customHeight="1">
      <c r="A254" s="70" t="s">
        <v>130</v>
      </c>
      <c r="B254" s="56" t="s">
        <v>55</v>
      </c>
      <c r="C254" s="56" t="s">
        <v>659</v>
      </c>
      <c r="D254" s="56" t="s">
        <v>329</v>
      </c>
      <c r="E254" s="56" t="s">
        <v>243</v>
      </c>
      <c r="F254" s="22">
        <v>211</v>
      </c>
      <c r="G254" s="24" t="str">
        <f>VLOOKUP(C254,'4. TRANSACTIONS'!F:T,15,FALSE)</f>
        <v>National / Fed realized short term gains and losses in the book currency of the account.</v>
      </c>
      <c r="H254" s="20">
        <v>43538</v>
      </c>
      <c r="I254" s="70" t="e">
        <v>#N/A</v>
      </c>
      <c r="J254" s="70" t="str">
        <f t="shared" ca="1" si="6"/>
        <v>firm_fed_short_gl</v>
      </c>
      <c r="K254" s="70" t="e">
        <f t="shared" ca="1" si="0"/>
        <v>#N/A</v>
      </c>
      <c r="L254" s="70"/>
      <c r="M254" s="70">
        <f t="shared" ca="1" si="1"/>
        <v>111</v>
      </c>
      <c r="N254" s="129" t="s">
        <v>660</v>
      </c>
      <c r="O254" s="70" t="b">
        <f t="shared" ca="1" si="2"/>
        <v>1</v>
      </c>
      <c r="P254" s="70"/>
      <c r="Q254" s="70" t="str">
        <f t="shared" ca="1" si="3"/>
        <v>CommonInterface-TransactionMapping-20181130-v2</v>
      </c>
      <c r="R254" s="20">
        <f t="shared" ca="1" si="4"/>
        <v>43449</v>
      </c>
      <c r="S254" s="5" t="str">
        <f t="shared" ca="1" si="5"/>
        <v>Initial Mapping</v>
      </c>
      <c r="T254" s="70" t="s">
        <v>244</v>
      </c>
      <c r="U254" s="20">
        <v>43535</v>
      </c>
      <c r="V254" s="70" t="s">
        <v>245</v>
      </c>
    </row>
    <row r="255" spans="1:22" ht="12.75" customHeight="1">
      <c r="A255" s="70" t="s">
        <v>130</v>
      </c>
      <c r="B255" s="56" t="s">
        <v>59</v>
      </c>
      <c r="C255" s="56" t="s">
        <v>661</v>
      </c>
      <c r="D255" s="56" t="s">
        <v>329</v>
      </c>
      <c r="E255" s="56" t="s">
        <v>243</v>
      </c>
      <c r="F255" s="56">
        <v>95</v>
      </c>
      <c r="G255" s="70" t="str">
        <f>VLOOKUP(C255,'4. TRANSACTIONS'!F:T,15,FALSE)</f>
        <v>G/L Amount Short Term</v>
      </c>
      <c r="H255" s="20">
        <v>43538</v>
      </c>
      <c r="I255" s="70" t="e">
        <v>#N/A</v>
      </c>
      <c r="J255" s="70" t="str">
        <f t="shared" ca="1" si="6"/>
        <v>short_gl</v>
      </c>
      <c r="K255" s="70" t="e">
        <f t="shared" ca="1" si="0"/>
        <v>#N/A</v>
      </c>
      <c r="L255" s="70"/>
      <c r="M255" s="70">
        <f t="shared" ca="1" si="1"/>
        <v>112</v>
      </c>
      <c r="N255" s="129" t="s">
        <v>662</v>
      </c>
      <c r="O255" s="70" t="b">
        <f t="shared" ca="1" si="2"/>
        <v>1</v>
      </c>
      <c r="P255" s="70"/>
      <c r="Q255" s="70" t="str">
        <f t="shared" ca="1" si="3"/>
        <v>CommonInterface-TransactionMapping-20181130-v2</v>
      </c>
      <c r="R255" s="20">
        <f t="shared" ca="1" si="4"/>
        <v>43449</v>
      </c>
      <c r="S255" s="5" t="str">
        <f t="shared" ca="1" si="5"/>
        <v>Initial Mapping</v>
      </c>
      <c r="T255" s="70" t="s">
        <v>244</v>
      </c>
      <c r="U255" s="20">
        <v>43535</v>
      </c>
      <c r="V255" s="70" t="s">
        <v>245</v>
      </c>
    </row>
    <row r="256" spans="1:22" ht="12.75" customHeight="1">
      <c r="A256" s="70" t="s">
        <v>130</v>
      </c>
      <c r="B256" s="56" t="s">
        <v>59</v>
      </c>
      <c r="C256" s="56" t="s">
        <v>134</v>
      </c>
      <c r="D256" s="56" t="s">
        <v>329</v>
      </c>
      <c r="E256" s="56" t="s">
        <v>243</v>
      </c>
      <c r="F256" s="56">
        <v>36</v>
      </c>
      <c r="G256" s="70" t="str">
        <f>VLOOKUP(C256,'4. TRANSACTIONS'!F:T,15,FALSE)</f>
        <v>Realized G/L Book</v>
      </c>
      <c r="H256" s="20">
        <v>43538</v>
      </c>
      <c r="I256" s="70" t="e">
        <v>#N/A</v>
      </c>
      <c r="J256" s="70" t="str">
        <f t="shared" ca="1" si="6"/>
        <v>firm_sec_gl</v>
      </c>
      <c r="K256" s="70" t="e">
        <f t="shared" ca="1" si="0"/>
        <v>#N/A</v>
      </c>
      <c r="L256" s="70"/>
      <c r="M256" s="70">
        <f t="shared" ca="1" si="1"/>
        <v>113</v>
      </c>
      <c r="N256" s="129" t="s">
        <v>663</v>
      </c>
      <c r="O256" s="70" t="b">
        <f t="shared" ca="1" si="2"/>
        <v>1</v>
      </c>
      <c r="P256" s="70"/>
      <c r="Q256" s="70" t="str">
        <f t="shared" ca="1" si="3"/>
        <v>CommonInterface-TransactionMapping-20181130-v2</v>
      </c>
      <c r="R256" s="20">
        <f t="shared" ca="1" si="4"/>
        <v>43449</v>
      </c>
      <c r="S256" s="5" t="str">
        <f t="shared" ca="1" si="5"/>
        <v>Initial Mapping</v>
      </c>
      <c r="T256" s="70" t="s">
        <v>244</v>
      </c>
      <c r="U256" s="20">
        <v>43535</v>
      </c>
      <c r="V256" s="70" t="s">
        <v>245</v>
      </c>
    </row>
    <row r="257" spans="1:22" ht="12.75" customHeight="1">
      <c r="A257" s="70" t="s">
        <v>130</v>
      </c>
      <c r="B257" s="56" t="s">
        <v>59</v>
      </c>
      <c r="C257" s="56" t="s">
        <v>143</v>
      </c>
      <c r="D257" s="56" t="s">
        <v>329</v>
      </c>
      <c r="E257" s="56" t="s">
        <v>243</v>
      </c>
      <c r="F257" s="56">
        <v>93</v>
      </c>
      <c r="G257" s="70" t="str">
        <f>VLOOKUP(C257,'4. TRANSACTIONS'!F:T,15,FALSE)</f>
        <v>Realized G/L</v>
      </c>
      <c r="H257" s="20">
        <v>43538</v>
      </c>
      <c r="I257" s="70" t="e">
        <v>#N/A</v>
      </c>
      <c r="J257" s="70" t="str">
        <f t="shared" ca="1" si="6"/>
        <v>sec_gl</v>
      </c>
      <c r="K257" s="70" t="e">
        <f t="shared" ca="1" si="0"/>
        <v>#N/A</v>
      </c>
      <c r="L257" s="70"/>
      <c r="M257" s="70">
        <f t="shared" ca="1" si="1"/>
        <v>114</v>
      </c>
      <c r="N257" s="129" t="s">
        <v>664</v>
      </c>
      <c r="O257" s="70" t="b">
        <f t="shared" ca="1" si="2"/>
        <v>1</v>
      </c>
      <c r="P257" s="70"/>
      <c r="Q257" s="70" t="str">
        <f t="shared" ca="1" si="3"/>
        <v>CommonInterface-TransactionMapping-20181130-v2</v>
      </c>
      <c r="R257" s="20">
        <f t="shared" ca="1" si="4"/>
        <v>43449</v>
      </c>
      <c r="S257" s="5" t="str">
        <f t="shared" ca="1" si="5"/>
        <v>Initial Mapping</v>
      </c>
      <c r="T257" s="70" t="s">
        <v>244</v>
      </c>
      <c r="U257" s="20">
        <v>43535</v>
      </c>
      <c r="V257" s="70" t="s">
        <v>245</v>
      </c>
    </row>
    <row r="258" spans="1:22" ht="12.75" customHeight="1">
      <c r="A258" s="70" t="s">
        <v>130</v>
      </c>
      <c r="B258" s="56" t="s">
        <v>59</v>
      </c>
      <c r="C258" s="56" t="s">
        <v>665</v>
      </c>
      <c r="D258" s="56" t="s">
        <v>329</v>
      </c>
      <c r="E258" s="56" t="s">
        <v>243</v>
      </c>
      <c r="F258" s="56">
        <v>35</v>
      </c>
      <c r="G258" s="70" t="str">
        <f>VLOOKUP(C258,'4. TRANSACTIONS'!F:T,15,FALSE)</f>
        <v>Currency G/L</v>
      </c>
      <c r="H258" s="20">
        <v>43538</v>
      </c>
      <c r="I258" s="70" t="e">
        <v>#N/A</v>
      </c>
      <c r="J258" s="70" t="str">
        <f t="shared" ca="1" si="6"/>
        <v>firm_fx_gl</v>
      </c>
      <c r="K258" s="70" t="e">
        <f t="shared" ref="K258:K480" ca="1" si="7">I258=J258</f>
        <v>#N/A</v>
      </c>
      <c r="L258" s="70"/>
      <c r="M258" s="70">
        <f t="shared" ref="M258:M480" ca="1" si="8">VLOOKUP($C258,INDIRECT("'"&amp;$A258&amp;"'!F3:AA300"),19,FALSE)</f>
        <v>115</v>
      </c>
      <c r="N258" s="129" t="s">
        <v>666</v>
      </c>
      <c r="O258" s="70" t="b">
        <f t="shared" ref="O258:O480" ca="1" si="9">J258=N258</f>
        <v>1</v>
      </c>
      <c r="P258" s="70"/>
      <c r="Q258" s="70" t="str">
        <f t="shared" ref="Q258:Q480" ca="1" si="10">VLOOKUP($C258,INDIRECT("'"&amp;$A258&amp;"'!F3:AA300"),21,FALSE)</f>
        <v>CommonInterface-TransactionMapping-20181130-v2</v>
      </c>
      <c r="R258" s="20">
        <f t="shared" ref="R258:R480" ca="1" si="11">VLOOKUP($C258,INDIRECT("'"&amp;$A258&amp;"'!F3:AC300"),22,FALSE)</f>
        <v>43449</v>
      </c>
      <c r="S258" s="5" t="str">
        <f t="shared" ref="S258:S480" ca="1" si="12">VLOOKUP($C258,INDIRECT("'"&amp;$A258&amp;"'!F3:AC300"),23,FALSE)</f>
        <v>Initial Mapping</v>
      </c>
      <c r="T258" s="70" t="s">
        <v>244</v>
      </c>
      <c r="U258" s="20">
        <v>43535</v>
      </c>
      <c r="V258" s="70" t="s">
        <v>245</v>
      </c>
    </row>
    <row r="259" spans="1:22" ht="12.75" customHeight="1">
      <c r="A259" s="70" t="s">
        <v>130</v>
      </c>
      <c r="B259" s="56" t="s">
        <v>55</v>
      </c>
      <c r="C259" s="56" t="s">
        <v>667</v>
      </c>
      <c r="D259" s="56" t="s">
        <v>329</v>
      </c>
      <c r="E259" s="56" t="s">
        <v>243</v>
      </c>
      <c r="F259" s="56">
        <v>39</v>
      </c>
      <c r="G259" s="70" t="str">
        <f>VLOOKUP(C259,'4. TRANSACTIONS'!F:T,15,FALSE)</f>
        <v>Section988 G/L</v>
      </c>
      <c r="H259" s="20">
        <v>43538</v>
      </c>
      <c r="I259" s="70" t="e">
        <v>#N/A</v>
      </c>
      <c r="J259" s="70" t="str">
        <f t="shared" ref="J259:J480" ca="1" si="13">VLOOKUP($C259,INDIRECT("'"&amp;A259&amp;"'!F3:Q300"),8,FALSE)</f>
        <v>firm_s988_gl</v>
      </c>
      <c r="K259" s="70" t="e">
        <f t="shared" ca="1" si="7"/>
        <v>#N/A</v>
      </c>
      <c r="L259" s="70"/>
      <c r="M259" s="70">
        <f t="shared" ca="1" si="8"/>
        <v>116</v>
      </c>
      <c r="N259" s="129" t="s">
        <v>668</v>
      </c>
      <c r="O259" s="70" t="b">
        <f t="shared" ca="1" si="9"/>
        <v>1</v>
      </c>
      <c r="P259" s="70"/>
      <c r="Q259" s="70" t="str">
        <f t="shared" ca="1" si="10"/>
        <v>CommonInterface-TransactionMapping-20181130-v2</v>
      </c>
      <c r="R259" s="20">
        <f t="shared" ca="1" si="11"/>
        <v>43449</v>
      </c>
      <c r="S259" s="5" t="str">
        <f t="shared" ca="1" si="12"/>
        <v>Initial Mapping</v>
      </c>
      <c r="T259" s="70" t="s">
        <v>244</v>
      </c>
      <c r="U259" s="20">
        <v>43535</v>
      </c>
      <c r="V259" s="70" t="s">
        <v>245</v>
      </c>
    </row>
    <row r="260" spans="1:22" ht="12.75" customHeight="1">
      <c r="A260" s="70" t="s">
        <v>130</v>
      </c>
      <c r="B260" s="56" t="s">
        <v>59</v>
      </c>
      <c r="C260" s="56" t="s">
        <v>669</v>
      </c>
      <c r="D260" s="56" t="s">
        <v>329</v>
      </c>
      <c r="E260" s="56" t="s">
        <v>243</v>
      </c>
      <c r="F260" s="56">
        <v>34</v>
      </c>
      <c r="G260" s="70" t="str">
        <f>VLOOKUP(C260,'4. TRANSACTIONS'!F:T,15,FALSE)</f>
        <v>Price G/L Book</v>
      </c>
      <c r="H260" s="20">
        <v>43538</v>
      </c>
      <c r="I260" s="70" t="e">
        <v>#N/A</v>
      </c>
      <c r="J260" s="70" t="str">
        <f t="shared" ca="1" si="13"/>
        <v>firm_real_gl</v>
      </c>
      <c r="K260" s="70" t="e">
        <f t="shared" ca="1" si="7"/>
        <v>#N/A</v>
      </c>
      <c r="L260" s="70"/>
      <c r="M260" s="70">
        <f t="shared" ca="1" si="8"/>
        <v>117</v>
      </c>
      <c r="N260" s="129" t="s">
        <v>670</v>
      </c>
      <c r="O260" s="70" t="b">
        <f t="shared" ca="1" si="9"/>
        <v>1</v>
      </c>
      <c r="P260" s="70"/>
      <c r="Q260" s="70" t="str">
        <f t="shared" ca="1" si="10"/>
        <v>CommonInterface-TransactionMapping-20181130-v2</v>
      </c>
      <c r="R260" s="20">
        <f t="shared" ca="1" si="11"/>
        <v>43449</v>
      </c>
      <c r="S260" s="5" t="str">
        <f t="shared" ca="1" si="12"/>
        <v>Initial Mapping</v>
      </c>
      <c r="T260" s="70" t="s">
        <v>244</v>
      </c>
      <c r="U260" s="20">
        <v>43535</v>
      </c>
      <c r="V260" s="70" t="s">
        <v>245</v>
      </c>
    </row>
    <row r="261" spans="1:22" ht="12.75" customHeight="1">
      <c r="A261" s="70" t="s">
        <v>130</v>
      </c>
      <c r="B261" s="56" t="s">
        <v>55</v>
      </c>
      <c r="C261" s="56" t="s">
        <v>671</v>
      </c>
      <c r="D261" s="56" t="s">
        <v>329</v>
      </c>
      <c r="E261" s="56" t="s">
        <v>243</v>
      </c>
      <c r="F261" s="22">
        <v>203</v>
      </c>
      <c r="G261" s="24" t="str">
        <f>VLOOKUP(C261,'4. TRANSACTIONS'!F:T,15,FALSE)</f>
        <v>Total gain / loss proceds in local currency.</v>
      </c>
      <c r="H261" s="20">
        <v>43538</v>
      </c>
      <c r="I261" s="70" t="e">
        <v>#N/A</v>
      </c>
      <c r="J261" s="70" t="str">
        <f t="shared" ca="1" si="13"/>
        <v>local_tot_gl</v>
      </c>
      <c r="K261" s="70" t="e">
        <f t="shared" ca="1" si="7"/>
        <v>#N/A</v>
      </c>
      <c r="L261" s="70" t="s">
        <v>528</v>
      </c>
      <c r="M261" s="70">
        <f t="shared" ca="1" si="8"/>
        <v>118</v>
      </c>
      <c r="N261" s="129" t="s">
        <v>672</v>
      </c>
      <c r="O261" s="70" t="b">
        <f t="shared" ca="1" si="9"/>
        <v>1</v>
      </c>
      <c r="P261" s="70"/>
      <c r="Q261" s="70" t="str">
        <f t="shared" ca="1" si="10"/>
        <v>CommonInterface-TransactionMapping-20181130-v2</v>
      </c>
      <c r="R261" s="20">
        <f t="shared" ca="1" si="11"/>
        <v>43449</v>
      </c>
      <c r="S261" s="70" t="str">
        <f t="shared" ca="1" si="12"/>
        <v xml:space="preserve">3/12 - IC confirmed this was a typo on their end.  They will correct ETL to match NB. </v>
      </c>
      <c r="T261" s="70" t="s">
        <v>244</v>
      </c>
      <c r="U261" s="20">
        <v>43550</v>
      </c>
      <c r="V261" s="70" t="s">
        <v>256</v>
      </c>
    </row>
    <row r="262" spans="1:22" ht="12.75" customHeight="1">
      <c r="A262" s="70" t="s">
        <v>130</v>
      </c>
      <c r="B262" s="56" t="s">
        <v>55</v>
      </c>
      <c r="C262" s="56" t="s">
        <v>673</v>
      </c>
      <c r="D262" s="56" t="s">
        <v>329</v>
      </c>
      <c r="E262" s="56" t="s">
        <v>243</v>
      </c>
      <c r="F262" s="56">
        <v>20</v>
      </c>
      <c r="G262" s="70" t="str">
        <f>VLOOKUP(C262,'4. TRANSACTIONS'!F:T,15,FALSE)</f>
        <v>Accrued Income Book signed relative to cash</v>
      </c>
      <c r="H262" s="20">
        <v>43538</v>
      </c>
      <c r="I262" s="70" t="e">
        <v>#N/A</v>
      </c>
      <c r="J262" s="70" t="str">
        <f t="shared" ca="1" si="13"/>
        <v>firm_accrued</v>
      </c>
      <c r="K262" s="70" t="e">
        <f t="shared" ca="1" si="7"/>
        <v>#N/A</v>
      </c>
      <c r="L262" s="70" t="s">
        <v>528</v>
      </c>
      <c r="M262" s="70">
        <f t="shared" ca="1" si="8"/>
        <v>119</v>
      </c>
      <c r="N262" s="129" t="s">
        <v>674</v>
      </c>
      <c r="O262" s="70" t="b">
        <f t="shared" ca="1" si="9"/>
        <v>1</v>
      </c>
      <c r="P262" s="70"/>
      <c r="Q262" s="70" t="str">
        <f t="shared" ca="1" si="10"/>
        <v>CommonInterface-TransactionMapping-20181130-v2</v>
      </c>
      <c r="R262" s="20">
        <f t="shared" ca="1" si="11"/>
        <v>43449</v>
      </c>
      <c r="S262" s="70" t="str">
        <f t="shared" ca="1" si="12"/>
        <v xml:space="preserve">3/12 - IC confirmed this was a typo on their end.  They will correct ETL to match NB. </v>
      </c>
      <c r="T262" s="70" t="s">
        <v>244</v>
      </c>
      <c r="U262" s="20">
        <v>43550</v>
      </c>
      <c r="V262" s="70" t="s">
        <v>256</v>
      </c>
    </row>
    <row r="263" spans="1:22" ht="12.75" customHeight="1">
      <c r="A263" s="70" t="s">
        <v>130</v>
      </c>
      <c r="B263" s="56" t="s">
        <v>55</v>
      </c>
      <c r="C263" s="56" t="s">
        <v>675</v>
      </c>
      <c r="D263" s="56" t="s">
        <v>346</v>
      </c>
      <c r="E263" s="56" t="s">
        <v>243</v>
      </c>
      <c r="F263" s="56">
        <v>53</v>
      </c>
      <c r="G263" s="70" t="str">
        <f>VLOOKUP(C263,'4. TRANSACTIONS'!F:T,15,FALSE)</f>
        <v>Custodian's source system's unique ID</v>
      </c>
      <c r="H263" s="20">
        <v>43538</v>
      </c>
      <c r="I263" s="70" t="e">
        <v>#N/A</v>
      </c>
      <c r="J263" s="70" t="str">
        <f t="shared" ca="1" si="13"/>
        <v>cust_br_acct</v>
      </c>
      <c r="K263" s="70" t="e">
        <f t="shared" ca="1" si="7"/>
        <v>#N/A</v>
      </c>
      <c r="L263" s="70" t="s">
        <v>503</v>
      </c>
      <c r="M263" s="70">
        <f t="shared" ca="1" si="8"/>
        <v>6</v>
      </c>
      <c r="N263" s="70"/>
      <c r="O263" s="70" t="b">
        <f t="shared" ca="1" si="9"/>
        <v>0</v>
      </c>
      <c r="P263" s="70"/>
      <c r="Q263" s="70" t="str">
        <f t="shared" ca="1" si="10"/>
        <v>Common Interface NB v0.8</v>
      </c>
      <c r="R263" s="20">
        <f t="shared" ca="1" si="11"/>
        <v>43546</v>
      </c>
      <c r="S263" s="70" t="str">
        <f t="shared" ca="1" si="12"/>
        <v xml:space="preserve">3/22 - in agreement w/IC.  This field is mapped on their end in 2 places (FACCOUNTREFERENCE &amp; CUSTODIANREFERENCE).  NB only sending once. </v>
      </c>
      <c r="T263" s="70" t="s">
        <v>244</v>
      </c>
      <c r="U263" s="20">
        <v>43550</v>
      </c>
      <c r="V263" s="70" t="s">
        <v>676</v>
      </c>
    </row>
    <row r="264" spans="1:22" ht="12.75" customHeight="1">
      <c r="A264" s="70" t="s">
        <v>130</v>
      </c>
      <c r="B264" s="56" t="s">
        <v>55</v>
      </c>
      <c r="C264" s="56" t="s">
        <v>677</v>
      </c>
      <c r="D264" s="56" t="s">
        <v>247</v>
      </c>
      <c r="E264" s="56" t="s">
        <v>243</v>
      </c>
      <c r="F264" s="22">
        <v>215</v>
      </c>
      <c r="G264" s="24" t="str">
        <f>VLOOKUP(C264,'4. TRANSACTIONS'!F:T,15,FALSE)</f>
        <v>Transaction classification level 1 for reporting. Used for Aggregation - IC list of specific values must be used</v>
      </c>
      <c r="H264" s="20">
        <v>43538</v>
      </c>
      <c r="I264" s="70" t="e">
        <v>#N/A</v>
      </c>
      <c r="J264" s="70" t="str">
        <f t="shared" ca="1" si="13"/>
        <v>IF input.rpt_group IN (BKC,CFC,MCC,BKW,CFW,MCW,EXP,FEE,TAX)
AND Transaction.EventDate &lt;= Account.UserDefinedDate1 
WHERE Transaction.AccountShortName = Account.AccountShortName
THEN TXNCLASSIFICATIONLEVEL1 = OCC
ELSE 
   IF input.rpt_group IN (CFS,SCC,CFX,SCW)
   AND Transaction.EventDate &lt;= Account.UserDefinedDate1
   WHERE Transaction.AccountShortName = Account.AccountShortName
   THEN TXNCLASSIFICATIONLEVEL1 = OSC
ELSE
   IF input.rpt_group IN (CRP)
   WHERE Transaction.AccountShortName = Account.AccountShortName
   THEN TXNCLASSIFICATIONLEVEL1=TRS
   ELSE  TXNCLASSIFICATIONLEVEL1 = input.rpt_group</v>
      </c>
      <c r="K264" s="70" t="e">
        <f t="shared" ca="1" si="7"/>
        <v>#N/A</v>
      </c>
      <c r="L264" s="70" t="s">
        <v>678</v>
      </c>
      <c r="M264" s="70">
        <f t="shared" ca="1" si="8"/>
        <v>46</v>
      </c>
      <c r="N264" s="70"/>
      <c r="O264" s="70" t="b">
        <f t="shared" ca="1" si="9"/>
        <v>0</v>
      </c>
      <c r="P264" s="70"/>
      <c r="Q264" s="70" t="str">
        <f t="shared" ca="1" si="10"/>
        <v>Common Interface NB v0.8</v>
      </c>
      <c r="R264" s="20">
        <f t="shared" ca="1" si="11"/>
        <v>43546</v>
      </c>
      <c r="S264" s="70" t="str">
        <f t="shared" ca="1" si="12"/>
        <v xml:space="preserve">3/22 - In agreement w/IC.  This field is mapped on their end in 2 places (EVENTCODE &amp; TXNCLASSIFICATION LEVEL 1).  NB only sending once. </v>
      </c>
      <c r="T264" s="70" t="s">
        <v>244</v>
      </c>
      <c r="U264" s="20">
        <v>43546</v>
      </c>
      <c r="V264" s="70" t="s">
        <v>676</v>
      </c>
    </row>
    <row r="265" spans="1:22" ht="12.75" customHeight="1">
      <c r="A265" s="70" t="s">
        <v>130</v>
      </c>
      <c r="B265" s="56" t="s">
        <v>55</v>
      </c>
      <c r="C265" s="56" t="s">
        <v>486</v>
      </c>
      <c r="D265" s="186" t="s">
        <v>346</v>
      </c>
      <c r="E265" s="186" t="s">
        <v>243</v>
      </c>
      <c r="F265" s="186">
        <v>165</v>
      </c>
      <c r="G265" s="56" t="str">
        <f>VLOOKUP(C265,'2a. PROFITLOSSLITE - PLL'!F:T,15,FALSE)</f>
        <v>Alternate Security Identifier.  May link to AltID2 on 5.SMCOMMON</v>
      </c>
      <c r="H265" s="20">
        <v>43550</v>
      </c>
      <c r="I265" s="70" t="e">
        <v>#N/A</v>
      </c>
      <c r="J265" s="70" t="str">
        <f t="shared" ca="1" si="13"/>
        <v>classifierid2</v>
      </c>
      <c r="K265" s="23" t="e">
        <f t="shared" ca="1" si="7"/>
        <v>#N/A</v>
      </c>
      <c r="L265" s="70" t="s">
        <v>487</v>
      </c>
      <c r="M265" s="70">
        <f t="shared" ca="1" si="8"/>
        <v>120</v>
      </c>
      <c r="N265" s="70"/>
      <c r="O265" s="70" t="b">
        <f t="shared" ca="1" si="9"/>
        <v>0</v>
      </c>
      <c r="P265" s="70"/>
      <c r="Q265" s="70" t="str">
        <f t="shared" ca="1" si="10"/>
        <v>Common Interface NB v1.0</v>
      </c>
      <c r="R265" s="20">
        <f t="shared" ca="1" si="11"/>
        <v>43551</v>
      </c>
      <c r="S265" s="5" t="str">
        <f t="shared" ca="1" si="12"/>
        <v>Updated the NB field name to be classifierid2 because classifierid will instead be leveraged for the mapping to ALTSECID2.</v>
      </c>
      <c r="T265" s="70" t="s">
        <v>244</v>
      </c>
      <c r="U265" s="20">
        <v>43552</v>
      </c>
      <c r="V265" s="70" t="s">
        <v>256</v>
      </c>
    </row>
    <row r="266" spans="1:22" ht="12.75" customHeight="1">
      <c r="A266" s="70" t="s">
        <v>130</v>
      </c>
      <c r="B266" s="56" t="s">
        <v>55</v>
      </c>
      <c r="C266" s="56" t="s">
        <v>489</v>
      </c>
      <c r="D266" s="186" t="s">
        <v>346</v>
      </c>
      <c r="E266" s="186" t="s">
        <v>243</v>
      </c>
      <c r="F266" s="186"/>
      <c r="G266" s="56" t="str">
        <f>VLOOKUP(C266,'2a. PROFITLOSSLITE - PLL'!F:T,15,FALSE)</f>
        <v>Alternate Security Identifier.  May link to AltID3 on 5.SMCOMMON</v>
      </c>
      <c r="H266" s="20">
        <v>43550</v>
      </c>
      <c r="I266" s="70" t="e">
        <v>#N/A</v>
      </c>
      <c r="J266" s="70" t="str">
        <f t="shared" ca="1" si="13"/>
        <v>classifierid</v>
      </c>
      <c r="K266" s="23" t="e">
        <f t="shared" ca="1" si="7"/>
        <v>#N/A</v>
      </c>
      <c r="L266" s="70" t="s">
        <v>487</v>
      </c>
      <c r="M266" s="70">
        <f t="shared" ca="1" si="8"/>
        <v>121</v>
      </c>
      <c r="N266" s="70"/>
      <c r="O266" s="70" t="b">
        <f t="shared" ca="1" si="9"/>
        <v>0</v>
      </c>
      <c r="P266" s="70"/>
      <c r="Q266" s="70" t="str">
        <f t="shared" ca="1" si="10"/>
        <v>Common Interface NB v1.0</v>
      </c>
      <c r="R266" s="20">
        <f t="shared" ca="1" si="11"/>
        <v>43551</v>
      </c>
      <c r="S266" s="5" t="str">
        <f t="shared" ca="1" si="12"/>
        <v xml:space="preserve">Updated the Mapping / NB field.  classifierid will be mapped to ALTSEC2 and will include PROD Number as it will be needed for other reporting. </v>
      </c>
      <c r="T266" s="70" t="s">
        <v>244</v>
      </c>
      <c r="U266" s="20">
        <v>43552</v>
      </c>
      <c r="V266" s="70" t="s">
        <v>256</v>
      </c>
    </row>
    <row r="267" spans="1:22" ht="12.75" customHeight="1">
      <c r="A267" s="70" t="s">
        <v>130</v>
      </c>
      <c r="B267" s="56" t="s">
        <v>55</v>
      </c>
      <c r="C267" s="56" t="s">
        <v>491</v>
      </c>
      <c r="D267" s="186" t="s">
        <v>346</v>
      </c>
      <c r="E267" s="186" t="s">
        <v>243</v>
      </c>
      <c r="F267" s="186"/>
      <c r="G267" s="21" t="str">
        <f>VLOOKUP(C267,'2a. PROFITLOSSLITE - PLL'!F:T,15,FALSE)</f>
        <v>Strategy code.</v>
      </c>
      <c r="H267" s="20">
        <v>43550</v>
      </c>
      <c r="I267" s="70" t="e">
        <v>#N/A</v>
      </c>
      <c r="J267" s="70" t="str">
        <f t="shared" ca="1" si="13"/>
        <v>product_number</v>
      </c>
      <c r="K267" s="23" t="e">
        <f t="shared" ca="1" si="7"/>
        <v>#N/A</v>
      </c>
      <c r="L267" s="70" t="s">
        <v>487</v>
      </c>
      <c r="M267" s="70">
        <f t="shared" ca="1" si="8"/>
        <v>122</v>
      </c>
      <c r="N267" s="70"/>
      <c r="O267" s="70" t="b">
        <f t="shared" ca="1" si="9"/>
        <v>0</v>
      </c>
      <c r="P267" s="70"/>
      <c r="Q267" s="70" t="str">
        <f t="shared" ca="1" si="10"/>
        <v>Common Interface NB v1.0</v>
      </c>
      <c r="R267" s="20">
        <f t="shared" ca="1" si="11"/>
        <v>43551</v>
      </c>
      <c r="S267" s="5" t="str">
        <f t="shared" ca="1" si="12"/>
        <v xml:space="preserve">Updated the Mapping / NB field. Product_number will be mapped to STRATEGYCODE as it will be needed for other reporting. </v>
      </c>
      <c r="T267" s="70" t="s">
        <v>244</v>
      </c>
      <c r="U267" s="20">
        <v>43552</v>
      </c>
      <c r="V267" s="70" t="s">
        <v>256</v>
      </c>
    </row>
    <row r="268" spans="1:22" ht="12.75" customHeight="1">
      <c r="A268" s="70" t="s">
        <v>130</v>
      </c>
      <c r="B268" s="56" t="s">
        <v>55</v>
      </c>
      <c r="C268" s="56" t="s">
        <v>493</v>
      </c>
      <c r="D268" s="186" t="s">
        <v>346</v>
      </c>
      <c r="E268" s="186" t="s">
        <v>243</v>
      </c>
      <c r="F268" s="186"/>
      <c r="G268" s="56" t="str">
        <f>VLOOKUP(C268,'2a. PROFITLOSSLITE - PLL'!F:T,15,FALSE)</f>
        <v>Custom reporting field commonly used for higher level aggregations such as "Global Macro" or "Capital Preservation"</v>
      </c>
      <c r="H268" s="20">
        <v>43550</v>
      </c>
      <c r="I268" s="70" t="e">
        <v>#N/A</v>
      </c>
      <c r="J268" s="70" t="str">
        <f t="shared" ca="1" si="13"/>
        <v>product_description</v>
      </c>
      <c r="K268" s="23" t="e">
        <f t="shared" ca="1" si="7"/>
        <v>#N/A</v>
      </c>
      <c r="L268" s="70" t="s">
        <v>487</v>
      </c>
      <c r="M268" s="70">
        <f t="shared" ca="1" si="8"/>
        <v>123</v>
      </c>
      <c r="N268" s="70"/>
      <c r="O268" s="70" t="b">
        <f t="shared" ca="1" si="9"/>
        <v>0</v>
      </c>
      <c r="P268" s="70"/>
      <c r="Q268" s="70" t="str">
        <f t="shared" ca="1" si="10"/>
        <v>Common Interface NB v1.0</v>
      </c>
      <c r="R268" s="20">
        <f t="shared" ca="1" si="11"/>
        <v>43551</v>
      </c>
      <c r="S268" s="5" t="str">
        <f t="shared" ca="1" si="12"/>
        <v xml:space="preserve">Updated the Mapping / NB field product_description will be mapped to STRATEGYNAME as it will be needed for other reporting. </v>
      </c>
      <c r="T268" s="70" t="s">
        <v>244</v>
      </c>
      <c r="U268" s="20">
        <v>43552</v>
      </c>
      <c r="V268" s="70" t="s">
        <v>256</v>
      </c>
    </row>
    <row r="269" spans="1:22" ht="12.75" customHeight="1">
      <c r="A269" s="70" t="s">
        <v>159</v>
      </c>
      <c r="B269" s="56" t="s">
        <v>61</v>
      </c>
      <c r="C269" s="56" t="s">
        <v>118</v>
      </c>
      <c r="D269" s="56" t="s">
        <v>679</v>
      </c>
      <c r="E269" s="56" t="s">
        <v>680</v>
      </c>
      <c r="F269" s="22"/>
      <c r="G269" s="70" t="str">
        <f>VLOOKUP(C269,'7a. PERFSUMMARY'!F:U,15,FALSE)</f>
        <v>A short name for accounts to aid in identifying. Must be unique across all accounts. May not be required depending on segment type (e.g. if fundshortname is used)</v>
      </c>
      <c r="H269" s="20">
        <v>43538</v>
      </c>
      <c r="I269" s="70" t="e">
        <v>#N/A</v>
      </c>
      <c r="J269" s="70" t="str">
        <f t="shared" ca="1" si="13"/>
        <v>br_acct</v>
      </c>
      <c r="K269" s="70" t="e">
        <f t="shared" ca="1" si="7"/>
        <v>#N/A</v>
      </c>
      <c r="L269" s="70"/>
      <c r="M269" s="70">
        <f t="shared" ca="1" si="8"/>
        <v>1</v>
      </c>
      <c r="N269" s="129" t="s">
        <v>302</v>
      </c>
      <c r="O269" s="70" t="b">
        <f t="shared" ca="1" si="9"/>
        <v>1</v>
      </c>
      <c r="P269" s="70"/>
      <c r="Q269" s="70" t="str">
        <f t="shared" ca="1" si="10"/>
        <v>Common Interface NB V0.6</v>
      </c>
      <c r="R269" s="20">
        <f t="shared" ca="1" si="11"/>
        <v>43538</v>
      </c>
      <c r="S269" s="70" t="str">
        <f t="shared" ca="1" si="12"/>
        <v>3/14 - Agreed that to adhere to new Perf CI doc shared on 3/14</v>
      </c>
      <c r="T269" s="70" t="s">
        <v>244</v>
      </c>
      <c r="U269" s="20">
        <v>43550</v>
      </c>
      <c r="V269" s="70" t="s">
        <v>256</v>
      </c>
    </row>
    <row r="270" spans="1:22" ht="12.75" customHeight="1">
      <c r="A270" s="70" t="s">
        <v>159</v>
      </c>
      <c r="B270" s="56" t="s">
        <v>61</v>
      </c>
      <c r="C270" s="56" t="s">
        <v>160</v>
      </c>
      <c r="D270" s="56" t="s">
        <v>681</v>
      </c>
      <c r="E270" s="56" t="s">
        <v>682</v>
      </c>
      <c r="F270" s="70"/>
      <c r="G270" s="70" t="str">
        <f>VLOOKUP(C270,'7a. PERFSUMMARY'!F:U,15,FALSE)</f>
        <v>A short name for funds to aid in identifying. Must be unique across all funds. May not be required depending on segment type (e.g. if accountshortname is used)</v>
      </c>
      <c r="H270" s="20">
        <v>43538</v>
      </c>
      <c r="I270" s="70" t="e">
        <v>#N/A</v>
      </c>
      <c r="J270" s="70" t="str">
        <f t="shared" ca="1" si="13"/>
        <v>target_name</v>
      </c>
      <c r="K270" s="70" t="e">
        <f t="shared" ca="1" si="7"/>
        <v>#N/A</v>
      </c>
      <c r="L270" s="70"/>
      <c r="M270" s="70">
        <f t="shared" ca="1" si="8"/>
        <v>2</v>
      </c>
      <c r="N270" s="129" t="s">
        <v>500</v>
      </c>
      <c r="O270" s="70" t="b">
        <f t="shared" ca="1" si="9"/>
        <v>1</v>
      </c>
      <c r="P270" s="70"/>
      <c r="Q270" s="70" t="str">
        <f t="shared" ca="1" si="10"/>
        <v>Common Interface NB V0.6</v>
      </c>
      <c r="R270" s="20">
        <f t="shared" ca="1" si="11"/>
        <v>43538</v>
      </c>
      <c r="S270" s="70" t="str">
        <f t="shared" ca="1" si="12"/>
        <v>3/14 - Agreed that to adhere to new Perf CI doc shared on 3/14</v>
      </c>
      <c r="T270" s="70" t="s">
        <v>244</v>
      </c>
      <c r="U270" s="20">
        <v>43550</v>
      </c>
      <c r="V270" s="70" t="s">
        <v>256</v>
      </c>
    </row>
    <row r="271" spans="1:22" ht="12.75" customHeight="1">
      <c r="A271" s="70" t="s">
        <v>159</v>
      </c>
      <c r="B271" s="56" t="s">
        <v>55</v>
      </c>
      <c r="C271" s="25" t="s">
        <v>165</v>
      </c>
      <c r="D271" s="56" t="s">
        <v>683</v>
      </c>
      <c r="E271" s="56" t="s">
        <v>682</v>
      </c>
      <c r="F271" s="70"/>
      <c r="G271" s="70" t="str">
        <f>VLOOKUP(C271,'7a. PERFSUMMARY'!F:U,15,FALSE)</f>
        <v>Short name/code for record type to define a segment or sub-segment</v>
      </c>
      <c r="H271" s="20">
        <v>43538</v>
      </c>
      <c r="I271" s="70" t="e">
        <v>#N/A</v>
      </c>
      <c r="J271" s="70" t="str">
        <f t="shared" ca="1" si="13"/>
        <v>rule_no</v>
      </c>
      <c r="K271" s="70" t="e">
        <f t="shared" ca="1" si="7"/>
        <v>#N/A</v>
      </c>
      <c r="L271" s="70"/>
      <c r="M271" s="70">
        <f t="shared" ca="1" si="8"/>
        <v>3</v>
      </c>
      <c r="N271" s="129" t="s">
        <v>684</v>
      </c>
      <c r="O271" s="70" t="b">
        <f t="shared" ca="1" si="9"/>
        <v>1</v>
      </c>
      <c r="P271" s="70"/>
      <c r="Q271" s="70" t="str">
        <f t="shared" ca="1" si="10"/>
        <v>Common Interface NB V0.6</v>
      </c>
      <c r="R271" s="20">
        <f t="shared" ca="1" si="11"/>
        <v>43538</v>
      </c>
      <c r="S271" s="70" t="str">
        <f t="shared" ca="1" si="12"/>
        <v>3/14 - Agreed that to adhere to new Perf CI doc shared on 3/14</v>
      </c>
      <c r="T271" s="70" t="s">
        <v>244</v>
      </c>
      <c r="U271" s="20">
        <v>43550</v>
      </c>
      <c r="V271" s="70" t="s">
        <v>256</v>
      </c>
    </row>
    <row r="272" spans="1:22" ht="12.75" customHeight="1">
      <c r="A272" s="70" t="s">
        <v>159</v>
      </c>
      <c r="B272" s="56" t="s">
        <v>55</v>
      </c>
      <c r="C272" s="56" t="s">
        <v>162</v>
      </c>
      <c r="D272" s="56" t="s">
        <v>685</v>
      </c>
      <c r="E272" s="56" t="s">
        <v>682</v>
      </c>
      <c r="F272" s="70"/>
      <c r="G272" s="70" t="str">
        <f>VLOOKUP(C272,'7a. PERFSUMMARY'!F:U,15,FALSE)</f>
        <v>Short description of the classifier for the segment or type of performance for the record</v>
      </c>
      <c r="H272" s="20">
        <v>43538</v>
      </c>
      <c r="I272" s="70" t="e">
        <v>#N/A</v>
      </c>
      <c r="J272" s="70" t="str">
        <f t="shared" ca="1" si="13"/>
        <v>classifiertype</v>
      </c>
      <c r="K272" s="70" t="e">
        <f t="shared" ca="1" si="7"/>
        <v>#N/A</v>
      </c>
      <c r="L272" s="70" t="s">
        <v>686</v>
      </c>
      <c r="M272" s="70">
        <f t="shared" ca="1" si="8"/>
        <v>4</v>
      </c>
      <c r="N272" s="129" t="s">
        <v>687</v>
      </c>
      <c r="O272" s="70" t="b">
        <f t="shared" ca="1" si="9"/>
        <v>1</v>
      </c>
      <c r="P272" s="70"/>
      <c r="Q272" s="70" t="str">
        <f t="shared" ca="1" si="10"/>
        <v>Common Interface NB V0.9</v>
      </c>
      <c r="R272" s="20">
        <f t="shared" ca="1" si="11"/>
        <v>43550</v>
      </c>
      <c r="S272" s="70" t="str">
        <f t="shared" ca="1" si="12"/>
        <v xml:space="preserve">3/26 - Updated comments to include logic change requested by IC to pass AGSTYPE when sending perf data at the accountgroup level. </v>
      </c>
      <c r="T272" s="70" t="s">
        <v>244</v>
      </c>
      <c r="U272" s="20">
        <v>43550</v>
      </c>
      <c r="V272" s="70" t="s">
        <v>256</v>
      </c>
    </row>
    <row r="273" spans="1:22" ht="12.75" customHeight="1">
      <c r="A273" s="70" t="s">
        <v>159</v>
      </c>
      <c r="B273" s="56" t="s">
        <v>55</v>
      </c>
      <c r="C273" s="56" t="s">
        <v>161</v>
      </c>
      <c r="D273" s="56" t="s">
        <v>681</v>
      </c>
      <c r="E273" s="56" t="s">
        <v>682</v>
      </c>
      <c r="F273" s="70"/>
      <c r="G273" s="70" t="str">
        <f>VLOOKUP(C273,'7a. PERFSUMMARY'!F:U,15,FALSE)</f>
        <v>Long description of the classifier for the segment or type of performance for the record</v>
      </c>
      <c r="H273" s="20">
        <v>43538</v>
      </c>
      <c r="I273" s="70" t="e">
        <v>#N/A</v>
      </c>
      <c r="J273" s="70" t="str">
        <f t="shared" ca="1" si="13"/>
        <v>classifiername</v>
      </c>
      <c r="K273" s="70" t="e">
        <f t="shared" ca="1" si="7"/>
        <v>#N/A</v>
      </c>
      <c r="L273" s="70" t="s">
        <v>686</v>
      </c>
      <c r="M273" s="70">
        <f t="shared" ca="1" si="8"/>
        <v>5</v>
      </c>
      <c r="N273" s="129" t="s">
        <v>688</v>
      </c>
      <c r="O273" s="70" t="b">
        <f t="shared" ca="1" si="9"/>
        <v>1</v>
      </c>
      <c r="P273" s="70"/>
      <c r="Q273" s="70" t="str">
        <f t="shared" ca="1" si="10"/>
        <v>Common Interface NB V0.6</v>
      </c>
      <c r="R273" s="20">
        <f t="shared" ca="1" si="11"/>
        <v>43538</v>
      </c>
      <c r="S273" s="70" t="str">
        <f t="shared" ca="1" si="12"/>
        <v>3/14 - Agreed that to adhere to new Perf CI doc shared on 3/14</v>
      </c>
      <c r="T273" s="70" t="s">
        <v>244</v>
      </c>
      <c r="U273" s="20">
        <v>43550</v>
      </c>
      <c r="V273" s="70" t="s">
        <v>256</v>
      </c>
    </row>
    <row r="274" spans="1:22" ht="12.75" customHeight="1">
      <c r="A274" s="70" t="s">
        <v>159</v>
      </c>
      <c r="B274" s="56" t="s">
        <v>61</v>
      </c>
      <c r="C274" s="56" t="s">
        <v>120</v>
      </c>
      <c r="D274" s="56" t="s">
        <v>689</v>
      </c>
      <c r="E274" s="56" t="s">
        <v>682</v>
      </c>
      <c r="F274" s="70"/>
      <c r="G274" s="70" t="str">
        <f>VLOOKUP(C274,'7a. PERFSUMMARY'!F:U,15,FALSE)</f>
        <v>Currency the account or segment is demoninated in</v>
      </c>
      <c r="H274" s="20">
        <v>43538</v>
      </c>
      <c r="I274" s="70" t="e">
        <v>#N/A</v>
      </c>
      <c r="J274" s="70" t="str">
        <f t="shared" ca="1" si="13"/>
        <v>perf_iso_code</v>
      </c>
      <c r="K274" s="70" t="e">
        <f t="shared" ca="1" si="7"/>
        <v>#N/A</v>
      </c>
      <c r="L274" s="70"/>
      <c r="M274" s="70">
        <f t="shared" ca="1" si="8"/>
        <v>6</v>
      </c>
      <c r="N274" s="129" t="s">
        <v>690</v>
      </c>
      <c r="O274" s="70" t="b">
        <f t="shared" ca="1" si="9"/>
        <v>1</v>
      </c>
      <c r="P274" s="70"/>
      <c r="Q274" s="70" t="str">
        <f t="shared" ca="1" si="10"/>
        <v>Common Interface NB V0.6</v>
      </c>
      <c r="R274" s="20">
        <f t="shared" ca="1" si="11"/>
        <v>43538</v>
      </c>
      <c r="S274" s="70" t="str">
        <f t="shared" ca="1" si="12"/>
        <v>3/14 - Agreed that to adhere to new Perf CI doc shared on 3/14</v>
      </c>
      <c r="T274" s="70" t="s">
        <v>244</v>
      </c>
      <c r="U274" s="20">
        <v>43550</v>
      </c>
      <c r="V274" s="70" t="s">
        <v>256</v>
      </c>
    </row>
    <row r="275" spans="1:22" ht="12.75" customHeight="1">
      <c r="A275" s="70" t="s">
        <v>159</v>
      </c>
      <c r="B275" s="56" t="s">
        <v>61</v>
      </c>
      <c r="C275" s="56" t="s">
        <v>163</v>
      </c>
      <c r="D275" s="56" t="s">
        <v>691</v>
      </c>
      <c r="E275" s="56" t="s">
        <v>682</v>
      </c>
      <c r="F275" s="70"/>
      <c r="G275" s="70" t="str">
        <f>VLOOKUP(C275,'7a. PERFSUMMARY'!F:U,15,FALSE)</f>
        <v>Extract's begin date</v>
      </c>
      <c r="H275" s="20">
        <v>43538</v>
      </c>
      <c r="I275" s="70" t="e">
        <v>#N/A</v>
      </c>
      <c r="J275" s="70" t="str">
        <f t="shared" ca="1" si="13"/>
        <v>inc_date</v>
      </c>
      <c r="K275" s="70" t="e">
        <f t="shared" ca="1" si="7"/>
        <v>#N/A</v>
      </c>
      <c r="L275" s="70"/>
      <c r="M275" s="70">
        <f t="shared" ca="1" si="8"/>
        <v>7</v>
      </c>
      <c r="N275" s="129" t="s">
        <v>692</v>
      </c>
      <c r="O275" s="70" t="b">
        <f t="shared" ca="1" si="9"/>
        <v>1</v>
      </c>
      <c r="P275" s="70"/>
      <c r="Q275" s="70" t="str">
        <f t="shared" ca="1" si="10"/>
        <v>Common Interface NB V0.6</v>
      </c>
      <c r="R275" s="20">
        <f t="shared" ca="1" si="11"/>
        <v>43538</v>
      </c>
      <c r="S275" s="70" t="str">
        <f t="shared" ca="1" si="12"/>
        <v>3/14 - Agreed that to adhere to new Perf CI doc shared on 3/14</v>
      </c>
      <c r="T275" s="70" t="s">
        <v>244</v>
      </c>
      <c r="U275" s="20">
        <v>43550</v>
      </c>
      <c r="V275" s="70" t="s">
        <v>256</v>
      </c>
    </row>
    <row r="276" spans="1:22" ht="12.75" customHeight="1">
      <c r="A276" s="70" t="s">
        <v>159</v>
      </c>
      <c r="B276" s="56" t="s">
        <v>61</v>
      </c>
      <c r="C276" s="56" t="s">
        <v>164</v>
      </c>
      <c r="D276" s="56" t="s">
        <v>691</v>
      </c>
      <c r="E276" s="56" t="s">
        <v>682</v>
      </c>
      <c r="F276" s="70"/>
      <c r="G276" s="70" t="str">
        <f>VLOOKUP(C276,'7a. PERFSUMMARY'!F:U,15,FALSE)</f>
        <v>Extract's end date</v>
      </c>
      <c r="H276" s="20">
        <v>43538</v>
      </c>
      <c r="I276" s="70" t="e">
        <v>#N/A</v>
      </c>
      <c r="J276" s="70" t="str">
        <f t="shared" ca="1" si="13"/>
        <v>current_date</v>
      </c>
      <c r="K276" s="70" t="e">
        <f t="shared" ca="1" si="7"/>
        <v>#N/A</v>
      </c>
      <c r="L276" s="70"/>
      <c r="M276" s="70">
        <f t="shared" ca="1" si="8"/>
        <v>8</v>
      </c>
      <c r="N276" s="129" t="s">
        <v>693</v>
      </c>
      <c r="O276" s="70" t="b">
        <f t="shared" ca="1" si="9"/>
        <v>1</v>
      </c>
      <c r="P276" s="70"/>
      <c r="Q276" s="70" t="str">
        <f t="shared" ca="1" si="10"/>
        <v>Common Interface NB V0.6</v>
      </c>
      <c r="R276" s="20">
        <f t="shared" ca="1" si="11"/>
        <v>43538</v>
      </c>
      <c r="S276" s="70" t="str">
        <f t="shared" ca="1" si="12"/>
        <v>3/14 - Agreed that to adhere to new Perf CI doc shared on 3/14</v>
      </c>
      <c r="T276" s="70" t="s">
        <v>244</v>
      </c>
      <c r="U276" s="20">
        <v>43550</v>
      </c>
      <c r="V276" s="70" t="s">
        <v>256</v>
      </c>
    </row>
    <row r="277" spans="1:22" ht="12.75" customHeight="1">
      <c r="A277" s="70" t="s">
        <v>159</v>
      </c>
      <c r="B277" s="56" t="s">
        <v>55</v>
      </c>
      <c r="C277" s="56" t="s">
        <v>694</v>
      </c>
      <c r="D277" s="56" t="s">
        <v>683</v>
      </c>
      <c r="E277" s="56" t="s">
        <v>682</v>
      </c>
      <c r="F277" s="70"/>
      <c r="G277" s="70" t="str">
        <f>VLOOKUP(C277,'7a. PERFSUMMARY'!F:U,15,FALSE)</f>
        <v>Contribution for the specified period of the extract</v>
      </c>
      <c r="H277" s="20">
        <v>43538</v>
      </c>
      <c r="I277" s="70" t="e">
        <v>#N/A</v>
      </c>
      <c r="J277" s="70" t="str">
        <f t="shared" ca="1" si="13"/>
        <v>1day_ror</v>
      </c>
      <c r="K277" s="70" t="e">
        <f t="shared" ca="1" si="7"/>
        <v>#N/A</v>
      </c>
      <c r="L277" s="70"/>
      <c r="M277" s="70">
        <f t="shared" ca="1" si="8"/>
        <v>9</v>
      </c>
      <c r="N277" s="129" t="s">
        <v>695</v>
      </c>
      <c r="O277" s="70" t="b">
        <f t="shared" ca="1" si="9"/>
        <v>1</v>
      </c>
      <c r="P277" s="70"/>
      <c r="Q277" s="70" t="str">
        <f t="shared" ca="1" si="10"/>
        <v>Common Interface NB V0.6</v>
      </c>
      <c r="R277" s="20">
        <f t="shared" ca="1" si="11"/>
        <v>43538</v>
      </c>
      <c r="S277" s="70" t="str">
        <f t="shared" ca="1" si="12"/>
        <v>3/14 - Agreed that to adhere to new Perf CI doc shared on 3/14</v>
      </c>
      <c r="T277" s="70" t="s">
        <v>244</v>
      </c>
      <c r="U277" s="20">
        <v>43550</v>
      </c>
      <c r="V277" s="70" t="s">
        <v>256</v>
      </c>
    </row>
    <row r="278" spans="1:22" ht="12.75" customHeight="1">
      <c r="A278" s="70" t="s">
        <v>159</v>
      </c>
      <c r="B278" s="56" t="s">
        <v>55</v>
      </c>
      <c r="C278" s="56" t="s">
        <v>696</v>
      </c>
      <c r="D278" s="56" t="s">
        <v>683</v>
      </c>
      <c r="E278" s="56" t="s">
        <v>682</v>
      </c>
      <c r="F278" s="70"/>
      <c r="G278" s="70" t="str">
        <f>VLOOKUP(C278,'7a. PERFSUMMARY'!F:U,15,FALSE)</f>
        <v>Contribution for the specified period of the extract</v>
      </c>
      <c r="H278" s="20">
        <v>43538</v>
      </c>
      <c r="I278" s="70" t="e">
        <v>#N/A</v>
      </c>
      <c r="J278" s="70" t="str">
        <f t="shared" ca="1" si="13"/>
        <v>1month_ror</v>
      </c>
      <c r="K278" s="70" t="e">
        <f t="shared" ca="1" si="7"/>
        <v>#N/A</v>
      </c>
      <c r="L278" s="70"/>
      <c r="M278" s="70">
        <f t="shared" ca="1" si="8"/>
        <v>10</v>
      </c>
      <c r="N278" s="129" t="s">
        <v>697</v>
      </c>
      <c r="O278" s="70" t="b">
        <f t="shared" ca="1" si="9"/>
        <v>1</v>
      </c>
      <c r="P278" s="70"/>
      <c r="Q278" s="70" t="str">
        <f t="shared" ca="1" si="10"/>
        <v>Common Interface NB V0.6</v>
      </c>
      <c r="R278" s="20">
        <f t="shared" ca="1" si="11"/>
        <v>43538</v>
      </c>
      <c r="S278" s="70" t="str">
        <f t="shared" ca="1" si="12"/>
        <v>3/14 - Agreed that to adhere to new Perf CI doc shared on 3/14</v>
      </c>
      <c r="T278" s="70" t="s">
        <v>244</v>
      </c>
      <c r="U278" s="20">
        <v>43550</v>
      </c>
      <c r="V278" s="70" t="s">
        <v>256</v>
      </c>
    </row>
    <row r="279" spans="1:22" ht="12.75" customHeight="1">
      <c r="A279" s="70" t="s">
        <v>159</v>
      </c>
      <c r="B279" s="56" t="s">
        <v>55</v>
      </c>
      <c r="C279" s="56" t="s">
        <v>698</v>
      </c>
      <c r="D279" s="56" t="s">
        <v>683</v>
      </c>
      <c r="E279" s="56" t="s">
        <v>682</v>
      </c>
      <c r="F279" s="70"/>
      <c r="G279" s="70" t="str">
        <f>VLOOKUP(C279,'7a. PERFSUMMARY'!F:U,15,FALSE)</f>
        <v>Contribution for the specified period of the extract</v>
      </c>
      <c r="H279" s="20">
        <v>43538</v>
      </c>
      <c r="I279" s="70" t="e">
        <v>#N/A</v>
      </c>
      <c r="J279" s="70" t="str">
        <f t="shared" ca="1" si="13"/>
        <v>2month_ror</v>
      </c>
      <c r="K279" s="70" t="e">
        <f t="shared" ca="1" si="7"/>
        <v>#N/A</v>
      </c>
      <c r="L279" s="70"/>
      <c r="M279" s="70">
        <f t="shared" ca="1" si="8"/>
        <v>11</v>
      </c>
      <c r="N279" s="129" t="s">
        <v>699</v>
      </c>
      <c r="O279" s="70" t="b">
        <f t="shared" ca="1" si="9"/>
        <v>1</v>
      </c>
      <c r="P279" s="70"/>
      <c r="Q279" s="70" t="str">
        <f t="shared" ca="1" si="10"/>
        <v>Common Interface NB V0.6</v>
      </c>
      <c r="R279" s="20">
        <f t="shared" ca="1" si="11"/>
        <v>43538</v>
      </c>
      <c r="S279" s="70" t="str">
        <f t="shared" ca="1" si="12"/>
        <v>3/14 - Agreed that to adhere to new Perf CI doc shared on 3/14</v>
      </c>
      <c r="T279" s="70" t="s">
        <v>244</v>
      </c>
      <c r="U279" s="20">
        <v>43550</v>
      </c>
      <c r="V279" s="70" t="s">
        <v>256</v>
      </c>
    </row>
    <row r="280" spans="1:22" ht="12.75" customHeight="1">
      <c r="A280" s="70" t="s">
        <v>159</v>
      </c>
      <c r="B280" s="56" t="s">
        <v>55</v>
      </c>
      <c r="C280" s="56" t="s">
        <v>700</v>
      </c>
      <c r="D280" s="56" t="s">
        <v>683</v>
      </c>
      <c r="E280" s="56" t="s">
        <v>682</v>
      </c>
      <c r="F280" s="70"/>
      <c r="G280" s="70" t="str">
        <f>VLOOKUP(C280,'7a. PERFSUMMARY'!F:U,15,FALSE)</f>
        <v>Contribution for the specified period of the extract</v>
      </c>
      <c r="H280" s="20">
        <v>43538</v>
      </c>
      <c r="I280" s="70" t="e">
        <v>#N/A</v>
      </c>
      <c r="J280" s="70" t="str">
        <f t="shared" ca="1" si="13"/>
        <v>3month_ror</v>
      </c>
      <c r="K280" s="70" t="e">
        <f t="shared" ca="1" si="7"/>
        <v>#N/A</v>
      </c>
      <c r="L280" s="70"/>
      <c r="M280" s="70">
        <f t="shared" ca="1" si="8"/>
        <v>12</v>
      </c>
      <c r="N280" s="129" t="s">
        <v>701</v>
      </c>
      <c r="O280" s="70" t="b">
        <f t="shared" ca="1" si="9"/>
        <v>1</v>
      </c>
      <c r="P280" s="70"/>
      <c r="Q280" s="70" t="str">
        <f t="shared" ca="1" si="10"/>
        <v>Common Interface NB V0.6</v>
      </c>
      <c r="R280" s="20">
        <f t="shared" ca="1" si="11"/>
        <v>43538</v>
      </c>
      <c r="S280" s="70" t="str">
        <f t="shared" ca="1" si="12"/>
        <v>3/14 - Agreed that to adhere to new Perf CI doc shared on 3/14</v>
      </c>
      <c r="T280" s="70" t="s">
        <v>244</v>
      </c>
      <c r="U280" s="20">
        <v>43550</v>
      </c>
      <c r="V280" s="70" t="s">
        <v>256</v>
      </c>
    </row>
    <row r="281" spans="1:22" ht="12.75" customHeight="1">
      <c r="A281" s="70" t="s">
        <v>159</v>
      </c>
      <c r="B281" s="56" t="s">
        <v>55</v>
      </c>
      <c r="C281" s="56" t="s">
        <v>702</v>
      </c>
      <c r="D281" s="56" t="s">
        <v>683</v>
      </c>
      <c r="E281" s="56" t="s">
        <v>682</v>
      </c>
      <c r="F281" s="70"/>
      <c r="G281" s="70" t="str">
        <f>VLOOKUP(C281,'7a. PERFSUMMARY'!F:U,15,FALSE)</f>
        <v>Contribution for the specified period of the extract</v>
      </c>
      <c r="H281" s="20">
        <v>43538</v>
      </c>
      <c r="I281" s="70" t="e">
        <v>#N/A</v>
      </c>
      <c r="J281" s="70" t="str">
        <f t="shared" ca="1" si="13"/>
        <v>4month_ror</v>
      </c>
      <c r="K281" s="70" t="e">
        <f t="shared" ca="1" si="7"/>
        <v>#N/A</v>
      </c>
      <c r="L281" s="70"/>
      <c r="M281" s="70">
        <f t="shared" ca="1" si="8"/>
        <v>13</v>
      </c>
      <c r="N281" s="129" t="s">
        <v>703</v>
      </c>
      <c r="O281" s="70" t="b">
        <f t="shared" ca="1" si="9"/>
        <v>1</v>
      </c>
      <c r="P281" s="70"/>
      <c r="Q281" s="70" t="str">
        <f t="shared" ca="1" si="10"/>
        <v>Common Interface NB V0.6</v>
      </c>
      <c r="R281" s="20">
        <f t="shared" ca="1" si="11"/>
        <v>43538</v>
      </c>
      <c r="S281" s="70" t="str">
        <f t="shared" ca="1" si="12"/>
        <v>3/14 - Agreed that to adhere to new Perf CI doc shared on 3/14</v>
      </c>
      <c r="T281" s="70" t="s">
        <v>244</v>
      </c>
      <c r="U281" s="20">
        <v>43550</v>
      </c>
      <c r="V281" s="70" t="s">
        <v>256</v>
      </c>
    </row>
    <row r="282" spans="1:22" ht="12.75" customHeight="1">
      <c r="A282" s="70" t="s">
        <v>159</v>
      </c>
      <c r="B282" s="56" t="s">
        <v>55</v>
      </c>
      <c r="C282" s="56" t="s">
        <v>704</v>
      </c>
      <c r="D282" s="56" t="s">
        <v>683</v>
      </c>
      <c r="E282" s="56" t="s">
        <v>682</v>
      </c>
      <c r="F282" s="70"/>
      <c r="G282" s="70" t="str">
        <f>VLOOKUP(C282,'7a. PERFSUMMARY'!F:U,15,FALSE)</f>
        <v>Contribution for the specified period of the extract</v>
      </c>
      <c r="H282" s="20">
        <v>43538</v>
      </c>
      <c r="I282" s="70" t="e">
        <v>#N/A</v>
      </c>
      <c r="J282" s="70" t="str">
        <f t="shared" ca="1" si="13"/>
        <v>5month_ror</v>
      </c>
      <c r="K282" s="70" t="e">
        <f t="shared" ca="1" si="7"/>
        <v>#N/A</v>
      </c>
      <c r="L282" s="70"/>
      <c r="M282" s="70">
        <f t="shared" ca="1" si="8"/>
        <v>14</v>
      </c>
      <c r="N282" s="129" t="s">
        <v>705</v>
      </c>
      <c r="O282" s="70" t="b">
        <f t="shared" ca="1" si="9"/>
        <v>1</v>
      </c>
      <c r="P282" s="70"/>
      <c r="Q282" s="70" t="str">
        <f t="shared" ca="1" si="10"/>
        <v>Common Interface NB V0.6</v>
      </c>
      <c r="R282" s="20">
        <f t="shared" ca="1" si="11"/>
        <v>43538</v>
      </c>
      <c r="S282" s="70" t="str">
        <f t="shared" ca="1" si="12"/>
        <v>3/14 - Agreed that to adhere to new Perf CI doc shared on 3/14</v>
      </c>
      <c r="T282" s="70" t="s">
        <v>244</v>
      </c>
      <c r="U282" s="20">
        <v>43550</v>
      </c>
      <c r="V282" s="70" t="s">
        <v>256</v>
      </c>
    </row>
    <row r="283" spans="1:22" ht="12.75" customHeight="1">
      <c r="A283" s="70" t="s">
        <v>159</v>
      </c>
      <c r="B283" s="56" t="s">
        <v>55</v>
      </c>
      <c r="C283" s="56" t="s">
        <v>706</v>
      </c>
      <c r="D283" s="56" t="s">
        <v>683</v>
      </c>
      <c r="E283" s="56" t="s">
        <v>682</v>
      </c>
      <c r="F283" s="70"/>
      <c r="G283" s="70" t="str">
        <f>VLOOKUP(C283,'7a. PERFSUMMARY'!F:U,15,FALSE)</f>
        <v>Contribution for the specified period of the extract</v>
      </c>
      <c r="H283" s="20">
        <v>43538</v>
      </c>
      <c r="I283" s="70" t="e">
        <v>#N/A</v>
      </c>
      <c r="J283" s="70" t="str">
        <f t="shared" ca="1" si="13"/>
        <v>6month_ror</v>
      </c>
      <c r="K283" s="70" t="e">
        <f t="shared" ca="1" si="7"/>
        <v>#N/A</v>
      </c>
      <c r="L283" s="70"/>
      <c r="M283" s="70">
        <f t="shared" ca="1" si="8"/>
        <v>15</v>
      </c>
      <c r="N283" s="129" t="s">
        <v>707</v>
      </c>
      <c r="O283" s="70" t="b">
        <f t="shared" ca="1" si="9"/>
        <v>1</v>
      </c>
      <c r="P283" s="70"/>
      <c r="Q283" s="70" t="str">
        <f t="shared" ca="1" si="10"/>
        <v>Common Interface NB V0.6</v>
      </c>
      <c r="R283" s="20">
        <f t="shared" ca="1" si="11"/>
        <v>43538</v>
      </c>
      <c r="S283" s="70" t="str">
        <f t="shared" ca="1" si="12"/>
        <v>3/14 - Agreed that to adhere to new Perf CI doc shared on 3/14</v>
      </c>
      <c r="T283" s="70" t="s">
        <v>244</v>
      </c>
      <c r="U283" s="20">
        <v>43550</v>
      </c>
      <c r="V283" s="70" t="s">
        <v>256</v>
      </c>
    </row>
    <row r="284" spans="1:22" ht="12.75" customHeight="1">
      <c r="A284" s="70" t="s">
        <v>159</v>
      </c>
      <c r="B284" s="56" t="s">
        <v>55</v>
      </c>
      <c r="C284" s="56" t="s">
        <v>708</v>
      </c>
      <c r="D284" s="56" t="s">
        <v>683</v>
      </c>
      <c r="E284" s="56" t="s">
        <v>682</v>
      </c>
      <c r="F284" s="70"/>
      <c r="G284" s="70" t="str">
        <f>VLOOKUP(C284,'7a. PERFSUMMARY'!F:U,15,FALSE)</f>
        <v>Contribution for the specified period of the extract</v>
      </c>
      <c r="H284" s="20">
        <v>43538</v>
      </c>
      <c r="I284" s="70" t="e">
        <v>#N/A</v>
      </c>
      <c r="J284" s="70" t="str">
        <f t="shared" ca="1" si="13"/>
        <v>7month_ror</v>
      </c>
      <c r="K284" s="70" t="e">
        <f t="shared" ca="1" si="7"/>
        <v>#N/A</v>
      </c>
      <c r="L284" s="70"/>
      <c r="M284" s="70">
        <f t="shared" ca="1" si="8"/>
        <v>16</v>
      </c>
      <c r="N284" s="129" t="s">
        <v>709</v>
      </c>
      <c r="O284" s="70" t="b">
        <f t="shared" ca="1" si="9"/>
        <v>1</v>
      </c>
      <c r="P284" s="70"/>
      <c r="Q284" s="70" t="str">
        <f t="shared" ca="1" si="10"/>
        <v>Common Interface NB V0.6</v>
      </c>
      <c r="R284" s="20">
        <f t="shared" ca="1" si="11"/>
        <v>43538</v>
      </c>
      <c r="S284" s="70" t="str">
        <f t="shared" ca="1" si="12"/>
        <v>3/14 - Agreed that to adhere to new Perf CI doc shared on 3/14</v>
      </c>
      <c r="T284" s="70" t="s">
        <v>244</v>
      </c>
      <c r="U284" s="20">
        <v>43550</v>
      </c>
      <c r="V284" s="70" t="s">
        <v>256</v>
      </c>
    </row>
    <row r="285" spans="1:22" ht="12.75" customHeight="1">
      <c r="A285" s="70" t="s">
        <v>159</v>
      </c>
      <c r="B285" s="56" t="s">
        <v>55</v>
      </c>
      <c r="C285" s="56" t="s">
        <v>710</v>
      </c>
      <c r="D285" s="56" t="s">
        <v>683</v>
      </c>
      <c r="E285" s="56" t="s">
        <v>682</v>
      </c>
      <c r="F285" s="70"/>
      <c r="G285" s="70" t="str">
        <f>VLOOKUP(C285,'7a. PERFSUMMARY'!F:U,15,FALSE)</f>
        <v>Contribution for the specified period of the extract</v>
      </c>
      <c r="H285" s="20">
        <v>43538</v>
      </c>
      <c r="I285" s="70" t="e">
        <v>#N/A</v>
      </c>
      <c r="J285" s="70" t="str">
        <f t="shared" ca="1" si="13"/>
        <v>8month_ror</v>
      </c>
      <c r="K285" s="70" t="e">
        <f t="shared" ca="1" si="7"/>
        <v>#N/A</v>
      </c>
      <c r="L285" s="70"/>
      <c r="M285" s="70">
        <f t="shared" ca="1" si="8"/>
        <v>17</v>
      </c>
      <c r="N285" s="129" t="s">
        <v>711</v>
      </c>
      <c r="O285" s="70" t="b">
        <f t="shared" ca="1" si="9"/>
        <v>1</v>
      </c>
      <c r="P285" s="70"/>
      <c r="Q285" s="70" t="str">
        <f t="shared" ca="1" si="10"/>
        <v>Common Interface NB V0.6</v>
      </c>
      <c r="R285" s="20">
        <f t="shared" ca="1" si="11"/>
        <v>43538</v>
      </c>
      <c r="S285" s="70" t="str">
        <f t="shared" ca="1" si="12"/>
        <v>3/14 - Agreed that to adhere to new Perf CI doc shared on 3/14</v>
      </c>
      <c r="T285" s="70" t="s">
        <v>244</v>
      </c>
      <c r="U285" s="20">
        <v>43550</v>
      </c>
      <c r="V285" s="70" t="s">
        <v>256</v>
      </c>
    </row>
    <row r="286" spans="1:22" ht="12.75" customHeight="1">
      <c r="A286" s="70" t="s">
        <v>159</v>
      </c>
      <c r="B286" s="56" t="s">
        <v>55</v>
      </c>
      <c r="C286" s="56" t="s">
        <v>712</v>
      </c>
      <c r="D286" s="56" t="s">
        <v>683</v>
      </c>
      <c r="E286" s="56" t="s">
        <v>682</v>
      </c>
      <c r="F286" s="70"/>
      <c r="G286" s="70" t="str">
        <f>VLOOKUP(C286,'7a. PERFSUMMARY'!F:U,15,FALSE)</f>
        <v>Contribution for the specified period of the extract</v>
      </c>
      <c r="H286" s="20">
        <v>43538</v>
      </c>
      <c r="I286" s="70" t="e">
        <v>#N/A</v>
      </c>
      <c r="J286" s="70" t="str">
        <f t="shared" ca="1" si="13"/>
        <v>9month_ror</v>
      </c>
      <c r="K286" s="70" t="e">
        <f t="shared" ca="1" si="7"/>
        <v>#N/A</v>
      </c>
      <c r="L286" s="70"/>
      <c r="M286" s="70">
        <f t="shared" ca="1" si="8"/>
        <v>18</v>
      </c>
      <c r="N286" s="129" t="s">
        <v>713</v>
      </c>
      <c r="O286" s="70" t="b">
        <f t="shared" ca="1" si="9"/>
        <v>1</v>
      </c>
      <c r="P286" s="70"/>
      <c r="Q286" s="70" t="str">
        <f t="shared" ca="1" si="10"/>
        <v>Common Interface NB V0.6</v>
      </c>
      <c r="R286" s="20">
        <f t="shared" ca="1" si="11"/>
        <v>43538</v>
      </c>
      <c r="S286" s="70" t="str">
        <f t="shared" ca="1" si="12"/>
        <v>3/14 - Agreed that to adhere to new Perf CI doc shared on 3/14</v>
      </c>
      <c r="T286" s="70" t="s">
        <v>244</v>
      </c>
      <c r="U286" s="20">
        <v>43550</v>
      </c>
      <c r="V286" s="70" t="s">
        <v>256</v>
      </c>
    </row>
    <row r="287" spans="1:22" ht="12.75" customHeight="1">
      <c r="A287" s="70" t="s">
        <v>159</v>
      </c>
      <c r="B287" s="56" t="s">
        <v>55</v>
      </c>
      <c r="C287" s="56" t="s">
        <v>714</v>
      </c>
      <c r="D287" s="56" t="s">
        <v>683</v>
      </c>
      <c r="E287" s="56" t="s">
        <v>682</v>
      </c>
      <c r="F287" s="70"/>
      <c r="G287" s="70" t="str">
        <f>VLOOKUP(C287,'7a. PERFSUMMARY'!F:U,15,FALSE)</f>
        <v>Contribution for the specified period of the extract</v>
      </c>
      <c r="H287" s="20">
        <v>43538</v>
      </c>
      <c r="I287" s="70" t="e">
        <v>#N/A</v>
      </c>
      <c r="J287" s="70" t="str">
        <f t="shared" ca="1" si="13"/>
        <v>10month_ror</v>
      </c>
      <c r="K287" s="70" t="e">
        <f t="shared" ca="1" si="7"/>
        <v>#N/A</v>
      </c>
      <c r="L287" s="70"/>
      <c r="M287" s="70">
        <f t="shared" ca="1" si="8"/>
        <v>19</v>
      </c>
      <c r="N287" s="129" t="s">
        <v>715</v>
      </c>
      <c r="O287" s="70" t="b">
        <f t="shared" ca="1" si="9"/>
        <v>1</v>
      </c>
      <c r="P287" s="70"/>
      <c r="Q287" s="70" t="str">
        <f t="shared" ca="1" si="10"/>
        <v>Common Interface NB V0.6</v>
      </c>
      <c r="R287" s="20">
        <f t="shared" ca="1" si="11"/>
        <v>43538</v>
      </c>
      <c r="S287" s="70" t="str">
        <f t="shared" ca="1" si="12"/>
        <v>3/14 - Agreed that to adhere to new Perf CI doc shared on 3/14</v>
      </c>
      <c r="T287" s="70" t="s">
        <v>244</v>
      </c>
      <c r="U287" s="20">
        <v>43550</v>
      </c>
      <c r="V287" s="70" t="s">
        <v>256</v>
      </c>
    </row>
    <row r="288" spans="1:22" ht="12.75" customHeight="1">
      <c r="A288" s="70" t="s">
        <v>159</v>
      </c>
      <c r="B288" s="56" t="s">
        <v>55</v>
      </c>
      <c r="C288" s="56" t="s">
        <v>716</v>
      </c>
      <c r="D288" s="56" t="s">
        <v>683</v>
      </c>
      <c r="E288" s="56" t="s">
        <v>682</v>
      </c>
      <c r="F288" s="70"/>
      <c r="G288" s="70" t="str">
        <f>VLOOKUP(C288,'7a. PERFSUMMARY'!F:U,15,FALSE)</f>
        <v>Contribution for the specified period of the extract</v>
      </c>
      <c r="H288" s="20">
        <v>43538</v>
      </c>
      <c r="I288" s="70" t="e">
        <v>#N/A</v>
      </c>
      <c r="J288" s="70" t="str">
        <f t="shared" ca="1" si="13"/>
        <v>11month_ror</v>
      </c>
      <c r="K288" s="70" t="e">
        <f t="shared" ca="1" si="7"/>
        <v>#N/A</v>
      </c>
      <c r="L288" s="70" t="s">
        <v>686</v>
      </c>
      <c r="M288" s="70">
        <f t="shared" ca="1" si="8"/>
        <v>20</v>
      </c>
      <c r="N288" s="129" t="s">
        <v>717</v>
      </c>
      <c r="O288" s="70" t="b">
        <f t="shared" ca="1" si="9"/>
        <v>1</v>
      </c>
      <c r="P288" s="70"/>
      <c r="Q288" s="70" t="str">
        <f t="shared" ca="1" si="10"/>
        <v>Common Interface NB V0.6</v>
      </c>
      <c r="R288" s="20">
        <f t="shared" ca="1" si="11"/>
        <v>43538</v>
      </c>
      <c r="S288" s="70" t="str">
        <f t="shared" ca="1" si="12"/>
        <v>3/14 - Agreed that to adhere to new Perf CI doc shared on 3/14</v>
      </c>
      <c r="T288" s="70" t="s">
        <v>244</v>
      </c>
      <c r="U288" s="20">
        <v>43550</v>
      </c>
      <c r="V288" s="70" t="s">
        <v>256</v>
      </c>
    </row>
    <row r="289" spans="1:22" ht="12.75" customHeight="1">
      <c r="A289" s="70" t="s">
        <v>159</v>
      </c>
      <c r="B289" s="56" t="s">
        <v>55</v>
      </c>
      <c r="C289" s="56" t="s">
        <v>718</v>
      </c>
      <c r="D289" s="56" t="s">
        <v>683</v>
      </c>
      <c r="E289" s="56" t="s">
        <v>682</v>
      </c>
      <c r="F289" s="70"/>
      <c r="G289" s="70" t="str">
        <f>VLOOKUP(C289,'7a. PERFSUMMARY'!F:U,15,FALSE)</f>
        <v>Contribution for the specified period of the extract</v>
      </c>
      <c r="H289" s="20">
        <v>43538</v>
      </c>
      <c r="I289" s="70" t="e">
        <v>#N/A</v>
      </c>
      <c r="J289" s="70" t="str">
        <f t="shared" ca="1" si="13"/>
        <v>12month_ror</v>
      </c>
      <c r="K289" s="70" t="e">
        <f t="shared" ca="1" si="7"/>
        <v>#N/A</v>
      </c>
      <c r="L289" s="70"/>
      <c r="M289" s="70">
        <f t="shared" ca="1" si="8"/>
        <v>21</v>
      </c>
      <c r="N289" s="129" t="s">
        <v>719</v>
      </c>
      <c r="O289" s="70" t="b">
        <f t="shared" ca="1" si="9"/>
        <v>1</v>
      </c>
      <c r="P289" s="70"/>
      <c r="Q289" s="70" t="str">
        <f t="shared" ca="1" si="10"/>
        <v>Common Interface NB V0.6</v>
      </c>
      <c r="R289" s="20">
        <f t="shared" ca="1" si="11"/>
        <v>43538</v>
      </c>
      <c r="S289" s="70" t="str">
        <f t="shared" ca="1" si="12"/>
        <v>3/14 - Agreed that to adhere to new Perf CI doc shared on 3/14</v>
      </c>
      <c r="T289" s="70" t="s">
        <v>244</v>
      </c>
      <c r="U289" s="20">
        <v>43550</v>
      </c>
      <c r="V289" s="70" t="s">
        <v>256</v>
      </c>
    </row>
    <row r="290" spans="1:22" ht="12.75" customHeight="1">
      <c r="A290" s="70" t="s">
        <v>159</v>
      </c>
      <c r="B290" s="56" t="s">
        <v>59</v>
      </c>
      <c r="C290" s="56" t="s">
        <v>720</v>
      </c>
      <c r="D290" s="56" t="s">
        <v>683</v>
      </c>
      <c r="E290" s="56" t="s">
        <v>682</v>
      </c>
      <c r="F290" s="70"/>
      <c r="G290" s="70" t="str">
        <f>VLOOKUP(C290,'7a. PERFSUMMARY'!F:U,15,FALSE)</f>
        <v>Contribution for the specified period of the extract</v>
      </c>
      <c r="H290" s="20">
        <v>43538</v>
      </c>
      <c r="I290" s="70" t="e">
        <v>#N/A</v>
      </c>
      <c r="J290" s="70" t="str">
        <f t="shared" ca="1" si="13"/>
        <v>mtd_ror</v>
      </c>
      <c r="K290" s="70" t="e">
        <f t="shared" ca="1" si="7"/>
        <v>#N/A</v>
      </c>
      <c r="L290" s="70"/>
      <c r="M290" s="70">
        <f t="shared" ca="1" si="8"/>
        <v>22</v>
      </c>
      <c r="N290" s="129" t="s">
        <v>721</v>
      </c>
      <c r="O290" s="70" t="b">
        <f t="shared" ca="1" si="9"/>
        <v>1</v>
      </c>
      <c r="P290" s="70"/>
      <c r="Q290" s="70" t="str">
        <f t="shared" ca="1" si="10"/>
        <v>Common Interface NB V0.6</v>
      </c>
      <c r="R290" s="20">
        <f t="shared" ca="1" si="11"/>
        <v>43538</v>
      </c>
      <c r="S290" s="70" t="str">
        <f t="shared" ca="1" si="12"/>
        <v>3/14 - Agreed that to adhere to new Perf CI doc shared on 3/14</v>
      </c>
      <c r="T290" s="70" t="s">
        <v>244</v>
      </c>
      <c r="U290" s="20">
        <v>43550</v>
      </c>
      <c r="V290" s="70" t="s">
        <v>256</v>
      </c>
    </row>
    <row r="291" spans="1:22" ht="12.75" customHeight="1">
      <c r="A291" s="70" t="s">
        <v>159</v>
      </c>
      <c r="B291" s="56" t="s">
        <v>59</v>
      </c>
      <c r="C291" s="56" t="s">
        <v>722</v>
      </c>
      <c r="D291" s="56" t="s">
        <v>683</v>
      </c>
      <c r="E291" s="56" t="s">
        <v>682</v>
      </c>
      <c r="F291" s="70"/>
      <c r="G291" s="70" t="str">
        <f>VLOOKUP(C291,'7a. PERFSUMMARY'!F:U,15,FALSE)</f>
        <v>Contribution for the specified period of the extract</v>
      </c>
      <c r="H291" s="20">
        <v>43538</v>
      </c>
      <c r="I291" s="70" t="e">
        <v>#N/A</v>
      </c>
      <c r="J291" s="70" t="str">
        <f t="shared" ca="1" si="13"/>
        <v>qtd_ror</v>
      </c>
      <c r="K291" s="70" t="e">
        <f t="shared" ca="1" si="7"/>
        <v>#N/A</v>
      </c>
      <c r="L291" s="70"/>
      <c r="M291" s="70">
        <f t="shared" ca="1" si="8"/>
        <v>23</v>
      </c>
      <c r="N291" s="129" t="s">
        <v>723</v>
      </c>
      <c r="O291" s="70" t="b">
        <f t="shared" ca="1" si="9"/>
        <v>1</v>
      </c>
      <c r="P291" s="70"/>
      <c r="Q291" s="70" t="str">
        <f t="shared" ca="1" si="10"/>
        <v>Common Interface NB V0.6</v>
      </c>
      <c r="R291" s="20">
        <f t="shared" ca="1" si="11"/>
        <v>43538</v>
      </c>
      <c r="S291" s="70" t="str">
        <f t="shared" ca="1" si="12"/>
        <v>3/14 - Agreed that to adhere to new Perf CI doc shared on 3/14</v>
      </c>
      <c r="T291" s="70" t="s">
        <v>244</v>
      </c>
      <c r="U291" s="20">
        <v>43550</v>
      </c>
      <c r="V291" s="70" t="s">
        <v>256</v>
      </c>
    </row>
    <row r="292" spans="1:22" ht="12.75" customHeight="1">
      <c r="A292" s="70" t="s">
        <v>159</v>
      </c>
      <c r="B292" s="56" t="s">
        <v>59</v>
      </c>
      <c r="C292" s="56" t="s">
        <v>724</v>
      </c>
      <c r="D292" s="56" t="s">
        <v>683</v>
      </c>
      <c r="E292" s="56" t="s">
        <v>682</v>
      </c>
      <c r="F292" s="70"/>
      <c r="G292" s="70" t="str">
        <f>VLOOKUP(C292,'7a. PERFSUMMARY'!F:U,15,FALSE)</f>
        <v>Contribution for the specified period of the extract</v>
      </c>
      <c r="H292" s="20">
        <v>43538</v>
      </c>
      <c r="I292" s="70" t="e">
        <v>#N/A</v>
      </c>
      <c r="J292" s="70" t="str">
        <f t="shared" ca="1" si="13"/>
        <v>ytd_ror</v>
      </c>
      <c r="K292" s="70" t="e">
        <f t="shared" ca="1" si="7"/>
        <v>#N/A</v>
      </c>
      <c r="L292" s="70"/>
      <c r="M292" s="70">
        <f t="shared" ca="1" si="8"/>
        <v>24</v>
      </c>
      <c r="N292" s="129" t="s">
        <v>725</v>
      </c>
      <c r="O292" s="70" t="b">
        <f t="shared" ca="1" si="9"/>
        <v>1</v>
      </c>
      <c r="P292" s="70"/>
      <c r="Q292" s="70" t="str">
        <f t="shared" ca="1" si="10"/>
        <v>Common Interface NB V0.6</v>
      </c>
      <c r="R292" s="20">
        <f t="shared" ca="1" si="11"/>
        <v>43538</v>
      </c>
      <c r="S292" s="70" t="str">
        <f t="shared" ca="1" si="12"/>
        <v>3/14 - Agreed that to adhere to new Perf CI doc shared on 3/14</v>
      </c>
      <c r="T292" s="70" t="s">
        <v>244</v>
      </c>
      <c r="U292" s="20">
        <v>43550</v>
      </c>
      <c r="V292" s="70" t="s">
        <v>256</v>
      </c>
    </row>
    <row r="293" spans="1:22" ht="12.75" customHeight="1">
      <c r="A293" s="70" t="s">
        <v>159</v>
      </c>
      <c r="B293" s="56" t="s">
        <v>59</v>
      </c>
      <c r="C293" s="56" t="s">
        <v>726</v>
      </c>
      <c r="D293" s="56" t="s">
        <v>683</v>
      </c>
      <c r="E293" s="56" t="s">
        <v>682</v>
      </c>
      <c r="F293" s="70"/>
      <c r="G293" s="70" t="str">
        <f>VLOOKUP(C293,'7a. PERFSUMMARY'!F:U,15,FALSE)</f>
        <v>Contribution for the specified period of the extract</v>
      </c>
      <c r="H293" s="20">
        <v>43538</v>
      </c>
      <c r="I293" s="70" t="e">
        <v>#N/A</v>
      </c>
      <c r="J293" s="70" t="str">
        <f t="shared" ca="1" si="13"/>
        <v>ann_1yr_ror</v>
      </c>
      <c r="K293" s="70" t="e">
        <f t="shared" ca="1" si="7"/>
        <v>#N/A</v>
      </c>
      <c r="L293" s="70"/>
      <c r="M293" s="70">
        <f t="shared" ca="1" si="8"/>
        <v>25</v>
      </c>
      <c r="N293" s="129" t="s">
        <v>727</v>
      </c>
      <c r="O293" s="70" t="b">
        <f t="shared" ca="1" si="9"/>
        <v>1</v>
      </c>
      <c r="P293" s="70"/>
      <c r="Q293" s="70" t="str">
        <f t="shared" ca="1" si="10"/>
        <v>Common Interface NB V0.6</v>
      </c>
      <c r="R293" s="20">
        <f t="shared" ca="1" si="11"/>
        <v>43538</v>
      </c>
      <c r="S293" s="70" t="str">
        <f t="shared" ca="1" si="12"/>
        <v>3/14 - Agreed that to adhere to new Perf CI doc shared on 3/14</v>
      </c>
      <c r="T293" s="70" t="s">
        <v>244</v>
      </c>
      <c r="U293" s="20">
        <v>43550</v>
      </c>
      <c r="V293" s="70" t="s">
        <v>256</v>
      </c>
    </row>
    <row r="294" spans="1:22" ht="12.75" customHeight="1">
      <c r="A294" s="70" t="s">
        <v>159</v>
      </c>
      <c r="B294" s="56" t="s">
        <v>55</v>
      </c>
      <c r="C294" s="56" t="s">
        <v>728</v>
      </c>
      <c r="D294" s="56" t="s">
        <v>683</v>
      </c>
      <c r="E294" s="56" t="s">
        <v>682</v>
      </c>
      <c r="F294" s="70"/>
      <c r="G294" s="70" t="str">
        <f>VLOOKUP(C294,'7a. PERFSUMMARY'!F:U,15,FALSE)</f>
        <v>Contribution for the specified period of the extract</v>
      </c>
      <c r="H294" s="20">
        <v>43538</v>
      </c>
      <c r="I294" s="70" t="e">
        <v>#N/A</v>
      </c>
      <c r="J294" s="70" t="str">
        <f t="shared" ca="1" si="13"/>
        <v>ann_2yr_ror</v>
      </c>
      <c r="K294" s="70" t="e">
        <f t="shared" ca="1" si="7"/>
        <v>#N/A</v>
      </c>
      <c r="L294" s="70"/>
      <c r="M294" s="70">
        <f t="shared" ca="1" si="8"/>
        <v>26</v>
      </c>
      <c r="N294" s="129" t="s">
        <v>729</v>
      </c>
      <c r="O294" s="70" t="b">
        <f t="shared" ca="1" si="9"/>
        <v>1</v>
      </c>
      <c r="P294" s="70"/>
      <c r="Q294" s="70" t="str">
        <f t="shared" ca="1" si="10"/>
        <v>Common Interface NB V0.6</v>
      </c>
      <c r="R294" s="20">
        <f t="shared" ca="1" si="11"/>
        <v>43538</v>
      </c>
      <c r="S294" s="70" t="str">
        <f t="shared" ca="1" si="12"/>
        <v>3/14 - Agreed that to adhere to new Perf CI doc shared on 3/14</v>
      </c>
      <c r="T294" s="70" t="s">
        <v>244</v>
      </c>
      <c r="U294" s="20">
        <v>43550</v>
      </c>
      <c r="V294" s="70" t="s">
        <v>256</v>
      </c>
    </row>
    <row r="295" spans="1:22" ht="12.75" customHeight="1">
      <c r="A295" s="70" t="s">
        <v>159</v>
      </c>
      <c r="B295" s="56" t="s">
        <v>59</v>
      </c>
      <c r="C295" s="56" t="s">
        <v>730</v>
      </c>
      <c r="D295" s="56" t="s">
        <v>683</v>
      </c>
      <c r="E295" s="56" t="s">
        <v>682</v>
      </c>
      <c r="F295" s="70"/>
      <c r="G295" s="70" t="str">
        <f>VLOOKUP(C295,'7a. PERFSUMMARY'!F:U,15,FALSE)</f>
        <v>Contribution for the specified period of the extract</v>
      </c>
      <c r="H295" s="20">
        <v>43538</v>
      </c>
      <c r="I295" s="70" t="e">
        <v>#N/A</v>
      </c>
      <c r="J295" s="70" t="str">
        <f t="shared" ca="1" si="13"/>
        <v>ann_3yr_ror</v>
      </c>
      <c r="K295" s="70" t="e">
        <f t="shared" ca="1" si="7"/>
        <v>#N/A</v>
      </c>
      <c r="L295" s="70"/>
      <c r="M295" s="70">
        <f t="shared" ca="1" si="8"/>
        <v>27</v>
      </c>
      <c r="N295" s="129" t="s">
        <v>731</v>
      </c>
      <c r="O295" s="70" t="b">
        <f t="shared" ca="1" si="9"/>
        <v>1</v>
      </c>
      <c r="P295" s="70"/>
      <c r="Q295" s="70" t="str">
        <f t="shared" ca="1" si="10"/>
        <v>Common Interface NB V0.6</v>
      </c>
      <c r="R295" s="20">
        <f t="shared" ca="1" si="11"/>
        <v>43538</v>
      </c>
      <c r="S295" s="70" t="str">
        <f t="shared" ca="1" si="12"/>
        <v>3/14 - Agreed that to adhere to new Perf CI doc shared on 3/14</v>
      </c>
      <c r="T295" s="70" t="s">
        <v>244</v>
      </c>
      <c r="U295" s="20">
        <v>43550</v>
      </c>
      <c r="V295" s="70" t="s">
        <v>256</v>
      </c>
    </row>
    <row r="296" spans="1:22" ht="12.75" customHeight="1">
      <c r="A296" s="70" t="s">
        <v>159</v>
      </c>
      <c r="B296" s="56" t="s">
        <v>55</v>
      </c>
      <c r="C296" s="56" t="s">
        <v>732</v>
      </c>
      <c r="D296" s="56" t="s">
        <v>683</v>
      </c>
      <c r="E296" s="56" t="s">
        <v>682</v>
      </c>
      <c r="F296" s="70"/>
      <c r="G296" s="70" t="str">
        <f>VLOOKUP(C296,'7a. PERFSUMMARY'!F:U,15,FALSE)</f>
        <v>Contribution for the specified period of the extract</v>
      </c>
      <c r="H296" s="20">
        <v>43538</v>
      </c>
      <c r="I296" s="70" t="e">
        <v>#N/A</v>
      </c>
      <c r="J296" s="70" t="str">
        <f t="shared" ca="1" si="13"/>
        <v>ann_4yr_ror</v>
      </c>
      <c r="K296" s="70" t="e">
        <f t="shared" ca="1" si="7"/>
        <v>#N/A</v>
      </c>
      <c r="L296" s="70"/>
      <c r="M296" s="70">
        <f t="shared" ca="1" si="8"/>
        <v>28</v>
      </c>
      <c r="N296" s="129" t="s">
        <v>733</v>
      </c>
      <c r="O296" s="70" t="b">
        <f t="shared" ca="1" si="9"/>
        <v>1</v>
      </c>
      <c r="P296" s="70"/>
      <c r="Q296" s="70" t="str">
        <f t="shared" ca="1" si="10"/>
        <v>Common Interface NB V0.6</v>
      </c>
      <c r="R296" s="20">
        <f t="shared" ca="1" si="11"/>
        <v>43538</v>
      </c>
      <c r="S296" s="70" t="str">
        <f t="shared" ca="1" si="12"/>
        <v>3/14 - Agreed that to adhere to new Perf CI doc shared on 3/14</v>
      </c>
      <c r="T296" s="70" t="s">
        <v>244</v>
      </c>
      <c r="U296" s="20">
        <v>43550</v>
      </c>
      <c r="V296" s="70" t="s">
        <v>256</v>
      </c>
    </row>
    <row r="297" spans="1:22" ht="12.75" customHeight="1">
      <c r="A297" s="70" t="s">
        <v>159</v>
      </c>
      <c r="B297" s="56" t="s">
        <v>59</v>
      </c>
      <c r="C297" s="56" t="s">
        <v>734</v>
      </c>
      <c r="D297" s="56" t="s">
        <v>683</v>
      </c>
      <c r="E297" s="56" t="s">
        <v>682</v>
      </c>
      <c r="F297" s="70"/>
      <c r="G297" s="70" t="str">
        <f>VLOOKUP(C297,'7a. PERFSUMMARY'!F:U,15,FALSE)</f>
        <v>Contribution for the specified period of the extract</v>
      </c>
      <c r="H297" s="20">
        <v>43538</v>
      </c>
      <c r="I297" s="70" t="e">
        <v>#N/A</v>
      </c>
      <c r="J297" s="70" t="str">
        <f t="shared" ca="1" si="13"/>
        <v>ann_5yr_ror</v>
      </c>
      <c r="K297" s="70" t="e">
        <f t="shared" ca="1" si="7"/>
        <v>#N/A</v>
      </c>
      <c r="L297" s="70"/>
      <c r="M297" s="70">
        <f t="shared" ca="1" si="8"/>
        <v>29</v>
      </c>
      <c r="N297" s="129" t="s">
        <v>735</v>
      </c>
      <c r="O297" s="70" t="b">
        <f t="shared" ca="1" si="9"/>
        <v>1</v>
      </c>
      <c r="P297" s="70"/>
      <c r="Q297" s="70" t="str">
        <f t="shared" ca="1" si="10"/>
        <v>Common Interface NB V0.6</v>
      </c>
      <c r="R297" s="20">
        <f t="shared" ca="1" si="11"/>
        <v>43538</v>
      </c>
      <c r="S297" s="70" t="str">
        <f t="shared" ca="1" si="12"/>
        <v>3/14 - Agreed that to adhere to new Perf CI doc shared on 3/14</v>
      </c>
      <c r="T297" s="70" t="s">
        <v>244</v>
      </c>
      <c r="U297" s="20">
        <v>43550</v>
      </c>
      <c r="V297" s="70" t="s">
        <v>256</v>
      </c>
    </row>
    <row r="298" spans="1:22" ht="12.75" customHeight="1">
      <c r="A298" s="70" t="s">
        <v>159</v>
      </c>
      <c r="B298" s="56" t="s">
        <v>55</v>
      </c>
      <c r="C298" s="56" t="s">
        <v>736</v>
      </c>
      <c r="D298" s="56" t="s">
        <v>683</v>
      </c>
      <c r="E298" s="56" t="s">
        <v>682</v>
      </c>
      <c r="F298" s="70"/>
      <c r="G298" s="70" t="str">
        <f>VLOOKUP(C298,'7a. PERFSUMMARY'!F:U,15,FALSE)</f>
        <v>Contribution for the specified period of the extract</v>
      </c>
      <c r="H298" s="20">
        <v>43538</v>
      </c>
      <c r="I298" s="70" t="e">
        <v>#N/A</v>
      </c>
      <c r="J298" s="70" t="str">
        <f t="shared" ca="1" si="13"/>
        <v>ann_6yr_ror</v>
      </c>
      <c r="K298" s="70" t="e">
        <f t="shared" ca="1" si="7"/>
        <v>#N/A</v>
      </c>
      <c r="L298" s="70"/>
      <c r="M298" s="70">
        <f t="shared" ca="1" si="8"/>
        <v>30</v>
      </c>
      <c r="N298" s="129" t="s">
        <v>737</v>
      </c>
      <c r="O298" s="70" t="b">
        <f t="shared" ca="1" si="9"/>
        <v>1</v>
      </c>
      <c r="P298" s="70"/>
      <c r="Q298" s="70" t="str">
        <f t="shared" ca="1" si="10"/>
        <v>Common Interface NB V0.6</v>
      </c>
      <c r="R298" s="20">
        <f t="shared" ca="1" si="11"/>
        <v>43538</v>
      </c>
      <c r="S298" s="70" t="str">
        <f t="shared" ca="1" si="12"/>
        <v>3/14 - Agreed that to adhere to new Perf CI doc shared on 3/14</v>
      </c>
      <c r="T298" s="70" t="s">
        <v>244</v>
      </c>
      <c r="U298" s="20">
        <v>43550</v>
      </c>
      <c r="V298" s="70" t="s">
        <v>256</v>
      </c>
    </row>
    <row r="299" spans="1:22" ht="12.75" customHeight="1">
      <c r="A299" s="70" t="s">
        <v>159</v>
      </c>
      <c r="B299" s="56" t="s">
        <v>55</v>
      </c>
      <c r="C299" s="56" t="s">
        <v>738</v>
      </c>
      <c r="D299" s="56" t="s">
        <v>683</v>
      </c>
      <c r="E299" s="56" t="s">
        <v>682</v>
      </c>
      <c r="F299" s="70"/>
      <c r="G299" s="70" t="str">
        <f>VLOOKUP(C299,'7a. PERFSUMMARY'!F:U,15,FALSE)</f>
        <v>Contribution for the specified period of the extract</v>
      </c>
      <c r="H299" s="20">
        <v>43538</v>
      </c>
      <c r="I299" s="70" t="e">
        <v>#N/A</v>
      </c>
      <c r="J299" s="70" t="str">
        <f t="shared" ca="1" si="13"/>
        <v>ann_7yr_ror</v>
      </c>
      <c r="K299" s="70" t="e">
        <f t="shared" ca="1" si="7"/>
        <v>#N/A</v>
      </c>
      <c r="L299" s="70"/>
      <c r="M299" s="70">
        <f t="shared" ca="1" si="8"/>
        <v>31</v>
      </c>
      <c r="N299" s="129" t="s">
        <v>739</v>
      </c>
      <c r="O299" s="70" t="b">
        <f t="shared" ca="1" si="9"/>
        <v>1</v>
      </c>
      <c r="P299" s="70"/>
      <c r="Q299" s="70" t="str">
        <f t="shared" ca="1" si="10"/>
        <v>Common Interface NB V0.6</v>
      </c>
      <c r="R299" s="20">
        <f t="shared" ca="1" si="11"/>
        <v>43538</v>
      </c>
      <c r="S299" s="70" t="str">
        <f t="shared" ca="1" si="12"/>
        <v>3/14 - Agreed that to adhere to new Perf CI doc shared on 3/14</v>
      </c>
      <c r="T299" s="70" t="s">
        <v>244</v>
      </c>
      <c r="U299" s="20">
        <v>43550</v>
      </c>
      <c r="V299" s="70" t="s">
        <v>256</v>
      </c>
    </row>
    <row r="300" spans="1:22" ht="12.75" customHeight="1">
      <c r="A300" s="70" t="s">
        <v>159</v>
      </c>
      <c r="B300" s="56" t="s">
        <v>55</v>
      </c>
      <c r="C300" s="56" t="s">
        <v>740</v>
      </c>
      <c r="D300" s="56" t="s">
        <v>683</v>
      </c>
      <c r="E300" s="56" t="s">
        <v>682</v>
      </c>
      <c r="F300" s="70"/>
      <c r="G300" s="70" t="str">
        <f>VLOOKUP(C300,'7a. PERFSUMMARY'!F:U,15,FALSE)</f>
        <v>Contribution for the specified period of the extract</v>
      </c>
      <c r="H300" s="20">
        <v>43538</v>
      </c>
      <c r="I300" s="70" t="e">
        <v>#N/A</v>
      </c>
      <c r="J300" s="70" t="str">
        <f t="shared" ca="1" si="13"/>
        <v>ann_8yr_ror</v>
      </c>
      <c r="K300" s="70" t="e">
        <f t="shared" ca="1" si="7"/>
        <v>#N/A</v>
      </c>
      <c r="L300" s="70"/>
      <c r="M300" s="70">
        <f t="shared" ca="1" si="8"/>
        <v>32</v>
      </c>
      <c r="N300" s="129" t="s">
        <v>741</v>
      </c>
      <c r="O300" s="70" t="b">
        <f t="shared" ca="1" si="9"/>
        <v>1</v>
      </c>
      <c r="P300" s="70"/>
      <c r="Q300" s="70" t="str">
        <f t="shared" ca="1" si="10"/>
        <v>Common Interface NB V0.6</v>
      </c>
      <c r="R300" s="20">
        <f t="shared" ca="1" si="11"/>
        <v>43538</v>
      </c>
      <c r="S300" s="70" t="str">
        <f t="shared" ca="1" si="12"/>
        <v>3/14 - Agreed that to adhere to new Perf CI doc shared on 3/14</v>
      </c>
      <c r="T300" s="70" t="s">
        <v>244</v>
      </c>
      <c r="U300" s="20">
        <v>43550</v>
      </c>
      <c r="V300" s="70" t="s">
        <v>256</v>
      </c>
    </row>
    <row r="301" spans="1:22" ht="12.75" customHeight="1">
      <c r="A301" s="70" t="s">
        <v>159</v>
      </c>
      <c r="B301" s="56" t="s">
        <v>55</v>
      </c>
      <c r="C301" s="56" t="s">
        <v>742</v>
      </c>
      <c r="D301" s="56" t="s">
        <v>683</v>
      </c>
      <c r="E301" s="56" t="s">
        <v>682</v>
      </c>
      <c r="F301" s="70"/>
      <c r="G301" s="70" t="str">
        <f>VLOOKUP(C301,'7a. PERFSUMMARY'!F:U,15,FALSE)</f>
        <v>Contribution for the specified period of the extract</v>
      </c>
      <c r="H301" s="20">
        <v>43538</v>
      </c>
      <c r="I301" s="70" t="e">
        <v>#N/A</v>
      </c>
      <c r="J301" s="70" t="str">
        <f t="shared" ca="1" si="13"/>
        <v>ann_9yr_ror</v>
      </c>
      <c r="K301" s="70" t="e">
        <f t="shared" ca="1" si="7"/>
        <v>#N/A</v>
      </c>
      <c r="L301" s="70"/>
      <c r="M301" s="70">
        <f t="shared" ca="1" si="8"/>
        <v>33</v>
      </c>
      <c r="N301" s="129" t="s">
        <v>743</v>
      </c>
      <c r="O301" s="70" t="b">
        <f t="shared" ca="1" si="9"/>
        <v>1</v>
      </c>
      <c r="P301" s="70"/>
      <c r="Q301" s="70" t="str">
        <f t="shared" ca="1" si="10"/>
        <v>Common Interface NB V0.6</v>
      </c>
      <c r="R301" s="20">
        <f t="shared" ca="1" si="11"/>
        <v>43538</v>
      </c>
      <c r="S301" s="70" t="str">
        <f t="shared" ca="1" si="12"/>
        <v>3/14 - Agreed that to adhere to new Perf CI doc shared on 3/14</v>
      </c>
      <c r="T301" s="70" t="s">
        <v>244</v>
      </c>
      <c r="U301" s="20">
        <v>43550</v>
      </c>
      <c r="V301" s="70" t="s">
        <v>256</v>
      </c>
    </row>
    <row r="302" spans="1:22" ht="12.75" customHeight="1">
      <c r="A302" s="70" t="s">
        <v>159</v>
      </c>
      <c r="B302" s="56" t="s">
        <v>55</v>
      </c>
      <c r="C302" s="56" t="s">
        <v>744</v>
      </c>
      <c r="D302" s="56" t="s">
        <v>683</v>
      </c>
      <c r="E302" s="56" t="s">
        <v>682</v>
      </c>
      <c r="F302" s="70"/>
      <c r="G302" s="70" t="str">
        <f>VLOOKUP(C302,'7a. PERFSUMMARY'!F:U,15,FALSE)</f>
        <v>Contribution for the specified period of the extract</v>
      </c>
      <c r="H302" s="20">
        <v>43538</v>
      </c>
      <c r="I302" s="70" t="e">
        <v>#N/A</v>
      </c>
      <c r="J302" s="70" t="str">
        <f t="shared" ca="1" si="13"/>
        <v>ann_10yr_ror</v>
      </c>
      <c r="K302" s="70" t="e">
        <f t="shared" ca="1" si="7"/>
        <v>#N/A</v>
      </c>
      <c r="L302" s="70"/>
      <c r="M302" s="70">
        <f t="shared" ca="1" si="8"/>
        <v>34</v>
      </c>
      <c r="N302" s="129" t="s">
        <v>745</v>
      </c>
      <c r="O302" s="70" t="b">
        <f t="shared" ca="1" si="9"/>
        <v>1</v>
      </c>
      <c r="P302" s="70"/>
      <c r="Q302" s="70" t="str">
        <f t="shared" ca="1" si="10"/>
        <v>Common Interface NB V0.6</v>
      </c>
      <c r="R302" s="20">
        <f t="shared" ca="1" si="11"/>
        <v>43538</v>
      </c>
      <c r="S302" s="70" t="str">
        <f t="shared" ca="1" si="12"/>
        <v>3/14 - Agreed that to adhere to new Perf CI doc shared on 3/14</v>
      </c>
      <c r="T302" s="70" t="s">
        <v>244</v>
      </c>
      <c r="U302" s="20">
        <v>43550</v>
      </c>
      <c r="V302" s="70" t="s">
        <v>256</v>
      </c>
    </row>
    <row r="303" spans="1:22" ht="12.75" customHeight="1">
      <c r="A303" s="70" t="s">
        <v>159</v>
      </c>
      <c r="B303" s="56" t="s">
        <v>55</v>
      </c>
      <c r="C303" s="56" t="s">
        <v>746</v>
      </c>
      <c r="D303" s="56" t="s">
        <v>683</v>
      </c>
      <c r="E303" s="56" t="s">
        <v>682</v>
      </c>
      <c r="F303" s="70"/>
      <c r="G303" s="70" t="str">
        <f>VLOOKUP(C303,'7a. PERFSUMMARY'!F:U,15,FALSE)</f>
        <v>Contribution for the specified period of the extract</v>
      </c>
      <c r="H303" s="20">
        <v>43538</v>
      </c>
      <c r="I303" s="70" t="e">
        <v>#N/A</v>
      </c>
      <c r="J303" s="70" t="str">
        <f t="shared" ca="1" si="13"/>
        <v>ann_15yr_ror</v>
      </c>
      <c r="K303" s="70" t="e">
        <f t="shared" ca="1" si="7"/>
        <v>#N/A</v>
      </c>
      <c r="L303" s="70"/>
      <c r="M303" s="70">
        <f t="shared" ca="1" si="8"/>
        <v>35</v>
      </c>
      <c r="N303" s="129" t="s">
        <v>747</v>
      </c>
      <c r="O303" s="70" t="b">
        <f t="shared" ca="1" si="9"/>
        <v>1</v>
      </c>
      <c r="P303" s="70"/>
      <c r="Q303" s="70" t="str">
        <f t="shared" ca="1" si="10"/>
        <v>Common Interface NB V0.6</v>
      </c>
      <c r="R303" s="20">
        <f t="shared" ca="1" si="11"/>
        <v>43538</v>
      </c>
      <c r="S303" s="70" t="str">
        <f t="shared" ca="1" si="12"/>
        <v>3/14 - Agreed that to adhere to new Perf CI doc shared on 3/14</v>
      </c>
      <c r="T303" s="70" t="s">
        <v>244</v>
      </c>
      <c r="U303" s="20">
        <v>43550</v>
      </c>
      <c r="V303" s="70" t="s">
        <v>256</v>
      </c>
    </row>
    <row r="304" spans="1:22" ht="12.75" customHeight="1">
      <c r="A304" s="70" t="s">
        <v>159</v>
      </c>
      <c r="B304" s="56" t="s">
        <v>55</v>
      </c>
      <c r="C304" s="56" t="s">
        <v>748</v>
      </c>
      <c r="D304" s="56" t="s">
        <v>683</v>
      </c>
      <c r="E304" s="56" t="s">
        <v>682</v>
      </c>
      <c r="F304" s="70"/>
      <c r="G304" s="70" t="str">
        <f>VLOOKUP(C304,'7a. PERFSUMMARY'!F:U,15,FALSE)</f>
        <v>Contribution for the specified period of the extract</v>
      </c>
      <c r="H304" s="20">
        <v>43538</v>
      </c>
      <c r="I304" s="70" t="e">
        <v>#N/A</v>
      </c>
      <c r="J304" s="70" t="str">
        <f t="shared" ca="1" si="13"/>
        <v>ann_25yr_ror</v>
      </c>
      <c r="K304" s="70" t="e">
        <f t="shared" ca="1" si="7"/>
        <v>#N/A</v>
      </c>
      <c r="L304" s="70"/>
      <c r="M304" s="70">
        <f t="shared" ca="1" si="8"/>
        <v>36</v>
      </c>
      <c r="N304" s="129" t="s">
        <v>749</v>
      </c>
      <c r="O304" s="70" t="b">
        <f t="shared" ca="1" si="9"/>
        <v>1</v>
      </c>
      <c r="P304" s="70"/>
      <c r="Q304" s="70" t="str">
        <f t="shared" ca="1" si="10"/>
        <v>Common Interface NB V0.6</v>
      </c>
      <c r="R304" s="20">
        <f t="shared" ca="1" si="11"/>
        <v>43538</v>
      </c>
      <c r="S304" s="70" t="str">
        <f t="shared" ca="1" si="12"/>
        <v>3/14 - Agreed that to adhere to new Perf CI doc shared on 3/14</v>
      </c>
      <c r="T304" s="70" t="s">
        <v>244</v>
      </c>
      <c r="U304" s="20">
        <v>43550</v>
      </c>
      <c r="V304" s="70" t="s">
        <v>256</v>
      </c>
    </row>
    <row r="305" spans="1:22" ht="12.75" customHeight="1">
      <c r="A305" s="70" t="s">
        <v>159</v>
      </c>
      <c r="B305" s="56" t="s">
        <v>59</v>
      </c>
      <c r="C305" s="56" t="s">
        <v>750</v>
      </c>
      <c r="D305" s="56" t="s">
        <v>683</v>
      </c>
      <c r="E305" s="56" t="s">
        <v>682</v>
      </c>
      <c r="F305" s="70"/>
      <c r="G305" s="70" t="str">
        <f>VLOOKUP(C305,'7a. PERFSUMMARY'!F:U,15,FALSE)</f>
        <v>Contribution for the specified period of the extract</v>
      </c>
      <c r="H305" s="20">
        <v>43538</v>
      </c>
      <c r="I305" s="70" t="e">
        <v>#N/A</v>
      </c>
      <c r="J305" s="70" t="str">
        <f t="shared" ca="1" si="13"/>
        <v>ann_inc_ror</v>
      </c>
      <c r="K305" s="70" t="e">
        <f t="shared" ca="1" si="7"/>
        <v>#N/A</v>
      </c>
      <c r="L305" s="70"/>
      <c r="M305" s="70">
        <f t="shared" ca="1" si="8"/>
        <v>37</v>
      </c>
      <c r="N305" s="129" t="s">
        <v>751</v>
      </c>
      <c r="O305" s="70" t="b">
        <f t="shared" ca="1" si="9"/>
        <v>1</v>
      </c>
      <c r="P305" s="70"/>
      <c r="Q305" s="70" t="str">
        <f t="shared" ca="1" si="10"/>
        <v>Common Interface NB V0.6</v>
      </c>
      <c r="R305" s="20">
        <f t="shared" ca="1" si="11"/>
        <v>43538</v>
      </c>
      <c r="S305" s="70" t="str">
        <f t="shared" ca="1" si="12"/>
        <v>3/14 - Agreed that to adhere to new Perf CI doc shared on 3/14</v>
      </c>
      <c r="T305" s="70" t="s">
        <v>244</v>
      </c>
      <c r="U305" s="20">
        <v>43550</v>
      </c>
      <c r="V305" s="70" t="s">
        <v>256</v>
      </c>
    </row>
    <row r="306" spans="1:22" ht="12.75" customHeight="1">
      <c r="A306" s="70" t="s">
        <v>159</v>
      </c>
      <c r="B306" s="56" t="s">
        <v>55</v>
      </c>
      <c r="C306" s="56" t="s">
        <v>752</v>
      </c>
      <c r="D306" s="56" t="s">
        <v>329</v>
      </c>
      <c r="E306" s="56" t="s">
        <v>682</v>
      </c>
      <c r="F306" s="70"/>
      <c r="G306" s="70" t="str">
        <f>VLOOKUP(C306,'7a. PERFSUMMARY'!F:U,15,FALSE)</f>
        <v>Contribution for the specified period of the extract</v>
      </c>
      <c r="H306" s="20">
        <v>43538</v>
      </c>
      <c r="I306" s="70" t="e">
        <v>#N/A</v>
      </c>
      <c r="J306" s="70" t="str">
        <f t="shared" ca="1" si="13"/>
        <v>inc_cum_ror</v>
      </c>
      <c r="K306" s="70" t="e">
        <f t="shared" ca="1" si="7"/>
        <v>#N/A</v>
      </c>
      <c r="L306" s="70" t="s">
        <v>686</v>
      </c>
      <c r="M306" s="70">
        <f t="shared" ca="1" si="8"/>
        <v>38</v>
      </c>
      <c r="N306" s="129" t="s">
        <v>753</v>
      </c>
      <c r="O306" s="70" t="b">
        <f t="shared" ca="1" si="9"/>
        <v>1</v>
      </c>
      <c r="P306" s="70"/>
      <c r="Q306" s="70" t="str">
        <f t="shared" ca="1" si="10"/>
        <v>Common Interface NB V0.6</v>
      </c>
      <c r="R306" s="20">
        <f t="shared" ca="1" si="11"/>
        <v>43538</v>
      </c>
      <c r="S306" s="70" t="str">
        <f t="shared" ca="1" si="12"/>
        <v>3/14 - Agreed that to adhere to new Perf CI doc shared on 3/14</v>
      </c>
      <c r="T306" s="70" t="s">
        <v>244</v>
      </c>
      <c r="U306" s="20">
        <v>43550</v>
      </c>
      <c r="V306" s="70" t="s">
        <v>256</v>
      </c>
    </row>
    <row r="307" spans="1:22" ht="12.75" customHeight="1">
      <c r="A307" s="70" t="s">
        <v>159</v>
      </c>
      <c r="B307" s="56" t="s">
        <v>59</v>
      </c>
      <c r="C307" s="56" t="s">
        <v>754</v>
      </c>
      <c r="D307" s="56" t="s">
        <v>683</v>
      </c>
      <c r="E307" s="56" t="s">
        <v>682</v>
      </c>
      <c r="F307" s="70"/>
      <c r="G307" s="70" t="str">
        <f>VLOOKUP(C307,'7a. PERFSUMMARY'!F:U,15,FALSE)</f>
        <v>Ending Market Value for specified period</v>
      </c>
      <c r="H307" s="20">
        <v>43538</v>
      </c>
      <c r="I307" s="70" t="e">
        <v>#N/A</v>
      </c>
      <c r="J307" s="70" t="str">
        <f t="shared" ca="1" si="13"/>
        <v>end_mkt_val</v>
      </c>
      <c r="K307" s="70" t="e">
        <f t="shared" ca="1" si="7"/>
        <v>#N/A</v>
      </c>
      <c r="L307" s="70"/>
      <c r="M307" s="70">
        <f t="shared" ca="1" si="8"/>
        <v>39</v>
      </c>
      <c r="N307" s="129" t="s">
        <v>755</v>
      </c>
      <c r="O307" s="70" t="b">
        <f t="shared" ca="1" si="9"/>
        <v>1</v>
      </c>
      <c r="P307" s="70"/>
      <c r="Q307" s="70" t="str">
        <f t="shared" ca="1" si="10"/>
        <v>Common Interface NB V0.6</v>
      </c>
      <c r="R307" s="20">
        <f t="shared" ca="1" si="11"/>
        <v>43538</v>
      </c>
      <c r="S307" s="70" t="str">
        <f t="shared" ca="1" si="12"/>
        <v>3/14 - Agreed that to adhere to new Perf CI doc shared on 3/14</v>
      </c>
      <c r="T307" s="70" t="s">
        <v>244</v>
      </c>
      <c r="U307" s="20">
        <v>43550</v>
      </c>
      <c r="V307" s="70" t="s">
        <v>256</v>
      </c>
    </row>
    <row r="308" spans="1:22" ht="12.75" customHeight="1">
      <c r="A308" s="70" t="s">
        <v>159</v>
      </c>
      <c r="B308" s="56" t="s">
        <v>55</v>
      </c>
      <c r="C308" s="56" t="s">
        <v>756</v>
      </c>
      <c r="D308" s="56" t="s">
        <v>683</v>
      </c>
      <c r="E308" s="56" t="s">
        <v>682</v>
      </c>
      <c r="F308" s="70"/>
      <c r="G308" s="70" t="str">
        <f>VLOOKUP(C308,'7a. PERFSUMMARY'!F:U,15,FALSE)</f>
        <v>Beginning Market Value for specified period</v>
      </c>
      <c r="H308" s="20">
        <v>43538</v>
      </c>
      <c r="I308" s="70" t="e">
        <v>#N/A</v>
      </c>
      <c r="J308" s="70" t="str">
        <f t="shared" ca="1" si="13"/>
        <v>dtd_mkt_val</v>
      </c>
      <c r="K308" s="70" t="e">
        <f t="shared" ca="1" si="7"/>
        <v>#N/A</v>
      </c>
      <c r="L308" s="70"/>
      <c r="M308" s="70">
        <f t="shared" ca="1" si="8"/>
        <v>40</v>
      </c>
      <c r="N308" s="129" t="s">
        <v>757</v>
      </c>
      <c r="O308" s="70" t="b">
        <f t="shared" ca="1" si="9"/>
        <v>1</v>
      </c>
      <c r="P308" s="70"/>
      <c r="Q308" s="70" t="str">
        <f t="shared" ca="1" si="10"/>
        <v>Common Interface NB V0.6</v>
      </c>
      <c r="R308" s="20">
        <f t="shared" ca="1" si="11"/>
        <v>43538</v>
      </c>
      <c r="S308" s="70" t="str">
        <f t="shared" ca="1" si="12"/>
        <v>3/14 - Agreed that to adhere to new Perf CI doc shared on 3/14</v>
      </c>
      <c r="T308" s="70" t="s">
        <v>244</v>
      </c>
      <c r="U308" s="20">
        <v>43550</v>
      </c>
      <c r="V308" s="70" t="s">
        <v>256</v>
      </c>
    </row>
    <row r="309" spans="1:22" ht="12.75" customHeight="1">
      <c r="A309" s="70" t="s">
        <v>159</v>
      </c>
      <c r="B309" s="56" t="s">
        <v>55</v>
      </c>
      <c r="C309" s="56" t="s">
        <v>758</v>
      </c>
      <c r="D309" s="56" t="s">
        <v>683</v>
      </c>
      <c r="E309" s="56" t="s">
        <v>682</v>
      </c>
      <c r="F309" s="70"/>
      <c r="G309" s="70" t="str">
        <f>VLOOKUP(C309,'7a. PERFSUMMARY'!F:U,15,FALSE)</f>
        <v>Beginning Market Value for specified period</v>
      </c>
      <c r="H309" s="20">
        <v>43538</v>
      </c>
      <c r="I309" s="70" t="e">
        <v>#N/A</v>
      </c>
      <c r="J309" s="70" t="str">
        <f t="shared" ca="1" si="13"/>
        <v>1m_mkt_val</v>
      </c>
      <c r="K309" s="70" t="e">
        <f t="shared" ca="1" si="7"/>
        <v>#N/A</v>
      </c>
      <c r="L309" s="70"/>
      <c r="M309" s="70">
        <f t="shared" ca="1" si="8"/>
        <v>41</v>
      </c>
      <c r="N309" s="129" t="s">
        <v>759</v>
      </c>
      <c r="O309" s="70" t="b">
        <f t="shared" ca="1" si="9"/>
        <v>1</v>
      </c>
      <c r="P309" s="70"/>
      <c r="Q309" s="70" t="str">
        <f t="shared" ca="1" si="10"/>
        <v>Common Interface NB V0.6</v>
      </c>
      <c r="R309" s="20">
        <f t="shared" ca="1" si="11"/>
        <v>43538</v>
      </c>
      <c r="S309" s="70" t="str">
        <f t="shared" ca="1" si="12"/>
        <v>3/14 - Agreed that to adhere to new Perf CI doc shared on 3/14</v>
      </c>
      <c r="T309" s="70" t="s">
        <v>244</v>
      </c>
      <c r="U309" s="20">
        <v>43550</v>
      </c>
      <c r="V309" s="70" t="s">
        <v>256</v>
      </c>
    </row>
    <row r="310" spans="1:22" ht="12.75" customHeight="1">
      <c r="A310" s="70" t="s">
        <v>159</v>
      </c>
      <c r="B310" s="56" t="s">
        <v>55</v>
      </c>
      <c r="C310" s="56" t="s">
        <v>760</v>
      </c>
      <c r="D310" s="56" t="s">
        <v>683</v>
      </c>
      <c r="E310" s="56" t="s">
        <v>682</v>
      </c>
      <c r="F310" s="70"/>
      <c r="G310" s="70" t="str">
        <f>VLOOKUP(C310,'7a. PERFSUMMARY'!F:U,15,FALSE)</f>
        <v>Beginning Market Value for specified period</v>
      </c>
      <c r="H310" s="20">
        <v>43538</v>
      </c>
      <c r="I310" s="70" t="e">
        <v>#N/A</v>
      </c>
      <c r="J310" s="70" t="str">
        <f t="shared" ca="1" si="13"/>
        <v>3m_mkt_val</v>
      </c>
      <c r="K310" s="70" t="e">
        <f t="shared" ca="1" si="7"/>
        <v>#N/A</v>
      </c>
      <c r="L310" s="70"/>
      <c r="M310" s="70">
        <f t="shared" ca="1" si="8"/>
        <v>42</v>
      </c>
      <c r="N310" s="129" t="s">
        <v>761</v>
      </c>
      <c r="O310" s="70" t="b">
        <f t="shared" ca="1" si="9"/>
        <v>1</v>
      </c>
      <c r="P310" s="70"/>
      <c r="Q310" s="70" t="str">
        <f t="shared" ca="1" si="10"/>
        <v>Common Interface NB V0.6</v>
      </c>
      <c r="R310" s="20">
        <f t="shared" ca="1" si="11"/>
        <v>43538</v>
      </c>
      <c r="S310" s="70" t="str">
        <f t="shared" ca="1" si="12"/>
        <v>3/14 - Agreed that to adhere to new Perf CI doc shared on 3/14</v>
      </c>
      <c r="T310" s="70" t="s">
        <v>244</v>
      </c>
      <c r="U310" s="20">
        <v>43550</v>
      </c>
      <c r="V310" s="70" t="s">
        <v>256</v>
      </c>
    </row>
    <row r="311" spans="1:22" ht="12.75" customHeight="1">
      <c r="A311" s="70" t="s">
        <v>159</v>
      </c>
      <c r="B311" s="56" t="s">
        <v>55</v>
      </c>
      <c r="C311" s="56" t="s">
        <v>762</v>
      </c>
      <c r="D311" s="56" t="s">
        <v>683</v>
      </c>
      <c r="E311" s="56" t="s">
        <v>682</v>
      </c>
      <c r="F311" s="70"/>
      <c r="G311" s="70" t="str">
        <f>VLOOKUP(C311,'7a. PERFSUMMARY'!F:U,15,FALSE)</f>
        <v>Beginning Market Value for specified period</v>
      </c>
      <c r="H311" s="20">
        <v>43538</v>
      </c>
      <c r="I311" s="70" t="e">
        <v>#N/A</v>
      </c>
      <c r="J311" s="70" t="str">
        <f t="shared" ca="1" si="13"/>
        <v>6m_mkt_val</v>
      </c>
      <c r="K311" s="70" t="e">
        <f t="shared" ca="1" si="7"/>
        <v>#N/A</v>
      </c>
      <c r="L311" s="70"/>
      <c r="M311" s="70">
        <f t="shared" ca="1" si="8"/>
        <v>43</v>
      </c>
      <c r="N311" s="129" t="s">
        <v>763</v>
      </c>
      <c r="O311" s="70" t="b">
        <f t="shared" ca="1" si="9"/>
        <v>1</v>
      </c>
      <c r="P311" s="70"/>
      <c r="Q311" s="70" t="str">
        <f t="shared" ca="1" si="10"/>
        <v>Common Interface NB V0.6</v>
      </c>
      <c r="R311" s="20">
        <f t="shared" ca="1" si="11"/>
        <v>43538</v>
      </c>
      <c r="S311" s="70" t="str">
        <f t="shared" ca="1" si="12"/>
        <v>3/14 - Agreed that to adhere to new Perf CI doc shared on 3/14</v>
      </c>
      <c r="T311" s="70" t="s">
        <v>244</v>
      </c>
      <c r="U311" s="20">
        <v>43550</v>
      </c>
      <c r="V311" s="70" t="s">
        <v>256</v>
      </c>
    </row>
    <row r="312" spans="1:22" ht="12.75" customHeight="1">
      <c r="A312" s="70" t="s">
        <v>159</v>
      </c>
      <c r="B312" s="56" t="s">
        <v>55</v>
      </c>
      <c r="C312" s="56" t="s">
        <v>764</v>
      </c>
      <c r="D312" s="56" t="s">
        <v>683</v>
      </c>
      <c r="E312" s="56" t="s">
        <v>682</v>
      </c>
      <c r="F312" s="70"/>
      <c r="G312" s="70" t="str">
        <f>VLOOKUP(C312,'7a. PERFSUMMARY'!F:U,15,FALSE)</f>
        <v>Beginning Market Value for specified period</v>
      </c>
      <c r="H312" s="20">
        <v>43538</v>
      </c>
      <c r="I312" s="70" t="e">
        <v>#N/A</v>
      </c>
      <c r="J312" s="70" t="str">
        <f t="shared" ca="1" si="13"/>
        <v>9m_mkt_val</v>
      </c>
      <c r="K312" s="70" t="e">
        <f t="shared" ca="1" si="7"/>
        <v>#N/A</v>
      </c>
      <c r="L312" s="70"/>
      <c r="M312" s="70">
        <f t="shared" ca="1" si="8"/>
        <v>44</v>
      </c>
      <c r="N312" s="129" t="s">
        <v>765</v>
      </c>
      <c r="O312" s="70" t="b">
        <f t="shared" ca="1" si="9"/>
        <v>1</v>
      </c>
      <c r="P312" s="70"/>
      <c r="Q312" s="70" t="str">
        <f t="shared" ca="1" si="10"/>
        <v>Common Interface NB V0.6</v>
      </c>
      <c r="R312" s="20">
        <f t="shared" ca="1" si="11"/>
        <v>43538</v>
      </c>
      <c r="S312" s="70" t="str">
        <f t="shared" ca="1" si="12"/>
        <v>3/14 - Agreed that to adhere to new Perf CI doc shared on 3/14</v>
      </c>
      <c r="T312" s="70" t="s">
        <v>244</v>
      </c>
      <c r="U312" s="20">
        <v>43550</v>
      </c>
      <c r="V312" s="70" t="s">
        <v>256</v>
      </c>
    </row>
    <row r="313" spans="1:22" ht="12.75" customHeight="1">
      <c r="A313" s="70" t="s">
        <v>159</v>
      </c>
      <c r="B313" s="56" t="s">
        <v>55</v>
      </c>
      <c r="C313" s="56" t="s">
        <v>766</v>
      </c>
      <c r="D313" s="56" t="s">
        <v>683</v>
      </c>
      <c r="E313" s="56" t="s">
        <v>682</v>
      </c>
      <c r="F313" s="70"/>
      <c r="G313" s="70" t="str">
        <f>VLOOKUP(C313,'7a. PERFSUMMARY'!F:U,15,FALSE)</f>
        <v>Beginning Market Value for specified period</v>
      </c>
      <c r="H313" s="20">
        <v>43538</v>
      </c>
      <c r="I313" s="70" t="e">
        <v>#N/A</v>
      </c>
      <c r="J313" s="70" t="str">
        <f t="shared" ca="1" si="13"/>
        <v>12m_mkt_val</v>
      </c>
      <c r="K313" s="70" t="e">
        <f t="shared" ca="1" si="7"/>
        <v>#N/A</v>
      </c>
      <c r="L313" s="70"/>
      <c r="M313" s="70">
        <f t="shared" ca="1" si="8"/>
        <v>45</v>
      </c>
      <c r="N313" s="129" t="s">
        <v>767</v>
      </c>
      <c r="O313" s="70" t="b">
        <f t="shared" ca="1" si="9"/>
        <v>1</v>
      </c>
      <c r="P313" s="70"/>
      <c r="Q313" s="70" t="str">
        <f t="shared" ca="1" si="10"/>
        <v>Common Interface NB V0.6</v>
      </c>
      <c r="R313" s="20">
        <f t="shared" ca="1" si="11"/>
        <v>43538</v>
      </c>
      <c r="S313" s="70" t="str">
        <f t="shared" ca="1" si="12"/>
        <v>3/14 - Agreed that to adhere to new Perf CI doc shared on 3/14</v>
      </c>
      <c r="T313" s="70" t="s">
        <v>244</v>
      </c>
      <c r="U313" s="20">
        <v>43550</v>
      </c>
      <c r="V313" s="70" t="s">
        <v>256</v>
      </c>
    </row>
    <row r="314" spans="1:22" ht="12.75" customHeight="1">
      <c r="A314" s="70" t="s">
        <v>159</v>
      </c>
      <c r="B314" s="56" t="s">
        <v>59</v>
      </c>
      <c r="C314" s="56" t="s">
        <v>768</v>
      </c>
      <c r="D314" s="56" t="s">
        <v>683</v>
      </c>
      <c r="E314" s="56" t="s">
        <v>682</v>
      </c>
      <c r="F314" s="70"/>
      <c r="G314" s="70" t="str">
        <f>VLOOKUP(C314,'7a. PERFSUMMARY'!F:U,15,FALSE)</f>
        <v>Beginning Market Value for specified period</v>
      </c>
      <c r="H314" s="20">
        <v>43538</v>
      </c>
      <c r="I314" s="70" t="e">
        <v>#N/A</v>
      </c>
      <c r="J314" s="70" t="str">
        <f t="shared" ca="1" si="13"/>
        <v>mtd_mkt_val</v>
      </c>
      <c r="K314" s="70" t="e">
        <f t="shared" ca="1" si="7"/>
        <v>#N/A</v>
      </c>
      <c r="L314" s="70"/>
      <c r="M314" s="70">
        <f t="shared" ca="1" si="8"/>
        <v>46</v>
      </c>
      <c r="N314" s="129" t="s">
        <v>769</v>
      </c>
      <c r="O314" s="70" t="b">
        <f t="shared" ca="1" si="9"/>
        <v>1</v>
      </c>
      <c r="P314" s="70"/>
      <c r="Q314" s="70" t="str">
        <f t="shared" ca="1" si="10"/>
        <v>Common Interface NB V0.6</v>
      </c>
      <c r="R314" s="20">
        <f t="shared" ca="1" si="11"/>
        <v>43538</v>
      </c>
      <c r="S314" s="70" t="str">
        <f t="shared" ca="1" si="12"/>
        <v>3/14 - Agreed that to adhere to new Perf CI doc shared on 3/14</v>
      </c>
      <c r="T314" s="70" t="s">
        <v>244</v>
      </c>
      <c r="U314" s="20">
        <v>43550</v>
      </c>
      <c r="V314" s="70" t="s">
        <v>256</v>
      </c>
    </row>
    <row r="315" spans="1:22" ht="12.75" customHeight="1">
      <c r="A315" s="70" t="s">
        <v>159</v>
      </c>
      <c r="B315" s="56" t="s">
        <v>59</v>
      </c>
      <c r="C315" s="56" t="s">
        <v>770</v>
      </c>
      <c r="D315" s="56" t="s">
        <v>683</v>
      </c>
      <c r="E315" s="56" t="s">
        <v>682</v>
      </c>
      <c r="F315" s="70"/>
      <c r="G315" s="70" t="str">
        <f>VLOOKUP(C315,'7a. PERFSUMMARY'!F:U,15,FALSE)</f>
        <v>Beginning Market Value for specified period</v>
      </c>
      <c r="H315" s="20">
        <v>43538</v>
      </c>
      <c r="I315" s="70" t="e">
        <v>#N/A</v>
      </c>
      <c r="J315" s="70" t="str">
        <f t="shared" ca="1" si="13"/>
        <v>qtd_mkt_val</v>
      </c>
      <c r="K315" s="70" t="e">
        <f t="shared" ca="1" si="7"/>
        <v>#N/A</v>
      </c>
      <c r="L315" s="70"/>
      <c r="M315" s="70">
        <f t="shared" ca="1" si="8"/>
        <v>47</v>
      </c>
      <c r="N315" s="129" t="s">
        <v>771</v>
      </c>
      <c r="O315" s="70" t="b">
        <f t="shared" ca="1" si="9"/>
        <v>1</v>
      </c>
      <c r="P315" s="70"/>
      <c r="Q315" s="70" t="str">
        <f t="shared" ca="1" si="10"/>
        <v>Common Interface NB V0.6</v>
      </c>
      <c r="R315" s="20">
        <f t="shared" ca="1" si="11"/>
        <v>43538</v>
      </c>
      <c r="S315" s="70" t="str">
        <f t="shared" ca="1" si="12"/>
        <v>3/14 - Agreed that to adhere to new Perf CI doc shared on 3/14</v>
      </c>
      <c r="T315" s="70" t="s">
        <v>244</v>
      </c>
      <c r="U315" s="20">
        <v>43550</v>
      </c>
      <c r="V315" s="70" t="s">
        <v>256</v>
      </c>
    </row>
    <row r="316" spans="1:22" ht="12.75" customHeight="1">
      <c r="A316" s="70" t="s">
        <v>159</v>
      </c>
      <c r="B316" s="56" t="s">
        <v>59</v>
      </c>
      <c r="C316" s="56" t="s">
        <v>772</v>
      </c>
      <c r="D316" s="56" t="s">
        <v>683</v>
      </c>
      <c r="E316" s="56" t="s">
        <v>682</v>
      </c>
      <c r="F316" s="70"/>
      <c r="G316" s="70" t="str">
        <f>VLOOKUP(C316,'7a. PERFSUMMARY'!F:U,15,FALSE)</f>
        <v>Beginning Market Value for specified period</v>
      </c>
      <c r="H316" s="20">
        <v>43538</v>
      </c>
      <c r="I316" s="70" t="e">
        <v>#N/A</v>
      </c>
      <c r="J316" s="70" t="str">
        <f t="shared" ca="1" si="13"/>
        <v>ytd_mkt_val</v>
      </c>
      <c r="K316" s="70" t="e">
        <f t="shared" ca="1" si="7"/>
        <v>#N/A</v>
      </c>
      <c r="L316" s="70"/>
      <c r="M316" s="70">
        <f t="shared" ca="1" si="8"/>
        <v>48</v>
      </c>
      <c r="N316" s="129" t="s">
        <v>773</v>
      </c>
      <c r="O316" s="70" t="b">
        <f t="shared" ca="1" si="9"/>
        <v>1</v>
      </c>
      <c r="P316" s="70"/>
      <c r="Q316" s="70" t="str">
        <f t="shared" ca="1" si="10"/>
        <v>Common Interface NB V0.6</v>
      </c>
      <c r="R316" s="20">
        <f t="shared" ca="1" si="11"/>
        <v>43538</v>
      </c>
      <c r="S316" s="70" t="str">
        <f t="shared" ca="1" si="12"/>
        <v>3/14 - Agreed that to adhere to new Perf CI doc shared on 3/14</v>
      </c>
      <c r="T316" s="70" t="s">
        <v>244</v>
      </c>
      <c r="U316" s="20">
        <v>43550</v>
      </c>
      <c r="V316" s="70" t="s">
        <v>256</v>
      </c>
    </row>
    <row r="317" spans="1:22" ht="12.75" customHeight="1">
      <c r="A317" s="70" t="s">
        <v>159</v>
      </c>
      <c r="B317" s="56" t="s">
        <v>59</v>
      </c>
      <c r="C317" s="56" t="s">
        <v>774</v>
      </c>
      <c r="D317" s="56" t="s">
        <v>683</v>
      </c>
      <c r="E317" s="56" t="s">
        <v>682</v>
      </c>
      <c r="F317" s="70"/>
      <c r="G317" s="70" t="str">
        <f>VLOOKUP(C317,'7a. PERFSUMMARY'!F:U,15,FALSE)</f>
        <v>Beginning Market Value for specified period</v>
      </c>
      <c r="H317" s="20">
        <v>43538</v>
      </c>
      <c r="I317" s="70" t="e">
        <v>#N/A</v>
      </c>
      <c r="J317" s="70" t="str">
        <f t="shared" ca="1" si="13"/>
        <v>1yr_mkt_val</v>
      </c>
      <c r="K317" s="70" t="e">
        <f t="shared" ca="1" si="7"/>
        <v>#N/A</v>
      </c>
      <c r="L317" s="70"/>
      <c r="M317" s="70">
        <f t="shared" ca="1" si="8"/>
        <v>49</v>
      </c>
      <c r="N317" s="129" t="s">
        <v>775</v>
      </c>
      <c r="O317" s="70" t="b">
        <f t="shared" ca="1" si="9"/>
        <v>1</v>
      </c>
      <c r="P317" s="70"/>
      <c r="Q317" s="70" t="str">
        <f t="shared" ca="1" si="10"/>
        <v>Common Interface NB V0.6</v>
      </c>
      <c r="R317" s="20">
        <f t="shared" ca="1" si="11"/>
        <v>43538</v>
      </c>
      <c r="S317" s="70" t="str">
        <f t="shared" ca="1" si="12"/>
        <v>3/14 - Agreed that to adhere to new Perf CI doc shared on 3/14</v>
      </c>
      <c r="T317" s="70" t="s">
        <v>244</v>
      </c>
      <c r="U317" s="20">
        <v>43550</v>
      </c>
      <c r="V317" s="70" t="s">
        <v>256</v>
      </c>
    </row>
    <row r="318" spans="1:22" ht="12.75" customHeight="1">
      <c r="A318" s="70" t="s">
        <v>159</v>
      </c>
      <c r="B318" s="56" t="s">
        <v>59</v>
      </c>
      <c r="C318" s="56" t="s">
        <v>776</v>
      </c>
      <c r="D318" s="56" t="s">
        <v>683</v>
      </c>
      <c r="E318" s="56" t="s">
        <v>682</v>
      </c>
      <c r="F318" s="70"/>
      <c r="G318" s="70" t="str">
        <f>VLOOKUP(C318,'7a. PERFSUMMARY'!F:U,15,FALSE)</f>
        <v>Beginning Market Value for specified period</v>
      </c>
      <c r="H318" s="20">
        <v>43538</v>
      </c>
      <c r="I318" s="70" t="e">
        <v>#N/A</v>
      </c>
      <c r="J318" s="70" t="str">
        <f t="shared" ca="1" si="13"/>
        <v>3yr_mkt_val</v>
      </c>
      <c r="K318" s="70" t="e">
        <f t="shared" ca="1" si="7"/>
        <v>#N/A</v>
      </c>
      <c r="L318" s="70"/>
      <c r="M318" s="70">
        <f t="shared" ca="1" si="8"/>
        <v>50</v>
      </c>
      <c r="N318" s="129" t="s">
        <v>777</v>
      </c>
      <c r="O318" s="70" t="b">
        <f t="shared" ca="1" si="9"/>
        <v>1</v>
      </c>
      <c r="P318" s="70"/>
      <c r="Q318" s="70" t="str">
        <f t="shared" ca="1" si="10"/>
        <v>Common Interface NB V0.6</v>
      </c>
      <c r="R318" s="20">
        <f t="shared" ca="1" si="11"/>
        <v>43538</v>
      </c>
      <c r="S318" s="70" t="str">
        <f t="shared" ca="1" si="12"/>
        <v>3/14 - Agreed that to adhere to new Perf CI doc shared on 3/14</v>
      </c>
      <c r="T318" s="70" t="s">
        <v>244</v>
      </c>
      <c r="U318" s="20">
        <v>43550</v>
      </c>
      <c r="V318" s="70" t="s">
        <v>256</v>
      </c>
    </row>
    <row r="319" spans="1:22" ht="12.75" customHeight="1">
      <c r="A319" s="70" t="s">
        <v>159</v>
      </c>
      <c r="B319" s="56" t="s">
        <v>59</v>
      </c>
      <c r="C319" s="56" t="s">
        <v>778</v>
      </c>
      <c r="D319" s="56" t="s">
        <v>683</v>
      </c>
      <c r="E319" s="56" t="s">
        <v>682</v>
      </c>
      <c r="F319" s="70"/>
      <c r="G319" s="70" t="str">
        <f>VLOOKUP(C319,'7a. PERFSUMMARY'!F:U,15,FALSE)</f>
        <v>Beginning Market Value for specified period</v>
      </c>
      <c r="H319" s="20">
        <v>43538</v>
      </c>
      <c r="I319" s="70" t="e">
        <v>#N/A</v>
      </c>
      <c r="J319" s="70" t="str">
        <f t="shared" ca="1" si="13"/>
        <v>5yr_mkt_val</v>
      </c>
      <c r="K319" s="70" t="e">
        <f t="shared" ca="1" si="7"/>
        <v>#N/A</v>
      </c>
      <c r="L319" s="70"/>
      <c r="M319" s="70">
        <f t="shared" ca="1" si="8"/>
        <v>51</v>
      </c>
      <c r="N319" s="129" t="s">
        <v>779</v>
      </c>
      <c r="O319" s="70" t="b">
        <f t="shared" ca="1" si="9"/>
        <v>1</v>
      </c>
      <c r="P319" s="70"/>
      <c r="Q319" s="70" t="str">
        <f t="shared" ca="1" si="10"/>
        <v>Common Interface NB V0.6</v>
      </c>
      <c r="R319" s="20">
        <f t="shared" ca="1" si="11"/>
        <v>43538</v>
      </c>
      <c r="S319" s="70" t="str">
        <f t="shared" ca="1" si="12"/>
        <v>3/14 - Agreed that to adhere to new Perf CI doc shared on 3/14</v>
      </c>
      <c r="T319" s="70" t="s">
        <v>244</v>
      </c>
      <c r="U319" s="20">
        <v>43550</v>
      </c>
      <c r="V319" s="70" t="s">
        <v>256</v>
      </c>
    </row>
    <row r="320" spans="1:22" ht="12.75" customHeight="1">
      <c r="A320" s="70" t="s">
        <v>159</v>
      </c>
      <c r="B320" s="56" t="s">
        <v>59</v>
      </c>
      <c r="C320" s="56" t="s">
        <v>780</v>
      </c>
      <c r="D320" s="56" t="s">
        <v>683</v>
      </c>
      <c r="E320" s="56" t="s">
        <v>682</v>
      </c>
      <c r="F320" s="70"/>
      <c r="G320" s="70" t="str">
        <f>VLOOKUP(C320,'7a. PERFSUMMARY'!F:U,15,FALSE)</f>
        <v>Beginning Market Value for specified period</v>
      </c>
      <c r="H320" s="20">
        <v>43538</v>
      </c>
      <c r="I320" s="70" t="e">
        <v>#N/A</v>
      </c>
      <c r="J320" s="70" t="str">
        <f t="shared" ca="1" si="13"/>
        <v>10yr_mkt_val</v>
      </c>
      <c r="K320" s="70" t="e">
        <f t="shared" ca="1" si="7"/>
        <v>#N/A</v>
      </c>
      <c r="L320" s="70"/>
      <c r="M320" s="70">
        <f t="shared" ca="1" si="8"/>
        <v>52</v>
      </c>
      <c r="N320" s="129" t="s">
        <v>781</v>
      </c>
      <c r="O320" s="70" t="b">
        <f t="shared" ca="1" si="9"/>
        <v>1</v>
      </c>
      <c r="P320" s="70"/>
      <c r="Q320" s="70" t="str">
        <f t="shared" ca="1" si="10"/>
        <v>Common Interface NB V0.6</v>
      </c>
      <c r="R320" s="20">
        <f t="shared" ca="1" si="11"/>
        <v>43538</v>
      </c>
      <c r="S320" s="70" t="str">
        <f t="shared" ca="1" si="12"/>
        <v>3/14 - Agreed that to adhere to new Perf CI doc shared on 3/14</v>
      </c>
      <c r="T320" s="70" t="s">
        <v>244</v>
      </c>
      <c r="U320" s="20">
        <v>43550</v>
      </c>
      <c r="V320" s="70" t="s">
        <v>256</v>
      </c>
    </row>
    <row r="321" spans="1:22" ht="12.75" customHeight="1">
      <c r="A321" s="70" t="s">
        <v>159</v>
      </c>
      <c r="B321" s="56" t="s">
        <v>59</v>
      </c>
      <c r="C321" s="56" t="s">
        <v>782</v>
      </c>
      <c r="D321" s="56" t="s">
        <v>683</v>
      </c>
      <c r="E321" s="56" t="s">
        <v>682</v>
      </c>
      <c r="F321" s="70"/>
      <c r="G321" s="70" t="str">
        <f>VLOOKUP(C321,'7a. PERFSUMMARY'!F:U,15,FALSE)</f>
        <v>Beginning Market Value for specified period</v>
      </c>
      <c r="H321" s="20">
        <v>43538</v>
      </c>
      <c r="I321" s="70" t="e">
        <v>#N/A</v>
      </c>
      <c r="J321" s="70" t="str">
        <f t="shared" ca="1" si="13"/>
        <v>inc_mkt_val</v>
      </c>
      <c r="K321" s="70" t="e">
        <f t="shared" ca="1" si="7"/>
        <v>#N/A</v>
      </c>
      <c r="L321" s="70"/>
      <c r="M321" s="70">
        <f t="shared" ca="1" si="8"/>
        <v>53</v>
      </c>
      <c r="N321" s="129" t="s">
        <v>783</v>
      </c>
      <c r="O321" s="70" t="b">
        <f t="shared" ca="1" si="9"/>
        <v>1</v>
      </c>
      <c r="P321" s="70"/>
      <c r="Q321" s="70" t="str">
        <f t="shared" ca="1" si="10"/>
        <v>Common Interface NB V0.6</v>
      </c>
      <c r="R321" s="20">
        <f t="shared" ca="1" si="11"/>
        <v>43538</v>
      </c>
      <c r="S321" s="70" t="str">
        <f t="shared" ca="1" si="12"/>
        <v>3/14 - Agreed that to adhere to new Perf CI doc shared on 3/14</v>
      </c>
      <c r="T321" s="70" t="s">
        <v>244</v>
      </c>
      <c r="U321" s="20">
        <v>43550</v>
      </c>
      <c r="V321" s="70" t="s">
        <v>256</v>
      </c>
    </row>
    <row r="322" spans="1:22" ht="12.75" customHeight="1">
      <c r="A322" s="70" t="s">
        <v>159</v>
      </c>
      <c r="B322" s="56" t="s">
        <v>55</v>
      </c>
      <c r="C322" s="56" t="s">
        <v>784</v>
      </c>
      <c r="D322" s="56" t="s">
        <v>683</v>
      </c>
      <c r="E322" s="56" t="s">
        <v>682</v>
      </c>
      <c r="F322" s="70"/>
      <c r="G322" s="70" t="str">
        <f>VLOOKUP(C322,'7a. PERFSUMMARY'!F:U,15,FALSE)</f>
        <v>Beginning Market Value for specified period (the period of the extract, may be any period)</v>
      </c>
      <c r="H322" s="20">
        <v>43538</v>
      </c>
      <c r="I322" s="70" t="e">
        <v>#N/A</v>
      </c>
      <c r="J322" s="70" t="str">
        <f t="shared" ca="1" si="13"/>
        <v>beg_mkt_val</v>
      </c>
      <c r="K322" s="70" t="e">
        <f t="shared" ca="1" si="7"/>
        <v>#N/A</v>
      </c>
      <c r="L322" s="70"/>
      <c r="M322" s="70">
        <f t="shared" ca="1" si="8"/>
        <v>54</v>
      </c>
      <c r="N322" s="129" t="s">
        <v>785</v>
      </c>
      <c r="O322" s="70" t="b">
        <f t="shared" ca="1" si="9"/>
        <v>1</v>
      </c>
      <c r="P322" s="70"/>
      <c r="Q322" s="70" t="str">
        <f t="shared" ca="1" si="10"/>
        <v>Common Interface NB V0.6</v>
      </c>
      <c r="R322" s="20">
        <f t="shared" ca="1" si="11"/>
        <v>43538</v>
      </c>
      <c r="S322" s="70" t="str">
        <f t="shared" ca="1" si="12"/>
        <v>3/14 - Agreed that to adhere to new Perf CI doc shared on 3/14</v>
      </c>
      <c r="T322" s="70" t="s">
        <v>244</v>
      </c>
      <c r="U322" s="20">
        <v>43550</v>
      </c>
      <c r="V322" s="70" t="s">
        <v>256</v>
      </c>
    </row>
    <row r="323" spans="1:22" ht="12.75" customHeight="1">
      <c r="A323" s="70" t="s">
        <v>159</v>
      </c>
      <c r="B323" s="56" t="s">
        <v>55</v>
      </c>
      <c r="C323" s="56" t="s">
        <v>786</v>
      </c>
      <c r="D323" s="56" t="s">
        <v>683</v>
      </c>
      <c r="E323" s="56" t="s">
        <v>682</v>
      </c>
      <c r="F323" s="70"/>
      <c r="G323" s="70" t="str">
        <f>VLOOKUP(C323,'7a. PERFSUMMARY'!F:U,15,FALSE)</f>
        <v>Net cash flow in book ccy for the specified period</v>
      </c>
      <c r="H323" s="20">
        <v>43538</v>
      </c>
      <c r="I323" s="70" t="e">
        <v>#N/A</v>
      </c>
      <c r="J323" s="70" t="str">
        <f t="shared" ca="1" si="13"/>
        <v>dtd_net_flow</v>
      </c>
      <c r="K323" s="70" t="e">
        <f t="shared" ca="1" si="7"/>
        <v>#N/A</v>
      </c>
      <c r="L323" s="70"/>
      <c r="M323" s="70">
        <f t="shared" ca="1" si="8"/>
        <v>55</v>
      </c>
      <c r="N323" s="129" t="s">
        <v>787</v>
      </c>
      <c r="O323" s="70" t="b">
        <f t="shared" ca="1" si="9"/>
        <v>1</v>
      </c>
      <c r="P323" s="70"/>
      <c r="Q323" s="70" t="str">
        <f t="shared" ca="1" si="10"/>
        <v>Common Interface NB V0.6</v>
      </c>
      <c r="R323" s="20">
        <f t="shared" ca="1" si="11"/>
        <v>43538</v>
      </c>
      <c r="S323" s="70" t="str">
        <f t="shared" ca="1" si="12"/>
        <v>3/14 - Agreed that to adhere to new Perf CI doc shared on 3/14</v>
      </c>
      <c r="T323" s="70" t="s">
        <v>244</v>
      </c>
      <c r="U323" s="20">
        <v>43550</v>
      </c>
      <c r="V323" s="70" t="s">
        <v>256</v>
      </c>
    </row>
    <row r="324" spans="1:22" ht="12.75" customHeight="1">
      <c r="A324" s="70" t="s">
        <v>159</v>
      </c>
      <c r="B324" s="56" t="s">
        <v>55</v>
      </c>
      <c r="C324" s="56" t="s">
        <v>788</v>
      </c>
      <c r="D324" s="56" t="s">
        <v>683</v>
      </c>
      <c r="E324" s="56" t="s">
        <v>682</v>
      </c>
      <c r="F324" s="70"/>
      <c r="G324" s="70" t="str">
        <f>VLOOKUP(C324,'7a. PERFSUMMARY'!F:U,15,FALSE)</f>
        <v>Net cash flow in book ccy for the specified period</v>
      </c>
      <c r="H324" s="20">
        <v>43538</v>
      </c>
      <c r="I324" s="70" t="e">
        <v>#N/A</v>
      </c>
      <c r="J324" s="70" t="str">
        <f t="shared" ca="1" si="13"/>
        <v>1m_net_flow</v>
      </c>
      <c r="K324" s="70" t="e">
        <f t="shared" ca="1" si="7"/>
        <v>#N/A</v>
      </c>
      <c r="L324" s="70"/>
      <c r="M324" s="70">
        <f t="shared" ca="1" si="8"/>
        <v>56</v>
      </c>
      <c r="N324" s="129" t="s">
        <v>789</v>
      </c>
      <c r="O324" s="70" t="b">
        <f t="shared" ca="1" si="9"/>
        <v>1</v>
      </c>
      <c r="P324" s="70"/>
      <c r="Q324" s="70" t="str">
        <f t="shared" ca="1" si="10"/>
        <v>Common Interface NB V0.6</v>
      </c>
      <c r="R324" s="20">
        <f t="shared" ca="1" si="11"/>
        <v>43538</v>
      </c>
      <c r="S324" s="70" t="str">
        <f t="shared" ca="1" si="12"/>
        <v>3/14 - Agreed that to adhere to new Perf CI doc shared on 3/14</v>
      </c>
      <c r="T324" s="70" t="s">
        <v>244</v>
      </c>
      <c r="U324" s="20">
        <v>43550</v>
      </c>
      <c r="V324" s="70" t="s">
        <v>256</v>
      </c>
    </row>
    <row r="325" spans="1:22" ht="12.75" customHeight="1">
      <c r="A325" s="70" t="s">
        <v>159</v>
      </c>
      <c r="B325" s="56" t="s">
        <v>55</v>
      </c>
      <c r="C325" s="56" t="s">
        <v>790</v>
      </c>
      <c r="D325" s="56" t="s">
        <v>683</v>
      </c>
      <c r="E325" s="56" t="s">
        <v>682</v>
      </c>
      <c r="F325" s="70"/>
      <c r="G325" s="70" t="str">
        <f>VLOOKUP(C325,'7a. PERFSUMMARY'!F:U,15,FALSE)</f>
        <v>Net cash flow in book ccy for the specified period</v>
      </c>
      <c r="H325" s="20">
        <v>43538</v>
      </c>
      <c r="I325" s="70" t="e">
        <v>#N/A</v>
      </c>
      <c r="J325" s="70" t="str">
        <f t="shared" ca="1" si="13"/>
        <v>3m_net_flow</v>
      </c>
      <c r="K325" s="70" t="e">
        <f t="shared" ca="1" si="7"/>
        <v>#N/A</v>
      </c>
      <c r="L325" s="70"/>
      <c r="M325" s="70">
        <f t="shared" ca="1" si="8"/>
        <v>57</v>
      </c>
      <c r="N325" s="129" t="s">
        <v>791</v>
      </c>
      <c r="O325" s="70" t="b">
        <f t="shared" ca="1" si="9"/>
        <v>1</v>
      </c>
      <c r="P325" s="70"/>
      <c r="Q325" s="70" t="str">
        <f t="shared" ca="1" si="10"/>
        <v>Common Interface NB V0.6</v>
      </c>
      <c r="R325" s="20">
        <f t="shared" ca="1" si="11"/>
        <v>43538</v>
      </c>
      <c r="S325" s="70" t="str">
        <f t="shared" ca="1" si="12"/>
        <v>3/14 - Agreed that to adhere to new Perf CI doc shared on 3/14</v>
      </c>
      <c r="T325" s="70" t="s">
        <v>244</v>
      </c>
      <c r="U325" s="20">
        <v>43550</v>
      </c>
      <c r="V325" s="70" t="s">
        <v>256</v>
      </c>
    </row>
    <row r="326" spans="1:22" ht="12.75" customHeight="1">
      <c r="A326" s="70" t="s">
        <v>159</v>
      </c>
      <c r="B326" s="56" t="s">
        <v>55</v>
      </c>
      <c r="C326" s="56" t="s">
        <v>792</v>
      </c>
      <c r="D326" s="56" t="s">
        <v>683</v>
      </c>
      <c r="E326" s="56" t="s">
        <v>682</v>
      </c>
      <c r="F326" s="70"/>
      <c r="G326" s="70" t="str">
        <f>VLOOKUP(C326,'7a. PERFSUMMARY'!F:U,15,FALSE)</f>
        <v>Net cash flow in book ccy for the specified period</v>
      </c>
      <c r="H326" s="20">
        <v>43538</v>
      </c>
      <c r="I326" s="70" t="e">
        <v>#N/A</v>
      </c>
      <c r="J326" s="70" t="str">
        <f t="shared" ca="1" si="13"/>
        <v>6m_net_flow</v>
      </c>
      <c r="K326" s="70" t="e">
        <f t="shared" ca="1" si="7"/>
        <v>#N/A</v>
      </c>
      <c r="L326" s="70"/>
      <c r="M326" s="70">
        <f t="shared" ca="1" si="8"/>
        <v>58</v>
      </c>
      <c r="N326" s="129" t="s">
        <v>793</v>
      </c>
      <c r="O326" s="70" t="b">
        <f t="shared" ca="1" si="9"/>
        <v>1</v>
      </c>
      <c r="P326" s="70"/>
      <c r="Q326" s="70" t="str">
        <f t="shared" ca="1" si="10"/>
        <v>Common Interface NB V0.6</v>
      </c>
      <c r="R326" s="20">
        <f t="shared" ca="1" si="11"/>
        <v>43538</v>
      </c>
      <c r="S326" s="70" t="str">
        <f t="shared" ca="1" si="12"/>
        <v>3/14 - Agreed that to adhere to new Perf CI doc shared on 3/14</v>
      </c>
      <c r="T326" s="70" t="s">
        <v>244</v>
      </c>
      <c r="U326" s="20">
        <v>43550</v>
      </c>
      <c r="V326" s="70" t="s">
        <v>256</v>
      </c>
    </row>
    <row r="327" spans="1:22" ht="12.75" customHeight="1">
      <c r="A327" s="70" t="s">
        <v>159</v>
      </c>
      <c r="B327" s="56" t="s">
        <v>55</v>
      </c>
      <c r="C327" s="56" t="s">
        <v>794</v>
      </c>
      <c r="D327" s="56" t="s">
        <v>683</v>
      </c>
      <c r="E327" s="56" t="s">
        <v>682</v>
      </c>
      <c r="F327" s="70"/>
      <c r="G327" s="70" t="str">
        <f>VLOOKUP(C327,'7a. PERFSUMMARY'!F:U,15,FALSE)</f>
        <v>Net cash flow in book ccy for the specified period</v>
      </c>
      <c r="H327" s="20">
        <v>43538</v>
      </c>
      <c r="I327" s="70" t="e">
        <v>#N/A</v>
      </c>
      <c r="J327" s="70" t="str">
        <f t="shared" ca="1" si="13"/>
        <v>9m_net_flow</v>
      </c>
      <c r="K327" s="70" t="e">
        <f t="shared" ca="1" si="7"/>
        <v>#N/A</v>
      </c>
      <c r="L327" s="70"/>
      <c r="M327" s="70">
        <f t="shared" ca="1" si="8"/>
        <v>59</v>
      </c>
      <c r="N327" s="129" t="s">
        <v>795</v>
      </c>
      <c r="O327" s="70" t="b">
        <f t="shared" ca="1" si="9"/>
        <v>1</v>
      </c>
      <c r="P327" s="70"/>
      <c r="Q327" s="70" t="str">
        <f t="shared" ca="1" si="10"/>
        <v>Common Interface NB V0.6</v>
      </c>
      <c r="R327" s="20">
        <f t="shared" ca="1" si="11"/>
        <v>43538</v>
      </c>
      <c r="S327" s="70" t="str">
        <f t="shared" ca="1" si="12"/>
        <v>3/14 - Agreed that to adhere to new Perf CI doc shared on 3/14</v>
      </c>
      <c r="T327" s="70" t="s">
        <v>244</v>
      </c>
      <c r="U327" s="20">
        <v>43550</v>
      </c>
      <c r="V327" s="70" t="s">
        <v>256</v>
      </c>
    </row>
    <row r="328" spans="1:22" ht="12.75" customHeight="1">
      <c r="A328" s="70" t="s">
        <v>159</v>
      </c>
      <c r="B328" s="56" t="s">
        <v>55</v>
      </c>
      <c r="C328" s="56" t="s">
        <v>796</v>
      </c>
      <c r="D328" s="56" t="s">
        <v>683</v>
      </c>
      <c r="E328" s="56" t="s">
        <v>682</v>
      </c>
      <c r="F328" s="70"/>
      <c r="G328" s="70" t="str">
        <f>VLOOKUP(C328,'7a. PERFSUMMARY'!F:U,15,FALSE)</f>
        <v>Net cash flow in book ccy for the specified period</v>
      </c>
      <c r="H328" s="20">
        <v>43538</v>
      </c>
      <c r="I328" s="70" t="e">
        <v>#N/A</v>
      </c>
      <c r="J328" s="70" t="str">
        <f t="shared" ca="1" si="13"/>
        <v>12m_net_flow</v>
      </c>
      <c r="K328" s="70" t="e">
        <f t="shared" ca="1" si="7"/>
        <v>#N/A</v>
      </c>
      <c r="L328" s="70"/>
      <c r="M328" s="70">
        <f t="shared" ca="1" si="8"/>
        <v>60</v>
      </c>
      <c r="N328" s="129" t="s">
        <v>797</v>
      </c>
      <c r="O328" s="70" t="b">
        <f t="shared" ca="1" si="9"/>
        <v>1</v>
      </c>
      <c r="P328" s="70"/>
      <c r="Q328" s="70" t="str">
        <f t="shared" ca="1" si="10"/>
        <v>Common Interface NB V0.6</v>
      </c>
      <c r="R328" s="20">
        <f t="shared" ca="1" si="11"/>
        <v>43538</v>
      </c>
      <c r="S328" s="70" t="str">
        <f t="shared" ca="1" si="12"/>
        <v>3/14 - Agreed that to adhere to new Perf CI doc shared on 3/14</v>
      </c>
      <c r="T328" s="70" t="s">
        <v>244</v>
      </c>
      <c r="U328" s="20">
        <v>43550</v>
      </c>
      <c r="V328" s="70" t="s">
        <v>256</v>
      </c>
    </row>
    <row r="329" spans="1:22" ht="12.75" customHeight="1">
      <c r="A329" s="70" t="s">
        <v>159</v>
      </c>
      <c r="B329" s="56" t="s">
        <v>59</v>
      </c>
      <c r="C329" s="56" t="s">
        <v>798</v>
      </c>
      <c r="D329" s="56" t="s">
        <v>683</v>
      </c>
      <c r="E329" s="56" t="s">
        <v>682</v>
      </c>
      <c r="F329" s="70"/>
      <c r="G329" s="70" t="str">
        <f>VLOOKUP(C329,'7a. PERFSUMMARY'!F:U,15,FALSE)</f>
        <v>Net cash flow in book ccy for the specified period</v>
      </c>
      <c r="H329" s="20">
        <v>43538</v>
      </c>
      <c r="I329" s="70" t="e">
        <v>#N/A</v>
      </c>
      <c r="J329" s="70" t="str">
        <f t="shared" ca="1" si="13"/>
        <v>1yr_net_flow</v>
      </c>
      <c r="K329" s="70" t="e">
        <f t="shared" ca="1" si="7"/>
        <v>#N/A</v>
      </c>
      <c r="L329" s="70"/>
      <c r="M329" s="70">
        <f t="shared" ca="1" si="8"/>
        <v>61</v>
      </c>
      <c r="N329" s="129" t="s">
        <v>799</v>
      </c>
      <c r="O329" s="70" t="b">
        <f t="shared" ca="1" si="9"/>
        <v>1</v>
      </c>
      <c r="P329" s="70"/>
      <c r="Q329" s="70" t="str">
        <f t="shared" ca="1" si="10"/>
        <v>Common Interface NB V0.6</v>
      </c>
      <c r="R329" s="20">
        <f t="shared" ca="1" si="11"/>
        <v>43538</v>
      </c>
      <c r="S329" s="70" t="str">
        <f t="shared" ca="1" si="12"/>
        <v>3/14 - Agreed that to adhere to new Perf CI doc shared on 3/14</v>
      </c>
      <c r="T329" s="70" t="s">
        <v>244</v>
      </c>
      <c r="U329" s="20">
        <v>43550</v>
      </c>
      <c r="V329" s="70" t="s">
        <v>256</v>
      </c>
    </row>
    <row r="330" spans="1:22" ht="12.75" customHeight="1">
      <c r="A330" s="70" t="s">
        <v>159</v>
      </c>
      <c r="B330" s="56" t="s">
        <v>59</v>
      </c>
      <c r="C330" s="56" t="s">
        <v>800</v>
      </c>
      <c r="D330" s="56" t="s">
        <v>683</v>
      </c>
      <c r="E330" s="56" t="s">
        <v>682</v>
      </c>
      <c r="F330" s="70"/>
      <c r="G330" s="70" t="str">
        <f>VLOOKUP(C330,'7a. PERFSUMMARY'!F:U,15,FALSE)</f>
        <v>Net cash flow in book ccy for the specified period</v>
      </c>
      <c r="H330" s="20">
        <v>43538</v>
      </c>
      <c r="I330" s="70" t="e">
        <v>#N/A</v>
      </c>
      <c r="J330" s="70" t="str">
        <f t="shared" ca="1" si="13"/>
        <v>3yr_net_flow</v>
      </c>
      <c r="K330" s="70" t="e">
        <f t="shared" ca="1" si="7"/>
        <v>#N/A</v>
      </c>
      <c r="L330" s="70"/>
      <c r="M330" s="70">
        <f t="shared" ca="1" si="8"/>
        <v>62</v>
      </c>
      <c r="N330" s="129" t="s">
        <v>801</v>
      </c>
      <c r="O330" s="70" t="b">
        <f t="shared" ca="1" si="9"/>
        <v>1</v>
      </c>
      <c r="P330" s="70"/>
      <c r="Q330" s="70" t="str">
        <f t="shared" ca="1" si="10"/>
        <v>Common Interface NB V0.6</v>
      </c>
      <c r="R330" s="20">
        <f t="shared" ca="1" si="11"/>
        <v>43538</v>
      </c>
      <c r="S330" s="70" t="str">
        <f t="shared" ca="1" si="12"/>
        <v>3/14 - Agreed that to adhere to new Perf CI doc shared on 3/14</v>
      </c>
      <c r="T330" s="70" t="s">
        <v>244</v>
      </c>
      <c r="U330" s="20">
        <v>43550</v>
      </c>
      <c r="V330" s="70" t="s">
        <v>256</v>
      </c>
    </row>
    <row r="331" spans="1:22" ht="12.75" customHeight="1">
      <c r="A331" s="70" t="s">
        <v>159</v>
      </c>
      <c r="B331" s="56" t="s">
        <v>59</v>
      </c>
      <c r="C331" s="56" t="s">
        <v>802</v>
      </c>
      <c r="D331" s="56" t="s">
        <v>683</v>
      </c>
      <c r="E331" s="56" t="s">
        <v>682</v>
      </c>
      <c r="F331" s="70"/>
      <c r="G331" s="70" t="str">
        <f>VLOOKUP(C331,'7a. PERFSUMMARY'!F:U,15,FALSE)</f>
        <v>Net cash flow in book ccy for the specified period</v>
      </c>
      <c r="H331" s="20">
        <v>43538</v>
      </c>
      <c r="I331" s="70" t="e">
        <v>#N/A</v>
      </c>
      <c r="J331" s="70" t="str">
        <f t="shared" ca="1" si="13"/>
        <v>5yr_net_flow</v>
      </c>
      <c r="K331" s="70" t="e">
        <f t="shared" ca="1" si="7"/>
        <v>#N/A</v>
      </c>
      <c r="L331" s="70"/>
      <c r="M331" s="70">
        <f t="shared" ca="1" si="8"/>
        <v>63</v>
      </c>
      <c r="N331" s="129" t="s">
        <v>803</v>
      </c>
      <c r="O331" s="70" t="b">
        <f t="shared" ca="1" si="9"/>
        <v>1</v>
      </c>
      <c r="P331" s="70"/>
      <c r="Q331" s="70" t="str">
        <f t="shared" ca="1" si="10"/>
        <v>Common Interface NB V0.6</v>
      </c>
      <c r="R331" s="20">
        <f t="shared" ca="1" si="11"/>
        <v>43538</v>
      </c>
      <c r="S331" s="70" t="str">
        <f t="shared" ca="1" si="12"/>
        <v>3/14 - Agreed that to adhere to new Perf CI doc shared on 3/14</v>
      </c>
      <c r="T331" s="70" t="s">
        <v>244</v>
      </c>
      <c r="U331" s="20">
        <v>43550</v>
      </c>
      <c r="V331" s="70" t="s">
        <v>256</v>
      </c>
    </row>
    <row r="332" spans="1:22" ht="12.75" customHeight="1">
      <c r="A332" s="70" t="s">
        <v>159</v>
      </c>
      <c r="B332" s="56" t="s">
        <v>59</v>
      </c>
      <c r="C332" s="56" t="s">
        <v>804</v>
      </c>
      <c r="D332" s="56" t="s">
        <v>683</v>
      </c>
      <c r="E332" s="56" t="s">
        <v>682</v>
      </c>
      <c r="F332" s="70"/>
      <c r="G332" s="70" t="str">
        <f>VLOOKUP(C332,'7a. PERFSUMMARY'!F:U,15,FALSE)</f>
        <v>Net cash flow in book ccy for the specified period</v>
      </c>
      <c r="H332" s="20">
        <v>43538</v>
      </c>
      <c r="I332" s="70" t="e">
        <v>#N/A</v>
      </c>
      <c r="J332" s="70" t="str">
        <f t="shared" ca="1" si="13"/>
        <v>10yr_net_flow</v>
      </c>
      <c r="K332" s="70" t="e">
        <f t="shared" ca="1" si="7"/>
        <v>#N/A</v>
      </c>
      <c r="L332" s="70"/>
      <c r="M332" s="70">
        <f t="shared" ca="1" si="8"/>
        <v>64</v>
      </c>
      <c r="N332" s="129" t="s">
        <v>805</v>
      </c>
      <c r="O332" s="70" t="b">
        <f t="shared" ca="1" si="9"/>
        <v>1</v>
      </c>
      <c r="P332" s="70"/>
      <c r="Q332" s="70" t="str">
        <f t="shared" ca="1" si="10"/>
        <v>Common Interface NB V0.6</v>
      </c>
      <c r="R332" s="20">
        <f t="shared" ca="1" si="11"/>
        <v>43538</v>
      </c>
      <c r="S332" s="70" t="str">
        <f t="shared" ca="1" si="12"/>
        <v>3/14 - Agreed that to adhere to new Perf CI doc shared on 3/14</v>
      </c>
      <c r="T332" s="70" t="s">
        <v>244</v>
      </c>
      <c r="U332" s="20">
        <v>43550</v>
      </c>
      <c r="V332" s="70" t="s">
        <v>256</v>
      </c>
    </row>
    <row r="333" spans="1:22" ht="12.75" customHeight="1">
      <c r="A333" s="70" t="s">
        <v>159</v>
      </c>
      <c r="B333" s="56" t="s">
        <v>59</v>
      </c>
      <c r="C333" s="56" t="s">
        <v>806</v>
      </c>
      <c r="D333" s="56" t="s">
        <v>683</v>
      </c>
      <c r="E333" s="56" t="s">
        <v>682</v>
      </c>
      <c r="F333" s="70"/>
      <c r="G333" s="70" t="str">
        <f>VLOOKUP(C333,'7a. PERFSUMMARY'!F:U,15,FALSE)</f>
        <v>Net cash flow in book ccy for the specified period</v>
      </c>
      <c r="H333" s="20">
        <v>43538</v>
      </c>
      <c r="I333" s="70" t="e">
        <v>#N/A</v>
      </c>
      <c r="J333" s="70" t="str">
        <f t="shared" ca="1" si="13"/>
        <v>mtd_net_flow</v>
      </c>
      <c r="K333" s="70" t="e">
        <f t="shared" ca="1" si="7"/>
        <v>#N/A</v>
      </c>
      <c r="L333" s="70"/>
      <c r="M333" s="70">
        <f t="shared" ca="1" si="8"/>
        <v>65</v>
      </c>
      <c r="N333" s="129" t="s">
        <v>807</v>
      </c>
      <c r="O333" s="70" t="b">
        <f t="shared" ca="1" si="9"/>
        <v>1</v>
      </c>
      <c r="P333" s="70"/>
      <c r="Q333" s="70" t="str">
        <f t="shared" ca="1" si="10"/>
        <v>Common Interface NB V0.6</v>
      </c>
      <c r="R333" s="20">
        <f t="shared" ca="1" si="11"/>
        <v>43538</v>
      </c>
      <c r="S333" s="70" t="str">
        <f t="shared" ca="1" si="12"/>
        <v>3/14 - Agreed that to adhere to new Perf CI doc shared on 3/14</v>
      </c>
      <c r="T333" s="70" t="s">
        <v>244</v>
      </c>
      <c r="U333" s="20">
        <v>43550</v>
      </c>
      <c r="V333" s="70" t="s">
        <v>256</v>
      </c>
    </row>
    <row r="334" spans="1:22" ht="12.75" customHeight="1">
      <c r="A334" s="70" t="s">
        <v>159</v>
      </c>
      <c r="B334" s="56" t="s">
        <v>59</v>
      </c>
      <c r="C334" s="56" t="s">
        <v>808</v>
      </c>
      <c r="D334" s="56" t="s">
        <v>683</v>
      </c>
      <c r="E334" s="56" t="s">
        <v>682</v>
      </c>
      <c r="F334" s="70"/>
      <c r="G334" s="70" t="str">
        <f>VLOOKUP(C334,'7a. PERFSUMMARY'!F:U,15,FALSE)</f>
        <v>Net cash flow in book ccy for the specified period</v>
      </c>
      <c r="H334" s="20">
        <v>43538</v>
      </c>
      <c r="I334" s="70" t="e">
        <v>#N/A</v>
      </c>
      <c r="J334" s="70" t="str">
        <f t="shared" ca="1" si="13"/>
        <v>qtd_net_flow</v>
      </c>
      <c r="K334" s="70" t="e">
        <f t="shared" ca="1" si="7"/>
        <v>#N/A</v>
      </c>
      <c r="L334" s="70"/>
      <c r="M334" s="70">
        <f t="shared" ca="1" si="8"/>
        <v>66</v>
      </c>
      <c r="N334" s="129" t="s">
        <v>809</v>
      </c>
      <c r="O334" s="70" t="b">
        <f t="shared" ca="1" si="9"/>
        <v>1</v>
      </c>
      <c r="P334" s="70"/>
      <c r="Q334" s="70" t="str">
        <f t="shared" ca="1" si="10"/>
        <v>Common Interface NB V0.6</v>
      </c>
      <c r="R334" s="20">
        <f t="shared" ca="1" si="11"/>
        <v>43538</v>
      </c>
      <c r="S334" s="70" t="str">
        <f t="shared" ca="1" si="12"/>
        <v>3/14 - Agreed that to adhere to new Perf CI doc shared on 3/14</v>
      </c>
      <c r="T334" s="70" t="s">
        <v>244</v>
      </c>
      <c r="U334" s="20">
        <v>43550</v>
      </c>
      <c r="V334" s="70" t="s">
        <v>256</v>
      </c>
    </row>
    <row r="335" spans="1:22" ht="12.75" customHeight="1">
      <c r="A335" s="70" t="s">
        <v>159</v>
      </c>
      <c r="B335" s="56" t="s">
        <v>59</v>
      </c>
      <c r="C335" s="56" t="s">
        <v>810</v>
      </c>
      <c r="D335" s="56" t="s">
        <v>683</v>
      </c>
      <c r="E335" s="56" t="s">
        <v>682</v>
      </c>
      <c r="F335" s="70"/>
      <c r="G335" s="70" t="str">
        <f>VLOOKUP(C335,'7a. PERFSUMMARY'!F:U,15,FALSE)</f>
        <v>Net cash flow in book ccy for the specified period</v>
      </c>
      <c r="H335" s="20">
        <v>43538</v>
      </c>
      <c r="I335" s="70" t="e">
        <v>#N/A</v>
      </c>
      <c r="J335" s="70" t="str">
        <f t="shared" ca="1" si="13"/>
        <v>ytd_net_flow</v>
      </c>
      <c r="K335" s="70" t="e">
        <f t="shared" ca="1" si="7"/>
        <v>#N/A</v>
      </c>
      <c r="L335" s="70"/>
      <c r="M335" s="70">
        <f t="shared" ca="1" si="8"/>
        <v>67</v>
      </c>
      <c r="N335" s="129" t="s">
        <v>811</v>
      </c>
      <c r="O335" s="70" t="b">
        <f t="shared" ca="1" si="9"/>
        <v>1</v>
      </c>
      <c r="P335" s="70"/>
      <c r="Q335" s="70" t="str">
        <f t="shared" ca="1" si="10"/>
        <v>Common Interface NB V0.6</v>
      </c>
      <c r="R335" s="20">
        <f t="shared" ca="1" si="11"/>
        <v>43538</v>
      </c>
      <c r="S335" s="70" t="str">
        <f t="shared" ca="1" si="12"/>
        <v>3/14 - Agreed that to adhere to new Perf CI doc shared on 3/14</v>
      </c>
      <c r="T335" s="70" t="s">
        <v>244</v>
      </c>
      <c r="U335" s="20">
        <v>43550</v>
      </c>
      <c r="V335" s="70" t="s">
        <v>256</v>
      </c>
    </row>
    <row r="336" spans="1:22" ht="12.75" customHeight="1">
      <c r="A336" s="70" t="s">
        <v>159</v>
      </c>
      <c r="B336" s="56" t="s">
        <v>59</v>
      </c>
      <c r="C336" s="56" t="s">
        <v>812</v>
      </c>
      <c r="D336" s="56" t="s">
        <v>683</v>
      </c>
      <c r="E336" s="56" t="s">
        <v>682</v>
      </c>
      <c r="F336" s="70"/>
      <c r="G336" s="70" t="str">
        <f>VLOOKUP(C336,'7a. PERFSUMMARY'!F:U,15,FALSE)</f>
        <v>Net cash flow in book ccy for the specified period</v>
      </c>
      <c r="H336" s="20">
        <v>43538</v>
      </c>
      <c r="I336" s="70" t="e">
        <v>#N/A</v>
      </c>
      <c r="J336" s="70" t="str">
        <f t="shared" ca="1" si="13"/>
        <v>itd_net_flow</v>
      </c>
      <c r="K336" s="70" t="e">
        <f t="shared" ca="1" si="7"/>
        <v>#N/A</v>
      </c>
      <c r="L336" s="70"/>
      <c r="M336" s="70">
        <f t="shared" ca="1" si="8"/>
        <v>68</v>
      </c>
      <c r="N336" s="129" t="s">
        <v>813</v>
      </c>
      <c r="O336" s="70" t="b">
        <f t="shared" ca="1" si="9"/>
        <v>1</v>
      </c>
      <c r="P336" s="70"/>
      <c r="Q336" s="70" t="str">
        <f t="shared" ca="1" si="10"/>
        <v>Common Interface NB V0.6</v>
      </c>
      <c r="R336" s="20">
        <f t="shared" ca="1" si="11"/>
        <v>43538</v>
      </c>
      <c r="S336" s="70" t="str">
        <f t="shared" ca="1" si="12"/>
        <v>3/14 - Agreed that to adhere to new Perf CI doc shared on 3/14</v>
      </c>
      <c r="T336" s="70" t="s">
        <v>244</v>
      </c>
      <c r="U336" s="20">
        <v>43550</v>
      </c>
      <c r="V336" s="70" t="s">
        <v>256</v>
      </c>
    </row>
    <row r="337" spans="1:22" ht="12.75" customHeight="1">
      <c r="A337" s="70" t="s">
        <v>159</v>
      </c>
      <c r="B337" s="56" t="s">
        <v>55</v>
      </c>
      <c r="C337" s="56" t="s">
        <v>814</v>
      </c>
      <c r="D337" s="56" t="s">
        <v>683</v>
      </c>
      <c r="E337" s="56" t="s">
        <v>682</v>
      </c>
      <c r="F337" s="70"/>
      <c r="G337" s="70" t="str">
        <f>VLOOKUP(C337,'7a. PERFSUMMARY'!F:U,15,FALSE)</f>
        <v>Fees in book ccy for the period of the extract</v>
      </c>
      <c r="H337" s="20">
        <v>43538</v>
      </c>
      <c r="I337" s="70" t="e">
        <v>#N/A</v>
      </c>
      <c r="J337" s="70" t="str">
        <f t="shared" ca="1" si="13"/>
        <v>fees</v>
      </c>
      <c r="K337" s="70" t="e">
        <f t="shared" ca="1" si="7"/>
        <v>#N/A</v>
      </c>
      <c r="L337" s="70"/>
      <c r="M337" s="70">
        <f t="shared" ca="1" si="8"/>
        <v>69</v>
      </c>
      <c r="N337" s="129" t="s">
        <v>815</v>
      </c>
      <c r="O337" s="70" t="b">
        <f t="shared" ca="1" si="9"/>
        <v>1</v>
      </c>
      <c r="P337" s="70"/>
      <c r="Q337" s="70" t="str">
        <f t="shared" ca="1" si="10"/>
        <v>Common Interface NB V0.6</v>
      </c>
      <c r="R337" s="20">
        <f t="shared" ca="1" si="11"/>
        <v>43538</v>
      </c>
      <c r="S337" s="70" t="str">
        <f t="shared" ca="1" si="12"/>
        <v>3/14 - Agreed that to adhere to new Perf CI doc shared on 3/14</v>
      </c>
      <c r="T337" s="70" t="s">
        <v>244</v>
      </c>
      <c r="U337" s="20">
        <v>43550</v>
      </c>
      <c r="V337" s="70" t="s">
        <v>256</v>
      </c>
    </row>
    <row r="338" spans="1:22" ht="12.75" customHeight="1">
      <c r="A338" s="70" t="s">
        <v>159</v>
      </c>
      <c r="B338" s="56" t="s">
        <v>55</v>
      </c>
      <c r="C338" s="56" t="s">
        <v>816</v>
      </c>
      <c r="D338" s="56" t="s">
        <v>683</v>
      </c>
      <c r="E338" s="56" t="s">
        <v>682</v>
      </c>
      <c r="F338" s="70"/>
      <c r="G338" s="70" t="str">
        <f>VLOOKUP(C338,'7a. PERFSUMMARY'!F:U,15,FALSE)</f>
        <v>Income in book ccy for the period of the extract</v>
      </c>
      <c r="H338" s="20">
        <v>43538</v>
      </c>
      <c r="I338" s="70" t="e">
        <v>#N/A</v>
      </c>
      <c r="J338" s="70" t="str">
        <f t="shared" ca="1" si="13"/>
        <v>income</v>
      </c>
      <c r="K338" s="70" t="e">
        <f t="shared" ca="1" si="7"/>
        <v>#N/A</v>
      </c>
      <c r="L338" s="70"/>
      <c r="M338" s="70">
        <f t="shared" ca="1" si="8"/>
        <v>70</v>
      </c>
      <c r="N338" s="129" t="s">
        <v>817</v>
      </c>
      <c r="O338" s="70" t="b">
        <f t="shared" ca="1" si="9"/>
        <v>1</v>
      </c>
      <c r="P338" s="70"/>
      <c r="Q338" s="70" t="str">
        <f t="shared" ca="1" si="10"/>
        <v>Common Interface NB V0.6</v>
      </c>
      <c r="R338" s="20">
        <f t="shared" ca="1" si="11"/>
        <v>43538</v>
      </c>
      <c r="S338" s="70" t="str">
        <f t="shared" ca="1" si="12"/>
        <v>3/14 - Agreed that to adhere to new Perf CI doc shared on 3/14</v>
      </c>
      <c r="T338" s="70" t="s">
        <v>244</v>
      </c>
      <c r="U338" s="20">
        <v>43550</v>
      </c>
      <c r="V338" s="70" t="s">
        <v>256</v>
      </c>
    </row>
    <row r="339" spans="1:22" ht="12.75" customHeight="1">
      <c r="A339" s="70" t="s">
        <v>159</v>
      </c>
      <c r="B339" s="56" t="s">
        <v>55</v>
      </c>
      <c r="C339" s="56" t="s">
        <v>818</v>
      </c>
      <c r="D339" s="56" t="s">
        <v>683</v>
      </c>
      <c r="E339" s="56" t="s">
        <v>682</v>
      </c>
      <c r="F339" s="70"/>
      <c r="G339" s="70" t="str">
        <f>VLOOKUP(C339,'7a. PERFSUMMARY'!F:U,15,FALSE)</f>
        <v>Profit and Loss (P&amp;L) for the specified period of the total extract  (the period of the extract, may be any period)</v>
      </c>
      <c r="H339" s="20">
        <v>43538</v>
      </c>
      <c r="I339" s="70" t="e">
        <v>#N/A</v>
      </c>
      <c r="J339" s="70" t="str">
        <f t="shared" ca="1" si="13"/>
        <v>profit_loss</v>
      </c>
      <c r="K339" s="70" t="e">
        <f t="shared" ca="1" si="7"/>
        <v>#N/A</v>
      </c>
      <c r="L339" s="70"/>
      <c r="M339" s="70">
        <f t="shared" ca="1" si="8"/>
        <v>71</v>
      </c>
      <c r="N339" s="129" t="s">
        <v>819</v>
      </c>
      <c r="O339" s="70" t="b">
        <f t="shared" ca="1" si="9"/>
        <v>1</v>
      </c>
      <c r="P339" s="70"/>
      <c r="Q339" s="70" t="str">
        <f t="shared" ca="1" si="10"/>
        <v>Common Interface NB V0.6</v>
      </c>
      <c r="R339" s="20">
        <f t="shared" ca="1" si="11"/>
        <v>43538</v>
      </c>
      <c r="S339" s="70" t="str">
        <f t="shared" ca="1" si="12"/>
        <v>3/14 - Agreed that to adhere to new Perf CI doc shared on 3/14</v>
      </c>
      <c r="T339" s="70" t="s">
        <v>244</v>
      </c>
      <c r="U339" s="20">
        <v>43550</v>
      </c>
      <c r="V339" s="70" t="s">
        <v>256</v>
      </c>
    </row>
    <row r="340" spans="1:22" ht="12.75" customHeight="1">
      <c r="A340" s="70" t="s">
        <v>159</v>
      </c>
      <c r="B340" s="56" t="s">
        <v>55</v>
      </c>
      <c r="C340" s="56" t="s">
        <v>820</v>
      </c>
      <c r="D340" s="56" t="s">
        <v>683</v>
      </c>
      <c r="E340" s="56" t="s">
        <v>682</v>
      </c>
      <c r="F340" s="70"/>
      <c r="G340" s="70" t="str">
        <f>VLOOKUP(C340,'7a. PERFSUMMARY'!F:U,15,FALSE)</f>
        <v>Profit and Loss (P&amp;L) for the specified period</v>
      </c>
      <c r="H340" s="20">
        <v>43538</v>
      </c>
      <c r="I340" s="70" t="e">
        <v>#N/A</v>
      </c>
      <c r="J340" s="70" t="str">
        <f t="shared" ca="1" si="13"/>
        <v>dtd_profit_loss</v>
      </c>
      <c r="K340" s="70" t="e">
        <f t="shared" ca="1" si="7"/>
        <v>#N/A</v>
      </c>
      <c r="L340" s="70"/>
      <c r="M340" s="70">
        <f t="shared" ca="1" si="8"/>
        <v>72</v>
      </c>
      <c r="N340" s="129" t="s">
        <v>821</v>
      </c>
      <c r="O340" s="70" t="b">
        <f t="shared" ca="1" si="9"/>
        <v>1</v>
      </c>
      <c r="P340" s="70"/>
      <c r="Q340" s="70" t="str">
        <f t="shared" ca="1" si="10"/>
        <v>Common Interface NB V0.6</v>
      </c>
      <c r="R340" s="20">
        <f t="shared" ca="1" si="11"/>
        <v>43538</v>
      </c>
      <c r="S340" s="70" t="str">
        <f t="shared" ca="1" si="12"/>
        <v>3/14 - Agreed that to adhere to new Perf CI doc shared on 3/14</v>
      </c>
      <c r="T340" s="70" t="s">
        <v>244</v>
      </c>
      <c r="U340" s="20">
        <v>43550</v>
      </c>
      <c r="V340" s="70" t="s">
        <v>256</v>
      </c>
    </row>
    <row r="341" spans="1:22" ht="12.75" customHeight="1">
      <c r="A341" s="70" t="s">
        <v>159</v>
      </c>
      <c r="B341" s="56" t="s">
        <v>55</v>
      </c>
      <c r="C341" s="56" t="s">
        <v>822</v>
      </c>
      <c r="D341" s="56" t="s">
        <v>683</v>
      </c>
      <c r="E341" s="56" t="s">
        <v>682</v>
      </c>
      <c r="F341" s="70"/>
      <c r="G341" s="70" t="str">
        <f>VLOOKUP(C341,'7a. PERFSUMMARY'!F:U,15,FALSE)</f>
        <v>Profit and Loss (P&amp;L) for the specified period</v>
      </c>
      <c r="H341" s="20">
        <v>43538</v>
      </c>
      <c r="I341" s="70" t="e">
        <v>#N/A</v>
      </c>
      <c r="J341" s="70" t="str">
        <f t="shared" ca="1" si="13"/>
        <v>1m_profit_loss</v>
      </c>
      <c r="K341" s="70" t="e">
        <f t="shared" ca="1" si="7"/>
        <v>#N/A</v>
      </c>
      <c r="L341" s="70"/>
      <c r="M341" s="70">
        <f t="shared" ca="1" si="8"/>
        <v>73</v>
      </c>
      <c r="N341" s="129" t="s">
        <v>823</v>
      </c>
      <c r="O341" s="70" t="b">
        <f t="shared" ca="1" si="9"/>
        <v>1</v>
      </c>
      <c r="P341" s="70"/>
      <c r="Q341" s="70" t="str">
        <f t="shared" ca="1" si="10"/>
        <v>Common Interface NB V0.6</v>
      </c>
      <c r="R341" s="20">
        <f t="shared" ca="1" si="11"/>
        <v>43538</v>
      </c>
      <c r="S341" s="70" t="str">
        <f t="shared" ca="1" si="12"/>
        <v>3/14 - Agreed that to adhere to new Perf CI doc shared on 3/14</v>
      </c>
      <c r="T341" s="70" t="s">
        <v>244</v>
      </c>
      <c r="U341" s="20">
        <v>43550</v>
      </c>
      <c r="V341" s="70" t="s">
        <v>256</v>
      </c>
    </row>
    <row r="342" spans="1:22" ht="12.75" customHeight="1">
      <c r="A342" s="70" t="s">
        <v>159</v>
      </c>
      <c r="B342" s="56" t="s">
        <v>55</v>
      </c>
      <c r="C342" s="56" t="s">
        <v>824</v>
      </c>
      <c r="D342" s="56" t="s">
        <v>683</v>
      </c>
      <c r="E342" s="56" t="s">
        <v>682</v>
      </c>
      <c r="F342" s="70"/>
      <c r="G342" s="70" t="str">
        <f>VLOOKUP(C342,'7a. PERFSUMMARY'!F:U,15,FALSE)</f>
        <v>Profit and Loss (P&amp;L) for the specified period</v>
      </c>
      <c r="H342" s="20">
        <v>43538</v>
      </c>
      <c r="I342" s="70" t="e">
        <v>#N/A</v>
      </c>
      <c r="J342" s="70" t="str">
        <f t="shared" ca="1" si="13"/>
        <v>3m_profit_loss</v>
      </c>
      <c r="K342" s="70" t="e">
        <f t="shared" ca="1" si="7"/>
        <v>#N/A</v>
      </c>
      <c r="L342" s="70"/>
      <c r="M342" s="70">
        <f t="shared" ca="1" si="8"/>
        <v>74</v>
      </c>
      <c r="N342" s="129" t="s">
        <v>825</v>
      </c>
      <c r="O342" s="70" t="b">
        <f t="shared" ca="1" si="9"/>
        <v>1</v>
      </c>
      <c r="P342" s="70"/>
      <c r="Q342" s="70" t="str">
        <f t="shared" ca="1" si="10"/>
        <v>Common Interface NB V0.6</v>
      </c>
      <c r="R342" s="20">
        <f t="shared" ca="1" si="11"/>
        <v>43538</v>
      </c>
      <c r="S342" s="70" t="str">
        <f t="shared" ca="1" si="12"/>
        <v>3/14 - Agreed that to adhere to new Perf CI doc shared on 3/14</v>
      </c>
      <c r="T342" s="70" t="s">
        <v>244</v>
      </c>
      <c r="U342" s="20">
        <v>43550</v>
      </c>
      <c r="V342" s="70" t="s">
        <v>256</v>
      </c>
    </row>
    <row r="343" spans="1:22" ht="12.75" customHeight="1">
      <c r="A343" s="70" t="s">
        <v>159</v>
      </c>
      <c r="B343" s="56" t="s">
        <v>55</v>
      </c>
      <c r="C343" s="56" t="s">
        <v>826</v>
      </c>
      <c r="D343" s="56" t="s">
        <v>683</v>
      </c>
      <c r="E343" s="56" t="s">
        <v>682</v>
      </c>
      <c r="F343" s="70"/>
      <c r="G343" s="70" t="str">
        <f>VLOOKUP(C343,'7a. PERFSUMMARY'!F:U,15,FALSE)</f>
        <v>Profit and Loss (P&amp;L) for the specified period</v>
      </c>
      <c r="H343" s="20">
        <v>43538</v>
      </c>
      <c r="I343" s="70" t="e">
        <v>#N/A</v>
      </c>
      <c r="J343" s="70" t="str">
        <f t="shared" ca="1" si="13"/>
        <v>6m_profit_loss</v>
      </c>
      <c r="K343" s="70" t="e">
        <f t="shared" ca="1" si="7"/>
        <v>#N/A</v>
      </c>
      <c r="L343" s="70"/>
      <c r="M343" s="70">
        <f t="shared" ca="1" si="8"/>
        <v>75</v>
      </c>
      <c r="N343" s="129" t="s">
        <v>827</v>
      </c>
      <c r="O343" s="70" t="b">
        <f t="shared" ca="1" si="9"/>
        <v>1</v>
      </c>
      <c r="P343" s="70"/>
      <c r="Q343" s="70" t="str">
        <f t="shared" ca="1" si="10"/>
        <v>Common Interface NB V0.6</v>
      </c>
      <c r="R343" s="20">
        <f t="shared" ca="1" si="11"/>
        <v>43538</v>
      </c>
      <c r="S343" s="70" t="str">
        <f t="shared" ca="1" si="12"/>
        <v>3/14 - Agreed that to adhere to new Perf CI doc shared on 3/14</v>
      </c>
      <c r="T343" s="70" t="s">
        <v>244</v>
      </c>
      <c r="U343" s="20">
        <v>43550</v>
      </c>
      <c r="V343" s="70" t="s">
        <v>256</v>
      </c>
    </row>
    <row r="344" spans="1:22" ht="12.75" customHeight="1">
      <c r="A344" s="70" t="s">
        <v>159</v>
      </c>
      <c r="B344" s="56" t="s">
        <v>55</v>
      </c>
      <c r="C344" s="56" t="s">
        <v>828</v>
      </c>
      <c r="D344" s="56" t="s">
        <v>683</v>
      </c>
      <c r="E344" s="56" t="s">
        <v>682</v>
      </c>
      <c r="F344" s="70"/>
      <c r="G344" s="70" t="str">
        <f>VLOOKUP(C344,'7a. PERFSUMMARY'!F:U,15,FALSE)</f>
        <v>Profit and Loss (P&amp;L) for the specified period</v>
      </c>
      <c r="H344" s="20">
        <v>43538</v>
      </c>
      <c r="I344" s="70" t="e">
        <v>#N/A</v>
      </c>
      <c r="J344" s="70" t="str">
        <f t="shared" ca="1" si="13"/>
        <v>9m_profit_loss</v>
      </c>
      <c r="K344" s="70" t="e">
        <f t="shared" ca="1" si="7"/>
        <v>#N/A</v>
      </c>
      <c r="L344" s="70"/>
      <c r="M344" s="70">
        <f t="shared" ca="1" si="8"/>
        <v>76</v>
      </c>
      <c r="N344" s="129" t="s">
        <v>829</v>
      </c>
      <c r="O344" s="70" t="b">
        <f t="shared" ca="1" si="9"/>
        <v>1</v>
      </c>
      <c r="P344" s="70"/>
      <c r="Q344" s="70" t="str">
        <f t="shared" ca="1" si="10"/>
        <v>Common Interface NB V0.6</v>
      </c>
      <c r="R344" s="20">
        <f t="shared" ca="1" si="11"/>
        <v>43538</v>
      </c>
      <c r="S344" s="70" t="str">
        <f t="shared" ca="1" si="12"/>
        <v>3/14 - Agreed that to adhere to new Perf CI doc shared on 3/14</v>
      </c>
      <c r="T344" s="70" t="s">
        <v>244</v>
      </c>
      <c r="U344" s="20">
        <v>43550</v>
      </c>
      <c r="V344" s="70" t="s">
        <v>256</v>
      </c>
    </row>
    <row r="345" spans="1:22" ht="12.75" customHeight="1">
      <c r="A345" s="70" t="s">
        <v>159</v>
      </c>
      <c r="B345" s="56" t="s">
        <v>55</v>
      </c>
      <c r="C345" s="56" t="s">
        <v>830</v>
      </c>
      <c r="D345" s="56" t="s">
        <v>683</v>
      </c>
      <c r="E345" s="56" t="s">
        <v>682</v>
      </c>
      <c r="F345" s="70"/>
      <c r="G345" s="70" t="str">
        <f>VLOOKUP(C345,'7a. PERFSUMMARY'!F:U,15,FALSE)</f>
        <v>Profit and Loss (P&amp;L) for the specified period</v>
      </c>
      <c r="H345" s="20">
        <v>43538</v>
      </c>
      <c r="I345" s="70" t="e">
        <v>#N/A</v>
      </c>
      <c r="J345" s="70" t="str">
        <f t="shared" ca="1" si="13"/>
        <v>12m_profit_loss</v>
      </c>
      <c r="K345" s="70" t="e">
        <f t="shared" ca="1" si="7"/>
        <v>#N/A</v>
      </c>
      <c r="L345" s="70"/>
      <c r="M345" s="70">
        <f t="shared" ca="1" si="8"/>
        <v>77</v>
      </c>
      <c r="N345" s="129" t="s">
        <v>831</v>
      </c>
      <c r="O345" s="70" t="b">
        <f t="shared" ca="1" si="9"/>
        <v>1</v>
      </c>
      <c r="P345" s="70"/>
      <c r="Q345" s="70" t="str">
        <f t="shared" ca="1" si="10"/>
        <v>Common Interface NB V0.6</v>
      </c>
      <c r="R345" s="20">
        <f t="shared" ca="1" si="11"/>
        <v>43538</v>
      </c>
      <c r="S345" s="70" t="str">
        <f t="shared" ca="1" si="12"/>
        <v>3/14 - Agreed that to adhere to new Perf CI doc shared on 3/14</v>
      </c>
      <c r="T345" s="70" t="s">
        <v>244</v>
      </c>
      <c r="U345" s="20">
        <v>43550</v>
      </c>
      <c r="V345" s="70" t="s">
        <v>256</v>
      </c>
    </row>
    <row r="346" spans="1:22" ht="12.75" customHeight="1">
      <c r="A346" s="70" t="s">
        <v>159</v>
      </c>
      <c r="B346" s="56" t="s">
        <v>59</v>
      </c>
      <c r="C346" s="56" t="s">
        <v>832</v>
      </c>
      <c r="D346" s="56" t="s">
        <v>683</v>
      </c>
      <c r="E346" s="56" t="s">
        <v>682</v>
      </c>
      <c r="F346" s="70"/>
      <c r="G346" s="70" t="str">
        <f>VLOOKUP(C346,'7a. PERFSUMMARY'!F:U,15,FALSE)</f>
        <v>Profit and Loss (P&amp;L) for the specified period</v>
      </c>
      <c r="H346" s="20">
        <v>43538</v>
      </c>
      <c r="I346" s="70" t="e">
        <v>#N/A</v>
      </c>
      <c r="J346" s="70" t="str">
        <f t="shared" ca="1" si="13"/>
        <v>1yr_profit_loss</v>
      </c>
      <c r="K346" s="70" t="e">
        <f t="shared" ca="1" si="7"/>
        <v>#N/A</v>
      </c>
      <c r="L346" s="70"/>
      <c r="M346" s="70">
        <f t="shared" ca="1" si="8"/>
        <v>78</v>
      </c>
      <c r="N346" s="129" t="s">
        <v>833</v>
      </c>
      <c r="O346" s="70" t="b">
        <f t="shared" ca="1" si="9"/>
        <v>1</v>
      </c>
      <c r="P346" s="70"/>
      <c r="Q346" s="70" t="str">
        <f t="shared" ca="1" si="10"/>
        <v>Common Interface NB V0.6</v>
      </c>
      <c r="R346" s="20">
        <f t="shared" ca="1" si="11"/>
        <v>43538</v>
      </c>
      <c r="S346" s="70" t="str">
        <f t="shared" ca="1" si="12"/>
        <v>3/14 - Agreed that to adhere to new Perf CI doc shared on 3/14</v>
      </c>
      <c r="T346" s="70" t="s">
        <v>244</v>
      </c>
      <c r="U346" s="20">
        <v>43550</v>
      </c>
      <c r="V346" s="70" t="s">
        <v>256</v>
      </c>
    </row>
    <row r="347" spans="1:22" ht="12.75" customHeight="1">
      <c r="A347" s="70" t="s">
        <v>159</v>
      </c>
      <c r="B347" s="56" t="s">
        <v>59</v>
      </c>
      <c r="C347" s="56" t="s">
        <v>834</v>
      </c>
      <c r="D347" s="56" t="s">
        <v>683</v>
      </c>
      <c r="E347" s="56" t="s">
        <v>682</v>
      </c>
      <c r="F347" s="70"/>
      <c r="G347" s="70" t="str">
        <f>VLOOKUP(C347,'7a. PERFSUMMARY'!F:U,15,FALSE)</f>
        <v>Profit and Loss (P&amp;L) for the specified period</v>
      </c>
      <c r="H347" s="20">
        <v>43538</v>
      </c>
      <c r="I347" s="70" t="e">
        <v>#N/A</v>
      </c>
      <c r="J347" s="70" t="str">
        <f t="shared" ca="1" si="13"/>
        <v>3yr_profit_loss</v>
      </c>
      <c r="K347" s="70" t="e">
        <f t="shared" ca="1" si="7"/>
        <v>#N/A</v>
      </c>
      <c r="L347" s="70"/>
      <c r="M347" s="70">
        <f t="shared" ca="1" si="8"/>
        <v>79</v>
      </c>
      <c r="N347" s="129" t="s">
        <v>835</v>
      </c>
      <c r="O347" s="70" t="b">
        <f t="shared" ca="1" si="9"/>
        <v>1</v>
      </c>
      <c r="P347" s="70"/>
      <c r="Q347" s="70" t="str">
        <f t="shared" ca="1" si="10"/>
        <v>Common Interface NB V0.6</v>
      </c>
      <c r="R347" s="20">
        <f t="shared" ca="1" si="11"/>
        <v>43538</v>
      </c>
      <c r="S347" s="70" t="str">
        <f t="shared" ca="1" si="12"/>
        <v>3/14 - Agreed that to adhere to new Perf CI doc shared on 3/14</v>
      </c>
      <c r="T347" s="70" t="s">
        <v>244</v>
      </c>
      <c r="U347" s="20">
        <v>43550</v>
      </c>
      <c r="V347" s="70" t="s">
        <v>256</v>
      </c>
    </row>
    <row r="348" spans="1:22" ht="12.75" customHeight="1">
      <c r="A348" s="70" t="s">
        <v>159</v>
      </c>
      <c r="B348" s="56" t="s">
        <v>59</v>
      </c>
      <c r="C348" s="56" t="s">
        <v>836</v>
      </c>
      <c r="D348" s="56" t="s">
        <v>683</v>
      </c>
      <c r="E348" s="56" t="s">
        <v>682</v>
      </c>
      <c r="F348" s="70"/>
      <c r="G348" s="70" t="str">
        <f>VLOOKUP(C348,'7a. PERFSUMMARY'!F:U,15,FALSE)</f>
        <v>Profit and Loss (P&amp;L) for the specified period</v>
      </c>
      <c r="H348" s="20">
        <v>43538</v>
      </c>
      <c r="I348" s="70" t="e">
        <v>#N/A</v>
      </c>
      <c r="J348" s="70" t="str">
        <f t="shared" ca="1" si="13"/>
        <v>5yr_profit_loss</v>
      </c>
      <c r="K348" s="70" t="e">
        <f t="shared" ca="1" si="7"/>
        <v>#N/A</v>
      </c>
      <c r="L348" s="70"/>
      <c r="M348" s="70">
        <f t="shared" ca="1" si="8"/>
        <v>80</v>
      </c>
      <c r="N348" s="129" t="s">
        <v>837</v>
      </c>
      <c r="O348" s="70" t="b">
        <f t="shared" ca="1" si="9"/>
        <v>1</v>
      </c>
      <c r="P348" s="70"/>
      <c r="Q348" s="70" t="str">
        <f t="shared" ca="1" si="10"/>
        <v>Common Interface NB V0.6</v>
      </c>
      <c r="R348" s="20">
        <f t="shared" ca="1" si="11"/>
        <v>43538</v>
      </c>
      <c r="S348" s="70" t="str">
        <f t="shared" ca="1" si="12"/>
        <v>3/14 - Agreed that to adhere to new Perf CI doc shared on 3/14</v>
      </c>
      <c r="T348" s="70" t="s">
        <v>244</v>
      </c>
      <c r="U348" s="20">
        <v>43550</v>
      </c>
      <c r="V348" s="70" t="s">
        <v>256</v>
      </c>
    </row>
    <row r="349" spans="1:22" ht="12.75" customHeight="1">
      <c r="A349" s="70" t="s">
        <v>159</v>
      </c>
      <c r="B349" s="56" t="s">
        <v>59</v>
      </c>
      <c r="C349" s="56" t="s">
        <v>838</v>
      </c>
      <c r="D349" s="56" t="s">
        <v>683</v>
      </c>
      <c r="E349" s="56" t="s">
        <v>682</v>
      </c>
      <c r="F349" s="70"/>
      <c r="G349" s="70" t="str">
        <f>VLOOKUP(C349,'7a. PERFSUMMARY'!F:U,15,FALSE)</f>
        <v>Profit and Loss (P&amp;L) for the specified period</v>
      </c>
      <c r="H349" s="20">
        <v>43538</v>
      </c>
      <c r="I349" s="70" t="e">
        <v>#N/A</v>
      </c>
      <c r="J349" s="70" t="str">
        <f t="shared" ca="1" si="13"/>
        <v>10yr_profit_loss</v>
      </c>
      <c r="K349" s="70" t="e">
        <f t="shared" ca="1" si="7"/>
        <v>#N/A</v>
      </c>
      <c r="L349" s="70"/>
      <c r="M349" s="70">
        <f t="shared" ca="1" si="8"/>
        <v>81</v>
      </c>
      <c r="N349" s="129" t="s">
        <v>839</v>
      </c>
      <c r="O349" s="70" t="b">
        <f t="shared" ca="1" si="9"/>
        <v>1</v>
      </c>
      <c r="P349" s="70"/>
      <c r="Q349" s="70" t="str">
        <f t="shared" ca="1" si="10"/>
        <v>Common Interface NB V0.6</v>
      </c>
      <c r="R349" s="20">
        <f t="shared" ca="1" si="11"/>
        <v>43538</v>
      </c>
      <c r="S349" s="70" t="str">
        <f t="shared" ca="1" si="12"/>
        <v>3/14 - Agreed that to adhere to new Perf CI doc shared on 3/14</v>
      </c>
      <c r="T349" s="70" t="s">
        <v>244</v>
      </c>
      <c r="U349" s="20">
        <v>43550</v>
      </c>
      <c r="V349" s="70" t="s">
        <v>256</v>
      </c>
    </row>
    <row r="350" spans="1:22" ht="12.75" customHeight="1">
      <c r="A350" s="70" t="s">
        <v>159</v>
      </c>
      <c r="B350" s="56" t="s">
        <v>59</v>
      </c>
      <c r="C350" s="56" t="s">
        <v>840</v>
      </c>
      <c r="D350" s="56" t="s">
        <v>683</v>
      </c>
      <c r="E350" s="56" t="s">
        <v>682</v>
      </c>
      <c r="F350" s="70"/>
      <c r="G350" s="70" t="str">
        <f>VLOOKUP(C350,'7a. PERFSUMMARY'!F:U,15,FALSE)</f>
        <v>Profit and Loss (P&amp;L) for the specified period</v>
      </c>
      <c r="H350" s="20">
        <v>43538</v>
      </c>
      <c r="I350" s="70" t="e">
        <v>#N/A</v>
      </c>
      <c r="J350" s="70" t="str">
        <f t="shared" ca="1" si="13"/>
        <v>mtd_profit_loss</v>
      </c>
      <c r="K350" s="70" t="e">
        <f t="shared" ca="1" si="7"/>
        <v>#N/A</v>
      </c>
      <c r="L350" s="70"/>
      <c r="M350" s="70">
        <f t="shared" ca="1" si="8"/>
        <v>82</v>
      </c>
      <c r="N350" s="129" t="s">
        <v>841</v>
      </c>
      <c r="O350" s="70" t="b">
        <f t="shared" ca="1" si="9"/>
        <v>1</v>
      </c>
      <c r="P350" s="70"/>
      <c r="Q350" s="70" t="str">
        <f t="shared" ca="1" si="10"/>
        <v>Common Interface NB V0.6</v>
      </c>
      <c r="R350" s="20">
        <f t="shared" ca="1" si="11"/>
        <v>43538</v>
      </c>
      <c r="S350" s="70" t="str">
        <f t="shared" ca="1" si="12"/>
        <v>3/14 - Agreed that to adhere to new Perf CI doc shared on 3/14</v>
      </c>
      <c r="T350" s="70" t="s">
        <v>244</v>
      </c>
      <c r="U350" s="20">
        <v>43550</v>
      </c>
      <c r="V350" s="70" t="s">
        <v>256</v>
      </c>
    </row>
    <row r="351" spans="1:22" ht="12.75" customHeight="1">
      <c r="A351" s="70" t="s">
        <v>159</v>
      </c>
      <c r="B351" s="56" t="s">
        <v>59</v>
      </c>
      <c r="C351" s="56" t="s">
        <v>842</v>
      </c>
      <c r="D351" s="56" t="s">
        <v>683</v>
      </c>
      <c r="E351" s="56" t="s">
        <v>682</v>
      </c>
      <c r="F351" s="70"/>
      <c r="G351" s="70" t="str">
        <f>VLOOKUP(C351,'7a. PERFSUMMARY'!F:U,15,FALSE)</f>
        <v>Profit and Loss (P&amp;L) for the specified period</v>
      </c>
      <c r="H351" s="20">
        <v>43538</v>
      </c>
      <c r="I351" s="70" t="e">
        <v>#N/A</v>
      </c>
      <c r="J351" s="70" t="str">
        <f t="shared" ca="1" si="13"/>
        <v>qtd_profit_loss</v>
      </c>
      <c r="K351" s="70" t="e">
        <f t="shared" ca="1" si="7"/>
        <v>#N/A</v>
      </c>
      <c r="L351" s="70"/>
      <c r="M351" s="70">
        <f t="shared" ca="1" si="8"/>
        <v>83</v>
      </c>
      <c r="N351" s="129" t="s">
        <v>843</v>
      </c>
      <c r="O351" s="70" t="b">
        <f t="shared" ca="1" si="9"/>
        <v>1</v>
      </c>
      <c r="P351" s="70"/>
      <c r="Q351" s="70" t="str">
        <f t="shared" ca="1" si="10"/>
        <v>Common Interface NB V0.6</v>
      </c>
      <c r="R351" s="20">
        <f t="shared" ca="1" si="11"/>
        <v>43538</v>
      </c>
      <c r="S351" s="70" t="str">
        <f t="shared" ca="1" si="12"/>
        <v>3/14 - Agreed that to adhere to new Perf CI doc shared on 3/14</v>
      </c>
      <c r="T351" s="70" t="s">
        <v>244</v>
      </c>
      <c r="U351" s="20">
        <v>43550</v>
      </c>
      <c r="V351" s="70" t="s">
        <v>256</v>
      </c>
    </row>
    <row r="352" spans="1:22" ht="12.75" customHeight="1">
      <c r="A352" s="70" t="s">
        <v>159</v>
      </c>
      <c r="B352" s="56" t="s">
        <v>59</v>
      </c>
      <c r="C352" s="56" t="s">
        <v>844</v>
      </c>
      <c r="D352" s="56" t="s">
        <v>683</v>
      </c>
      <c r="E352" s="56" t="s">
        <v>682</v>
      </c>
      <c r="F352" s="70"/>
      <c r="G352" s="70" t="str">
        <f>VLOOKUP(C352,'7a. PERFSUMMARY'!F:U,15,FALSE)</f>
        <v>Profit and Loss (P&amp;L) for the specified period</v>
      </c>
      <c r="H352" s="20">
        <v>43538</v>
      </c>
      <c r="I352" s="70" t="e">
        <v>#N/A</v>
      </c>
      <c r="J352" s="70" t="str">
        <f t="shared" ca="1" si="13"/>
        <v>ytd_profit_loss</v>
      </c>
      <c r="K352" s="70" t="e">
        <f t="shared" ca="1" si="7"/>
        <v>#N/A</v>
      </c>
      <c r="L352" s="70"/>
      <c r="M352" s="70">
        <f t="shared" ca="1" si="8"/>
        <v>84</v>
      </c>
      <c r="N352" s="129" t="s">
        <v>845</v>
      </c>
      <c r="O352" s="70" t="b">
        <f t="shared" ca="1" si="9"/>
        <v>1</v>
      </c>
      <c r="P352" s="70"/>
      <c r="Q352" s="70" t="str">
        <f t="shared" ca="1" si="10"/>
        <v>Common Interface NB V0.6</v>
      </c>
      <c r="R352" s="20">
        <f t="shared" ca="1" si="11"/>
        <v>43538</v>
      </c>
      <c r="S352" s="70" t="str">
        <f t="shared" ca="1" si="12"/>
        <v>3/14 - Agreed that to adhere to new Perf CI doc shared on 3/14</v>
      </c>
      <c r="T352" s="70" t="s">
        <v>244</v>
      </c>
      <c r="U352" s="20">
        <v>43550</v>
      </c>
      <c r="V352" s="70" t="s">
        <v>256</v>
      </c>
    </row>
    <row r="353" spans="1:22" ht="12.75" customHeight="1">
      <c r="A353" s="70" t="s">
        <v>159</v>
      </c>
      <c r="B353" s="56" t="s">
        <v>59</v>
      </c>
      <c r="C353" s="56" t="s">
        <v>846</v>
      </c>
      <c r="D353" s="56" t="s">
        <v>683</v>
      </c>
      <c r="E353" s="56" t="s">
        <v>682</v>
      </c>
      <c r="F353" s="70"/>
      <c r="G353" s="70" t="str">
        <f>VLOOKUP(C353,'7a. PERFSUMMARY'!F:U,15,FALSE)</f>
        <v>Profit and Loss (P&amp;L) for the specified period</v>
      </c>
      <c r="H353" s="20">
        <v>43538</v>
      </c>
      <c r="I353" s="70" t="e">
        <v>#N/A</v>
      </c>
      <c r="J353" s="70" t="str">
        <f t="shared" ca="1" si="13"/>
        <v>itd_profit_loss</v>
      </c>
      <c r="K353" s="70" t="e">
        <f t="shared" ca="1" si="7"/>
        <v>#N/A</v>
      </c>
      <c r="L353" s="70"/>
      <c r="M353" s="70">
        <f t="shared" ca="1" si="8"/>
        <v>85</v>
      </c>
      <c r="N353" s="129" t="s">
        <v>847</v>
      </c>
      <c r="O353" s="70" t="b">
        <f t="shared" ca="1" si="9"/>
        <v>1</v>
      </c>
      <c r="P353" s="70"/>
      <c r="Q353" s="70" t="str">
        <f t="shared" ca="1" si="10"/>
        <v>Common Interface NB V0.6</v>
      </c>
      <c r="R353" s="20">
        <f t="shared" ca="1" si="11"/>
        <v>43538</v>
      </c>
      <c r="S353" s="70" t="str">
        <f t="shared" ca="1" si="12"/>
        <v>3/14 - Agreed that to adhere to new Perf CI doc shared on 3/14</v>
      </c>
      <c r="T353" s="70" t="s">
        <v>244</v>
      </c>
      <c r="U353" s="20">
        <v>43550</v>
      </c>
      <c r="V353" s="70" t="s">
        <v>256</v>
      </c>
    </row>
    <row r="354" spans="1:22" ht="12.75" customHeight="1">
      <c r="A354" s="70" t="s">
        <v>159</v>
      </c>
      <c r="B354" s="56" t="s">
        <v>55</v>
      </c>
      <c r="C354" s="56" t="s">
        <v>848</v>
      </c>
      <c r="D354" s="56" t="s">
        <v>683</v>
      </c>
      <c r="E354" s="56" t="s">
        <v>682</v>
      </c>
      <c r="F354" s="70"/>
      <c r="G354" s="70" t="str">
        <f>VLOOKUP(C354,'7a. PERFSUMMARY'!F:U,15,FALSE)</f>
        <v>CCY Contribution for the specified period of the extract</v>
      </c>
      <c r="H354" s="20">
        <v>43538</v>
      </c>
      <c r="I354" s="70" t="e">
        <v>#N/A</v>
      </c>
      <c r="J354" s="70" t="str">
        <f t="shared" ca="1" si="13"/>
        <v>contribution</v>
      </c>
      <c r="K354" s="70" t="e">
        <f t="shared" ca="1" si="7"/>
        <v>#N/A</v>
      </c>
      <c r="L354" s="70" t="s">
        <v>686</v>
      </c>
      <c r="M354" s="70">
        <f t="shared" ca="1" si="8"/>
        <v>86</v>
      </c>
      <c r="N354" s="129" t="s">
        <v>849</v>
      </c>
      <c r="O354" s="70" t="b">
        <f t="shared" ca="1" si="9"/>
        <v>1</v>
      </c>
      <c r="P354" s="70"/>
      <c r="Q354" s="70" t="str">
        <f t="shared" ca="1" si="10"/>
        <v>Common Interface NB V0.6</v>
      </c>
      <c r="R354" s="20">
        <f t="shared" ca="1" si="11"/>
        <v>43538</v>
      </c>
      <c r="S354" s="70" t="str">
        <f t="shared" ca="1" si="12"/>
        <v>3/14 - Agreed that to adhere to new Perf CI doc shared on 3/14</v>
      </c>
      <c r="T354" s="70" t="s">
        <v>244</v>
      </c>
      <c r="U354" s="20">
        <v>43550</v>
      </c>
      <c r="V354" s="70" t="s">
        <v>256</v>
      </c>
    </row>
    <row r="355" spans="1:22" ht="12.75" customHeight="1">
      <c r="A355" s="70" t="s">
        <v>159</v>
      </c>
      <c r="B355" s="70" t="s">
        <v>850</v>
      </c>
      <c r="C355" s="70" t="s">
        <v>851</v>
      </c>
      <c r="D355" s="70" t="s">
        <v>852</v>
      </c>
      <c r="E355" s="70" t="s">
        <v>682</v>
      </c>
      <c r="F355" s="70"/>
      <c r="G355" s="70">
        <f>VLOOKUP(C355,'7a. PERFSUMMARY'!F:U,15,FALSE)</f>
        <v>0</v>
      </c>
      <c r="H355" s="20">
        <v>43538</v>
      </c>
      <c r="I355" s="70" t="e">
        <v>#N/A</v>
      </c>
      <c r="J355" s="70" t="str">
        <f t="shared" ca="1" si="13"/>
        <v>beta</v>
      </c>
      <c r="K355" s="70" t="e">
        <f t="shared" ca="1" si="7"/>
        <v>#N/A</v>
      </c>
      <c r="L355" s="70" t="s">
        <v>853</v>
      </c>
      <c r="M355" s="70">
        <f t="shared" ca="1" si="8"/>
        <v>87</v>
      </c>
      <c r="N355" s="129" t="s">
        <v>854</v>
      </c>
      <c r="O355" s="70" t="b">
        <f t="shared" ca="1" si="9"/>
        <v>1</v>
      </c>
      <c r="P355" s="70"/>
      <c r="Q355" s="70" t="str">
        <f t="shared" ca="1" si="10"/>
        <v>Common Interface NB V0.6</v>
      </c>
      <c r="R355" s="20">
        <f t="shared" ca="1" si="11"/>
        <v>43538</v>
      </c>
      <c r="S355" s="70" t="str">
        <f t="shared" ca="1" si="12"/>
        <v>this is a new field that was added based on Pliot 1a SDS.</v>
      </c>
      <c r="T355" s="70" t="s">
        <v>244</v>
      </c>
      <c r="U355" s="20">
        <v>43550</v>
      </c>
      <c r="V355" s="70" t="s">
        <v>256</v>
      </c>
    </row>
    <row r="356" spans="1:22" ht="12.75" customHeight="1">
      <c r="A356" s="70" t="s">
        <v>159</v>
      </c>
      <c r="B356" s="70" t="s">
        <v>850</v>
      </c>
      <c r="C356" s="70" t="s">
        <v>855</v>
      </c>
      <c r="D356" s="70" t="s">
        <v>852</v>
      </c>
      <c r="E356" s="70" t="s">
        <v>682</v>
      </c>
      <c r="F356" s="70"/>
      <c r="G356" s="70">
        <f>VLOOKUP(C356,'7a. PERFSUMMARY'!F:U,15,FALSE)</f>
        <v>0</v>
      </c>
      <c r="H356" s="20">
        <v>43550</v>
      </c>
      <c r="I356" s="70" t="e">
        <v>#N/A</v>
      </c>
      <c r="J356" s="70" t="str">
        <f t="shared" ca="1" si="13"/>
        <v>sharperatio</v>
      </c>
      <c r="K356" s="70" t="e">
        <f t="shared" ca="1" si="7"/>
        <v>#N/A</v>
      </c>
      <c r="L356" s="70" t="s">
        <v>853</v>
      </c>
      <c r="M356" s="70">
        <f t="shared" ca="1" si="8"/>
        <v>88</v>
      </c>
      <c r="N356" s="129" t="s">
        <v>856</v>
      </c>
      <c r="O356" s="70" t="b">
        <f t="shared" ca="1" si="9"/>
        <v>0</v>
      </c>
      <c r="P356" s="70"/>
      <c r="Q356" s="70" t="str">
        <f t="shared" ca="1" si="10"/>
        <v>Common Interface NB V0.8</v>
      </c>
      <c r="R356" s="20">
        <f t="shared" ca="1" si="11"/>
        <v>43546</v>
      </c>
      <c r="S356" s="70" t="str">
        <f t="shared" ca="1" si="12"/>
        <v>updated field name (there as a typo before missed the e in sharperatio)</v>
      </c>
      <c r="T356" s="70" t="s">
        <v>244</v>
      </c>
      <c r="U356" s="20">
        <v>43550</v>
      </c>
      <c r="V356" s="70" t="s">
        <v>256</v>
      </c>
    </row>
    <row r="357" spans="1:22" ht="12.75" customHeight="1">
      <c r="A357" s="70" t="s">
        <v>159</v>
      </c>
      <c r="B357" s="70" t="s">
        <v>850</v>
      </c>
      <c r="C357" s="70" t="s">
        <v>857</v>
      </c>
      <c r="D357" s="70" t="s">
        <v>852</v>
      </c>
      <c r="E357" s="70" t="s">
        <v>682</v>
      </c>
      <c r="F357" s="70"/>
      <c r="G357" s="70">
        <f>VLOOKUP(C357,'7a. PERFSUMMARY'!F:U,15,FALSE)</f>
        <v>0</v>
      </c>
      <c r="H357" s="20">
        <v>43538</v>
      </c>
      <c r="I357" s="70" t="e">
        <v>#N/A</v>
      </c>
      <c r="J357" s="70" t="str">
        <f t="shared" ca="1" si="13"/>
        <v>standarddeviation</v>
      </c>
      <c r="K357" s="70" t="e">
        <f t="shared" ca="1" si="7"/>
        <v>#N/A</v>
      </c>
      <c r="L357" s="70" t="s">
        <v>853</v>
      </c>
      <c r="M357" s="70">
        <f t="shared" ca="1" si="8"/>
        <v>89</v>
      </c>
      <c r="N357" s="129" t="s">
        <v>858</v>
      </c>
      <c r="O357" s="70" t="b">
        <f t="shared" ca="1" si="9"/>
        <v>1</v>
      </c>
      <c r="P357" s="70"/>
      <c r="Q357" s="70" t="str">
        <f t="shared" ca="1" si="10"/>
        <v>Common Interface NB V0.6</v>
      </c>
      <c r="R357" s="20">
        <f t="shared" ca="1" si="11"/>
        <v>43538</v>
      </c>
      <c r="S357" s="70" t="str">
        <f t="shared" ca="1" si="12"/>
        <v>this is a new field that was added based on Pliot 1a SDS.</v>
      </c>
      <c r="T357" s="70" t="s">
        <v>244</v>
      </c>
      <c r="U357" s="20">
        <v>43550</v>
      </c>
      <c r="V357" s="70" t="s">
        <v>256</v>
      </c>
    </row>
    <row r="358" spans="1:22" ht="12.75" customHeight="1">
      <c r="A358" s="70" t="s">
        <v>159</v>
      </c>
      <c r="B358" s="70" t="s">
        <v>850</v>
      </c>
      <c r="C358" s="56" t="s">
        <v>859</v>
      </c>
      <c r="D358" s="70"/>
      <c r="E358" s="70"/>
      <c r="F358" s="70"/>
      <c r="G358" s="70">
        <f>VLOOKUP(C358,'7a. PERFSUMMARY'!F:U,15,FALSE)</f>
        <v>0</v>
      </c>
      <c r="H358" s="20">
        <v>43538</v>
      </c>
      <c r="I358" s="70" t="e">
        <v>#N/A</v>
      </c>
      <c r="J358" s="70" t="str">
        <f t="shared" ca="1" si="13"/>
        <v>classifierid</v>
      </c>
      <c r="K358" s="70" t="e">
        <f t="shared" ca="1" si="7"/>
        <v>#N/A</v>
      </c>
      <c r="L358" s="70" t="s">
        <v>853</v>
      </c>
      <c r="M358" s="70">
        <f t="shared" ca="1" si="8"/>
        <v>90</v>
      </c>
      <c r="N358" s="129" t="s">
        <v>490</v>
      </c>
      <c r="O358" s="70" t="b">
        <f t="shared" ca="1" si="9"/>
        <v>1</v>
      </c>
      <c r="P358" s="70"/>
      <c r="Q358" s="70" t="str">
        <f t="shared" ca="1" si="10"/>
        <v>Common Interface NB V0.9</v>
      </c>
      <c r="R358" s="20">
        <f t="shared" ca="1" si="11"/>
        <v>43550</v>
      </c>
      <c r="S358" s="70" t="str">
        <f t="shared" ca="1" si="12"/>
        <v xml:space="preserve">Updated description &amp; source logic based on rules agreed to with IC in the 3/25 data meeting (appended AGSshortname when sending for aggregate &amp; fund level perf) </v>
      </c>
      <c r="T358" s="70" t="s">
        <v>244</v>
      </c>
      <c r="U358" s="20">
        <v>43550</v>
      </c>
      <c r="V358" s="70" t="s">
        <v>256</v>
      </c>
    </row>
    <row r="359" spans="1:22" ht="12.75" customHeight="1">
      <c r="A359" s="70" t="s">
        <v>159</v>
      </c>
      <c r="B359" s="70" t="s">
        <v>55</v>
      </c>
      <c r="C359" s="26" t="s">
        <v>170</v>
      </c>
      <c r="D359" s="56" t="s">
        <v>860</v>
      </c>
      <c r="E359" s="70" t="s">
        <v>682</v>
      </c>
      <c r="F359" s="70"/>
      <c r="G359" s="70">
        <f>VLOOKUP(C359,'7a. PERFSUMMARY'!F:U,15,FALSE)</f>
        <v>0</v>
      </c>
      <c r="H359" s="20">
        <v>43538</v>
      </c>
      <c r="I359" s="70" t="e">
        <v>#N/A</v>
      </c>
      <c r="J359" s="70" t="str">
        <f t="shared" ca="1" si="13"/>
        <v>ags_shortname</v>
      </c>
      <c r="K359" s="70" t="e">
        <f t="shared" ca="1" si="7"/>
        <v>#N/A</v>
      </c>
      <c r="L359" s="70" t="s">
        <v>861</v>
      </c>
      <c r="M359" s="70">
        <f t="shared" ca="1" si="8"/>
        <v>91</v>
      </c>
      <c r="N359" s="129" t="s">
        <v>862</v>
      </c>
      <c r="O359" s="70" t="b">
        <f t="shared" ca="1" si="9"/>
        <v>1</v>
      </c>
      <c r="P359" s="70"/>
      <c r="Q359" s="70" t="str">
        <f t="shared" ca="1" si="10"/>
        <v>Common Interface NB V0.6</v>
      </c>
      <c r="R359" s="20">
        <f t="shared" ca="1" si="11"/>
        <v>43538</v>
      </c>
      <c r="S359" s="70" t="str">
        <f t="shared" ca="1" si="12"/>
        <v>3/14 - Agreed that to adhere to new Perf CI doc shared on 3/14</v>
      </c>
      <c r="T359" s="70" t="s">
        <v>244</v>
      </c>
      <c r="U359" s="20">
        <v>43550</v>
      </c>
      <c r="V359" s="70" t="s">
        <v>256</v>
      </c>
    </row>
    <row r="360" spans="1:22" ht="12.75" customHeight="1">
      <c r="A360" s="70" t="s">
        <v>159</v>
      </c>
      <c r="B360" s="70" t="s">
        <v>55</v>
      </c>
      <c r="C360" s="186" t="s">
        <v>150</v>
      </c>
      <c r="D360" s="56" t="s">
        <v>860</v>
      </c>
      <c r="E360" s="70" t="s">
        <v>682</v>
      </c>
      <c r="F360" s="70"/>
      <c r="G360" s="70" t="e">
        <f>VLOOKUP(C360,'7a. PERFSUMMARY'!F:U,15,FALSE)</f>
        <v>#N/A</v>
      </c>
      <c r="H360" s="20">
        <v>43538</v>
      </c>
      <c r="I360" s="70" t="e">
        <v>#N/A</v>
      </c>
      <c r="J360" s="70" t="e">
        <f t="shared" ca="1" si="13"/>
        <v>#N/A</v>
      </c>
      <c r="K360" s="70" t="e">
        <f t="shared" ca="1" si="7"/>
        <v>#N/A</v>
      </c>
      <c r="L360" s="70"/>
      <c r="M360" s="70" t="e">
        <f t="shared" ca="1" si="8"/>
        <v>#N/A</v>
      </c>
      <c r="N360" s="129" t="s">
        <v>862</v>
      </c>
      <c r="O360" s="70" t="e">
        <f t="shared" ca="1" si="9"/>
        <v>#N/A</v>
      </c>
      <c r="P360" s="70"/>
      <c r="Q360" s="70" t="e">
        <f t="shared" ca="1" si="10"/>
        <v>#N/A</v>
      </c>
      <c r="R360" s="20" t="e">
        <f t="shared" ca="1" si="11"/>
        <v>#N/A</v>
      </c>
      <c r="S360" s="70" t="e">
        <f t="shared" ca="1" si="12"/>
        <v>#N/A</v>
      </c>
      <c r="T360" s="70" t="s">
        <v>850</v>
      </c>
      <c r="U360" s="20"/>
      <c r="V360" s="70"/>
    </row>
    <row r="361" spans="1:22" ht="12.75" customHeight="1">
      <c r="A361" s="70" t="s">
        <v>159</v>
      </c>
      <c r="B361" s="70" t="s">
        <v>55</v>
      </c>
      <c r="C361" s="186" t="s">
        <v>308</v>
      </c>
      <c r="D361" s="56" t="s">
        <v>860</v>
      </c>
      <c r="E361" s="70" t="s">
        <v>682</v>
      </c>
      <c r="F361" s="70"/>
      <c r="G361" s="70" t="e">
        <f>VLOOKUP(C361,'7a. PERFSUMMARY'!F:U,15,FALSE)</f>
        <v>#N/A</v>
      </c>
      <c r="H361" s="20">
        <v>43538</v>
      </c>
      <c r="I361" s="70" t="e">
        <v>#N/A</v>
      </c>
      <c r="J361" s="70" t="e">
        <f t="shared" ca="1" si="13"/>
        <v>#N/A</v>
      </c>
      <c r="K361" s="70" t="e">
        <f t="shared" ca="1" si="7"/>
        <v>#N/A</v>
      </c>
      <c r="L361" s="70"/>
      <c r="M361" s="70" t="e">
        <f t="shared" ca="1" si="8"/>
        <v>#N/A</v>
      </c>
      <c r="N361" s="129" t="s">
        <v>862</v>
      </c>
      <c r="O361" s="70" t="e">
        <f t="shared" ca="1" si="9"/>
        <v>#N/A</v>
      </c>
      <c r="P361" s="70"/>
      <c r="Q361" s="70" t="e">
        <f t="shared" ca="1" si="10"/>
        <v>#N/A</v>
      </c>
      <c r="R361" s="20" t="e">
        <f t="shared" ca="1" si="11"/>
        <v>#N/A</v>
      </c>
      <c r="S361" s="70" t="e">
        <f t="shared" ca="1" si="12"/>
        <v>#N/A</v>
      </c>
      <c r="T361" s="70" t="s">
        <v>850</v>
      </c>
      <c r="U361" s="20"/>
      <c r="V361" s="70"/>
    </row>
    <row r="362" spans="1:22" ht="12.75" customHeight="1">
      <c r="A362" s="70" t="s">
        <v>159</v>
      </c>
      <c r="B362" s="70" t="s">
        <v>55</v>
      </c>
      <c r="C362" s="186" t="s">
        <v>310</v>
      </c>
      <c r="D362" s="56" t="s">
        <v>860</v>
      </c>
      <c r="E362" s="70" t="s">
        <v>682</v>
      </c>
      <c r="F362" s="70"/>
      <c r="G362" s="70" t="e">
        <f>VLOOKUP(C362,'7a. PERFSUMMARY'!F:U,15,FALSE)</f>
        <v>#N/A</v>
      </c>
      <c r="H362" s="20">
        <v>43538</v>
      </c>
      <c r="I362" s="70" t="e">
        <v>#N/A</v>
      </c>
      <c r="J362" s="70" t="e">
        <f t="shared" ca="1" si="13"/>
        <v>#N/A</v>
      </c>
      <c r="K362" s="70" t="e">
        <f t="shared" ca="1" si="7"/>
        <v>#N/A</v>
      </c>
      <c r="L362" s="70"/>
      <c r="M362" s="70" t="e">
        <f t="shared" ca="1" si="8"/>
        <v>#N/A</v>
      </c>
      <c r="N362" s="129" t="s">
        <v>862</v>
      </c>
      <c r="O362" s="70" t="e">
        <f t="shared" ca="1" si="9"/>
        <v>#N/A</v>
      </c>
      <c r="P362" s="70"/>
      <c r="Q362" s="70" t="e">
        <f t="shared" ca="1" si="10"/>
        <v>#N/A</v>
      </c>
      <c r="R362" s="20" t="e">
        <f t="shared" ca="1" si="11"/>
        <v>#N/A</v>
      </c>
      <c r="S362" s="70" t="e">
        <f t="shared" ca="1" si="12"/>
        <v>#N/A</v>
      </c>
      <c r="T362" s="70" t="s">
        <v>850</v>
      </c>
      <c r="U362" s="20"/>
      <c r="V362" s="70"/>
    </row>
    <row r="363" spans="1:22" ht="12.75" customHeight="1">
      <c r="A363" s="70" t="s">
        <v>863</v>
      </c>
      <c r="B363" s="70" t="s">
        <v>61</v>
      </c>
      <c r="C363" s="70" t="s">
        <v>316</v>
      </c>
      <c r="D363" s="70" t="s">
        <v>264</v>
      </c>
      <c r="E363" s="70" t="s">
        <v>864</v>
      </c>
      <c r="F363" s="27">
        <v>56</v>
      </c>
      <c r="G363" s="70" t="str">
        <f>VLOOKUP(C363,'8a. BenchmarkDaily'!F:T,15,FALSE)</f>
        <v>Symbol for Benchmark</v>
      </c>
      <c r="H363" s="20">
        <v>43538</v>
      </c>
      <c r="I363" s="70" t="e">
        <v>#N/A</v>
      </c>
      <c r="J363" s="70" t="e">
        <f t="shared" ca="1" si="13"/>
        <v>#REF!</v>
      </c>
      <c r="K363" s="70" t="e">
        <f t="shared" ca="1" si="7"/>
        <v>#N/A</v>
      </c>
      <c r="L363" s="70" t="s">
        <v>686</v>
      </c>
      <c r="M363" s="70" t="e">
        <f t="shared" ca="1" si="8"/>
        <v>#REF!</v>
      </c>
      <c r="N363" s="129" t="s">
        <v>865</v>
      </c>
      <c r="O363" s="70" t="e">
        <f t="shared" ca="1" si="9"/>
        <v>#REF!</v>
      </c>
      <c r="P363" s="70"/>
      <c r="Q363" s="70" t="e">
        <f t="shared" ca="1" si="10"/>
        <v>#REF!</v>
      </c>
      <c r="R363" s="20" t="e">
        <f t="shared" ca="1" si="11"/>
        <v>#REF!</v>
      </c>
      <c r="S363" s="70" t="e">
        <f t="shared" ca="1" si="12"/>
        <v>#REF!</v>
      </c>
      <c r="T363" s="70" t="s">
        <v>244</v>
      </c>
      <c r="U363" s="20">
        <v>43550</v>
      </c>
      <c r="V363" s="70" t="s">
        <v>256</v>
      </c>
    </row>
    <row r="364" spans="1:22" ht="12.75" customHeight="1">
      <c r="A364" s="70" t="s">
        <v>863</v>
      </c>
      <c r="B364" s="70" t="s">
        <v>59</v>
      </c>
      <c r="C364" s="70" t="s">
        <v>866</v>
      </c>
      <c r="D364" s="70" t="s">
        <v>867</v>
      </c>
      <c r="E364" s="70" t="s">
        <v>864</v>
      </c>
      <c r="F364" s="27">
        <v>70</v>
      </c>
      <c r="G364" s="70" t="str">
        <f>VLOOKUP(C364,'8a. BenchmarkDaily'!F:T,15,FALSE)</f>
        <v>benchmarkname</v>
      </c>
      <c r="H364" s="20">
        <v>43538</v>
      </c>
      <c r="I364" s="70" t="e">
        <v>#N/A</v>
      </c>
      <c r="J364" s="70" t="e">
        <f t="shared" ca="1" si="13"/>
        <v>#REF!</v>
      </c>
      <c r="K364" s="70" t="e">
        <f t="shared" ca="1" si="7"/>
        <v>#N/A</v>
      </c>
      <c r="L364" s="70" t="s">
        <v>686</v>
      </c>
      <c r="M364" s="70" t="e">
        <f t="shared" ca="1" si="8"/>
        <v>#REF!</v>
      </c>
      <c r="N364" s="129" t="s">
        <v>868</v>
      </c>
      <c r="O364" s="70" t="e">
        <f t="shared" ca="1" si="9"/>
        <v>#REF!</v>
      </c>
      <c r="P364" s="70"/>
      <c r="Q364" s="70" t="e">
        <f t="shared" ca="1" si="10"/>
        <v>#REF!</v>
      </c>
      <c r="R364" s="20" t="e">
        <f t="shared" ca="1" si="11"/>
        <v>#REF!</v>
      </c>
      <c r="S364" s="70" t="e">
        <f t="shared" ca="1" si="12"/>
        <v>#REF!</v>
      </c>
      <c r="T364" s="70" t="s">
        <v>244</v>
      </c>
      <c r="U364" s="20">
        <v>43550</v>
      </c>
      <c r="V364" s="70" t="s">
        <v>256</v>
      </c>
    </row>
    <row r="365" spans="1:22" ht="12.75" customHeight="1">
      <c r="A365" s="70" t="s">
        <v>863</v>
      </c>
      <c r="B365" s="70" t="s">
        <v>55</v>
      </c>
      <c r="C365" s="70" t="s">
        <v>869</v>
      </c>
      <c r="D365" s="70" t="s">
        <v>255</v>
      </c>
      <c r="E365" s="70" t="s">
        <v>864</v>
      </c>
      <c r="F365" s="27">
        <v>75</v>
      </c>
      <c r="G365" s="70" t="str">
        <f>VLOOKUP(C365,'8a. BenchmarkDaily'!F:T,15,FALSE)</f>
        <v>Inception date for benchmark</v>
      </c>
      <c r="H365" s="20">
        <v>43538</v>
      </c>
      <c r="I365" s="70" t="e">
        <v>#N/A</v>
      </c>
      <c r="J365" s="70" t="e">
        <f t="shared" ca="1" si="13"/>
        <v>#REF!</v>
      </c>
      <c r="K365" s="70" t="e">
        <f t="shared" ca="1" si="7"/>
        <v>#N/A</v>
      </c>
      <c r="L365" s="70"/>
      <c r="M365" s="70" t="e">
        <f t="shared" ca="1" si="8"/>
        <v>#REF!</v>
      </c>
      <c r="N365" s="129" t="s">
        <v>692</v>
      </c>
      <c r="O365" s="70" t="e">
        <f t="shared" ca="1" si="9"/>
        <v>#REF!</v>
      </c>
      <c r="P365" s="70"/>
      <c r="Q365" s="70" t="e">
        <f t="shared" ca="1" si="10"/>
        <v>#REF!</v>
      </c>
      <c r="R365" s="20" t="e">
        <f t="shared" ca="1" si="11"/>
        <v>#REF!</v>
      </c>
      <c r="S365" s="70" t="e">
        <f t="shared" ca="1" si="12"/>
        <v>#REF!</v>
      </c>
      <c r="T365" s="70" t="s">
        <v>244</v>
      </c>
      <c r="U365" s="20">
        <v>43550</v>
      </c>
      <c r="V365" s="70" t="s">
        <v>256</v>
      </c>
    </row>
    <row r="366" spans="1:22" ht="12.75" customHeight="1">
      <c r="A366" s="70" t="s">
        <v>863</v>
      </c>
      <c r="B366" s="70" t="s">
        <v>61</v>
      </c>
      <c r="C366" s="70" t="s">
        <v>870</v>
      </c>
      <c r="D366" s="70" t="s">
        <v>252</v>
      </c>
      <c r="E366" s="70" t="s">
        <v>864</v>
      </c>
      <c r="F366" s="27">
        <v>32</v>
      </c>
      <c r="G366" s="24" t="str">
        <f>VLOOKUP(C366,'8a. BenchmarkDaily'!F:T,15,FALSE)</f>
        <v>End Period Date</v>
      </c>
      <c r="H366" s="20">
        <v>43538</v>
      </c>
      <c r="I366" s="70" t="e">
        <v>#N/A</v>
      </c>
      <c r="J366" s="70" t="e">
        <f t="shared" ca="1" si="13"/>
        <v>#REF!</v>
      </c>
      <c r="K366" s="70" t="e">
        <f t="shared" ca="1" si="7"/>
        <v>#N/A</v>
      </c>
      <c r="L366" s="70"/>
      <c r="M366" s="70" t="e">
        <f t="shared" ca="1" si="8"/>
        <v>#REF!</v>
      </c>
      <c r="N366" s="129" t="s">
        <v>871</v>
      </c>
      <c r="O366" s="70" t="e">
        <f t="shared" ca="1" si="9"/>
        <v>#REF!</v>
      </c>
      <c r="P366" s="70"/>
      <c r="Q366" s="70" t="e">
        <f t="shared" ca="1" si="10"/>
        <v>#REF!</v>
      </c>
      <c r="R366" s="20" t="e">
        <f t="shared" ca="1" si="11"/>
        <v>#REF!</v>
      </c>
      <c r="S366" s="70" t="e">
        <f t="shared" ca="1" si="12"/>
        <v>#REF!</v>
      </c>
      <c r="T366" s="70" t="s">
        <v>244</v>
      </c>
      <c r="U366" s="20">
        <v>43550</v>
      </c>
      <c r="V366" s="70" t="s">
        <v>256</v>
      </c>
    </row>
    <row r="367" spans="1:22" ht="12.75" customHeight="1">
      <c r="A367" s="70" t="s">
        <v>863</v>
      </c>
      <c r="B367" s="70" t="s">
        <v>55</v>
      </c>
      <c r="C367" s="70" t="s">
        <v>872</v>
      </c>
      <c r="D367" s="70" t="s">
        <v>329</v>
      </c>
      <c r="E367" s="70" t="s">
        <v>243</v>
      </c>
      <c r="F367" s="27">
        <v>28</v>
      </c>
      <c r="G367" s="70">
        <f>VLOOKUP(C367,'8a. BenchmarkDaily'!F:T,15,FALSE)</f>
        <v>0</v>
      </c>
      <c r="H367" s="20">
        <v>43538</v>
      </c>
      <c r="I367" s="70" t="e">
        <v>#N/A</v>
      </c>
      <c r="J367" s="70" t="e">
        <f t="shared" ca="1" si="13"/>
        <v>#REF!</v>
      </c>
      <c r="K367" s="70" t="e">
        <f t="shared" ca="1" si="7"/>
        <v>#N/A</v>
      </c>
      <c r="L367" s="70"/>
      <c r="M367" s="70" t="e">
        <f t="shared" ca="1" si="8"/>
        <v>#REF!</v>
      </c>
      <c r="N367" s="129" t="s">
        <v>695</v>
      </c>
      <c r="O367" s="70" t="e">
        <f t="shared" ca="1" si="9"/>
        <v>#REF!</v>
      </c>
      <c r="P367" s="70"/>
      <c r="Q367" s="70" t="e">
        <f t="shared" ca="1" si="10"/>
        <v>#REF!</v>
      </c>
      <c r="R367" s="20" t="e">
        <f t="shared" ca="1" si="11"/>
        <v>#REF!</v>
      </c>
      <c r="S367" s="70" t="e">
        <f t="shared" ca="1" si="12"/>
        <v>#REF!</v>
      </c>
      <c r="T367" s="70" t="s">
        <v>244</v>
      </c>
      <c r="U367" s="20">
        <v>43550</v>
      </c>
      <c r="V367" s="70" t="s">
        <v>256</v>
      </c>
    </row>
    <row r="368" spans="1:22" ht="12.75" customHeight="1">
      <c r="A368" s="70" t="s">
        <v>863</v>
      </c>
      <c r="B368" s="70" t="s">
        <v>59</v>
      </c>
      <c r="C368" s="70" t="s">
        <v>873</v>
      </c>
      <c r="D368" s="70" t="s">
        <v>329</v>
      </c>
      <c r="E368" s="70" t="s">
        <v>864</v>
      </c>
      <c r="F368" s="27">
        <v>21</v>
      </c>
      <c r="G368" s="24" t="str">
        <f>VLOOKUP(C368,'8a. BenchmarkDaily'!F:T,15,FALSE)</f>
        <v>Time Weighted Return for past Month in Book Currency</v>
      </c>
      <c r="H368" s="20">
        <v>43538</v>
      </c>
      <c r="I368" s="70" t="e">
        <v>#N/A</v>
      </c>
      <c r="J368" s="70" t="e">
        <f t="shared" ca="1" si="13"/>
        <v>#REF!</v>
      </c>
      <c r="K368" s="70" t="e">
        <f t="shared" ca="1" si="7"/>
        <v>#N/A</v>
      </c>
      <c r="L368" s="70"/>
      <c r="M368" s="70" t="e">
        <f t="shared" ca="1" si="8"/>
        <v>#REF!</v>
      </c>
      <c r="N368" s="129" t="s">
        <v>697</v>
      </c>
      <c r="O368" s="70" t="e">
        <f t="shared" ca="1" si="9"/>
        <v>#REF!</v>
      </c>
      <c r="P368" s="70"/>
      <c r="Q368" s="70" t="e">
        <f t="shared" ca="1" si="10"/>
        <v>#REF!</v>
      </c>
      <c r="R368" s="20" t="e">
        <f t="shared" ca="1" si="11"/>
        <v>#REF!</v>
      </c>
      <c r="S368" s="70" t="e">
        <f t="shared" ca="1" si="12"/>
        <v>#REF!</v>
      </c>
      <c r="T368" s="70" t="s">
        <v>244</v>
      </c>
      <c r="U368" s="20">
        <v>43550</v>
      </c>
      <c r="V368" s="70" t="s">
        <v>256</v>
      </c>
    </row>
    <row r="369" spans="1:22" ht="12.75" customHeight="1">
      <c r="A369" s="70" t="s">
        <v>863</v>
      </c>
      <c r="B369" s="70" t="s">
        <v>55</v>
      </c>
      <c r="C369" s="70" t="s">
        <v>874</v>
      </c>
      <c r="D369" s="70" t="s">
        <v>329</v>
      </c>
      <c r="E369" s="70" t="s">
        <v>243</v>
      </c>
      <c r="F369" s="27">
        <v>92</v>
      </c>
      <c r="G369" s="70">
        <f>VLOOKUP(C369,'8a. BenchmarkDaily'!F:T,15,FALSE)</f>
        <v>0</v>
      </c>
      <c r="H369" s="20">
        <v>43538</v>
      </c>
      <c r="I369" s="70" t="e">
        <v>#N/A</v>
      </c>
      <c r="J369" s="70" t="e">
        <f t="shared" ca="1" si="13"/>
        <v>#REF!</v>
      </c>
      <c r="K369" s="70" t="e">
        <f t="shared" ca="1" si="7"/>
        <v>#N/A</v>
      </c>
      <c r="L369" s="70"/>
      <c r="M369" s="70" t="e">
        <f t="shared" ca="1" si="8"/>
        <v>#REF!</v>
      </c>
      <c r="N369" s="129" t="s">
        <v>699</v>
      </c>
      <c r="O369" s="70" t="e">
        <f t="shared" ca="1" si="9"/>
        <v>#REF!</v>
      </c>
      <c r="P369" s="70"/>
      <c r="Q369" s="70" t="e">
        <f t="shared" ca="1" si="10"/>
        <v>#REF!</v>
      </c>
      <c r="R369" s="20" t="e">
        <f t="shared" ca="1" si="11"/>
        <v>#REF!</v>
      </c>
      <c r="S369" s="70" t="e">
        <f t="shared" ca="1" si="12"/>
        <v>#REF!</v>
      </c>
      <c r="T369" s="70" t="s">
        <v>244</v>
      </c>
      <c r="U369" s="20">
        <v>43550</v>
      </c>
      <c r="V369" s="70" t="s">
        <v>256</v>
      </c>
    </row>
    <row r="370" spans="1:22" ht="12.75" customHeight="1">
      <c r="A370" s="70" t="s">
        <v>863</v>
      </c>
      <c r="B370" s="70" t="s">
        <v>59</v>
      </c>
      <c r="C370" s="70" t="s">
        <v>875</v>
      </c>
      <c r="D370" s="70" t="s">
        <v>329</v>
      </c>
      <c r="E370" s="70" t="s">
        <v>864</v>
      </c>
      <c r="F370" s="27">
        <v>23</v>
      </c>
      <c r="G370" s="70" t="str">
        <f>VLOOKUP(C370,'8a. BenchmarkDaily'!F:T,15,FALSE)</f>
        <v>Time Weighted Return for past 3 Months in Book Currency</v>
      </c>
      <c r="H370" s="20">
        <v>43538</v>
      </c>
      <c r="I370" s="70" t="e">
        <v>#N/A</v>
      </c>
      <c r="J370" s="70" t="e">
        <f t="shared" ca="1" si="13"/>
        <v>#REF!</v>
      </c>
      <c r="K370" s="70" t="e">
        <f t="shared" ca="1" si="7"/>
        <v>#N/A</v>
      </c>
      <c r="L370" s="70"/>
      <c r="M370" s="70" t="e">
        <f t="shared" ca="1" si="8"/>
        <v>#REF!</v>
      </c>
      <c r="N370" s="129" t="s">
        <v>701</v>
      </c>
      <c r="O370" s="70" t="e">
        <f t="shared" ca="1" si="9"/>
        <v>#REF!</v>
      </c>
      <c r="P370" s="70"/>
      <c r="Q370" s="70" t="e">
        <f t="shared" ca="1" si="10"/>
        <v>#REF!</v>
      </c>
      <c r="R370" s="20" t="e">
        <f t="shared" ca="1" si="11"/>
        <v>#REF!</v>
      </c>
      <c r="S370" s="70" t="e">
        <f t="shared" ca="1" si="12"/>
        <v>#REF!</v>
      </c>
      <c r="T370" s="70" t="s">
        <v>244</v>
      </c>
      <c r="U370" s="20">
        <v>43550</v>
      </c>
      <c r="V370" s="70" t="s">
        <v>256</v>
      </c>
    </row>
    <row r="371" spans="1:22" ht="12.75" customHeight="1">
      <c r="A371" s="70" t="s">
        <v>863</v>
      </c>
      <c r="B371" s="70" t="s">
        <v>55</v>
      </c>
      <c r="C371" s="70" t="s">
        <v>876</v>
      </c>
      <c r="D371" s="70" t="s">
        <v>329</v>
      </c>
      <c r="E371" s="70" t="s">
        <v>243</v>
      </c>
      <c r="F371" s="27">
        <v>93</v>
      </c>
      <c r="G371" s="70">
        <f>VLOOKUP(C371,'8a. BenchmarkDaily'!F:T,15,FALSE)</f>
        <v>0</v>
      </c>
      <c r="H371" s="20">
        <v>43538</v>
      </c>
      <c r="I371" s="70" t="e">
        <v>#N/A</v>
      </c>
      <c r="J371" s="70" t="e">
        <f t="shared" ca="1" si="13"/>
        <v>#REF!</v>
      </c>
      <c r="K371" s="70" t="e">
        <f t="shared" ca="1" si="7"/>
        <v>#N/A</v>
      </c>
      <c r="L371" s="70"/>
      <c r="M371" s="70" t="e">
        <f t="shared" ca="1" si="8"/>
        <v>#REF!</v>
      </c>
      <c r="N371" s="129" t="s">
        <v>703</v>
      </c>
      <c r="O371" s="70" t="e">
        <f t="shared" ca="1" si="9"/>
        <v>#REF!</v>
      </c>
      <c r="P371" s="70"/>
      <c r="Q371" s="70" t="e">
        <f t="shared" ca="1" si="10"/>
        <v>#REF!</v>
      </c>
      <c r="R371" s="20" t="e">
        <f t="shared" ca="1" si="11"/>
        <v>#REF!</v>
      </c>
      <c r="S371" s="70" t="e">
        <f t="shared" ca="1" si="12"/>
        <v>#REF!</v>
      </c>
      <c r="T371" s="70" t="s">
        <v>244</v>
      </c>
      <c r="U371" s="20">
        <v>43550</v>
      </c>
      <c r="V371" s="70" t="s">
        <v>256</v>
      </c>
    </row>
    <row r="372" spans="1:22" ht="12.75" customHeight="1">
      <c r="A372" s="70" t="s">
        <v>863</v>
      </c>
      <c r="B372" s="70" t="s">
        <v>55</v>
      </c>
      <c r="C372" s="70" t="s">
        <v>877</v>
      </c>
      <c r="D372" s="70" t="s">
        <v>329</v>
      </c>
      <c r="E372" s="70" t="s">
        <v>243</v>
      </c>
      <c r="F372" s="27">
        <v>94</v>
      </c>
      <c r="G372" s="70">
        <f>VLOOKUP(C372,'8a. BenchmarkDaily'!F:T,15,FALSE)</f>
        <v>0</v>
      </c>
      <c r="H372" s="20">
        <v>43538</v>
      </c>
      <c r="I372" s="70" t="e">
        <v>#N/A</v>
      </c>
      <c r="J372" s="70" t="e">
        <f t="shared" ca="1" si="13"/>
        <v>#REF!</v>
      </c>
      <c r="K372" s="70" t="e">
        <f t="shared" ca="1" si="7"/>
        <v>#N/A</v>
      </c>
      <c r="L372" s="70"/>
      <c r="M372" s="70" t="e">
        <f t="shared" ca="1" si="8"/>
        <v>#REF!</v>
      </c>
      <c r="N372" s="129" t="s">
        <v>705</v>
      </c>
      <c r="O372" s="70" t="e">
        <f t="shared" ca="1" si="9"/>
        <v>#REF!</v>
      </c>
      <c r="P372" s="70"/>
      <c r="Q372" s="70" t="e">
        <f t="shared" ca="1" si="10"/>
        <v>#REF!</v>
      </c>
      <c r="R372" s="20" t="e">
        <f t="shared" ca="1" si="11"/>
        <v>#REF!</v>
      </c>
      <c r="S372" s="70" t="e">
        <f t="shared" ca="1" si="12"/>
        <v>#REF!</v>
      </c>
      <c r="T372" s="70" t="s">
        <v>244</v>
      </c>
      <c r="U372" s="20">
        <v>43550</v>
      </c>
      <c r="V372" s="70" t="s">
        <v>256</v>
      </c>
    </row>
    <row r="373" spans="1:22" ht="12.75" customHeight="1">
      <c r="A373" s="70" t="s">
        <v>863</v>
      </c>
      <c r="B373" s="70" t="s">
        <v>59</v>
      </c>
      <c r="C373" s="70" t="s">
        <v>878</v>
      </c>
      <c r="D373" s="70" t="s">
        <v>329</v>
      </c>
      <c r="E373" s="70" t="s">
        <v>243</v>
      </c>
      <c r="F373" s="27">
        <v>26</v>
      </c>
      <c r="G373" s="70" t="str">
        <f>VLOOKUP(C373,'8a. BenchmarkDaily'!F:T,15,FALSE)</f>
        <v>Time Weighted Return for past 6 Months in Book Currency</v>
      </c>
      <c r="H373" s="20">
        <v>43538</v>
      </c>
      <c r="I373" s="70" t="e">
        <v>#N/A</v>
      </c>
      <c r="J373" s="70" t="e">
        <f t="shared" ca="1" si="13"/>
        <v>#REF!</v>
      </c>
      <c r="K373" s="70" t="e">
        <f t="shared" ca="1" si="7"/>
        <v>#N/A</v>
      </c>
      <c r="L373" s="70"/>
      <c r="M373" s="70" t="e">
        <f t="shared" ca="1" si="8"/>
        <v>#REF!</v>
      </c>
      <c r="N373" s="129" t="s">
        <v>707</v>
      </c>
      <c r="O373" s="70" t="e">
        <f t="shared" ca="1" si="9"/>
        <v>#REF!</v>
      </c>
      <c r="P373" s="70"/>
      <c r="Q373" s="70" t="e">
        <f t="shared" ca="1" si="10"/>
        <v>#REF!</v>
      </c>
      <c r="R373" s="20" t="e">
        <f t="shared" ca="1" si="11"/>
        <v>#REF!</v>
      </c>
      <c r="S373" s="70" t="e">
        <f t="shared" ca="1" si="12"/>
        <v>#REF!</v>
      </c>
      <c r="T373" s="70" t="s">
        <v>244</v>
      </c>
      <c r="U373" s="20">
        <v>43550</v>
      </c>
      <c r="V373" s="70" t="s">
        <v>256</v>
      </c>
    </row>
    <row r="374" spans="1:22" ht="12.75" customHeight="1">
      <c r="A374" s="70" t="s">
        <v>863</v>
      </c>
      <c r="B374" s="70" t="s">
        <v>55</v>
      </c>
      <c r="C374" s="70" t="s">
        <v>879</v>
      </c>
      <c r="D374" s="70" t="s">
        <v>329</v>
      </c>
      <c r="E374" s="70" t="s">
        <v>243</v>
      </c>
      <c r="F374" s="27">
        <v>95</v>
      </c>
      <c r="G374" s="70">
        <f>VLOOKUP(C374,'8a. BenchmarkDaily'!F:T,15,FALSE)</f>
        <v>0</v>
      </c>
      <c r="H374" s="20">
        <v>43538</v>
      </c>
      <c r="I374" s="70" t="e">
        <v>#N/A</v>
      </c>
      <c r="J374" s="70" t="e">
        <f t="shared" ca="1" si="13"/>
        <v>#REF!</v>
      </c>
      <c r="K374" s="70" t="e">
        <f t="shared" ca="1" si="7"/>
        <v>#N/A</v>
      </c>
      <c r="L374" s="70"/>
      <c r="M374" s="70" t="e">
        <f t="shared" ca="1" si="8"/>
        <v>#REF!</v>
      </c>
      <c r="N374" s="129" t="s">
        <v>709</v>
      </c>
      <c r="O374" s="70" t="e">
        <f t="shared" ca="1" si="9"/>
        <v>#REF!</v>
      </c>
      <c r="P374" s="70"/>
      <c r="Q374" s="70" t="e">
        <f t="shared" ca="1" si="10"/>
        <v>#REF!</v>
      </c>
      <c r="R374" s="20" t="e">
        <f t="shared" ca="1" si="11"/>
        <v>#REF!</v>
      </c>
      <c r="S374" s="70" t="e">
        <f t="shared" ca="1" si="12"/>
        <v>#REF!</v>
      </c>
      <c r="T374" s="70" t="s">
        <v>244</v>
      </c>
      <c r="U374" s="20">
        <v>43550</v>
      </c>
      <c r="V374" s="70" t="s">
        <v>256</v>
      </c>
    </row>
    <row r="375" spans="1:22" ht="12.75" customHeight="1">
      <c r="A375" s="70" t="s">
        <v>863</v>
      </c>
      <c r="B375" s="70" t="s">
        <v>55</v>
      </c>
      <c r="C375" s="70" t="s">
        <v>880</v>
      </c>
      <c r="D375" s="70" t="s">
        <v>329</v>
      </c>
      <c r="E375" s="70" t="s">
        <v>243</v>
      </c>
      <c r="F375" s="27">
        <v>96</v>
      </c>
      <c r="G375" s="70">
        <f>VLOOKUP(C375,'8a. BenchmarkDaily'!F:T,15,FALSE)</f>
        <v>0</v>
      </c>
      <c r="H375" s="20">
        <v>43538</v>
      </c>
      <c r="I375" s="70" t="e">
        <v>#N/A</v>
      </c>
      <c r="J375" s="70" t="e">
        <f t="shared" ca="1" si="13"/>
        <v>#REF!</v>
      </c>
      <c r="K375" s="70" t="e">
        <f t="shared" ca="1" si="7"/>
        <v>#N/A</v>
      </c>
      <c r="L375" s="70"/>
      <c r="M375" s="70" t="e">
        <f t="shared" ca="1" si="8"/>
        <v>#REF!</v>
      </c>
      <c r="N375" s="129" t="s">
        <v>711</v>
      </c>
      <c r="O375" s="70" t="e">
        <f t="shared" ca="1" si="9"/>
        <v>#REF!</v>
      </c>
      <c r="P375" s="70"/>
      <c r="Q375" s="70" t="e">
        <f t="shared" ca="1" si="10"/>
        <v>#REF!</v>
      </c>
      <c r="R375" s="20" t="e">
        <f t="shared" ca="1" si="11"/>
        <v>#REF!</v>
      </c>
      <c r="S375" s="70" t="e">
        <f t="shared" ca="1" si="12"/>
        <v>#REF!</v>
      </c>
      <c r="T375" s="70" t="s">
        <v>244</v>
      </c>
      <c r="U375" s="20">
        <v>43550</v>
      </c>
      <c r="V375" s="70" t="s">
        <v>256</v>
      </c>
    </row>
    <row r="376" spans="1:22" ht="12.75" customHeight="1">
      <c r="A376" s="70" t="s">
        <v>863</v>
      </c>
      <c r="B376" s="70" t="s">
        <v>55</v>
      </c>
      <c r="C376" s="70" t="s">
        <v>881</v>
      </c>
      <c r="D376" s="70" t="s">
        <v>329</v>
      </c>
      <c r="E376" s="70" t="s">
        <v>243</v>
      </c>
      <c r="F376" s="27">
        <v>64</v>
      </c>
      <c r="G376" s="70">
        <f>VLOOKUP(C376,'8a. BenchmarkDaily'!F:T,15,FALSE)</f>
        <v>0</v>
      </c>
      <c r="H376" s="20">
        <v>43538</v>
      </c>
      <c r="I376" s="70" t="e">
        <v>#N/A</v>
      </c>
      <c r="J376" s="70" t="e">
        <f t="shared" ca="1" si="13"/>
        <v>#REF!</v>
      </c>
      <c r="K376" s="70" t="e">
        <f t="shared" ca="1" si="7"/>
        <v>#N/A</v>
      </c>
      <c r="L376" s="70"/>
      <c r="M376" s="70" t="e">
        <f t="shared" ca="1" si="8"/>
        <v>#REF!</v>
      </c>
      <c r="N376" s="129" t="s">
        <v>713</v>
      </c>
      <c r="O376" s="70" t="e">
        <f t="shared" ca="1" si="9"/>
        <v>#REF!</v>
      </c>
      <c r="P376" s="70"/>
      <c r="Q376" s="70" t="e">
        <f t="shared" ca="1" si="10"/>
        <v>#REF!</v>
      </c>
      <c r="R376" s="20" t="e">
        <f t="shared" ca="1" si="11"/>
        <v>#REF!</v>
      </c>
      <c r="S376" s="70" t="e">
        <f t="shared" ca="1" si="12"/>
        <v>#REF!</v>
      </c>
      <c r="T376" s="70" t="s">
        <v>244</v>
      </c>
      <c r="U376" s="20">
        <v>43550</v>
      </c>
      <c r="V376" s="70" t="s">
        <v>256</v>
      </c>
    </row>
    <row r="377" spans="1:22" ht="12.75" customHeight="1">
      <c r="A377" s="70" t="s">
        <v>863</v>
      </c>
      <c r="B377" s="70" t="s">
        <v>55</v>
      </c>
      <c r="C377" s="70" t="s">
        <v>882</v>
      </c>
      <c r="D377" s="70" t="s">
        <v>329</v>
      </c>
      <c r="E377" s="70" t="s">
        <v>243</v>
      </c>
      <c r="F377" s="27">
        <v>97</v>
      </c>
      <c r="G377" s="70">
        <f>VLOOKUP(C377,'8a. BenchmarkDaily'!F:T,15,FALSE)</f>
        <v>0</v>
      </c>
      <c r="H377" s="20">
        <v>43538</v>
      </c>
      <c r="I377" s="70" t="e">
        <v>#N/A</v>
      </c>
      <c r="J377" s="70" t="e">
        <f t="shared" ca="1" si="13"/>
        <v>#REF!</v>
      </c>
      <c r="K377" s="70" t="e">
        <f t="shared" ca="1" si="7"/>
        <v>#N/A</v>
      </c>
      <c r="L377" s="70"/>
      <c r="M377" s="70" t="e">
        <f t="shared" ca="1" si="8"/>
        <v>#REF!</v>
      </c>
      <c r="N377" s="129" t="s">
        <v>715</v>
      </c>
      <c r="O377" s="70" t="e">
        <f t="shared" ca="1" si="9"/>
        <v>#REF!</v>
      </c>
      <c r="P377" s="70"/>
      <c r="Q377" s="70" t="e">
        <f t="shared" ca="1" si="10"/>
        <v>#REF!</v>
      </c>
      <c r="R377" s="20" t="e">
        <f t="shared" ca="1" si="11"/>
        <v>#REF!</v>
      </c>
      <c r="S377" s="70" t="e">
        <f t="shared" ca="1" si="12"/>
        <v>#REF!</v>
      </c>
      <c r="T377" s="70" t="s">
        <v>244</v>
      </c>
      <c r="U377" s="20">
        <v>43550</v>
      </c>
      <c r="V377" s="70" t="s">
        <v>256</v>
      </c>
    </row>
    <row r="378" spans="1:22" ht="12.75" customHeight="1">
      <c r="A378" s="70" t="s">
        <v>863</v>
      </c>
      <c r="B378" s="70" t="s">
        <v>55</v>
      </c>
      <c r="C378" s="70" t="s">
        <v>883</v>
      </c>
      <c r="D378" s="70" t="s">
        <v>329</v>
      </c>
      <c r="E378" s="70" t="s">
        <v>243</v>
      </c>
      <c r="F378" s="27">
        <v>98</v>
      </c>
      <c r="G378" s="70">
        <f>VLOOKUP(C378,'8a. BenchmarkDaily'!F:T,15,FALSE)</f>
        <v>0</v>
      </c>
      <c r="H378" s="20">
        <v>43538</v>
      </c>
      <c r="I378" s="70" t="e">
        <v>#N/A</v>
      </c>
      <c r="J378" s="70" t="e">
        <f t="shared" ca="1" si="13"/>
        <v>#REF!</v>
      </c>
      <c r="K378" s="70" t="e">
        <f t="shared" ca="1" si="7"/>
        <v>#N/A</v>
      </c>
      <c r="L378" s="70"/>
      <c r="M378" s="70" t="e">
        <f t="shared" ca="1" si="8"/>
        <v>#REF!</v>
      </c>
      <c r="N378" s="129" t="s">
        <v>717</v>
      </c>
      <c r="O378" s="70" t="e">
        <f t="shared" ca="1" si="9"/>
        <v>#REF!</v>
      </c>
      <c r="P378" s="70"/>
      <c r="Q378" s="70" t="e">
        <f t="shared" ca="1" si="10"/>
        <v>#REF!</v>
      </c>
      <c r="R378" s="20" t="e">
        <f t="shared" ca="1" si="11"/>
        <v>#REF!</v>
      </c>
      <c r="S378" s="70" t="e">
        <f t="shared" ca="1" si="12"/>
        <v>#REF!</v>
      </c>
      <c r="T378" s="70" t="s">
        <v>244</v>
      </c>
      <c r="U378" s="20">
        <v>43550</v>
      </c>
      <c r="V378" s="70" t="s">
        <v>256</v>
      </c>
    </row>
    <row r="379" spans="1:22" ht="12.75" customHeight="1">
      <c r="A379" s="70" t="s">
        <v>863</v>
      </c>
      <c r="B379" s="70" t="s">
        <v>59</v>
      </c>
      <c r="C379" s="70" t="s">
        <v>884</v>
      </c>
      <c r="D379" s="70" t="s">
        <v>329</v>
      </c>
      <c r="E379" s="70" t="s">
        <v>243</v>
      </c>
      <c r="F379" s="27">
        <v>27</v>
      </c>
      <c r="G379" s="70" t="str">
        <f>VLOOKUP(C379,'8a. BenchmarkDaily'!F:T,15,FALSE)</f>
        <v>Time Weighted Return Month to Date in Book Currency</v>
      </c>
      <c r="H379" s="20">
        <v>43538</v>
      </c>
      <c r="I379" s="70" t="e">
        <v>#N/A</v>
      </c>
      <c r="J379" s="70" t="e">
        <f t="shared" ca="1" si="13"/>
        <v>#REF!</v>
      </c>
      <c r="K379" s="70" t="e">
        <f t="shared" ca="1" si="7"/>
        <v>#N/A</v>
      </c>
      <c r="L379" s="70"/>
      <c r="M379" s="70" t="e">
        <f t="shared" ca="1" si="8"/>
        <v>#REF!</v>
      </c>
      <c r="N379" s="129" t="s">
        <v>721</v>
      </c>
      <c r="O379" s="70" t="e">
        <f t="shared" ca="1" si="9"/>
        <v>#REF!</v>
      </c>
      <c r="P379" s="70"/>
      <c r="Q379" s="70" t="e">
        <f t="shared" ca="1" si="10"/>
        <v>#REF!</v>
      </c>
      <c r="R379" s="20" t="e">
        <f t="shared" ca="1" si="11"/>
        <v>#REF!</v>
      </c>
      <c r="S379" s="70" t="e">
        <f t="shared" ca="1" si="12"/>
        <v>#REF!</v>
      </c>
      <c r="T379" s="70" t="s">
        <v>244</v>
      </c>
      <c r="U379" s="20">
        <v>43550</v>
      </c>
      <c r="V379" s="70" t="s">
        <v>256</v>
      </c>
    </row>
    <row r="380" spans="1:22" ht="12.75" customHeight="1">
      <c r="A380" s="70" t="s">
        <v>863</v>
      </c>
      <c r="B380" s="70" t="s">
        <v>59</v>
      </c>
      <c r="C380" s="70" t="s">
        <v>885</v>
      </c>
      <c r="D380" s="70" t="s">
        <v>329</v>
      </c>
      <c r="E380" s="70" t="s">
        <v>864</v>
      </c>
      <c r="F380" s="27">
        <v>29</v>
      </c>
      <c r="G380" s="70" t="str">
        <f>VLOOKUP(C380,'8a. BenchmarkDaily'!F:T,15,FALSE)</f>
        <v>Time Weighted Return Quarter to Date in Book Currency</v>
      </c>
      <c r="H380" s="20">
        <v>43538</v>
      </c>
      <c r="I380" s="70" t="e">
        <v>#N/A</v>
      </c>
      <c r="J380" s="70" t="e">
        <f t="shared" ca="1" si="13"/>
        <v>#REF!</v>
      </c>
      <c r="K380" s="70" t="e">
        <f t="shared" ca="1" si="7"/>
        <v>#N/A</v>
      </c>
      <c r="L380" s="70"/>
      <c r="M380" s="70" t="e">
        <f t="shared" ca="1" si="8"/>
        <v>#REF!</v>
      </c>
      <c r="N380" s="129" t="s">
        <v>723</v>
      </c>
      <c r="O380" s="70" t="e">
        <f t="shared" ca="1" si="9"/>
        <v>#REF!</v>
      </c>
      <c r="P380" s="70"/>
      <c r="Q380" s="70" t="e">
        <f t="shared" ca="1" si="10"/>
        <v>#REF!</v>
      </c>
      <c r="R380" s="20" t="e">
        <f t="shared" ca="1" si="11"/>
        <v>#REF!</v>
      </c>
      <c r="S380" s="70" t="e">
        <f t="shared" ca="1" si="12"/>
        <v>#REF!</v>
      </c>
      <c r="T380" s="70" t="s">
        <v>244</v>
      </c>
      <c r="U380" s="20">
        <v>43550</v>
      </c>
      <c r="V380" s="70" t="s">
        <v>256</v>
      </c>
    </row>
    <row r="381" spans="1:22" ht="12.75" customHeight="1">
      <c r="A381" s="70" t="s">
        <v>863</v>
      </c>
      <c r="B381" s="70" t="s">
        <v>59</v>
      </c>
      <c r="C381" s="70" t="s">
        <v>886</v>
      </c>
      <c r="D381" s="70" t="s">
        <v>329</v>
      </c>
      <c r="E381" s="70" t="s">
        <v>864</v>
      </c>
      <c r="F381" s="27">
        <v>31</v>
      </c>
      <c r="G381" s="70" t="str">
        <f>VLOOKUP(C381,'8a. BenchmarkDaily'!F:T,15,FALSE)</f>
        <v>Time Weighted ReturnYear to Date in Book Currency</v>
      </c>
      <c r="H381" s="20">
        <v>43538</v>
      </c>
      <c r="I381" s="70" t="e">
        <v>#N/A</v>
      </c>
      <c r="J381" s="70" t="e">
        <f t="shared" ca="1" si="13"/>
        <v>#REF!</v>
      </c>
      <c r="K381" s="70" t="e">
        <f t="shared" ca="1" si="7"/>
        <v>#N/A</v>
      </c>
      <c r="L381" s="70"/>
      <c r="M381" s="70" t="e">
        <f t="shared" ca="1" si="8"/>
        <v>#REF!</v>
      </c>
      <c r="N381" s="129" t="s">
        <v>725</v>
      </c>
      <c r="O381" s="70" t="e">
        <f t="shared" ca="1" si="9"/>
        <v>#REF!</v>
      </c>
      <c r="P381" s="70"/>
      <c r="Q381" s="70" t="e">
        <f t="shared" ca="1" si="10"/>
        <v>#REF!</v>
      </c>
      <c r="R381" s="20" t="e">
        <f t="shared" ca="1" si="11"/>
        <v>#REF!</v>
      </c>
      <c r="S381" s="70" t="e">
        <f t="shared" ca="1" si="12"/>
        <v>#REF!</v>
      </c>
      <c r="T381" s="70" t="s">
        <v>244</v>
      </c>
      <c r="U381" s="20">
        <v>43550</v>
      </c>
      <c r="V381" s="70" t="s">
        <v>256</v>
      </c>
    </row>
    <row r="382" spans="1:22" ht="12.75" customHeight="1">
      <c r="A382" s="70" t="s">
        <v>863</v>
      </c>
      <c r="B382" s="70" t="s">
        <v>59</v>
      </c>
      <c r="C382" s="70" t="s">
        <v>887</v>
      </c>
      <c r="D382" s="70" t="s">
        <v>329</v>
      </c>
      <c r="E382" s="70" t="s">
        <v>864</v>
      </c>
      <c r="F382" s="27">
        <v>22</v>
      </c>
      <c r="G382" s="70" t="str">
        <f>VLOOKUP(C382,'8a. BenchmarkDaily'!F:T,15,FALSE)</f>
        <v>Time Weighted Return for past 1 Year in Book Currency</v>
      </c>
      <c r="H382" s="20">
        <v>43538</v>
      </c>
      <c r="I382" s="70" t="e">
        <v>#N/A</v>
      </c>
      <c r="J382" s="70" t="e">
        <f t="shared" ca="1" si="13"/>
        <v>#REF!</v>
      </c>
      <c r="K382" s="70" t="e">
        <f t="shared" ca="1" si="7"/>
        <v>#N/A</v>
      </c>
      <c r="L382" s="70"/>
      <c r="M382" s="70" t="e">
        <f t="shared" ca="1" si="8"/>
        <v>#REF!</v>
      </c>
      <c r="N382" s="129" t="s">
        <v>727</v>
      </c>
      <c r="O382" s="70" t="e">
        <f t="shared" ca="1" si="9"/>
        <v>#REF!</v>
      </c>
      <c r="P382" s="70"/>
      <c r="Q382" s="70" t="e">
        <f t="shared" ca="1" si="10"/>
        <v>#REF!</v>
      </c>
      <c r="R382" s="20" t="e">
        <f t="shared" ca="1" si="11"/>
        <v>#REF!</v>
      </c>
      <c r="S382" s="70" t="e">
        <f t="shared" ca="1" si="12"/>
        <v>#REF!</v>
      </c>
      <c r="T382" s="70" t="s">
        <v>244</v>
      </c>
      <c r="U382" s="20">
        <v>43550</v>
      </c>
      <c r="V382" s="70" t="s">
        <v>256</v>
      </c>
    </row>
    <row r="383" spans="1:22" ht="12.75" customHeight="1">
      <c r="A383" s="70" t="s">
        <v>863</v>
      </c>
      <c r="B383" s="70" t="s">
        <v>55</v>
      </c>
      <c r="C383" s="70" t="s">
        <v>888</v>
      </c>
      <c r="D383" s="70" t="s">
        <v>329</v>
      </c>
      <c r="E383" s="70" t="s">
        <v>243</v>
      </c>
      <c r="F383" s="27">
        <v>68</v>
      </c>
      <c r="G383" s="70">
        <f>VLOOKUP(C383,'8a. BenchmarkDaily'!F:T,15,FALSE)</f>
        <v>0</v>
      </c>
      <c r="H383" s="20">
        <v>43538</v>
      </c>
      <c r="I383" s="70" t="e">
        <v>#N/A</v>
      </c>
      <c r="J383" s="70" t="e">
        <f t="shared" ca="1" si="13"/>
        <v>#REF!</v>
      </c>
      <c r="K383" s="70" t="e">
        <f t="shared" ca="1" si="7"/>
        <v>#N/A</v>
      </c>
      <c r="L383" s="70"/>
      <c r="M383" s="70" t="e">
        <f t="shared" ca="1" si="8"/>
        <v>#REF!</v>
      </c>
      <c r="N383" s="129" t="s">
        <v>729</v>
      </c>
      <c r="O383" s="70" t="e">
        <f t="shared" ca="1" si="9"/>
        <v>#REF!</v>
      </c>
      <c r="P383" s="70"/>
      <c r="Q383" s="70" t="e">
        <f t="shared" ca="1" si="10"/>
        <v>#REF!</v>
      </c>
      <c r="R383" s="20" t="e">
        <f t="shared" ca="1" si="11"/>
        <v>#REF!</v>
      </c>
      <c r="S383" s="70" t="e">
        <f t="shared" ca="1" si="12"/>
        <v>#REF!</v>
      </c>
      <c r="T383" s="70" t="s">
        <v>244</v>
      </c>
      <c r="U383" s="20">
        <v>43550</v>
      </c>
      <c r="V383" s="70" t="s">
        <v>256</v>
      </c>
    </row>
    <row r="384" spans="1:22" ht="12.75" customHeight="1">
      <c r="A384" s="70" t="s">
        <v>863</v>
      </c>
      <c r="B384" s="70" t="s">
        <v>59</v>
      </c>
      <c r="C384" s="70" t="s">
        <v>889</v>
      </c>
      <c r="D384" s="70" t="s">
        <v>329</v>
      </c>
      <c r="E384" s="70" t="s">
        <v>864</v>
      </c>
      <c r="F384" s="27">
        <v>24</v>
      </c>
      <c r="G384" s="70" t="str">
        <f>VLOOKUP(C384,'8a. BenchmarkDaily'!F:T,15,FALSE)</f>
        <v>Time Weighted Return for past 3 Years in Book Currency</v>
      </c>
      <c r="H384" s="20">
        <v>43538</v>
      </c>
      <c r="I384" s="70" t="e">
        <v>#N/A</v>
      </c>
      <c r="J384" s="70" t="e">
        <f t="shared" ca="1" si="13"/>
        <v>#REF!</v>
      </c>
      <c r="K384" s="70" t="e">
        <f t="shared" ca="1" si="7"/>
        <v>#N/A</v>
      </c>
      <c r="L384" s="70"/>
      <c r="M384" s="70" t="e">
        <f t="shared" ca="1" si="8"/>
        <v>#REF!</v>
      </c>
      <c r="N384" s="129" t="s">
        <v>731</v>
      </c>
      <c r="O384" s="70" t="e">
        <f t="shared" ca="1" si="9"/>
        <v>#REF!</v>
      </c>
      <c r="P384" s="70"/>
      <c r="Q384" s="70" t="e">
        <f t="shared" ca="1" si="10"/>
        <v>#REF!</v>
      </c>
      <c r="R384" s="20" t="e">
        <f t="shared" ca="1" si="11"/>
        <v>#REF!</v>
      </c>
      <c r="S384" s="70" t="e">
        <f t="shared" ca="1" si="12"/>
        <v>#REF!</v>
      </c>
      <c r="T384" s="70" t="s">
        <v>244</v>
      </c>
      <c r="U384" s="20">
        <v>43550</v>
      </c>
      <c r="V384" s="70" t="s">
        <v>256</v>
      </c>
    </row>
    <row r="385" spans="1:22" ht="12.75" customHeight="1">
      <c r="A385" s="70" t="s">
        <v>863</v>
      </c>
      <c r="B385" s="70" t="s">
        <v>59</v>
      </c>
      <c r="C385" s="70" t="s">
        <v>890</v>
      </c>
      <c r="D385" s="70" t="s">
        <v>329</v>
      </c>
      <c r="E385" s="70" t="s">
        <v>864</v>
      </c>
      <c r="F385" s="27">
        <v>25</v>
      </c>
      <c r="G385" s="70" t="str">
        <f>VLOOKUP(C385,'8a. BenchmarkDaily'!F:T,15,FALSE)</f>
        <v>Time Weighted Return for past 5 Years in Book Currency</v>
      </c>
      <c r="H385" s="20">
        <v>43538</v>
      </c>
      <c r="I385" s="70" t="e">
        <v>#N/A</v>
      </c>
      <c r="J385" s="70" t="e">
        <f t="shared" ca="1" si="13"/>
        <v>#REF!</v>
      </c>
      <c r="K385" s="70" t="e">
        <f t="shared" ca="1" si="7"/>
        <v>#N/A</v>
      </c>
      <c r="L385" s="70"/>
      <c r="M385" s="70" t="e">
        <f t="shared" ca="1" si="8"/>
        <v>#REF!</v>
      </c>
      <c r="N385" s="129" t="s">
        <v>735</v>
      </c>
      <c r="O385" s="70" t="e">
        <f t="shared" ca="1" si="9"/>
        <v>#REF!</v>
      </c>
      <c r="P385" s="70"/>
      <c r="Q385" s="70" t="e">
        <f t="shared" ca="1" si="10"/>
        <v>#REF!</v>
      </c>
      <c r="R385" s="20" t="e">
        <f t="shared" ca="1" si="11"/>
        <v>#REF!</v>
      </c>
      <c r="S385" s="70" t="e">
        <f t="shared" ca="1" si="12"/>
        <v>#REF!</v>
      </c>
      <c r="T385" s="70" t="s">
        <v>244</v>
      </c>
      <c r="U385" s="20">
        <v>43550</v>
      </c>
      <c r="V385" s="70" t="s">
        <v>256</v>
      </c>
    </row>
    <row r="386" spans="1:22" ht="12.75" customHeight="1">
      <c r="A386" s="70" t="s">
        <v>863</v>
      </c>
      <c r="B386" s="70" t="s">
        <v>55</v>
      </c>
      <c r="C386" s="70" t="s">
        <v>891</v>
      </c>
      <c r="D386" s="70" t="s">
        <v>329</v>
      </c>
      <c r="E386" s="70" t="s">
        <v>243</v>
      </c>
      <c r="F386" s="27">
        <v>73</v>
      </c>
      <c r="G386" s="70">
        <f>VLOOKUP(C386,'8a. BenchmarkDaily'!F:T,15,FALSE)</f>
        <v>0</v>
      </c>
      <c r="H386" s="20">
        <v>43538</v>
      </c>
      <c r="I386" s="70" t="e">
        <v>#N/A</v>
      </c>
      <c r="J386" s="70" t="e">
        <f t="shared" ca="1" si="13"/>
        <v>#REF!</v>
      </c>
      <c r="K386" s="70" t="e">
        <f t="shared" ca="1" si="7"/>
        <v>#N/A</v>
      </c>
      <c r="L386" s="70"/>
      <c r="M386" s="70" t="e">
        <f t="shared" ca="1" si="8"/>
        <v>#REF!</v>
      </c>
      <c r="N386" s="129" t="s">
        <v>739</v>
      </c>
      <c r="O386" s="70" t="e">
        <f t="shared" ca="1" si="9"/>
        <v>#REF!</v>
      </c>
      <c r="P386" s="70"/>
      <c r="Q386" s="70" t="e">
        <f t="shared" ca="1" si="10"/>
        <v>#REF!</v>
      </c>
      <c r="R386" s="20" t="e">
        <f t="shared" ca="1" si="11"/>
        <v>#REF!</v>
      </c>
      <c r="S386" s="70" t="e">
        <f t="shared" ca="1" si="12"/>
        <v>#REF!</v>
      </c>
      <c r="T386" s="70" t="s">
        <v>244</v>
      </c>
      <c r="U386" s="20">
        <v>43550</v>
      </c>
      <c r="V386" s="70" t="s">
        <v>256</v>
      </c>
    </row>
    <row r="387" spans="1:22" ht="12.75" customHeight="1">
      <c r="A387" s="70" t="s">
        <v>863</v>
      </c>
      <c r="B387" s="70" t="s">
        <v>55</v>
      </c>
      <c r="C387" s="70" t="s">
        <v>892</v>
      </c>
      <c r="D387" s="70" t="s">
        <v>329</v>
      </c>
      <c r="E387" s="70" t="s">
        <v>243</v>
      </c>
      <c r="F387" s="27">
        <v>60</v>
      </c>
      <c r="G387" s="70" t="str">
        <f>VLOOKUP(C387,'8a. BenchmarkDaily'!F:T,15,FALSE)</f>
        <v>Time Weighted Return for past 10 Years in Book Currency</v>
      </c>
      <c r="H387" s="20">
        <v>43538</v>
      </c>
      <c r="I387" s="70" t="e">
        <v>#N/A</v>
      </c>
      <c r="J387" s="70" t="e">
        <f t="shared" ca="1" si="13"/>
        <v>#REF!</v>
      </c>
      <c r="K387" s="70" t="e">
        <f t="shared" ca="1" si="7"/>
        <v>#N/A</v>
      </c>
      <c r="L387" s="70"/>
      <c r="M387" s="70" t="e">
        <f t="shared" ca="1" si="8"/>
        <v>#REF!</v>
      </c>
      <c r="N387" s="129" t="s">
        <v>745</v>
      </c>
      <c r="O387" s="70" t="e">
        <f t="shared" ca="1" si="9"/>
        <v>#REF!</v>
      </c>
      <c r="P387" s="70"/>
      <c r="Q387" s="70" t="e">
        <f t="shared" ca="1" si="10"/>
        <v>#REF!</v>
      </c>
      <c r="R387" s="20" t="e">
        <f t="shared" ca="1" si="11"/>
        <v>#REF!</v>
      </c>
      <c r="S387" s="70" t="e">
        <f t="shared" ca="1" si="12"/>
        <v>#REF!</v>
      </c>
      <c r="T387" s="70" t="s">
        <v>244</v>
      </c>
      <c r="U387" s="20">
        <v>43550</v>
      </c>
      <c r="V387" s="70" t="s">
        <v>256</v>
      </c>
    </row>
    <row r="388" spans="1:22" ht="12.75" customHeight="1">
      <c r="A388" s="70" t="s">
        <v>863</v>
      </c>
      <c r="B388" s="70" t="s">
        <v>55</v>
      </c>
      <c r="C388" s="70" t="s">
        <v>893</v>
      </c>
      <c r="D388" s="70" t="s">
        <v>329</v>
      </c>
      <c r="E388" s="70" t="s">
        <v>243</v>
      </c>
      <c r="F388" s="27">
        <v>84</v>
      </c>
      <c r="G388" s="70">
        <f>VLOOKUP(C388,'8a. BenchmarkDaily'!F:T,15,FALSE)</f>
        <v>0</v>
      </c>
      <c r="H388" s="20">
        <v>43538</v>
      </c>
      <c r="I388" s="70" t="e">
        <v>#N/A</v>
      </c>
      <c r="J388" s="70" t="e">
        <f t="shared" ca="1" si="13"/>
        <v>#REF!</v>
      </c>
      <c r="K388" s="70" t="e">
        <f t="shared" ca="1" si="7"/>
        <v>#N/A</v>
      </c>
      <c r="L388" s="70"/>
      <c r="M388" s="70" t="e">
        <f t="shared" ca="1" si="8"/>
        <v>#REF!</v>
      </c>
      <c r="N388" s="129" t="s">
        <v>751</v>
      </c>
      <c r="O388" s="70" t="e">
        <f t="shared" ca="1" si="9"/>
        <v>#REF!</v>
      </c>
      <c r="P388" s="70"/>
      <c r="Q388" s="70" t="e">
        <f t="shared" ca="1" si="10"/>
        <v>#REF!</v>
      </c>
      <c r="R388" s="20" t="e">
        <f t="shared" ca="1" si="11"/>
        <v>#REF!</v>
      </c>
      <c r="S388" s="70" t="e">
        <f t="shared" ca="1" si="12"/>
        <v>#REF!</v>
      </c>
      <c r="T388" s="70" t="s">
        <v>244</v>
      </c>
      <c r="U388" s="20">
        <v>43550</v>
      </c>
      <c r="V388" s="70" t="s">
        <v>256</v>
      </c>
    </row>
    <row r="389" spans="1:22" ht="12.75" customHeight="1">
      <c r="A389" s="70" t="s">
        <v>894</v>
      </c>
      <c r="B389" s="56" t="s">
        <v>55</v>
      </c>
      <c r="C389" s="56" t="s">
        <v>118</v>
      </c>
      <c r="D389" s="56" t="s">
        <v>247</v>
      </c>
      <c r="E389" s="56" t="s">
        <v>682</v>
      </c>
      <c r="F389" s="56">
        <v>20</v>
      </c>
      <c r="G389" s="70" t="e">
        <v>#N/A</v>
      </c>
      <c r="H389" s="20">
        <v>43538</v>
      </c>
      <c r="I389" s="70" t="e">
        <v>#N/A</v>
      </c>
      <c r="J389" s="70" t="e">
        <f t="shared" ca="1" si="13"/>
        <v>#REF!</v>
      </c>
      <c r="K389" s="70" t="e">
        <f t="shared" ca="1" si="7"/>
        <v>#N/A</v>
      </c>
      <c r="L389" s="70" t="s">
        <v>686</v>
      </c>
      <c r="M389" s="70" t="e">
        <f t="shared" ca="1" si="8"/>
        <v>#REF!</v>
      </c>
      <c r="N389" s="129" t="s">
        <v>302</v>
      </c>
      <c r="O389" s="70" t="e">
        <f t="shared" ca="1" si="9"/>
        <v>#REF!</v>
      </c>
      <c r="P389" s="70"/>
      <c r="Q389" s="70" t="e">
        <f t="shared" ca="1" si="10"/>
        <v>#REF!</v>
      </c>
      <c r="R389" s="20" t="e">
        <f t="shared" ca="1" si="11"/>
        <v>#REF!</v>
      </c>
      <c r="S389" s="70" t="e">
        <f t="shared" ca="1" si="12"/>
        <v>#REF!</v>
      </c>
      <c r="T389" s="70" t="s">
        <v>244</v>
      </c>
      <c r="U389" s="20">
        <v>43550</v>
      </c>
      <c r="V389" s="70" t="s">
        <v>256</v>
      </c>
    </row>
    <row r="390" spans="1:22" ht="12.75" customHeight="1">
      <c r="A390" s="70" t="s">
        <v>894</v>
      </c>
      <c r="B390" s="56" t="s">
        <v>224</v>
      </c>
      <c r="C390" s="56" t="s">
        <v>895</v>
      </c>
      <c r="D390" s="56" t="s">
        <v>247</v>
      </c>
      <c r="E390" s="56" t="s">
        <v>680</v>
      </c>
      <c r="F390" s="56">
        <v>14</v>
      </c>
      <c r="G390" s="70" t="e">
        <v>#N/A</v>
      </c>
      <c r="H390" s="20">
        <v>43538</v>
      </c>
      <c r="I390" s="70" t="e">
        <v>#N/A</v>
      </c>
      <c r="J390" s="70" t="e">
        <f t="shared" ca="1" si="13"/>
        <v>#REF!</v>
      </c>
      <c r="K390" s="70" t="e">
        <f t="shared" ca="1" si="7"/>
        <v>#N/A</v>
      </c>
      <c r="L390" s="70" t="s">
        <v>686</v>
      </c>
      <c r="M390" s="70" t="e">
        <f t="shared" ca="1" si="8"/>
        <v>#REF!</v>
      </c>
      <c r="N390" s="129" t="s">
        <v>865</v>
      </c>
      <c r="O390" s="70" t="e">
        <f t="shared" ca="1" si="9"/>
        <v>#REF!</v>
      </c>
      <c r="P390" s="70"/>
      <c r="Q390" s="70" t="e">
        <f t="shared" ca="1" si="10"/>
        <v>#REF!</v>
      </c>
      <c r="R390" s="20" t="e">
        <f t="shared" ca="1" si="11"/>
        <v>#REF!</v>
      </c>
      <c r="S390" s="70" t="e">
        <f t="shared" ca="1" si="12"/>
        <v>#REF!</v>
      </c>
      <c r="T390" s="70" t="s">
        <v>244</v>
      </c>
      <c r="U390" s="20">
        <v>43550</v>
      </c>
      <c r="V390" s="70" t="s">
        <v>256</v>
      </c>
    </row>
    <row r="391" spans="1:22" ht="12.75" customHeight="1">
      <c r="A391" s="70" t="s">
        <v>894</v>
      </c>
      <c r="B391" s="56" t="s">
        <v>224</v>
      </c>
      <c r="C391" s="56" t="s">
        <v>896</v>
      </c>
      <c r="D391" s="56" t="s">
        <v>897</v>
      </c>
      <c r="E391" s="56" t="s">
        <v>680</v>
      </c>
      <c r="F391" s="56">
        <v>16</v>
      </c>
      <c r="G391" s="70" t="e">
        <v>#N/A</v>
      </c>
      <c r="H391" s="20">
        <v>43538</v>
      </c>
      <c r="I391" s="70" t="e">
        <v>#N/A</v>
      </c>
      <c r="J391" s="70" t="e">
        <f t="shared" ca="1" si="13"/>
        <v>#REF!</v>
      </c>
      <c r="K391" s="70" t="e">
        <f t="shared" ca="1" si="7"/>
        <v>#N/A</v>
      </c>
      <c r="L391" s="70" t="s">
        <v>686</v>
      </c>
      <c r="M391" s="70" t="e">
        <f t="shared" ca="1" si="8"/>
        <v>#REF!</v>
      </c>
      <c r="N391" s="129" t="s">
        <v>898</v>
      </c>
      <c r="O391" s="70" t="e">
        <f t="shared" ca="1" si="9"/>
        <v>#REF!</v>
      </c>
      <c r="P391" s="70"/>
      <c r="Q391" s="70" t="e">
        <f t="shared" ca="1" si="10"/>
        <v>#REF!</v>
      </c>
      <c r="R391" s="20" t="e">
        <f t="shared" ca="1" si="11"/>
        <v>#REF!</v>
      </c>
      <c r="S391" s="70" t="e">
        <f t="shared" ca="1" si="12"/>
        <v>#REF!</v>
      </c>
      <c r="T391" s="70" t="s">
        <v>244</v>
      </c>
      <c r="U391" s="20">
        <v>43550</v>
      </c>
      <c r="V391" s="70" t="s">
        <v>256</v>
      </c>
    </row>
    <row r="392" spans="1:22" ht="12.75" customHeight="1">
      <c r="A392" s="70" t="s">
        <v>894</v>
      </c>
      <c r="B392" s="70" t="s">
        <v>55</v>
      </c>
      <c r="C392" s="70" t="s">
        <v>170</v>
      </c>
      <c r="D392" s="56" t="s">
        <v>860</v>
      </c>
      <c r="E392" s="70" t="s">
        <v>682</v>
      </c>
      <c r="F392" s="70"/>
      <c r="G392" s="70" t="e">
        <v>#N/A</v>
      </c>
      <c r="H392" s="20">
        <v>43538</v>
      </c>
      <c r="I392" s="70" t="e">
        <v>#N/A</v>
      </c>
      <c r="J392" s="70" t="e">
        <f t="shared" ca="1" si="13"/>
        <v>#REF!</v>
      </c>
      <c r="K392" s="70" t="e">
        <f t="shared" ca="1" si="7"/>
        <v>#N/A</v>
      </c>
      <c r="L392" s="70" t="s">
        <v>861</v>
      </c>
      <c r="M392" s="70" t="e">
        <f t="shared" ca="1" si="8"/>
        <v>#REF!</v>
      </c>
      <c r="N392" s="129" t="s">
        <v>862</v>
      </c>
      <c r="O392" s="70" t="e">
        <f t="shared" ca="1" si="9"/>
        <v>#REF!</v>
      </c>
      <c r="P392" s="70"/>
      <c r="Q392" s="70" t="e">
        <f t="shared" ca="1" si="10"/>
        <v>#REF!</v>
      </c>
      <c r="R392" s="20" t="e">
        <f t="shared" ca="1" si="11"/>
        <v>#REF!</v>
      </c>
      <c r="S392" s="70" t="e">
        <f t="shared" ca="1" si="12"/>
        <v>#REF!</v>
      </c>
      <c r="T392" s="70" t="s">
        <v>244</v>
      </c>
      <c r="U392" s="20">
        <v>43550</v>
      </c>
      <c r="V392" s="70" t="s">
        <v>256</v>
      </c>
    </row>
    <row r="393" spans="1:22" ht="12.75" customHeight="1">
      <c r="A393" s="70" t="s">
        <v>894</v>
      </c>
      <c r="B393" s="70" t="s">
        <v>899</v>
      </c>
      <c r="C393" s="56" t="s">
        <v>859</v>
      </c>
      <c r="D393" s="70"/>
      <c r="E393" s="70"/>
      <c r="F393" s="70"/>
      <c r="G393" s="70" t="e">
        <v>#N/A</v>
      </c>
      <c r="H393" s="20">
        <v>43538</v>
      </c>
      <c r="I393" s="70" t="e">
        <v>#N/A</v>
      </c>
      <c r="J393" s="70" t="e">
        <f t="shared" ca="1" si="13"/>
        <v>#REF!</v>
      </c>
      <c r="K393" s="70" t="e">
        <f t="shared" ca="1" si="7"/>
        <v>#N/A</v>
      </c>
      <c r="L393" s="70" t="s">
        <v>686</v>
      </c>
      <c r="M393" s="70" t="e">
        <f t="shared" ca="1" si="8"/>
        <v>#REF!</v>
      </c>
      <c r="N393" s="129" t="s">
        <v>490</v>
      </c>
      <c r="O393" s="70" t="e">
        <f t="shared" ca="1" si="9"/>
        <v>#REF!</v>
      </c>
      <c r="P393" s="70"/>
      <c r="Q393" s="70" t="e">
        <f t="shared" ca="1" si="10"/>
        <v>#REF!</v>
      </c>
      <c r="R393" s="20" t="e">
        <f t="shared" ca="1" si="11"/>
        <v>#REF!</v>
      </c>
      <c r="S393" s="70" t="e">
        <f t="shared" ca="1" si="12"/>
        <v>#REF!</v>
      </c>
      <c r="T393" s="70" t="s">
        <v>244</v>
      </c>
      <c r="U393" s="20">
        <v>43550</v>
      </c>
      <c r="V393" s="70" t="s">
        <v>256</v>
      </c>
    </row>
    <row r="394" spans="1:22" ht="12.75" customHeight="1">
      <c r="A394" s="70" t="s">
        <v>894</v>
      </c>
      <c r="B394" s="70" t="s">
        <v>899</v>
      </c>
      <c r="C394" s="56" t="s">
        <v>162</v>
      </c>
      <c r="D394" s="70"/>
      <c r="E394" s="70"/>
      <c r="F394" s="70"/>
      <c r="G394" s="70" t="e">
        <v>#N/A</v>
      </c>
      <c r="H394" s="20">
        <v>43538</v>
      </c>
      <c r="I394" s="70" t="e">
        <v>#N/A</v>
      </c>
      <c r="J394" s="70" t="e">
        <f t="shared" ca="1" si="13"/>
        <v>#REF!</v>
      </c>
      <c r="K394" s="70" t="e">
        <f t="shared" ca="1" si="7"/>
        <v>#N/A</v>
      </c>
      <c r="L394" s="70" t="s">
        <v>686</v>
      </c>
      <c r="M394" s="70" t="e">
        <f t="shared" ca="1" si="8"/>
        <v>#REF!</v>
      </c>
      <c r="N394" s="129" t="s">
        <v>687</v>
      </c>
      <c r="O394" s="70" t="e">
        <f t="shared" ca="1" si="9"/>
        <v>#REF!</v>
      </c>
      <c r="P394" s="70"/>
      <c r="Q394" s="70" t="e">
        <f t="shared" ca="1" si="10"/>
        <v>#REF!</v>
      </c>
      <c r="R394" s="20" t="e">
        <f t="shared" ca="1" si="11"/>
        <v>#REF!</v>
      </c>
      <c r="S394" s="70" t="e">
        <f t="shared" ca="1" si="12"/>
        <v>#REF!</v>
      </c>
      <c r="T394" s="70" t="s">
        <v>244</v>
      </c>
      <c r="U394" s="20">
        <v>43550</v>
      </c>
      <c r="V394" s="70" t="s">
        <v>256</v>
      </c>
    </row>
    <row r="395" spans="1:22" ht="12.75" customHeight="1">
      <c r="A395" s="70" t="s">
        <v>166</v>
      </c>
      <c r="B395" s="56" t="s">
        <v>61</v>
      </c>
      <c r="C395" s="56" t="s">
        <v>168</v>
      </c>
      <c r="D395" s="56" t="s">
        <v>900</v>
      </c>
      <c r="E395" s="56" t="s">
        <v>243</v>
      </c>
      <c r="F395" s="56">
        <v>2</v>
      </c>
      <c r="G395" s="70" t="str">
        <f>VLOOKUP(C395,'9. FAMILY'!F:T,15,FALSE)</f>
        <v>Unique Identifier for the Relationship</v>
      </c>
      <c r="H395" s="20">
        <v>43538</v>
      </c>
      <c r="I395" s="70" t="e">
        <v>#N/A</v>
      </c>
      <c r="J395" s="70" t="str">
        <f t="shared" ca="1" si="13"/>
        <v>RELATIONSHIP_GROUP_ID</v>
      </c>
      <c r="K395" s="70" t="e">
        <f t="shared" ca="1" si="7"/>
        <v>#N/A</v>
      </c>
      <c r="L395" s="70"/>
      <c r="M395" s="70">
        <f t="shared" ca="1" si="8"/>
        <v>1</v>
      </c>
      <c r="N395" s="129" t="s">
        <v>901</v>
      </c>
      <c r="O395" s="70" t="b">
        <f t="shared" ca="1" si="9"/>
        <v>1</v>
      </c>
      <c r="P395" s="70"/>
      <c r="Q395" s="70" t="str">
        <f t="shared" ca="1" si="10"/>
        <v>NB v0.0_Family</v>
      </c>
      <c r="R395" s="20">
        <f t="shared" ca="1" si="11"/>
        <v>43509</v>
      </c>
      <c r="S395" s="5" t="str">
        <f t="shared" ca="1" si="12"/>
        <v>Initial Mapping</v>
      </c>
      <c r="T395" s="70" t="s">
        <v>244</v>
      </c>
      <c r="U395" s="20">
        <v>43535</v>
      </c>
      <c r="V395" s="70" t="s">
        <v>245</v>
      </c>
    </row>
    <row r="396" spans="1:22" ht="12.75" customHeight="1">
      <c r="A396" s="70" t="s">
        <v>166</v>
      </c>
      <c r="B396" s="56" t="s">
        <v>61</v>
      </c>
      <c r="C396" s="56" t="s">
        <v>167</v>
      </c>
      <c r="D396" s="56" t="s">
        <v>902</v>
      </c>
      <c r="E396" s="56" t="s">
        <v>903</v>
      </c>
      <c r="F396" s="56">
        <v>1</v>
      </c>
      <c r="G396" s="70" t="str">
        <f>VLOOKUP(C396,'9. FAMILY'!F:T,15,FALSE)</f>
        <v>Relationship Name (Full name)</v>
      </c>
      <c r="H396" s="20">
        <v>43538</v>
      </c>
      <c r="I396" s="70" t="e">
        <v>#N/A</v>
      </c>
      <c r="J396" s="70" t="str">
        <f t="shared" ca="1" si="13"/>
        <v>RELATIONSHIP_GROUP_NAME</v>
      </c>
      <c r="K396" s="70" t="e">
        <f t="shared" ca="1" si="7"/>
        <v>#N/A</v>
      </c>
      <c r="L396" s="70"/>
      <c r="M396" s="70">
        <f t="shared" ca="1" si="8"/>
        <v>2</v>
      </c>
      <c r="N396" s="129" t="s">
        <v>904</v>
      </c>
      <c r="O396" s="70" t="b">
        <f t="shared" ca="1" si="9"/>
        <v>1</v>
      </c>
      <c r="P396" s="70"/>
      <c r="Q396" s="70" t="str">
        <f t="shared" ca="1" si="10"/>
        <v>NB v0.0_Family</v>
      </c>
      <c r="R396" s="20">
        <f t="shared" ca="1" si="11"/>
        <v>43509</v>
      </c>
      <c r="S396" s="5" t="str">
        <f t="shared" ca="1" si="12"/>
        <v>Initial Mapping</v>
      </c>
      <c r="T396" s="70" t="s">
        <v>244</v>
      </c>
      <c r="U396" s="20">
        <v>43535</v>
      </c>
      <c r="V396" s="70" t="s">
        <v>245</v>
      </c>
    </row>
    <row r="397" spans="1:22" ht="12.75" customHeight="1">
      <c r="A397" s="70" t="s">
        <v>166</v>
      </c>
      <c r="B397" s="56" t="s">
        <v>61</v>
      </c>
      <c r="C397" s="56" t="s">
        <v>169</v>
      </c>
      <c r="D397" s="56" t="s">
        <v>900</v>
      </c>
      <c r="E397" s="56" t="s">
        <v>243</v>
      </c>
      <c r="F397" s="56">
        <v>3</v>
      </c>
      <c r="G397" s="70" t="str">
        <f>VLOOKUP(C397,'9. FAMILY'!F:T,15,FALSE)</f>
        <v>Code/Branch/Type etc. Required even if only one Group.</v>
      </c>
      <c r="H397" s="20">
        <v>43538</v>
      </c>
      <c r="I397" s="70" t="e">
        <v>#N/A</v>
      </c>
      <c r="J397" s="70" t="str">
        <f t="shared" ca="1" si="13"/>
        <v>CATEGORY</v>
      </c>
      <c r="K397" s="70" t="e">
        <f t="shared" ca="1" si="7"/>
        <v>#N/A</v>
      </c>
      <c r="L397" s="70"/>
      <c r="M397" s="70">
        <f t="shared" ca="1" si="8"/>
        <v>3</v>
      </c>
      <c r="N397" s="129" t="s">
        <v>905</v>
      </c>
      <c r="O397" s="70" t="b">
        <f t="shared" ca="1" si="9"/>
        <v>1</v>
      </c>
      <c r="P397" s="70"/>
      <c r="Q397" s="70" t="str">
        <f t="shared" ca="1" si="10"/>
        <v>NB v0.0_Family</v>
      </c>
      <c r="R397" s="20">
        <f t="shared" ca="1" si="11"/>
        <v>43509</v>
      </c>
      <c r="S397" s="5" t="str">
        <f t="shared" ca="1" si="12"/>
        <v>Initial Mapping</v>
      </c>
      <c r="T397" s="70" t="s">
        <v>244</v>
      </c>
      <c r="U397" s="20">
        <v>43535</v>
      </c>
      <c r="V397" s="70" t="s">
        <v>245</v>
      </c>
    </row>
    <row r="398" spans="1:22" ht="12.75" customHeight="1">
      <c r="A398" s="70" t="s">
        <v>166</v>
      </c>
      <c r="B398" s="56" t="s">
        <v>59</v>
      </c>
      <c r="C398" s="56" t="s">
        <v>906</v>
      </c>
      <c r="D398" s="56" t="s">
        <v>860</v>
      </c>
      <c r="E398" s="56" t="s">
        <v>243</v>
      </c>
      <c r="F398" s="56">
        <v>5</v>
      </c>
      <c r="G398" s="70" t="str">
        <f>VLOOKUP(C398,'9. FAMILY'!F:T,15,FALSE)</f>
        <v>Name of the Relationship Manager</v>
      </c>
      <c r="H398" s="20">
        <v>43538</v>
      </c>
      <c r="I398" s="70" t="e">
        <v>#N/A</v>
      </c>
      <c r="J398" s="70" t="str">
        <f t="shared" ca="1" si="13"/>
        <v>TEAM_OWNER</v>
      </c>
      <c r="K398" s="70" t="e">
        <f t="shared" ca="1" si="7"/>
        <v>#N/A</v>
      </c>
      <c r="L398" s="70"/>
      <c r="M398" s="70">
        <f t="shared" ca="1" si="8"/>
        <v>4</v>
      </c>
      <c r="N398" s="129" t="s">
        <v>907</v>
      </c>
      <c r="O398" s="70" t="b">
        <f t="shared" ca="1" si="9"/>
        <v>1</v>
      </c>
      <c r="P398" s="70"/>
      <c r="Q398" s="70" t="str">
        <f t="shared" ca="1" si="10"/>
        <v>NB v0.0_Family</v>
      </c>
      <c r="R398" s="20">
        <f t="shared" ca="1" si="11"/>
        <v>43509</v>
      </c>
      <c r="S398" s="5" t="str">
        <f t="shared" ca="1" si="12"/>
        <v>Initial Mapping</v>
      </c>
      <c r="T398" s="70" t="s">
        <v>244</v>
      </c>
      <c r="U398" s="20">
        <v>43535</v>
      </c>
      <c r="V398" s="70" t="s">
        <v>245</v>
      </c>
    </row>
    <row r="399" spans="1:22" ht="12.75" customHeight="1">
      <c r="A399" s="70" t="s">
        <v>171</v>
      </c>
      <c r="B399" s="56" t="s">
        <v>61</v>
      </c>
      <c r="C399" s="56" t="s">
        <v>173</v>
      </c>
      <c r="D399" s="56" t="s">
        <v>247</v>
      </c>
      <c r="E399" s="56"/>
      <c r="F399" s="56">
        <v>3</v>
      </c>
      <c r="G399" s="70" t="str">
        <f>VLOOKUP(C399,'10. FAMILYMEMBER'!F:T,15,FALSE)</f>
        <v>Unique Identifier for the Family Member</v>
      </c>
      <c r="H399" s="20">
        <v>43538</v>
      </c>
      <c r="I399" s="28" t="e">
        <v>#N/A</v>
      </c>
      <c r="J399" s="70" t="str">
        <f t="shared" ca="1" si="13"/>
        <v>RELATIONSHIP_GROUP_MEMBER_ID</v>
      </c>
      <c r="K399" s="70" t="e">
        <f t="shared" ca="1" si="7"/>
        <v>#N/A</v>
      </c>
      <c r="L399" s="70"/>
      <c r="M399" s="70">
        <f t="shared" ca="1" si="8"/>
        <v>1</v>
      </c>
      <c r="N399" s="129" t="s">
        <v>908</v>
      </c>
      <c r="O399" s="70" t="b">
        <f t="shared" ca="1" si="9"/>
        <v>1</v>
      </c>
      <c r="P399" s="70"/>
      <c r="Q399" s="70" t="str">
        <f t="shared" ca="1" si="10"/>
        <v>NB v0.0_Family</v>
      </c>
      <c r="R399" s="20">
        <f t="shared" ca="1" si="11"/>
        <v>43509</v>
      </c>
      <c r="S399" s="5" t="str">
        <f t="shared" ca="1" si="12"/>
        <v>Initial Mapping</v>
      </c>
      <c r="T399" s="70" t="s">
        <v>244</v>
      </c>
      <c r="U399" s="20">
        <v>43535</v>
      </c>
      <c r="V399" s="70" t="s">
        <v>245</v>
      </c>
    </row>
    <row r="400" spans="1:22" ht="12.75" customHeight="1">
      <c r="A400" s="70" t="s">
        <v>171</v>
      </c>
      <c r="B400" s="56" t="s">
        <v>61</v>
      </c>
      <c r="C400" s="56" t="s">
        <v>174</v>
      </c>
      <c r="D400" s="56" t="s">
        <v>909</v>
      </c>
      <c r="E400" s="56"/>
      <c r="F400" s="56">
        <v>4</v>
      </c>
      <c r="G400" s="29" t="str">
        <f>VLOOKUP(C400,'10. FAMILYMEMBER'!F:T,15,FALSE)</f>
        <v>Full name for reportings, statements and user inteface displayed views</v>
      </c>
      <c r="H400" s="20">
        <v>43538</v>
      </c>
      <c r="I400" s="28" t="e">
        <v>#N/A</v>
      </c>
      <c r="J400" s="70" t="str">
        <f t="shared" ca="1" si="13"/>
        <v>RELATIONSHIP_GROUP_MEMBER_NAME</v>
      </c>
      <c r="K400" s="70" t="e">
        <f t="shared" ca="1" si="7"/>
        <v>#N/A</v>
      </c>
      <c r="L400" s="70"/>
      <c r="M400" s="70">
        <f t="shared" ca="1" si="8"/>
        <v>2</v>
      </c>
      <c r="N400" s="129" t="s">
        <v>910</v>
      </c>
      <c r="O400" s="70" t="b">
        <f t="shared" ca="1" si="9"/>
        <v>1</v>
      </c>
      <c r="P400" s="70"/>
      <c r="Q400" s="70" t="str">
        <f t="shared" ca="1" si="10"/>
        <v>NB v0.0_Family</v>
      </c>
      <c r="R400" s="20">
        <f t="shared" ca="1" si="11"/>
        <v>43509</v>
      </c>
      <c r="S400" s="5" t="str">
        <f t="shared" ca="1" si="12"/>
        <v>Initial Mapping</v>
      </c>
      <c r="T400" s="70" t="s">
        <v>244</v>
      </c>
      <c r="U400" s="20">
        <v>43535</v>
      </c>
      <c r="V400" s="70" t="s">
        <v>245</v>
      </c>
    </row>
    <row r="401" spans="1:22" ht="12.75" customHeight="1">
      <c r="A401" s="70" t="s">
        <v>171</v>
      </c>
      <c r="B401" s="56" t="s">
        <v>61</v>
      </c>
      <c r="C401" s="56" t="s">
        <v>172</v>
      </c>
      <c r="D401" s="56" t="s">
        <v>535</v>
      </c>
      <c r="E401" s="56"/>
      <c r="F401" s="56">
        <v>2</v>
      </c>
      <c r="G401" s="70" t="str">
        <f>VLOOKUP(C401,'10. FAMILYMEMBER'!F:T,15,FALSE)</f>
        <v>Should be value of FAMILYCODE from 9.FAMILY for the appropriate Family. Lookup to populate FamilyId</v>
      </c>
      <c r="H401" s="20">
        <v>43538</v>
      </c>
      <c r="I401" s="28" t="e">
        <v>#N/A</v>
      </c>
      <c r="J401" s="70" t="str">
        <f t="shared" ca="1" si="13"/>
        <v>RELATIONSHIP_GROUP_ID</v>
      </c>
      <c r="K401" s="70" t="e">
        <f t="shared" ca="1" si="7"/>
        <v>#N/A</v>
      </c>
      <c r="L401" s="70" t="s">
        <v>911</v>
      </c>
      <c r="M401" s="70">
        <f t="shared" ca="1" si="8"/>
        <v>3</v>
      </c>
      <c r="N401" s="129" t="s">
        <v>901</v>
      </c>
      <c r="O401" s="70" t="b">
        <f t="shared" ca="1" si="9"/>
        <v>1</v>
      </c>
      <c r="P401" s="70"/>
      <c r="Q401" s="70" t="str">
        <f t="shared" ca="1" si="10"/>
        <v>NB v0.0_Family</v>
      </c>
      <c r="R401" s="20">
        <f t="shared" ca="1" si="11"/>
        <v>43509</v>
      </c>
      <c r="S401" s="70" t="str">
        <f t="shared" ca="1" si="12"/>
        <v>Initial Mapping</v>
      </c>
      <c r="T401" s="70" t="s">
        <v>244</v>
      </c>
      <c r="U401" s="20">
        <v>43550</v>
      </c>
      <c r="V401" s="70" t="s">
        <v>256</v>
      </c>
    </row>
    <row r="402" spans="1:22" ht="12.75" customHeight="1">
      <c r="A402" s="70" t="s">
        <v>171</v>
      </c>
      <c r="B402" s="56" t="s">
        <v>59</v>
      </c>
      <c r="C402" s="56" t="s">
        <v>912</v>
      </c>
      <c r="D402" s="56" t="s">
        <v>324</v>
      </c>
      <c r="E402" s="56"/>
      <c r="F402" s="56">
        <v>20</v>
      </c>
      <c r="G402" s="70" t="str">
        <f>VLOOKUP(C402,'10. FAMILYMEMBER'!F:T,15,FALSE)</f>
        <v>Unqiue ID from the Client's source system for the Family Member (e.g. the Salesforce.com GUID)</v>
      </c>
      <c r="H402" s="20">
        <v>43538</v>
      </c>
      <c r="I402" s="28" t="e">
        <v>#N/A</v>
      </c>
      <c r="J402" s="70" t="str">
        <f t="shared" ca="1" si="13"/>
        <v>PERSON_ENTITY_ID</v>
      </c>
      <c r="K402" s="70" t="e">
        <f t="shared" ca="1" si="7"/>
        <v>#N/A</v>
      </c>
      <c r="L402" s="70"/>
      <c r="M402" s="70">
        <f t="shared" ca="1" si="8"/>
        <v>4</v>
      </c>
      <c r="N402" s="129" t="s">
        <v>913</v>
      </c>
      <c r="O402" s="70" t="b">
        <f t="shared" ca="1" si="9"/>
        <v>1</v>
      </c>
      <c r="P402" s="70"/>
      <c r="Q402" s="70" t="str">
        <f t="shared" ca="1" si="10"/>
        <v>NB v0.0_Family</v>
      </c>
      <c r="R402" s="20">
        <f t="shared" ca="1" si="11"/>
        <v>43509</v>
      </c>
      <c r="S402" s="5" t="str">
        <f t="shared" ca="1" si="12"/>
        <v>Initial Mapping</v>
      </c>
      <c r="T402" s="70" t="s">
        <v>244</v>
      </c>
      <c r="U402" s="20">
        <v>43535</v>
      </c>
      <c r="V402" s="70" t="s">
        <v>245</v>
      </c>
    </row>
    <row r="403" spans="1:22" ht="12.75" customHeight="1">
      <c r="A403" s="70" t="s">
        <v>171</v>
      </c>
      <c r="B403" s="56" t="s">
        <v>59</v>
      </c>
      <c r="C403" s="56" t="s">
        <v>914</v>
      </c>
      <c r="D403" s="56" t="s">
        <v>247</v>
      </c>
      <c r="E403" s="56"/>
      <c r="F403" s="56">
        <v>14</v>
      </c>
      <c r="G403" s="70" t="str">
        <f>VLOOKUP(C403,'10. FAMILYMEMBER'!F:T,15,FALSE)</f>
        <v>First Name</v>
      </c>
      <c r="H403" s="20">
        <v>43538</v>
      </c>
      <c r="I403" s="28" t="e">
        <v>#N/A</v>
      </c>
      <c r="J403" s="70" t="str">
        <f t="shared" ca="1" si="13"/>
        <v>FIRST_NAME</v>
      </c>
      <c r="K403" s="70" t="e">
        <f t="shared" ca="1" si="7"/>
        <v>#N/A</v>
      </c>
      <c r="L403" s="70"/>
      <c r="M403" s="70">
        <f t="shared" ca="1" si="8"/>
        <v>5</v>
      </c>
      <c r="N403" s="129" t="s">
        <v>915</v>
      </c>
      <c r="O403" s="70" t="b">
        <f t="shared" ca="1" si="9"/>
        <v>1</v>
      </c>
      <c r="P403" s="70"/>
      <c r="Q403" s="70" t="str">
        <f t="shared" ca="1" si="10"/>
        <v>NB v0.0_Family</v>
      </c>
      <c r="R403" s="20">
        <f t="shared" ca="1" si="11"/>
        <v>43509</v>
      </c>
      <c r="S403" s="5" t="str">
        <f t="shared" ca="1" si="12"/>
        <v>Initial Mapping</v>
      </c>
      <c r="T403" s="70" t="s">
        <v>244</v>
      </c>
      <c r="U403" s="20">
        <v>43535</v>
      </c>
      <c r="V403" s="70" t="s">
        <v>245</v>
      </c>
    </row>
    <row r="404" spans="1:22" ht="12.75" customHeight="1">
      <c r="A404" s="70" t="s">
        <v>171</v>
      </c>
      <c r="B404" s="56" t="s">
        <v>59</v>
      </c>
      <c r="C404" s="56" t="s">
        <v>916</v>
      </c>
      <c r="D404" s="56" t="s">
        <v>247</v>
      </c>
      <c r="E404" s="56"/>
      <c r="F404" s="56">
        <v>16</v>
      </c>
      <c r="G404" s="70" t="str">
        <f>VLOOKUP(C404,'10. FAMILYMEMBER'!F:T,15,FALSE)</f>
        <v>Last Name</v>
      </c>
      <c r="H404" s="20">
        <v>43538</v>
      </c>
      <c r="I404" s="28" t="e">
        <v>#N/A</v>
      </c>
      <c r="J404" s="70" t="str">
        <f t="shared" ca="1" si="13"/>
        <v>LAST_NAME</v>
      </c>
      <c r="K404" s="70" t="e">
        <f t="shared" ca="1" si="7"/>
        <v>#N/A</v>
      </c>
      <c r="L404" s="70"/>
      <c r="M404" s="70">
        <f t="shared" ca="1" si="8"/>
        <v>6</v>
      </c>
      <c r="N404" s="129" t="s">
        <v>917</v>
      </c>
      <c r="O404" s="70" t="b">
        <f t="shared" ca="1" si="9"/>
        <v>1</v>
      </c>
      <c r="P404" s="70"/>
      <c r="Q404" s="70" t="str">
        <f t="shared" ca="1" si="10"/>
        <v>NB v0.0_Family</v>
      </c>
      <c r="R404" s="20">
        <f t="shared" ca="1" si="11"/>
        <v>43509</v>
      </c>
      <c r="S404" s="5" t="str">
        <f t="shared" ca="1" si="12"/>
        <v>Initial Mapping</v>
      </c>
      <c r="T404" s="70" t="s">
        <v>244</v>
      </c>
      <c r="U404" s="20">
        <v>43535</v>
      </c>
      <c r="V404" s="70" t="s">
        <v>245</v>
      </c>
    </row>
    <row r="405" spans="1:22" ht="12.75" customHeight="1">
      <c r="A405" s="70" t="s">
        <v>171</v>
      </c>
      <c r="B405" s="56" t="s">
        <v>59</v>
      </c>
      <c r="C405" s="56" t="s">
        <v>918</v>
      </c>
      <c r="D405" s="56" t="s">
        <v>919</v>
      </c>
      <c r="E405" s="56"/>
      <c r="F405" s="56">
        <v>17</v>
      </c>
      <c r="G405" s="70" t="str">
        <f>VLOOKUP(C405,'10. FAMILYMEMBER'!F:T,15,FALSE)</f>
        <v>Legal Name</v>
      </c>
      <c r="H405" s="20">
        <v>43538</v>
      </c>
      <c r="I405" s="28" t="e">
        <v>#N/A</v>
      </c>
      <c r="J405" s="70" t="str">
        <f t="shared" ca="1" si="13"/>
        <v>NAME</v>
      </c>
      <c r="K405" s="70" t="e">
        <f t="shared" ca="1" si="7"/>
        <v>#N/A</v>
      </c>
      <c r="L405" s="70"/>
      <c r="M405" s="70">
        <f t="shared" ca="1" si="8"/>
        <v>7</v>
      </c>
      <c r="N405" s="129" t="s">
        <v>920</v>
      </c>
      <c r="O405" s="70" t="b">
        <f t="shared" ca="1" si="9"/>
        <v>1</v>
      </c>
      <c r="P405" s="70"/>
      <c r="Q405" s="70" t="str">
        <f t="shared" ca="1" si="10"/>
        <v>NB v0.0_Family</v>
      </c>
      <c r="R405" s="20">
        <f t="shared" ca="1" si="11"/>
        <v>43509</v>
      </c>
      <c r="S405" s="5" t="str">
        <f t="shared" ca="1" si="12"/>
        <v>Initial Mapping</v>
      </c>
      <c r="T405" s="70" t="s">
        <v>244</v>
      </c>
      <c r="U405" s="20">
        <v>43535</v>
      </c>
      <c r="V405" s="70" t="s">
        <v>245</v>
      </c>
    </row>
    <row r="406" spans="1:22" ht="12.75" customHeight="1">
      <c r="A406" s="70" t="s">
        <v>171</v>
      </c>
      <c r="B406" s="56" t="s">
        <v>59</v>
      </c>
      <c r="C406" s="56" t="s">
        <v>921</v>
      </c>
      <c r="D406" s="56" t="s">
        <v>922</v>
      </c>
      <c r="E406" s="56"/>
      <c r="F406" s="56">
        <v>8</v>
      </c>
      <c r="G406" s="70" t="str">
        <f>VLOOKUP(C406,'10. FAMILYMEMBER'!F:T,15,FALSE)</f>
        <v>Address 1</v>
      </c>
      <c r="H406" s="20">
        <v>43538</v>
      </c>
      <c r="I406" s="28" t="e">
        <v>#N/A</v>
      </c>
      <c r="J406" s="70" t="str">
        <f t="shared" ca="1" si="13"/>
        <v>MAILING_STREET</v>
      </c>
      <c r="K406" s="70" t="e">
        <f t="shared" ca="1" si="7"/>
        <v>#N/A</v>
      </c>
      <c r="L406" s="70"/>
      <c r="M406" s="70">
        <f t="shared" ca="1" si="8"/>
        <v>8</v>
      </c>
      <c r="N406" s="129" t="s">
        <v>923</v>
      </c>
      <c r="O406" s="70" t="b">
        <f t="shared" ca="1" si="9"/>
        <v>1</v>
      </c>
      <c r="P406" s="70"/>
      <c r="Q406" s="70" t="str">
        <f t="shared" ca="1" si="10"/>
        <v>NB v0.0_Family</v>
      </c>
      <c r="R406" s="20">
        <f t="shared" ca="1" si="11"/>
        <v>43509</v>
      </c>
      <c r="S406" s="5" t="str">
        <f t="shared" ca="1" si="12"/>
        <v>Initial Mapping</v>
      </c>
      <c r="T406" s="70" t="s">
        <v>244</v>
      </c>
      <c r="U406" s="20">
        <v>43535</v>
      </c>
      <c r="V406" s="70" t="s">
        <v>245</v>
      </c>
    </row>
    <row r="407" spans="1:22" ht="12.75" customHeight="1">
      <c r="A407" s="70" t="s">
        <v>171</v>
      </c>
      <c r="B407" s="56" t="s">
        <v>59</v>
      </c>
      <c r="C407" s="56" t="s">
        <v>924</v>
      </c>
      <c r="D407" s="56" t="s">
        <v>925</v>
      </c>
      <c r="E407" s="56"/>
      <c r="F407" s="56">
        <v>11</v>
      </c>
      <c r="G407" s="70" t="str">
        <f>VLOOKUP(C407,'10. FAMILYMEMBER'!F:T,15,FALSE)</f>
        <v>City</v>
      </c>
      <c r="H407" s="20">
        <v>43538</v>
      </c>
      <c r="I407" s="28" t="e">
        <v>#N/A</v>
      </c>
      <c r="J407" s="70" t="str">
        <f t="shared" ca="1" si="13"/>
        <v>MAILING_CITY</v>
      </c>
      <c r="K407" s="70" t="e">
        <f t="shared" ca="1" si="7"/>
        <v>#N/A</v>
      </c>
      <c r="L407" s="70"/>
      <c r="M407" s="70">
        <f t="shared" ca="1" si="8"/>
        <v>9</v>
      </c>
      <c r="N407" s="129" t="s">
        <v>926</v>
      </c>
      <c r="O407" s="70" t="b">
        <f t="shared" ca="1" si="9"/>
        <v>1</v>
      </c>
      <c r="P407" s="70"/>
      <c r="Q407" s="70" t="str">
        <f t="shared" ca="1" si="10"/>
        <v>NB v0.0_Family</v>
      </c>
      <c r="R407" s="20">
        <f t="shared" ca="1" si="11"/>
        <v>43509</v>
      </c>
      <c r="S407" s="5" t="str">
        <f t="shared" ca="1" si="12"/>
        <v>Initial Mapping</v>
      </c>
      <c r="T407" s="70" t="s">
        <v>244</v>
      </c>
      <c r="U407" s="20">
        <v>43535</v>
      </c>
      <c r="V407" s="70" t="s">
        <v>245</v>
      </c>
    </row>
    <row r="408" spans="1:22" ht="12.75" customHeight="1">
      <c r="A408" s="70" t="s">
        <v>171</v>
      </c>
      <c r="B408" s="56" t="s">
        <v>59</v>
      </c>
      <c r="C408" s="56" t="s">
        <v>927</v>
      </c>
      <c r="D408" s="56" t="s">
        <v>925</v>
      </c>
      <c r="E408" s="56"/>
      <c r="F408" s="56">
        <v>25</v>
      </c>
      <c r="G408" s="70" t="str">
        <f>VLOOKUP(C408,'10. FAMILYMEMBER'!F:T,15,FALSE)</f>
        <v>State</v>
      </c>
      <c r="H408" s="20">
        <v>43538</v>
      </c>
      <c r="I408" s="28" t="e">
        <v>#N/A</v>
      </c>
      <c r="J408" s="70" t="str">
        <f t="shared" ca="1" si="13"/>
        <v>MAILING_STATE</v>
      </c>
      <c r="K408" s="70" t="e">
        <f t="shared" ca="1" si="7"/>
        <v>#N/A</v>
      </c>
      <c r="L408" s="70"/>
      <c r="M408" s="70">
        <f t="shared" ca="1" si="8"/>
        <v>10</v>
      </c>
      <c r="N408" s="129" t="s">
        <v>928</v>
      </c>
      <c r="O408" s="70" t="b">
        <f t="shared" ca="1" si="9"/>
        <v>1</v>
      </c>
      <c r="P408" s="70"/>
      <c r="Q408" s="70" t="str">
        <f t="shared" ca="1" si="10"/>
        <v>NB v0.0_Family</v>
      </c>
      <c r="R408" s="20">
        <f t="shared" ca="1" si="11"/>
        <v>43509</v>
      </c>
      <c r="S408" s="5" t="str">
        <f t="shared" ca="1" si="12"/>
        <v>Initial Mapping</v>
      </c>
      <c r="T408" s="70" t="s">
        <v>244</v>
      </c>
      <c r="U408" s="20">
        <v>43535</v>
      </c>
      <c r="V408" s="70" t="s">
        <v>245</v>
      </c>
    </row>
    <row r="409" spans="1:22" ht="12.75" customHeight="1">
      <c r="A409" s="70" t="s">
        <v>171</v>
      </c>
      <c r="B409" s="56" t="s">
        <v>59</v>
      </c>
      <c r="C409" s="56" t="s">
        <v>929</v>
      </c>
      <c r="D409" s="56" t="s">
        <v>930</v>
      </c>
      <c r="E409" s="56"/>
      <c r="F409" s="56">
        <v>27</v>
      </c>
      <c r="G409" s="70" t="str">
        <f>VLOOKUP(C409,'10. FAMILYMEMBER'!F:T,15,FALSE)</f>
        <v>Zip Code</v>
      </c>
      <c r="H409" s="20">
        <v>43538</v>
      </c>
      <c r="I409" s="28" t="e">
        <v>#N/A</v>
      </c>
      <c r="J409" s="70" t="str">
        <f t="shared" ca="1" si="13"/>
        <v>MAILING_ZIPCODE</v>
      </c>
      <c r="K409" s="70" t="e">
        <f t="shared" ca="1" si="7"/>
        <v>#N/A</v>
      </c>
      <c r="L409" s="70"/>
      <c r="M409" s="70">
        <f t="shared" ca="1" si="8"/>
        <v>11</v>
      </c>
      <c r="N409" s="129" t="s">
        <v>931</v>
      </c>
      <c r="O409" s="70" t="b">
        <f t="shared" ca="1" si="9"/>
        <v>1</v>
      </c>
      <c r="P409" s="70"/>
      <c r="Q409" s="70" t="str">
        <f t="shared" ca="1" si="10"/>
        <v>NB v0.0_Family</v>
      </c>
      <c r="R409" s="20">
        <f t="shared" ca="1" si="11"/>
        <v>43509</v>
      </c>
      <c r="S409" s="5" t="str">
        <f t="shared" ca="1" si="12"/>
        <v>Initial Mapping</v>
      </c>
      <c r="T409" s="70" t="s">
        <v>244</v>
      </c>
      <c r="U409" s="20">
        <v>43535</v>
      </c>
      <c r="V409" s="70" t="s">
        <v>245</v>
      </c>
    </row>
    <row r="410" spans="1:22" ht="12.75" customHeight="1">
      <c r="A410" s="70" t="s">
        <v>171</v>
      </c>
      <c r="B410" s="56" t="s">
        <v>55</v>
      </c>
      <c r="C410" s="56" t="s">
        <v>932</v>
      </c>
      <c r="D410" s="56" t="s">
        <v>249</v>
      </c>
      <c r="E410" s="56"/>
      <c r="F410" s="56">
        <v>38</v>
      </c>
      <c r="G410" s="70" t="str">
        <f>VLOOKUP(C410,'10. FAMILYMEMBER'!F:T,15,FALSE)</f>
        <v>ISO Country code for country of residency</v>
      </c>
      <c r="H410" s="20">
        <v>43538</v>
      </c>
      <c r="I410" s="28" t="e">
        <v>#N/A</v>
      </c>
      <c r="J410" s="70" t="str">
        <f t="shared" ca="1" si="13"/>
        <v>MAILING_COUNTRY</v>
      </c>
      <c r="K410" s="70" t="e">
        <f t="shared" ca="1" si="7"/>
        <v>#N/A</v>
      </c>
      <c r="L410" s="70"/>
      <c r="M410" s="70">
        <f t="shared" ca="1" si="8"/>
        <v>12</v>
      </c>
      <c r="N410" s="129" t="s">
        <v>933</v>
      </c>
      <c r="O410" s="70" t="b">
        <f t="shared" ca="1" si="9"/>
        <v>1</v>
      </c>
      <c r="P410" s="70"/>
      <c r="Q410" s="70" t="str">
        <f t="shared" ca="1" si="10"/>
        <v>Common Interface NB v0.6</v>
      </c>
      <c r="R410" s="20">
        <f t="shared" ca="1" si="11"/>
        <v>43538</v>
      </c>
      <c r="S410" s="70" t="str">
        <f t="shared" ca="1" si="12"/>
        <v xml:space="preserve">Remapped from Country of Citizenship to Country of Residency as requested by IC. </v>
      </c>
      <c r="T410" s="70" t="s">
        <v>244</v>
      </c>
      <c r="U410" s="20">
        <v>43536</v>
      </c>
      <c r="V410" s="70" t="s">
        <v>512</v>
      </c>
    </row>
    <row r="411" spans="1:22" ht="12.75" customHeight="1">
      <c r="A411" s="70" t="s">
        <v>171</v>
      </c>
      <c r="B411" s="56" t="s">
        <v>59</v>
      </c>
      <c r="C411" s="56" t="s">
        <v>934</v>
      </c>
      <c r="D411" s="56" t="s">
        <v>249</v>
      </c>
      <c r="E411" s="56"/>
      <c r="F411" s="56">
        <v>18</v>
      </c>
      <c r="G411" s="70" t="str">
        <f>VLOOKUP(C411,'10. FAMILYMEMBER'!F:T,15,FALSE)</f>
        <v>Phone 1 (Primary phone for Multi Factor Authentication)</v>
      </c>
      <c r="H411" s="20">
        <v>43538</v>
      </c>
      <c r="I411" s="28" t="e">
        <v>#N/A</v>
      </c>
      <c r="J411" s="70" t="str">
        <f t="shared" ca="1" si="13"/>
        <v>MOBILE_PHONE</v>
      </c>
      <c r="K411" s="70" t="e">
        <f t="shared" ca="1" si="7"/>
        <v>#N/A</v>
      </c>
      <c r="L411" s="70"/>
      <c r="M411" s="70">
        <f t="shared" ca="1" si="8"/>
        <v>13</v>
      </c>
      <c r="N411" s="129" t="s">
        <v>935</v>
      </c>
      <c r="O411" s="70" t="b">
        <f t="shared" ca="1" si="9"/>
        <v>1</v>
      </c>
      <c r="P411" s="70"/>
      <c r="Q411" s="70" t="str">
        <f t="shared" ca="1" si="10"/>
        <v>NB v0.0_Family</v>
      </c>
      <c r="R411" s="20">
        <f t="shared" ca="1" si="11"/>
        <v>43509</v>
      </c>
      <c r="S411" s="5" t="str">
        <f t="shared" ca="1" si="12"/>
        <v>Initial Mapping</v>
      </c>
      <c r="T411" s="70" t="s">
        <v>244</v>
      </c>
      <c r="U411" s="20">
        <v>43535</v>
      </c>
      <c r="V411" s="70" t="s">
        <v>245</v>
      </c>
    </row>
    <row r="412" spans="1:22" ht="12.75" customHeight="1">
      <c r="A412" s="70" t="s">
        <v>171</v>
      </c>
      <c r="B412" s="56" t="s">
        <v>55</v>
      </c>
      <c r="C412" s="56" t="s">
        <v>936</v>
      </c>
      <c r="D412" s="56" t="s">
        <v>247</v>
      </c>
      <c r="E412" s="56"/>
      <c r="F412" s="56">
        <v>31</v>
      </c>
      <c r="G412" s="70" t="str">
        <f>VLOOKUP(C412,'10. FAMILYMEMBER'!F:T,15,FALSE)</f>
        <v>Alternate ID (e.g. for other systems or look ups) for Integration or display</v>
      </c>
      <c r="H412" s="20">
        <v>43538</v>
      </c>
      <c r="I412" s="28" t="e">
        <v>#N/A</v>
      </c>
      <c r="J412" s="70" t="str">
        <f t="shared" ca="1" si="13"/>
        <v>INFORMAL_GREETING</v>
      </c>
      <c r="K412" s="70" t="e">
        <f t="shared" ca="1" si="7"/>
        <v>#N/A</v>
      </c>
      <c r="L412" s="70"/>
      <c r="M412" s="70">
        <f t="shared" ca="1" si="8"/>
        <v>14</v>
      </c>
      <c r="N412" s="129" t="s">
        <v>937</v>
      </c>
      <c r="O412" s="70" t="b">
        <f t="shared" ca="1" si="9"/>
        <v>1</v>
      </c>
      <c r="P412" s="70"/>
      <c r="Q412" s="70" t="str">
        <f t="shared" ca="1" si="10"/>
        <v>Common Interface NB v0.6</v>
      </c>
      <c r="R412" s="20">
        <f t="shared" ca="1" si="11"/>
        <v>43538</v>
      </c>
      <c r="S412" s="70" t="str">
        <f t="shared" ca="1" si="12"/>
        <v xml:space="preserve">Remapped from Shortname to ALTID as requested by IC. </v>
      </c>
      <c r="T412" s="70" t="s">
        <v>244</v>
      </c>
      <c r="U412" s="20">
        <v>43536</v>
      </c>
      <c r="V412" s="70" t="s">
        <v>512</v>
      </c>
    </row>
    <row r="413" spans="1:22" ht="12.75" customHeight="1">
      <c r="A413" s="70" t="s">
        <v>171</v>
      </c>
      <c r="B413" s="56" t="s">
        <v>55</v>
      </c>
      <c r="C413" s="56" t="s">
        <v>938</v>
      </c>
      <c r="D413" s="56" t="s">
        <v>255</v>
      </c>
      <c r="E413" s="56"/>
      <c r="F413" s="56">
        <v>35</v>
      </c>
      <c r="G413" s="70" t="str">
        <f>VLOOKUP(C413,'10. FAMILYMEMBER'!F:T,15,FALSE)</f>
        <v>Birthday</v>
      </c>
      <c r="H413" s="20">
        <v>43538</v>
      </c>
      <c r="I413" s="28" t="e">
        <v>#N/A</v>
      </c>
      <c r="J413" s="70" t="str">
        <f t="shared" ca="1" si="13"/>
        <v>BIRTH_DATE</v>
      </c>
      <c r="K413" s="70" t="e">
        <f t="shared" ca="1" si="7"/>
        <v>#N/A</v>
      </c>
      <c r="L413" s="70"/>
      <c r="M413" s="70">
        <f t="shared" ca="1" si="8"/>
        <v>15</v>
      </c>
      <c r="N413" s="129" t="s">
        <v>939</v>
      </c>
      <c r="O413" s="70" t="b">
        <f t="shared" ca="1" si="9"/>
        <v>1</v>
      </c>
      <c r="P413" s="70"/>
      <c r="Q413" s="70" t="str">
        <f t="shared" ca="1" si="10"/>
        <v>Common Interface NB v0.7</v>
      </c>
      <c r="R413" s="20">
        <f t="shared" ca="1" si="11"/>
        <v>43509</v>
      </c>
      <c r="S413" s="5" t="str">
        <f t="shared" ca="1" si="12"/>
        <v>NB updated field name to match what was in CI &amp; IC ETL. (no impact to IC)</v>
      </c>
      <c r="T413" s="70" t="s">
        <v>244</v>
      </c>
      <c r="U413" s="20">
        <v>43539</v>
      </c>
      <c r="V413" s="70" t="s">
        <v>512</v>
      </c>
    </row>
    <row r="414" spans="1:22" ht="12.75" customHeight="1">
      <c r="A414" s="70" t="s">
        <v>171</v>
      </c>
      <c r="B414" s="56" t="s">
        <v>55</v>
      </c>
      <c r="C414" s="56" t="s">
        <v>940</v>
      </c>
      <c r="D414" s="56" t="s">
        <v>941</v>
      </c>
      <c r="E414" s="56"/>
      <c r="F414" s="56">
        <v>49</v>
      </c>
      <c r="G414" s="70" t="str">
        <f>VLOOKUP(C414,'10. FAMILYMEMBER'!F:T,15,FALSE)</f>
        <v>Greeting</v>
      </c>
      <c r="H414" s="20">
        <v>43538</v>
      </c>
      <c r="I414" s="28" t="e">
        <v>#N/A</v>
      </c>
      <c r="J414" s="70" t="str">
        <f t="shared" ca="1" si="13"/>
        <v>FORMAL_GREETING</v>
      </c>
      <c r="K414" s="70" t="e">
        <f t="shared" ca="1" si="7"/>
        <v>#N/A</v>
      </c>
      <c r="L414" s="70"/>
      <c r="M414" s="70">
        <f t="shared" ca="1" si="8"/>
        <v>16</v>
      </c>
      <c r="N414" s="129" t="s">
        <v>942</v>
      </c>
      <c r="O414" s="70" t="b">
        <f t="shared" ca="1" si="9"/>
        <v>1</v>
      </c>
      <c r="P414" s="70"/>
      <c r="Q414" s="70" t="str">
        <f t="shared" ca="1" si="10"/>
        <v>NB v0.0_Family</v>
      </c>
      <c r="R414" s="20">
        <f t="shared" ca="1" si="11"/>
        <v>43539</v>
      </c>
      <c r="S414" s="5" t="str">
        <f t="shared" ca="1" si="12"/>
        <v>NB updated field name to match what was in CI &amp; IC ETL. (no impact to IC)</v>
      </c>
      <c r="T414" s="70" t="s">
        <v>244</v>
      </c>
      <c r="U414" s="20">
        <v>43539</v>
      </c>
      <c r="V414" s="70" t="s">
        <v>512</v>
      </c>
    </row>
    <row r="415" spans="1:22" ht="12.75" customHeight="1">
      <c r="A415" s="70" t="s">
        <v>171</v>
      </c>
      <c r="B415" s="56" t="s">
        <v>55</v>
      </c>
      <c r="C415" s="56" t="s">
        <v>943</v>
      </c>
      <c r="D415" s="56" t="s">
        <v>247</v>
      </c>
      <c r="E415" s="56"/>
      <c r="F415" s="56">
        <v>52</v>
      </c>
      <c r="G415" s="70" t="str">
        <f>VLOOKUP(C415,'10. FAMILYMEMBER'!F:T,15,FALSE)</f>
        <v>Middle name</v>
      </c>
      <c r="H415" s="20">
        <v>43538</v>
      </c>
      <c r="I415" s="28" t="e">
        <v>#N/A</v>
      </c>
      <c r="J415" s="70" t="str">
        <f t="shared" ca="1" si="13"/>
        <v>MIDDLE_NAME</v>
      </c>
      <c r="K415" s="70" t="e">
        <f t="shared" ca="1" si="7"/>
        <v>#N/A</v>
      </c>
      <c r="L415" s="70"/>
      <c r="M415" s="70">
        <f t="shared" ca="1" si="8"/>
        <v>17</v>
      </c>
      <c r="N415" s="129" t="s">
        <v>944</v>
      </c>
      <c r="O415" s="70" t="b">
        <f t="shared" ca="1" si="9"/>
        <v>1</v>
      </c>
      <c r="P415" s="70"/>
      <c r="Q415" s="70" t="str">
        <f t="shared" ca="1" si="10"/>
        <v>Common Interface NB v0.7</v>
      </c>
      <c r="R415" s="20">
        <f t="shared" ca="1" si="11"/>
        <v>43539</v>
      </c>
      <c r="S415" s="5" t="str">
        <f t="shared" ca="1" si="12"/>
        <v>NB updated field name to match what was in CI &amp; IC ETL. (no impact to IC)</v>
      </c>
      <c r="T415" s="70" t="s">
        <v>244</v>
      </c>
      <c r="U415" s="20">
        <v>43539</v>
      </c>
      <c r="V415" s="70" t="s">
        <v>512</v>
      </c>
    </row>
    <row r="416" spans="1:22" ht="12.75" customHeight="1">
      <c r="A416" s="70" t="s">
        <v>171</v>
      </c>
      <c r="B416" s="56" t="s">
        <v>55</v>
      </c>
      <c r="C416" s="56" t="s">
        <v>945</v>
      </c>
      <c r="D416" s="56" t="s">
        <v>249</v>
      </c>
      <c r="E416" s="56"/>
      <c r="F416" s="56">
        <v>54</v>
      </c>
      <c r="G416" s="70" t="str">
        <f>VLOOKUP(C416,'10. FAMILYMEMBER'!F:T,15,FALSE)</f>
        <v>Alternate Phone</v>
      </c>
      <c r="H416" s="20">
        <v>43538</v>
      </c>
      <c r="I416" s="28" t="e">
        <v>#N/A</v>
      </c>
      <c r="J416" s="70" t="str">
        <f t="shared" ca="1" si="13"/>
        <v>ALTERNATE_PHONE</v>
      </c>
      <c r="K416" s="70" t="e">
        <f t="shared" ca="1" si="7"/>
        <v>#N/A</v>
      </c>
      <c r="L416" s="70"/>
      <c r="M416" s="70">
        <f t="shared" ca="1" si="8"/>
        <v>18</v>
      </c>
      <c r="N416" s="129" t="s">
        <v>946</v>
      </c>
      <c r="O416" s="70" t="b">
        <f t="shared" ca="1" si="9"/>
        <v>1</v>
      </c>
      <c r="P416" s="70"/>
      <c r="Q416" s="70" t="str">
        <f t="shared" ca="1" si="10"/>
        <v>NB v0.0_Family</v>
      </c>
      <c r="R416" s="20">
        <f t="shared" ca="1" si="11"/>
        <v>43509</v>
      </c>
      <c r="S416" s="5" t="str">
        <f t="shared" ca="1" si="12"/>
        <v>Initial Mapping</v>
      </c>
      <c r="T416" s="70" t="s">
        <v>244</v>
      </c>
      <c r="U416" s="20">
        <v>43535</v>
      </c>
      <c r="V416" s="70" t="s">
        <v>245</v>
      </c>
    </row>
    <row r="417" spans="1:25" ht="12.75" customHeight="1">
      <c r="A417" s="70" t="s">
        <v>171</v>
      </c>
      <c r="B417" s="56" t="s">
        <v>59</v>
      </c>
      <c r="C417" s="56" t="s">
        <v>947</v>
      </c>
      <c r="D417" s="56" t="s">
        <v>324</v>
      </c>
      <c r="E417" s="56"/>
      <c r="F417" s="56">
        <v>23</v>
      </c>
      <c r="G417" s="70" t="str">
        <f>VLOOKUP(C417,'10. FAMILYMEMBER'!F:T,15,FALSE)</f>
        <v>Salutatino: "Mr.", Ms.", "Mrs" etc.</v>
      </c>
      <c r="H417" s="20">
        <v>43538</v>
      </c>
      <c r="I417" s="28" t="e">
        <v>#N/A</v>
      </c>
      <c r="J417" s="70" t="str">
        <f t="shared" ca="1" si="13"/>
        <v>SALUTATION</v>
      </c>
      <c r="K417" s="70" t="e">
        <f t="shared" ca="1" si="7"/>
        <v>#N/A</v>
      </c>
      <c r="L417" s="70"/>
      <c r="M417" s="70">
        <f t="shared" ca="1" si="8"/>
        <v>19</v>
      </c>
      <c r="N417" s="129" t="s">
        <v>947</v>
      </c>
      <c r="O417" s="70" t="b">
        <f t="shared" ca="1" si="9"/>
        <v>1</v>
      </c>
      <c r="P417" s="70"/>
      <c r="Q417" s="70" t="str">
        <f t="shared" ca="1" si="10"/>
        <v>NB v0.0_Family</v>
      </c>
      <c r="R417" s="20">
        <f t="shared" ca="1" si="11"/>
        <v>43509</v>
      </c>
      <c r="S417" s="5" t="str">
        <f t="shared" ca="1" si="12"/>
        <v>Initial Mapping</v>
      </c>
      <c r="T417" s="70" t="s">
        <v>244</v>
      </c>
      <c r="U417" s="20">
        <v>43535</v>
      </c>
      <c r="V417" s="70" t="s">
        <v>245</v>
      </c>
      <c r="W417" s="70"/>
      <c r="X417" s="70"/>
      <c r="Y417" s="70"/>
    </row>
    <row r="418" spans="1:25" ht="12.75" customHeight="1">
      <c r="A418" s="70" t="s">
        <v>171</v>
      </c>
      <c r="B418" s="56" t="s">
        <v>59</v>
      </c>
      <c r="C418" s="56" t="s">
        <v>948</v>
      </c>
      <c r="D418" s="56" t="s">
        <v>324</v>
      </c>
      <c r="E418" s="56"/>
      <c r="F418" s="56">
        <v>26</v>
      </c>
      <c r="G418" s="70" t="str">
        <f>VLOOKUP(C418,'10. FAMILYMEMBER'!F:T,15,FALSE)</f>
        <v>Title (Professional Title)</v>
      </c>
      <c r="H418" s="20">
        <v>43538</v>
      </c>
      <c r="I418" s="28" t="e">
        <v>#N/A</v>
      </c>
      <c r="J418" s="70" t="str">
        <f t="shared" ca="1" si="13"/>
        <v>CORPORATE_TITLE</v>
      </c>
      <c r="K418" s="70" t="e">
        <f t="shared" ca="1" si="7"/>
        <v>#N/A</v>
      </c>
      <c r="L418" s="70"/>
      <c r="M418" s="70">
        <f t="shared" ca="1" si="8"/>
        <v>20</v>
      </c>
      <c r="N418" s="129" t="s">
        <v>949</v>
      </c>
      <c r="O418" s="70" t="b">
        <f t="shared" ca="1" si="9"/>
        <v>1</v>
      </c>
      <c r="P418" s="70"/>
      <c r="Q418" s="70" t="str">
        <f t="shared" ca="1" si="10"/>
        <v>NB v0.0_Family</v>
      </c>
      <c r="R418" s="20">
        <f t="shared" ca="1" si="11"/>
        <v>43509</v>
      </c>
      <c r="S418" s="5" t="str">
        <f t="shared" ca="1" si="12"/>
        <v>Initial Mapping</v>
      </c>
      <c r="T418" s="70" t="s">
        <v>244</v>
      </c>
      <c r="U418" s="20">
        <v>43535</v>
      </c>
      <c r="V418" s="70" t="s">
        <v>245</v>
      </c>
      <c r="W418" s="70"/>
      <c r="X418" s="70"/>
      <c r="Y418" s="70"/>
    </row>
    <row r="419" spans="1:25" ht="12.75" customHeight="1">
      <c r="A419" s="70" t="s">
        <v>171</v>
      </c>
      <c r="B419" s="56" t="s">
        <v>59</v>
      </c>
      <c r="C419" s="56" t="s">
        <v>950</v>
      </c>
      <c r="D419" s="56" t="s">
        <v>324</v>
      </c>
      <c r="E419" s="56"/>
      <c r="F419" s="56">
        <v>13</v>
      </c>
      <c r="G419" s="70" t="str">
        <f>VLOOKUP(C419,'10. FAMILYMEMBER'!F:T,15,FALSE)</f>
        <v>Email (Primary Email for Multi-Factor Authentication)</v>
      </c>
      <c r="H419" s="20">
        <v>43538</v>
      </c>
      <c r="I419" s="28" t="e">
        <v>#N/A</v>
      </c>
      <c r="J419" s="70" t="str">
        <f t="shared" ca="1" si="13"/>
        <v>EMAIL</v>
      </c>
      <c r="K419" s="70" t="e">
        <f t="shared" ca="1" si="7"/>
        <v>#N/A</v>
      </c>
      <c r="L419" s="70"/>
      <c r="M419" s="70">
        <f t="shared" ca="1" si="8"/>
        <v>21</v>
      </c>
      <c r="N419" s="129" t="s">
        <v>951</v>
      </c>
      <c r="O419" s="70" t="b">
        <f t="shared" ca="1" si="9"/>
        <v>1</v>
      </c>
      <c r="P419" s="70"/>
      <c r="Q419" s="70" t="str">
        <f t="shared" ca="1" si="10"/>
        <v>NB v0.0_Family</v>
      </c>
      <c r="R419" s="20">
        <f t="shared" ca="1" si="11"/>
        <v>43509</v>
      </c>
      <c r="S419" s="5" t="str">
        <f t="shared" ca="1" si="12"/>
        <v>Initial Mapping</v>
      </c>
      <c r="T419" s="70" t="s">
        <v>244</v>
      </c>
      <c r="U419" s="20">
        <v>43535</v>
      </c>
      <c r="V419" s="70" t="s">
        <v>245</v>
      </c>
      <c r="W419" s="70"/>
      <c r="X419" s="70"/>
      <c r="Y419" s="70"/>
    </row>
    <row r="420" spans="1:25" ht="12.75" customHeight="1">
      <c r="A420" s="219" t="s">
        <v>171</v>
      </c>
      <c r="B420" s="234" t="s">
        <v>952</v>
      </c>
      <c r="C420" s="235" t="s">
        <v>953</v>
      </c>
      <c r="D420" s="234" t="s">
        <v>247</v>
      </c>
      <c r="E420" s="229"/>
      <c r="F420" s="229"/>
      <c r="G420" s="219"/>
      <c r="H420" s="220">
        <v>43550</v>
      </c>
      <c r="I420" s="236"/>
      <c r="J420" s="219" t="e">
        <f t="shared" ca="1" si="13"/>
        <v>#N/A</v>
      </c>
      <c r="K420" s="219" t="e">
        <f t="shared" ca="1" si="7"/>
        <v>#N/A</v>
      </c>
      <c r="L420" s="219"/>
      <c r="M420" s="219" t="e">
        <f t="shared" ca="1" si="8"/>
        <v>#N/A</v>
      </c>
      <c r="N420" s="219" t="s">
        <v>954</v>
      </c>
      <c r="O420" s="219" t="e">
        <f t="shared" ca="1" si="9"/>
        <v>#N/A</v>
      </c>
      <c r="P420" s="219"/>
      <c r="Q420" s="219" t="e">
        <f t="shared" ca="1" si="10"/>
        <v>#N/A</v>
      </c>
      <c r="R420" s="220" t="e">
        <f t="shared" ca="1" si="11"/>
        <v>#N/A</v>
      </c>
      <c r="S420" s="219" t="e">
        <f t="shared" ca="1" si="12"/>
        <v>#N/A</v>
      </c>
      <c r="T420" s="70"/>
      <c r="U420" s="20"/>
      <c r="V420" s="70"/>
      <c r="W420" s="70"/>
      <c r="X420" s="70"/>
      <c r="Y420" s="70"/>
    </row>
    <row r="421" spans="1:25" ht="12.75" customHeight="1">
      <c r="A421" s="219" t="s">
        <v>171</v>
      </c>
      <c r="B421" s="234" t="s">
        <v>952</v>
      </c>
      <c r="C421" s="235" t="s">
        <v>955</v>
      </c>
      <c r="D421" s="234" t="s">
        <v>247</v>
      </c>
      <c r="E421" s="229"/>
      <c r="F421" s="229"/>
      <c r="G421" s="219"/>
      <c r="H421" s="220">
        <v>43550</v>
      </c>
      <c r="I421" s="236"/>
      <c r="J421" s="219" t="e">
        <f t="shared" ca="1" si="13"/>
        <v>#N/A</v>
      </c>
      <c r="K421" s="219" t="e">
        <f t="shared" ca="1" si="7"/>
        <v>#N/A</v>
      </c>
      <c r="L421" s="219"/>
      <c r="M421" s="219" t="e">
        <f t="shared" ca="1" si="8"/>
        <v>#N/A</v>
      </c>
      <c r="N421" s="219" t="s">
        <v>954</v>
      </c>
      <c r="O421" s="219" t="e">
        <f t="shared" ca="1" si="9"/>
        <v>#N/A</v>
      </c>
      <c r="P421" s="219"/>
      <c r="Q421" s="219" t="e">
        <f t="shared" ca="1" si="10"/>
        <v>#N/A</v>
      </c>
      <c r="R421" s="220" t="e">
        <f t="shared" ca="1" si="11"/>
        <v>#N/A</v>
      </c>
      <c r="S421" s="219" t="e">
        <f t="shared" ca="1" si="12"/>
        <v>#N/A</v>
      </c>
      <c r="T421" s="70"/>
      <c r="U421" s="20"/>
      <c r="V421" s="70"/>
      <c r="W421" s="70"/>
      <c r="X421" s="70"/>
      <c r="Y421" s="70"/>
    </row>
    <row r="422" spans="1:25" ht="12.75" customHeight="1">
      <c r="A422" s="219" t="s">
        <v>171</v>
      </c>
      <c r="B422" s="234" t="s">
        <v>952</v>
      </c>
      <c r="C422" s="235" t="s">
        <v>956</v>
      </c>
      <c r="D422" s="234" t="s">
        <v>247</v>
      </c>
      <c r="E422" s="229"/>
      <c r="F422" s="229"/>
      <c r="G422" s="219"/>
      <c r="H422" s="220">
        <v>43550</v>
      </c>
      <c r="I422" s="236"/>
      <c r="J422" s="219" t="e">
        <f t="shared" ca="1" si="13"/>
        <v>#N/A</v>
      </c>
      <c r="K422" s="219" t="e">
        <f t="shared" ca="1" si="7"/>
        <v>#N/A</v>
      </c>
      <c r="L422" s="219"/>
      <c r="M422" s="219" t="e">
        <f t="shared" ca="1" si="8"/>
        <v>#N/A</v>
      </c>
      <c r="N422" s="219" t="s">
        <v>954</v>
      </c>
      <c r="O422" s="219" t="e">
        <f t="shared" ca="1" si="9"/>
        <v>#N/A</v>
      </c>
      <c r="P422" s="219"/>
      <c r="Q422" s="219" t="e">
        <f t="shared" ca="1" si="10"/>
        <v>#N/A</v>
      </c>
      <c r="R422" s="220" t="e">
        <f t="shared" ca="1" si="11"/>
        <v>#N/A</v>
      </c>
      <c r="S422" s="219" t="e">
        <f t="shared" ca="1" si="12"/>
        <v>#N/A</v>
      </c>
      <c r="T422" s="70"/>
      <c r="U422" s="20"/>
      <c r="V422" s="70"/>
      <c r="W422" s="70"/>
      <c r="X422" s="70"/>
      <c r="Y422" s="70"/>
    </row>
    <row r="423" spans="1:25" ht="12.75" customHeight="1">
      <c r="A423" s="219" t="s">
        <v>171</v>
      </c>
      <c r="B423" s="234" t="s">
        <v>952</v>
      </c>
      <c r="C423" s="235" t="s">
        <v>957</v>
      </c>
      <c r="D423" s="234" t="s">
        <v>247</v>
      </c>
      <c r="E423" s="229"/>
      <c r="F423" s="229"/>
      <c r="G423" s="219"/>
      <c r="H423" s="220">
        <v>43550</v>
      </c>
      <c r="I423" s="236"/>
      <c r="J423" s="219" t="e">
        <f t="shared" ca="1" si="13"/>
        <v>#N/A</v>
      </c>
      <c r="K423" s="219" t="e">
        <f t="shared" ca="1" si="7"/>
        <v>#N/A</v>
      </c>
      <c r="L423" s="219"/>
      <c r="M423" s="219" t="e">
        <f t="shared" ca="1" si="8"/>
        <v>#N/A</v>
      </c>
      <c r="N423" s="219" t="s">
        <v>954</v>
      </c>
      <c r="O423" s="219" t="e">
        <f t="shared" ca="1" si="9"/>
        <v>#N/A</v>
      </c>
      <c r="P423" s="219"/>
      <c r="Q423" s="219" t="e">
        <f t="shared" ca="1" si="10"/>
        <v>#N/A</v>
      </c>
      <c r="R423" s="220" t="e">
        <f t="shared" ca="1" si="11"/>
        <v>#N/A</v>
      </c>
      <c r="S423" s="219" t="e">
        <f t="shared" ca="1" si="12"/>
        <v>#N/A</v>
      </c>
      <c r="T423" s="70"/>
      <c r="U423" s="20"/>
      <c r="V423" s="70"/>
      <c r="W423" s="70"/>
      <c r="X423" s="70"/>
      <c r="Y423" s="70"/>
    </row>
    <row r="424" spans="1:25" ht="12.75" customHeight="1">
      <c r="A424" s="219" t="s">
        <v>171</v>
      </c>
      <c r="B424" s="234" t="s">
        <v>952</v>
      </c>
      <c r="C424" s="237" t="s">
        <v>958</v>
      </c>
      <c r="D424" s="237" t="s">
        <v>247</v>
      </c>
      <c r="E424" s="229"/>
      <c r="F424" s="229"/>
      <c r="G424" s="219"/>
      <c r="H424" s="220">
        <v>43550</v>
      </c>
      <c r="I424" s="236"/>
      <c r="J424" s="219" t="e">
        <f t="shared" ca="1" si="13"/>
        <v>#N/A</v>
      </c>
      <c r="K424" s="219" t="e">
        <f t="shared" ca="1" si="7"/>
        <v>#N/A</v>
      </c>
      <c r="L424" s="219"/>
      <c r="M424" s="219" t="e">
        <f t="shared" ca="1" si="8"/>
        <v>#N/A</v>
      </c>
      <c r="N424" s="219" t="s">
        <v>954</v>
      </c>
      <c r="O424" s="219" t="e">
        <f t="shared" ca="1" si="9"/>
        <v>#N/A</v>
      </c>
      <c r="P424" s="219"/>
      <c r="Q424" s="219" t="e">
        <f t="shared" ca="1" si="10"/>
        <v>#N/A</v>
      </c>
      <c r="R424" s="220" t="e">
        <f t="shared" ca="1" si="11"/>
        <v>#N/A</v>
      </c>
      <c r="S424" s="219" t="e">
        <f t="shared" ca="1" si="12"/>
        <v>#N/A</v>
      </c>
      <c r="T424" s="70"/>
      <c r="U424" s="20"/>
      <c r="V424" s="70"/>
      <c r="W424" s="70"/>
      <c r="X424" s="70"/>
      <c r="Y424" s="70"/>
    </row>
    <row r="425" spans="1:25" ht="12.75" customHeight="1">
      <c r="A425" s="70" t="s">
        <v>171</v>
      </c>
      <c r="B425" s="56" t="s">
        <v>55</v>
      </c>
      <c r="C425" s="56" t="s">
        <v>959</v>
      </c>
      <c r="D425" s="56" t="s">
        <v>249</v>
      </c>
      <c r="E425" s="56"/>
      <c r="F425" s="56">
        <v>37</v>
      </c>
      <c r="G425" s="70" t="str">
        <f>VLOOKUP(C425,'10. FAMILYMEMBER'!F:T,15,FALSE)</f>
        <v>ISO Country code for country of citizenship</v>
      </c>
      <c r="H425" s="20">
        <v>43550</v>
      </c>
      <c r="I425" s="28"/>
      <c r="J425" s="70">
        <f t="shared" ca="1" si="13"/>
        <v>0</v>
      </c>
      <c r="K425" s="70" t="b">
        <f t="shared" ca="1" si="7"/>
        <v>1</v>
      </c>
      <c r="L425" s="70"/>
      <c r="M425" s="70">
        <f t="shared" ca="1" si="8"/>
        <v>99</v>
      </c>
      <c r="N425" s="70" t="s">
        <v>954</v>
      </c>
      <c r="O425" s="70" t="b">
        <f t="shared" ca="1" si="9"/>
        <v>0</v>
      </c>
      <c r="P425" s="70"/>
      <c r="Q425" s="70" t="str">
        <f t="shared" ca="1" si="10"/>
        <v>Common Interface NB v0.6</v>
      </c>
      <c r="R425" s="20">
        <f t="shared" ca="1" si="11"/>
        <v>43538</v>
      </c>
      <c r="S425" s="70" t="str">
        <f t="shared" ca="1" si="12"/>
        <v>Removed mapping (field is now mapped to Cntry of Residency</v>
      </c>
      <c r="T425" s="70" t="s">
        <v>244</v>
      </c>
      <c r="U425" s="20">
        <v>43536</v>
      </c>
      <c r="V425" s="70" t="s">
        <v>512</v>
      </c>
      <c r="W425" s="70"/>
      <c r="X425" s="70"/>
      <c r="Y425" s="70"/>
    </row>
    <row r="426" spans="1:25" ht="12.75" customHeight="1">
      <c r="A426" s="70" t="s">
        <v>960</v>
      </c>
      <c r="B426" s="56" t="s">
        <v>61</v>
      </c>
      <c r="C426" s="56" t="s">
        <v>173</v>
      </c>
      <c r="D426" s="70"/>
      <c r="E426" s="70"/>
      <c r="F426" s="70"/>
      <c r="G426" s="70" t="str">
        <f>VLOOKUP(C426,'11. FAMILYMEMBER to ACCOUNT'!F:T,15,FALSE)</f>
        <v>FAMILYMEMBERCODE from 10.FAMILYMEMBER</v>
      </c>
      <c r="H426" s="20">
        <v>43538</v>
      </c>
      <c r="I426" s="70" t="e">
        <v>#N/A</v>
      </c>
      <c r="J426" s="70" t="str">
        <f t="shared" ca="1" si="13"/>
        <v>RELATIONSHIP_GROUP_MEMBER_ID</v>
      </c>
      <c r="K426" s="70" t="e">
        <f t="shared" ca="1" si="7"/>
        <v>#N/A</v>
      </c>
      <c r="L426" s="70"/>
      <c r="M426" s="70">
        <f t="shared" ca="1" si="8"/>
        <v>1</v>
      </c>
      <c r="N426" s="70" t="s">
        <v>908</v>
      </c>
      <c r="O426" s="70" t="b">
        <f t="shared" ca="1" si="9"/>
        <v>1</v>
      </c>
      <c r="P426" s="70"/>
      <c r="Q426" s="70" t="str">
        <f t="shared" ca="1" si="10"/>
        <v>NB v0.0_Family</v>
      </c>
      <c r="R426" s="20">
        <f t="shared" ca="1" si="11"/>
        <v>43509</v>
      </c>
      <c r="S426" s="5" t="str">
        <f t="shared" ca="1" si="12"/>
        <v>Initial Mapping</v>
      </c>
      <c r="T426" s="70" t="s">
        <v>244</v>
      </c>
      <c r="U426" s="20">
        <v>43535</v>
      </c>
      <c r="V426" s="70" t="s">
        <v>245</v>
      </c>
      <c r="W426" s="70"/>
      <c r="X426" s="70"/>
      <c r="Y426" s="70"/>
    </row>
    <row r="427" spans="1:25" ht="12.75" customHeight="1">
      <c r="A427" s="70" t="s">
        <v>960</v>
      </c>
      <c r="B427" s="56" t="s">
        <v>61</v>
      </c>
      <c r="C427" s="56" t="s">
        <v>118</v>
      </c>
      <c r="D427" s="70"/>
      <c r="E427" s="70"/>
      <c r="F427" s="70"/>
      <c r="G427" s="70" t="str">
        <f>VLOOKUP(C427,'11. FAMILYMEMBER to ACCOUNT'!F:T,15,FALSE)</f>
        <v>ACCOUNTSHORTNAME from 1.ACCOUNT</v>
      </c>
      <c r="H427" s="20">
        <v>43538</v>
      </c>
      <c r="I427" s="70" t="e">
        <v>#N/A</v>
      </c>
      <c r="J427" s="70" t="str">
        <f t="shared" ca="1" si="13"/>
        <v>BR_ACCT</v>
      </c>
      <c r="K427" s="70" t="e">
        <f t="shared" ca="1" si="7"/>
        <v>#N/A</v>
      </c>
      <c r="L427" s="70"/>
      <c r="M427" s="70">
        <f t="shared" ca="1" si="8"/>
        <v>2</v>
      </c>
      <c r="N427" s="70" t="s">
        <v>961</v>
      </c>
      <c r="O427" s="70" t="b">
        <f t="shared" ca="1" si="9"/>
        <v>1</v>
      </c>
      <c r="P427" s="70"/>
      <c r="Q427" s="70" t="str">
        <f t="shared" ca="1" si="10"/>
        <v>NB v0.0_Family</v>
      </c>
      <c r="R427" s="20">
        <f t="shared" ca="1" si="11"/>
        <v>43509</v>
      </c>
      <c r="S427" s="5" t="str">
        <f t="shared" ca="1" si="12"/>
        <v>Initial Mapping</v>
      </c>
      <c r="T427" s="70" t="s">
        <v>244</v>
      </c>
      <c r="U427" s="20">
        <v>43535</v>
      </c>
      <c r="V427" s="70" t="s">
        <v>245</v>
      </c>
      <c r="W427" s="70"/>
      <c r="X427" s="70"/>
      <c r="Y427" s="70"/>
    </row>
    <row r="428" spans="1:25" ht="12.75" customHeight="1">
      <c r="A428" s="70" t="s">
        <v>962</v>
      </c>
      <c r="B428" s="56" t="s">
        <v>55</v>
      </c>
      <c r="C428" s="56" t="s">
        <v>963</v>
      </c>
      <c r="D428" s="56" t="s">
        <v>242</v>
      </c>
      <c r="E428" s="56" t="s">
        <v>243</v>
      </c>
      <c r="F428" s="22">
        <v>24</v>
      </c>
      <c r="G428" s="70" t="str">
        <f>VLOOKUP(C428,'17. USERS'!F:T,15,FALSE)</f>
        <v>Primary email address - show up in MFA if configured</v>
      </c>
      <c r="H428" s="20">
        <v>43538</v>
      </c>
      <c r="I428" s="70" t="e">
        <v>#N/A</v>
      </c>
      <c r="J428" s="70" t="str">
        <f t="shared" ca="1" si="13"/>
        <v xml:space="preserve">When INSERT new record, map input.emailaddress
When UPDATE existing record, check if the existing record already has a non-null EMAILADDRSS
   - If yes, do not update
   - If no, map input.emailaddress </v>
      </c>
      <c r="K428" s="70" t="e">
        <f t="shared" ca="1" si="7"/>
        <v>#N/A</v>
      </c>
      <c r="L428" s="70"/>
      <c r="M428" s="70">
        <f t="shared" ca="1" si="8"/>
        <v>1</v>
      </c>
      <c r="N428" s="70" t="s">
        <v>964</v>
      </c>
      <c r="O428" s="70" t="b">
        <f t="shared" ca="1" si="9"/>
        <v>0</v>
      </c>
      <c r="P428" s="70"/>
      <c r="Q428" s="70" t="str">
        <f t="shared" ca="1" si="10"/>
        <v>users</v>
      </c>
      <c r="R428" s="20">
        <f t="shared" ca="1" si="11"/>
        <v>43472</v>
      </c>
      <c r="S428" s="5" t="str">
        <f t="shared" ca="1" si="12"/>
        <v>Initial Mapping</v>
      </c>
      <c r="T428" s="70" t="s">
        <v>244</v>
      </c>
      <c r="U428" s="20">
        <v>43535</v>
      </c>
      <c r="V428" s="70" t="s">
        <v>245</v>
      </c>
      <c r="W428" s="70"/>
      <c r="X428" s="20"/>
      <c r="Y428" s="70" t="e">
        <f>VLOOKUP(I428,'11. FAMILYMEMBER to ACCOUNT'!K:AG,21,FALSE)</f>
        <v>#N/A</v>
      </c>
    </row>
    <row r="429" spans="1:25" ht="12.75" customHeight="1">
      <c r="A429" s="70" t="s">
        <v>962</v>
      </c>
      <c r="B429" s="56" t="s">
        <v>55</v>
      </c>
      <c r="C429" s="56" t="s">
        <v>914</v>
      </c>
      <c r="D429" s="56" t="s">
        <v>925</v>
      </c>
      <c r="E429" s="56" t="s">
        <v>243</v>
      </c>
      <c r="F429" s="22">
        <v>28</v>
      </c>
      <c r="G429" s="70" t="str">
        <f>VLOOKUP(C429,'17. USERS'!F:T,15,FALSE)</f>
        <v>First Name</v>
      </c>
      <c r="H429" s="20">
        <v>43538</v>
      </c>
      <c r="I429" s="70" t="e">
        <v>#N/A</v>
      </c>
      <c r="J429" s="70" t="str">
        <f t="shared" ca="1" si="13"/>
        <v>firstname</v>
      </c>
      <c r="K429" s="70" t="e">
        <f t="shared" ca="1" si="7"/>
        <v>#N/A</v>
      </c>
      <c r="L429" s="70"/>
      <c r="M429" s="70">
        <f t="shared" ca="1" si="8"/>
        <v>2</v>
      </c>
      <c r="N429" s="70" t="s">
        <v>965</v>
      </c>
      <c r="O429" s="70" t="b">
        <f t="shared" ca="1" si="9"/>
        <v>1</v>
      </c>
      <c r="P429" s="70"/>
      <c r="Q429" s="70" t="str">
        <f t="shared" ca="1" si="10"/>
        <v>users</v>
      </c>
      <c r="R429" s="20">
        <f t="shared" ca="1" si="11"/>
        <v>43472</v>
      </c>
      <c r="S429" s="5" t="str">
        <f t="shared" ca="1" si="12"/>
        <v>Initial Mapping</v>
      </c>
      <c r="T429" s="70" t="s">
        <v>244</v>
      </c>
      <c r="U429" s="20">
        <v>43535</v>
      </c>
      <c r="V429" s="70" t="s">
        <v>245</v>
      </c>
      <c r="W429" s="70"/>
      <c r="X429" s="70"/>
      <c r="Y429" s="70"/>
    </row>
    <row r="430" spans="1:25" ht="12.75" customHeight="1">
      <c r="A430" s="70" t="s">
        <v>962</v>
      </c>
      <c r="B430" s="56" t="s">
        <v>55</v>
      </c>
      <c r="C430" s="56" t="s">
        <v>943</v>
      </c>
      <c r="D430" s="56" t="s">
        <v>925</v>
      </c>
      <c r="E430" s="56" t="s">
        <v>243</v>
      </c>
      <c r="F430" s="22">
        <v>31</v>
      </c>
      <c r="G430" s="70" t="str">
        <f>VLOOKUP(C430,'17. USERS'!F:T,15,FALSE)</f>
        <v>Middle name</v>
      </c>
      <c r="H430" s="20">
        <v>43538</v>
      </c>
      <c r="I430" s="70" t="e">
        <v>#N/A</v>
      </c>
      <c r="J430" s="70" t="str">
        <f t="shared" ca="1" si="13"/>
        <v>middlename</v>
      </c>
      <c r="K430" s="70" t="e">
        <f t="shared" ca="1" si="7"/>
        <v>#N/A</v>
      </c>
      <c r="L430" s="70"/>
      <c r="M430" s="70">
        <f t="shared" ca="1" si="8"/>
        <v>3</v>
      </c>
      <c r="N430" s="70" t="s">
        <v>966</v>
      </c>
      <c r="O430" s="70" t="b">
        <f t="shared" ca="1" si="9"/>
        <v>1</v>
      </c>
      <c r="P430" s="70"/>
      <c r="Q430" s="70" t="str">
        <f t="shared" ca="1" si="10"/>
        <v>users</v>
      </c>
      <c r="R430" s="20">
        <f t="shared" ca="1" si="11"/>
        <v>43472</v>
      </c>
      <c r="S430" s="5" t="str">
        <f t="shared" ca="1" si="12"/>
        <v>Initial Mapping</v>
      </c>
      <c r="T430" s="70" t="s">
        <v>244</v>
      </c>
      <c r="U430" s="20">
        <v>43535</v>
      </c>
      <c r="V430" s="70" t="s">
        <v>245</v>
      </c>
      <c r="W430" s="70"/>
      <c r="X430" s="70"/>
      <c r="Y430" s="70"/>
    </row>
    <row r="431" spans="1:25" ht="12.75" customHeight="1">
      <c r="A431" s="70" t="s">
        <v>962</v>
      </c>
      <c r="B431" s="56" t="s">
        <v>55</v>
      </c>
      <c r="C431" s="56" t="s">
        <v>916</v>
      </c>
      <c r="D431" s="56" t="s">
        <v>925</v>
      </c>
      <c r="E431" s="56" t="s">
        <v>243</v>
      </c>
      <c r="F431" s="22">
        <v>30</v>
      </c>
      <c r="G431" s="70" t="str">
        <f>VLOOKUP(C431,'17. USERS'!F:T,15,FALSE)</f>
        <v>Last name</v>
      </c>
      <c r="H431" s="20">
        <v>43538</v>
      </c>
      <c r="I431" s="70" t="e">
        <v>#N/A</v>
      </c>
      <c r="J431" s="70" t="str">
        <f t="shared" ca="1" si="13"/>
        <v>lastname</v>
      </c>
      <c r="K431" s="70" t="e">
        <f t="shared" ca="1" si="7"/>
        <v>#N/A</v>
      </c>
      <c r="L431" s="70"/>
      <c r="M431" s="70">
        <f t="shared" ca="1" si="8"/>
        <v>4</v>
      </c>
      <c r="N431" s="70" t="s">
        <v>967</v>
      </c>
      <c r="O431" s="70" t="b">
        <f t="shared" ca="1" si="9"/>
        <v>1</v>
      </c>
      <c r="P431" s="70"/>
      <c r="Q431" s="70" t="str">
        <f t="shared" ca="1" si="10"/>
        <v>users</v>
      </c>
      <c r="R431" s="20">
        <f t="shared" ca="1" si="11"/>
        <v>43472</v>
      </c>
      <c r="S431" s="5" t="str">
        <f t="shared" ca="1" si="12"/>
        <v>Initial Mapping</v>
      </c>
      <c r="T431" s="70" t="s">
        <v>244</v>
      </c>
      <c r="U431" s="20">
        <v>43535</v>
      </c>
      <c r="V431" s="70" t="s">
        <v>245</v>
      </c>
      <c r="W431" s="70"/>
      <c r="X431" s="70"/>
      <c r="Y431" s="70"/>
    </row>
    <row r="432" spans="1:25" ht="12.75" customHeight="1">
      <c r="A432" s="70" t="s">
        <v>962</v>
      </c>
      <c r="B432" s="56" t="s">
        <v>61</v>
      </c>
      <c r="C432" s="56" t="s">
        <v>968</v>
      </c>
      <c r="D432" s="56" t="s">
        <v>242</v>
      </c>
      <c r="E432" s="56" t="s">
        <v>243</v>
      </c>
      <c r="F432" s="22">
        <v>54</v>
      </c>
      <c r="G432" s="70" t="str">
        <f>VLOOKUP(C432,'17. USERS'!F:T,15,FALSE)</f>
        <v>Username must be unique within the environment</v>
      </c>
      <c r="H432" s="20">
        <v>43538</v>
      </c>
      <c r="I432" s="70" t="e">
        <v>#N/A</v>
      </c>
      <c r="J432" s="70" t="str">
        <f t="shared" ca="1" si="13"/>
        <v>username</v>
      </c>
      <c r="K432" s="70" t="e">
        <f t="shared" ca="1" si="7"/>
        <v>#N/A</v>
      </c>
      <c r="L432" s="70"/>
      <c r="M432" s="70">
        <f t="shared" ca="1" si="8"/>
        <v>5</v>
      </c>
      <c r="N432" s="70" t="s">
        <v>969</v>
      </c>
      <c r="O432" s="70" t="b">
        <f t="shared" ca="1" si="9"/>
        <v>1</v>
      </c>
      <c r="P432" s="70"/>
      <c r="Q432" s="70" t="str">
        <f t="shared" ca="1" si="10"/>
        <v>users</v>
      </c>
      <c r="R432" s="20">
        <f t="shared" ca="1" si="11"/>
        <v>43472</v>
      </c>
      <c r="S432" s="5" t="str">
        <f t="shared" ca="1" si="12"/>
        <v>Initial Mapping</v>
      </c>
      <c r="T432" s="70" t="s">
        <v>244</v>
      </c>
      <c r="U432" s="20">
        <v>43535</v>
      </c>
      <c r="V432" s="70" t="s">
        <v>245</v>
      </c>
      <c r="W432" s="70"/>
      <c r="X432" s="70"/>
      <c r="Y432" s="70"/>
    </row>
    <row r="433" spans="1:22" ht="12.75" customHeight="1">
      <c r="A433" s="70" t="s">
        <v>962</v>
      </c>
      <c r="B433" s="56" t="s">
        <v>55</v>
      </c>
      <c r="C433" s="56" t="s">
        <v>921</v>
      </c>
      <c r="D433" s="56" t="s">
        <v>925</v>
      </c>
      <c r="E433" s="56" t="s">
        <v>243</v>
      </c>
      <c r="F433" s="22">
        <v>2</v>
      </c>
      <c r="G433" s="70" t="str">
        <f>VLOOKUP(C433,'17. USERS'!F:T,15,FALSE)</f>
        <v>Primary address</v>
      </c>
      <c r="H433" s="20">
        <v>43538</v>
      </c>
      <c r="I433" s="70" t="e">
        <v>#N/A</v>
      </c>
      <c r="J433" s="70" t="str">
        <f t="shared" ca="1" si="13"/>
        <v>address1</v>
      </c>
      <c r="K433" s="70" t="e">
        <f t="shared" ca="1" si="7"/>
        <v>#N/A</v>
      </c>
      <c r="L433" s="70"/>
      <c r="M433" s="70">
        <f t="shared" ca="1" si="8"/>
        <v>6</v>
      </c>
      <c r="N433" s="70" t="s">
        <v>970</v>
      </c>
      <c r="O433" s="70" t="b">
        <f t="shared" ca="1" si="9"/>
        <v>1</v>
      </c>
      <c r="P433" s="70"/>
      <c r="Q433" s="70" t="str">
        <f t="shared" ca="1" si="10"/>
        <v>users</v>
      </c>
      <c r="R433" s="20">
        <f t="shared" ca="1" si="11"/>
        <v>43472</v>
      </c>
      <c r="S433" s="5" t="str">
        <f t="shared" ca="1" si="12"/>
        <v>Initial Mapping</v>
      </c>
      <c r="T433" s="70" t="s">
        <v>244</v>
      </c>
      <c r="U433" s="20">
        <v>43535</v>
      </c>
      <c r="V433" s="70" t="s">
        <v>245</v>
      </c>
    </row>
    <row r="434" spans="1:22" ht="12.75" customHeight="1">
      <c r="A434" s="70" t="s">
        <v>962</v>
      </c>
      <c r="B434" s="56" t="s">
        <v>55</v>
      </c>
      <c r="C434" s="56" t="s">
        <v>971</v>
      </c>
      <c r="D434" s="56" t="s">
        <v>925</v>
      </c>
      <c r="E434" s="56" t="s">
        <v>243</v>
      </c>
      <c r="F434" s="22">
        <v>3</v>
      </c>
      <c r="G434" s="70" t="str">
        <f>VLOOKUP(C434,'17. USERS'!F:T,15,FALSE)</f>
        <v>Secondary address</v>
      </c>
      <c r="H434" s="20">
        <v>43538</v>
      </c>
      <c r="I434" s="70" t="e">
        <v>#N/A</v>
      </c>
      <c r="J434" s="70" t="str">
        <f t="shared" ca="1" si="13"/>
        <v>address2</v>
      </c>
      <c r="K434" s="70" t="e">
        <f t="shared" ca="1" si="7"/>
        <v>#N/A</v>
      </c>
      <c r="L434" s="70"/>
      <c r="M434" s="70">
        <f t="shared" ca="1" si="8"/>
        <v>7</v>
      </c>
      <c r="N434" s="70" t="s">
        <v>972</v>
      </c>
      <c r="O434" s="70" t="b">
        <f t="shared" ca="1" si="9"/>
        <v>1</v>
      </c>
      <c r="P434" s="70"/>
      <c r="Q434" s="70" t="str">
        <f t="shared" ca="1" si="10"/>
        <v>users</v>
      </c>
      <c r="R434" s="20">
        <f t="shared" ca="1" si="11"/>
        <v>43472</v>
      </c>
      <c r="S434" s="5" t="str">
        <f t="shared" ca="1" si="12"/>
        <v>Initial Mapping</v>
      </c>
      <c r="T434" s="70" t="s">
        <v>244</v>
      </c>
      <c r="U434" s="20">
        <v>43535</v>
      </c>
      <c r="V434" s="70" t="s">
        <v>245</v>
      </c>
    </row>
    <row r="435" spans="1:22" ht="12.75" customHeight="1">
      <c r="A435" s="70" t="s">
        <v>962</v>
      </c>
      <c r="B435" s="56" t="s">
        <v>55</v>
      </c>
      <c r="C435" s="56" t="s">
        <v>924</v>
      </c>
      <c r="D435" s="56" t="s">
        <v>925</v>
      </c>
      <c r="E435" s="56" t="s">
        <v>243</v>
      </c>
      <c r="F435" s="22">
        <v>19</v>
      </c>
      <c r="G435" s="70" t="str">
        <f>VLOOKUP(C435,'17. USERS'!F:T,15,FALSE)</f>
        <v>City</v>
      </c>
      <c r="H435" s="20">
        <v>43538</v>
      </c>
      <c r="I435" s="70" t="e">
        <v>#N/A</v>
      </c>
      <c r="J435" s="70" t="str">
        <f t="shared" ca="1" si="13"/>
        <v>city</v>
      </c>
      <c r="K435" s="70" t="e">
        <f t="shared" ca="1" si="7"/>
        <v>#N/A</v>
      </c>
      <c r="L435" s="70"/>
      <c r="M435" s="70">
        <f t="shared" ca="1" si="8"/>
        <v>8</v>
      </c>
      <c r="N435" s="70" t="s">
        <v>973</v>
      </c>
      <c r="O435" s="70" t="b">
        <f t="shared" ca="1" si="9"/>
        <v>1</v>
      </c>
      <c r="P435" s="70"/>
      <c r="Q435" s="70" t="str">
        <f t="shared" ca="1" si="10"/>
        <v>users</v>
      </c>
      <c r="R435" s="20">
        <f t="shared" ca="1" si="11"/>
        <v>43472</v>
      </c>
      <c r="S435" s="5" t="str">
        <f t="shared" ca="1" si="12"/>
        <v>Initial Mapping</v>
      </c>
      <c r="T435" s="70" t="s">
        <v>244</v>
      </c>
      <c r="U435" s="20">
        <v>43535</v>
      </c>
      <c r="V435" s="70" t="s">
        <v>245</v>
      </c>
    </row>
    <row r="436" spans="1:22" ht="12.75" customHeight="1">
      <c r="A436" s="70" t="s">
        <v>962</v>
      </c>
      <c r="B436" s="56" t="s">
        <v>55</v>
      </c>
      <c r="C436" s="56" t="s">
        <v>974</v>
      </c>
      <c r="D436" s="56" t="s">
        <v>925</v>
      </c>
      <c r="E436" s="56" t="s">
        <v>243</v>
      </c>
      <c r="F436" s="22">
        <v>49</v>
      </c>
      <c r="G436" s="70" t="str">
        <f>VLOOKUP(C436,'17. USERS'!F:T,15,FALSE)</f>
        <v>state or province</v>
      </c>
      <c r="H436" s="20">
        <v>43538</v>
      </c>
      <c r="I436" s="70" t="e">
        <v>#N/A</v>
      </c>
      <c r="J436" s="70" t="str">
        <f t="shared" ca="1" si="13"/>
        <v>stateprovince</v>
      </c>
      <c r="K436" s="70" t="e">
        <f t="shared" ca="1" si="7"/>
        <v>#N/A</v>
      </c>
      <c r="L436" s="70"/>
      <c r="M436" s="70">
        <f t="shared" ca="1" si="8"/>
        <v>9</v>
      </c>
      <c r="N436" s="70" t="s">
        <v>975</v>
      </c>
      <c r="O436" s="70" t="b">
        <f t="shared" ca="1" si="9"/>
        <v>1</v>
      </c>
      <c r="P436" s="70"/>
      <c r="Q436" s="70" t="str">
        <f t="shared" ca="1" si="10"/>
        <v>users</v>
      </c>
      <c r="R436" s="20">
        <f t="shared" ca="1" si="11"/>
        <v>43472</v>
      </c>
      <c r="S436" s="5" t="str">
        <f t="shared" ca="1" si="12"/>
        <v>Initial Mapping</v>
      </c>
      <c r="T436" s="70" t="s">
        <v>244</v>
      </c>
      <c r="U436" s="20">
        <v>43535</v>
      </c>
      <c r="V436" s="70" t="s">
        <v>245</v>
      </c>
    </row>
    <row r="437" spans="1:22" ht="12.75" customHeight="1">
      <c r="A437" s="70" t="s">
        <v>962</v>
      </c>
      <c r="B437" s="56" t="s">
        <v>55</v>
      </c>
      <c r="C437" s="56" t="s">
        <v>976</v>
      </c>
      <c r="D437" s="56" t="s">
        <v>925</v>
      </c>
      <c r="E437" s="56" t="s">
        <v>243</v>
      </c>
      <c r="F437" s="22">
        <v>57</v>
      </c>
      <c r="G437" s="70" t="str">
        <f>VLOOKUP(C437,'17. USERS'!F:T,15,FALSE)</f>
        <v>ZIP postal code</v>
      </c>
      <c r="H437" s="20">
        <v>43538</v>
      </c>
      <c r="I437" s="70" t="e">
        <v>#N/A</v>
      </c>
      <c r="J437" s="70" t="str">
        <f t="shared" ca="1" si="13"/>
        <v>zippostalcode</v>
      </c>
      <c r="K437" s="70" t="e">
        <f t="shared" ca="1" si="7"/>
        <v>#N/A</v>
      </c>
      <c r="L437" s="70"/>
      <c r="M437" s="70">
        <f t="shared" ca="1" si="8"/>
        <v>10</v>
      </c>
      <c r="N437" s="70" t="s">
        <v>977</v>
      </c>
      <c r="O437" s="70" t="b">
        <f t="shared" ca="1" si="9"/>
        <v>1</v>
      </c>
      <c r="P437" s="70"/>
      <c r="Q437" s="70" t="str">
        <f t="shared" ca="1" si="10"/>
        <v>users</v>
      </c>
      <c r="R437" s="20">
        <f t="shared" ca="1" si="11"/>
        <v>43472</v>
      </c>
      <c r="S437" s="5" t="str">
        <f t="shared" ca="1" si="12"/>
        <v>Initial Mapping</v>
      </c>
      <c r="T437" s="70" t="s">
        <v>244</v>
      </c>
      <c r="U437" s="20">
        <v>43535</v>
      </c>
      <c r="V437" s="70" t="s">
        <v>245</v>
      </c>
    </row>
    <row r="438" spans="1:22" ht="12.75" customHeight="1">
      <c r="A438" s="70" t="s">
        <v>962</v>
      </c>
      <c r="B438" s="56" t="s">
        <v>55</v>
      </c>
      <c r="C438" s="56" t="s">
        <v>978</v>
      </c>
      <c r="D438" s="56" t="s">
        <v>925</v>
      </c>
      <c r="E438" s="56" t="s">
        <v>243</v>
      </c>
      <c r="F438" s="22">
        <v>38</v>
      </c>
      <c r="G438" s="70" t="str">
        <f>VLOOKUP(C438,'17. USERS'!F:T,15,FALSE)</f>
        <v>Primary phone number - shows up in MFA if configured</v>
      </c>
      <c r="H438" s="20">
        <v>43538</v>
      </c>
      <c r="I438" s="70" t="e">
        <v>#N/A</v>
      </c>
      <c r="J438" s="70" t="str">
        <f t="shared" ca="1" si="13"/>
        <v>primaryphonenumber</v>
      </c>
      <c r="K438" s="70" t="e">
        <f t="shared" ca="1" si="7"/>
        <v>#N/A</v>
      </c>
      <c r="L438" s="70"/>
      <c r="M438" s="70">
        <f t="shared" ca="1" si="8"/>
        <v>11</v>
      </c>
      <c r="N438" s="70" t="s">
        <v>979</v>
      </c>
      <c r="O438" s="70" t="b">
        <f t="shared" ca="1" si="9"/>
        <v>1</v>
      </c>
      <c r="P438" s="70"/>
      <c r="Q438" s="70" t="str">
        <f t="shared" ca="1" si="10"/>
        <v>users</v>
      </c>
      <c r="R438" s="20">
        <f t="shared" ca="1" si="11"/>
        <v>43472</v>
      </c>
      <c r="S438" s="5" t="str">
        <f t="shared" ca="1" si="12"/>
        <v>Initial Mapping</v>
      </c>
      <c r="T438" s="70" t="s">
        <v>244</v>
      </c>
      <c r="U438" s="20">
        <v>43535</v>
      </c>
      <c r="V438" s="70" t="s">
        <v>245</v>
      </c>
    </row>
    <row r="439" spans="1:22" ht="12.75" customHeight="1">
      <c r="A439" s="70" t="s">
        <v>962</v>
      </c>
      <c r="B439" s="56" t="s">
        <v>55</v>
      </c>
      <c r="C439" s="56" t="s">
        <v>980</v>
      </c>
      <c r="D439" s="56" t="s">
        <v>925</v>
      </c>
      <c r="E439" s="56" t="s">
        <v>243</v>
      </c>
      <c r="F439" s="22">
        <v>39</v>
      </c>
      <c r="G439" s="70" t="str">
        <f>VLOOKUP(C439,'17. USERS'!F:T,15,FALSE)</f>
        <v>Primary phone number extension</v>
      </c>
      <c r="H439" s="20">
        <v>43538</v>
      </c>
      <c r="I439" s="70" t="e">
        <v>#N/A</v>
      </c>
      <c r="J439" s="70" t="str">
        <f t="shared" ca="1" si="13"/>
        <v>primaryphonenumberext</v>
      </c>
      <c r="K439" s="70" t="e">
        <f t="shared" ca="1" si="7"/>
        <v>#N/A</v>
      </c>
      <c r="L439" s="70" t="s">
        <v>528</v>
      </c>
      <c r="M439" s="70">
        <f t="shared" ca="1" si="8"/>
        <v>12</v>
      </c>
      <c r="N439" s="70" t="s">
        <v>981</v>
      </c>
      <c r="O439" s="70" t="b">
        <f t="shared" ca="1" si="9"/>
        <v>1</v>
      </c>
      <c r="P439" s="70"/>
      <c r="Q439" s="70" t="str">
        <f t="shared" ca="1" si="10"/>
        <v>users</v>
      </c>
      <c r="R439" s="20">
        <f t="shared" ca="1" si="11"/>
        <v>43472</v>
      </c>
      <c r="S439" s="70" t="str">
        <f t="shared" ca="1" si="12"/>
        <v xml:space="preserve">3/12 - IC confirmed this was a typo on their end.  They will correct ETL to match NB. </v>
      </c>
      <c r="T439" s="70" t="s">
        <v>244</v>
      </c>
      <c r="U439" s="20">
        <v>43550</v>
      </c>
      <c r="V439" s="70" t="s">
        <v>256</v>
      </c>
    </row>
    <row r="440" spans="1:22" ht="12.75" customHeight="1">
      <c r="A440" s="70" t="s">
        <v>962</v>
      </c>
      <c r="B440" s="56" t="s">
        <v>55</v>
      </c>
      <c r="C440" s="56" t="s">
        <v>982</v>
      </c>
      <c r="D440" s="56" t="s">
        <v>925</v>
      </c>
      <c r="E440" s="56" t="s">
        <v>243</v>
      </c>
      <c r="F440" s="22">
        <v>22</v>
      </c>
      <c r="G440" s="70" t="str">
        <f>VLOOKUP(C440,'17. USERS'!F:T,15,FALSE)</f>
        <v>Country or region - flexible</v>
      </c>
      <c r="H440" s="20">
        <v>43538</v>
      </c>
      <c r="I440" s="70" t="e">
        <v>#N/A</v>
      </c>
      <c r="J440" s="70" t="str">
        <f t="shared" ca="1" si="13"/>
        <v>countryorregion</v>
      </c>
      <c r="K440" s="70" t="e">
        <f t="shared" ca="1" si="7"/>
        <v>#N/A</v>
      </c>
      <c r="L440" s="70"/>
      <c r="M440" s="70">
        <f t="shared" ca="1" si="8"/>
        <v>13</v>
      </c>
      <c r="N440" s="70" t="s">
        <v>983</v>
      </c>
      <c r="O440" s="70" t="b">
        <f t="shared" ca="1" si="9"/>
        <v>1</v>
      </c>
      <c r="P440" s="70"/>
      <c r="Q440" s="70" t="str">
        <f t="shared" ca="1" si="10"/>
        <v>users</v>
      </c>
      <c r="R440" s="20">
        <f t="shared" ca="1" si="11"/>
        <v>43472</v>
      </c>
      <c r="S440" s="5" t="str">
        <f t="shared" ca="1" si="12"/>
        <v>Initial Mapping</v>
      </c>
      <c r="T440" s="70" t="s">
        <v>244</v>
      </c>
      <c r="U440" s="20">
        <v>43535</v>
      </c>
      <c r="V440" s="70" t="s">
        <v>245</v>
      </c>
    </row>
    <row r="441" spans="1:22" ht="12.75" customHeight="1">
      <c r="A441" s="70" t="s">
        <v>962</v>
      </c>
      <c r="B441" s="56" t="s">
        <v>55</v>
      </c>
      <c r="C441" s="56" t="s">
        <v>984</v>
      </c>
      <c r="D441" s="56" t="s">
        <v>242</v>
      </c>
      <c r="E441" s="56" t="s">
        <v>243</v>
      </c>
      <c r="F441" s="22">
        <v>63</v>
      </c>
      <c r="G441" s="70" t="str">
        <f>VLOOKUP(C441,'17. USERS'!F:T,15,FALSE)</f>
        <v>Preferred name</v>
      </c>
      <c r="H441" s="20">
        <v>43538</v>
      </c>
      <c r="I441" s="70" t="e">
        <v>#N/A</v>
      </c>
      <c r="J441" s="70" t="str">
        <f t="shared" ca="1" si="13"/>
        <v>preferredname</v>
      </c>
      <c r="K441" s="70" t="e">
        <f t="shared" ca="1" si="7"/>
        <v>#N/A</v>
      </c>
      <c r="L441" s="70"/>
      <c r="M441" s="70">
        <f t="shared" ca="1" si="8"/>
        <v>14</v>
      </c>
      <c r="N441" s="70" t="s">
        <v>985</v>
      </c>
      <c r="O441" s="70" t="b">
        <f t="shared" ca="1" si="9"/>
        <v>1</v>
      </c>
      <c r="P441" s="70"/>
      <c r="Q441" s="70" t="str">
        <f t="shared" ca="1" si="10"/>
        <v>users</v>
      </c>
      <c r="R441" s="20">
        <f t="shared" ca="1" si="11"/>
        <v>43472</v>
      </c>
      <c r="S441" s="5" t="str">
        <f t="shared" ca="1" si="12"/>
        <v>Initial Mapping</v>
      </c>
      <c r="T441" s="70" t="s">
        <v>244</v>
      </c>
      <c r="U441" s="20">
        <v>43535</v>
      </c>
      <c r="V441" s="70" t="s">
        <v>245</v>
      </c>
    </row>
    <row r="442" spans="1:22" ht="12.75" customHeight="1">
      <c r="A442" s="70" t="s">
        <v>962</v>
      </c>
      <c r="B442" s="56" t="s">
        <v>55</v>
      </c>
      <c r="C442" s="56" t="s">
        <v>936</v>
      </c>
      <c r="D442" s="56" t="s">
        <v>264</v>
      </c>
      <c r="E442" s="56" t="s">
        <v>243</v>
      </c>
      <c r="F442" s="22">
        <v>4</v>
      </c>
      <c r="G442" s="70" t="str">
        <f>VLOOKUP(C442,'17. USERS'!F:T,15,FALSE)</f>
        <v>AltId1 - flexible for reporting</v>
      </c>
      <c r="H442" s="20">
        <v>43538</v>
      </c>
      <c r="I442" s="70" t="e">
        <v>#N/A</v>
      </c>
      <c r="J442" s="70" t="str">
        <f t="shared" ca="1" si="13"/>
        <v>altid1</v>
      </c>
      <c r="K442" s="70" t="e">
        <f t="shared" ca="1" si="7"/>
        <v>#N/A</v>
      </c>
      <c r="L442" s="70"/>
      <c r="M442" s="70">
        <f t="shared" ca="1" si="8"/>
        <v>15</v>
      </c>
      <c r="N442" s="70" t="s">
        <v>986</v>
      </c>
      <c r="O442" s="70" t="b">
        <f t="shared" ca="1" si="9"/>
        <v>1</v>
      </c>
      <c r="P442" s="70"/>
      <c r="Q442" s="70" t="str">
        <f t="shared" ca="1" si="10"/>
        <v>users</v>
      </c>
      <c r="R442" s="20">
        <f t="shared" ca="1" si="11"/>
        <v>43472</v>
      </c>
      <c r="S442" s="5" t="str">
        <f t="shared" ca="1" si="12"/>
        <v>Initial Mapping</v>
      </c>
      <c r="T442" s="70" t="s">
        <v>244</v>
      </c>
      <c r="U442" s="20">
        <v>43535</v>
      </c>
      <c r="V442" s="70" t="s">
        <v>245</v>
      </c>
    </row>
    <row r="443" spans="1:22" ht="12.75" customHeight="1">
      <c r="A443" s="70" t="s">
        <v>962</v>
      </c>
      <c r="B443" s="56" t="s">
        <v>55</v>
      </c>
      <c r="C443" s="56" t="s">
        <v>987</v>
      </c>
      <c r="D443" s="56" t="s">
        <v>264</v>
      </c>
      <c r="E443" s="56" t="s">
        <v>243</v>
      </c>
      <c r="F443" s="22">
        <v>5</v>
      </c>
      <c r="G443" s="70" t="str">
        <f>VLOOKUP(C443,'17. USERS'!F:T,15,FALSE)</f>
        <v>AltId2 - flexible for reporting</v>
      </c>
      <c r="H443" s="20">
        <v>43538</v>
      </c>
      <c r="I443" s="70" t="e">
        <v>#N/A</v>
      </c>
      <c r="J443" s="70" t="str">
        <f t="shared" ca="1" si="13"/>
        <v>altid2</v>
      </c>
      <c r="K443" s="70" t="e">
        <f t="shared" ca="1" si="7"/>
        <v>#N/A</v>
      </c>
      <c r="L443" s="70"/>
      <c r="M443" s="70">
        <f t="shared" ca="1" si="8"/>
        <v>16</v>
      </c>
      <c r="N443" s="70" t="s">
        <v>988</v>
      </c>
      <c r="O443" s="70" t="b">
        <f t="shared" ca="1" si="9"/>
        <v>1</v>
      </c>
      <c r="P443" s="70"/>
      <c r="Q443" s="70" t="str">
        <f t="shared" ca="1" si="10"/>
        <v>users</v>
      </c>
      <c r="R443" s="20">
        <f t="shared" ca="1" si="11"/>
        <v>43472</v>
      </c>
      <c r="S443" s="5" t="str">
        <f t="shared" ca="1" si="12"/>
        <v>Initial Mapping</v>
      </c>
      <c r="T443" s="70" t="s">
        <v>244</v>
      </c>
      <c r="U443" s="20">
        <v>43535</v>
      </c>
      <c r="V443" s="70" t="s">
        <v>245</v>
      </c>
    </row>
    <row r="444" spans="1:22" ht="12.75" customHeight="1">
      <c r="A444" s="70" t="s">
        <v>962</v>
      </c>
      <c r="B444" s="56" t="s">
        <v>55</v>
      </c>
      <c r="C444" s="56" t="s">
        <v>989</v>
      </c>
      <c r="D444" s="56" t="s">
        <v>264</v>
      </c>
      <c r="E444" s="56" t="s">
        <v>243</v>
      </c>
      <c r="F444" s="22">
        <v>6</v>
      </c>
      <c r="G444" s="70" t="str">
        <f>VLOOKUP(C444,'17. USERS'!F:T,15,FALSE)</f>
        <v>AltId3 - flexible for reporting</v>
      </c>
      <c r="H444" s="20">
        <v>43538</v>
      </c>
      <c r="I444" s="70" t="e">
        <v>#N/A</v>
      </c>
      <c r="J444" s="70" t="str">
        <f t="shared" ca="1" si="13"/>
        <v>altid3</v>
      </c>
      <c r="K444" s="70" t="e">
        <f t="shared" ca="1" si="7"/>
        <v>#N/A</v>
      </c>
      <c r="L444" s="70"/>
      <c r="M444" s="70">
        <f t="shared" ca="1" si="8"/>
        <v>17</v>
      </c>
      <c r="N444" s="70" t="s">
        <v>990</v>
      </c>
      <c r="O444" s="70" t="b">
        <f t="shared" ca="1" si="9"/>
        <v>1</v>
      </c>
      <c r="P444" s="70"/>
      <c r="Q444" s="70" t="str">
        <f t="shared" ca="1" si="10"/>
        <v>users</v>
      </c>
      <c r="R444" s="20">
        <f t="shared" ca="1" si="11"/>
        <v>43472</v>
      </c>
      <c r="S444" s="5" t="str">
        <f t="shared" ca="1" si="12"/>
        <v>Initial Mapping</v>
      </c>
      <c r="T444" s="70" t="s">
        <v>244</v>
      </c>
      <c r="U444" s="20">
        <v>43535</v>
      </c>
      <c r="V444" s="70" t="s">
        <v>245</v>
      </c>
    </row>
    <row r="445" spans="1:22" ht="12.75" customHeight="1">
      <c r="A445" s="70" t="s">
        <v>962</v>
      </c>
      <c r="B445" s="56" t="s">
        <v>55</v>
      </c>
      <c r="C445" s="56" t="s">
        <v>945</v>
      </c>
      <c r="D445" s="56" t="s">
        <v>925</v>
      </c>
      <c r="E445" s="56" t="s">
        <v>243</v>
      </c>
      <c r="F445" s="22">
        <v>36</v>
      </c>
      <c r="G445" s="70" t="str">
        <f>VLOOKUP(C445,'17. USERS'!F:T,15,FALSE)</f>
        <v>Secondary phone number</v>
      </c>
      <c r="H445" s="20">
        <v>43538</v>
      </c>
      <c r="I445" s="70" t="e">
        <v>#N/A</v>
      </c>
      <c r="J445" s="70" t="str">
        <f t="shared" ca="1" si="13"/>
        <v>phone2</v>
      </c>
      <c r="K445" s="70" t="e">
        <f t="shared" ca="1" si="7"/>
        <v>#N/A</v>
      </c>
      <c r="L445" s="70"/>
      <c r="M445" s="70">
        <f t="shared" ca="1" si="8"/>
        <v>18</v>
      </c>
      <c r="N445" s="70" t="s">
        <v>991</v>
      </c>
      <c r="O445" s="70" t="b">
        <f t="shared" ca="1" si="9"/>
        <v>1</v>
      </c>
      <c r="P445" s="70"/>
      <c r="Q445" s="70" t="str">
        <f t="shared" ca="1" si="10"/>
        <v>users</v>
      </c>
      <c r="R445" s="20">
        <f t="shared" ca="1" si="11"/>
        <v>43472</v>
      </c>
      <c r="S445" s="5" t="str">
        <f t="shared" ca="1" si="12"/>
        <v>Initial Mapping</v>
      </c>
      <c r="T445" s="70" t="s">
        <v>244</v>
      </c>
      <c r="U445" s="20">
        <v>43535</v>
      </c>
      <c r="V445" s="70" t="s">
        <v>245</v>
      </c>
    </row>
    <row r="446" spans="1:22" ht="12.75" customHeight="1">
      <c r="A446" s="70" t="s">
        <v>962</v>
      </c>
      <c r="B446" s="56" t="s">
        <v>55</v>
      </c>
      <c r="C446" s="56" t="s">
        <v>992</v>
      </c>
      <c r="D446" s="56" t="s">
        <v>925</v>
      </c>
      <c r="E446" s="56" t="s">
        <v>243</v>
      </c>
      <c r="F446" s="22">
        <v>37</v>
      </c>
      <c r="G446" s="70" t="str">
        <f>VLOOKUP(C446,'17. USERS'!F:T,15,FALSE)</f>
        <v>Third phone number</v>
      </c>
      <c r="H446" s="20">
        <v>43538</v>
      </c>
      <c r="I446" s="70" t="e">
        <v>#N/A</v>
      </c>
      <c r="J446" s="70" t="str">
        <f t="shared" ca="1" si="13"/>
        <v>phone3</v>
      </c>
      <c r="K446" s="70" t="e">
        <f t="shared" ca="1" si="7"/>
        <v>#N/A</v>
      </c>
      <c r="L446" s="70"/>
      <c r="M446" s="70">
        <f t="shared" ca="1" si="8"/>
        <v>19</v>
      </c>
      <c r="N446" s="70" t="s">
        <v>993</v>
      </c>
      <c r="O446" s="70" t="b">
        <f t="shared" ca="1" si="9"/>
        <v>1</v>
      </c>
      <c r="P446" s="70"/>
      <c r="Q446" s="70" t="str">
        <f t="shared" ca="1" si="10"/>
        <v>users</v>
      </c>
      <c r="R446" s="20">
        <f t="shared" ca="1" si="11"/>
        <v>43472</v>
      </c>
      <c r="S446" s="5" t="str">
        <f t="shared" ca="1" si="12"/>
        <v>Initial Mapping</v>
      </c>
      <c r="T446" s="70" t="s">
        <v>244</v>
      </c>
      <c r="U446" s="20">
        <v>43535</v>
      </c>
      <c r="V446" s="70" t="s">
        <v>245</v>
      </c>
    </row>
    <row r="447" spans="1:22" ht="12.75" customHeight="1">
      <c r="A447" s="70" t="s">
        <v>962</v>
      </c>
      <c r="B447" s="56" t="s">
        <v>55</v>
      </c>
      <c r="C447" s="56" t="s">
        <v>994</v>
      </c>
      <c r="D447" s="56" t="s">
        <v>995</v>
      </c>
      <c r="E447" s="56" t="s">
        <v>243</v>
      </c>
      <c r="F447" s="22">
        <v>50</v>
      </c>
      <c r="G447" s="70" t="str">
        <f>VLOOKUP(C447,'17. USERS'!F:T,15,FALSE)</f>
        <v>A = Active, S = Deactivated (Suspended), L = Locked, R = Reactivated</v>
      </c>
      <c r="H447" s="20">
        <v>43538</v>
      </c>
      <c r="I447" s="70" t="e">
        <v>#N/A</v>
      </c>
      <c r="J447" s="70" t="str">
        <f t="shared" ca="1" si="13"/>
        <v>status</v>
      </c>
      <c r="K447" s="70" t="e">
        <f t="shared" ca="1" si="7"/>
        <v>#N/A</v>
      </c>
      <c r="L447" s="70"/>
      <c r="M447" s="70">
        <f t="shared" ca="1" si="8"/>
        <v>20</v>
      </c>
      <c r="N447" s="70" t="s">
        <v>996</v>
      </c>
      <c r="O447" s="70" t="b">
        <f t="shared" ca="1" si="9"/>
        <v>1</v>
      </c>
      <c r="P447" s="70"/>
      <c r="Q447" s="70" t="str">
        <f t="shared" ca="1" si="10"/>
        <v>users</v>
      </c>
      <c r="R447" s="20">
        <f t="shared" ca="1" si="11"/>
        <v>43472</v>
      </c>
      <c r="S447" s="5" t="str">
        <f t="shared" ca="1" si="12"/>
        <v>Initial Mapping</v>
      </c>
      <c r="T447" s="70" t="s">
        <v>244</v>
      </c>
      <c r="U447" s="20">
        <v>43535</v>
      </c>
      <c r="V447" s="70" t="s">
        <v>245</v>
      </c>
    </row>
    <row r="448" spans="1:22" ht="12.75" customHeight="1">
      <c r="A448" s="70" t="s">
        <v>962</v>
      </c>
      <c r="B448" s="56" t="s">
        <v>55</v>
      </c>
      <c r="C448" s="56" t="s">
        <v>997</v>
      </c>
      <c r="D448" s="56" t="s">
        <v>925</v>
      </c>
      <c r="E448" s="56" t="s">
        <v>243</v>
      </c>
      <c r="F448" s="22">
        <v>7</v>
      </c>
      <c r="G448" s="70" t="str">
        <f>VLOOKUP(C448,'17. USERS'!F:T,15,FALSE)</f>
        <v>Security question answer 1 for password recovery</v>
      </c>
      <c r="H448" s="20">
        <v>43538</v>
      </c>
      <c r="I448" s="70" t="e">
        <v>#N/A</v>
      </c>
      <c r="J448" s="70" t="str">
        <f t="shared" ca="1" si="13"/>
        <v>answertosecretquestion</v>
      </c>
      <c r="K448" s="70" t="e">
        <f t="shared" ca="1" si="7"/>
        <v>#N/A</v>
      </c>
      <c r="L448" s="70"/>
      <c r="M448" s="70">
        <f t="shared" ca="1" si="8"/>
        <v>99</v>
      </c>
      <c r="N448" s="25" t="s">
        <v>998</v>
      </c>
      <c r="O448" s="70" t="b">
        <f t="shared" ca="1" si="9"/>
        <v>1</v>
      </c>
      <c r="P448" s="70"/>
      <c r="Q448" s="70" t="str">
        <f t="shared" ca="1" si="10"/>
        <v>users</v>
      </c>
      <c r="R448" s="20">
        <f t="shared" ca="1" si="11"/>
        <v>43472</v>
      </c>
      <c r="S448" s="5" t="str">
        <f t="shared" ca="1" si="12"/>
        <v>Initial Mapping</v>
      </c>
      <c r="T448" s="70" t="s">
        <v>244</v>
      </c>
      <c r="U448" s="20">
        <v>43535</v>
      </c>
      <c r="V448" s="70" t="s">
        <v>245</v>
      </c>
    </row>
    <row r="449" spans="1:22" ht="12.75" customHeight="1">
      <c r="A449" s="70" t="s">
        <v>962</v>
      </c>
      <c r="B449" s="56" t="s">
        <v>55</v>
      </c>
      <c r="C449" s="56" t="s">
        <v>999</v>
      </c>
      <c r="D449" s="56" t="s">
        <v>925</v>
      </c>
      <c r="E449" s="56" t="s">
        <v>243</v>
      </c>
      <c r="F449" s="22">
        <v>8</v>
      </c>
      <c r="G449" s="70" t="str">
        <f>VLOOKUP(C449,'17. USERS'!F:T,15,FALSE)</f>
        <v>Security question answer 2 for password recovery</v>
      </c>
      <c r="H449" s="20">
        <v>43538</v>
      </c>
      <c r="I449" s="70" t="e">
        <v>#N/A</v>
      </c>
      <c r="J449" s="70" t="str">
        <f t="shared" ca="1" si="13"/>
        <v>answertosecretquestion2</v>
      </c>
      <c r="K449" s="70" t="e">
        <f t="shared" ca="1" si="7"/>
        <v>#N/A</v>
      </c>
      <c r="L449" s="70"/>
      <c r="M449" s="70">
        <f t="shared" ca="1" si="8"/>
        <v>99</v>
      </c>
      <c r="N449" s="25" t="s">
        <v>1000</v>
      </c>
      <c r="O449" s="70" t="b">
        <f t="shared" ca="1" si="9"/>
        <v>1</v>
      </c>
      <c r="P449" s="70"/>
      <c r="Q449" s="70" t="str">
        <f t="shared" ca="1" si="10"/>
        <v>users</v>
      </c>
      <c r="R449" s="20">
        <f t="shared" ca="1" si="11"/>
        <v>43472</v>
      </c>
      <c r="S449" s="5" t="str">
        <f t="shared" ca="1" si="12"/>
        <v>Initial Mapping</v>
      </c>
      <c r="T449" s="70" t="s">
        <v>244</v>
      </c>
      <c r="U449" s="20">
        <v>43535</v>
      </c>
      <c r="V449" s="70" t="s">
        <v>245</v>
      </c>
    </row>
    <row r="450" spans="1:22" ht="12.75" customHeight="1">
      <c r="A450" s="70" t="s">
        <v>962</v>
      </c>
      <c r="B450" s="56" t="s">
        <v>55</v>
      </c>
      <c r="C450" s="56" t="s">
        <v>1001</v>
      </c>
      <c r="D450" s="56" t="s">
        <v>925</v>
      </c>
      <c r="E450" s="56" t="s">
        <v>243</v>
      </c>
      <c r="F450" s="22">
        <v>9</v>
      </c>
      <c r="G450" s="70" t="str">
        <f>VLOOKUP(C450,'17. USERS'!F:T,15,FALSE)</f>
        <v>Security question answer 3 for password recovery</v>
      </c>
      <c r="H450" s="20">
        <v>43538</v>
      </c>
      <c r="I450" s="70" t="e">
        <v>#N/A</v>
      </c>
      <c r="J450" s="70" t="str">
        <f t="shared" ca="1" si="13"/>
        <v>answertosecretquestion3</v>
      </c>
      <c r="K450" s="70" t="e">
        <f t="shared" ca="1" si="7"/>
        <v>#N/A</v>
      </c>
      <c r="L450" s="70"/>
      <c r="M450" s="70">
        <f t="shared" ca="1" si="8"/>
        <v>99</v>
      </c>
      <c r="N450" s="25" t="s">
        <v>1002</v>
      </c>
      <c r="O450" s="70" t="b">
        <f t="shared" ca="1" si="9"/>
        <v>1</v>
      </c>
      <c r="P450" s="70"/>
      <c r="Q450" s="70" t="str">
        <f t="shared" ca="1" si="10"/>
        <v>users</v>
      </c>
      <c r="R450" s="20">
        <f t="shared" ca="1" si="11"/>
        <v>43472</v>
      </c>
      <c r="S450" s="5" t="str">
        <f t="shared" ca="1" si="12"/>
        <v>Initial Mapping</v>
      </c>
      <c r="T450" s="70" t="s">
        <v>244</v>
      </c>
      <c r="U450" s="20">
        <v>43535</v>
      </c>
      <c r="V450" s="70" t="s">
        <v>245</v>
      </c>
    </row>
    <row r="451" spans="1:22" ht="12.75" customHeight="1">
      <c r="A451" s="70" t="s">
        <v>962</v>
      </c>
      <c r="B451" s="56" t="s">
        <v>55</v>
      </c>
      <c r="C451" s="56" t="s">
        <v>1003</v>
      </c>
      <c r="D451" s="56" t="s">
        <v>324</v>
      </c>
      <c r="E451" s="56" t="s">
        <v>243</v>
      </c>
      <c r="F451" s="22">
        <v>45</v>
      </c>
      <c r="G451" s="70" t="str">
        <f>VLOOKUP(C451,'17. USERS'!F:T,15,FALSE)</f>
        <v>Security question 1 for password recovery</v>
      </c>
      <c r="H451" s="20">
        <v>43538</v>
      </c>
      <c r="I451" s="70" t="e">
        <v>#N/A</v>
      </c>
      <c r="J451" s="70" t="str">
        <f t="shared" ca="1" si="13"/>
        <v>secretquestion</v>
      </c>
      <c r="K451" s="70" t="e">
        <f t="shared" ca="1" si="7"/>
        <v>#N/A</v>
      </c>
      <c r="L451" s="70"/>
      <c r="M451" s="70">
        <f t="shared" ca="1" si="8"/>
        <v>99</v>
      </c>
      <c r="N451" s="25" t="s">
        <v>1004</v>
      </c>
      <c r="O451" s="70" t="b">
        <f t="shared" ca="1" si="9"/>
        <v>1</v>
      </c>
      <c r="P451" s="70"/>
      <c r="Q451" s="70" t="str">
        <f t="shared" ca="1" si="10"/>
        <v>users</v>
      </c>
      <c r="R451" s="20">
        <f t="shared" ca="1" si="11"/>
        <v>43472</v>
      </c>
      <c r="S451" s="5" t="str">
        <f t="shared" ca="1" si="12"/>
        <v>Initial Mapping</v>
      </c>
      <c r="T451" s="70" t="s">
        <v>244</v>
      </c>
      <c r="U451" s="20">
        <v>43535</v>
      </c>
      <c r="V451" s="70" t="s">
        <v>245</v>
      </c>
    </row>
    <row r="452" spans="1:22" ht="12.75" customHeight="1">
      <c r="A452" s="70" t="s">
        <v>962</v>
      </c>
      <c r="B452" s="56" t="s">
        <v>55</v>
      </c>
      <c r="C452" s="56" t="s">
        <v>1005</v>
      </c>
      <c r="D452" s="56" t="s">
        <v>324</v>
      </c>
      <c r="E452" s="56" t="s">
        <v>243</v>
      </c>
      <c r="F452" s="22">
        <v>46</v>
      </c>
      <c r="G452" s="70" t="str">
        <f>VLOOKUP(C452,'17. USERS'!F:T,15,FALSE)</f>
        <v>Security question 2 for password recovery</v>
      </c>
      <c r="H452" s="20">
        <v>43538</v>
      </c>
      <c r="I452" s="70" t="e">
        <v>#N/A</v>
      </c>
      <c r="J452" s="70" t="str">
        <f t="shared" ca="1" si="13"/>
        <v>secretquestion2</v>
      </c>
      <c r="K452" s="70" t="e">
        <f t="shared" ca="1" si="7"/>
        <v>#N/A</v>
      </c>
      <c r="L452" s="70"/>
      <c r="M452" s="70">
        <f t="shared" ca="1" si="8"/>
        <v>99</v>
      </c>
      <c r="N452" s="25" t="s">
        <v>1006</v>
      </c>
      <c r="O452" s="70" t="b">
        <f t="shared" ca="1" si="9"/>
        <v>1</v>
      </c>
      <c r="P452" s="70"/>
      <c r="Q452" s="70" t="str">
        <f t="shared" ca="1" si="10"/>
        <v>users</v>
      </c>
      <c r="R452" s="20">
        <f t="shared" ca="1" si="11"/>
        <v>43472</v>
      </c>
      <c r="S452" s="5" t="str">
        <f t="shared" ca="1" si="12"/>
        <v>Initial Mapping</v>
      </c>
      <c r="T452" s="70" t="s">
        <v>244</v>
      </c>
      <c r="U452" s="20">
        <v>43535</v>
      </c>
      <c r="V452" s="70" t="s">
        <v>245</v>
      </c>
    </row>
    <row r="453" spans="1:22" ht="12.75" customHeight="1">
      <c r="A453" s="70" t="s">
        <v>962</v>
      </c>
      <c r="B453" s="56" t="s">
        <v>55</v>
      </c>
      <c r="C453" s="56" t="s">
        <v>1007</v>
      </c>
      <c r="D453" s="56" t="s">
        <v>324</v>
      </c>
      <c r="E453" s="56" t="s">
        <v>243</v>
      </c>
      <c r="F453" s="22">
        <v>47</v>
      </c>
      <c r="G453" s="70" t="str">
        <f>VLOOKUP(C453,'17. USERS'!F:T,15,FALSE)</f>
        <v>Security question 3 for password recovery</v>
      </c>
      <c r="H453" s="20">
        <v>43538</v>
      </c>
      <c r="I453" s="70" t="e">
        <v>#N/A</v>
      </c>
      <c r="J453" s="70" t="str">
        <f t="shared" ca="1" si="13"/>
        <v>secretquestion3</v>
      </c>
      <c r="K453" s="70" t="e">
        <f t="shared" ca="1" si="7"/>
        <v>#N/A</v>
      </c>
      <c r="L453" s="70"/>
      <c r="M453" s="70">
        <f t="shared" ca="1" si="8"/>
        <v>99</v>
      </c>
      <c r="N453" s="25" t="s">
        <v>1008</v>
      </c>
      <c r="O453" s="70" t="b">
        <f t="shared" ca="1" si="9"/>
        <v>1</v>
      </c>
      <c r="P453" s="70"/>
      <c r="Q453" s="70" t="str">
        <f t="shared" ca="1" si="10"/>
        <v>users</v>
      </c>
      <c r="R453" s="20">
        <f t="shared" ca="1" si="11"/>
        <v>43472</v>
      </c>
      <c r="S453" s="5" t="str">
        <f t="shared" ca="1" si="12"/>
        <v>Initial Mapping</v>
      </c>
      <c r="T453" s="70" t="s">
        <v>244</v>
      </c>
      <c r="U453" s="20">
        <v>43535</v>
      </c>
      <c r="V453" s="70" t="s">
        <v>245</v>
      </c>
    </row>
    <row r="454" spans="1:22" ht="12.75" customHeight="1">
      <c r="A454" s="70" t="s">
        <v>1009</v>
      </c>
      <c r="B454" s="56" t="s">
        <v>61</v>
      </c>
      <c r="C454" s="56" t="s">
        <v>1010</v>
      </c>
      <c r="D454" s="56" t="s">
        <v>535</v>
      </c>
      <c r="E454" s="56" t="s">
        <v>903</v>
      </c>
      <c r="F454" s="22">
        <v>2</v>
      </c>
      <c r="G454" s="70" t="str">
        <f>VLOOKUP(C454,'18. USER to ACCOUNT '!F:T,15,FALSE)</f>
        <v>ID of the Account within the _Accounts tenant</v>
      </c>
      <c r="H454" s="20">
        <v>43538</v>
      </c>
      <c r="I454" s="70" t="e">
        <v>#N/A</v>
      </c>
      <c r="J454" s="24" t="str">
        <f t="shared" ca="1" si="13"/>
        <v>accountshortname</v>
      </c>
      <c r="K454" s="70" t="e">
        <f t="shared" ca="1" si="7"/>
        <v>#N/A</v>
      </c>
      <c r="L454" s="70"/>
      <c r="M454" s="70">
        <f t="shared" ca="1" si="8"/>
        <v>1</v>
      </c>
      <c r="N454" s="70" t="s">
        <v>1011</v>
      </c>
      <c r="O454" s="70" t="b">
        <f t="shared" ca="1" si="9"/>
        <v>1</v>
      </c>
      <c r="P454" s="70"/>
      <c r="Q454" s="70" t="str">
        <f t="shared" ca="1" si="10"/>
        <v>users</v>
      </c>
      <c r="R454" s="20">
        <f t="shared" ca="1" si="11"/>
        <v>43472</v>
      </c>
      <c r="S454" s="5" t="str">
        <f t="shared" ca="1" si="12"/>
        <v>Initial Mapping</v>
      </c>
      <c r="T454" s="70" t="s">
        <v>244</v>
      </c>
      <c r="U454" s="20">
        <v>43535</v>
      </c>
      <c r="V454" s="70" t="s">
        <v>245</v>
      </c>
    </row>
    <row r="455" spans="1:22" ht="12.75" customHeight="1">
      <c r="A455" s="70" t="s">
        <v>1009</v>
      </c>
      <c r="B455" s="56" t="s">
        <v>61</v>
      </c>
      <c r="C455" s="56" t="s">
        <v>968</v>
      </c>
      <c r="D455" s="56" t="s">
        <v>242</v>
      </c>
      <c r="E455" s="56" t="s">
        <v>1012</v>
      </c>
      <c r="F455" s="22">
        <v>16</v>
      </c>
      <c r="G455" s="70" t="str">
        <f>VLOOKUP(C455,'18. USER to ACCOUNT '!F:T,15,FALSE)</f>
        <v>Username</v>
      </c>
      <c r="H455" s="20">
        <v>43538</v>
      </c>
      <c r="I455" s="70" t="e">
        <v>#N/A</v>
      </c>
      <c r="J455" s="70" t="str">
        <f t="shared" ca="1" si="13"/>
        <v>username</v>
      </c>
      <c r="K455" s="70" t="e">
        <f t="shared" ca="1" si="7"/>
        <v>#N/A</v>
      </c>
      <c r="L455" s="70"/>
      <c r="M455" s="70">
        <f t="shared" ca="1" si="8"/>
        <v>2</v>
      </c>
      <c r="N455" s="70" t="s">
        <v>969</v>
      </c>
      <c r="O455" s="70" t="b">
        <f t="shared" ca="1" si="9"/>
        <v>1</v>
      </c>
      <c r="P455" s="70"/>
      <c r="Q455" s="70" t="str">
        <f t="shared" ca="1" si="10"/>
        <v>users</v>
      </c>
      <c r="R455" s="20">
        <f t="shared" ca="1" si="11"/>
        <v>43472</v>
      </c>
      <c r="S455" s="5" t="str">
        <f t="shared" ca="1" si="12"/>
        <v>Initial Mapping</v>
      </c>
      <c r="T455" s="70" t="s">
        <v>244</v>
      </c>
      <c r="U455" s="20">
        <v>43535</v>
      </c>
      <c r="V455" s="70" t="s">
        <v>245</v>
      </c>
    </row>
    <row r="456" spans="1:22" ht="12.75" customHeight="1">
      <c r="A456" s="70" t="s">
        <v>1009</v>
      </c>
      <c r="B456" s="56" t="s">
        <v>61</v>
      </c>
      <c r="C456" s="56" t="s">
        <v>123</v>
      </c>
      <c r="D456" s="56" t="s">
        <v>535</v>
      </c>
      <c r="E456" s="56" t="s">
        <v>903</v>
      </c>
      <c r="F456" s="22">
        <v>15</v>
      </c>
      <c r="G456" s="70" t="str">
        <f>VLOOKUP(C456,'18. USER to ACCOUNT '!F:T,15,FALSE)</f>
        <v>ID of the tenant for which the ACCOUNTID exists within</v>
      </c>
      <c r="H456" s="20">
        <v>43538</v>
      </c>
      <c r="I456" s="70" t="e">
        <v>#N/A</v>
      </c>
      <c r="J456" s="70" t="str">
        <f t="shared" ca="1" si="13"/>
        <v>Map TenantId of NeubergerBerman_Employee for records in USERACCT_INTERNAL file
Map TenantId of NeubergerBerman_Users for records in USERACCT_EXTERNAL file</v>
      </c>
      <c r="K456" s="70" t="e">
        <f t="shared" ca="1" si="7"/>
        <v>#N/A</v>
      </c>
      <c r="L456" s="70" t="s">
        <v>911</v>
      </c>
      <c r="M456" s="70">
        <f t="shared" ca="1" si="8"/>
        <v>3</v>
      </c>
      <c r="N456" s="70" t="s">
        <v>1013</v>
      </c>
      <c r="O456" s="70" t="b">
        <f t="shared" ca="1" si="9"/>
        <v>0</v>
      </c>
      <c r="P456" s="70"/>
      <c r="Q456" s="70" t="str">
        <f t="shared" ca="1" si="10"/>
        <v>users</v>
      </c>
      <c r="R456" s="20">
        <f t="shared" ca="1" si="11"/>
        <v>43472</v>
      </c>
      <c r="S456" s="70" t="str">
        <f t="shared" ca="1" si="12"/>
        <v xml:space="preserve">3/14 - RP advised IC has this mapped correct (mismatch was due to add'l text in doc). </v>
      </c>
      <c r="T456" s="70" t="s">
        <v>244</v>
      </c>
      <c r="U456" s="20">
        <v>43550</v>
      </c>
      <c r="V456" s="70" t="s">
        <v>256</v>
      </c>
    </row>
    <row r="457" spans="1:22" ht="12.75" customHeight="1">
      <c r="A457" s="70" t="s">
        <v>1014</v>
      </c>
      <c r="B457" s="56" t="s">
        <v>224</v>
      </c>
      <c r="C457" s="123" t="s">
        <v>1015</v>
      </c>
      <c r="D457" s="56" t="s">
        <v>247</v>
      </c>
      <c r="E457" s="56" t="s">
        <v>1012</v>
      </c>
      <c r="F457" s="56">
        <v>9</v>
      </c>
      <c r="G457" s="70" t="e">
        <f>VLOOKUP(C457,'20. USER to SECROLE'!F:T,15,FALSE)</f>
        <v>#N/A</v>
      </c>
      <c r="H457" s="20">
        <v>43538</v>
      </c>
      <c r="I457" s="70" t="e">
        <v>#N/A</v>
      </c>
      <c r="J457" s="70" t="e">
        <f t="shared" ca="1" si="13"/>
        <v>#REF!</v>
      </c>
      <c r="K457" s="70" t="e">
        <f t="shared" ca="1" si="7"/>
        <v>#N/A</v>
      </c>
      <c r="L457" s="70"/>
      <c r="M457" s="70" t="e">
        <f t="shared" ca="1" si="8"/>
        <v>#REF!</v>
      </c>
      <c r="N457" s="70" t="s">
        <v>1016</v>
      </c>
      <c r="O457" s="70" t="e">
        <f t="shared" ca="1" si="9"/>
        <v>#REF!</v>
      </c>
      <c r="P457" s="70"/>
      <c r="Q457" s="70" t="e">
        <f t="shared" ca="1" si="10"/>
        <v>#REF!</v>
      </c>
      <c r="R457" s="20" t="e">
        <f t="shared" ca="1" si="11"/>
        <v>#REF!</v>
      </c>
      <c r="S457" s="5" t="e">
        <f t="shared" ca="1" si="12"/>
        <v>#REF!</v>
      </c>
      <c r="T457" s="70" t="s">
        <v>244</v>
      </c>
      <c r="U457" s="20">
        <v>43535</v>
      </c>
      <c r="V457" s="70" t="s">
        <v>245</v>
      </c>
    </row>
    <row r="458" spans="1:22" ht="12.75" customHeight="1">
      <c r="A458" s="70" t="s">
        <v>1014</v>
      </c>
      <c r="B458" s="56" t="s">
        <v>224</v>
      </c>
      <c r="C458" s="56" t="s">
        <v>968</v>
      </c>
      <c r="D458" s="56" t="s">
        <v>242</v>
      </c>
      <c r="E458" s="56" t="s">
        <v>1012</v>
      </c>
      <c r="F458" s="56">
        <v>15</v>
      </c>
      <c r="G458" s="70" t="e">
        <f>VLOOKUP(C458,'20. USER to SECROLE'!F:T,15,FALSE)</f>
        <v>#N/A</v>
      </c>
      <c r="H458" s="20">
        <v>43538</v>
      </c>
      <c r="I458" s="70" t="e">
        <v>#N/A</v>
      </c>
      <c r="J458" s="70" t="e">
        <f t="shared" ca="1" si="13"/>
        <v>#REF!</v>
      </c>
      <c r="K458" s="70" t="e">
        <f t="shared" ca="1" si="7"/>
        <v>#N/A</v>
      </c>
      <c r="L458" s="70"/>
      <c r="M458" s="70" t="e">
        <f t="shared" ca="1" si="8"/>
        <v>#REF!</v>
      </c>
      <c r="N458" s="70" t="s">
        <v>969</v>
      </c>
      <c r="O458" s="70" t="e">
        <f t="shared" ca="1" si="9"/>
        <v>#REF!</v>
      </c>
      <c r="P458" s="70"/>
      <c r="Q458" s="70" t="e">
        <f t="shared" ca="1" si="10"/>
        <v>#REF!</v>
      </c>
      <c r="R458" s="20" t="e">
        <f t="shared" ca="1" si="11"/>
        <v>#REF!</v>
      </c>
      <c r="S458" s="5" t="e">
        <f t="shared" ca="1" si="12"/>
        <v>#REF!</v>
      </c>
      <c r="T458" s="70" t="s">
        <v>244</v>
      </c>
      <c r="U458" s="20">
        <v>43535</v>
      </c>
      <c r="V458" s="70" t="s">
        <v>245</v>
      </c>
    </row>
    <row r="459" spans="1:22" ht="12.75" customHeight="1">
      <c r="A459" s="70" t="s">
        <v>1017</v>
      </c>
      <c r="B459" s="186" t="s">
        <v>55</v>
      </c>
      <c r="C459" s="186" t="s">
        <v>947</v>
      </c>
      <c r="D459" s="186" t="s">
        <v>324</v>
      </c>
      <c r="E459" s="186" t="s">
        <v>243</v>
      </c>
      <c r="F459" s="186">
        <v>59</v>
      </c>
      <c r="G459" s="70" t="str">
        <f>VLOOKUP(C459,'23. PARTYOFINTEREST (Internal)'!F:T,15,FALSE)</f>
        <v>Salutation</v>
      </c>
      <c r="H459" s="20">
        <v>43538</v>
      </c>
      <c r="I459" s="70" t="e">
        <v>#N/A</v>
      </c>
      <c r="J459" s="70" t="e">
        <f t="shared" ca="1" si="13"/>
        <v>#REF!</v>
      </c>
      <c r="K459" s="70" t="e">
        <f t="shared" ca="1" si="7"/>
        <v>#N/A</v>
      </c>
      <c r="L459" s="70" t="s">
        <v>1018</v>
      </c>
      <c r="M459" s="70" t="e">
        <f t="shared" ca="1" si="8"/>
        <v>#REF!</v>
      </c>
      <c r="N459" s="129" t="s">
        <v>1019</v>
      </c>
      <c r="O459" s="70" t="e">
        <f t="shared" ca="1" si="9"/>
        <v>#REF!</v>
      </c>
      <c r="P459" s="70"/>
      <c r="Q459" s="70" t="e">
        <f t="shared" ca="1" si="10"/>
        <v>#REF!</v>
      </c>
      <c r="R459" s="20" t="e">
        <f t="shared" ca="1" si="11"/>
        <v>#REF!</v>
      </c>
      <c r="S459" s="70" t="e">
        <f t="shared" ca="1" si="12"/>
        <v>#REF!</v>
      </c>
      <c r="T459" s="70" t="s">
        <v>244</v>
      </c>
      <c r="U459" s="20">
        <v>43550</v>
      </c>
      <c r="V459" s="70" t="s">
        <v>256</v>
      </c>
    </row>
    <row r="460" spans="1:22" ht="12.75" customHeight="1">
      <c r="A460" s="70" t="s">
        <v>1017</v>
      </c>
      <c r="B460" s="186" t="s">
        <v>61</v>
      </c>
      <c r="C460" s="186" t="s">
        <v>914</v>
      </c>
      <c r="D460" s="186" t="s">
        <v>247</v>
      </c>
      <c r="E460" s="186" t="s">
        <v>243</v>
      </c>
      <c r="F460" s="186">
        <v>31</v>
      </c>
      <c r="G460" s="70" t="str">
        <f>VLOOKUP(C460,'23. PARTYOFINTEREST (Internal)'!F:T,15,FALSE)</f>
        <v>First Name</v>
      </c>
      <c r="H460" s="20">
        <v>43538</v>
      </c>
      <c r="I460" s="70" t="e">
        <v>#N/A</v>
      </c>
      <c r="J460" s="70" t="e">
        <f t="shared" ca="1" si="13"/>
        <v>#REF!</v>
      </c>
      <c r="K460" s="70" t="e">
        <f t="shared" ca="1" si="7"/>
        <v>#N/A</v>
      </c>
      <c r="L460" s="70"/>
      <c r="M460" s="70" t="e">
        <f t="shared" ca="1" si="8"/>
        <v>#REF!</v>
      </c>
      <c r="N460" s="129" t="s">
        <v>965</v>
      </c>
      <c r="O460" s="70" t="e">
        <f t="shared" ca="1" si="9"/>
        <v>#REF!</v>
      </c>
      <c r="P460" s="70"/>
      <c r="Q460" s="70" t="e">
        <f t="shared" ca="1" si="10"/>
        <v>#REF!</v>
      </c>
      <c r="R460" s="20" t="e">
        <f t="shared" ca="1" si="11"/>
        <v>#REF!</v>
      </c>
      <c r="S460" s="5" t="e">
        <f t="shared" ca="1" si="12"/>
        <v>#REF!</v>
      </c>
      <c r="T460" s="70" t="s">
        <v>244</v>
      </c>
      <c r="U460" s="20">
        <v>43535</v>
      </c>
      <c r="V460" s="70" t="s">
        <v>245</v>
      </c>
    </row>
    <row r="461" spans="1:22" ht="12.75" customHeight="1">
      <c r="A461" s="70" t="s">
        <v>1017</v>
      </c>
      <c r="B461" s="186" t="s">
        <v>61</v>
      </c>
      <c r="C461" s="186" t="s">
        <v>174</v>
      </c>
      <c r="D461" s="186" t="s">
        <v>909</v>
      </c>
      <c r="E461" s="186" t="s">
        <v>243</v>
      </c>
      <c r="F461" s="186">
        <v>34</v>
      </c>
      <c r="G461" s="70" t="str">
        <f>VLOOKUP(C461,'23. PARTYOFINTEREST (Internal)'!F:T,15,FALSE)</f>
        <v>Full name of the POI</v>
      </c>
      <c r="H461" s="20">
        <v>43538</v>
      </c>
      <c r="I461" s="70" t="e">
        <v>#N/A</v>
      </c>
      <c r="J461" s="70" t="e">
        <f t="shared" ca="1" si="13"/>
        <v>#REF!</v>
      </c>
      <c r="K461" s="70" t="e">
        <f t="shared" ca="1" si="7"/>
        <v>#N/A</v>
      </c>
      <c r="L461" s="70" t="s">
        <v>1018</v>
      </c>
      <c r="M461" s="70" t="e">
        <f t="shared" ca="1" si="8"/>
        <v>#REF!</v>
      </c>
      <c r="N461" s="129" t="s">
        <v>1020</v>
      </c>
      <c r="O461" s="70" t="e">
        <f t="shared" ca="1" si="9"/>
        <v>#REF!</v>
      </c>
      <c r="P461" s="70"/>
      <c r="Q461" s="70" t="e">
        <f t="shared" ca="1" si="10"/>
        <v>#REF!</v>
      </c>
      <c r="R461" s="20" t="e">
        <f t="shared" ca="1" si="11"/>
        <v>#REF!</v>
      </c>
      <c r="S461" s="70" t="e">
        <f t="shared" ca="1" si="12"/>
        <v>#REF!</v>
      </c>
      <c r="T461" s="70" t="s">
        <v>244</v>
      </c>
      <c r="U461" s="20">
        <v>43550</v>
      </c>
      <c r="V461" s="70" t="s">
        <v>256</v>
      </c>
    </row>
    <row r="462" spans="1:22" ht="12.75" customHeight="1">
      <c r="A462" s="70" t="s">
        <v>1017</v>
      </c>
      <c r="B462" s="186" t="s">
        <v>61</v>
      </c>
      <c r="C462" s="186" t="s">
        <v>916</v>
      </c>
      <c r="D462" s="186" t="s">
        <v>247</v>
      </c>
      <c r="E462" s="186" t="s">
        <v>243</v>
      </c>
      <c r="F462" s="186">
        <v>39</v>
      </c>
      <c r="G462" s="70" t="str">
        <f>VLOOKUP(C462,'23. PARTYOFINTEREST (Internal)'!F:T,15,FALSE)</f>
        <v>Last Name</v>
      </c>
      <c r="H462" s="20">
        <v>43538</v>
      </c>
      <c r="I462" s="70" t="e">
        <v>#N/A</v>
      </c>
      <c r="J462" s="70" t="e">
        <f t="shared" ca="1" si="13"/>
        <v>#REF!</v>
      </c>
      <c r="K462" s="70" t="e">
        <f t="shared" ca="1" si="7"/>
        <v>#N/A</v>
      </c>
      <c r="L462" s="70" t="s">
        <v>1018</v>
      </c>
      <c r="M462" s="70" t="e">
        <f t="shared" ca="1" si="8"/>
        <v>#REF!</v>
      </c>
      <c r="N462" s="129" t="s">
        <v>967</v>
      </c>
      <c r="O462" s="70" t="e">
        <f t="shared" ca="1" si="9"/>
        <v>#REF!</v>
      </c>
      <c r="P462" s="70"/>
      <c r="Q462" s="70" t="e">
        <f t="shared" ca="1" si="10"/>
        <v>#REF!</v>
      </c>
      <c r="R462" s="20" t="e">
        <f t="shared" ca="1" si="11"/>
        <v>#REF!</v>
      </c>
      <c r="S462" s="70" t="e">
        <f t="shared" ca="1" si="12"/>
        <v>#REF!</v>
      </c>
      <c r="T462" s="70" t="s">
        <v>244</v>
      </c>
      <c r="U462" s="20">
        <v>43550</v>
      </c>
      <c r="V462" s="70" t="s">
        <v>256</v>
      </c>
    </row>
    <row r="463" spans="1:22" ht="12.75" customHeight="1">
      <c r="A463" s="70" t="s">
        <v>1017</v>
      </c>
      <c r="B463" s="186" t="s">
        <v>61</v>
      </c>
      <c r="C463" s="186" t="s">
        <v>1021</v>
      </c>
      <c r="D463" s="186" t="s">
        <v>324</v>
      </c>
      <c r="E463" s="186" t="s">
        <v>243</v>
      </c>
      <c r="F463" s="186">
        <v>44</v>
      </c>
      <c r="G463" s="70" t="str">
        <f>VLOOKUP(C463,'23. PARTYOFINTEREST (Internal)'!F:T,15,FALSE)</f>
        <v>Role of the POI (ie: RA, IC)</v>
      </c>
      <c r="H463" s="20">
        <v>43538</v>
      </c>
      <c r="I463" s="70" t="e">
        <v>#N/A</v>
      </c>
      <c r="J463" s="70" t="e">
        <f t="shared" ca="1" si="13"/>
        <v>#REF!</v>
      </c>
      <c r="K463" s="70" t="e">
        <f t="shared" ca="1" si="7"/>
        <v>#N/A</v>
      </c>
      <c r="L463" s="70"/>
      <c r="M463" s="70" t="e">
        <f t="shared" ca="1" si="8"/>
        <v>#REF!</v>
      </c>
      <c r="N463" s="129" t="s">
        <v>1022</v>
      </c>
      <c r="O463" s="70" t="e">
        <f t="shared" ca="1" si="9"/>
        <v>#REF!</v>
      </c>
      <c r="P463" s="70"/>
      <c r="Q463" s="70" t="e">
        <f t="shared" ca="1" si="10"/>
        <v>#REF!</v>
      </c>
      <c r="R463" s="20" t="e">
        <f t="shared" ca="1" si="11"/>
        <v>#REF!</v>
      </c>
      <c r="S463" s="5" t="e">
        <f t="shared" ca="1" si="12"/>
        <v>#REF!</v>
      </c>
      <c r="T463" s="70" t="s">
        <v>244</v>
      </c>
      <c r="U463" s="20">
        <v>43535</v>
      </c>
      <c r="V463" s="70" t="s">
        <v>245</v>
      </c>
    </row>
    <row r="464" spans="1:22" ht="12.75" customHeight="1">
      <c r="A464" s="70" t="s">
        <v>1017</v>
      </c>
      <c r="B464" s="186" t="s">
        <v>61</v>
      </c>
      <c r="C464" s="186" t="s">
        <v>1023</v>
      </c>
      <c r="D464" s="186" t="s">
        <v>242</v>
      </c>
      <c r="E464" s="186" t="s">
        <v>243</v>
      </c>
      <c r="F464" s="186">
        <v>63</v>
      </c>
      <c r="G464" s="70" t="str">
        <f>VLOOKUP(C464,'23. PARTYOFINTEREST (Internal)'!F:T,15,FALSE)</f>
        <v>Associated UserName, required for report bundler. Unique POI value - Required</v>
      </c>
      <c r="H464" s="20">
        <v>43538</v>
      </c>
      <c r="I464" s="70" t="e">
        <v>#N/A</v>
      </c>
      <c r="J464" s="70" t="e">
        <f t="shared" ca="1" si="13"/>
        <v>#REF!</v>
      </c>
      <c r="K464" s="70" t="e">
        <f t="shared" ca="1" si="7"/>
        <v>#N/A</v>
      </c>
      <c r="L464" s="70" t="s">
        <v>1018</v>
      </c>
      <c r="M464" s="70" t="e">
        <f t="shared" ca="1" si="8"/>
        <v>#REF!</v>
      </c>
      <c r="N464" s="129" t="s">
        <v>1024</v>
      </c>
      <c r="O464" s="70" t="e">
        <f t="shared" ca="1" si="9"/>
        <v>#REF!</v>
      </c>
      <c r="P464" s="70"/>
      <c r="Q464" s="70" t="e">
        <f t="shared" ca="1" si="10"/>
        <v>#REF!</v>
      </c>
      <c r="R464" s="20" t="e">
        <f t="shared" ca="1" si="11"/>
        <v>#REF!</v>
      </c>
      <c r="S464" s="70" t="e">
        <f t="shared" ca="1" si="12"/>
        <v>#REF!</v>
      </c>
      <c r="T464" s="70" t="s">
        <v>244</v>
      </c>
      <c r="U464" s="20">
        <v>43550</v>
      </c>
      <c r="V464" s="70" t="s">
        <v>256</v>
      </c>
    </row>
    <row r="465" spans="1:22" ht="12.75" customHeight="1">
      <c r="A465" s="70" t="s">
        <v>1017</v>
      </c>
      <c r="B465" s="186" t="s">
        <v>61</v>
      </c>
      <c r="C465" s="186" t="s">
        <v>123</v>
      </c>
      <c r="D465" s="186" t="s">
        <v>535</v>
      </c>
      <c r="E465" s="186" t="s">
        <v>243</v>
      </c>
      <c r="F465" s="186">
        <v>70</v>
      </c>
      <c r="G465" s="70" t="str">
        <f>VLOOKUP(C465,'23. PARTYOFINTEREST (Internal)'!F:T,15,FALSE)</f>
        <v>Tenant associated to the account affilated</v>
      </c>
      <c r="H465" s="20">
        <v>43538</v>
      </c>
      <c r="I465" s="70" t="e">
        <v>#N/A</v>
      </c>
      <c r="J465" s="70" t="e">
        <f t="shared" ca="1" si="13"/>
        <v>#REF!</v>
      </c>
      <c r="K465" s="70" t="e">
        <f t="shared" ca="1" si="7"/>
        <v>#N/A</v>
      </c>
      <c r="L465" s="70" t="s">
        <v>1018</v>
      </c>
      <c r="M465" s="70" t="e">
        <f t="shared" ca="1" si="8"/>
        <v>#REF!</v>
      </c>
      <c r="N465" s="129" t="s">
        <v>1013</v>
      </c>
      <c r="O465" s="70" t="e">
        <f t="shared" ca="1" si="9"/>
        <v>#REF!</v>
      </c>
      <c r="P465" s="70"/>
      <c r="Q465" s="70" t="e">
        <f t="shared" ca="1" si="10"/>
        <v>#REF!</v>
      </c>
      <c r="R465" s="20" t="e">
        <f t="shared" ca="1" si="11"/>
        <v>#REF!</v>
      </c>
      <c r="S465" s="70" t="e">
        <f t="shared" ca="1" si="12"/>
        <v>#REF!</v>
      </c>
      <c r="T465" s="70" t="s">
        <v>244</v>
      </c>
      <c r="U465" s="20">
        <v>43550</v>
      </c>
      <c r="V465" s="70" t="s">
        <v>256</v>
      </c>
    </row>
    <row r="466" spans="1:22" ht="12.75" customHeight="1">
      <c r="A466" s="70" t="s">
        <v>1017</v>
      </c>
      <c r="B466" s="186" t="s">
        <v>59</v>
      </c>
      <c r="C466" s="186" t="s">
        <v>950</v>
      </c>
      <c r="D466" s="186" t="s">
        <v>324</v>
      </c>
      <c r="E466" s="186" t="s">
        <v>243</v>
      </c>
      <c r="F466" s="186">
        <v>27</v>
      </c>
      <c r="G466" s="70" t="str">
        <f>VLOOKUP(C466,'23. PARTYOFINTEREST (Internal)'!F:T,15,FALSE)</f>
        <v>Primary Email Address</v>
      </c>
      <c r="H466" s="20">
        <v>43538</v>
      </c>
      <c r="I466" s="70" t="e">
        <v>#N/A</v>
      </c>
      <c r="J466" s="70" t="e">
        <f t="shared" ca="1" si="13"/>
        <v>#REF!</v>
      </c>
      <c r="K466" s="70" t="e">
        <f t="shared" ca="1" si="7"/>
        <v>#N/A</v>
      </c>
      <c r="L466" s="70" t="s">
        <v>1018</v>
      </c>
      <c r="M466" s="70" t="e">
        <f t="shared" ca="1" si="8"/>
        <v>#REF!</v>
      </c>
      <c r="N466" s="129" t="s">
        <v>1025</v>
      </c>
      <c r="O466" s="70" t="e">
        <f t="shared" ca="1" si="9"/>
        <v>#REF!</v>
      </c>
      <c r="P466" s="70"/>
      <c r="Q466" s="70" t="e">
        <f t="shared" ca="1" si="10"/>
        <v>#REF!</v>
      </c>
      <c r="R466" s="20" t="e">
        <f t="shared" ca="1" si="11"/>
        <v>#REF!</v>
      </c>
      <c r="S466" s="70" t="e">
        <f t="shared" ca="1" si="12"/>
        <v>#REF!</v>
      </c>
      <c r="T466" s="70" t="s">
        <v>244</v>
      </c>
      <c r="U466" s="20">
        <v>43550</v>
      </c>
      <c r="V466" s="70" t="s">
        <v>256</v>
      </c>
    </row>
    <row r="467" spans="1:22" ht="12.75" customHeight="1">
      <c r="A467" s="70" t="s">
        <v>1017</v>
      </c>
      <c r="B467" s="186" t="s">
        <v>59</v>
      </c>
      <c r="C467" s="186" t="s">
        <v>948</v>
      </c>
      <c r="D467" s="186" t="s">
        <v>324</v>
      </c>
      <c r="E467" s="186" t="s">
        <v>243</v>
      </c>
      <c r="F467" s="186">
        <v>72</v>
      </c>
      <c r="G467" s="70" t="str">
        <f>VLOOKUP(C467,'23. PARTYOFINTEREST (Internal)'!F:T,15,FALSE)</f>
        <v>Title of the POI</v>
      </c>
      <c r="H467" s="20">
        <v>43538</v>
      </c>
      <c r="I467" s="70" t="e">
        <v>#N/A</v>
      </c>
      <c r="J467" s="70" t="e">
        <f t="shared" ca="1" si="13"/>
        <v>#REF!</v>
      </c>
      <c r="K467" s="70" t="e">
        <f t="shared" ca="1" si="7"/>
        <v>#N/A</v>
      </c>
      <c r="L467" s="70" t="s">
        <v>1018</v>
      </c>
      <c r="M467" s="70" t="e">
        <f t="shared" ca="1" si="8"/>
        <v>#REF!</v>
      </c>
      <c r="N467" s="129" t="s">
        <v>1026</v>
      </c>
      <c r="O467" s="70" t="e">
        <f t="shared" ca="1" si="9"/>
        <v>#REF!</v>
      </c>
      <c r="P467" s="70"/>
      <c r="Q467" s="70" t="e">
        <f t="shared" ca="1" si="10"/>
        <v>#REF!</v>
      </c>
      <c r="R467" s="20" t="e">
        <f t="shared" ca="1" si="11"/>
        <v>#REF!</v>
      </c>
      <c r="S467" s="70" t="e">
        <f t="shared" ca="1" si="12"/>
        <v>#REF!</v>
      </c>
      <c r="T467" s="70" t="s">
        <v>244</v>
      </c>
      <c r="U467" s="20">
        <v>43550</v>
      </c>
      <c r="V467" s="70" t="s">
        <v>256</v>
      </c>
    </row>
    <row r="468" spans="1:22" ht="12.75" customHeight="1">
      <c r="A468" s="70" t="s">
        <v>1017</v>
      </c>
      <c r="B468" s="186" t="s">
        <v>61</v>
      </c>
      <c r="C468" s="186" t="s">
        <v>122</v>
      </c>
      <c r="D468" s="186" t="s">
        <v>264</v>
      </c>
      <c r="E468" s="186" t="s">
        <v>243</v>
      </c>
      <c r="F468" s="186">
        <v>71</v>
      </c>
      <c r="G468" s="70" t="str">
        <f>VLOOKUP(C468,'23. PARTYOFINTEREST (Internal)'!F:T,15,FALSE)</f>
        <v>Tenant name associated to the account affilated</v>
      </c>
      <c r="H468" s="20">
        <v>43538</v>
      </c>
      <c r="I468" s="70" t="e">
        <v>#N/A</v>
      </c>
      <c r="J468" s="70" t="e">
        <f t="shared" ca="1" si="13"/>
        <v>#REF!</v>
      </c>
      <c r="K468" s="70" t="e">
        <f t="shared" ca="1" si="7"/>
        <v>#N/A</v>
      </c>
      <c r="L468" s="70" t="s">
        <v>1018</v>
      </c>
      <c r="M468" s="70" t="e">
        <f t="shared" ca="1" si="8"/>
        <v>#REF!</v>
      </c>
      <c r="N468" s="129" t="s">
        <v>1027</v>
      </c>
      <c r="O468" s="70" t="e">
        <f t="shared" ca="1" si="9"/>
        <v>#REF!</v>
      </c>
      <c r="P468" s="70"/>
      <c r="Q468" s="70" t="e">
        <f t="shared" ca="1" si="10"/>
        <v>#REF!</v>
      </c>
      <c r="R468" s="20" t="e">
        <f t="shared" ca="1" si="11"/>
        <v>#REF!</v>
      </c>
      <c r="S468" s="70" t="e">
        <f t="shared" ca="1" si="12"/>
        <v>#REF!</v>
      </c>
      <c r="T468" s="70" t="s">
        <v>244</v>
      </c>
      <c r="U468" s="20">
        <v>43550</v>
      </c>
      <c r="V468" s="70" t="s">
        <v>256</v>
      </c>
    </row>
    <row r="469" spans="1:22" ht="12.75" customHeight="1">
      <c r="A469" s="70" t="s">
        <v>1017</v>
      </c>
      <c r="B469" s="186" t="s">
        <v>59</v>
      </c>
      <c r="C469" s="186" t="s">
        <v>1028</v>
      </c>
      <c r="D469" s="186" t="s">
        <v>324</v>
      </c>
      <c r="E469" s="186" t="s">
        <v>243</v>
      </c>
      <c r="F469" s="186">
        <v>45</v>
      </c>
      <c r="G469" s="70" t="str">
        <f>VLOOKUP(C469,'23. PARTYOFINTEREST (Internal)'!F:T,15,FALSE)</f>
        <v>Party Type of the POI</v>
      </c>
      <c r="H469" s="20">
        <v>43538</v>
      </c>
      <c r="I469" s="70" t="e">
        <v>#N/A</v>
      </c>
      <c r="J469" s="70" t="e">
        <f t="shared" ca="1" si="13"/>
        <v>#REF!</v>
      </c>
      <c r="K469" s="70" t="e">
        <f t="shared" ca="1" si="7"/>
        <v>#N/A</v>
      </c>
      <c r="L469" s="70"/>
      <c r="M469" s="70" t="e">
        <f t="shared" ca="1" si="8"/>
        <v>#REF!</v>
      </c>
      <c r="N469" s="129" t="s">
        <v>1029</v>
      </c>
      <c r="O469" s="70" t="e">
        <f t="shared" ca="1" si="9"/>
        <v>#REF!</v>
      </c>
      <c r="P469" s="70"/>
      <c r="Q469" s="70" t="e">
        <f t="shared" ca="1" si="10"/>
        <v>#REF!</v>
      </c>
      <c r="R469" s="20" t="e">
        <f t="shared" ca="1" si="11"/>
        <v>#REF!</v>
      </c>
      <c r="S469" s="5" t="e">
        <f t="shared" ca="1" si="12"/>
        <v>#REF!</v>
      </c>
      <c r="T469" s="70" t="s">
        <v>244</v>
      </c>
      <c r="U469" s="20">
        <v>43535</v>
      </c>
      <c r="V469" s="70" t="s">
        <v>245</v>
      </c>
    </row>
    <row r="470" spans="1:22" ht="12.75" customHeight="1">
      <c r="A470" s="70" t="s">
        <v>1017</v>
      </c>
      <c r="B470" s="186" t="s">
        <v>55</v>
      </c>
      <c r="C470" s="186" t="s">
        <v>936</v>
      </c>
      <c r="D470" s="186" t="s">
        <v>247</v>
      </c>
      <c r="E470" s="186" t="s">
        <v>243</v>
      </c>
      <c r="F470" s="186">
        <v>10</v>
      </c>
      <c r="G470" s="70" t="str">
        <f>VLOOKUP(C470,'23. PARTYOFINTEREST (Internal)'!F:T,15,FALSE)</f>
        <v>Flex - can be used for contact code</v>
      </c>
      <c r="H470" s="20">
        <v>43538</v>
      </c>
      <c r="I470" s="70" t="e">
        <v>#N/A</v>
      </c>
      <c r="J470" s="70" t="e">
        <f t="shared" ca="1" si="13"/>
        <v>#REF!</v>
      </c>
      <c r="K470" s="70" t="e">
        <f t="shared" ca="1" si="7"/>
        <v>#N/A</v>
      </c>
      <c r="L470" s="70" t="s">
        <v>1018</v>
      </c>
      <c r="M470" s="70" t="e">
        <f t="shared" ca="1" si="8"/>
        <v>#REF!</v>
      </c>
      <c r="N470" s="129" t="s">
        <v>986</v>
      </c>
      <c r="O470" s="70" t="e">
        <f t="shared" ca="1" si="9"/>
        <v>#REF!</v>
      </c>
      <c r="P470" s="70"/>
      <c r="Q470" s="70" t="e">
        <f t="shared" ca="1" si="10"/>
        <v>#REF!</v>
      </c>
      <c r="R470" s="20" t="e">
        <f t="shared" ca="1" si="11"/>
        <v>#REF!</v>
      </c>
      <c r="S470" s="70" t="e">
        <f t="shared" ca="1" si="12"/>
        <v>#REF!</v>
      </c>
      <c r="T470" s="70" t="s">
        <v>244</v>
      </c>
      <c r="U470" s="20">
        <v>43550</v>
      </c>
      <c r="V470" s="70" t="s">
        <v>256</v>
      </c>
    </row>
    <row r="471" spans="1:22" ht="12.75" customHeight="1">
      <c r="A471" s="70" t="s">
        <v>1017</v>
      </c>
      <c r="B471" s="186" t="s">
        <v>59</v>
      </c>
      <c r="C471" s="186" t="s">
        <v>921</v>
      </c>
      <c r="D471" s="186" t="s">
        <v>922</v>
      </c>
      <c r="E471" s="186" t="s">
        <v>243</v>
      </c>
      <c r="F471" s="186">
        <v>6</v>
      </c>
      <c r="G471" s="70" t="str">
        <f>VLOOKUP(C471,'23. PARTYOFINTEREST (Internal)'!F:T,15,FALSE)</f>
        <v>Primary Address</v>
      </c>
      <c r="H471" s="20">
        <v>43538</v>
      </c>
      <c r="I471" s="70" t="e">
        <v>#N/A</v>
      </c>
      <c r="J471" s="70" t="e">
        <f t="shared" ca="1" si="13"/>
        <v>#REF!</v>
      </c>
      <c r="K471" s="70" t="e">
        <f t="shared" ca="1" si="7"/>
        <v>#N/A</v>
      </c>
      <c r="L471" s="70" t="s">
        <v>1030</v>
      </c>
      <c r="M471" s="70" t="e">
        <f t="shared" ca="1" si="8"/>
        <v>#REF!</v>
      </c>
      <c r="N471" s="129"/>
      <c r="O471" s="70" t="e">
        <f t="shared" ca="1" si="9"/>
        <v>#REF!</v>
      </c>
      <c r="P471" s="70"/>
      <c r="Q471" s="70" t="e">
        <f t="shared" ca="1" si="10"/>
        <v>#REF!</v>
      </c>
      <c r="R471" s="20" t="e">
        <f t="shared" ca="1" si="11"/>
        <v>#REF!</v>
      </c>
      <c r="S471" s="70" t="e">
        <f t="shared" ca="1" si="12"/>
        <v>#REF!</v>
      </c>
      <c r="T471" s="70" t="s">
        <v>244</v>
      </c>
      <c r="U471" s="20">
        <v>43550</v>
      </c>
      <c r="V471" s="70" t="s">
        <v>256</v>
      </c>
    </row>
    <row r="472" spans="1:22" ht="12.75" customHeight="1">
      <c r="A472" s="70" t="s">
        <v>1017</v>
      </c>
      <c r="B472" s="186" t="s">
        <v>59</v>
      </c>
      <c r="C472" s="186" t="s">
        <v>934</v>
      </c>
      <c r="D472" s="186" t="s">
        <v>249</v>
      </c>
      <c r="E472" s="186" t="s">
        <v>243</v>
      </c>
      <c r="F472" s="186">
        <v>46</v>
      </c>
      <c r="G472" s="70" t="str">
        <f>VLOOKUP(C472,'23. PARTYOFINTEREST (Internal)'!F:T,15,FALSE)</f>
        <v>Primary phone number</v>
      </c>
      <c r="H472" s="20">
        <v>43538</v>
      </c>
      <c r="I472" s="70" t="e">
        <v>#N/A</v>
      </c>
      <c r="J472" s="70" t="e">
        <f t="shared" ca="1" si="13"/>
        <v>#REF!</v>
      </c>
      <c r="K472" s="70" t="e">
        <f t="shared" ca="1" si="7"/>
        <v>#N/A</v>
      </c>
      <c r="L472" s="70" t="s">
        <v>1030</v>
      </c>
      <c r="M472" s="70" t="e">
        <f t="shared" ca="1" si="8"/>
        <v>#REF!</v>
      </c>
      <c r="N472" s="129"/>
      <c r="O472" s="70" t="e">
        <f t="shared" ca="1" si="9"/>
        <v>#REF!</v>
      </c>
      <c r="P472" s="70"/>
      <c r="Q472" s="70" t="e">
        <f t="shared" ca="1" si="10"/>
        <v>#REF!</v>
      </c>
      <c r="R472" s="20" t="e">
        <f t="shared" ca="1" si="11"/>
        <v>#REF!</v>
      </c>
      <c r="S472" s="70" t="e">
        <f t="shared" ca="1" si="12"/>
        <v>#REF!</v>
      </c>
      <c r="T472" s="70" t="s">
        <v>244</v>
      </c>
      <c r="U472" s="20">
        <v>43550</v>
      </c>
      <c r="V472" s="70" t="s">
        <v>256</v>
      </c>
    </row>
    <row r="473" spans="1:22" ht="12.75" customHeight="1">
      <c r="A473" s="70" t="s">
        <v>1017</v>
      </c>
      <c r="B473" s="186" t="s">
        <v>55</v>
      </c>
      <c r="C473" s="186" t="s">
        <v>1031</v>
      </c>
      <c r="D473" s="186" t="s">
        <v>249</v>
      </c>
      <c r="E473" s="186" t="s">
        <v>243</v>
      </c>
      <c r="F473" s="186"/>
      <c r="G473" s="70" t="str">
        <f>VLOOKUP(C473,'23. PARTYOFINTEREST (Internal)'!F:T,15,FALSE)</f>
        <v>Fax number</v>
      </c>
      <c r="H473" s="20">
        <v>43538</v>
      </c>
      <c r="I473" s="70" t="e">
        <v>#N/A</v>
      </c>
      <c r="J473" s="70" t="e">
        <f t="shared" ca="1" si="13"/>
        <v>#REF!</v>
      </c>
      <c r="K473" s="70" t="e">
        <f t="shared" ca="1" si="7"/>
        <v>#N/A</v>
      </c>
      <c r="L473" s="70" t="s">
        <v>1030</v>
      </c>
      <c r="M473" s="70" t="e">
        <f t="shared" ca="1" si="8"/>
        <v>#REF!</v>
      </c>
      <c r="N473" s="129"/>
      <c r="O473" s="70" t="e">
        <f t="shared" ca="1" si="9"/>
        <v>#REF!</v>
      </c>
      <c r="P473" s="70"/>
      <c r="Q473" s="70" t="e">
        <f t="shared" ca="1" si="10"/>
        <v>#REF!</v>
      </c>
      <c r="R473" s="20" t="e">
        <f t="shared" ca="1" si="11"/>
        <v>#REF!</v>
      </c>
      <c r="S473" s="70" t="e">
        <f t="shared" ca="1" si="12"/>
        <v>#REF!</v>
      </c>
      <c r="T473" s="70" t="s">
        <v>244</v>
      </c>
      <c r="U473" s="20">
        <v>43550</v>
      </c>
      <c r="V473" s="70" t="s">
        <v>256</v>
      </c>
    </row>
    <row r="474" spans="1:22" ht="12.75" customHeight="1">
      <c r="A474" s="219" t="s">
        <v>1017</v>
      </c>
      <c r="B474" s="234" t="s">
        <v>55</v>
      </c>
      <c r="C474" s="238" t="s">
        <v>924</v>
      </c>
      <c r="D474" s="238" t="s">
        <v>925</v>
      </c>
      <c r="E474" s="234" t="s">
        <v>243</v>
      </c>
      <c r="F474" s="234"/>
      <c r="G474" s="219" t="str">
        <f>VLOOKUP(C474,'23. PARTYOFINTEREST (Internal)'!F:T,15,FALSE)</f>
        <v>City of affiliation</v>
      </c>
      <c r="H474" s="220">
        <v>43538</v>
      </c>
      <c r="I474" s="219" t="e">
        <v>#N/A</v>
      </c>
      <c r="J474" s="219" t="e">
        <f t="shared" ca="1" si="13"/>
        <v>#REF!</v>
      </c>
      <c r="K474" s="219" t="e">
        <f t="shared" ca="1" si="7"/>
        <v>#N/A</v>
      </c>
      <c r="L474" s="219" t="s">
        <v>1030</v>
      </c>
      <c r="M474" s="219" t="e">
        <f t="shared" ca="1" si="8"/>
        <v>#REF!</v>
      </c>
      <c r="N474" s="239"/>
      <c r="O474" s="219" t="e">
        <f t="shared" ca="1" si="9"/>
        <v>#REF!</v>
      </c>
      <c r="P474" s="219"/>
      <c r="Q474" s="219" t="e">
        <f t="shared" ca="1" si="10"/>
        <v>#REF!</v>
      </c>
      <c r="R474" s="220" t="e">
        <f t="shared" ca="1" si="11"/>
        <v>#REF!</v>
      </c>
      <c r="S474" s="219" t="e">
        <f t="shared" ca="1" si="12"/>
        <v>#REF!</v>
      </c>
      <c r="T474" s="70"/>
      <c r="U474" s="20"/>
      <c r="V474" s="70"/>
    </row>
    <row r="475" spans="1:22" ht="12.75" customHeight="1">
      <c r="A475" s="219" t="s">
        <v>1017</v>
      </c>
      <c r="B475" s="234" t="s">
        <v>55</v>
      </c>
      <c r="C475" s="238" t="s">
        <v>927</v>
      </c>
      <c r="D475" s="238" t="s">
        <v>925</v>
      </c>
      <c r="E475" s="234" t="s">
        <v>243</v>
      </c>
      <c r="F475" s="234"/>
      <c r="G475" s="219" t="str">
        <f>VLOOKUP(C475,'23. PARTYOFINTEREST (Internal)'!F:T,15,FALSE)</f>
        <v>State affiliated</v>
      </c>
      <c r="H475" s="220">
        <v>43538</v>
      </c>
      <c r="I475" s="219" t="e">
        <v>#N/A</v>
      </c>
      <c r="J475" s="219" t="e">
        <f t="shared" ca="1" si="13"/>
        <v>#REF!</v>
      </c>
      <c r="K475" s="219" t="e">
        <f t="shared" ca="1" si="7"/>
        <v>#N/A</v>
      </c>
      <c r="L475" s="219" t="s">
        <v>1030</v>
      </c>
      <c r="M475" s="219" t="e">
        <f t="shared" ca="1" si="8"/>
        <v>#REF!</v>
      </c>
      <c r="N475" s="239"/>
      <c r="O475" s="219" t="e">
        <f t="shared" ca="1" si="9"/>
        <v>#REF!</v>
      </c>
      <c r="P475" s="219"/>
      <c r="Q475" s="219" t="e">
        <f t="shared" ca="1" si="10"/>
        <v>#REF!</v>
      </c>
      <c r="R475" s="220" t="e">
        <f t="shared" ca="1" si="11"/>
        <v>#REF!</v>
      </c>
      <c r="S475" s="219" t="e">
        <f t="shared" ca="1" si="12"/>
        <v>#REF!</v>
      </c>
      <c r="T475" s="70"/>
      <c r="U475" s="20"/>
      <c r="V475" s="70"/>
    </row>
    <row r="476" spans="1:22" ht="12.75" customHeight="1">
      <c r="A476" s="219" t="s">
        <v>1017</v>
      </c>
      <c r="B476" s="234" t="s">
        <v>55</v>
      </c>
      <c r="C476" s="238" t="s">
        <v>929</v>
      </c>
      <c r="D476" s="238" t="s">
        <v>930</v>
      </c>
      <c r="E476" s="234" t="s">
        <v>243</v>
      </c>
      <c r="F476" s="234"/>
      <c r="G476" s="219" t="str">
        <f>VLOOKUP(C476,'23. PARTYOFINTEREST (Internal)'!F:T,15,FALSE)</f>
        <v>ZIP code of the POI</v>
      </c>
      <c r="H476" s="220">
        <v>43538</v>
      </c>
      <c r="I476" s="219" t="e">
        <v>#N/A</v>
      </c>
      <c r="J476" s="219" t="e">
        <f t="shared" ca="1" si="13"/>
        <v>#REF!</v>
      </c>
      <c r="K476" s="219" t="e">
        <f t="shared" ca="1" si="7"/>
        <v>#N/A</v>
      </c>
      <c r="L476" s="219" t="s">
        <v>1030</v>
      </c>
      <c r="M476" s="219" t="e">
        <f t="shared" ca="1" si="8"/>
        <v>#REF!</v>
      </c>
      <c r="N476" s="239"/>
      <c r="O476" s="219" t="e">
        <f t="shared" ca="1" si="9"/>
        <v>#REF!</v>
      </c>
      <c r="P476" s="219"/>
      <c r="Q476" s="219" t="e">
        <f t="shared" ca="1" si="10"/>
        <v>#REF!</v>
      </c>
      <c r="R476" s="220" t="e">
        <f t="shared" ca="1" si="11"/>
        <v>#REF!</v>
      </c>
      <c r="S476" s="219" t="e">
        <f t="shared" ca="1" si="12"/>
        <v>#REF!</v>
      </c>
      <c r="T476" s="70"/>
      <c r="U476" s="20"/>
      <c r="V476" s="70"/>
    </row>
    <row r="477" spans="1:22" ht="12.75" customHeight="1">
      <c r="A477" s="219" t="s">
        <v>1017</v>
      </c>
      <c r="B477" s="234" t="s">
        <v>55</v>
      </c>
      <c r="C477" s="238" t="s">
        <v>1032</v>
      </c>
      <c r="D477" s="238" t="s">
        <v>535</v>
      </c>
      <c r="E477" s="234"/>
      <c r="F477" s="234"/>
      <c r="G477" s="219" t="str">
        <f>VLOOKUP(C477,'23. PARTYOFINTEREST (Internal)'!F:T,15,FALSE)</f>
        <v>Country of residence ID # (ex: 840)</v>
      </c>
      <c r="H477" s="220">
        <v>43538</v>
      </c>
      <c r="I477" s="219" t="e">
        <v>#N/A</v>
      </c>
      <c r="J477" s="219" t="e">
        <f t="shared" ca="1" si="13"/>
        <v>#REF!</v>
      </c>
      <c r="K477" s="219" t="e">
        <f t="shared" ca="1" si="7"/>
        <v>#N/A</v>
      </c>
      <c r="L477" s="219" t="s">
        <v>1030</v>
      </c>
      <c r="M477" s="219" t="e">
        <f t="shared" ca="1" si="8"/>
        <v>#REF!</v>
      </c>
      <c r="N477" s="239"/>
      <c r="O477" s="219" t="e">
        <f t="shared" ca="1" si="9"/>
        <v>#REF!</v>
      </c>
      <c r="P477" s="219"/>
      <c r="Q477" s="219" t="e">
        <f t="shared" ca="1" si="10"/>
        <v>#REF!</v>
      </c>
      <c r="R477" s="220" t="e">
        <f t="shared" ca="1" si="11"/>
        <v>#REF!</v>
      </c>
      <c r="S477" s="219" t="e">
        <f t="shared" ca="1" si="12"/>
        <v>#REF!</v>
      </c>
      <c r="T477" s="70"/>
      <c r="U477" s="20"/>
      <c r="V477" s="70"/>
    </row>
    <row r="478" spans="1:22" ht="12.75" customHeight="1">
      <c r="A478" s="70" t="s">
        <v>1033</v>
      </c>
      <c r="B478" s="123" t="s">
        <v>61</v>
      </c>
      <c r="C478" s="123" t="s">
        <v>1010</v>
      </c>
      <c r="D478" s="123" t="s">
        <v>535</v>
      </c>
      <c r="E478" s="123" t="s">
        <v>903</v>
      </c>
      <c r="F478" s="123"/>
      <c r="G478" s="70" t="str">
        <f>VLOOKUP(C478,'24. POI to ACCOUNT (Internal)'!F:T,15,FALSE)</f>
        <v>ID of the account assocating the POI to</v>
      </c>
      <c r="H478" s="20">
        <v>43538</v>
      </c>
      <c r="I478" s="70" t="e">
        <v>#N/A</v>
      </c>
      <c r="J478" s="70" t="e">
        <f t="shared" ca="1" si="13"/>
        <v>#REF!</v>
      </c>
      <c r="K478" s="70" t="e">
        <f t="shared" ca="1" si="7"/>
        <v>#N/A</v>
      </c>
      <c r="L478" s="70"/>
      <c r="M478" s="70" t="e">
        <f t="shared" ca="1" si="8"/>
        <v>#REF!</v>
      </c>
      <c r="N478" s="129" t="s">
        <v>1011</v>
      </c>
      <c r="O478" s="70" t="e">
        <f t="shared" ca="1" si="9"/>
        <v>#REF!</v>
      </c>
      <c r="P478" s="70"/>
      <c r="Q478" s="70" t="e">
        <f t="shared" ca="1" si="10"/>
        <v>#REF!</v>
      </c>
      <c r="R478" s="20" t="e">
        <f t="shared" ca="1" si="11"/>
        <v>#REF!</v>
      </c>
      <c r="S478" s="5" t="e">
        <f t="shared" ca="1" si="12"/>
        <v>#REF!</v>
      </c>
      <c r="T478" s="70" t="s">
        <v>244</v>
      </c>
      <c r="U478" s="20">
        <v>43535</v>
      </c>
      <c r="V478" s="70" t="s">
        <v>245</v>
      </c>
    </row>
    <row r="479" spans="1:22" ht="12.75" customHeight="1">
      <c r="A479" s="70" t="s">
        <v>1033</v>
      </c>
      <c r="B479" s="123" t="s">
        <v>61</v>
      </c>
      <c r="C479" s="123" t="s">
        <v>936</v>
      </c>
      <c r="D479" s="123" t="s">
        <v>242</v>
      </c>
      <c r="E479" s="123" t="s">
        <v>1012</v>
      </c>
      <c r="F479" s="123"/>
      <c r="G479" s="70" t="str">
        <f>VLOOKUP(C479,'24. POI to ACCOUNT (Internal)'!F:T,15,FALSE)</f>
        <v>ID for the Party of Interest</v>
      </c>
      <c r="H479" s="20">
        <v>43538</v>
      </c>
      <c r="I479" s="70" t="e">
        <v>#N/A</v>
      </c>
      <c r="J479" s="70" t="e">
        <f t="shared" ca="1" si="13"/>
        <v>#REF!</v>
      </c>
      <c r="K479" s="70" t="e">
        <f t="shared" ca="1" si="7"/>
        <v>#N/A</v>
      </c>
      <c r="L479" s="70" t="s">
        <v>1018</v>
      </c>
      <c r="M479" s="70" t="e">
        <f t="shared" ca="1" si="8"/>
        <v>#REF!</v>
      </c>
      <c r="N479" s="129" t="s">
        <v>986</v>
      </c>
      <c r="O479" s="70" t="e">
        <f t="shared" ca="1" si="9"/>
        <v>#REF!</v>
      </c>
      <c r="P479" s="70"/>
      <c r="Q479" s="70" t="e">
        <f t="shared" ca="1" si="10"/>
        <v>#REF!</v>
      </c>
      <c r="R479" s="20" t="e">
        <f t="shared" ca="1" si="11"/>
        <v>#REF!</v>
      </c>
      <c r="S479" s="70" t="e">
        <f t="shared" ca="1" si="12"/>
        <v>#REF!</v>
      </c>
      <c r="T479" s="70" t="s">
        <v>244</v>
      </c>
      <c r="U479" s="20">
        <v>43550</v>
      </c>
      <c r="V479" s="70" t="s">
        <v>256</v>
      </c>
    </row>
    <row r="480" spans="1:22" ht="12.75" customHeight="1">
      <c r="A480" s="70" t="s">
        <v>1033</v>
      </c>
      <c r="B480" s="123" t="s">
        <v>61</v>
      </c>
      <c r="C480" s="123" t="s">
        <v>123</v>
      </c>
      <c r="D480" s="123" t="s">
        <v>535</v>
      </c>
      <c r="E480" s="123" t="s">
        <v>903</v>
      </c>
      <c r="F480" s="123"/>
      <c r="G480" s="70" t="str">
        <f>VLOOKUP(C480,'24. POI to ACCOUNT (Internal)'!F:T,15,FALSE)</f>
        <v>ID of the Accounts tenant</v>
      </c>
      <c r="H480" s="20">
        <v>43538</v>
      </c>
      <c r="I480" s="70" t="e">
        <v>#N/A</v>
      </c>
      <c r="J480" s="70" t="e">
        <f t="shared" ca="1" si="13"/>
        <v>#REF!</v>
      </c>
      <c r="K480" s="70" t="e">
        <f t="shared" ca="1" si="7"/>
        <v>#N/A</v>
      </c>
      <c r="L480" s="70" t="s">
        <v>279</v>
      </c>
      <c r="M480" s="70" t="e">
        <f t="shared" ca="1" si="8"/>
        <v>#REF!</v>
      </c>
      <c r="N480" s="129" t="s">
        <v>1013</v>
      </c>
      <c r="O480" s="70" t="e">
        <f t="shared" ca="1" si="9"/>
        <v>#REF!</v>
      </c>
      <c r="P480" s="70"/>
      <c r="Q480" s="70" t="e">
        <f t="shared" ca="1" si="10"/>
        <v>#REF!</v>
      </c>
      <c r="R480" s="20" t="e">
        <f t="shared" ca="1" si="11"/>
        <v>#REF!</v>
      </c>
      <c r="S480" s="70" t="e">
        <f t="shared" ca="1" si="12"/>
        <v>#REF!</v>
      </c>
      <c r="T480" s="70" t="s">
        <v>244</v>
      </c>
      <c r="U480" s="20">
        <v>43550</v>
      </c>
      <c r="V480" s="70" t="s">
        <v>256</v>
      </c>
    </row>
    <row r="484" spans="9:9" ht="12.75" customHeight="1">
      <c r="I484" t="s">
        <v>1034</v>
      </c>
    </row>
  </sheetData>
  <conditionalFormatting sqref="F370 F374 F376:F380">
    <cfRule type="cellIs" dxfId="25" priority="1" operator="equal">
      <formula>1</formula>
    </cfRule>
  </conditionalFormatting>
  <conditionalFormatting sqref="K1:O480">
    <cfRule type="cellIs" dxfId="24" priority="2" operator="equal">
      <formula>"FALSE"</formula>
    </cfRule>
  </conditionalFormatting>
  <pageMargins left="0.7" right="0.7" top="0.75" bottom="0.75" header="0" footer="0"/>
  <pageSetup orientation="landscape"/>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CFC6B8-9FB7-450C-88A2-BA6053042A12}">
  <dimension ref="A1:A3"/>
  <sheetViews>
    <sheetView workbookViewId="0">
      <selection activeCell="A3" sqref="A3"/>
    </sheetView>
  </sheetViews>
  <sheetFormatPr defaultRowHeight="12.5"/>
  <sheetData>
    <row r="1" spans="1:1" s="129" customFormat="1">
      <c r="A1" s="129" t="s">
        <v>1035</v>
      </c>
    </row>
    <row r="2" spans="1:1">
      <c r="A2" s="129" t="s">
        <v>1036</v>
      </c>
    </row>
    <row r="3" spans="1:1">
      <c r="A3" s="553" t="s">
        <v>1037</v>
      </c>
    </row>
  </sheetData>
  <hyperlinks>
    <hyperlink ref="A3" r:id="rId1" xr:uid="{DDC78F9F-CD5D-498A-A78B-F1903052E74A}"/>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outlinePr summaryBelow="0" summaryRight="0"/>
  </sheetPr>
  <dimension ref="A2:AB102"/>
  <sheetViews>
    <sheetView topLeftCell="E1" workbookViewId="0">
      <pane ySplit="3" topLeftCell="A93" activePane="bottomLeft" state="frozen"/>
      <selection pane="bottomLeft" activeCell="L93" sqref="L93"/>
    </sheetView>
  </sheetViews>
  <sheetFormatPr defaultColWidth="14.453125" defaultRowHeight="15" customHeight="1"/>
  <cols>
    <col min="1" max="1" width="13.26953125" hidden="1" customWidth="1"/>
    <col min="2" max="2" width="12" hidden="1" customWidth="1"/>
    <col min="3" max="3" width="17.7265625" hidden="1" customWidth="1"/>
    <col min="4" max="4" width="9.7265625" hidden="1" customWidth="1"/>
    <col min="5" max="5" width="27.7265625" customWidth="1"/>
    <col min="6" max="6" width="34.7265625" customWidth="1"/>
    <col min="7" max="7" width="23.7265625" customWidth="1"/>
    <col min="8" max="8" width="11.54296875" customWidth="1"/>
    <col min="9" max="9" width="10.81640625" customWidth="1"/>
    <col min="10" max="10" width="7.453125" customWidth="1"/>
    <col min="11" max="11" width="10" customWidth="1"/>
    <col min="12" max="12" width="38.26953125" customWidth="1"/>
    <col min="13" max="13" width="60.1796875" customWidth="1"/>
    <col min="14" max="14" width="20.453125" customWidth="1"/>
    <col min="15" max="15" width="30.1796875" customWidth="1"/>
    <col min="16" max="16" width="32.7265625" customWidth="1"/>
    <col min="17" max="17" width="81.81640625" customWidth="1"/>
    <col min="18" max="18" width="8.26953125" customWidth="1"/>
    <col min="19" max="19" width="25.7265625" customWidth="1"/>
    <col min="20" max="20" width="57.1796875" customWidth="1"/>
    <col min="21" max="21" width="11.81640625" customWidth="1"/>
    <col min="22" max="22" width="35.453125" customWidth="1"/>
    <col min="23" max="23" width="75.81640625" customWidth="1"/>
    <col min="24" max="24" width="6.26953125" customWidth="1"/>
    <col min="25" max="25" width="23.26953125" customWidth="1"/>
    <col min="26" max="26" width="26.1796875" customWidth="1"/>
    <col min="27" max="27" width="9.7265625" customWidth="1"/>
    <col min="28" max="30" width="71" customWidth="1"/>
  </cols>
  <sheetData>
    <row r="2" spans="1:28" s="490" customFormat="1" ht="18.75" customHeight="1">
      <c r="A2" s="489"/>
      <c r="B2" s="489"/>
      <c r="C2" s="489"/>
      <c r="D2" s="489"/>
      <c r="E2" s="491"/>
      <c r="F2" s="487"/>
      <c r="G2" s="487"/>
      <c r="H2" s="487"/>
      <c r="I2" s="487"/>
      <c r="J2" s="487"/>
      <c r="K2" s="492" t="s">
        <v>1038</v>
      </c>
      <c r="L2" s="493"/>
      <c r="M2" s="493"/>
      <c r="N2" s="493"/>
      <c r="O2" s="493"/>
      <c r="P2" s="493"/>
      <c r="Q2" s="493"/>
      <c r="R2" s="487"/>
      <c r="S2" s="494"/>
      <c r="T2" s="487"/>
      <c r="U2" s="487"/>
      <c r="V2" s="487"/>
      <c r="W2" s="487"/>
      <c r="X2" s="489"/>
      <c r="Y2" s="489"/>
      <c r="Z2" s="489" t="s">
        <v>1039</v>
      </c>
      <c r="AA2" s="495"/>
      <c r="AB2" s="489"/>
    </row>
    <row r="3" spans="1:28" s="490" customFormat="1" ht="30" customHeight="1">
      <c r="A3" s="496" t="s">
        <v>1040</v>
      </c>
      <c r="B3" s="496" t="s">
        <v>1041</v>
      </c>
      <c r="C3" s="496" t="s">
        <v>1042</v>
      </c>
      <c r="D3" s="496" t="s">
        <v>1043</v>
      </c>
      <c r="E3" s="497" t="s">
        <v>224</v>
      </c>
      <c r="F3" s="497" t="s">
        <v>225</v>
      </c>
      <c r="G3" s="497" t="s">
        <v>226</v>
      </c>
      <c r="H3" s="497" t="s">
        <v>227</v>
      </c>
      <c r="I3" s="497" t="s">
        <v>1044</v>
      </c>
      <c r="J3" s="497" t="s">
        <v>1045</v>
      </c>
      <c r="K3" s="497" t="s">
        <v>1046</v>
      </c>
      <c r="L3" s="497" t="s">
        <v>100</v>
      </c>
      <c r="M3" s="497" t="s">
        <v>101</v>
      </c>
      <c r="N3" s="497" t="s">
        <v>102</v>
      </c>
      <c r="O3" s="497" t="s">
        <v>103</v>
      </c>
      <c r="P3" s="497" t="s">
        <v>104</v>
      </c>
      <c r="Q3" s="497" t="s">
        <v>105</v>
      </c>
      <c r="R3" s="497" t="s">
        <v>111</v>
      </c>
      <c r="S3" s="498" t="s">
        <v>112</v>
      </c>
      <c r="T3" s="497" t="s">
        <v>113</v>
      </c>
      <c r="U3" s="497"/>
      <c r="V3" s="487" t="s">
        <v>1047</v>
      </c>
      <c r="W3" s="488" t="s">
        <v>1048</v>
      </c>
      <c r="X3" s="487" t="s">
        <v>1049</v>
      </c>
      <c r="Y3" s="489" t="s">
        <v>1050</v>
      </c>
      <c r="Z3" s="489" t="s">
        <v>237</v>
      </c>
      <c r="AA3" s="495" t="s">
        <v>1</v>
      </c>
      <c r="AB3" s="489" t="s">
        <v>238</v>
      </c>
    </row>
    <row r="4" spans="1:28" ht="18.75" customHeight="1">
      <c r="A4" s="123"/>
      <c r="B4" s="123"/>
      <c r="C4" s="123"/>
      <c r="D4" s="123"/>
      <c r="E4" s="246" t="s">
        <v>59</v>
      </c>
      <c r="F4" s="246" t="s">
        <v>251</v>
      </c>
      <c r="G4" s="246" t="s">
        <v>252</v>
      </c>
      <c r="H4" s="246" t="s">
        <v>243</v>
      </c>
      <c r="I4" s="246" t="s">
        <v>1051</v>
      </c>
      <c r="J4" s="246">
        <v>2</v>
      </c>
      <c r="K4" s="246" t="s">
        <v>682</v>
      </c>
      <c r="L4" s="246" t="s">
        <v>1052</v>
      </c>
      <c r="M4" s="193" t="s">
        <v>251</v>
      </c>
      <c r="N4" s="246" t="s">
        <v>255</v>
      </c>
      <c r="O4" s="246"/>
      <c r="P4" s="246" t="s">
        <v>1053</v>
      </c>
      <c r="Q4" s="246"/>
      <c r="R4" s="246"/>
      <c r="S4" s="450" t="s">
        <v>1054</v>
      </c>
      <c r="T4" s="246" t="s">
        <v>1055</v>
      </c>
      <c r="U4" s="246"/>
      <c r="V4" s="246" t="e">
        <f>VLOOKUP(F4,'[1]1. ACCOUNT'!$F$3:$Y$87,19,FALSE)</f>
        <v>#N/A</v>
      </c>
      <c r="W4" s="246" t="e">
        <f>VLOOKUP(F4,'[1]1. ACCOUNT'!$F$3:$Y$87,20,FALSE)</f>
        <v>#N/A</v>
      </c>
      <c r="X4" s="123">
        <v>7</v>
      </c>
      <c r="Y4" s="123"/>
      <c r="Z4" s="123" t="s">
        <v>1056</v>
      </c>
      <c r="AA4" s="39">
        <v>43405</v>
      </c>
      <c r="AB4" s="123" t="s">
        <v>1057</v>
      </c>
    </row>
    <row r="5" spans="1:28" ht="18.75" customHeight="1">
      <c r="A5" s="186"/>
      <c r="B5" s="186"/>
      <c r="C5" s="186"/>
      <c r="D5" s="186"/>
      <c r="E5" s="186" t="s">
        <v>55</v>
      </c>
      <c r="F5" s="186" t="s">
        <v>1058</v>
      </c>
      <c r="G5" s="186" t="s">
        <v>247</v>
      </c>
      <c r="H5" s="186" t="s">
        <v>243</v>
      </c>
      <c r="I5" s="186" t="s">
        <v>1051</v>
      </c>
      <c r="J5" s="186"/>
      <c r="K5" s="186" t="s">
        <v>680</v>
      </c>
      <c r="O5" s="186"/>
      <c r="Q5" s="123"/>
      <c r="R5" s="186"/>
      <c r="S5" s="122"/>
      <c r="T5" s="90" t="s">
        <v>1059</v>
      </c>
      <c r="U5" s="90"/>
      <c r="V5" s="186" t="e">
        <f>VLOOKUP(F5,'[1]1. ACCOUNT'!$F$3:$Y$87,19,FALSE)</f>
        <v>#N/A</v>
      </c>
      <c r="W5" s="186" t="e">
        <f>VLOOKUP(F5,'[1]1. ACCOUNT'!$F$3:$Y$87,20,FALSE)</f>
        <v>#N/A</v>
      </c>
      <c r="X5" s="186"/>
      <c r="Y5" s="186" t="s">
        <v>1060</v>
      </c>
      <c r="Z5" s="186"/>
      <c r="AA5" s="33"/>
      <c r="AB5" s="186"/>
    </row>
    <row r="6" spans="1:28" ht="18.75" customHeight="1">
      <c r="A6" s="123"/>
      <c r="B6" s="123"/>
      <c r="C6" s="123"/>
      <c r="D6" s="123"/>
      <c r="E6" s="123" t="s">
        <v>55</v>
      </c>
      <c r="F6" s="123" t="s">
        <v>267</v>
      </c>
      <c r="G6" s="123" t="s">
        <v>249</v>
      </c>
      <c r="H6" s="123" t="s">
        <v>243</v>
      </c>
      <c r="I6" s="123" t="s">
        <v>1051</v>
      </c>
      <c r="J6" s="123"/>
      <c r="K6" s="123" t="s">
        <v>682</v>
      </c>
      <c r="L6" s="123" t="s">
        <v>1052</v>
      </c>
      <c r="M6" t="s">
        <v>267</v>
      </c>
      <c r="N6" s="123" t="s">
        <v>1061</v>
      </c>
      <c r="O6" s="123"/>
      <c r="P6" s="123" t="s">
        <v>1062</v>
      </c>
      <c r="Q6" s="123"/>
      <c r="R6" s="123"/>
      <c r="S6" s="121">
        <v>309</v>
      </c>
      <c r="T6" s="121" t="s">
        <v>1063</v>
      </c>
      <c r="U6" s="121"/>
      <c r="V6" s="123" t="e">
        <f>VLOOKUP(F6,'[1]1. ACCOUNT'!$F$3:$Y$87,19,FALSE)</f>
        <v>#N/A</v>
      </c>
      <c r="W6" s="123" t="e">
        <f>VLOOKUP(F6,'[1]1. ACCOUNT'!$F$3:$Y$87,20,FALSE)</f>
        <v>#N/A</v>
      </c>
      <c r="X6" s="123">
        <v>18</v>
      </c>
      <c r="Y6" s="123"/>
      <c r="Z6" s="123" t="s">
        <v>1056</v>
      </c>
      <c r="AA6" s="39">
        <v>43405</v>
      </c>
      <c r="AB6" s="123" t="s">
        <v>1057</v>
      </c>
    </row>
    <row r="7" spans="1:28" ht="18.75" customHeight="1">
      <c r="A7" s="123"/>
      <c r="B7" s="123"/>
      <c r="C7" s="123"/>
      <c r="D7" s="123"/>
      <c r="E7" s="123" t="s">
        <v>55</v>
      </c>
      <c r="F7" s="123" t="s">
        <v>268</v>
      </c>
      <c r="G7" s="123" t="s">
        <v>247</v>
      </c>
      <c r="H7" s="123" t="s">
        <v>243</v>
      </c>
      <c r="I7" s="123" t="s">
        <v>1051</v>
      </c>
      <c r="J7" s="123"/>
      <c r="K7" s="123" t="s">
        <v>682</v>
      </c>
      <c r="L7" s="123" t="s">
        <v>1052</v>
      </c>
      <c r="M7" t="s">
        <v>268</v>
      </c>
      <c r="N7" s="123" t="s">
        <v>1064</v>
      </c>
      <c r="O7" s="123"/>
      <c r="P7" s="123" t="s">
        <v>1065</v>
      </c>
      <c r="Q7" s="123"/>
      <c r="R7" s="123"/>
      <c r="S7" s="121" t="s">
        <v>1066</v>
      </c>
      <c r="T7" s="121" t="s">
        <v>1067</v>
      </c>
      <c r="U7" s="121"/>
      <c r="V7" s="123" t="e">
        <f>VLOOKUP(F7,'[1]1. ACCOUNT'!$F$3:$Y$87,19,FALSE)</f>
        <v>#N/A</v>
      </c>
      <c r="W7" s="123" t="e">
        <f>VLOOKUP(F7,'[1]1. ACCOUNT'!$F$3:$Y$87,20,FALSE)</f>
        <v>#N/A</v>
      </c>
      <c r="X7" s="123">
        <v>19</v>
      </c>
      <c r="Y7" s="123"/>
      <c r="Z7" s="123" t="s">
        <v>1056</v>
      </c>
      <c r="AA7" s="39">
        <v>43405</v>
      </c>
      <c r="AB7" s="123" t="s">
        <v>1057</v>
      </c>
    </row>
    <row r="8" spans="1:28" ht="30" customHeight="1">
      <c r="A8" s="123"/>
      <c r="B8" s="123"/>
      <c r="C8" s="123"/>
      <c r="D8" s="123"/>
      <c r="E8" s="123" t="s">
        <v>61</v>
      </c>
      <c r="F8" s="123" t="s">
        <v>115</v>
      </c>
      <c r="G8" s="123" t="s">
        <v>242</v>
      </c>
      <c r="H8" s="123" t="s">
        <v>243</v>
      </c>
      <c r="I8" s="123" t="s">
        <v>1051</v>
      </c>
      <c r="J8" s="123">
        <v>3</v>
      </c>
      <c r="K8" s="123" t="s">
        <v>682</v>
      </c>
      <c r="L8" s="123" t="s">
        <v>1052</v>
      </c>
      <c r="M8" t="s">
        <v>115</v>
      </c>
      <c r="N8" s="123" t="s">
        <v>1068</v>
      </c>
      <c r="O8" s="123" t="s">
        <v>1069</v>
      </c>
      <c r="P8" s="123" t="s">
        <v>1070</v>
      </c>
      <c r="Q8" s="123"/>
      <c r="R8" s="123"/>
      <c r="S8" s="121" t="s">
        <v>1071</v>
      </c>
      <c r="T8" s="123" t="s">
        <v>1072</v>
      </c>
      <c r="U8" s="123"/>
      <c r="V8" s="123" t="e">
        <f>VLOOKUP(F8,'[1]1. ACCOUNT'!$F$3:$Y$87,19,FALSE)</f>
        <v>#N/A</v>
      </c>
      <c r="W8" s="123" t="e">
        <f>VLOOKUP(F8,'[1]1. ACCOUNT'!$F$3:$Y$87,20,FALSE)</f>
        <v>#N/A</v>
      </c>
      <c r="X8" s="123">
        <v>1</v>
      </c>
      <c r="Y8" s="123"/>
      <c r="Z8" s="123" t="s">
        <v>1056</v>
      </c>
      <c r="AA8" s="39">
        <v>43405</v>
      </c>
      <c r="AB8" s="123" t="s">
        <v>1057</v>
      </c>
    </row>
    <row r="9" spans="1:28" ht="18.75" customHeight="1">
      <c r="A9" s="186"/>
      <c r="B9" s="186"/>
      <c r="C9" s="186"/>
      <c r="D9" s="186"/>
      <c r="E9" s="186" t="s">
        <v>55</v>
      </c>
      <c r="F9" s="186" t="s">
        <v>1073</v>
      </c>
      <c r="G9" s="186" t="s">
        <v>252</v>
      </c>
      <c r="H9" s="186" t="s">
        <v>243</v>
      </c>
      <c r="I9" s="186" t="s">
        <v>1051</v>
      </c>
      <c r="J9" s="186"/>
      <c r="K9" s="186" t="s">
        <v>680</v>
      </c>
      <c r="Q9" s="123"/>
      <c r="R9" s="186"/>
      <c r="S9" s="122"/>
      <c r="T9" s="90" t="s">
        <v>1074</v>
      </c>
      <c r="U9" s="90"/>
      <c r="V9" s="186" t="e">
        <f>VLOOKUP(F9,'[1]1. ACCOUNT'!$F$3:$Y$87,19,FALSE)</f>
        <v>#N/A</v>
      </c>
      <c r="W9" s="186" t="e">
        <f>VLOOKUP(F9,'[1]1. ACCOUNT'!$F$3:$Y$87,20,FALSE)</f>
        <v>#N/A</v>
      </c>
      <c r="X9" s="186"/>
      <c r="Y9" s="186" t="s">
        <v>1060</v>
      </c>
      <c r="Z9" s="186"/>
      <c r="AA9" s="33"/>
      <c r="AB9" s="186"/>
    </row>
    <row r="10" spans="1:28" ht="25">
      <c r="A10" s="123"/>
      <c r="B10" s="123"/>
      <c r="C10" s="123"/>
      <c r="D10" s="123"/>
      <c r="E10" s="123" t="s">
        <v>59</v>
      </c>
      <c r="F10" s="123" t="s">
        <v>253</v>
      </c>
      <c r="G10" s="123" t="s">
        <v>247</v>
      </c>
      <c r="H10" s="123" t="s">
        <v>243</v>
      </c>
      <c r="I10" s="123" t="s">
        <v>1051</v>
      </c>
      <c r="J10" s="123">
        <v>56</v>
      </c>
      <c r="K10" s="123" t="s">
        <v>682</v>
      </c>
      <c r="L10" s="123" t="s">
        <v>1052</v>
      </c>
      <c r="M10" t="s">
        <v>253</v>
      </c>
      <c r="N10" s="123"/>
      <c r="O10" s="123"/>
      <c r="P10" s="123" t="s">
        <v>1075</v>
      </c>
      <c r="Q10" s="123"/>
      <c r="R10" s="123"/>
      <c r="S10" s="121" t="s">
        <v>1076</v>
      </c>
      <c r="T10" s="123" t="s">
        <v>1077</v>
      </c>
      <c r="U10" s="123"/>
      <c r="V10" s="123" t="e">
        <f>VLOOKUP(F10,'[1]1. ACCOUNT'!$F$3:$Y$87,19,FALSE)</f>
        <v>#N/A</v>
      </c>
      <c r="W10" s="123" t="e">
        <f>VLOOKUP(F10,'[1]1. ACCOUNT'!$F$3:$Y$87,20,FALSE)</f>
        <v>#N/A</v>
      </c>
      <c r="X10" s="123">
        <v>8</v>
      </c>
      <c r="Y10" s="123"/>
      <c r="Z10" s="123" t="s">
        <v>1056</v>
      </c>
      <c r="AA10" s="39">
        <v>43405</v>
      </c>
      <c r="AB10" s="123" t="s">
        <v>1078</v>
      </c>
    </row>
    <row r="11" spans="1:28" ht="18.75" customHeight="1">
      <c r="A11" s="35"/>
      <c r="B11" s="35"/>
      <c r="C11" s="35"/>
      <c r="D11" s="35"/>
      <c r="E11" s="35" t="s">
        <v>55</v>
      </c>
      <c r="F11" s="35" t="s">
        <v>1079</v>
      </c>
      <c r="G11" s="35" t="s">
        <v>247</v>
      </c>
      <c r="H11" s="35" t="s">
        <v>243</v>
      </c>
      <c r="I11" s="35" t="s">
        <v>1051</v>
      </c>
      <c r="J11" s="35"/>
      <c r="K11" s="35" t="s">
        <v>682</v>
      </c>
      <c r="L11" s="35" t="s">
        <v>1052</v>
      </c>
      <c r="M11" s="36" t="s">
        <v>1079</v>
      </c>
      <c r="N11" s="35" t="s">
        <v>247</v>
      </c>
      <c r="O11" s="128" t="s">
        <v>1080</v>
      </c>
      <c r="P11" s="128"/>
      <c r="Q11" s="35"/>
      <c r="R11" s="35"/>
      <c r="S11" s="35">
        <v>990</v>
      </c>
      <c r="T11" s="37" t="s">
        <v>1081</v>
      </c>
      <c r="U11" s="37"/>
      <c r="V11" s="35" t="e">
        <f>VLOOKUP(F11,'[1]1. ACCOUNT'!$F$3:$Y$87,19,FALSE)</f>
        <v>#N/A</v>
      </c>
      <c r="W11" s="35" t="e">
        <f>VLOOKUP(F11,'[1]1. ACCOUNT'!$F$3:$Y$87,20,FALSE)</f>
        <v>#N/A</v>
      </c>
      <c r="X11" s="35"/>
      <c r="Y11" s="35" t="s">
        <v>1060</v>
      </c>
      <c r="Z11" s="35"/>
      <c r="AA11" s="38"/>
      <c r="AB11" s="35"/>
    </row>
    <row r="12" spans="1:28" ht="25">
      <c r="A12" s="123"/>
      <c r="B12" s="123"/>
      <c r="C12" s="123"/>
      <c r="D12" s="123"/>
      <c r="E12" s="123" t="s">
        <v>61</v>
      </c>
      <c r="F12" s="123" t="s">
        <v>116</v>
      </c>
      <c r="G12" s="123" t="s">
        <v>246</v>
      </c>
      <c r="H12" s="123" t="s">
        <v>243</v>
      </c>
      <c r="I12" s="123" t="s">
        <v>1051</v>
      </c>
      <c r="J12" s="123">
        <v>4</v>
      </c>
      <c r="K12" s="123" t="s">
        <v>682</v>
      </c>
      <c r="L12" s="123" t="s">
        <v>1052</v>
      </c>
      <c r="M12" t="s">
        <v>116</v>
      </c>
      <c r="N12" s="123" t="s">
        <v>1082</v>
      </c>
      <c r="O12" s="123" t="s">
        <v>1083</v>
      </c>
      <c r="P12" s="123" t="s">
        <v>1084</v>
      </c>
      <c r="Q12" s="123"/>
      <c r="R12" s="123"/>
      <c r="S12" s="121" t="s">
        <v>1085</v>
      </c>
      <c r="T12" s="123" t="s">
        <v>1086</v>
      </c>
      <c r="U12" s="123"/>
      <c r="V12" s="123" t="e">
        <f>VLOOKUP(F12,'[1]1. ACCOUNT'!$F$3:$Y$87,19,FALSE)</f>
        <v>#N/A</v>
      </c>
      <c r="W12" s="123" t="e">
        <f>VLOOKUP(F12,'[1]1. ACCOUNT'!$F$3:$Y$87,20,FALSE)</f>
        <v>#N/A</v>
      </c>
      <c r="X12" s="123">
        <v>2</v>
      </c>
      <c r="Y12" s="123"/>
      <c r="Z12" s="123" t="s">
        <v>1056</v>
      </c>
      <c r="AA12" s="39">
        <v>43405</v>
      </c>
      <c r="AB12" s="123" t="s">
        <v>1057</v>
      </c>
    </row>
    <row r="13" spans="1:28" ht="18.75" customHeight="1">
      <c r="A13" s="123"/>
      <c r="B13" s="123"/>
      <c r="C13" s="123"/>
      <c r="D13" s="123"/>
      <c r="E13" s="123" t="s">
        <v>61</v>
      </c>
      <c r="F13" s="123" t="s">
        <v>117</v>
      </c>
      <c r="G13" s="123" t="s">
        <v>247</v>
      </c>
      <c r="H13" s="123" t="s">
        <v>243</v>
      </c>
      <c r="I13" s="123" t="s">
        <v>1051</v>
      </c>
      <c r="J13" s="123">
        <v>5</v>
      </c>
      <c r="K13" s="123" t="s">
        <v>682</v>
      </c>
      <c r="L13" s="123" t="s">
        <v>1052</v>
      </c>
      <c r="M13" t="s">
        <v>117</v>
      </c>
      <c r="N13" s="123" t="s">
        <v>1087</v>
      </c>
      <c r="O13" s="123" t="s">
        <v>1088</v>
      </c>
      <c r="P13" s="123" t="s">
        <v>302</v>
      </c>
      <c r="Q13" s="123"/>
      <c r="R13" s="123"/>
      <c r="S13" s="121" t="s">
        <v>1089</v>
      </c>
      <c r="T13" s="123" t="s">
        <v>1090</v>
      </c>
      <c r="U13" s="123"/>
      <c r="V13" s="123" t="e">
        <f>VLOOKUP(F13,'[1]1. ACCOUNT'!$F$3:$Y$87,19,FALSE)</f>
        <v>#N/A</v>
      </c>
      <c r="W13" s="123" t="e">
        <f>VLOOKUP(F13,'[1]1. ACCOUNT'!$F$3:$Y$87,20,FALSE)</f>
        <v>#N/A</v>
      </c>
      <c r="X13" s="123">
        <v>3</v>
      </c>
      <c r="Y13" s="123"/>
      <c r="Z13" s="123" t="s">
        <v>1056</v>
      </c>
      <c r="AA13" s="39">
        <v>43405</v>
      </c>
      <c r="AB13" s="123" t="s">
        <v>1057</v>
      </c>
    </row>
    <row r="14" spans="1:28" s="129" customFormat="1" ht="163">
      <c r="A14" s="186"/>
      <c r="B14" s="186"/>
      <c r="C14" s="186"/>
      <c r="D14" s="186"/>
      <c r="E14" s="455" t="s">
        <v>55</v>
      </c>
      <c r="F14" s="455" t="s">
        <v>1091</v>
      </c>
      <c r="G14" s="455" t="s">
        <v>346</v>
      </c>
      <c r="H14" s="186" t="s">
        <v>243</v>
      </c>
      <c r="I14" s="186" t="s">
        <v>1051</v>
      </c>
      <c r="J14" s="186"/>
      <c r="K14" s="186" t="s">
        <v>682</v>
      </c>
      <c r="L14" s="464" t="s">
        <v>1092</v>
      </c>
      <c r="M14" s="464" t="s">
        <v>1091</v>
      </c>
      <c r="N14" s="186" t="s">
        <v>1064</v>
      </c>
      <c r="O14" s="186" t="s">
        <v>1093</v>
      </c>
      <c r="P14" s="439"/>
      <c r="Q14" s="123" t="s">
        <v>1094</v>
      </c>
      <c r="R14" s="186"/>
      <c r="S14" s="465" t="s">
        <v>1095</v>
      </c>
      <c r="T14" s="186"/>
      <c r="U14" s="186"/>
      <c r="V14" s="466"/>
      <c r="W14" s="467"/>
      <c r="X14" s="467"/>
      <c r="Y14" s="467"/>
      <c r="Z14" s="467"/>
      <c r="AA14" s="466"/>
      <c r="AB14" s="467"/>
    </row>
    <row r="15" spans="1:28" ht="12.5">
      <c r="A15" s="123"/>
      <c r="B15" s="123"/>
      <c r="C15" s="123"/>
      <c r="D15" s="123"/>
      <c r="E15" s="123" t="s">
        <v>59</v>
      </c>
      <c r="F15" s="123" t="s">
        <v>254</v>
      </c>
      <c r="G15" s="123" t="s">
        <v>255</v>
      </c>
      <c r="H15" s="123" t="s">
        <v>243</v>
      </c>
      <c r="I15" s="123" t="s">
        <v>1051</v>
      </c>
      <c r="J15" s="123">
        <v>6</v>
      </c>
      <c r="K15" s="123" t="s">
        <v>682</v>
      </c>
      <c r="L15" s="123" t="s">
        <v>1052</v>
      </c>
      <c r="M15" t="s">
        <v>254</v>
      </c>
      <c r="N15" s="123" t="s">
        <v>1096</v>
      </c>
      <c r="O15" s="123" t="s">
        <v>1097</v>
      </c>
      <c r="P15" s="123" t="s">
        <v>1098</v>
      </c>
      <c r="Q15" s="123"/>
      <c r="R15" s="123"/>
      <c r="S15" s="121" t="s">
        <v>1099</v>
      </c>
      <c r="T15" s="123" t="s">
        <v>1098</v>
      </c>
      <c r="U15" s="123"/>
      <c r="V15" s="123" t="e">
        <f>VLOOKUP(F15,'[1]1. ACCOUNT'!$F$3:$Y$87,19,FALSE)</f>
        <v>#N/A</v>
      </c>
      <c r="W15" s="123" t="e">
        <f>VLOOKUP(F15,'[1]1. ACCOUNT'!$F$3:$Y$87,20,FALSE)</f>
        <v>#N/A</v>
      </c>
      <c r="X15" s="123">
        <v>9</v>
      </c>
      <c r="Y15" s="123"/>
      <c r="Z15" s="123" t="s">
        <v>1100</v>
      </c>
      <c r="AA15" s="39">
        <v>43550</v>
      </c>
      <c r="AB15" s="123"/>
    </row>
    <row r="16" spans="1:28" ht="37.5">
      <c r="A16" s="123"/>
      <c r="B16" s="123"/>
      <c r="C16" s="123"/>
      <c r="D16" s="123"/>
      <c r="E16" s="123" t="s">
        <v>59</v>
      </c>
      <c r="F16" s="123" t="s">
        <v>257</v>
      </c>
      <c r="G16" s="123" t="s">
        <v>247</v>
      </c>
      <c r="H16" s="123" t="s">
        <v>243</v>
      </c>
      <c r="I16" s="123" t="s">
        <v>1051</v>
      </c>
      <c r="J16" s="123">
        <v>7</v>
      </c>
      <c r="K16" s="123" t="s">
        <v>682</v>
      </c>
      <c r="L16" s="123" t="s">
        <v>1052</v>
      </c>
      <c r="M16" t="s">
        <v>257</v>
      </c>
      <c r="N16" s="123" t="s">
        <v>1101</v>
      </c>
      <c r="O16" s="123"/>
      <c r="P16" s="123" t="s">
        <v>1102</v>
      </c>
      <c r="Q16" s="123"/>
      <c r="R16" s="123"/>
      <c r="S16" s="121" t="s">
        <v>1103</v>
      </c>
      <c r="T16" s="123" t="s">
        <v>1104</v>
      </c>
      <c r="U16" s="123"/>
      <c r="V16" s="123" t="e">
        <f>VLOOKUP(F16,'[1]1. ACCOUNT'!$F$3:$Y$87,19,FALSE)</f>
        <v>#N/A</v>
      </c>
      <c r="W16" s="123" t="e">
        <f>VLOOKUP(F16,'[1]1. ACCOUNT'!$F$3:$Y$87,20,FALSE)</f>
        <v>#N/A</v>
      </c>
      <c r="X16" s="123">
        <v>10</v>
      </c>
      <c r="Y16" s="123"/>
      <c r="Z16" s="123" t="s">
        <v>1056</v>
      </c>
      <c r="AA16" s="39">
        <v>43405</v>
      </c>
      <c r="AB16" s="123" t="s">
        <v>1057</v>
      </c>
    </row>
    <row r="17" spans="1:28" ht="18.75" customHeight="1">
      <c r="A17" s="123"/>
      <c r="B17" s="123"/>
      <c r="C17" s="123"/>
      <c r="D17" s="123"/>
      <c r="E17" s="123" t="s">
        <v>59</v>
      </c>
      <c r="F17" s="123" t="s">
        <v>258</v>
      </c>
      <c r="G17" s="123" t="s">
        <v>247</v>
      </c>
      <c r="H17" s="123" t="s">
        <v>243</v>
      </c>
      <c r="I17" s="123" t="s">
        <v>1051</v>
      </c>
      <c r="J17" s="123">
        <v>8</v>
      </c>
      <c r="K17" s="123" t="s">
        <v>682</v>
      </c>
      <c r="L17" s="123" t="s">
        <v>1052</v>
      </c>
      <c r="M17" t="s">
        <v>258</v>
      </c>
      <c r="N17" s="123" t="s">
        <v>1105</v>
      </c>
      <c r="O17" s="123"/>
      <c r="P17" s="123" t="s">
        <v>1106</v>
      </c>
      <c r="Q17" s="123"/>
      <c r="R17" s="123"/>
      <c r="S17" s="121" t="s">
        <v>1107</v>
      </c>
      <c r="T17" s="123" t="s">
        <v>1108</v>
      </c>
      <c r="U17" s="123"/>
      <c r="V17" s="123" t="e">
        <f>VLOOKUP(F17,'[1]1. ACCOUNT'!$F$3:$Y$87,19,FALSE)</f>
        <v>#N/A</v>
      </c>
      <c r="W17" s="123" t="e">
        <f>VLOOKUP(F17,'[1]1. ACCOUNT'!$F$3:$Y$87,20,FALSE)</f>
        <v>#N/A</v>
      </c>
      <c r="X17" s="123">
        <v>11</v>
      </c>
      <c r="Y17" s="123"/>
      <c r="Z17" s="123" t="s">
        <v>1056</v>
      </c>
      <c r="AA17" s="39">
        <v>43405</v>
      </c>
      <c r="AB17" s="123" t="s">
        <v>1057</v>
      </c>
    </row>
    <row r="18" spans="1:28" ht="18.75" customHeight="1">
      <c r="A18" s="186"/>
      <c r="B18" s="186"/>
      <c r="C18" s="186"/>
      <c r="D18" s="186"/>
      <c r="E18" s="186" t="s">
        <v>55</v>
      </c>
      <c r="F18" s="186" t="s">
        <v>1109</v>
      </c>
      <c r="G18" s="186" t="s">
        <v>252</v>
      </c>
      <c r="H18" s="186" t="s">
        <v>243</v>
      </c>
      <c r="I18" s="186" t="s">
        <v>1051</v>
      </c>
      <c r="J18" s="186"/>
      <c r="K18" s="186" t="s">
        <v>680</v>
      </c>
      <c r="Q18" s="123"/>
      <c r="R18" s="186"/>
      <c r="S18" s="122"/>
      <c r="T18" s="186" t="s">
        <v>1110</v>
      </c>
      <c r="U18" s="186"/>
      <c r="V18" s="186" t="e">
        <f>VLOOKUP(F18,'[1]1. ACCOUNT'!$F$3:$Y$87,19,FALSE)</f>
        <v>#N/A</v>
      </c>
      <c r="W18" s="186" t="e">
        <f>VLOOKUP(F18,'[1]1. ACCOUNT'!$F$3:$Y$87,20,FALSE)</f>
        <v>#N/A</v>
      </c>
      <c r="X18" s="186"/>
      <c r="Y18" s="186" t="s">
        <v>1060</v>
      </c>
      <c r="Z18" s="186"/>
      <c r="AA18" s="33"/>
      <c r="AB18" s="186"/>
    </row>
    <row r="19" spans="1:28" ht="25">
      <c r="A19" s="123"/>
      <c r="B19" s="123"/>
      <c r="C19" s="123"/>
      <c r="D19" s="123"/>
      <c r="E19" s="123" t="s">
        <v>61</v>
      </c>
      <c r="F19" s="123" t="s">
        <v>118</v>
      </c>
      <c r="G19" s="123" t="s">
        <v>247</v>
      </c>
      <c r="H19" s="123" t="s">
        <v>243</v>
      </c>
      <c r="I19" s="123" t="s">
        <v>1051</v>
      </c>
      <c r="J19" s="123">
        <v>9</v>
      </c>
      <c r="K19" s="123" t="s">
        <v>682</v>
      </c>
      <c r="L19" s="123" t="s">
        <v>1052</v>
      </c>
      <c r="M19" t="s">
        <v>118</v>
      </c>
      <c r="N19" s="123" t="s">
        <v>1087</v>
      </c>
      <c r="O19" s="123" t="s">
        <v>1088</v>
      </c>
      <c r="P19" s="123" t="s">
        <v>302</v>
      </c>
      <c r="Q19" s="123"/>
      <c r="R19" s="123"/>
      <c r="S19" s="121" t="s">
        <v>1089</v>
      </c>
      <c r="T19" s="123" t="s">
        <v>1111</v>
      </c>
      <c r="U19" s="123"/>
      <c r="V19" s="123" t="e">
        <f>VLOOKUP(F19,'[1]1. ACCOUNT'!$F$3:$Y$87,19,FALSE)</f>
        <v>#N/A</v>
      </c>
      <c r="W19" s="123" t="e">
        <f>VLOOKUP(F19,'[1]1. ACCOUNT'!$F$3:$Y$87,20,FALSE)</f>
        <v>#N/A</v>
      </c>
      <c r="X19" s="123">
        <v>4</v>
      </c>
      <c r="Y19" s="123"/>
      <c r="Z19" s="123" t="s">
        <v>1056</v>
      </c>
      <c r="AA19" s="39">
        <v>43405</v>
      </c>
      <c r="AB19" s="123" t="s">
        <v>1057</v>
      </c>
    </row>
    <row r="20" spans="1:28" ht="37.5">
      <c r="A20" s="123"/>
      <c r="B20" s="123"/>
      <c r="C20" s="123"/>
      <c r="D20" s="123"/>
      <c r="E20" s="123" t="s">
        <v>55</v>
      </c>
      <c r="F20" s="123" t="s">
        <v>1112</v>
      </c>
      <c r="G20" s="123" t="s">
        <v>247</v>
      </c>
      <c r="H20" s="123" t="s">
        <v>243</v>
      </c>
      <c r="I20" s="123" t="s">
        <v>1051</v>
      </c>
      <c r="J20" s="123"/>
      <c r="K20" s="123" t="s">
        <v>682</v>
      </c>
      <c r="L20" s="123" t="s">
        <v>1052</v>
      </c>
      <c r="M20" t="s">
        <v>1113</v>
      </c>
      <c r="P20" t="s">
        <v>1114</v>
      </c>
      <c r="Q20" s="123"/>
      <c r="R20" s="123"/>
      <c r="S20" s="442"/>
      <c r="T20" s="121" t="s">
        <v>1115</v>
      </c>
      <c r="U20" s="121"/>
      <c r="V20" s="123" t="e">
        <f>VLOOKUP(F20,'[1]1. ACCOUNT'!$F$3:$Y$87,19,FALSE)</f>
        <v>#N/A</v>
      </c>
      <c r="W20" s="123" t="e">
        <f>VLOOKUP(F20,'[1]1. ACCOUNT'!$F$3:$Y$87,20,FALSE)</f>
        <v>#N/A</v>
      </c>
      <c r="X20" s="123"/>
      <c r="Y20" s="123" t="s">
        <v>1060</v>
      </c>
      <c r="Z20" s="123"/>
      <c r="AA20" s="39"/>
      <c r="AB20" s="123"/>
    </row>
    <row r="21" spans="1:28" ht="62.5">
      <c r="A21" s="186"/>
      <c r="B21" s="186"/>
      <c r="C21" s="186"/>
      <c r="D21" s="186"/>
      <c r="E21" s="186" t="s">
        <v>55</v>
      </c>
      <c r="F21" s="186" t="s">
        <v>119</v>
      </c>
      <c r="G21" s="186" t="s">
        <v>432</v>
      </c>
      <c r="H21" s="186" t="s">
        <v>243</v>
      </c>
      <c r="I21" s="186" t="s">
        <v>1051</v>
      </c>
      <c r="J21" s="186">
        <v>10</v>
      </c>
      <c r="K21" s="186" t="s">
        <v>682</v>
      </c>
      <c r="L21" t="s">
        <v>1052</v>
      </c>
      <c r="M21" t="s">
        <v>1116</v>
      </c>
      <c r="O21" t="s">
        <v>1117</v>
      </c>
      <c r="Q21" s="123"/>
      <c r="R21" s="186"/>
      <c r="S21" s="122"/>
      <c r="T21" s="186" t="s">
        <v>1118</v>
      </c>
      <c r="U21" s="186"/>
      <c r="V21" s="186" t="e">
        <f>VLOOKUP(F21,'[1]1. ACCOUNT'!$F$3:$Y$87,19,FALSE)</f>
        <v>#N/A</v>
      </c>
      <c r="W21" s="186" t="e">
        <f>VLOOKUP(F21,'[1]1. ACCOUNT'!$F$3:$Y$87,20,FALSE)</f>
        <v>#N/A</v>
      </c>
      <c r="X21" s="186"/>
      <c r="Y21" s="186" t="s">
        <v>1060</v>
      </c>
      <c r="Z21" s="186"/>
      <c r="AA21" s="33"/>
      <c r="AB21" s="186"/>
    </row>
    <row r="22" spans="1:28" ht="18.75" customHeight="1">
      <c r="A22" s="123"/>
      <c r="B22" s="123"/>
      <c r="C22" s="123"/>
      <c r="D22" s="123"/>
      <c r="E22" s="123" t="s">
        <v>61</v>
      </c>
      <c r="F22" s="123" t="s">
        <v>248</v>
      </c>
      <c r="G22" s="123" t="s">
        <v>249</v>
      </c>
      <c r="H22" s="123" t="s">
        <v>243</v>
      </c>
      <c r="I22" s="123" t="s">
        <v>1051</v>
      </c>
      <c r="J22" s="123">
        <v>53</v>
      </c>
      <c r="K22" s="123" t="s">
        <v>682</v>
      </c>
      <c r="L22" s="123" t="s">
        <v>1052</v>
      </c>
      <c r="M22" t="s">
        <v>248</v>
      </c>
      <c r="N22" s="123" t="s">
        <v>1119</v>
      </c>
      <c r="O22" s="123" t="s">
        <v>1120</v>
      </c>
      <c r="P22" s="123" t="s">
        <v>1121</v>
      </c>
      <c r="Q22" s="123" t="s">
        <v>1122</v>
      </c>
      <c r="R22" s="123"/>
      <c r="S22" s="121" t="s">
        <v>1123</v>
      </c>
      <c r="T22" s="123" t="s">
        <v>1124</v>
      </c>
      <c r="U22" s="123"/>
      <c r="V22" s="123" t="e">
        <f>VLOOKUP(F22,'[1]1. ACCOUNT'!$F$3:$Y$87,19,FALSE)</f>
        <v>#N/A</v>
      </c>
      <c r="W22" s="123" t="e">
        <f>VLOOKUP(F22,'[1]1. ACCOUNT'!$F$3:$Y$87,20,FALSE)</f>
        <v>#N/A</v>
      </c>
      <c r="X22" s="123">
        <v>5</v>
      </c>
      <c r="Y22" s="123"/>
      <c r="Z22" s="123" t="s">
        <v>1056</v>
      </c>
      <c r="AA22" s="39">
        <v>43405</v>
      </c>
      <c r="AB22" s="123" t="s">
        <v>1057</v>
      </c>
    </row>
    <row r="23" spans="1:28" ht="25">
      <c r="A23" s="123"/>
      <c r="B23" s="123"/>
      <c r="C23" s="123"/>
      <c r="D23" s="123"/>
      <c r="E23" s="123" t="s">
        <v>59</v>
      </c>
      <c r="F23" s="123" t="s">
        <v>1125</v>
      </c>
      <c r="G23" s="123" t="s">
        <v>242</v>
      </c>
      <c r="H23" s="123" t="s">
        <v>243</v>
      </c>
      <c r="I23" s="123" t="s">
        <v>1051</v>
      </c>
      <c r="J23" s="123"/>
      <c r="K23" s="123" t="s">
        <v>682</v>
      </c>
      <c r="L23" s="123" t="s">
        <v>1052</v>
      </c>
      <c r="M23" t="s">
        <v>493</v>
      </c>
      <c r="N23" s="123" t="s">
        <v>1126</v>
      </c>
      <c r="O23" s="123" t="s">
        <v>1127</v>
      </c>
      <c r="P23" s="123"/>
      <c r="Q23" s="123"/>
      <c r="R23" s="123"/>
      <c r="S23" s="121" t="s">
        <v>1128</v>
      </c>
      <c r="T23" s="123" t="s">
        <v>1129</v>
      </c>
      <c r="U23" s="123"/>
      <c r="V23" s="123"/>
      <c r="W23" s="123"/>
      <c r="X23" s="123" t="s">
        <v>1130</v>
      </c>
      <c r="Y23" s="123"/>
      <c r="Z23" s="123" t="s">
        <v>1056</v>
      </c>
      <c r="AA23" s="39">
        <v>44466</v>
      </c>
      <c r="AB23" s="123" t="s">
        <v>1131</v>
      </c>
    </row>
    <row r="24" spans="1:28" ht="185.25" customHeight="1">
      <c r="A24" s="123"/>
      <c r="B24" s="123"/>
      <c r="C24" s="123"/>
      <c r="D24" s="123"/>
      <c r="E24" s="123" t="s">
        <v>55</v>
      </c>
      <c r="F24" s="123" t="s">
        <v>1132</v>
      </c>
      <c r="G24" s="123" t="s">
        <v>249</v>
      </c>
      <c r="H24" s="123" t="s">
        <v>243</v>
      </c>
      <c r="I24" s="123" t="s">
        <v>1051</v>
      </c>
      <c r="J24" s="123"/>
      <c r="K24" s="123" t="s">
        <v>682</v>
      </c>
      <c r="L24" s="444" t="s">
        <v>1133</v>
      </c>
      <c r="M24" s="444" t="s">
        <v>1134</v>
      </c>
      <c r="O24" t="s">
        <v>1135</v>
      </c>
      <c r="Q24" s="123" t="s">
        <v>1136</v>
      </c>
      <c r="R24" s="123"/>
      <c r="S24" s="123" t="s">
        <v>1137</v>
      </c>
      <c r="T24" s="121" t="s">
        <v>1138</v>
      </c>
      <c r="U24" s="121"/>
      <c r="V24" s="123" t="e">
        <f>VLOOKUP(F24,'[1]1. ACCOUNT'!$F$3:$Y$87,19,FALSE)</f>
        <v>#N/A</v>
      </c>
      <c r="W24" s="123" t="e">
        <f>VLOOKUP(F24,'[1]1. ACCOUNT'!$F$3:$Y$87,20,FALSE)</f>
        <v>#N/A</v>
      </c>
      <c r="X24" s="123"/>
      <c r="Y24" s="123" t="s">
        <v>1060</v>
      </c>
      <c r="Z24" s="123"/>
      <c r="AA24" s="39"/>
      <c r="AB24" s="123"/>
    </row>
    <row r="25" spans="1:28" ht="181.5" customHeight="1">
      <c r="A25" s="123"/>
      <c r="B25" s="123"/>
      <c r="C25" s="123"/>
      <c r="D25" s="123"/>
      <c r="E25" s="123" t="s">
        <v>55</v>
      </c>
      <c r="F25" s="123" t="s">
        <v>1139</v>
      </c>
      <c r="G25" s="123" t="s">
        <v>247</v>
      </c>
      <c r="H25" s="123" t="s">
        <v>243</v>
      </c>
      <c r="I25" s="123" t="s">
        <v>1051</v>
      </c>
      <c r="J25" s="123"/>
      <c r="K25" s="123" t="s">
        <v>682</v>
      </c>
      <c r="L25" s="444" t="s">
        <v>1133</v>
      </c>
      <c r="M25" s="444" t="s">
        <v>1134</v>
      </c>
      <c r="O25" t="s">
        <v>1135</v>
      </c>
      <c r="Q25" s="123" t="s">
        <v>1140</v>
      </c>
      <c r="R25" s="123"/>
      <c r="S25" s="101" t="s">
        <v>1141</v>
      </c>
      <c r="T25" s="121" t="s">
        <v>1142</v>
      </c>
      <c r="U25" s="121"/>
      <c r="V25" s="123" t="e">
        <f>VLOOKUP(F25,'[1]1. ACCOUNT'!$F$3:$Y$87,19,FALSE)</f>
        <v>#N/A</v>
      </c>
      <c r="W25" s="123" t="e">
        <f>VLOOKUP(F25,'[1]1. ACCOUNT'!$F$3:$Y$87,20,FALSE)</f>
        <v>#N/A</v>
      </c>
      <c r="X25" s="123"/>
      <c r="Y25" s="123" t="s">
        <v>1060</v>
      </c>
      <c r="Z25" s="123"/>
      <c r="AA25" s="39"/>
      <c r="AB25" s="123"/>
    </row>
    <row r="26" spans="1:28" ht="183" customHeight="1">
      <c r="A26" s="123"/>
      <c r="B26" s="123"/>
      <c r="C26" s="123"/>
      <c r="D26" s="123"/>
      <c r="E26" s="123" t="s">
        <v>55</v>
      </c>
      <c r="F26" s="123" t="s">
        <v>1143</v>
      </c>
      <c r="G26" s="123" t="s">
        <v>346</v>
      </c>
      <c r="H26" s="123" t="s">
        <v>243</v>
      </c>
      <c r="I26" s="123" t="s">
        <v>1051</v>
      </c>
      <c r="J26" s="123"/>
      <c r="K26" s="123" t="s">
        <v>682</v>
      </c>
      <c r="L26" s="445" t="s">
        <v>1092</v>
      </c>
      <c r="M26" s="445" t="s">
        <v>1144</v>
      </c>
      <c r="N26" s="123" t="s">
        <v>1064</v>
      </c>
      <c r="O26" s="123" t="s">
        <v>1145</v>
      </c>
      <c r="P26" s="123"/>
      <c r="Q26" s="123" t="s">
        <v>1146</v>
      </c>
      <c r="R26" s="123"/>
      <c r="S26" s="441" t="s">
        <v>1147</v>
      </c>
      <c r="T26" s="123"/>
      <c r="U26" s="123"/>
      <c r="V26" s="446"/>
      <c r="W26" s="123"/>
      <c r="X26" s="101"/>
      <c r="Y26" s="101"/>
      <c r="Z26" s="101"/>
      <c r="AA26" s="446"/>
      <c r="AB26" s="101"/>
    </row>
    <row r="27" spans="1:28" ht="43.5" customHeight="1">
      <c r="A27" s="123"/>
      <c r="B27" s="123"/>
      <c r="C27" s="123"/>
      <c r="D27" s="123"/>
      <c r="E27" s="123" t="s">
        <v>59</v>
      </c>
      <c r="F27" s="123" t="s">
        <v>259</v>
      </c>
      <c r="G27" s="123" t="s">
        <v>247</v>
      </c>
      <c r="H27" s="123" t="s">
        <v>243</v>
      </c>
      <c r="I27" s="123" t="s">
        <v>1051</v>
      </c>
      <c r="J27" s="123">
        <v>11</v>
      </c>
      <c r="K27" s="123" t="s">
        <v>682</v>
      </c>
      <c r="L27" s="123" t="s">
        <v>1052</v>
      </c>
      <c r="M27" t="s">
        <v>259</v>
      </c>
      <c r="N27" s="123" t="s">
        <v>1148</v>
      </c>
      <c r="O27" s="123"/>
      <c r="P27" s="123" t="s">
        <v>1149</v>
      </c>
      <c r="Q27" s="123"/>
      <c r="R27" s="123"/>
      <c r="S27" s="121" t="s">
        <v>1150</v>
      </c>
      <c r="T27" s="123" t="s">
        <v>1151</v>
      </c>
      <c r="U27" s="123"/>
      <c r="V27" s="123" t="e">
        <f>VLOOKUP(F27,'[1]1. ACCOUNT'!$F$3:$Y$87,19,FALSE)</f>
        <v>#N/A</v>
      </c>
      <c r="W27" s="123" t="e">
        <f>VLOOKUP(F27,'[1]1. ACCOUNT'!$F$3:$Y$87,20,FALSE)</f>
        <v>#N/A</v>
      </c>
      <c r="X27" s="123">
        <v>12</v>
      </c>
      <c r="Y27" s="123"/>
      <c r="Z27" s="123" t="s">
        <v>1056</v>
      </c>
      <c r="AA27" s="39">
        <v>43405</v>
      </c>
      <c r="AB27" s="123" t="s">
        <v>1057</v>
      </c>
    </row>
    <row r="28" spans="1:28" ht="25">
      <c r="A28" s="123"/>
      <c r="B28" s="123"/>
      <c r="C28" s="123"/>
      <c r="D28" s="123"/>
      <c r="E28" s="123" t="s">
        <v>55</v>
      </c>
      <c r="F28" s="123" t="s">
        <v>1152</v>
      </c>
      <c r="G28" s="123" t="s">
        <v>432</v>
      </c>
      <c r="H28" s="123" t="s">
        <v>243</v>
      </c>
      <c r="I28" s="123" t="s">
        <v>1051</v>
      </c>
      <c r="J28" s="123"/>
      <c r="K28" s="123" t="s">
        <v>682</v>
      </c>
      <c r="L28" s="123" t="s">
        <v>1052</v>
      </c>
      <c r="M28" t="s">
        <v>1152</v>
      </c>
      <c r="N28" t="s">
        <v>1153</v>
      </c>
      <c r="P28" t="s">
        <v>1154</v>
      </c>
      <c r="Q28" s="123"/>
      <c r="R28" s="123"/>
      <c r="S28" s="442"/>
      <c r="T28" s="123" t="s">
        <v>1155</v>
      </c>
      <c r="U28" s="123"/>
      <c r="V28" s="123" t="e">
        <f>VLOOKUP(F28,'[1]1. ACCOUNT'!$F$3:$Y$87,19,FALSE)</f>
        <v>#N/A</v>
      </c>
      <c r="W28" s="123" t="e">
        <f>VLOOKUP(F28,'[1]1. ACCOUNT'!$F$3:$Y$87,20,FALSE)</f>
        <v>#N/A</v>
      </c>
      <c r="X28" s="123"/>
      <c r="Y28" s="123"/>
      <c r="Z28" s="123"/>
      <c r="AA28" s="39">
        <v>44232</v>
      </c>
      <c r="AB28" s="123" t="s">
        <v>1156</v>
      </c>
    </row>
    <row r="29" spans="1:28" ht="71.25" customHeight="1">
      <c r="A29" s="123"/>
      <c r="B29" s="123"/>
      <c r="C29" s="123"/>
      <c r="D29" s="123"/>
      <c r="E29" s="123" t="s">
        <v>55</v>
      </c>
      <c r="F29" s="123" t="s">
        <v>1157</v>
      </c>
      <c r="G29" s="123" t="s">
        <v>242</v>
      </c>
      <c r="H29" s="123" t="s">
        <v>243</v>
      </c>
      <c r="I29" s="123" t="s">
        <v>1051</v>
      </c>
      <c r="J29" s="123"/>
      <c r="K29" s="123" t="s">
        <v>682</v>
      </c>
      <c r="L29" s="123" t="s">
        <v>1052</v>
      </c>
      <c r="M29" t="s">
        <v>115</v>
      </c>
      <c r="Q29" s="123"/>
      <c r="R29" s="123"/>
      <c r="S29" s="442"/>
      <c r="T29" s="123"/>
      <c r="U29" s="123"/>
      <c r="V29" s="123"/>
      <c r="W29" s="123"/>
      <c r="X29" s="123"/>
      <c r="Y29" s="123"/>
      <c r="Z29" s="123"/>
      <c r="AA29" s="39"/>
      <c r="AB29" s="123"/>
    </row>
    <row r="30" spans="1:28" ht="18.75" customHeight="1">
      <c r="A30" s="123"/>
      <c r="B30" s="123"/>
      <c r="C30" s="123"/>
      <c r="D30" s="123"/>
      <c r="E30" s="123" t="s">
        <v>55</v>
      </c>
      <c r="F30" s="123" t="s">
        <v>269</v>
      </c>
      <c r="G30" s="123" t="s">
        <v>247</v>
      </c>
      <c r="H30" s="123" t="s">
        <v>243</v>
      </c>
      <c r="I30" s="123" t="s">
        <v>1051</v>
      </c>
      <c r="J30" s="123">
        <v>12</v>
      </c>
      <c r="K30" s="123" t="s">
        <v>682</v>
      </c>
      <c r="L30" s="123" t="s">
        <v>1052</v>
      </c>
      <c r="M30" t="s">
        <v>269</v>
      </c>
      <c r="N30" s="123"/>
      <c r="O30" s="123"/>
      <c r="P30" s="123" t="s">
        <v>1158</v>
      </c>
      <c r="Q30" s="123"/>
      <c r="R30" s="123"/>
      <c r="S30" s="121" t="s">
        <v>1159</v>
      </c>
      <c r="T30" s="123" t="s">
        <v>1160</v>
      </c>
      <c r="U30" s="123"/>
      <c r="V30" s="123" t="e">
        <f>VLOOKUP(F30,'[1]1. ACCOUNT'!$F$3:$Y$87,19,FALSE)</f>
        <v>#N/A</v>
      </c>
      <c r="W30" s="123" t="e">
        <f>VLOOKUP(F30,'[1]1. ACCOUNT'!$F$3:$Y$87,20,FALSE)</f>
        <v>#N/A</v>
      </c>
      <c r="X30" s="123">
        <v>20</v>
      </c>
      <c r="Y30" s="123"/>
      <c r="Z30" s="123" t="s">
        <v>1056</v>
      </c>
      <c r="AA30" s="39">
        <v>43405</v>
      </c>
      <c r="AB30" s="123" t="s">
        <v>1057</v>
      </c>
    </row>
    <row r="31" spans="1:28" ht="18.75" customHeight="1">
      <c r="A31" s="123"/>
      <c r="B31" s="123"/>
      <c r="C31" s="123"/>
      <c r="D31" s="123"/>
      <c r="E31" s="123" t="s">
        <v>55</v>
      </c>
      <c r="F31" s="123" t="s">
        <v>1161</v>
      </c>
      <c r="G31" s="123" t="s">
        <v>247</v>
      </c>
      <c r="H31" s="123" t="s">
        <v>243</v>
      </c>
      <c r="I31" s="123" t="s">
        <v>1051</v>
      </c>
      <c r="J31" s="123">
        <v>13</v>
      </c>
      <c r="K31" s="123" t="s">
        <v>682</v>
      </c>
      <c r="L31" s="123" t="s">
        <v>1052</v>
      </c>
      <c r="M31" s="123" t="s">
        <v>291</v>
      </c>
      <c r="Q31" s="123"/>
      <c r="R31" s="123"/>
      <c r="S31" s="442"/>
      <c r="T31" s="123" t="s">
        <v>1160</v>
      </c>
      <c r="U31" s="123"/>
      <c r="V31" s="123" t="e">
        <f>VLOOKUP(F31,'[1]1. ACCOUNT'!$F$3:$Y$87,19,FALSE)</f>
        <v>#N/A</v>
      </c>
      <c r="W31" s="123" t="e">
        <f>VLOOKUP(F31,'[1]1. ACCOUNT'!$F$3:$Y$87,20,FALSE)</f>
        <v>#N/A</v>
      </c>
      <c r="X31" s="123"/>
      <c r="Y31" s="123" t="s">
        <v>1060</v>
      </c>
      <c r="Z31" s="123" t="s">
        <v>1162</v>
      </c>
      <c r="AA31" s="39">
        <v>43641</v>
      </c>
      <c r="AB31" s="123" t="s">
        <v>1163</v>
      </c>
    </row>
    <row r="32" spans="1:28" ht="165" customHeight="1">
      <c r="A32" s="123"/>
      <c r="B32" s="123"/>
      <c r="C32" s="123"/>
      <c r="D32" s="123"/>
      <c r="E32" s="123" t="s">
        <v>55</v>
      </c>
      <c r="F32" s="123" t="s">
        <v>1164</v>
      </c>
      <c r="G32" s="123" t="s">
        <v>247</v>
      </c>
      <c r="H32" s="123" t="s">
        <v>243</v>
      </c>
      <c r="I32" s="123" t="s">
        <v>1051</v>
      </c>
      <c r="J32" s="123">
        <v>14</v>
      </c>
      <c r="K32" s="123" t="s">
        <v>682</v>
      </c>
      <c r="L32" s="445" t="s">
        <v>1165</v>
      </c>
      <c r="M32" s="444" t="s">
        <v>1166</v>
      </c>
      <c r="O32" t="s">
        <v>1167</v>
      </c>
      <c r="Q32" s="123" t="s">
        <v>1168</v>
      </c>
      <c r="R32" s="123"/>
      <c r="S32" s="123" t="s">
        <v>1169</v>
      </c>
      <c r="T32" s="31" t="s">
        <v>1170</v>
      </c>
      <c r="U32" s="123"/>
      <c r="V32" s="123" t="e">
        <f>VLOOKUP(F32,'[1]1. ACCOUNT'!$F$3:$Y$87,19,FALSE)</f>
        <v>#N/A</v>
      </c>
      <c r="W32" s="123" t="e">
        <f>VLOOKUP(F32,'[1]1. ACCOUNT'!$F$3:$Y$87,20,FALSE)</f>
        <v>#N/A</v>
      </c>
      <c r="X32" s="123"/>
      <c r="Y32" s="123" t="s">
        <v>1060</v>
      </c>
      <c r="Z32" s="123"/>
      <c r="AA32" s="39"/>
      <c r="AB32" s="123"/>
    </row>
    <row r="33" spans="1:28" ht="12.5">
      <c r="A33" s="123"/>
      <c r="B33" s="123"/>
      <c r="C33" s="123"/>
      <c r="D33" s="123"/>
      <c r="E33" s="123" t="s">
        <v>55</v>
      </c>
      <c r="F33" s="123" t="s">
        <v>1171</v>
      </c>
      <c r="G33" s="123" t="s">
        <v>247</v>
      </c>
      <c r="H33" s="123" t="s">
        <v>243</v>
      </c>
      <c r="I33" s="123" t="s">
        <v>1051</v>
      </c>
      <c r="J33" s="123">
        <v>15</v>
      </c>
      <c r="K33" s="123" t="s">
        <v>682</v>
      </c>
      <c r="L33" s="123" t="s">
        <v>1052</v>
      </c>
      <c r="M33" s="123" t="s">
        <v>292</v>
      </c>
      <c r="Q33" s="123"/>
      <c r="R33" s="123"/>
      <c r="S33" s="442"/>
      <c r="T33" s="123" t="s">
        <v>1160</v>
      </c>
      <c r="U33" s="123"/>
      <c r="V33" s="123" t="e">
        <f>VLOOKUP(F33,'[1]1. ACCOUNT'!$F$3:$Y$87,19,FALSE)</f>
        <v>#N/A</v>
      </c>
      <c r="W33" s="123" t="e">
        <f>VLOOKUP(F33,'[1]1. ACCOUNT'!$F$3:$Y$87,20,FALSE)</f>
        <v>#N/A</v>
      </c>
      <c r="X33" s="123"/>
      <c r="Y33" s="123" t="s">
        <v>1060</v>
      </c>
      <c r="Z33" s="123" t="s">
        <v>1162</v>
      </c>
      <c r="AA33" s="39">
        <v>43641</v>
      </c>
      <c r="AB33" s="123" t="s">
        <v>1163</v>
      </c>
    </row>
    <row r="34" spans="1:28" ht="15.75" customHeight="1">
      <c r="A34" s="246"/>
      <c r="B34" s="246"/>
      <c r="C34" s="246"/>
      <c r="D34" s="246"/>
      <c r="E34" s="246" t="s">
        <v>55</v>
      </c>
      <c r="F34" s="246" t="s">
        <v>1172</v>
      </c>
      <c r="G34" s="246" t="s">
        <v>247</v>
      </c>
      <c r="H34" s="246" t="s">
        <v>243</v>
      </c>
      <c r="I34" s="246" t="s">
        <v>1051</v>
      </c>
      <c r="J34" s="246">
        <v>16</v>
      </c>
      <c r="K34" s="246" t="s">
        <v>682</v>
      </c>
      <c r="L34" s="123" t="s">
        <v>1052</v>
      </c>
      <c r="M34" s="123" t="s">
        <v>293</v>
      </c>
      <c r="N34" s="193"/>
      <c r="O34" s="193"/>
      <c r="P34" s="193"/>
      <c r="Q34" s="123"/>
      <c r="R34" s="246"/>
      <c r="S34" s="443"/>
      <c r="T34" s="246" t="s">
        <v>1160</v>
      </c>
      <c r="U34" s="246"/>
      <c r="V34" s="246" t="e">
        <f>VLOOKUP(F34,'[1]1. ACCOUNT'!$F$3:$Y$87,19,FALSE)</f>
        <v>#N/A</v>
      </c>
      <c r="W34" s="246" t="e">
        <f>VLOOKUP(F34,'[1]1. ACCOUNT'!$F$3:$Y$87,20,FALSE)</f>
        <v>#N/A</v>
      </c>
      <c r="X34" s="246"/>
      <c r="Y34" s="246" t="s">
        <v>1060</v>
      </c>
      <c r="Z34" s="246" t="s">
        <v>1162</v>
      </c>
      <c r="AA34" s="447">
        <v>43641</v>
      </c>
      <c r="AB34" s="246" t="s">
        <v>1163</v>
      </c>
    </row>
    <row r="35" spans="1:28" ht="157.5" customHeight="1">
      <c r="A35" s="123"/>
      <c r="B35" s="123"/>
      <c r="C35" s="123"/>
      <c r="D35" s="123"/>
      <c r="E35" s="123" t="s">
        <v>55</v>
      </c>
      <c r="F35" s="123" t="s">
        <v>1173</v>
      </c>
      <c r="G35" s="123" t="s">
        <v>247</v>
      </c>
      <c r="H35" s="123" t="s">
        <v>243</v>
      </c>
      <c r="I35" s="123" t="s">
        <v>1051</v>
      </c>
      <c r="J35" s="123">
        <v>17</v>
      </c>
      <c r="K35" s="123" t="s">
        <v>682</v>
      </c>
      <c r="L35" s="444" t="s">
        <v>1133</v>
      </c>
      <c r="M35" s="444" t="s">
        <v>1174</v>
      </c>
      <c r="O35" t="s">
        <v>1175</v>
      </c>
      <c r="Q35" s="123" t="s">
        <v>1176</v>
      </c>
      <c r="R35" s="123"/>
      <c r="S35" s="123" t="s">
        <v>1177</v>
      </c>
      <c r="T35" s="123" t="s">
        <v>1160</v>
      </c>
      <c r="U35" s="123"/>
      <c r="V35" s="123" t="e">
        <f>VLOOKUP(F35,'[1]1. ACCOUNT'!$F$3:$Y$87,19,FALSE)</f>
        <v>#N/A</v>
      </c>
      <c r="W35" s="123" t="e">
        <f>VLOOKUP(F35,'[1]1. ACCOUNT'!$F$3:$Y$87,20,FALSE)</f>
        <v>#N/A</v>
      </c>
      <c r="X35" s="123"/>
      <c r="Y35" s="123" t="s">
        <v>1060</v>
      </c>
      <c r="Z35" s="123"/>
      <c r="AA35" s="39"/>
      <c r="AB35" s="123"/>
    </row>
    <row r="36" spans="1:28" ht="47.25" customHeight="1">
      <c r="A36" s="246"/>
      <c r="B36" s="246"/>
      <c r="C36" s="246"/>
      <c r="D36" s="246"/>
      <c r="E36" s="123" t="s">
        <v>55</v>
      </c>
      <c r="F36" s="123" t="s">
        <v>1178</v>
      </c>
      <c r="G36" s="123" t="s">
        <v>247</v>
      </c>
      <c r="H36" s="123" t="s">
        <v>243</v>
      </c>
      <c r="I36" s="123" t="s">
        <v>1051</v>
      </c>
      <c r="J36" s="123">
        <v>18</v>
      </c>
      <c r="K36" s="123" t="s">
        <v>682</v>
      </c>
      <c r="L36" s="444" t="s">
        <v>1133</v>
      </c>
      <c r="M36" s="444" t="s">
        <v>1179</v>
      </c>
      <c r="O36" t="s">
        <v>1180</v>
      </c>
      <c r="Q36" s="123" t="s">
        <v>1181</v>
      </c>
      <c r="R36" s="246"/>
      <c r="S36" s="246" t="s">
        <v>1182</v>
      </c>
      <c r="T36" s="246" t="s">
        <v>1160</v>
      </c>
      <c r="U36" s="246"/>
      <c r="V36" s="246" t="e">
        <f>VLOOKUP(F36,'[1]1. ACCOUNT'!$F$3:$Y$87,19,FALSE)</f>
        <v>#N/A</v>
      </c>
      <c r="W36" s="246" t="e">
        <f>VLOOKUP(F36,'[1]1. ACCOUNT'!$F$3:$Y$87,20,FALSE)</f>
        <v>#N/A</v>
      </c>
      <c r="X36" s="246"/>
      <c r="Y36" s="246" t="s">
        <v>1060</v>
      </c>
      <c r="Z36" s="246"/>
      <c r="AA36" s="447"/>
      <c r="AB36" s="246"/>
    </row>
    <row r="37" spans="1:28" ht="75">
      <c r="A37" s="246"/>
      <c r="B37" s="246"/>
      <c r="C37" s="246"/>
      <c r="D37" s="246"/>
      <c r="E37" s="123" t="s">
        <v>55</v>
      </c>
      <c r="F37" s="123" t="s">
        <v>1183</v>
      </c>
      <c r="G37" s="123" t="s">
        <v>247</v>
      </c>
      <c r="H37" s="123" t="s">
        <v>243</v>
      </c>
      <c r="I37" s="123" t="s">
        <v>1051</v>
      </c>
      <c r="J37" s="123">
        <v>19</v>
      </c>
      <c r="K37" s="123" t="s">
        <v>682</v>
      </c>
      <c r="L37" s="123" t="s">
        <v>1184</v>
      </c>
      <c r="M37" s="123" t="s">
        <v>1185</v>
      </c>
      <c r="N37" s="123"/>
      <c r="O37" s="123"/>
      <c r="P37" s="123"/>
      <c r="Q37" s="123"/>
      <c r="R37" s="246"/>
      <c r="S37" s="443"/>
      <c r="T37" s="246" t="s">
        <v>1160</v>
      </c>
      <c r="U37" s="246"/>
      <c r="V37" s="246" t="e">
        <f>VLOOKUP(F37,'[1]1. ACCOUNT'!$F$3:$Y$87,19,FALSE)</f>
        <v>#N/A</v>
      </c>
      <c r="W37" s="246" t="e">
        <f>VLOOKUP(F37,'[1]1. ACCOUNT'!$F$3:$Y$87,20,FALSE)</f>
        <v>#N/A</v>
      </c>
      <c r="X37" s="246"/>
      <c r="Y37" s="246" t="s">
        <v>1060</v>
      </c>
      <c r="Z37" s="246" t="s">
        <v>1162</v>
      </c>
      <c r="AA37" s="447">
        <v>43641</v>
      </c>
      <c r="AB37" s="246" t="s">
        <v>1186</v>
      </c>
    </row>
    <row r="38" spans="1:28" ht="50">
      <c r="A38" s="123"/>
      <c r="B38" s="123"/>
      <c r="C38" s="123"/>
      <c r="D38" s="123"/>
      <c r="E38" s="123" t="s">
        <v>55</v>
      </c>
      <c r="F38" s="123" t="s">
        <v>1187</v>
      </c>
      <c r="G38" s="123" t="s">
        <v>247</v>
      </c>
      <c r="H38" s="123" t="s">
        <v>243</v>
      </c>
      <c r="I38" s="123" t="s">
        <v>1051</v>
      </c>
      <c r="J38" s="123">
        <v>20</v>
      </c>
      <c r="K38" s="123" t="s">
        <v>682</v>
      </c>
      <c r="L38" s="123" t="s">
        <v>1184</v>
      </c>
      <c r="M38" s="123" t="s">
        <v>1188</v>
      </c>
      <c r="N38" s="123"/>
      <c r="O38" s="123"/>
      <c r="P38" s="123"/>
      <c r="Q38" s="123"/>
      <c r="R38" s="123"/>
      <c r="S38" s="442"/>
      <c r="T38" s="123" t="s">
        <v>1160</v>
      </c>
      <c r="U38" s="123"/>
      <c r="V38" s="123" t="e">
        <f>VLOOKUP(F38,'[1]1. ACCOUNT'!$F$3:$Y$87,19,FALSE)</f>
        <v>#N/A</v>
      </c>
      <c r="W38" s="123" t="e">
        <f>VLOOKUP(F38,'[1]1. ACCOUNT'!$F$3:$Y$87,20,FALSE)</f>
        <v>#N/A</v>
      </c>
      <c r="X38" s="123"/>
      <c r="Y38" s="123" t="s">
        <v>1060</v>
      </c>
      <c r="Z38" s="123" t="s">
        <v>1162</v>
      </c>
      <c r="AA38" s="39">
        <v>43641</v>
      </c>
      <c r="AB38" s="123" t="s">
        <v>1186</v>
      </c>
    </row>
    <row r="39" spans="1:28" ht="15.75" customHeight="1">
      <c r="A39" s="186"/>
      <c r="B39" s="186"/>
      <c r="C39" s="186"/>
      <c r="D39" s="186"/>
      <c r="E39" s="186" t="s">
        <v>53</v>
      </c>
      <c r="F39" s="186" t="s">
        <v>1189</v>
      </c>
      <c r="G39" s="186" t="s">
        <v>249</v>
      </c>
      <c r="H39" s="186" t="s">
        <v>243</v>
      </c>
      <c r="I39" s="186" t="s">
        <v>1051</v>
      </c>
      <c r="J39" s="186">
        <v>21</v>
      </c>
      <c r="K39" s="186" t="s">
        <v>680</v>
      </c>
      <c r="L39" s="186"/>
      <c r="M39" s="186"/>
      <c r="N39" s="186"/>
      <c r="O39" s="186"/>
      <c r="P39" s="186"/>
      <c r="Q39" s="186"/>
      <c r="R39" s="186"/>
      <c r="S39" s="122"/>
      <c r="T39" s="186" t="s">
        <v>1190</v>
      </c>
      <c r="U39" s="186"/>
      <c r="V39" s="186" t="e">
        <f>VLOOKUP(F39,'[1]1. ACCOUNT'!$F$3:$Y$87,19,FALSE)</f>
        <v>#N/A</v>
      </c>
      <c r="W39" s="186" t="e">
        <f>VLOOKUP(F39,'[1]1. ACCOUNT'!$F$3:$Y$87,20,FALSE)</f>
        <v>#N/A</v>
      </c>
      <c r="X39" s="186"/>
      <c r="Y39" s="186" t="s">
        <v>1060</v>
      </c>
      <c r="Z39" s="186"/>
      <c r="AA39" s="33"/>
      <c r="AB39" s="186"/>
    </row>
    <row r="40" spans="1:28" ht="15.75" customHeight="1">
      <c r="A40" s="134"/>
      <c r="B40" s="134"/>
      <c r="C40" s="134"/>
      <c r="D40" s="134"/>
      <c r="E40" s="186" t="s">
        <v>53</v>
      </c>
      <c r="F40" s="186" t="s">
        <v>1191</v>
      </c>
      <c r="G40" s="186" t="s">
        <v>252</v>
      </c>
      <c r="H40" s="186" t="s">
        <v>243</v>
      </c>
      <c r="I40" s="186" t="s">
        <v>1051</v>
      </c>
      <c r="J40" s="186">
        <v>22</v>
      </c>
      <c r="K40" s="186" t="s">
        <v>680</v>
      </c>
      <c r="L40" s="186"/>
      <c r="M40" s="186"/>
      <c r="N40" s="186"/>
      <c r="O40" s="186"/>
      <c r="P40" s="186"/>
      <c r="Q40" s="186"/>
      <c r="R40" s="134"/>
      <c r="S40" s="243"/>
      <c r="T40" s="134" t="s">
        <v>1190</v>
      </c>
      <c r="U40" s="134"/>
      <c r="V40" s="134" t="e">
        <f>VLOOKUP(F40,'[1]1. ACCOUNT'!$F$3:$Y$87,19,FALSE)</f>
        <v>#N/A</v>
      </c>
      <c r="W40" s="134" t="e">
        <f>VLOOKUP(F40,'[1]1. ACCOUNT'!$F$3:$Y$87,20,FALSE)</f>
        <v>#N/A</v>
      </c>
      <c r="X40" s="134"/>
      <c r="Y40" s="134" t="s">
        <v>1060</v>
      </c>
      <c r="Z40" s="134"/>
      <c r="AA40" s="245"/>
      <c r="AB40" s="134"/>
    </row>
    <row r="41" spans="1:28" ht="15.75" customHeight="1">
      <c r="A41" s="134"/>
      <c r="B41" s="134"/>
      <c r="C41" s="134"/>
      <c r="D41" s="134"/>
      <c r="E41" s="186" t="s">
        <v>53</v>
      </c>
      <c r="F41" s="186" t="s">
        <v>1192</v>
      </c>
      <c r="G41" s="186" t="s">
        <v>242</v>
      </c>
      <c r="H41" s="186" t="s">
        <v>243</v>
      </c>
      <c r="I41" s="186" t="s">
        <v>1051</v>
      </c>
      <c r="J41" s="186">
        <v>23</v>
      </c>
      <c r="K41" s="186" t="s">
        <v>680</v>
      </c>
      <c r="L41" s="186"/>
      <c r="M41" s="186"/>
      <c r="N41" s="186"/>
      <c r="O41" s="186"/>
      <c r="P41" s="186"/>
      <c r="Q41" s="186"/>
      <c r="R41" s="134"/>
      <c r="S41" s="243"/>
      <c r="T41" s="134" t="s">
        <v>1190</v>
      </c>
      <c r="U41" s="134"/>
      <c r="V41" s="134" t="e">
        <f>VLOOKUP(F41,'[1]1. ACCOUNT'!$F$3:$Y$87,19,FALSE)</f>
        <v>#N/A</v>
      </c>
      <c r="W41" s="134" t="e">
        <f>VLOOKUP(F41,'[1]1. ACCOUNT'!$F$3:$Y$87,20,FALSE)</f>
        <v>#N/A</v>
      </c>
      <c r="X41" s="134"/>
      <c r="Y41" s="134" t="s">
        <v>1060</v>
      </c>
      <c r="Z41" s="134"/>
      <c r="AA41" s="245"/>
      <c r="AB41" s="134"/>
    </row>
    <row r="42" spans="1:28" ht="15.75" customHeight="1">
      <c r="A42" s="186"/>
      <c r="B42" s="186"/>
      <c r="C42" s="186"/>
      <c r="D42" s="186"/>
      <c r="E42" s="186" t="s">
        <v>53</v>
      </c>
      <c r="F42" s="186" t="s">
        <v>1193</v>
      </c>
      <c r="G42" s="186" t="s">
        <v>247</v>
      </c>
      <c r="H42" s="186" t="s">
        <v>243</v>
      </c>
      <c r="I42" s="186" t="s">
        <v>1051</v>
      </c>
      <c r="J42" s="186">
        <v>24</v>
      </c>
      <c r="K42" s="186" t="s">
        <v>680</v>
      </c>
      <c r="L42" s="186"/>
      <c r="M42" s="186"/>
      <c r="N42" s="186"/>
      <c r="O42" s="186"/>
      <c r="P42" s="186"/>
      <c r="Q42" s="186"/>
      <c r="R42" s="186"/>
      <c r="S42" s="122"/>
      <c r="T42" s="186" t="s">
        <v>1190</v>
      </c>
      <c r="U42" s="186"/>
      <c r="V42" s="186" t="e">
        <f>VLOOKUP(F42,'[1]1. ACCOUNT'!$F$3:$Y$87,19,FALSE)</f>
        <v>#N/A</v>
      </c>
      <c r="W42" s="186" t="e">
        <f>VLOOKUP(F42,'[1]1. ACCOUNT'!$F$3:$Y$87,20,FALSE)</f>
        <v>#N/A</v>
      </c>
      <c r="X42" s="186"/>
      <c r="Y42" s="186" t="s">
        <v>1060</v>
      </c>
      <c r="Z42" s="186"/>
      <c r="AA42" s="33"/>
      <c r="AB42" s="186"/>
    </row>
    <row r="43" spans="1:28" ht="15.75" customHeight="1">
      <c r="A43" s="186"/>
      <c r="B43" s="186"/>
      <c r="C43" s="186"/>
      <c r="D43" s="186"/>
      <c r="E43" s="186" t="s">
        <v>53</v>
      </c>
      <c r="F43" s="186" t="s">
        <v>1194</v>
      </c>
      <c r="G43" s="186" t="s">
        <v>252</v>
      </c>
      <c r="H43" s="186" t="s">
        <v>243</v>
      </c>
      <c r="I43" s="186" t="s">
        <v>1051</v>
      </c>
      <c r="J43" s="186">
        <v>25</v>
      </c>
      <c r="K43" s="186" t="s">
        <v>680</v>
      </c>
      <c r="L43" s="186"/>
      <c r="M43" s="186"/>
      <c r="N43" s="186"/>
      <c r="O43" s="186"/>
      <c r="P43" s="186"/>
      <c r="Q43" s="186"/>
      <c r="R43" s="186"/>
      <c r="S43" s="122"/>
      <c r="T43" s="186" t="s">
        <v>1190</v>
      </c>
      <c r="U43" s="186"/>
      <c r="V43" s="186" t="e">
        <f>VLOOKUP(F43,'[1]1. ACCOUNT'!$F$3:$Y$87,19,FALSE)</f>
        <v>#N/A</v>
      </c>
      <c r="W43" s="186" t="e">
        <f>VLOOKUP(F43,'[1]1. ACCOUNT'!$F$3:$Y$87,20,FALSE)</f>
        <v>#N/A</v>
      </c>
      <c r="X43" s="186"/>
      <c r="Y43" s="186" t="s">
        <v>1060</v>
      </c>
      <c r="Z43" s="186"/>
      <c r="AA43" s="33"/>
      <c r="AB43" s="186"/>
    </row>
    <row r="44" spans="1:28" ht="18.75" customHeight="1">
      <c r="A44" s="186"/>
      <c r="B44" s="186"/>
      <c r="C44" s="186"/>
      <c r="D44" s="186"/>
      <c r="E44" s="186" t="s">
        <v>53</v>
      </c>
      <c r="F44" s="186" t="s">
        <v>1195</v>
      </c>
      <c r="G44" s="186" t="s">
        <v>247</v>
      </c>
      <c r="H44" s="186" t="s">
        <v>243</v>
      </c>
      <c r="I44" s="186" t="s">
        <v>1051</v>
      </c>
      <c r="J44" s="186">
        <v>26</v>
      </c>
      <c r="K44" s="186" t="s">
        <v>680</v>
      </c>
      <c r="L44" s="186"/>
      <c r="M44" s="186"/>
      <c r="N44" s="186"/>
      <c r="O44" s="186"/>
      <c r="P44" s="186"/>
      <c r="Q44" s="186"/>
      <c r="R44" s="186"/>
      <c r="S44" s="122"/>
      <c r="T44" s="186" t="s">
        <v>1190</v>
      </c>
      <c r="U44" s="186"/>
      <c r="V44" s="186" t="e">
        <f>VLOOKUP(F44,'[1]1. ACCOUNT'!$F$3:$Y$87,19,FALSE)</f>
        <v>#N/A</v>
      </c>
      <c r="W44" s="186" t="e">
        <f>VLOOKUP(F44,'[1]1. ACCOUNT'!$F$3:$Y$87,20,FALSE)</f>
        <v>#N/A</v>
      </c>
      <c r="X44" s="186"/>
      <c r="Y44" s="186" t="s">
        <v>1060</v>
      </c>
      <c r="Z44" s="186"/>
      <c r="AA44" s="33"/>
      <c r="AB44" s="186"/>
    </row>
    <row r="45" spans="1:28" ht="18.75" customHeight="1">
      <c r="A45" s="186"/>
      <c r="B45" s="186"/>
      <c r="C45" s="186"/>
      <c r="D45" s="186"/>
      <c r="E45" s="186" t="s">
        <v>53</v>
      </c>
      <c r="F45" s="186" t="s">
        <v>1196</v>
      </c>
      <c r="G45" s="186" t="s">
        <v>535</v>
      </c>
      <c r="H45" s="186" t="s">
        <v>243</v>
      </c>
      <c r="I45" s="186" t="s">
        <v>1051</v>
      </c>
      <c r="J45" s="186">
        <v>27</v>
      </c>
      <c r="K45" s="186" t="s">
        <v>680</v>
      </c>
      <c r="Q45" s="123"/>
      <c r="R45" s="186"/>
      <c r="S45" s="122"/>
      <c r="T45" s="186" t="s">
        <v>1190</v>
      </c>
      <c r="U45" s="186"/>
      <c r="V45" s="186" t="e">
        <f>VLOOKUP(F45,'[1]1. ACCOUNT'!$F$3:$Y$87,19,FALSE)</f>
        <v>#N/A</v>
      </c>
      <c r="W45" s="186" t="e">
        <f>VLOOKUP(F45,'[1]1. ACCOUNT'!$F$3:$Y$87,20,FALSE)</f>
        <v>#N/A</v>
      </c>
      <c r="X45" s="186"/>
      <c r="Y45" s="186" t="s">
        <v>1060</v>
      </c>
      <c r="Z45" s="186"/>
      <c r="AA45" s="33"/>
      <c r="AB45" s="186"/>
    </row>
    <row r="46" spans="1:28" ht="14">
      <c r="A46" s="123"/>
      <c r="B46" s="123"/>
      <c r="C46" s="123"/>
      <c r="D46" s="123"/>
      <c r="E46" s="123" t="s">
        <v>55</v>
      </c>
      <c r="F46" s="123" t="s">
        <v>283</v>
      </c>
      <c r="G46" s="448" t="s">
        <v>252</v>
      </c>
      <c r="H46" s="123"/>
      <c r="I46" s="123"/>
      <c r="J46" s="123"/>
      <c r="K46" s="123" t="s">
        <v>682</v>
      </c>
      <c r="L46" s="123" t="s">
        <v>1052</v>
      </c>
      <c r="M46" s="123" t="s">
        <v>283</v>
      </c>
      <c r="N46" s="123"/>
      <c r="O46" s="123"/>
      <c r="P46" s="123"/>
      <c r="Q46" s="123"/>
      <c r="R46" s="123"/>
      <c r="S46" s="121"/>
      <c r="T46" s="121"/>
      <c r="U46" s="121"/>
      <c r="V46" s="123"/>
      <c r="W46" s="123"/>
      <c r="X46" s="123"/>
      <c r="Y46" s="123"/>
      <c r="Z46" s="123" t="s">
        <v>1197</v>
      </c>
      <c r="AA46" s="39">
        <v>43607</v>
      </c>
      <c r="AB46" s="123" t="s">
        <v>1198</v>
      </c>
    </row>
    <row r="47" spans="1:28" ht="25">
      <c r="A47" s="123"/>
      <c r="B47" s="123"/>
      <c r="C47" s="123"/>
      <c r="D47" s="123"/>
      <c r="E47" s="123" t="s">
        <v>61</v>
      </c>
      <c r="F47" s="123" t="s">
        <v>120</v>
      </c>
      <c r="G47" s="123" t="s">
        <v>250</v>
      </c>
      <c r="H47" s="123" t="s">
        <v>243</v>
      </c>
      <c r="I47" s="123" t="s">
        <v>1051</v>
      </c>
      <c r="J47" s="123">
        <v>28</v>
      </c>
      <c r="K47" s="123" t="s">
        <v>682</v>
      </c>
      <c r="L47" s="123" t="s">
        <v>1052</v>
      </c>
      <c r="M47" t="s">
        <v>120</v>
      </c>
      <c r="N47" s="123" t="s">
        <v>1061</v>
      </c>
      <c r="O47" s="123" t="s">
        <v>1199</v>
      </c>
      <c r="P47" s="123" t="s">
        <v>1200</v>
      </c>
      <c r="Q47" s="123"/>
      <c r="R47" s="123"/>
      <c r="S47" s="121" t="s">
        <v>1201</v>
      </c>
      <c r="T47" s="123" t="s">
        <v>1202</v>
      </c>
      <c r="U47" s="123"/>
      <c r="V47" s="123" t="e">
        <v>#N/A</v>
      </c>
      <c r="W47" s="123" t="e">
        <v>#N/A</v>
      </c>
      <c r="X47" s="123">
        <v>6</v>
      </c>
      <c r="Y47" s="123"/>
      <c r="Z47" s="123" t="s">
        <v>1056</v>
      </c>
      <c r="AA47" s="39">
        <v>43405</v>
      </c>
      <c r="AB47" s="123" t="s">
        <v>1057</v>
      </c>
    </row>
    <row r="48" spans="1:28" ht="179.25" customHeight="1">
      <c r="A48" s="123"/>
      <c r="B48" s="123"/>
      <c r="C48" s="123"/>
      <c r="D48" s="123"/>
      <c r="E48" s="123" t="s">
        <v>55</v>
      </c>
      <c r="F48" s="123" t="s">
        <v>1203</v>
      </c>
      <c r="G48" s="123" t="s">
        <v>1204</v>
      </c>
      <c r="H48" s="123" t="s">
        <v>243</v>
      </c>
      <c r="I48" s="123" t="s">
        <v>1051</v>
      </c>
      <c r="J48" s="123"/>
      <c r="K48" s="123" t="s">
        <v>682</v>
      </c>
      <c r="L48" s="444" t="s">
        <v>1205</v>
      </c>
      <c r="M48" s="444" t="s">
        <v>1134</v>
      </c>
      <c r="Q48" s="123" t="s">
        <v>1206</v>
      </c>
      <c r="R48" s="123"/>
      <c r="S48" s="442"/>
      <c r="T48" s="123"/>
      <c r="U48" s="123"/>
      <c r="V48" s="123"/>
      <c r="W48" s="123"/>
      <c r="X48" s="123"/>
      <c r="Y48" s="123"/>
      <c r="Z48" s="123"/>
      <c r="AA48" s="39"/>
      <c r="AB48" s="123"/>
    </row>
    <row r="49" spans="1:28" ht="186" customHeight="1">
      <c r="A49" s="123"/>
      <c r="B49" s="123"/>
      <c r="C49" s="123"/>
      <c r="D49" s="123"/>
      <c r="E49" s="123" t="s">
        <v>55</v>
      </c>
      <c r="F49" s="123" t="s">
        <v>1207</v>
      </c>
      <c r="G49" s="123" t="s">
        <v>329</v>
      </c>
      <c r="H49" s="123" t="s">
        <v>243</v>
      </c>
      <c r="I49" s="123" t="s">
        <v>1051</v>
      </c>
      <c r="J49" s="123"/>
      <c r="K49" s="123" t="s">
        <v>682</v>
      </c>
      <c r="L49" s="444" t="s">
        <v>1165</v>
      </c>
      <c r="M49" s="444" t="s">
        <v>1208</v>
      </c>
      <c r="O49" t="s">
        <v>1209</v>
      </c>
      <c r="Q49" s="123" t="s">
        <v>1210</v>
      </c>
      <c r="R49" s="123"/>
      <c r="S49" s="449">
        <v>2356000</v>
      </c>
      <c r="T49" s="123" t="s">
        <v>1211</v>
      </c>
      <c r="U49" s="123"/>
      <c r="V49" s="123" t="e">
        <f>VLOOKUP(F49,'[1]1. ACCOUNT'!$F$3:$Y$87,19,FALSE)</f>
        <v>#N/A</v>
      </c>
      <c r="W49" s="123" t="e">
        <f>VLOOKUP(F49,'[1]1. ACCOUNT'!$F$3:$Y$87,20,FALSE)</f>
        <v>#N/A</v>
      </c>
      <c r="X49" s="123"/>
      <c r="Y49" s="123" t="s">
        <v>1060</v>
      </c>
      <c r="Z49" s="123"/>
      <c r="AA49" s="39"/>
      <c r="AB49" s="123"/>
    </row>
    <row r="50" spans="1:28" ht="12.5">
      <c r="A50" s="186"/>
      <c r="B50" s="186"/>
      <c r="C50" s="186"/>
      <c r="D50" s="186"/>
      <c r="E50" s="186" t="s">
        <v>55</v>
      </c>
      <c r="F50" s="186" t="s">
        <v>1212</v>
      </c>
      <c r="G50" s="186" t="s">
        <v>252</v>
      </c>
      <c r="H50" s="186" t="s">
        <v>243</v>
      </c>
      <c r="I50" s="186" t="s">
        <v>1051</v>
      </c>
      <c r="J50" s="186"/>
      <c r="K50" s="186" t="s">
        <v>680</v>
      </c>
      <c r="Q50" s="123"/>
      <c r="R50" s="186"/>
      <c r="S50" s="122"/>
      <c r="T50" s="186" t="s">
        <v>1213</v>
      </c>
      <c r="U50" s="186"/>
      <c r="V50" s="186" t="e">
        <f>VLOOKUP(F50,'[1]1. ACCOUNT'!$F$3:$Y$87,19,FALSE)</f>
        <v>#N/A</v>
      </c>
      <c r="W50" s="186" t="e">
        <f>VLOOKUP(F50,'[1]1. ACCOUNT'!$F$3:$Y$87,20,FALSE)</f>
        <v>#N/A</v>
      </c>
      <c r="X50" s="186"/>
      <c r="Y50" s="186" t="s">
        <v>1060</v>
      </c>
      <c r="Z50" s="186"/>
      <c r="AA50" s="33"/>
      <c r="AB50" s="186"/>
    </row>
    <row r="51" spans="1:28" ht="12.5">
      <c r="A51" s="186"/>
      <c r="B51" s="186"/>
      <c r="C51" s="186"/>
      <c r="D51" s="186"/>
      <c r="E51" s="186" t="s">
        <v>55</v>
      </c>
      <c r="F51" s="186" t="s">
        <v>1214</v>
      </c>
      <c r="G51" s="186" t="s">
        <v>276</v>
      </c>
      <c r="H51" s="186" t="s">
        <v>243</v>
      </c>
      <c r="I51" s="186" t="s">
        <v>1051</v>
      </c>
      <c r="J51" s="186"/>
      <c r="K51" s="186" t="s">
        <v>680</v>
      </c>
      <c r="Q51" s="123"/>
      <c r="R51" s="186"/>
      <c r="S51" s="122"/>
      <c r="T51" s="90" t="s">
        <v>1215</v>
      </c>
      <c r="U51" s="90"/>
      <c r="V51" s="186" t="e">
        <f>VLOOKUP(F51,'[1]1. ACCOUNT'!$F$3:$Y$87,19,FALSE)</f>
        <v>#N/A</v>
      </c>
      <c r="W51" s="186" t="e">
        <f>VLOOKUP(F51,'[1]1. ACCOUNT'!$F$3:$Y$87,20,FALSE)</f>
        <v>#N/A</v>
      </c>
      <c r="X51" s="186"/>
      <c r="Y51" s="186" t="s">
        <v>1060</v>
      </c>
      <c r="Z51" s="186"/>
      <c r="AA51" s="33"/>
      <c r="AB51" s="186"/>
    </row>
    <row r="52" spans="1:28" ht="25">
      <c r="A52" s="123"/>
      <c r="B52" s="123"/>
      <c r="C52" s="123"/>
      <c r="D52" s="123"/>
      <c r="E52" s="123" t="s">
        <v>59</v>
      </c>
      <c r="F52" s="123" t="s">
        <v>260</v>
      </c>
      <c r="G52" s="123" t="s">
        <v>242</v>
      </c>
      <c r="H52" s="123" t="s">
        <v>243</v>
      </c>
      <c r="I52" s="123" t="s">
        <v>1051</v>
      </c>
      <c r="J52" s="123">
        <v>29</v>
      </c>
      <c r="K52" s="123" t="s">
        <v>682</v>
      </c>
      <c r="L52" s="123" t="s">
        <v>1052</v>
      </c>
      <c r="M52" t="s">
        <v>260</v>
      </c>
      <c r="N52" s="123" t="s">
        <v>1216</v>
      </c>
      <c r="O52" s="123"/>
      <c r="P52" s="123" t="s">
        <v>1217</v>
      </c>
      <c r="Q52" s="123"/>
      <c r="R52" s="123"/>
      <c r="S52" s="121" t="s">
        <v>1218</v>
      </c>
      <c r="T52" s="123" t="s">
        <v>1219</v>
      </c>
      <c r="U52" s="123"/>
      <c r="V52" s="123" t="e">
        <f>VLOOKUP(F52,'[1]1. ACCOUNT'!$F$3:$Y$87,19,FALSE)</f>
        <v>#N/A</v>
      </c>
      <c r="W52" s="123" t="e">
        <f>VLOOKUP(F52,'[1]1. ACCOUNT'!$F$3:$Y$87,20,FALSE)</f>
        <v>#N/A</v>
      </c>
      <c r="X52" s="123">
        <v>13</v>
      </c>
      <c r="Y52" s="123"/>
      <c r="Z52" s="123" t="s">
        <v>1056</v>
      </c>
      <c r="AA52" s="39">
        <v>43405</v>
      </c>
      <c r="AB52" s="123" t="s">
        <v>1057</v>
      </c>
    </row>
    <row r="53" spans="1:28" ht="163">
      <c r="A53" s="123"/>
      <c r="B53" s="123"/>
      <c r="C53" s="123"/>
      <c r="D53" s="123"/>
      <c r="E53" s="123" t="s">
        <v>55</v>
      </c>
      <c r="F53" s="123" t="s">
        <v>270</v>
      </c>
      <c r="G53" s="123" t="s">
        <v>264</v>
      </c>
      <c r="H53" s="123" t="s">
        <v>243</v>
      </c>
      <c r="I53" s="123" t="s">
        <v>1051</v>
      </c>
      <c r="J53" s="123">
        <v>30</v>
      </c>
      <c r="K53" s="123" t="s">
        <v>682</v>
      </c>
      <c r="L53" s="445" t="s">
        <v>1165</v>
      </c>
      <c r="M53" s="444" t="s">
        <v>1220</v>
      </c>
      <c r="N53" s="123" t="s">
        <v>1064</v>
      </c>
      <c r="O53" s="123" t="s">
        <v>81</v>
      </c>
      <c r="P53" s="123"/>
      <c r="Q53" s="123" t="s">
        <v>1221</v>
      </c>
      <c r="R53" s="123"/>
      <c r="S53" s="121" t="s">
        <v>1222</v>
      </c>
      <c r="T53" s="123" t="s">
        <v>1219</v>
      </c>
      <c r="U53" s="123"/>
      <c r="V53" s="123" t="e">
        <f>VLOOKUP(F53,'[1]1. ACCOUNT'!$F$3:$Y$87,19,FALSE)</f>
        <v>#N/A</v>
      </c>
      <c r="W53" s="123" t="e">
        <f>VLOOKUP(F53,'[1]1. ACCOUNT'!$F$3:$Y$87,20,FALSE)</f>
        <v>#N/A</v>
      </c>
      <c r="X53" s="123">
        <v>21</v>
      </c>
      <c r="Y53" s="123"/>
      <c r="Z53" s="123" t="s">
        <v>1056</v>
      </c>
      <c r="AA53" s="39">
        <v>43405</v>
      </c>
      <c r="AB53" s="123" t="s">
        <v>1057</v>
      </c>
    </row>
    <row r="54" spans="1:28" ht="163">
      <c r="A54" s="123"/>
      <c r="B54" s="123"/>
      <c r="C54" s="123"/>
      <c r="D54" s="123"/>
      <c r="E54" s="123" t="s">
        <v>55</v>
      </c>
      <c r="F54" s="123" t="s">
        <v>1223</v>
      </c>
      <c r="G54" s="123" t="s">
        <v>264</v>
      </c>
      <c r="H54" s="123" t="s">
        <v>243</v>
      </c>
      <c r="I54" s="123" t="s">
        <v>1051</v>
      </c>
      <c r="J54" s="123">
        <v>31</v>
      </c>
      <c r="K54" s="123" t="s">
        <v>682</v>
      </c>
      <c r="L54" s="444" t="s">
        <v>1133</v>
      </c>
      <c r="M54" s="444" t="s">
        <v>1224</v>
      </c>
      <c r="O54" t="s">
        <v>1225</v>
      </c>
      <c r="Q54" s="123" t="s">
        <v>1226</v>
      </c>
      <c r="R54" s="123"/>
      <c r="S54" s="123" t="s">
        <v>1227</v>
      </c>
      <c r="T54" s="123" t="s">
        <v>1219</v>
      </c>
      <c r="U54" s="123"/>
      <c r="V54" s="123" t="e">
        <f>VLOOKUP(F54,'[1]1. ACCOUNT'!$F$3:$Y$87,19,FALSE)</f>
        <v>#N/A</v>
      </c>
      <c r="W54" s="123" t="e">
        <f>VLOOKUP(F54,'[1]1. ACCOUNT'!$F$3:$Y$87,20,FALSE)</f>
        <v>#N/A</v>
      </c>
      <c r="X54" s="123"/>
      <c r="Y54" s="123" t="s">
        <v>1060</v>
      </c>
      <c r="Z54" s="123"/>
      <c r="AA54" s="39"/>
      <c r="AB54" s="123"/>
    </row>
    <row r="55" spans="1:28" ht="162.75" customHeight="1">
      <c r="A55" s="123"/>
      <c r="B55" s="123"/>
      <c r="C55" s="123"/>
      <c r="D55" s="123"/>
      <c r="E55" s="123" t="s">
        <v>55</v>
      </c>
      <c r="F55" s="123" t="s">
        <v>1228</v>
      </c>
      <c r="G55" s="123" t="s">
        <v>264</v>
      </c>
      <c r="H55" s="123" t="s">
        <v>243</v>
      </c>
      <c r="I55" s="123" t="s">
        <v>1051</v>
      </c>
      <c r="J55" s="123">
        <v>31</v>
      </c>
      <c r="K55" s="123" t="s">
        <v>682</v>
      </c>
      <c r="L55" s="444" t="s">
        <v>1133</v>
      </c>
      <c r="M55" s="444" t="s">
        <v>1229</v>
      </c>
      <c r="O55" t="s">
        <v>1230</v>
      </c>
      <c r="Q55" s="123" t="s">
        <v>1231</v>
      </c>
      <c r="R55" s="123"/>
      <c r="S55" s="123" t="s">
        <v>1232</v>
      </c>
      <c r="T55" s="123" t="s">
        <v>1219</v>
      </c>
      <c r="U55" s="123"/>
      <c r="V55" s="123" t="e">
        <f>VLOOKUP(F55,'[1]1. ACCOUNT'!$F$3:$Y$87,19,FALSE)</f>
        <v>#N/A</v>
      </c>
      <c r="W55" s="123" t="e">
        <f>VLOOKUP(F55,'[1]1. ACCOUNT'!$F$3:$Y$87,20,FALSE)</f>
        <v>#N/A</v>
      </c>
      <c r="X55" s="123"/>
      <c r="Y55" s="123" t="s">
        <v>1060</v>
      </c>
      <c r="Z55" s="123"/>
      <c r="AA55" s="39"/>
      <c r="AB55" s="123"/>
    </row>
    <row r="56" spans="1:28" ht="168" customHeight="1">
      <c r="A56" s="123"/>
      <c r="B56" s="123"/>
      <c r="C56" s="123"/>
      <c r="D56" s="123"/>
      <c r="E56" s="123" t="s">
        <v>55</v>
      </c>
      <c r="F56" s="123" t="s">
        <v>1233</v>
      </c>
      <c r="G56" s="123" t="s">
        <v>242</v>
      </c>
      <c r="H56" s="123" t="s">
        <v>243</v>
      </c>
      <c r="I56" s="123" t="s">
        <v>1051</v>
      </c>
      <c r="J56" s="123"/>
      <c r="K56" s="123" t="s">
        <v>682</v>
      </c>
      <c r="L56" s="444" t="s">
        <v>1133</v>
      </c>
      <c r="M56" s="444" t="s">
        <v>1234</v>
      </c>
      <c r="Q56" s="123" t="s">
        <v>1235</v>
      </c>
      <c r="R56" s="123"/>
      <c r="S56" s="123" t="s">
        <v>1236</v>
      </c>
      <c r="T56" s="121" t="s">
        <v>1219</v>
      </c>
      <c r="U56" s="121"/>
      <c r="V56" s="123" t="e">
        <f>VLOOKUP(F56,'[1]1. ACCOUNT'!$F$3:$Y$87,19,FALSE)</f>
        <v>#N/A</v>
      </c>
      <c r="W56" s="123" t="e">
        <f>VLOOKUP(F56,'[1]1. ACCOUNT'!$F$3:$Y$87,20,FALSE)</f>
        <v>#N/A</v>
      </c>
      <c r="X56" s="123"/>
      <c r="Y56" s="123" t="s">
        <v>1060</v>
      </c>
      <c r="Z56" s="123"/>
      <c r="AA56" s="39"/>
      <c r="AB56" s="123"/>
    </row>
    <row r="57" spans="1:28" ht="25">
      <c r="A57" s="123"/>
      <c r="B57" s="123"/>
      <c r="C57" s="123"/>
      <c r="D57" s="123"/>
      <c r="E57" s="123" t="s">
        <v>55</v>
      </c>
      <c r="F57" s="123" t="s">
        <v>271</v>
      </c>
      <c r="G57" s="123" t="s">
        <v>247</v>
      </c>
      <c r="H57" s="123" t="s">
        <v>243</v>
      </c>
      <c r="I57" s="123" t="s">
        <v>1051</v>
      </c>
      <c r="J57" s="123"/>
      <c r="K57" s="123" t="s">
        <v>682</v>
      </c>
      <c r="L57" s="123" t="s">
        <v>1052</v>
      </c>
      <c r="M57" t="s">
        <v>271</v>
      </c>
      <c r="N57" s="123" t="s">
        <v>1237</v>
      </c>
      <c r="O57" s="123"/>
      <c r="P57" s="123" t="s">
        <v>1238</v>
      </c>
      <c r="Q57" s="123"/>
      <c r="R57" s="123"/>
      <c r="S57" s="121" t="s">
        <v>1239</v>
      </c>
      <c r="T57" s="121" t="s">
        <v>1240</v>
      </c>
      <c r="U57" s="121"/>
      <c r="V57" s="123" t="e">
        <f>VLOOKUP(F57,'[1]1. ACCOUNT'!$F$3:$Y$87,19,FALSE)</f>
        <v>#N/A</v>
      </c>
      <c r="W57" s="123" t="e">
        <f>VLOOKUP(F57,'[1]1. ACCOUNT'!$F$3:$Y$87,20,FALSE)</f>
        <v>#N/A</v>
      </c>
      <c r="X57" s="123">
        <v>22</v>
      </c>
      <c r="Y57" s="123"/>
      <c r="Z57" s="123" t="s">
        <v>1056</v>
      </c>
      <c r="AA57" s="39">
        <v>43405</v>
      </c>
      <c r="AB57" s="123" t="s">
        <v>1057</v>
      </c>
    </row>
    <row r="58" spans="1:28" ht="18.75" customHeight="1">
      <c r="A58" s="123"/>
      <c r="B58" s="123"/>
      <c r="C58" s="123"/>
      <c r="D58" s="123"/>
      <c r="E58" s="123" t="s">
        <v>59</v>
      </c>
      <c r="F58" s="123" t="s">
        <v>261</v>
      </c>
      <c r="G58" s="123" t="s">
        <v>262</v>
      </c>
      <c r="H58" s="123" t="s">
        <v>243</v>
      </c>
      <c r="I58" s="123" t="s">
        <v>1051</v>
      </c>
      <c r="J58" s="123">
        <v>33</v>
      </c>
      <c r="K58" s="123" t="s">
        <v>682</v>
      </c>
      <c r="L58" s="123" t="s">
        <v>1052</v>
      </c>
      <c r="M58" t="s">
        <v>261</v>
      </c>
      <c r="N58" s="123" t="s">
        <v>1064</v>
      </c>
      <c r="O58" s="123"/>
      <c r="P58" s="123"/>
      <c r="Q58" s="123"/>
      <c r="R58" s="123"/>
      <c r="S58" s="121" t="s">
        <v>1241</v>
      </c>
      <c r="T58" s="123" t="s">
        <v>1242</v>
      </c>
      <c r="U58" s="123"/>
      <c r="V58" s="123" t="e">
        <f>VLOOKUP(F58,'[1]1. ACCOUNT'!$F$3:$Y$87,19,FALSE)</f>
        <v>#N/A</v>
      </c>
      <c r="W58" s="123" t="e">
        <f>VLOOKUP(F58,'[1]1. ACCOUNT'!$F$3:$Y$87,20,FALSE)</f>
        <v>#N/A</v>
      </c>
      <c r="X58" s="123">
        <v>14</v>
      </c>
      <c r="Y58" s="123"/>
      <c r="Z58" s="123" t="s">
        <v>1056</v>
      </c>
      <c r="AA58" s="39">
        <v>43405</v>
      </c>
      <c r="AB58" s="123" t="s">
        <v>1057</v>
      </c>
    </row>
    <row r="59" spans="1:28" ht="18.75" customHeight="1">
      <c r="A59" s="123"/>
      <c r="B59" s="123"/>
      <c r="C59" s="123"/>
      <c r="D59" s="123"/>
      <c r="E59" s="123" t="s">
        <v>55</v>
      </c>
      <c r="F59" s="123" t="s">
        <v>275</v>
      </c>
      <c r="G59" s="123" t="s">
        <v>276</v>
      </c>
      <c r="H59" s="123" t="s">
        <v>243</v>
      </c>
      <c r="I59" s="123" t="s">
        <v>1051</v>
      </c>
      <c r="J59" s="123"/>
      <c r="K59" s="123" t="s">
        <v>682</v>
      </c>
      <c r="L59" s="123" t="s">
        <v>1052</v>
      </c>
      <c r="M59" t="s">
        <v>275</v>
      </c>
      <c r="N59" s="123" t="s">
        <v>1243</v>
      </c>
      <c r="O59" s="123"/>
      <c r="P59" s="123" t="s">
        <v>1244</v>
      </c>
      <c r="Q59" s="123"/>
      <c r="R59" s="123"/>
      <c r="S59" s="121" t="s">
        <v>1245</v>
      </c>
      <c r="T59" s="121" t="s">
        <v>1246</v>
      </c>
      <c r="U59" s="121"/>
      <c r="V59" s="123" t="e">
        <f>VLOOKUP(F59,'[1]1. ACCOUNT'!$F$3:$Y$87,19,FALSE)</f>
        <v>#N/A</v>
      </c>
      <c r="W59" s="123" t="e">
        <f>VLOOKUP(F59,'[1]1. ACCOUNT'!$F$3:$Y$87,20,FALSE)</f>
        <v>#N/A</v>
      </c>
      <c r="X59" s="123">
        <v>25</v>
      </c>
      <c r="Y59" s="123"/>
      <c r="Z59" s="123" t="s">
        <v>1056</v>
      </c>
      <c r="AA59" s="39">
        <v>43405</v>
      </c>
      <c r="AB59" s="123" t="s">
        <v>1057</v>
      </c>
    </row>
    <row r="60" spans="1:28" ht="18.75" customHeight="1">
      <c r="A60" s="123"/>
      <c r="B60" s="123"/>
      <c r="C60" s="123"/>
      <c r="D60" s="123"/>
      <c r="E60" s="123" t="s">
        <v>55</v>
      </c>
      <c r="F60" s="123" t="s">
        <v>1247</v>
      </c>
      <c r="G60" s="123" t="s">
        <v>250</v>
      </c>
      <c r="H60" s="123" t="s">
        <v>243</v>
      </c>
      <c r="I60" s="123" t="s">
        <v>1051</v>
      </c>
      <c r="J60" s="123"/>
      <c r="K60" s="123" t="s">
        <v>682</v>
      </c>
      <c r="L60" s="123" t="s">
        <v>1052</v>
      </c>
      <c r="M60" s="123" t="s">
        <v>1248</v>
      </c>
      <c r="N60" s="123" t="s">
        <v>1249</v>
      </c>
      <c r="O60" s="34"/>
      <c r="P60" s="34"/>
      <c r="Q60" s="34"/>
      <c r="R60" s="123"/>
      <c r="S60" s="578"/>
      <c r="T60" s="34"/>
      <c r="U60" s="34"/>
      <c r="V60" s="34"/>
      <c r="W60" s="34"/>
      <c r="X60" s="34"/>
      <c r="Y60" s="34"/>
      <c r="Z60" s="34"/>
      <c r="AA60" s="579"/>
      <c r="AB60" s="34"/>
    </row>
    <row r="61" spans="1:28" ht="18.75" customHeight="1">
      <c r="A61" s="123"/>
      <c r="B61" s="123"/>
      <c r="C61" s="123"/>
      <c r="D61" s="123"/>
      <c r="E61" s="123" t="s">
        <v>59</v>
      </c>
      <c r="F61" s="123" t="s">
        <v>263</v>
      </c>
      <c r="G61" s="123" t="s">
        <v>264</v>
      </c>
      <c r="H61" s="123" t="s">
        <v>243</v>
      </c>
      <c r="I61" s="123" t="s">
        <v>1051</v>
      </c>
      <c r="J61" s="123">
        <v>34</v>
      </c>
      <c r="K61" s="123" t="s">
        <v>682</v>
      </c>
      <c r="L61" s="123" t="s">
        <v>1052</v>
      </c>
      <c r="M61" t="s">
        <v>263</v>
      </c>
      <c r="N61" s="123" t="s">
        <v>1064</v>
      </c>
      <c r="O61" s="123" t="s">
        <v>1250</v>
      </c>
      <c r="P61" s="123" t="s">
        <v>1251</v>
      </c>
      <c r="Q61" s="123"/>
      <c r="R61" s="123"/>
      <c r="S61" s="121" t="s">
        <v>1252</v>
      </c>
      <c r="T61" s="123" t="s">
        <v>1253</v>
      </c>
      <c r="U61" s="123"/>
      <c r="V61" s="123" t="e">
        <f>VLOOKUP(F61,'[1]1. ACCOUNT'!$F$3:$Y$87,19,FALSE)</f>
        <v>#N/A</v>
      </c>
      <c r="W61" s="123" t="e">
        <f>VLOOKUP(F61,'[1]1. ACCOUNT'!$F$3:$Y$87,20,FALSE)</f>
        <v>#N/A</v>
      </c>
      <c r="X61" s="123">
        <v>15</v>
      </c>
      <c r="Y61" s="123"/>
      <c r="Z61" s="123" t="s">
        <v>1056</v>
      </c>
      <c r="AA61" s="39">
        <v>43405</v>
      </c>
      <c r="AB61" s="123" t="s">
        <v>1057</v>
      </c>
    </row>
    <row r="62" spans="1:28" ht="18.75" customHeight="1">
      <c r="A62" s="186"/>
      <c r="B62" s="186"/>
      <c r="C62" s="186"/>
      <c r="D62" s="186"/>
      <c r="E62" s="186" t="s">
        <v>55</v>
      </c>
      <c r="F62" s="186" t="s">
        <v>1254</v>
      </c>
      <c r="G62" s="186" t="s">
        <v>252</v>
      </c>
      <c r="H62" s="186" t="s">
        <v>243</v>
      </c>
      <c r="I62" s="186" t="s">
        <v>1051</v>
      </c>
      <c r="J62" s="186">
        <v>35</v>
      </c>
      <c r="K62" s="186" t="s">
        <v>680</v>
      </c>
      <c r="Q62" s="123"/>
      <c r="R62" s="186"/>
      <c r="S62" s="122"/>
      <c r="T62" s="186" t="s">
        <v>1255</v>
      </c>
      <c r="U62" s="186"/>
      <c r="V62" s="186" t="e">
        <f>VLOOKUP(F62,'[1]1. ACCOUNT'!$F$3:$Y$87,19,FALSE)</f>
        <v>#N/A</v>
      </c>
      <c r="W62" s="186" t="e">
        <f>VLOOKUP(F62,'[1]1. ACCOUNT'!$F$3:$Y$87,20,FALSE)</f>
        <v>#N/A</v>
      </c>
      <c r="X62" s="186"/>
      <c r="Y62" s="186" t="s">
        <v>1060</v>
      </c>
      <c r="Z62" s="186"/>
      <c r="AA62" s="33"/>
      <c r="AB62" s="186"/>
    </row>
    <row r="63" spans="1:28" ht="18.75" customHeight="1">
      <c r="A63" s="186"/>
      <c r="B63" s="186"/>
      <c r="C63" s="186"/>
      <c r="D63" s="186"/>
      <c r="E63" s="186" t="s">
        <v>55</v>
      </c>
      <c r="F63" s="186" t="s">
        <v>1256</v>
      </c>
      <c r="G63" s="186" t="s">
        <v>252</v>
      </c>
      <c r="H63" s="186" t="s">
        <v>243</v>
      </c>
      <c r="I63" s="186" t="s">
        <v>1051</v>
      </c>
      <c r="J63" s="186">
        <v>36</v>
      </c>
      <c r="K63" s="186" t="s">
        <v>680</v>
      </c>
      <c r="Q63" s="123"/>
      <c r="R63" s="186"/>
      <c r="S63" s="122"/>
      <c r="T63" s="186" t="s">
        <v>1257</v>
      </c>
      <c r="U63" s="186"/>
      <c r="V63" s="186" t="e">
        <f>VLOOKUP(F63,'[1]1. ACCOUNT'!$F$3:$Y$87,19,FALSE)</f>
        <v>#N/A</v>
      </c>
      <c r="W63" s="186" t="e">
        <f>VLOOKUP(F63,'[1]1. ACCOUNT'!$F$3:$Y$87,20,FALSE)</f>
        <v>#N/A</v>
      </c>
      <c r="X63" s="186"/>
      <c r="Y63" s="186" t="s">
        <v>1060</v>
      </c>
      <c r="Z63" s="186"/>
      <c r="AA63" s="33"/>
      <c r="AB63" s="186"/>
    </row>
    <row r="64" spans="1:28" ht="18.75" customHeight="1">
      <c r="A64" s="186"/>
      <c r="B64" s="186"/>
      <c r="C64" s="186"/>
      <c r="D64" s="186"/>
      <c r="E64" s="186" t="s">
        <v>53</v>
      </c>
      <c r="F64" s="186" t="s">
        <v>124</v>
      </c>
      <c r="G64" s="186" t="s">
        <v>535</v>
      </c>
      <c r="H64" s="186" t="s">
        <v>903</v>
      </c>
      <c r="I64" s="186" t="s">
        <v>53</v>
      </c>
      <c r="J64" s="186">
        <v>1</v>
      </c>
      <c r="K64" s="186" t="s">
        <v>680</v>
      </c>
      <c r="Q64" s="123"/>
      <c r="R64" s="186"/>
      <c r="S64" s="122"/>
      <c r="T64" s="186" t="s">
        <v>1190</v>
      </c>
      <c r="U64" s="186"/>
      <c r="V64" s="186" t="e">
        <f>VLOOKUP(F64,'[1]1. ACCOUNT'!$F$3:$Y$87,19,FALSE)</f>
        <v>#N/A</v>
      </c>
      <c r="W64" s="186" t="e">
        <f>VLOOKUP(F64,'[1]1. ACCOUNT'!$F$3:$Y$87,20,FALSE)</f>
        <v>#N/A</v>
      </c>
      <c r="X64" s="186"/>
      <c r="Y64" s="186" t="s">
        <v>1060</v>
      </c>
      <c r="Z64" s="186"/>
      <c r="AA64" s="33"/>
      <c r="AB64" s="186"/>
    </row>
    <row r="65" spans="1:28" ht="18.75" customHeight="1">
      <c r="A65" s="123"/>
      <c r="B65" s="123"/>
      <c r="C65" s="123"/>
      <c r="D65" s="123"/>
      <c r="E65" s="123" t="s">
        <v>55</v>
      </c>
      <c r="F65" s="123" t="s">
        <v>272</v>
      </c>
      <c r="G65" s="123" t="s">
        <v>273</v>
      </c>
      <c r="H65" s="123" t="s">
        <v>243</v>
      </c>
      <c r="I65" s="123" t="s">
        <v>1051</v>
      </c>
      <c r="J65" s="123"/>
      <c r="K65" s="123" t="s">
        <v>682</v>
      </c>
      <c r="L65" s="123" t="s">
        <v>1052</v>
      </c>
      <c r="M65" t="s">
        <v>272</v>
      </c>
      <c r="N65" s="123" t="s">
        <v>1258</v>
      </c>
      <c r="O65" s="123"/>
      <c r="P65" s="123" t="s">
        <v>1259</v>
      </c>
      <c r="Q65" s="123"/>
      <c r="R65" s="123"/>
      <c r="S65" s="121" t="s">
        <v>1260</v>
      </c>
      <c r="T65" s="121" t="s">
        <v>1261</v>
      </c>
      <c r="U65" s="121"/>
      <c r="V65" s="123" t="e">
        <f>VLOOKUP(F65,'[1]1. ACCOUNT'!$F$3:$Y$87,19,FALSE)</f>
        <v>#N/A</v>
      </c>
      <c r="W65" s="123" t="e">
        <f>VLOOKUP(F65,'[1]1. ACCOUNT'!$F$3:$Y$87,20,FALSE)</f>
        <v>#N/A</v>
      </c>
      <c r="X65" s="123">
        <v>23</v>
      </c>
      <c r="Y65" s="123"/>
      <c r="Z65" s="123" t="s">
        <v>1056</v>
      </c>
      <c r="AA65" s="39">
        <v>43405</v>
      </c>
      <c r="AB65" s="123" t="s">
        <v>1057</v>
      </c>
    </row>
    <row r="66" spans="1:28" ht="18.75" customHeight="1">
      <c r="A66" s="123"/>
      <c r="B66" s="123"/>
      <c r="C66" s="123"/>
      <c r="D66" s="123"/>
      <c r="E66" s="123" t="s">
        <v>55</v>
      </c>
      <c r="F66" s="123" t="s">
        <v>1262</v>
      </c>
      <c r="G66" s="448" t="s">
        <v>264</v>
      </c>
      <c r="H66" s="123" t="s">
        <v>243</v>
      </c>
      <c r="I66" s="123" t="s">
        <v>1051</v>
      </c>
      <c r="J66" s="123"/>
      <c r="K66" s="123" t="s">
        <v>680</v>
      </c>
      <c r="L66" s="123"/>
      <c r="M66" s="123"/>
      <c r="N66" s="123"/>
      <c r="O66" s="123"/>
      <c r="P66" s="123"/>
      <c r="Q66" s="123"/>
      <c r="R66" s="123"/>
      <c r="S66" s="121"/>
      <c r="T66" s="121"/>
      <c r="U66" s="121"/>
      <c r="V66" s="123"/>
      <c r="W66" s="123"/>
      <c r="X66" s="123"/>
      <c r="Y66" s="123"/>
      <c r="Z66" s="123"/>
      <c r="AA66" s="39"/>
      <c r="AB66" s="123"/>
    </row>
    <row r="67" spans="1:28" ht="25">
      <c r="E67" s="123" t="s">
        <v>55</v>
      </c>
      <c r="F67" t="s">
        <v>1263</v>
      </c>
      <c r="G67" s="123" t="s">
        <v>250</v>
      </c>
      <c r="H67" t="s">
        <v>903</v>
      </c>
      <c r="I67" s="123" t="s">
        <v>1051</v>
      </c>
      <c r="K67" t="s">
        <v>682</v>
      </c>
      <c r="L67" t="s">
        <v>1052</v>
      </c>
      <c r="M67" s="123" t="s">
        <v>1264</v>
      </c>
      <c r="P67" t="s">
        <v>1265</v>
      </c>
      <c r="Q67" s="123" t="s">
        <v>1264</v>
      </c>
    </row>
    <row r="68" spans="1:28" ht="18.75" customHeight="1">
      <c r="A68" s="35"/>
      <c r="B68" s="35"/>
      <c r="C68" s="35"/>
      <c r="D68" s="35"/>
      <c r="E68" s="123" t="s">
        <v>55</v>
      </c>
      <c r="F68" s="123" t="s">
        <v>287</v>
      </c>
      <c r="G68" s="448" t="s">
        <v>252</v>
      </c>
      <c r="H68" s="123" t="s">
        <v>243</v>
      </c>
      <c r="I68" s="123" t="s">
        <v>1051</v>
      </c>
      <c r="J68" s="123"/>
      <c r="K68" s="123" t="s">
        <v>682</v>
      </c>
      <c r="L68" s="123" t="s">
        <v>1052</v>
      </c>
      <c r="M68" s="123" t="s">
        <v>287</v>
      </c>
      <c r="N68" s="123"/>
      <c r="O68" s="123"/>
      <c r="P68" s="123"/>
      <c r="Q68" s="123"/>
      <c r="R68" s="35"/>
      <c r="S68" s="37"/>
      <c r="T68" s="37"/>
      <c r="U68" s="37"/>
      <c r="V68" s="35"/>
      <c r="W68" s="35"/>
      <c r="X68" s="35"/>
      <c r="Y68" s="35"/>
      <c r="Z68" s="35" t="s">
        <v>1197</v>
      </c>
      <c r="AA68" s="38">
        <v>43607</v>
      </c>
      <c r="AB68" s="35" t="s">
        <v>1198</v>
      </c>
    </row>
    <row r="69" spans="1:28" ht="18.75" customHeight="1">
      <c r="A69" s="123"/>
      <c r="B69" s="123"/>
      <c r="C69" s="123"/>
      <c r="D69" s="123"/>
      <c r="E69" s="186" t="s">
        <v>55</v>
      </c>
      <c r="F69" s="441" t="s">
        <v>1266</v>
      </c>
      <c r="G69" s="123" t="s">
        <v>242</v>
      </c>
      <c r="H69" s="186" t="s">
        <v>243</v>
      </c>
      <c r="I69" s="186" t="s">
        <v>1051</v>
      </c>
      <c r="J69" s="123"/>
      <c r="K69" s="123" t="s">
        <v>682</v>
      </c>
      <c r="L69" s="123" t="s">
        <v>1052</v>
      </c>
      <c r="M69" s="123" t="s">
        <v>1267</v>
      </c>
      <c r="N69" s="123"/>
      <c r="O69" s="123"/>
      <c r="P69" s="123" t="s">
        <v>1268</v>
      </c>
      <c r="Q69" s="123" t="s">
        <v>1269</v>
      </c>
      <c r="R69" s="123"/>
      <c r="S69" s="121"/>
      <c r="T69" s="123"/>
      <c r="U69" s="123"/>
      <c r="V69" s="123"/>
      <c r="W69" s="123"/>
      <c r="X69" s="123"/>
      <c r="Y69" s="123"/>
      <c r="Z69" s="123"/>
      <c r="AA69" s="39"/>
      <c r="AB69" s="123"/>
    </row>
    <row r="70" spans="1:28" ht="18.75" customHeight="1">
      <c r="A70" s="35"/>
      <c r="B70" s="35"/>
      <c r="C70" s="35"/>
      <c r="D70" s="35"/>
      <c r="E70" s="123" t="s">
        <v>55</v>
      </c>
      <c r="F70" s="123" t="s">
        <v>288</v>
      </c>
      <c r="G70" s="123" t="s">
        <v>289</v>
      </c>
      <c r="H70" s="123" t="s">
        <v>243</v>
      </c>
      <c r="I70" s="123" t="s">
        <v>1051</v>
      </c>
      <c r="J70" s="123"/>
      <c r="K70" s="123" t="s">
        <v>682</v>
      </c>
      <c r="L70" s="123" t="s">
        <v>1052</v>
      </c>
      <c r="M70" s="123" t="s">
        <v>288</v>
      </c>
      <c r="N70" s="123"/>
      <c r="O70" s="123"/>
      <c r="P70" s="123"/>
      <c r="Q70" s="123"/>
      <c r="R70" s="35"/>
      <c r="S70" s="37"/>
      <c r="T70" s="37"/>
      <c r="U70" s="37"/>
      <c r="V70" s="35"/>
      <c r="W70" s="35"/>
      <c r="X70" s="35"/>
      <c r="Y70" s="35"/>
      <c r="Z70" s="35" t="s">
        <v>1197</v>
      </c>
      <c r="AA70" s="38">
        <v>43607</v>
      </c>
      <c r="AB70" s="35" t="s">
        <v>1198</v>
      </c>
    </row>
    <row r="71" spans="1:28" ht="18.75" customHeight="1">
      <c r="A71" s="186"/>
      <c r="B71" s="186"/>
      <c r="C71" s="186"/>
      <c r="D71" s="186"/>
      <c r="E71" s="186" t="s">
        <v>53</v>
      </c>
      <c r="F71" s="186" t="s">
        <v>1270</v>
      </c>
      <c r="G71" s="186" t="s">
        <v>535</v>
      </c>
      <c r="H71" s="186" t="s">
        <v>243</v>
      </c>
      <c r="I71" s="186" t="s">
        <v>1051</v>
      </c>
      <c r="J71" s="186">
        <v>52</v>
      </c>
      <c r="K71" s="186" t="s">
        <v>680</v>
      </c>
      <c r="Q71" s="123"/>
      <c r="R71" s="186"/>
      <c r="S71" s="122"/>
      <c r="T71" s="186" t="s">
        <v>1190</v>
      </c>
      <c r="U71" s="186"/>
      <c r="V71" s="186" t="e">
        <f>VLOOKUP(F71,'[1]1. ACCOUNT'!$F$3:$Y$87,19,FALSE)</f>
        <v>#N/A</v>
      </c>
      <c r="W71" s="186" t="e">
        <f>VLOOKUP(F71,'[1]1. ACCOUNT'!$F$3:$Y$87,20,FALSE)</f>
        <v>#N/A</v>
      </c>
      <c r="X71" s="186"/>
      <c r="Y71" s="186" t="s">
        <v>1060</v>
      </c>
      <c r="Z71" s="186"/>
      <c r="AA71" s="33"/>
      <c r="AB71" s="186"/>
    </row>
    <row r="72" spans="1:28" ht="18.75" customHeight="1">
      <c r="A72" s="35"/>
      <c r="B72" s="35"/>
      <c r="C72" s="35"/>
      <c r="D72" s="35"/>
      <c r="E72" s="123" t="s">
        <v>55</v>
      </c>
      <c r="F72" s="123" t="s">
        <v>284</v>
      </c>
      <c r="G72" s="448" t="s">
        <v>252</v>
      </c>
      <c r="H72" s="123" t="s">
        <v>243</v>
      </c>
      <c r="I72" s="123" t="s">
        <v>1051</v>
      </c>
      <c r="J72" s="123"/>
      <c r="K72" s="123" t="s">
        <v>682</v>
      </c>
      <c r="L72" s="123" t="s">
        <v>1052</v>
      </c>
      <c r="M72" s="123" t="s">
        <v>284</v>
      </c>
      <c r="N72" s="123"/>
      <c r="O72" s="123"/>
      <c r="P72" s="123"/>
      <c r="Q72" s="123"/>
      <c r="R72" s="35"/>
      <c r="S72" s="37"/>
      <c r="T72" s="37"/>
      <c r="U72" s="37"/>
      <c r="V72" s="35"/>
      <c r="W72" s="35"/>
      <c r="X72" s="35"/>
      <c r="Y72" s="35"/>
      <c r="Z72" s="35" t="s">
        <v>1197</v>
      </c>
      <c r="AA72" s="38">
        <v>43607</v>
      </c>
      <c r="AB72" s="35" t="s">
        <v>1198</v>
      </c>
    </row>
    <row r="73" spans="1:28" ht="62.5">
      <c r="A73" s="186"/>
      <c r="B73" s="186"/>
      <c r="C73" s="186"/>
      <c r="D73" s="186"/>
      <c r="E73" s="186" t="s">
        <v>55</v>
      </c>
      <c r="F73" s="186" t="s">
        <v>1271</v>
      </c>
      <c r="G73" s="186" t="s">
        <v>432</v>
      </c>
      <c r="H73" s="186" t="s">
        <v>243</v>
      </c>
      <c r="I73" s="186" t="s">
        <v>1051</v>
      </c>
      <c r="J73" s="186">
        <v>38</v>
      </c>
      <c r="K73" s="186" t="s">
        <v>680</v>
      </c>
      <c r="P73" t="s">
        <v>1272</v>
      </c>
      <c r="Q73" t="s">
        <v>1272</v>
      </c>
      <c r="R73" s="186"/>
      <c r="S73" s="122"/>
      <c r="T73" s="186" t="s">
        <v>1190</v>
      </c>
      <c r="U73" s="186"/>
      <c r="V73" s="186" t="e">
        <f>VLOOKUP(F73,'[1]1. ACCOUNT'!$F$3:$Y$87,19,FALSE)</f>
        <v>#N/A</v>
      </c>
      <c r="W73" s="186" t="e">
        <f>VLOOKUP(F73,'[1]1. ACCOUNT'!$F$3:$Y$87,20,FALSE)</f>
        <v>#N/A</v>
      </c>
      <c r="X73" s="186"/>
      <c r="Y73" s="186" t="s">
        <v>1060</v>
      </c>
      <c r="Z73" s="186"/>
      <c r="AA73" s="33"/>
      <c r="AB73" s="186"/>
    </row>
    <row r="74" spans="1:28" ht="12.5">
      <c r="A74" s="35"/>
      <c r="B74" s="35"/>
      <c r="C74" s="35"/>
      <c r="D74" s="35"/>
      <c r="E74" s="123" t="s">
        <v>55</v>
      </c>
      <c r="F74" s="123" t="s">
        <v>290</v>
      </c>
      <c r="G74" s="123" t="s">
        <v>289</v>
      </c>
      <c r="H74" s="123" t="s">
        <v>243</v>
      </c>
      <c r="I74" s="123" t="s">
        <v>1051</v>
      </c>
      <c r="J74" s="123"/>
      <c r="K74" s="123" t="s">
        <v>682</v>
      </c>
      <c r="L74" s="123" t="s">
        <v>1052</v>
      </c>
      <c r="M74" s="123" t="s">
        <v>290</v>
      </c>
      <c r="N74" s="123"/>
      <c r="O74" s="123"/>
      <c r="P74" s="123"/>
      <c r="Q74" s="123"/>
      <c r="R74" s="35"/>
      <c r="S74" s="37"/>
      <c r="T74" s="37"/>
      <c r="U74" s="37"/>
      <c r="V74" s="35"/>
      <c r="W74" s="35"/>
      <c r="X74" s="35"/>
      <c r="Y74" s="35"/>
      <c r="Z74" s="35" t="s">
        <v>1197</v>
      </c>
      <c r="AA74" s="38">
        <v>43607</v>
      </c>
      <c r="AB74" s="35" t="s">
        <v>1198</v>
      </c>
    </row>
    <row r="75" spans="1:28" ht="14">
      <c r="A75" s="35"/>
      <c r="B75" s="35"/>
      <c r="C75" s="35"/>
      <c r="D75" s="35"/>
      <c r="E75" s="123" t="s">
        <v>55</v>
      </c>
      <c r="F75" s="123" t="s">
        <v>285</v>
      </c>
      <c r="G75" s="448" t="s">
        <v>252</v>
      </c>
      <c r="H75" s="123" t="s">
        <v>243</v>
      </c>
      <c r="I75" s="123" t="s">
        <v>1051</v>
      </c>
      <c r="J75" s="123"/>
      <c r="K75" s="123" t="s">
        <v>682</v>
      </c>
      <c r="L75" s="123" t="s">
        <v>1052</v>
      </c>
      <c r="M75" s="123" t="s">
        <v>285</v>
      </c>
      <c r="N75" s="123"/>
      <c r="O75" s="123"/>
      <c r="P75" s="123"/>
      <c r="Q75" s="123"/>
      <c r="R75" s="35"/>
      <c r="S75" s="37"/>
      <c r="T75" s="37"/>
      <c r="U75" s="37"/>
      <c r="V75" s="35"/>
      <c r="W75" s="35"/>
      <c r="X75" s="35"/>
      <c r="Y75" s="35"/>
      <c r="Z75" s="35" t="s">
        <v>1197</v>
      </c>
      <c r="AA75" s="38">
        <v>43607</v>
      </c>
      <c r="AB75" s="35" t="s">
        <v>1198</v>
      </c>
    </row>
    <row r="76" spans="1:28" ht="81" customHeight="1">
      <c r="A76" s="123"/>
      <c r="B76" s="123"/>
      <c r="C76" s="123"/>
      <c r="D76" s="123"/>
      <c r="E76" s="123" t="s">
        <v>59</v>
      </c>
      <c r="F76" s="123" t="s">
        <v>265</v>
      </c>
      <c r="G76" s="123" t="s">
        <v>247</v>
      </c>
      <c r="H76" s="123" t="s">
        <v>243</v>
      </c>
      <c r="I76" s="123" t="s">
        <v>1051</v>
      </c>
      <c r="J76" s="123">
        <v>37</v>
      </c>
      <c r="K76" s="123" t="s">
        <v>682</v>
      </c>
      <c r="L76" s="123" t="s">
        <v>1052</v>
      </c>
      <c r="M76" t="s">
        <v>265</v>
      </c>
      <c r="N76" s="123" t="s">
        <v>1064</v>
      </c>
      <c r="O76" s="123"/>
      <c r="P76" s="123" t="s">
        <v>1273</v>
      </c>
      <c r="Q76" s="123"/>
      <c r="R76" s="123"/>
      <c r="S76" s="121" t="s">
        <v>1274</v>
      </c>
      <c r="T76" s="123" t="s">
        <v>1275</v>
      </c>
      <c r="U76" s="123"/>
      <c r="V76" s="123" t="e">
        <f>VLOOKUP(F76,'[1]1. ACCOUNT'!$F$3:$Y$87,19,FALSE)</f>
        <v>#N/A</v>
      </c>
      <c r="W76" s="123" t="e">
        <f>VLOOKUP(F76,'[1]1. ACCOUNT'!$F$3:$Y$87,20,FALSE)</f>
        <v>#N/A</v>
      </c>
      <c r="X76" s="123">
        <v>16</v>
      </c>
      <c r="Y76" s="123"/>
      <c r="Z76" s="123" t="s">
        <v>1056</v>
      </c>
      <c r="AA76" s="39">
        <v>43405</v>
      </c>
      <c r="AB76" s="123" t="s">
        <v>1057</v>
      </c>
    </row>
    <row r="77" spans="1:28" ht="37.5">
      <c r="A77" s="134"/>
      <c r="B77" s="134"/>
      <c r="C77" s="134"/>
      <c r="D77" s="134"/>
      <c r="E77" t="s">
        <v>55</v>
      </c>
      <c r="F77" t="s">
        <v>1276</v>
      </c>
      <c r="G77" t="s">
        <v>264</v>
      </c>
      <c r="H77" t="s">
        <v>243</v>
      </c>
      <c r="I77" t="s">
        <v>1051</v>
      </c>
      <c r="J77">
        <v>51</v>
      </c>
      <c r="K77" t="s">
        <v>680</v>
      </c>
      <c r="O77" s="123"/>
      <c r="P77" s="123"/>
      <c r="Q77" s="123"/>
      <c r="R77" s="123"/>
      <c r="S77" s="123"/>
      <c r="T77" s="123" t="s">
        <v>1277</v>
      </c>
      <c r="U77" s="134"/>
      <c r="V77" s="134" t="e">
        <f>VLOOKUP(F77,'[1]1. ACCOUNT'!$F$3:$Y$87,19,FALSE)</f>
        <v>#N/A</v>
      </c>
      <c r="W77" s="134" t="e">
        <f>VLOOKUP(F77,'[1]1. ACCOUNT'!$F$3:$Y$87,20,FALSE)</f>
        <v>#N/A</v>
      </c>
      <c r="X77" s="134"/>
      <c r="Y77" s="134" t="s">
        <v>1060</v>
      </c>
      <c r="Z77" s="134"/>
      <c r="AA77" s="245"/>
      <c r="AB77" s="134"/>
    </row>
    <row r="78" spans="1:28" ht="37.5">
      <c r="A78" s="134"/>
      <c r="B78" s="134"/>
      <c r="C78" s="134" t="s">
        <v>1180</v>
      </c>
      <c r="D78" s="134">
        <v>1</v>
      </c>
      <c r="E78" t="s">
        <v>55</v>
      </c>
      <c r="F78" t="s">
        <v>1278</v>
      </c>
      <c r="G78" t="s">
        <v>264</v>
      </c>
      <c r="H78" t="s">
        <v>243</v>
      </c>
      <c r="I78" t="s">
        <v>1051</v>
      </c>
      <c r="J78">
        <v>41</v>
      </c>
      <c r="K78" t="s">
        <v>680</v>
      </c>
      <c r="O78" s="123"/>
      <c r="P78" s="123"/>
      <c r="Q78" s="123"/>
      <c r="R78" s="123"/>
      <c r="S78" s="123"/>
      <c r="T78" s="123" t="s">
        <v>1279</v>
      </c>
      <c r="U78" s="134"/>
      <c r="V78" s="134" t="e">
        <f>VLOOKUP(F78,'[1]1. ACCOUNT'!$F$3:$Y$87,19,FALSE)</f>
        <v>#N/A</v>
      </c>
      <c r="W78" s="134" t="e">
        <f>VLOOKUP(F78,'[1]1. ACCOUNT'!$F$3:$Y$87,20,FALSE)</f>
        <v>#N/A</v>
      </c>
      <c r="X78" s="134"/>
      <c r="Y78" s="134" t="s">
        <v>1060</v>
      </c>
      <c r="Z78" s="134"/>
      <c r="AA78" s="245"/>
      <c r="AB78" s="134"/>
    </row>
    <row r="79" spans="1:28" ht="54.75" customHeight="1">
      <c r="A79" s="246"/>
      <c r="B79" s="246"/>
      <c r="C79" s="246"/>
      <c r="D79" s="246"/>
      <c r="E79" s="123" t="s">
        <v>55</v>
      </c>
      <c r="F79" s="123" t="s">
        <v>1280</v>
      </c>
      <c r="G79" s="123" t="s">
        <v>242</v>
      </c>
      <c r="H79" s="123" t="s">
        <v>243</v>
      </c>
      <c r="I79" s="123" t="s">
        <v>1051</v>
      </c>
      <c r="J79" s="123"/>
      <c r="K79" s="123" t="s">
        <v>682</v>
      </c>
      <c r="L79" s="444" t="s">
        <v>1281</v>
      </c>
      <c r="M79" s="444" t="s">
        <v>1282</v>
      </c>
      <c r="N79" s="123"/>
      <c r="O79" s="123" t="s">
        <v>1283</v>
      </c>
      <c r="P79" s="123"/>
      <c r="Q79" s="123"/>
      <c r="R79" s="123"/>
      <c r="S79" s="123" t="s">
        <v>1283</v>
      </c>
      <c r="T79" s="121"/>
      <c r="U79" s="450"/>
      <c r="V79" s="246"/>
      <c r="W79" s="246"/>
      <c r="X79" s="246"/>
      <c r="Y79" s="246"/>
      <c r="Z79" s="246"/>
      <c r="AA79" s="447"/>
      <c r="AB79" s="246"/>
    </row>
    <row r="80" spans="1:28" ht="18.75" customHeight="1">
      <c r="A80" s="134"/>
      <c r="B80" s="134"/>
      <c r="C80" s="134"/>
      <c r="D80" s="134"/>
      <c r="E80" t="s">
        <v>55</v>
      </c>
      <c r="F80" t="s">
        <v>1284</v>
      </c>
      <c r="G80" t="s">
        <v>276</v>
      </c>
      <c r="H80" t="s">
        <v>243</v>
      </c>
      <c r="I80" t="s">
        <v>1051</v>
      </c>
      <c r="K80" t="s">
        <v>680</v>
      </c>
      <c r="O80" s="123"/>
      <c r="P80" s="123"/>
      <c r="Q80" s="123"/>
      <c r="R80" s="123"/>
      <c r="S80" s="123"/>
      <c r="T80" s="123" t="s">
        <v>1285</v>
      </c>
      <c r="U80" s="248"/>
      <c r="V80" s="134" t="e">
        <f>VLOOKUP(F80,'[1]1. ACCOUNT'!$F$3:$Y$87,19,FALSE)</f>
        <v>#N/A</v>
      </c>
      <c r="W80" s="134" t="e">
        <f>VLOOKUP(F80,'[1]1. ACCOUNT'!$F$3:$Y$87,20,FALSE)</f>
        <v>#N/A</v>
      </c>
      <c r="X80" s="134"/>
      <c r="Y80" s="134" t="s">
        <v>1060</v>
      </c>
      <c r="Z80" s="134"/>
      <c r="AA80" s="245"/>
      <c r="AB80" s="134"/>
    </row>
    <row r="81" spans="1:28" ht="18.75" customHeight="1">
      <c r="A81" s="186"/>
      <c r="B81" s="186"/>
      <c r="C81" s="186"/>
      <c r="D81" s="186"/>
      <c r="E81" t="s">
        <v>55</v>
      </c>
      <c r="F81" t="s">
        <v>1286</v>
      </c>
      <c r="G81" t="s">
        <v>250</v>
      </c>
      <c r="H81" t="s">
        <v>243</v>
      </c>
      <c r="I81" t="s">
        <v>1051</v>
      </c>
      <c r="J81">
        <v>44</v>
      </c>
      <c r="K81" t="s">
        <v>680</v>
      </c>
      <c r="O81" s="123"/>
      <c r="P81" s="123"/>
      <c r="Q81" s="123"/>
      <c r="R81" s="123"/>
      <c r="S81" s="123"/>
      <c r="T81" s="123" t="s">
        <v>1287</v>
      </c>
      <c r="U81" s="186"/>
      <c r="V81" s="186" t="e">
        <f>VLOOKUP(F81,'[1]1. ACCOUNT'!$F$3:$Y$87,19,FALSE)</f>
        <v>#N/A</v>
      </c>
      <c r="W81" s="186" t="e">
        <f>VLOOKUP(F81,'[1]1. ACCOUNT'!$F$3:$Y$87,20,FALSE)</f>
        <v>#N/A</v>
      </c>
      <c r="X81" s="186"/>
      <c r="Y81" s="186" t="s">
        <v>1060</v>
      </c>
      <c r="Z81" s="186"/>
      <c r="AA81" s="33"/>
      <c r="AB81" s="186"/>
    </row>
    <row r="82" spans="1:28" ht="18.75" customHeight="1">
      <c r="A82" s="186"/>
      <c r="B82" s="186"/>
      <c r="C82" s="186"/>
      <c r="D82" s="186"/>
      <c r="E82" t="s">
        <v>53</v>
      </c>
      <c r="F82" t="s">
        <v>1288</v>
      </c>
      <c r="G82" t="s">
        <v>535</v>
      </c>
      <c r="H82" t="s">
        <v>243</v>
      </c>
      <c r="I82" t="s">
        <v>1051</v>
      </c>
      <c r="J82">
        <v>49</v>
      </c>
      <c r="K82" t="s">
        <v>680</v>
      </c>
      <c r="O82" s="123"/>
      <c r="P82" s="123"/>
      <c r="Q82" s="123"/>
      <c r="R82" s="123"/>
      <c r="S82" s="123"/>
      <c r="T82" s="123" t="s">
        <v>1190</v>
      </c>
      <c r="U82" s="186"/>
      <c r="V82" s="186" t="e">
        <f>VLOOKUP(F82,'[1]1. ACCOUNT'!$F$3:$Y$87,19,FALSE)</f>
        <v>#N/A</v>
      </c>
      <c r="W82" s="186" t="e">
        <f>VLOOKUP(F82,'[1]1. ACCOUNT'!$F$3:$Y$87,20,FALSE)</f>
        <v>#N/A</v>
      </c>
      <c r="X82" s="186"/>
      <c r="Y82" s="186" t="s">
        <v>1060</v>
      </c>
      <c r="Z82" s="186"/>
      <c r="AA82" s="33"/>
      <c r="AB82" s="186"/>
    </row>
    <row r="83" spans="1:28" ht="18.75" customHeight="1">
      <c r="A83" s="186"/>
      <c r="B83" s="186"/>
      <c r="C83" s="186"/>
      <c r="D83" s="186"/>
      <c r="E83" t="s">
        <v>53</v>
      </c>
      <c r="F83" t="s">
        <v>1289</v>
      </c>
      <c r="G83" t="s">
        <v>324</v>
      </c>
      <c r="H83" t="s">
        <v>243</v>
      </c>
      <c r="I83" t="s">
        <v>1051</v>
      </c>
      <c r="J83">
        <v>46</v>
      </c>
      <c r="K83" t="s">
        <v>680</v>
      </c>
      <c r="O83" s="123"/>
      <c r="P83" s="123"/>
      <c r="Q83" s="123"/>
      <c r="R83" s="123"/>
      <c r="S83" s="123"/>
      <c r="T83" s="123" t="s">
        <v>1190</v>
      </c>
      <c r="U83" s="186"/>
      <c r="V83" s="186" t="e">
        <f>VLOOKUP(F83,'[1]1. ACCOUNT'!$F$3:$Y$87,19,FALSE)</f>
        <v>#N/A</v>
      </c>
      <c r="W83" s="186" t="e">
        <f>VLOOKUP(F83,'[1]1. ACCOUNT'!$F$3:$Y$87,20,FALSE)</f>
        <v>#N/A</v>
      </c>
      <c r="X83" s="186"/>
      <c r="Y83" s="186" t="s">
        <v>1060</v>
      </c>
      <c r="Z83" s="186"/>
      <c r="AA83" s="33"/>
      <c r="AB83" s="186"/>
    </row>
    <row r="84" spans="1:28" ht="18.75" customHeight="1">
      <c r="A84" s="186"/>
      <c r="B84" s="186"/>
      <c r="C84" s="186"/>
      <c r="D84" s="186"/>
      <c r="E84" t="s">
        <v>53</v>
      </c>
      <c r="F84" t="s">
        <v>1290</v>
      </c>
      <c r="G84" t="s">
        <v>432</v>
      </c>
      <c r="H84" t="s">
        <v>243</v>
      </c>
      <c r="I84" t="s">
        <v>1051</v>
      </c>
      <c r="J84">
        <v>42</v>
      </c>
      <c r="K84" t="s">
        <v>680</v>
      </c>
      <c r="O84" s="123"/>
      <c r="P84" s="123"/>
      <c r="Q84" s="123"/>
      <c r="R84" s="123"/>
      <c r="S84" s="123"/>
      <c r="T84" s="123" t="s">
        <v>1190</v>
      </c>
      <c r="U84" s="186"/>
      <c r="V84" s="186" t="e">
        <f>VLOOKUP(F84,'[1]1. ACCOUNT'!$F$3:$Y$87,19,FALSE)</f>
        <v>#N/A</v>
      </c>
      <c r="W84" s="186" t="e">
        <f>VLOOKUP(F84,'[1]1. ACCOUNT'!$F$3:$Y$87,20,FALSE)</f>
        <v>#N/A</v>
      </c>
      <c r="X84" s="186"/>
      <c r="Y84" s="186" t="s">
        <v>1060</v>
      </c>
      <c r="Z84" s="186"/>
      <c r="AA84" s="33"/>
      <c r="AB84" s="186"/>
    </row>
    <row r="85" spans="1:28" ht="18.75" customHeight="1">
      <c r="A85" s="186"/>
      <c r="B85" s="186"/>
      <c r="C85" s="186"/>
      <c r="D85" s="186"/>
      <c r="E85" s="186" t="s">
        <v>53</v>
      </c>
      <c r="F85" s="186" t="s">
        <v>1291</v>
      </c>
      <c r="G85" s="186" t="s">
        <v>247</v>
      </c>
      <c r="H85" s="186" t="s">
        <v>243</v>
      </c>
      <c r="I85" s="186" t="s">
        <v>1051</v>
      </c>
      <c r="J85" s="186">
        <v>43</v>
      </c>
      <c r="K85" s="186" t="s">
        <v>680</v>
      </c>
      <c r="O85" s="123"/>
      <c r="P85" s="123"/>
      <c r="Q85" s="123"/>
      <c r="R85" s="123"/>
      <c r="S85" s="123"/>
      <c r="T85" s="123" t="s">
        <v>1190</v>
      </c>
      <c r="U85" s="186"/>
      <c r="V85" s="186" t="e">
        <f>VLOOKUP(F85,'[1]1. ACCOUNT'!$F$3:$Y$87,19,FALSE)</f>
        <v>#N/A</v>
      </c>
      <c r="W85" s="186" t="e">
        <f>VLOOKUP(F85,'[1]1. ACCOUNT'!$F$3:$Y$87,20,FALSE)</f>
        <v>#N/A</v>
      </c>
      <c r="X85" s="186"/>
      <c r="Y85" s="186" t="s">
        <v>1060</v>
      </c>
      <c r="Z85" s="186"/>
      <c r="AA85" s="33"/>
      <c r="AB85" s="186"/>
    </row>
    <row r="86" spans="1:28" ht="12.5">
      <c r="A86" s="186"/>
      <c r="B86" s="186"/>
      <c r="C86" s="186"/>
      <c r="D86" s="186"/>
      <c r="E86" s="186" t="s">
        <v>53</v>
      </c>
      <c r="F86" s="186" t="s">
        <v>1292</v>
      </c>
      <c r="G86" s="186" t="s">
        <v>535</v>
      </c>
      <c r="H86" s="186" t="s">
        <v>243</v>
      </c>
      <c r="I86" s="186" t="s">
        <v>1051</v>
      </c>
      <c r="J86" s="186">
        <v>45</v>
      </c>
      <c r="K86" s="186" t="s">
        <v>680</v>
      </c>
      <c r="Q86" s="123"/>
      <c r="R86" s="186"/>
      <c r="S86" s="122"/>
      <c r="T86" s="186" t="s">
        <v>1190</v>
      </c>
      <c r="U86" s="186"/>
      <c r="V86" s="186" t="e">
        <f>VLOOKUP(F86,'[1]1. ACCOUNT'!$F$3:$Y$87,19,FALSE)</f>
        <v>#N/A</v>
      </c>
      <c r="W86" s="186" t="e">
        <f>VLOOKUP(F86,'[1]1. ACCOUNT'!$F$3:$Y$87,20,FALSE)</f>
        <v>#N/A</v>
      </c>
      <c r="X86" s="186"/>
      <c r="Y86" s="186" t="s">
        <v>1060</v>
      </c>
      <c r="Z86" s="186"/>
      <c r="AA86" s="33"/>
      <c r="AB86" s="186"/>
    </row>
    <row r="87" spans="1:28" ht="18.75" customHeight="1">
      <c r="A87" s="186"/>
      <c r="B87" s="186"/>
      <c r="C87" s="186"/>
      <c r="D87" s="186"/>
      <c r="E87" s="186" t="s">
        <v>53</v>
      </c>
      <c r="F87" s="186" t="s">
        <v>1293</v>
      </c>
      <c r="G87" s="186" t="s">
        <v>432</v>
      </c>
      <c r="H87" s="186" t="s">
        <v>243</v>
      </c>
      <c r="I87" s="186" t="s">
        <v>1051</v>
      </c>
      <c r="J87" s="186">
        <v>47</v>
      </c>
      <c r="K87" s="186" t="s">
        <v>680</v>
      </c>
      <c r="Q87" s="123"/>
      <c r="R87" s="186"/>
      <c r="S87" s="122"/>
      <c r="T87" s="186" t="s">
        <v>1190</v>
      </c>
      <c r="U87" s="186"/>
      <c r="V87" s="186" t="e">
        <f>VLOOKUP(F87,'[1]1. ACCOUNT'!$F$3:$Y$87,19,FALSE)</f>
        <v>#N/A</v>
      </c>
      <c r="W87" s="186" t="e">
        <f>VLOOKUP(F87,'[1]1. ACCOUNT'!$F$3:$Y$87,20,FALSE)</f>
        <v>#N/A</v>
      </c>
      <c r="X87" s="186"/>
      <c r="Y87" s="186" t="s">
        <v>1060</v>
      </c>
      <c r="Z87" s="186"/>
      <c r="AA87" s="33"/>
      <c r="AB87" s="186"/>
    </row>
    <row r="88" spans="1:28" ht="18.75" customHeight="1">
      <c r="A88" s="125"/>
      <c r="B88" s="125"/>
      <c r="C88" s="125"/>
      <c r="D88" s="125"/>
      <c r="E88" s="125" t="s">
        <v>55</v>
      </c>
      <c r="F88" s="125" t="s">
        <v>1294</v>
      </c>
      <c r="G88" s="125" t="s">
        <v>247</v>
      </c>
      <c r="H88" s="125" t="s">
        <v>243</v>
      </c>
      <c r="I88" s="125" t="s">
        <v>1051</v>
      </c>
      <c r="J88" s="125"/>
      <c r="K88" s="125" t="s">
        <v>680</v>
      </c>
      <c r="L88" s="128"/>
      <c r="M88" s="128"/>
      <c r="N88" s="128"/>
      <c r="O88" s="128"/>
      <c r="P88" s="128"/>
      <c r="Q88" s="35"/>
      <c r="R88" s="125"/>
      <c r="S88" s="40"/>
      <c r="T88" s="126" t="s">
        <v>1295</v>
      </c>
      <c r="U88" s="126"/>
      <c r="V88" s="125" t="e">
        <f>VLOOKUP(F88,'[1]1. ACCOUNT'!$F$3:$Y$87,19,FALSE)</f>
        <v>#N/A</v>
      </c>
      <c r="W88" s="125" t="e">
        <f>VLOOKUP(F88,'[1]1. ACCOUNT'!$F$3:$Y$87,20,FALSE)</f>
        <v>#N/A</v>
      </c>
      <c r="X88" s="125"/>
      <c r="Y88" s="125" t="s">
        <v>1060</v>
      </c>
      <c r="Z88" s="125"/>
      <c r="AA88" s="41"/>
      <c r="AB88" s="125"/>
    </row>
    <row r="89" spans="1:28" ht="18.75" customHeight="1">
      <c r="A89" s="186"/>
      <c r="B89" s="186"/>
      <c r="C89" s="186"/>
      <c r="D89" s="186"/>
      <c r="E89" s="186" t="s">
        <v>53</v>
      </c>
      <c r="F89" s="186" t="s">
        <v>123</v>
      </c>
      <c r="G89" s="186" t="s">
        <v>535</v>
      </c>
      <c r="H89" s="186" t="s">
        <v>243</v>
      </c>
      <c r="I89" s="186" t="s">
        <v>1051</v>
      </c>
      <c r="J89" s="186">
        <v>58</v>
      </c>
      <c r="K89" s="186" t="s">
        <v>680</v>
      </c>
      <c r="Q89" s="123"/>
      <c r="R89" s="186"/>
      <c r="S89" s="122"/>
      <c r="T89" s="186" t="s">
        <v>1190</v>
      </c>
      <c r="U89" s="186"/>
      <c r="V89" s="186" t="e">
        <f>VLOOKUP(F89,'[1]1. ACCOUNT'!$F$3:$Y$87,19,FALSE)</f>
        <v>#N/A</v>
      </c>
      <c r="W89" s="186" t="e">
        <f>VLOOKUP(F89,'[1]1. ACCOUNT'!$F$3:$Y$87,20,FALSE)</f>
        <v>#N/A</v>
      </c>
      <c r="X89" s="186"/>
      <c r="Y89" s="186" t="s">
        <v>1060</v>
      </c>
      <c r="Z89" s="186"/>
      <c r="AA89" s="33"/>
      <c r="AB89" s="186"/>
    </row>
    <row r="90" spans="1:28" ht="18.75" customHeight="1">
      <c r="A90" s="186"/>
      <c r="B90" s="186"/>
      <c r="C90" s="186"/>
      <c r="D90" s="186"/>
      <c r="E90" s="186" t="s">
        <v>63</v>
      </c>
      <c r="F90" s="186" t="s">
        <v>122</v>
      </c>
      <c r="G90" s="186" t="s">
        <v>264</v>
      </c>
      <c r="H90" s="186" t="s">
        <v>243</v>
      </c>
      <c r="I90" s="186" t="s">
        <v>1051</v>
      </c>
      <c r="J90" s="186">
        <v>59</v>
      </c>
      <c r="K90" s="186" t="s">
        <v>680</v>
      </c>
      <c r="Q90" s="123"/>
      <c r="R90" s="186"/>
      <c r="S90" s="122"/>
      <c r="T90" s="186" t="s">
        <v>1190</v>
      </c>
      <c r="U90" s="186"/>
      <c r="V90" s="186" t="e">
        <f>VLOOKUP(F90,'[1]1. ACCOUNT'!$F$3:$Y$87,19,FALSE)</f>
        <v>#N/A</v>
      </c>
      <c r="W90" s="186" t="e">
        <f>VLOOKUP(F90,'[1]1. ACCOUNT'!$F$3:$Y$87,20,FALSE)</f>
        <v>#N/A</v>
      </c>
      <c r="X90" s="186"/>
      <c r="Y90" s="186" t="s">
        <v>1060</v>
      </c>
      <c r="Z90" s="186"/>
      <c r="AA90" s="33"/>
      <c r="AB90" s="186"/>
    </row>
    <row r="91" spans="1:28" ht="87.75" customHeight="1">
      <c r="A91" s="186"/>
      <c r="B91" s="186"/>
      <c r="C91" s="186" t="s">
        <v>1296</v>
      </c>
      <c r="D91" s="186">
        <v>1</v>
      </c>
      <c r="E91" s="186" t="s">
        <v>55</v>
      </c>
      <c r="F91" s="186" t="s">
        <v>1297</v>
      </c>
      <c r="G91" s="186" t="s">
        <v>346</v>
      </c>
      <c r="H91" s="186" t="s">
        <v>243</v>
      </c>
      <c r="I91" s="186" t="s">
        <v>1051</v>
      </c>
      <c r="J91" s="186">
        <v>48</v>
      </c>
      <c r="K91" s="186" t="s">
        <v>680</v>
      </c>
      <c r="Q91" s="123"/>
      <c r="R91" s="186"/>
      <c r="S91" s="122"/>
      <c r="T91" s="186" t="s">
        <v>1298</v>
      </c>
      <c r="U91" s="186"/>
      <c r="V91" s="186" t="e">
        <f>VLOOKUP(F91,'[1]1. ACCOUNT'!$F$3:$Y$87,19,FALSE)</f>
        <v>#N/A</v>
      </c>
      <c r="W91" s="186" t="e">
        <f>VLOOKUP(F91,'[1]1. ACCOUNT'!$F$3:$Y$87,20,FALSE)</f>
        <v>#N/A</v>
      </c>
      <c r="X91" s="186"/>
      <c r="Y91" s="186" t="s">
        <v>1060</v>
      </c>
      <c r="Z91" s="186"/>
      <c r="AA91" s="33"/>
      <c r="AB91" s="186"/>
    </row>
    <row r="92" spans="1:28" ht="18.75" customHeight="1">
      <c r="A92" s="186"/>
      <c r="B92" s="186"/>
      <c r="C92" s="186"/>
      <c r="D92" s="186"/>
      <c r="E92" s="186" t="s">
        <v>55</v>
      </c>
      <c r="F92" s="186" t="s">
        <v>1299</v>
      </c>
      <c r="G92" s="186" t="s">
        <v>535</v>
      </c>
      <c r="H92" s="186" t="s">
        <v>243</v>
      </c>
      <c r="I92" s="186" t="s">
        <v>1051</v>
      </c>
      <c r="J92" s="186">
        <v>50</v>
      </c>
      <c r="K92" s="186" t="s">
        <v>680</v>
      </c>
      <c r="Q92" s="123"/>
      <c r="R92" s="186"/>
      <c r="S92" s="122"/>
      <c r="T92" s="186" t="s">
        <v>1190</v>
      </c>
      <c r="U92" s="186"/>
      <c r="V92" s="186" t="e">
        <f>VLOOKUP(F92,'[1]1. ACCOUNT'!$F$3:$Y$87,19,FALSE)</f>
        <v>#N/A</v>
      </c>
      <c r="W92" s="186" t="e">
        <f>VLOOKUP(F92,'[1]1. ACCOUNT'!$F$3:$Y$87,20,FALSE)</f>
        <v>#N/A</v>
      </c>
      <c r="X92" s="186"/>
      <c r="Y92" s="186" t="s">
        <v>1060</v>
      </c>
      <c r="Z92" s="186"/>
      <c r="AA92" s="33"/>
      <c r="AB92" s="186"/>
    </row>
    <row r="93" spans="1:28" ht="148.5" customHeight="1">
      <c r="A93" s="35"/>
      <c r="B93" s="35"/>
      <c r="C93" s="35"/>
      <c r="D93" s="35"/>
      <c r="E93" s="123" t="s">
        <v>59</v>
      </c>
      <c r="F93" s="123" t="s">
        <v>266</v>
      </c>
      <c r="G93" s="123" t="s">
        <v>247</v>
      </c>
      <c r="H93" s="123" t="s">
        <v>243</v>
      </c>
      <c r="I93" s="123" t="s">
        <v>1051</v>
      </c>
      <c r="J93" s="123">
        <v>40</v>
      </c>
      <c r="K93" s="123" t="s">
        <v>682</v>
      </c>
      <c r="L93" s="123" t="s">
        <v>1052</v>
      </c>
      <c r="M93" s="451" t="s">
        <v>1300</v>
      </c>
      <c r="N93" s="35" t="s">
        <v>1148</v>
      </c>
      <c r="O93" s="35"/>
      <c r="P93" s="44" t="s">
        <v>1301</v>
      </c>
      <c r="Q93" s="35"/>
      <c r="R93" s="35"/>
      <c r="S93" s="37">
        <v>0</v>
      </c>
      <c r="T93" s="35" t="s">
        <v>1302</v>
      </c>
      <c r="U93" s="35"/>
      <c r="V93" s="35" t="e">
        <f>VLOOKUP(F93,'[1]1. ACCOUNT'!$F$3:$Y$87,19,FALSE)</f>
        <v>#N/A</v>
      </c>
      <c r="W93" s="35" t="e">
        <f>VLOOKUP(F93,'[1]1. ACCOUNT'!$F$3:$Y$87,20,FALSE)</f>
        <v>#N/A</v>
      </c>
      <c r="X93" s="35">
        <v>17</v>
      </c>
      <c r="Y93" s="35"/>
      <c r="Z93" s="35" t="s">
        <v>1056</v>
      </c>
      <c r="AA93" s="38">
        <v>43405</v>
      </c>
      <c r="AB93" s="35" t="s">
        <v>1057</v>
      </c>
    </row>
    <row r="94" spans="1:28" ht="18.75" customHeight="1">
      <c r="A94" s="186"/>
      <c r="B94" s="186"/>
      <c r="C94" s="186"/>
      <c r="D94" s="186"/>
      <c r="E94" s="186" t="s">
        <v>55</v>
      </c>
      <c r="F94" s="186" t="s">
        <v>1303</v>
      </c>
      <c r="G94" s="186" t="s">
        <v>252</v>
      </c>
      <c r="H94" s="186" t="s">
        <v>243</v>
      </c>
      <c r="I94" s="186" t="s">
        <v>1051</v>
      </c>
      <c r="J94" s="186"/>
      <c r="K94" s="186" t="s">
        <v>680</v>
      </c>
      <c r="Q94" s="123"/>
      <c r="R94" s="186"/>
      <c r="S94" s="122"/>
      <c r="T94" s="90" t="s">
        <v>1304</v>
      </c>
      <c r="U94" s="90"/>
      <c r="V94" s="186" t="e">
        <f>VLOOKUP(F94,'[1]1. ACCOUNT'!$F$3:$Y$87,19,FALSE)</f>
        <v>#N/A</v>
      </c>
      <c r="W94" s="186" t="e">
        <f>VLOOKUP(F94,'[1]1. ACCOUNT'!$F$3:$Y$87,20,FALSE)</f>
        <v>#N/A</v>
      </c>
      <c r="X94" s="186"/>
      <c r="Y94" s="186" t="s">
        <v>1060</v>
      </c>
      <c r="Z94" s="186"/>
      <c r="AA94" s="33"/>
      <c r="AB94" s="186"/>
    </row>
    <row r="95" spans="1:28" ht="18.75" customHeight="1">
      <c r="A95" s="186"/>
      <c r="B95" s="186"/>
      <c r="C95" s="186"/>
      <c r="D95" s="186"/>
      <c r="E95" s="186" t="s">
        <v>55</v>
      </c>
      <c r="F95" s="186" t="s">
        <v>1305</v>
      </c>
      <c r="G95" s="186" t="s">
        <v>252</v>
      </c>
      <c r="H95" s="186" t="s">
        <v>243</v>
      </c>
      <c r="I95" s="186" t="s">
        <v>1051</v>
      </c>
      <c r="J95" s="186"/>
      <c r="K95" s="186" t="s">
        <v>680</v>
      </c>
      <c r="Q95" s="123"/>
      <c r="R95" s="186"/>
      <c r="S95" s="122"/>
      <c r="T95" s="90" t="s">
        <v>1304</v>
      </c>
      <c r="U95" s="90"/>
      <c r="V95" s="186" t="e">
        <f>VLOOKUP(F95,'[1]1. ACCOUNT'!$F$3:$Y$87,19,FALSE)</f>
        <v>#N/A</v>
      </c>
      <c r="W95" s="186" t="e">
        <f>VLOOKUP(F95,'[1]1. ACCOUNT'!$F$3:$Y$87,20,FALSE)</f>
        <v>#N/A</v>
      </c>
      <c r="X95" s="186"/>
      <c r="Y95" s="186" t="s">
        <v>1060</v>
      </c>
      <c r="Z95" s="186"/>
      <c r="AA95" s="33"/>
      <c r="AB95" s="186"/>
    </row>
    <row r="96" spans="1:28" ht="12.5">
      <c r="A96" s="186"/>
      <c r="B96" s="186"/>
      <c r="C96" s="186"/>
      <c r="D96" s="186"/>
      <c r="E96" s="186" t="s">
        <v>55</v>
      </c>
      <c r="F96" s="186" t="s">
        <v>1306</v>
      </c>
      <c r="G96" s="186" t="s">
        <v>252</v>
      </c>
      <c r="H96" s="186" t="s">
        <v>243</v>
      </c>
      <c r="I96" s="186" t="s">
        <v>1051</v>
      </c>
      <c r="J96" s="186"/>
      <c r="K96" s="186" t="s">
        <v>680</v>
      </c>
      <c r="Q96" s="123"/>
      <c r="R96" s="186"/>
      <c r="S96" s="122"/>
      <c r="T96" s="90" t="s">
        <v>1304</v>
      </c>
      <c r="U96" s="90"/>
      <c r="V96" s="186" t="e">
        <f>VLOOKUP(F96,'[1]1. ACCOUNT'!$F$3:$Y$87,19,FALSE)</f>
        <v>#N/A</v>
      </c>
      <c r="W96" s="186" t="e">
        <f>VLOOKUP(F96,'[1]1. ACCOUNT'!$F$3:$Y$87,20,FALSE)</f>
        <v>#N/A</v>
      </c>
      <c r="X96" s="186"/>
      <c r="Y96" s="186" t="s">
        <v>1060</v>
      </c>
      <c r="Z96" s="186"/>
      <c r="AA96" s="33"/>
      <c r="AB96" s="186"/>
    </row>
    <row r="97" spans="1:28" ht="151.5" customHeight="1">
      <c r="A97" s="35"/>
      <c r="B97" s="35"/>
      <c r="C97" s="35"/>
      <c r="D97" s="35"/>
      <c r="E97" s="123" t="s">
        <v>55</v>
      </c>
      <c r="F97" s="123" t="s">
        <v>274</v>
      </c>
      <c r="G97" s="123" t="s">
        <v>247</v>
      </c>
      <c r="H97" s="123" t="s">
        <v>243</v>
      </c>
      <c r="I97" s="123" t="s">
        <v>1051</v>
      </c>
      <c r="J97" s="123"/>
      <c r="K97" s="123" t="s">
        <v>682</v>
      </c>
      <c r="L97" s="123" t="s">
        <v>1052</v>
      </c>
      <c r="M97" s="451" t="s">
        <v>1307</v>
      </c>
      <c r="N97" s="35" t="s">
        <v>1148</v>
      </c>
      <c r="O97" s="123"/>
      <c r="P97" s="123" t="s">
        <v>1301</v>
      </c>
      <c r="Q97" s="123"/>
      <c r="R97" s="123"/>
      <c r="S97" s="123">
        <v>0</v>
      </c>
      <c r="T97" s="123" t="s">
        <v>1308</v>
      </c>
      <c r="U97" s="37"/>
      <c r="V97" s="35" t="e">
        <f>VLOOKUP(F97,'[1]1. ACCOUNT'!$F$3:$Y$87,19,FALSE)</f>
        <v>#N/A</v>
      </c>
      <c r="W97" s="35" t="e">
        <f>VLOOKUP(F97,'[1]1. ACCOUNT'!$F$3:$Y$87,20,FALSE)</f>
        <v>#N/A</v>
      </c>
      <c r="X97" s="35">
        <v>24</v>
      </c>
      <c r="Y97" s="35"/>
      <c r="Z97" s="35" t="s">
        <v>1056</v>
      </c>
      <c r="AA97" s="38">
        <v>43405</v>
      </c>
      <c r="AB97" s="35" t="s">
        <v>1057</v>
      </c>
    </row>
    <row r="98" spans="1:28" ht="36.75" customHeight="1">
      <c r="A98" s="35"/>
      <c r="B98" s="35"/>
      <c r="C98" s="35"/>
      <c r="D98" s="35"/>
      <c r="E98" t="s">
        <v>55</v>
      </c>
      <c r="F98" t="s">
        <v>1309</v>
      </c>
      <c r="G98" t="s">
        <v>255</v>
      </c>
      <c r="H98" t="s">
        <v>243</v>
      </c>
      <c r="I98" t="s">
        <v>1051</v>
      </c>
      <c r="K98" t="s">
        <v>682</v>
      </c>
      <c r="L98" t="s">
        <v>1052</v>
      </c>
      <c r="M98" t="s">
        <v>1310</v>
      </c>
      <c r="N98" t="s">
        <v>1096</v>
      </c>
      <c r="O98" s="123"/>
      <c r="P98" s="123" t="s">
        <v>1311</v>
      </c>
      <c r="Q98" s="123"/>
      <c r="R98" s="123"/>
      <c r="S98" s="123"/>
      <c r="T98" s="123" t="s">
        <v>1312</v>
      </c>
      <c r="U98" s="37"/>
      <c r="V98" s="35" t="e">
        <f>VLOOKUP(F98,'[1]1. ACCOUNT'!$F$3:$Y$87,19,FALSE)</f>
        <v>#N/A</v>
      </c>
      <c r="W98" s="35" t="e">
        <f>VLOOKUP(F98,'[1]1. ACCOUNT'!$F$3:$Y$87,20,FALSE)</f>
        <v>#N/A</v>
      </c>
      <c r="X98" s="35"/>
      <c r="Y98" s="35" t="s">
        <v>1060</v>
      </c>
      <c r="Z98" s="35"/>
      <c r="AA98" s="38"/>
      <c r="AB98" s="35"/>
    </row>
    <row r="99" spans="1:28" ht="12.5">
      <c r="A99" s="186"/>
      <c r="B99" s="186"/>
      <c r="C99" s="186"/>
      <c r="D99" s="186"/>
      <c r="E99" s="186" t="s">
        <v>55</v>
      </c>
      <c r="F99" s="186" t="s">
        <v>1313</v>
      </c>
      <c r="G99" s="186" t="s">
        <v>329</v>
      </c>
      <c r="H99" s="186" t="s">
        <v>243</v>
      </c>
      <c r="I99" s="186" t="s">
        <v>1051</v>
      </c>
      <c r="J99" s="186"/>
      <c r="K99" s="186" t="s">
        <v>680</v>
      </c>
      <c r="O99" s="193"/>
      <c r="Q99" s="123"/>
      <c r="R99" s="186"/>
      <c r="S99" s="122"/>
      <c r="T99" s="90" t="s">
        <v>1314</v>
      </c>
      <c r="U99" s="90"/>
      <c r="V99" s="56" t="e">
        <v>#N/A</v>
      </c>
      <c r="W99" s="56" t="e">
        <v>#N/A</v>
      </c>
      <c r="X99" s="186"/>
      <c r="Y99" s="186" t="s">
        <v>1060</v>
      </c>
      <c r="Z99" s="186"/>
      <c r="AA99" s="33"/>
      <c r="AB99" s="186"/>
    </row>
    <row r="100" spans="1:28" ht="25">
      <c r="A100" s="246"/>
      <c r="B100" s="246"/>
      <c r="C100" s="246"/>
      <c r="D100" s="246"/>
      <c r="E100" t="s">
        <v>55</v>
      </c>
      <c r="F100" t="s">
        <v>277</v>
      </c>
      <c r="G100" t="s">
        <v>278</v>
      </c>
      <c r="H100" t="s">
        <v>243</v>
      </c>
      <c r="I100" t="s">
        <v>1051</v>
      </c>
      <c r="K100" t="s">
        <v>682</v>
      </c>
      <c r="L100" t="s">
        <v>1052</v>
      </c>
      <c r="M100" t="s">
        <v>277</v>
      </c>
      <c r="N100" t="s">
        <v>1153</v>
      </c>
      <c r="O100" s="123"/>
      <c r="P100" s="123" t="s">
        <v>1315</v>
      </c>
      <c r="Q100" s="123"/>
      <c r="R100" s="123"/>
      <c r="S100" s="123">
        <v>2</v>
      </c>
      <c r="T100" s="123" t="s">
        <v>1316</v>
      </c>
      <c r="U100" s="450"/>
      <c r="V100" s="246" t="e">
        <f>VLOOKUP(F100,'[1]1. ACCOUNT'!$F$3:$Y$87,19,FALSE)</f>
        <v>#N/A</v>
      </c>
      <c r="W100" s="246" t="e">
        <f>VLOOKUP(F100,'[1]1. ACCOUNT'!$F$3:$Y$87,20,FALSE)</f>
        <v>#N/A</v>
      </c>
      <c r="X100" s="246">
        <v>26</v>
      </c>
      <c r="Y100" s="246"/>
      <c r="Z100" s="246" t="s">
        <v>1056</v>
      </c>
      <c r="AA100" s="447">
        <v>43405</v>
      </c>
      <c r="AB100" s="246" t="s">
        <v>1317</v>
      </c>
    </row>
    <row r="101" spans="1:28" ht="18.75" customHeight="1">
      <c r="A101" s="123"/>
      <c r="B101" s="123"/>
      <c r="C101" s="123"/>
      <c r="D101" s="123"/>
      <c r="E101" s="123" t="s">
        <v>55</v>
      </c>
      <c r="F101" s="123" t="s">
        <v>280</v>
      </c>
      <c r="G101" s="123" t="s">
        <v>252</v>
      </c>
      <c r="H101" s="123" t="s">
        <v>243</v>
      </c>
      <c r="I101" s="123" t="s">
        <v>1051</v>
      </c>
      <c r="J101" s="123"/>
      <c r="K101" s="123" t="s">
        <v>682</v>
      </c>
      <c r="L101" s="123" t="s">
        <v>1052</v>
      </c>
      <c r="M101" t="s">
        <v>280</v>
      </c>
      <c r="N101" s="123" t="s">
        <v>1096</v>
      </c>
      <c r="O101" s="123"/>
      <c r="P101" s="123"/>
      <c r="Q101" s="123"/>
      <c r="R101" s="123"/>
      <c r="S101" s="121" t="s">
        <v>1318</v>
      </c>
      <c r="T101" s="121" t="s">
        <v>1304</v>
      </c>
      <c r="U101" s="121"/>
      <c r="V101" s="123" t="e">
        <f>VLOOKUP(F101,'[1]1. ACCOUNT'!$F$3:$Y$87,19,FALSE)</f>
        <v>#N/A</v>
      </c>
      <c r="W101" s="123" t="e">
        <f>VLOOKUP(F101,'[1]1. ACCOUNT'!$F$3:$Y$87,20,FALSE)</f>
        <v>#N/A</v>
      </c>
      <c r="X101" s="123">
        <v>27</v>
      </c>
      <c r="Y101" s="123"/>
      <c r="Z101" s="123" t="s">
        <v>1100</v>
      </c>
      <c r="AA101" s="39">
        <v>43550</v>
      </c>
      <c r="AB101" s="123"/>
    </row>
    <row r="102" spans="1:28" ht="40.5" customHeight="1">
      <c r="A102" s="123"/>
      <c r="B102" s="123"/>
      <c r="C102" s="123"/>
      <c r="D102" s="123"/>
      <c r="E102" s="123" t="s">
        <v>55</v>
      </c>
      <c r="F102" s="123" t="s">
        <v>1319</v>
      </c>
      <c r="G102" s="123" t="s">
        <v>329</v>
      </c>
      <c r="H102" s="123" t="s">
        <v>243</v>
      </c>
      <c r="I102" s="123" t="s">
        <v>1051</v>
      </c>
      <c r="J102" s="123"/>
      <c r="K102" s="123" t="s">
        <v>682</v>
      </c>
      <c r="L102" s="444" t="s">
        <v>1281</v>
      </c>
      <c r="M102" s="444" t="s">
        <v>1320</v>
      </c>
      <c r="N102" s="123"/>
      <c r="O102" s="123" t="s">
        <v>1283</v>
      </c>
      <c r="P102" s="123"/>
      <c r="Q102" s="123" t="s">
        <v>1321</v>
      </c>
      <c r="R102" s="123"/>
      <c r="S102" s="449">
        <v>200000</v>
      </c>
      <c r="T102" s="121" t="s">
        <v>1314</v>
      </c>
      <c r="U102" s="121"/>
      <c r="V102" s="123" t="e">
        <f>VLOOKUP(F102,'[1]1. ACCOUNT'!$F$3:$Y$87,19,FALSE)</f>
        <v>#N/A</v>
      </c>
      <c r="W102" s="123" t="e">
        <f>VLOOKUP(F102,'[1]1. ACCOUNT'!$F$3:$Y$87,20,FALSE)</f>
        <v>#N/A</v>
      </c>
      <c r="X102" s="123"/>
      <c r="Y102" s="123" t="s">
        <v>1060</v>
      </c>
      <c r="Z102" s="123"/>
      <c r="AA102" s="39"/>
      <c r="AB102" s="123"/>
    </row>
  </sheetData>
  <autoFilter ref="E3:AB102" xr:uid="{00000000-0001-0000-0800-000000000000}"/>
  <sortState xmlns:xlrd2="http://schemas.microsoft.com/office/spreadsheetml/2017/richdata2" ref="A4:AB102">
    <sortCondition ref="F4:F102"/>
  </sortState>
  <pageMargins left="0.7" right="0.7" top="0.75" bottom="0.75" header="0" footer="0"/>
  <pageSetup orientation="portrait"/>
  <legacy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outlinePr summaryBelow="0" summaryRight="0"/>
  </sheetPr>
  <dimension ref="A1:AG200"/>
  <sheetViews>
    <sheetView topLeftCell="M1" zoomScale="110" workbookViewId="0">
      <pane ySplit="3" topLeftCell="A43" activePane="bottomLeft" state="frozen"/>
      <selection pane="bottomLeft" activeCell="O2" sqref="O2"/>
    </sheetView>
  </sheetViews>
  <sheetFormatPr defaultColWidth="14.453125" defaultRowHeight="15" customHeight="1"/>
  <cols>
    <col min="1" max="2" width="12.7265625" hidden="1" customWidth="1"/>
    <col min="3" max="3" width="13" hidden="1" customWidth="1"/>
    <col min="4" max="4" width="6.7265625" hidden="1" customWidth="1"/>
    <col min="5" max="5" width="23.26953125" customWidth="1"/>
    <col min="6" max="6" width="43.7265625" customWidth="1"/>
    <col min="7" max="7" width="23.26953125" customWidth="1"/>
    <col min="8" max="8" width="10.7265625" customWidth="1"/>
    <col min="9" max="9" width="14.26953125" customWidth="1"/>
    <col min="10" max="10" width="8.26953125" customWidth="1"/>
    <col min="11" max="11" width="11.453125" customWidth="1"/>
    <col min="12" max="12" width="34.1796875" customWidth="1"/>
    <col min="13" max="13" width="37.7265625" customWidth="1"/>
    <col min="14" max="14" width="22.1796875" customWidth="1"/>
    <col min="15" max="15" width="31.26953125" customWidth="1"/>
    <col min="16" max="16" width="52.54296875" customWidth="1"/>
    <col min="17" max="17" width="31" customWidth="1"/>
    <col min="18" max="18" width="22.1796875" customWidth="1"/>
    <col min="19" max="19" width="23" customWidth="1"/>
    <col min="20" max="20" width="41" customWidth="1"/>
    <col min="21" max="21" width="6.26953125" customWidth="1"/>
    <col min="22" max="22" width="30.7265625" hidden="1" customWidth="1"/>
    <col min="23" max="23" width="38.26953125" hidden="1" customWidth="1"/>
    <col min="24" max="24" width="10.7265625" customWidth="1"/>
    <col min="25" max="25" width="17.1796875" customWidth="1"/>
    <col min="26" max="26" width="25.7265625" customWidth="1"/>
    <col min="27" max="27" width="10.7265625" customWidth="1"/>
    <col min="28" max="28" width="79.7265625" customWidth="1"/>
    <col min="29" max="33" width="10.7265625" customWidth="1"/>
  </cols>
  <sheetData>
    <row r="1" spans="1:33" ht="71.25" customHeight="1">
      <c r="A1" s="56"/>
      <c r="B1" s="56"/>
      <c r="C1" s="56"/>
      <c r="D1" s="56"/>
      <c r="E1" s="249" t="s">
        <v>1322</v>
      </c>
      <c r="F1" s="45" t="s">
        <v>1323</v>
      </c>
      <c r="G1" s="441" t="s">
        <v>1324</v>
      </c>
      <c r="H1" s="441"/>
      <c r="I1" s="441"/>
      <c r="J1" s="56"/>
      <c r="K1" s="250"/>
      <c r="L1" s="218"/>
      <c r="M1" s="251"/>
      <c r="N1" s="218"/>
      <c r="O1" s="218"/>
      <c r="P1" s="218"/>
      <c r="Q1" s="218"/>
      <c r="R1" s="56"/>
      <c r="S1" s="56"/>
      <c r="T1" s="56"/>
      <c r="U1" s="56"/>
      <c r="V1" s="56"/>
      <c r="W1" s="56"/>
      <c r="X1" s="56"/>
      <c r="Y1" s="56"/>
      <c r="Z1" s="252" t="s">
        <v>1039</v>
      </c>
      <c r="AA1" s="253"/>
      <c r="AB1" s="254"/>
      <c r="AC1" s="56"/>
      <c r="AD1" s="56"/>
      <c r="AE1" s="56"/>
      <c r="AF1" s="56"/>
      <c r="AG1" s="56"/>
    </row>
    <row r="2" spans="1:33" ht="22.5" customHeight="1">
      <c r="A2" s="46"/>
      <c r="B2" s="47"/>
      <c r="C2" s="47"/>
      <c r="D2" s="47"/>
      <c r="E2" s="48"/>
      <c r="F2" s="45"/>
      <c r="G2" s="46"/>
      <c r="H2" s="46"/>
      <c r="I2" s="46"/>
      <c r="J2" s="46"/>
      <c r="K2" s="49"/>
      <c r="L2" s="218" t="s">
        <v>1038</v>
      </c>
      <c r="M2" s="251"/>
      <c r="N2" s="218"/>
      <c r="O2" s="218"/>
      <c r="P2" s="218"/>
      <c r="Q2" s="218"/>
      <c r="R2" s="47"/>
      <c r="S2" s="47"/>
      <c r="T2" s="47"/>
      <c r="U2" s="46"/>
      <c r="V2" s="50"/>
      <c r="W2" s="51"/>
      <c r="X2" s="52"/>
      <c r="Y2" s="52"/>
      <c r="Z2" s="226"/>
      <c r="AA2" s="227"/>
      <c r="AB2" s="255"/>
      <c r="AC2" s="56"/>
      <c r="AD2" s="56"/>
      <c r="AE2" s="56"/>
      <c r="AF2" s="56"/>
      <c r="AG2" s="56"/>
    </row>
    <row r="3" spans="1:33" ht="14.25" customHeight="1">
      <c r="A3" s="46" t="s">
        <v>1325</v>
      </c>
      <c r="B3" s="206" t="s">
        <v>1041</v>
      </c>
      <c r="C3" s="206" t="s">
        <v>1042</v>
      </c>
      <c r="D3" s="206" t="s">
        <v>1043</v>
      </c>
      <c r="E3" s="206" t="s">
        <v>224</v>
      </c>
      <c r="F3" s="206" t="s">
        <v>225</v>
      </c>
      <c r="G3" s="206" t="s">
        <v>226</v>
      </c>
      <c r="H3" s="206" t="s">
        <v>227</v>
      </c>
      <c r="I3" s="206" t="s">
        <v>1044</v>
      </c>
      <c r="J3" s="206" t="s">
        <v>1045</v>
      </c>
      <c r="K3" s="218" t="s">
        <v>1046</v>
      </c>
      <c r="L3" s="251" t="s">
        <v>100</v>
      </c>
      <c r="M3" s="251" t="s">
        <v>101</v>
      </c>
      <c r="N3" s="218" t="s">
        <v>102</v>
      </c>
      <c r="O3" s="218" t="s">
        <v>103</v>
      </c>
      <c r="P3" s="218" t="s">
        <v>104</v>
      </c>
      <c r="Q3" s="218" t="s">
        <v>105</v>
      </c>
      <c r="R3" s="206" t="s">
        <v>111</v>
      </c>
      <c r="S3" s="206" t="s">
        <v>112</v>
      </c>
      <c r="T3" s="206" t="s">
        <v>113</v>
      </c>
      <c r="U3" s="256" t="s">
        <v>1326</v>
      </c>
      <c r="V3" s="257" t="s">
        <v>1047</v>
      </c>
      <c r="W3" s="258" t="s">
        <v>1048</v>
      </c>
      <c r="X3" s="226" t="s">
        <v>1049</v>
      </c>
      <c r="Y3" s="226" t="s">
        <v>1050</v>
      </c>
      <c r="Z3" s="226" t="s">
        <v>237</v>
      </c>
      <c r="AA3" s="227" t="s">
        <v>1</v>
      </c>
      <c r="AB3" s="255" t="s">
        <v>238</v>
      </c>
      <c r="AC3" s="56"/>
      <c r="AD3" s="56"/>
      <c r="AE3" s="56"/>
      <c r="AF3" s="56"/>
      <c r="AG3" s="56"/>
    </row>
    <row r="4" spans="1:33" ht="12.5">
      <c r="A4" s="259"/>
      <c r="B4" s="259"/>
      <c r="C4" s="260"/>
      <c r="D4" s="260"/>
      <c r="E4" s="56" t="s">
        <v>53</v>
      </c>
      <c r="F4" s="56" t="s">
        <v>1010</v>
      </c>
      <c r="G4" s="56" t="s">
        <v>535</v>
      </c>
      <c r="H4" s="56" t="s">
        <v>243</v>
      </c>
      <c r="I4" s="56"/>
      <c r="J4" s="56">
        <v>2</v>
      </c>
      <c r="K4" s="56" t="s">
        <v>680</v>
      </c>
      <c r="L4" s="45"/>
      <c r="M4" s="45"/>
      <c r="N4" s="45"/>
      <c r="O4" s="56"/>
      <c r="P4" s="56"/>
      <c r="Q4" s="56"/>
      <c r="R4" s="54"/>
      <c r="S4" s="25" t="e">
        <v>#N/A</v>
      </c>
      <c r="T4" s="56" t="s">
        <v>1190</v>
      </c>
      <c r="U4" s="56">
        <v>1</v>
      </c>
      <c r="V4" s="244" t="e">
        <f>VLOOKUP(F4,'[1]2. PROFITLOSSLITE'!$F$3:$W$167,17,FALSE)</f>
        <v>#N/A</v>
      </c>
      <c r="W4" s="244" t="e">
        <f>VLOOKUP(F4,'[1]2. PROFITLOSSLITE'!$F$3:$W$167,18,FALSE)</f>
        <v>#N/A</v>
      </c>
      <c r="X4" s="70"/>
      <c r="Y4" s="56" t="s">
        <v>1060</v>
      </c>
      <c r="Z4" s="56"/>
      <c r="AA4" s="55"/>
      <c r="AB4" s="56"/>
      <c r="AC4" s="70"/>
      <c r="AD4" s="70"/>
      <c r="AE4" s="70"/>
      <c r="AF4" s="70"/>
      <c r="AG4" s="70"/>
    </row>
    <row r="5" spans="1:33" ht="14.25" customHeight="1">
      <c r="A5" s="259"/>
      <c r="B5" s="259"/>
      <c r="C5" s="260"/>
      <c r="D5" s="261"/>
      <c r="E5" s="56" t="s">
        <v>61</v>
      </c>
      <c r="F5" s="56" t="s">
        <v>118</v>
      </c>
      <c r="G5" s="56" t="s">
        <v>247</v>
      </c>
      <c r="H5" s="56" t="s">
        <v>243</v>
      </c>
      <c r="I5" s="56"/>
      <c r="J5" s="56">
        <v>4</v>
      </c>
      <c r="K5" s="56" t="s">
        <v>682</v>
      </c>
      <c r="L5" s="56" t="s">
        <v>1327</v>
      </c>
      <c r="M5" s="34" t="s">
        <v>302</v>
      </c>
      <c r="N5" s="56" t="s">
        <v>1328</v>
      </c>
      <c r="O5" s="56" t="s">
        <v>1088</v>
      </c>
      <c r="P5" s="56" t="s">
        <v>1329</v>
      </c>
      <c r="Q5" s="56"/>
      <c r="R5" s="54"/>
      <c r="S5" s="25">
        <v>59302865</v>
      </c>
      <c r="T5" s="56" t="s">
        <v>1330</v>
      </c>
      <c r="U5" s="56"/>
      <c r="V5" s="244" t="e">
        <f>VLOOKUP(F5,'[1]2. PROFITLOSSLITE'!$F$3:$W$167,17,FALSE)</f>
        <v>#N/A</v>
      </c>
      <c r="W5" s="244" t="e">
        <f>VLOOKUP(F5,'[1]2. PROFITLOSSLITE'!$F$3:$W$167,18,FALSE)</f>
        <v>#N/A</v>
      </c>
      <c r="X5" s="70">
        <v>6</v>
      </c>
      <c r="Y5" s="70"/>
      <c r="Z5" s="56" t="s">
        <v>1331</v>
      </c>
      <c r="AA5" s="55">
        <v>43475</v>
      </c>
      <c r="AB5" s="56" t="s">
        <v>1057</v>
      </c>
      <c r="AC5" s="56"/>
      <c r="AD5" s="56"/>
      <c r="AE5" s="56"/>
      <c r="AF5" s="56"/>
      <c r="AG5" s="56"/>
    </row>
    <row r="6" spans="1:33" ht="52.5" customHeight="1">
      <c r="A6" s="244"/>
      <c r="B6" s="244"/>
      <c r="C6" s="244"/>
      <c r="D6" s="244"/>
      <c r="E6" s="56" t="s">
        <v>55</v>
      </c>
      <c r="F6" s="56" t="s">
        <v>1332</v>
      </c>
      <c r="G6" s="56" t="s">
        <v>255</v>
      </c>
      <c r="H6" s="56" t="s">
        <v>243</v>
      </c>
      <c r="I6" s="56"/>
      <c r="J6" s="56"/>
      <c r="K6" s="56" t="s">
        <v>680</v>
      </c>
      <c r="L6" s="572"/>
      <c r="M6" s="572"/>
      <c r="N6" s="576" t="s">
        <v>1333</v>
      </c>
      <c r="O6" s="577" t="s">
        <v>1334</v>
      </c>
      <c r="P6" s="67" t="s">
        <v>1335</v>
      </c>
      <c r="Q6" s="572" t="s">
        <v>1336</v>
      </c>
      <c r="R6" s="54"/>
      <c r="S6" s="70"/>
      <c r="T6" s="56"/>
      <c r="U6" s="56"/>
      <c r="V6" s="244" t="e">
        <f>VLOOKUP(F6,'[1]2. PROFITLOSSLITE'!$F$3:$W$167,17,FALSE)</f>
        <v>#N/A</v>
      </c>
      <c r="W6" s="244" t="e">
        <f>VLOOKUP(F6,'[1]2. PROFITLOSSLITE'!$F$3:$W$167,18,FALSE)</f>
        <v>#N/A</v>
      </c>
      <c r="X6" s="56">
        <v>82</v>
      </c>
      <c r="Y6" s="56"/>
      <c r="Z6" s="56" t="s">
        <v>1162</v>
      </c>
      <c r="AA6" s="55">
        <v>43641</v>
      </c>
      <c r="AB6" s="56" t="s">
        <v>1337</v>
      </c>
      <c r="AC6" s="56"/>
      <c r="AD6" s="56"/>
      <c r="AE6" s="56"/>
      <c r="AF6" s="56"/>
      <c r="AG6" s="56"/>
    </row>
    <row r="7" spans="1:33" ht="12.5">
      <c r="A7" s="244"/>
      <c r="B7" s="244"/>
      <c r="C7" s="244"/>
      <c r="D7" s="244"/>
      <c r="E7" s="56" t="s">
        <v>55</v>
      </c>
      <c r="F7" s="56" t="s">
        <v>1338</v>
      </c>
      <c r="G7" s="56" t="s">
        <v>329</v>
      </c>
      <c r="H7" s="56" t="s">
        <v>243</v>
      </c>
      <c r="I7" s="56"/>
      <c r="J7" s="56"/>
      <c r="K7" s="56" t="s">
        <v>682</v>
      </c>
      <c r="L7" s="56" t="s">
        <v>1327</v>
      </c>
      <c r="M7" s="56" t="s">
        <v>1339</v>
      </c>
      <c r="N7" s="56"/>
      <c r="O7" s="268" t="s">
        <v>1340</v>
      </c>
      <c r="P7" s="244"/>
      <c r="Q7" s="244" t="s">
        <v>1341</v>
      </c>
      <c r="R7" s="269"/>
      <c r="S7" s="268">
        <v>0.75</v>
      </c>
      <c r="T7" s="244"/>
      <c r="U7" s="244"/>
      <c r="V7" s="244"/>
      <c r="W7" s="244"/>
      <c r="X7" s="244"/>
      <c r="Y7" s="244"/>
      <c r="Z7" s="244"/>
      <c r="AA7" s="270">
        <v>45033</v>
      </c>
      <c r="AB7" s="244" t="s">
        <v>1342</v>
      </c>
      <c r="AC7" s="268"/>
      <c r="AD7" s="268"/>
      <c r="AE7" s="268"/>
      <c r="AF7" s="268"/>
      <c r="AG7" s="268"/>
    </row>
    <row r="8" spans="1:33" ht="52.5" customHeight="1">
      <c r="A8" s="262"/>
      <c r="B8" s="262"/>
      <c r="C8" s="262"/>
      <c r="D8" s="262"/>
      <c r="E8" s="56" t="s">
        <v>55</v>
      </c>
      <c r="F8" s="56" t="s">
        <v>1343</v>
      </c>
      <c r="G8" s="56" t="s">
        <v>346</v>
      </c>
      <c r="H8" s="56" t="s">
        <v>243</v>
      </c>
      <c r="I8" s="56"/>
      <c r="J8" s="56">
        <v>5</v>
      </c>
      <c r="K8" s="56" t="s">
        <v>682</v>
      </c>
      <c r="L8" s="56" t="s">
        <v>1327</v>
      </c>
      <c r="M8" s="34" t="s">
        <v>1344</v>
      </c>
      <c r="N8" s="56" t="s">
        <v>1184</v>
      </c>
      <c r="O8" s="56" t="s">
        <v>1345</v>
      </c>
      <c r="P8" s="34"/>
      <c r="Q8" s="56"/>
      <c r="R8" s="249" t="s">
        <v>1346</v>
      </c>
      <c r="S8" s="25" t="e">
        <v>#N/A</v>
      </c>
      <c r="T8" s="56" t="s">
        <v>1347</v>
      </c>
      <c r="U8" s="56"/>
      <c r="V8" s="244" t="e">
        <f>VLOOKUP(F8,'[1]2. PROFITLOSSLITE'!$F$3:$W$167,17,FALSE)</f>
        <v>#N/A</v>
      </c>
      <c r="W8" s="244" t="e">
        <f>VLOOKUP(F8,'[1]2. PROFITLOSSLITE'!$F$3:$W$167,18,FALSE)</f>
        <v>#N/A</v>
      </c>
      <c r="X8" s="56"/>
      <c r="Y8" s="56" t="s">
        <v>1060</v>
      </c>
      <c r="Z8" s="70"/>
      <c r="AA8" s="6"/>
      <c r="AB8" s="5"/>
      <c r="AC8" s="70"/>
      <c r="AD8" s="70"/>
      <c r="AE8" s="70"/>
      <c r="AF8" s="58"/>
      <c r="AG8" s="58"/>
    </row>
    <row r="9" spans="1:33" ht="14.25" customHeight="1">
      <c r="A9" s="244"/>
      <c r="B9" s="244"/>
      <c r="C9" s="244"/>
      <c r="D9" s="244"/>
      <c r="E9" s="56" t="s">
        <v>55</v>
      </c>
      <c r="F9" s="56" t="s">
        <v>489</v>
      </c>
      <c r="G9" s="56" t="s">
        <v>346</v>
      </c>
      <c r="H9" s="56" t="s">
        <v>243</v>
      </c>
      <c r="I9" s="56"/>
      <c r="J9" s="56">
        <v>7</v>
      </c>
      <c r="K9" s="56" t="s">
        <v>682</v>
      </c>
      <c r="L9" s="56" t="s">
        <v>1327</v>
      </c>
      <c r="M9" s="56" t="s">
        <v>490</v>
      </c>
      <c r="N9" s="56"/>
      <c r="O9" s="247" t="s">
        <v>1348</v>
      </c>
      <c r="P9" s="247" t="s">
        <v>1349</v>
      </c>
      <c r="Q9" s="247" t="s">
        <v>1350</v>
      </c>
      <c r="R9" s="588" t="s">
        <v>1346</v>
      </c>
      <c r="S9" s="589" t="s">
        <v>1351</v>
      </c>
      <c r="T9" s="247" t="s">
        <v>1352</v>
      </c>
      <c r="U9" s="247">
        <v>1</v>
      </c>
      <c r="V9" s="247" t="e">
        <f>VLOOKUP(F9,'[1]2. PROFITLOSSLITE'!$F$3:$W$167,17,FALSE)</f>
        <v>#N/A</v>
      </c>
      <c r="W9" s="247" t="e">
        <f>VLOOKUP(F9,'[1]2. PROFITLOSSLITE'!$F$3:$W$167,18,FALSE)</f>
        <v>#N/A</v>
      </c>
      <c r="X9" s="278">
        <v>98</v>
      </c>
      <c r="Y9" s="247"/>
      <c r="Z9" s="278" t="s">
        <v>1353</v>
      </c>
      <c r="AA9" s="279">
        <v>43551</v>
      </c>
      <c r="AB9" s="278" t="s">
        <v>1354</v>
      </c>
      <c r="AC9" s="244"/>
      <c r="AD9" s="244"/>
      <c r="AE9" s="244"/>
      <c r="AF9" s="244"/>
      <c r="AG9" s="244"/>
    </row>
    <row r="10" spans="1:33" ht="14.25" customHeight="1">
      <c r="A10" s="244"/>
      <c r="B10" s="244"/>
      <c r="C10" s="244"/>
      <c r="D10" s="244"/>
      <c r="E10" s="56" t="s">
        <v>55</v>
      </c>
      <c r="F10" s="56" t="s">
        <v>486</v>
      </c>
      <c r="G10" s="56" t="s">
        <v>346</v>
      </c>
      <c r="H10" s="56" t="s">
        <v>243</v>
      </c>
      <c r="I10" s="56"/>
      <c r="J10" s="56">
        <v>6</v>
      </c>
      <c r="K10" s="56" t="s">
        <v>682</v>
      </c>
      <c r="L10" s="56" t="s">
        <v>1327</v>
      </c>
      <c r="M10" s="56" t="s">
        <v>488</v>
      </c>
      <c r="N10" s="56"/>
      <c r="O10" s="247" t="s">
        <v>1355</v>
      </c>
      <c r="P10" s="247" t="s">
        <v>1356</v>
      </c>
      <c r="Q10" s="247" t="s">
        <v>1357</v>
      </c>
      <c r="R10" s="588" t="s">
        <v>1346</v>
      </c>
      <c r="S10" s="590" t="s">
        <v>1358</v>
      </c>
      <c r="T10" s="247" t="s">
        <v>1359</v>
      </c>
      <c r="U10" s="247"/>
      <c r="V10" s="247" t="e">
        <f>VLOOKUP(F10,'[1]2. PROFITLOSSLITE'!$F$3:$W$167,17,FALSE)</f>
        <v>#N/A</v>
      </c>
      <c r="W10" s="247" t="e">
        <f>VLOOKUP(F10,'[1]2. PROFITLOSSLITE'!$F$3:$W$167,18,FALSE)</f>
        <v>#N/A</v>
      </c>
      <c r="X10" s="247">
        <v>97</v>
      </c>
      <c r="Y10" s="247"/>
      <c r="Z10" s="278" t="s">
        <v>1353</v>
      </c>
      <c r="AA10" s="279">
        <v>43551</v>
      </c>
      <c r="AB10" s="278" t="s">
        <v>1360</v>
      </c>
      <c r="AC10" s="244"/>
      <c r="AD10" s="244"/>
      <c r="AE10" s="244"/>
      <c r="AF10" s="244"/>
      <c r="AG10" s="244"/>
    </row>
    <row r="11" spans="1:33" ht="14.25" customHeight="1">
      <c r="A11" s="262"/>
      <c r="B11" s="262"/>
      <c r="C11" s="262"/>
      <c r="D11" s="262"/>
      <c r="E11" s="56" t="s">
        <v>55</v>
      </c>
      <c r="F11" s="56" t="s">
        <v>1361</v>
      </c>
      <c r="G11" s="56"/>
      <c r="H11" s="56" t="s">
        <v>243</v>
      </c>
      <c r="I11" s="56"/>
      <c r="J11" s="56"/>
      <c r="K11" s="56" t="s">
        <v>682</v>
      </c>
      <c r="L11" s="56" t="s">
        <v>1327</v>
      </c>
      <c r="M11" s="56" t="s">
        <v>483</v>
      </c>
      <c r="N11" s="56" t="s">
        <v>1362</v>
      </c>
      <c r="O11" s="268" t="s">
        <v>1363</v>
      </c>
      <c r="P11" s="244" t="s">
        <v>1364</v>
      </c>
      <c r="Q11" s="244" t="s">
        <v>482</v>
      </c>
      <c r="R11" s="269"/>
      <c r="S11" s="268"/>
      <c r="T11" s="244"/>
      <c r="U11" s="244"/>
      <c r="V11" s="244"/>
      <c r="W11" s="244"/>
      <c r="X11" s="244">
        <v>95</v>
      </c>
      <c r="Y11" s="244"/>
      <c r="Z11" s="244" t="s">
        <v>1162</v>
      </c>
      <c r="AA11" s="270">
        <v>43641</v>
      </c>
      <c r="AB11" s="244" t="s">
        <v>1337</v>
      </c>
      <c r="AC11" s="268"/>
      <c r="AD11" s="268"/>
      <c r="AE11" s="268"/>
      <c r="AF11" s="263"/>
      <c r="AG11" s="263"/>
    </row>
    <row r="12" spans="1:33" ht="14.25" customHeight="1">
      <c r="A12" s="244"/>
      <c r="B12" s="244"/>
      <c r="C12" s="244"/>
      <c r="D12" s="244"/>
      <c r="E12" s="56" t="s">
        <v>55</v>
      </c>
      <c r="F12" s="56" t="s">
        <v>1365</v>
      </c>
      <c r="G12" s="56" t="s">
        <v>255</v>
      </c>
      <c r="H12" s="56" t="s">
        <v>243</v>
      </c>
      <c r="I12" s="56"/>
      <c r="J12" s="56"/>
      <c r="K12" s="56" t="s">
        <v>680</v>
      </c>
      <c r="L12" s="572"/>
      <c r="M12" s="572"/>
      <c r="N12" s="576" t="s">
        <v>1333</v>
      </c>
      <c r="O12" s="577" t="s">
        <v>1366</v>
      </c>
      <c r="P12" s="572" t="s">
        <v>1367</v>
      </c>
      <c r="Q12" s="572" t="s">
        <v>1336</v>
      </c>
      <c r="R12" s="54"/>
      <c r="S12" s="70"/>
      <c r="T12" s="56"/>
      <c r="U12" s="56"/>
      <c r="V12" s="244"/>
      <c r="W12" s="244"/>
      <c r="X12" s="56">
        <v>78</v>
      </c>
      <c r="Y12" s="56"/>
      <c r="Z12" s="56" t="s">
        <v>1162</v>
      </c>
      <c r="AA12" s="55">
        <v>43641</v>
      </c>
      <c r="AB12" s="56" t="s">
        <v>1337</v>
      </c>
      <c r="AC12" s="56"/>
      <c r="AD12" s="56"/>
      <c r="AE12" s="56"/>
      <c r="AF12" s="56"/>
      <c r="AG12" s="56"/>
    </row>
    <row r="13" spans="1:33" ht="14.25" customHeight="1">
      <c r="A13" s="244"/>
      <c r="B13" s="244"/>
      <c r="C13" s="244"/>
      <c r="D13" s="244"/>
      <c r="E13" s="56" t="s">
        <v>55</v>
      </c>
      <c r="F13" s="56" t="s">
        <v>1368</v>
      </c>
      <c r="G13" s="56" t="s">
        <v>255</v>
      </c>
      <c r="H13" s="56" t="s">
        <v>243</v>
      </c>
      <c r="I13" s="56"/>
      <c r="J13" s="56"/>
      <c r="K13" s="56" t="s">
        <v>680</v>
      </c>
      <c r="L13" s="572"/>
      <c r="M13" s="572"/>
      <c r="N13" s="576" t="s">
        <v>1333</v>
      </c>
      <c r="O13" s="577" t="s">
        <v>1369</v>
      </c>
      <c r="P13" s="572" t="s">
        <v>1367</v>
      </c>
      <c r="Q13" s="572" t="s">
        <v>1336</v>
      </c>
      <c r="R13" s="54"/>
      <c r="S13" s="70"/>
      <c r="T13" s="56"/>
      <c r="U13" s="56"/>
      <c r="V13" s="244"/>
      <c r="W13" s="244"/>
      <c r="X13" s="56">
        <v>76</v>
      </c>
      <c r="Y13" s="56"/>
      <c r="Z13" s="56" t="s">
        <v>1162</v>
      </c>
      <c r="AA13" s="55">
        <v>43641</v>
      </c>
      <c r="AB13" s="56" t="s">
        <v>1337</v>
      </c>
      <c r="AC13" s="56"/>
      <c r="AD13" s="56"/>
      <c r="AE13" s="56"/>
      <c r="AF13" s="56"/>
      <c r="AG13" s="56"/>
    </row>
    <row r="14" spans="1:33" ht="14.25" customHeight="1">
      <c r="A14" s="259"/>
      <c r="B14" s="259"/>
      <c r="C14" s="260"/>
      <c r="D14" s="260"/>
      <c r="E14" s="56" t="s">
        <v>59</v>
      </c>
      <c r="F14" s="56" t="s">
        <v>420</v>
      </c>
      <c r="G14" s="56" t="s">
        <v>329</v>
      </c>
      <c r="H14" s="56" t="s">
        <v>243</v>
      </c>
      <c r="I14" s="56"/>
      <c r="J14" s="56">
        <v>8</v>
      </c>
      <c r="K14" s="56" t="s">
        <v>682</v>
      </c>
      <c r="L14" s="56" t="s">
        <v>1327</v>
      </c>
      <c r="M14" s="56" t="s">
        <v>421</v>
      </c>
      <c r="N14" s="56" t="s">
        <v>1370</v>
      </c>
      <c r="O14" s="56" t="s">
        <v>1371</v>
      </c>
      <c r="P14" s="56" t="s">
        <v>1372</v>
      </c>
      <c r="Q14" s="56"/>
      <c r="R14" s="54"/>
      <c r="S14" s="25">
        <v>0</v>
      </c>
      <c r="T14" s="56" t="s">
        <v>1373</v>
      </c>
      <c r="U14" s="56"/>
      <c r="V14" s="244" t="e">
        <f>VLOOKUP(F14,'[1]2. PROFITLOSSLITE'!$F$3:$W$167,17,FALSE)</f>
        <v>#N/A</v>
      </c>
      <c r="W14" s="244" t="e">
        <f>VLOOKUP(F14,'[1]2. PROFITLOSSLITE'!$F$3:$W$167,18,FALSE)</f>
        <v>#N/A</v>
      </c>
      <c r="X14" s="70">
        <v>66</v>
      </c>
      <c r="Y14" s="56"/>
      <c r="Z14" s="56" t="s">
        <v>1331</v>
      </c>
      <c r="AA14" s="55">
        <v>43475</v>
      </c>
      <c r="AB14" s="56" t="s">
        <v>1057</v>
      </c>
      <c r="AC14" s="56"/>
      <c r="AD14" s="56"/>
      <c r="AE14" s="56"/>
      <c r="AF14" s="60"/>
      <c r="AG14" s="60"/>
    </row>
    <row r="15" spans="1:33" ht="14.25" customHeight="1">
      <c r="A15" s="259"/>
      <c r="B15" s="259"/>
      <c r="C15" s="260"/>
      <c r="D15" s="260"/>
      <c r="E15" s="56" t="s">
        <v>55</v>
      </c>
      <c r="F15" s="56" t="s">
        <v>357</v>
      </c>
      <c r="G15" s="56" t="s">
        <v>329</v>
      </c>
      <c r="H15" s="56" t="s">
        <v>243</v>
      </c>
      <c r="I15" s="56"/>
      <c r="J15" s="56"/>
      <c r="K15" s="56" t="s">
        <v>682</v>
      </c>
      <c r="L15" s="56" t="s">
        <v>1327</v>
      </c>
      <c r="M15" s="56" t="s">
        <v>358</v>
      </c>
      <c r="N15" s="56" t="s">
        <v>1374</v>
      </c>
      <c r="O15" s="56" t="s">
        <v>1375</v>
      </c>
      <c r="P15" s="56" t="s">
        <v>1376</v>
      </c>
      <c r="Q15" s="56"/>
      <c r="R15" s="54"/>
      <c r="S15" s="25"/>
      <c r="T15" s="21" t="s">
        <v>1377</v>
      </c>
      <c r="U15" s="56"/>
      <c r="V15" s="244" t="e">
        <f>VLOOKUP(F15,'[1]2. PROFITLOSSLITE'!$F$3:$W$167,17,FALSE)</f>
        <v>#N/A</v>
      </c>
      <c r="W15" s="244" t="e">
        <f>VLOOKUP(F15,'[1]2. PROFITLOSSLITE'!$F$3:$W$167,18,FALSE)</f>
        <v>#N/A</v>
      </c>
      <c r="X15" s="70">
        <v>35</v>
      </c>
      <c r="Y15" s="56"/>
      <c r="Z15" s="56" t="s">
        <v>1331</v>
      </c>
      <c r="AA15" s="55">
        <v>43475</v>
      </c>
      <c r="AB15" s="56" t="s">
        <v>1057</v>
      </c>
      <c r="AC15" s="70"/>
      <c r="AD15" s="70"/>
      <c r="AE15" s="70"/>
      <c r="AF15" s="70"/>
      <c r="AG15" s="70"/>
    </row>
    <row r="16" spans="1:33" ht="14.25" customHeight="1">
      <c r="A16" s="259"/>
      <c r="B16" s="259"/>
      <c r="C16" s="260"/>
      <c r="D16" s="260"/>
      <c r="E16" s="56" t="s">
        <v>61</v>
      </c>
      <c r="F16" s="56" t="s">
        <v>150</v>
      </c>
      <c r="G16" s="56" t="s">
        <v>247</v>
      </c>
      <c r="H16" s="56" t="s">
        <v>243</v>
      </c>
      <c r="I16" s="56"/>
      <c r="J16" s="56">
        <v>9</v>
      </c>
      <c r="K16" s="56" t="s">
        <v>682</v>
      </c>
      <c r="L16" s="56" t="s">
        <v>1327</v>
      </c>
      <c r="M16" s="56" t="s">
        <v>307</v>
      </c>
      <c r="N16" s="56" t="s">
        <v>1378</v>
      </c>
      <c r="O16" s="56" t="s">
        <v>1379</v>
      </c>
      <c r="P16" s="56" t="s">
        <v>1380</v>
      </c>
      <c r="Q16" s="56" t="s">
        <v>1381</v>
      </c>
      <c r="R16" s="249" t="s">
        <v>1346</v>
      </c>
      <c r="S16" s="25" t="s">
        <v>1382</v>
      </c>
      <c r="T16" s="56" t="s">
        <v>1383</v>
      </c>
      <c r="U16" s="56">
        <v>1</v>
      </c>
      <c r="V16" s="244" t="e">
        <f>VLOOKUP(F16,'[1]2. PROFITLOSSLITE'!$F$3:$W$167,17,FALSE)</f>
        <v>#N/A</v>
      </c>
      <c r="W16" s="244" t="e">
        <f>VLOOKUP(F16,'[1]2. PROFITLOSSLITE'!$F$3:$W$167,18,FALSE)</f>
        <v>#N/A</v>
      </c>
      <c r="X16" s="70">
        <v>9</v>
      </c>
      <c r="Y16" s="56"/>
      <c r="Z16" s="56" t="s">
        <v>1384</v>
      </c>
      <c r="AA16" s="55">
        <v>43497</v>
      </c>
      <c r="AB16" s="56" t="s">
        <v>1385</v>
      </c>
      <c r="AC16" s="70"/>
      <c r="AD16" s="70"/>
      <c r="AE16" s="70"/>
      <c r="AF16" s="70"/>
      <c r="AG16" s="70"/>
    </row>
    <row r="17" spans="1:33" ht="14.25" customHeight="1">
      <c r="A17" s="259"/>
      <c r="B17" s="259"/>
      <c r="C17" s="260"/>
      <c r="D17" s="260"/>
      <c r="E17" s="56" t="s">
        <v>59</v>
      </c>
      <c r="F17" s="56" t="s">
        <v>308</v>
      </c>
      <c r="G17" s="56" t="s">
        <v>247</v>
      </c>
      <c r="H17" s="56" t="s">
        <v>243</v>
      </c>
      <c r="I17" s="56"/>
      <c r="J17" s="56">
        <v>10</v>
      </c>
      <c r="K17" s="56" t="s">
        <v>682</v>
      </c>
      <c r="L17" s="56" t="s">
        <v>1327</v>
      </c>
      <c r="M17" s="56" t="s">
        <v>309</v>
      </c>
      <c r="N17" s="56" t="s">
        <v>1378</v>
      </c>
      <c r="O17" s="56" t="s">
        <v>1386</v>
      </c>
      <c r="P17" s="56" t="s">
        <v>1387</v>
      </c>
      <c r="Q17" s="56" t="s">
        <v>1381</v>
      </c>
      <c r="R17" s="249" t="s">
        <v>1346</v>
      </c>
      <c r="S17" s="25" t="s">
        <v>1388</v>
      </c>
      <c r="T17" s="56" t="s">
        <v>1389</v>
      </c>
      <c r="U17" s="56">
        <v>1</v>
      </c>
      <c r="V17" s="244" t="e">
        <f>VLOOKUP(F17,'[1]2. PROFITLOSSLITE'!$F$3:$W$167,17,FALSE)</f>
        <v>#N/A</v>
      </c>
      <c r="W17" s="244" t="e">
        <f>VLOOKUP(F17,'[1]2. PROFITLOSSLITE'!$F$3:$W$167,18,FALSE)</f>
        <v>#N/A</v>
      </c>
      <c r="X17" s="70">
        <v>10</v>
      </c>
      <c r="Y17" s="56"/>
      <c r="Z17" s="56" t="s">
        <v>1384</v>
      </c>
      <c r="AA17" s="55">
        <v>43497</v>
      </c>
      <c r="AB17" s="56" t="s">
        <v>1385</v>
      </c>
      <c r="AC17" s="56"/>
      <c r="AD17" s="56"/>
      <c r="AE17" s="56"/>
      <c r="AF17" s="56"/>
      <c r="AG17" s="56"/>
    </row>
    <row r="18" spans="1:33" ht="14.25" customHeight="1">
      <c r="A18" s="259"/>
      <c r="B18" s="259"/>
      <c r="C18" s="260"/>
      <c r="D18" s="260"/>
      <c r="E18" s="56" t="s">
        <v>55</v>
      </c>
      <c r="F18" s="56" t="s">
        <v>310</v>
      </c>
      <c r="G18" s="56" t="s">
        <v>247</v>
      </c>
      <c r="H18" s="56" t="s">
        <v>243</v>
      </c>
      <c r="I18" s="56"/>
      <c r="J18" s="56">
        <v>11</v>
      </c>
      <c r="K18" s="56" t="s">
        <v>682</v>
      </c>
      <c r="L18" s="56" t="s">
        <v>1327</v>
      </c>
      <c r="M18" s="56" t="s">
        <v>311</v>
      </c>
      <c r="N18" s="56" t="s">
        <v>1390</v>
      </c>
      <c r="O18" s="56" t="s">
        <v>1391</v>
      </c>
      <c r="P18" s="56" t="s">
        <v>1392</v>
      </c>
      <c r="Q18" s="56" t="s">
        <v>1381</v>
      </c>
      <c r="R18" s="249" t="s">
        <v>1346</v>
      </c>
      <c r="S18" s="25" t="s">
        <v>1393</v>
      </c>
      <c r="T18" s="56" t="s">
        <v>1394</v>
      </c>
      <c r="U18" s="56">
        <v>1</v>
      </c>
      <c r="V18" s="244" t="e">
        <f>VLOOKUP(F18,'[1]2. PROFITLOSSLITE'!$F$3:$W$167,17,FALSE)</f>
        <v>#N/A</v>
      </c>
      <c r="W18" s="244" t="e">
        <f>VLOOKUP(F18,'[1]2. PROFITLOSSLITE'!$F$3:$W$167,18,FALSE)</f>
        <v>#N/A</v>
      </c>
      <c r="X18" s="70">
        <v>11</v>
      </c>
      <c r="Y18" s="56"/>
      <c r="Z18" s="56" t="s">
        <v>1384</v>
      </c>
      <c r="AA18" s="55">
        <v>43497</v>
      </c>
      <c r="AB18" s="56" t="s">
        <v>1385</v>
      </c>
      <c r="AC18" s="56"/>
      <c r="AD18" s="56"/>
      <c r="AE18" s="56"/>
      <c r="AF18" s="56"/>
      <c r="AG18" s="56"/>
    </row>
    <row r="19" spans="1:33" ht="14.25" customHeight="1">
      <c r="A19" s="259"/>
      <c r="B19" s="259"/>
      <c r="C19" s="260"/>
      <c r="D19" s="260"/>
      <c r="E19" s="56" t="s">
        <v>59</v>
      </c>
      <c r="F19" s="56" t="s">
        <v>390</v>
      </c>
      <c r="G19" s="56" t="s">
        <v>329</v>
      </c>
      <c r="H19" s="56" t="s">
        <v>243</v>
      </c>
      <c r="I19" s="56"/>
      <c r="J19" s="56">
        <v>12</v>
      </c>
      <c r="K19" s="56" t="s">
        <v>682</v>
      </c>
      <c r="L19" s="56" t="s">
        <v>1327</v>
      </c>
      <c r="M19" s="56" t="s">
        <v>391</v>
      </c>
      <c r="N19" s="56" t="s">
        <v>1395</v>
      </c>
      <c r="O19" s="56" t="s">
        <v>1396</v>
      </c>
      <c r="P19" s="56" t="s">
        <v>1397</v>
      </c>
      <c r="Q19" s="56" t="s">
        <v>1398</v>
      </c>
      <c r="R19" s="54"/>
      <c r="S19" s="25">
        <v>-10.97</v>
      </c>
      <c r="T19" s="56" t="s">
        <v>1399</v>
      </c>
      <c r="U19" s="56"/>
      <c r="V19" s="244" t="e">
        <f>VLOOKUP(F19,'[1]2. PROFITLOSSLITE'!$F$3:$W$167,17,FALSE)</f>
        <v>#N/A</v>
      </c>
      <c r="W19" s="244" t="e">
        <f>VLOOKUP(F19,'[1]2. PROFITLOSSLITE'!$F$3:$W$167,18,FALSE)</f>
        <v>#N/A</v>
      </c>
      <c r="X19" s="70">
        <v>52</v>
      </c>
      <c r="Y19" s="56"/>
      <c r="Z19" s="56" t="s">
        <v>1331</v>
      </c>
      <c r="AA19" s="55">
        <v>43475</v>
      </c>
      <c r="AB19" s="56" t="s">
        <v>1057</v>
      </c>
      <c r="AC19" s="56"/>
      <c r="AD19" s="56"/>
      <c r="AE19" s="56"/>
      <c r="AF19" s="56"/>
      <c r="AG19" s="56"/>
    </row>
    <row r="20" spans="1:33" ht="14.25" customHeight="1">
      <c r="A20" s="259"/>
      <c r="B20" s="259"/>
      <c r="C20" s="260"/>
      <c r="D20" s="260"/>
      <c r="E20" s="56" t="s">
        <v>55</v>
      </c>
      <c r="F20" s="56" t="s">
        <v>388</v>
      </c>
      <c r="G20" s="56" t="s">
        <v>329</v>
      </c>
      <c r="H20" s="56" t="s">
        <v>243</v>
      </c>
      <c r="I20" s="56"/>
      <c r="J20" s="56">
        <v>13</v>
      </c>
      <c r="K20" s="56" t="s">
        <v>682</v>
      </c>
      <c r="L20" s="56" t="s">
        <v>1327</v>
      </c>
      <c r="M20" s="56" t="s">
        <v>389</v>
      </c>
      <c r="N20" s="56" t="s">
        <v>1395</v>
      </c>
      <c r="O20" s="56" t="s">
        <v>1400</v>
      </c>
      <c r="P20" s="56" t="s">
        <v>1401</v>
      </c>
      <c r="Q20" s="56" t="s">
        <v>1398</v>
      </c>
      <c r="R20" s="54"/>
      <c r="S20" s="25">
        <v>-10.97</v>
      </c>
      <c r="T20" s="56" t="s">
        <v>1402</v>
      </c>
      <c r="U20" s="56"/>
      <c r="V20" s="244" t="e">
        <f>VLOOKUP(F20,'[1]2. PROFITLOSSLITE'!$F$3:$W$167,17,FALSE)</f>
        <v>#N/A</v>
      </c>
      <c r="W20" s="244" t="e">
        <f>VLOOKUP(F20,'[1]2. PROFITLOSSLITE'!$F$3:$W$167,18,FALSE)</f>
        <v>#N/A</v>
      </c>
      <c r="X20" s="70">
        <v>51</v>
      </c>
      <c r="Y20" s="56"/>
      <c r="Z20" s="56" t="s">
        <v>1331</v>
      </c>
      <c r="AA20" s="55">
        <v>43475</v>
      </c>
      <c r="AB20" s="56" t="s">
        <v>1057</v>
      </c>
      <c r="AC20" s="70"/>
      <c r="AD20" s="70"/>
      <c r="AE20" s="70"/>
      <c r="AF20" s="70"/>
      <c r="AG20" s="70"/>
    </row>
    <row r="21" spans="1:33" ht="14.25" customHeight="1">
      <c r="A21" s="259"/>
      <c r="B21" s="259"/>
      <c r="C21" s="260"/>
      <c r="D21" s="260"/>
      <c r="E21" s="70" t="s">
        <v>55</v>
      </c>
      <c r="F21" s="56" t="s">
        <v>392</v>
      </c>
      <c r="G21" s="56" t="s">
        <v>329</v>
      </c>
      <c r="H21" s="70" t="s">
        <v>243</v>
      </c>
      <c r="I21" s="56"/>
      <c r="J21" s="70">
        <v>97</v>
      </c>
      <c r="K21" s="56" t="s">
        <v>682</v>
      </c>
      <c r="L21" s="56" t="s">
        <v>1327</v>
      </c>
      <c r="M21" s="34" t="s">
        <v>393</v>
      </c>
      <c r="N21" s="56" t="s">
        <v>1395</v>
      </c>
      <c r="O21" s="56" t="s">
        <v>1403</v>
      </c>
      <c r="P21" s="56" t="s">
        <v>1404</v>
      </c>
      <c r="Q21" s="56" t="s">
        <v>1398</v>
      </c>
      <c r="R21" s="54"/>
      <c r="S21" s="25">
        <v>-10.97</v>
      </c>
      <c r="T21" s="56" t="s">
        <v>1405</v>
      </c>
      <c r="U21" s="56"/>
      <c r="V21" s="244" t="e">
        <f>VLOOKUP(F21,'[1]2. PROFITLOSSLITE'!$F$3:$W$167,17,FALSE)</f>
        <v>#N/A</v>
      </c>
      <c r="W21" s="244" t="e">
        <f>VLOOKUP(F21,'[1]2. PROFITLOSSLITE'!$F$3:$W$167,18,FALSE)</f>
        <v>#N/A</v>
      </c>
      <c r="X21" s="70">
        <v>53</v>
      </c>
      <c r="Y21" s="56"/>
      <c r="Z21" s="56" t="s">
        <v>1331</v>
      </c>
      <c r="AA21" s="55">
        <v>43475</v>
      </c>
      <c r="AB21" s="56" t="s">
        <v>1057</v>
      </c>
      <c r="AC21" s="56"/>
      <c r="AD21" s="56"/>
      <c r="AE21" s="56"/>
      <c r="AF21" s="56"/>
      <c r="AG21" s="56"/>
    </row>
    <row r="22" spans="1:33" ht="14.25" customHeight="1">
      <c r="A22" s="259"/>
      <c r="B22" s="259"/>
      <c r="C22" s="260"/>
      <c r="D22" s="260"/>
      <c r="E22" s="56" t="s">
        <v>53</v>
      </c>
      <c r="F22" s="56" t="s">
        <v>1406</v>
      </c>
      <c r="G22" s="56" t="s">
        <v>535</v>
      </c>
      <c r="H22" s="56" t="s">
        <v>243</v>
      </c>
      <c r="I22" s="56"/>
      <c r="J22" s="56">
        <v>68</v>
      </c>
      <c r="K22" s="56" t="s">
        <v>680</v>
      </c>
      <c r="L22" s="56"/>
      <c r="M22" s="34"/>
      <c r="N22" s="56"/>
      <c r="O22" s="56"/>
      <c r="P22" s="56"/>
      <c r="Q22" s="56"/>
      <c r="R22" s="54"/>
      <c r="S22" s="25" t="e">
        <v>#N/A</v>
      </c>
      <c r="T22" s="56" t="s">
        <v>1190</v>
      </c>
      <c r="U22" s="56"/>
      <c r="V22" s="244" t="e">
        <f>VLOOKUP(F22,'[1]2. PROFITLOSSLITE'!$F$3:$W$167,17,FALSE)</f>
        <v>#N/A</v>
      </c>
      <c r="W22" s="244" t="e">
        <f>VLOOKUP(F22,'[1]2. PROFITLOSSLITE'!$F$3:$W$167,18,FALSE)</f>
        <v>#N/A</v>
      </c>
      <c r="X22" s="70"/>
      <c r="Y22" s="56" t="s">
        <v>1060</v>
      </c>
      <c r="Z22" s="56"/>
      <c r="AA22" s="55"/>
      <c r="AB22" s="56"/>
      <c r="AC22" s="70"/>
      <c r="AD22" s="70"/>
      <c r="AE22" s="70"/>
      <c r="AF22" s="70"/>
      <c r="AG22" s="70"/>
    </row>
    <row r="23" spans="1:33" ht="14.25" customHeight="1">
      <c r="A23" s="259"/>
      <c r="B23" s="259"/>
      <c r="C23" s="260"/>
      <c r="D23" s="260"/>
      <c r="E23" s="56" t="s">
        <v>53</v>
      </c>
      <c r="F23" s="56" t="s">
        <v>1189</v>
      </c>
      <c r="G23" s="56" t="s">
        <v>249</v>
      </c>
      <c r="H23" s="56" t="s">
        <v>243</v>
      </c>
      <c r="I23" s="56"/>
      <c r="J23" s="56">
        <v>14</v>
      </c>
      <c r="K23" s="56" t="s">
        <v>680</v>
      </c>
      <c r="L23" s="56"/>
      <c r="M23" s="34"/>
      <c r="N23" s="56"/>
      <c r="O23" s="56"/>
      <c r="P23" s="56"/>
      <c r="Q23" s="56"/>
      <c r="R23" s="54"/>
      <c r="S23" s="25" t="e">
        <v>#N/A</v>
      </c>
      <c r="T23" s="56" t="s">
        <v>1190</v>
      </c>
      <c r="U23" s="56"/>
      <c r="V23" s="244" t="e">
        <f>VLOOKUP(F23,'[1]2. PROFITLOSSLITE'!$F$3:$W$167,17,FALSE)</f>
        <v>#N/A</v>
      </c>
      <c r="W23" s="244" t="e">
        <f>VLOOKUP(F23,'[1]2. PROFITLOSSLITE'!$F$3:$W$167,18,FALSE)</f>
        <v>#N/A</v>
      </c>
      <c r="X23" s="70"/>
      <c r="Y23" s="56" t="s">
        <v>1060</v>
      </c>
      <c r="Z23" s="56"/>
      <c r="AA23" s="55"/>
      <c r="AB23" s="56"/>
      <c r="AC23" s="70"/>
      <c r="AD23" s="70"/>
      <c r="AE23" s="70"/>
      <c r="AF23" s="70"/>
      <c r="AG23" s="70"/>
    </row>
    <row r="24" spans="1:33" ht="14.25" customHeight="1">
      <c r="A24" s="259"/>
      <c r="B24" s="259"/>
      <c r="C24" s="260"/>
      <c r="D24" s="260"/>
      <c r="E24" s="56" t="s">
        <v>61</v>
      </c>
      <c r="F24" s="56" t="s">
        <v>125</v>
      </c>
      <c r="G24" s="56" t="s">
        <v>255</v>
      </c>
      <c r="H24" s="56" t="s">
        <v>243</v>
      </c>
      <c r="I24" s="56"/>
      <c r="J24" s="56">
        <v>15</v>
      </c>
      <c r="K24" s="56" t="s">
        <v>682</v>
      </c>
      <c r="L24" s="56" t="s">
        <v>1327</v>
      </c>
      <c r="M24" s="56" t="s">
        <v>294</v>
      </c>
      <c r="N24" s="56" t="s">
        <v>1333</v>
      </c>
      <c r="O24" s="56"/>
      <c r="P24" s="56" t="s">
        <v>1407</v>
      </c>
      <c r="Q24" s="56"/>
      <c r="R24" s="54"/>
      <c r="S24" s="25">
        <v>43535</v>
      </c>
      <c r="T24" s="56" t="s">
        <v>1408</v>
      </c>
      <c r="U24" s="56">
        <v>1</v>
      </c>
      <c r="V24" s="229" t="e">
        <f>VLOOKUP(F24,'[1]2. PROFITLOSSLITE'!$F$3:$W$167,17,FALSE)</f>
        <v>#N/A</v>
      </c>
      <c r="W24" s="229" t="e">
        <f>VLOOKUP(F24,'[1]2. PROFITLOSSLITE'!$F$3:$W$167,18,FALSE)</f>
        <v>#N/A</v>
      </c>
      <c r="X24" s="70">
        <v>1</v>
      </c>
      <c r="Y24" s="56"/>
      <c r="Z24" s="56" t="s">
        <v>1331</v>
      </c>
      <c r="AA24" s="55">
        <v>43475</v>
      </c>
      <c r="AB24" s="56" t="s">
        <v>1057</v>
      </c>
      <c r="AC24" s="56"/>
      <c r="AD24" s="56"/>
      <c r="AE24" s="56"/>
      <c r="AF24" s="56"/>
      <c r="AG24" s="56"/>
    </row>
    <row r="25" spans="1:33" ht="14.25" customHeight="1">
      <c r="A25" s="259"/>
      <c r="B25" s="259"/>
      <c r="C25" s="260"/>
      <c r="D25" s="260"/>
      <c r="E25" s="56" t="s">
        <v>53</v>
      </c>
      <c r="F25" s="56" t="s">
        <v>1191</v>
      </c>
      <c r="G25" s="56" t="s">
        <v>252</v>
      </c>
      <c r="H25" s="56" t="s">
        <v>243</v>
      </c>
      <c r="I25" s="56"/>
      <c r="J25" s="56">
        <v>16</v>
      </c>
      <c r="K25" s="56" t="s">
        <v>680</v>
      </c>
      <c r="L25" s="56"/>
      <c r="M25" s="34"/>
      <c r="N25" s="56"/>
      <c r="O25" s="56"/>
      <c r="P25" s="56"/>
      <c r="Q25" s="56"/>
      <c r="R25" s="54"/>
      <c r="S25" s="25" t="e">
        <v>#N/A</v>
      </c>
      <c r="T25" s="56" t="s">
        <v>1190</v>
      </c>
      <c r="U25" s="56"/>
      <c r="V25" s="229" t="e">
        <f>VLOOKUP(F25,'[1]2. PROFITLOSSLITE'!$F$3:$W$167,17,FALSE)</f>
        <v>#N/A</v>
      </c>
      <c r="W25" s="229" t="e">
        <f>VLOOKUP(F25,'[1]2. PROFITLOSSLITE'!$F$3:$W$167,18,FALSE)</f>
        <v>#N/A</v>
      </c>
      <c r="X25" s="70"/>
      <c r="Y25" s="56" t="s">
        <v>1060</v>
      </c>
      <c r="Z25" s="56"/>
      <c r="AA25" s="55"/>
      <c r="AB25" s="56"/>
      <c r="AC25" s="70"/>
      <c r="AD25" s="70"/>
      <c r="AE25" s="70"/>
      <c r="AF25" s="70"/>
      <c r="AG25" s="70"/>
    </row>
    <row r="26" spans="1:33" ht="14.25" customHeight="1">
      <c r="A26" s="259"/>
      <c r="B26" s="259"/>
      <c r="C26" s="260"/>
      <c r="D26" s="260"/>
      <c r="E26" s="56" t="s">
        <v>53</v>
      </c>
      <c r="F26" s="56" t="s">
        <v>1192</v>
      </c>
      <c r="G26" s="56" t="s">
        <v>242</v>
      </c>
      <c r="H26" s="56" t="s">
        <v>243</v>
      </c>
      <c r="I26" s="56"/>
      <c r="J26" s="56">
        <v>17</v>
      </c>
      <c r="K26" s="56" t="s">
        <v>680</v>
      </c>
      <c r="L26" s="56"/>
      <c r="M26" s="34"/>
      <c r="N26" s="56"/>
      <c r="O26" s="56"/>
      <c r="P26" s="56"/>
      <c r="Q26" s="56"/>
      <c r="R26" s="54"/>
      <c r="S26" s="25" t="e">
        <v>#N/A</v>
      </c>
      <c r="T26" s="56" t="s">
        <v>1190</v>
      </c>
      <c r="U26" s="56"/>
      <c r="V26" s="229" t="e">
        <f>VLOOKUP(F26,'[1]2. PROFITLOSSLITE'!$F$3:$W$167,17,FALSE)</f>
        <v>#N/A</v>
      </c>
      <c r="W26" s="229" t="e">
        <f>VLOOKUP(F26,'[1]2. PROFITLOSSLITE'!$F$3:$W$167,18,FALSE)</f>
        <v>#N/A</v>
      </c>
      <c r="X26" s="70"/>
      <c r="Y26" s="56" t="s">
        <v>1060</v>
      </c>
      <c r="Z26" s="56"/>
      <c r="AA26" s="55"/>
      <c r="AB26" s="56"/>
      <c r="AC26" s="70"/>
      <c r="AD26" s="70"/>
      <c r="AE26" s="70"/>
      <c r="AF26" s="70"/>
      <c r="AG26" s="70"/>
    </row>
    <row r="27" spans="1:33" ht="14.25" customHeight="1">
      <c r="A27" s="259"/>
      <c r="B27" s="259"/>
      <c r="C27" s="260"/>
      <c r="D27" s="260"/>
      <c r="E27" s="56" t="s">
        <v>53</v>
      </c>
      <c r="F27" s="56" t="s">
        <v>1409</v>
      </c>
      <c r="G27" s="56" t="s">
        <v>535</v>
      </c>
      <c r="H27" s="56" t="s">
        <v>243</v>
      </c>
      <c r="I27" s="56"/>
      <c r="J27" s="56">
        <v>69</v>
      </c>
      <c r="K27" s="56" t="s">
        <v>680</v>
      </c>
      <c r="L27" s="56"/>
      <c r="M27" s="34"/>
      <c r="N27" s="56"/>
      <c r="O27" s="56"/>
      <c r="P27" s="56"/>
      <c r="Q27" s="56"/>
      <c r="R27" s="54"/>
      <c r="S27" s="25" t="e">
        <v>#N/A</v>
      </c>
      <c r="T27" s="56" t="s">
        <v>1190</v>
      </c>
      <c r="U27" s="56"/>
      <c r="V27" s="229" t="e">
        <f>VLOOKUP(F27,'[1]2. PROFITLOSSLITE'!$F$3:$W$167,17,FALSE)</f>
        <v>#N/A</v>
      </c>
      <c r="W27" s="229" t="e">
        <f>VLOOKUP(F27,'[1]2. PROFITLOSSLITE'!$F$3:$W$167,18,FALSE)</f>
        <v>#N/A</v>
      </c>
      <c r="X27" s="70"/>
      <c r="Y27" s="56" t="s">
        <v>1060</v>
      </c>
      <c r="Z27" s="56"/>
      <c r="AA27" s="55"/>
      <c r="AB27" s="56"/>
      <c r="AC27" s="70"/>
      <c r="AD27" s="70"/>
      <c r="AE27" s="70"/>
      <c r="AF27" s="70"/>
      <c r="AG27" s="70"/>
    </row>
    <row r="28" spans="1:33" ht="14.25" customHeight="1">
      <c r="A28" s="259"/>
      <c r="B28" s="259"/>
      <c r="C28" s="260"/>
      <c r="D28" s="260"/>
      <c r="E28" s="56" t="s">
        <v>53</v>
      </c>
      <c r="F28" s="56" t="s">
        <v>1193</v>
      </c>
      <c r="G28" s="56" t="s">
        <v>247</v>
      </c>
      <c r="H28" s="56" t="s">
        <v>243</v>
      </c>
      <c r="I28" s="56"/>
      <c r="J28" s="56">
        <v>18</v>
      </c>
      <c r="K28" s="56" t="s">
        <v>680</v>
      </c>
      <c r="L28" s="56"/>
      <c r="M28" s="34"/>
      <c r="N28" s="56"/>
      <c r="O28" s="56"/>
      <c r="P28" s="56"/>
      <c r="Q28" s="56"/>
      <c r="R28" s="54"/>
      <c r="S28" s="25" t="e">
        <v>#N/A</v>
      </c>
      <c r="T28" s="56" t="s">
        <v>1190</v>
      </c>
      <c r="U28" s="56"/>
      <c r="V28" s="229" t="e">
        <f>VLOOKUP(F28,'[1]2. PROFITLOSSLITE'!$F$3:$W$167,17,FALSE)</f>
        <v>#N/A</v>
      </c>
      <c r="W28" s="229" t="e">
        <f>VLOOKUP(F28,'[1]2. PROFITLOSSLITE'!$F$3:$W$167,18,FALSE)</f>
        <v>#N/A</v>
      </c>
      <c r="X28" s="70"/>
      <c r="Y28" s="56" t="s">
        <v>1060</v>
      </c>
      <c r="Z28" s="56"/>
      <c r="AA28" s="55"/>
      <c r="AB28" s="56"/>
      <c r="AC28" s="70"/>
      <c r="AD28" s="70"/>
      <c r="AE28" s="70"/>
      <c r="AF28" s="70"/>
      <c r="AG28" s="70"/>
    </row>
    <row r="29" spans="1:33" ht="14.25" customHeight="1">
      <c r="A29" s="259"/>
      <c r="B29" s="259"/>
      <c r="C29" s="260"/>
      <c r="D29" s="260"/>
      <c r="E29" s="56" t="s">
        <v>53</v>
      </c>
      <c r="F29" s="56" t="s">
        <v>1194</v>
      </c>
      <c r="G29" s="56" t="s">
        <v>252</v>
      </c>
      <c r="H29" s="56" t="s">
        <v>243</v>
      </c>
      <c r="I29" s="56"/>
      <c r="J29" s="56">
        <v>19</v>
      </c>
      <c r="K29" s="56" t="s">
        <v>680</v>
      </c>
      <c r="L29" s="56"/>
      <c r="M29" s="34"/>
      <c r="N29" s="56"/>
      <c r="O29" s="56"/>
      <c r="P29" s="56"/>
      <c r="Q29" s="56"/>
      <c r="R29" s="54"/>
      <c r="S29" s="25" t="e">
        <v>#N/A</v>
      </c>
      <c r="T29" s="56" t="s">
        <v>1190</v>
      </c>
      <c r="U29" s="56"/>
      <c r="V29" s="229" t="e">
        <f>VLOOKUP(F29,'[1]2. PROFITLOSSLITE'!$F$3:$W$167,17,FALSE)</f>
        <v>#N/A</v>
      </c>
      <c r="W29" s="229" t="e">
        <f>VLOOKUP(F29,'[1]2. PROFITLOSSLITE'!$F$3:$W$167,18,FALSE)</f>
        <v>#N/A</v>
      </c>
      <c r="X29" s="70"/>
      <c r="Y29" s="56" t="s">
        <v>1060</v>
      </c>
      <c r="Z29" s="56"/>
      <c r="AA29" s="55"/>
      <c r="AB29" s="56"/>
      <c r="AC29" s="70"/>
      <c r="AD29" s="70"/>
      <c r="AE29" s="70"/>
      <c r="AF29" s="70"/>
      <c r="AG29" s="70"/>
    </row>
    <row r="30" spans="1:33" ht="14.25" customHeight="1">
      <c r="A30" s="259"/>
      <c r="B30" s="259"/>
      <c r="C30" s="260"/>
      <c r="D30" s="260"/>
      <c r="E30" s="56" t="s">
        <v>53</v>
      </c>
      <c r="F30" s="56" t="s">
        <v>1195</v>
      </c>
      <c r="G30" s="56" t="s">
        <v>247</v>
      </c>
      <c r="H30" s="56" t="s">
        <v>243</v>
      </c>
      <c r="I30" s="56"/>
      <c r="J30" s="56">
        <v>20</v>
      </c>
      <c r="K30" s="56" t="s">
        <v>680</v>
      </c>
      <c r="L30" s="56"/>
      <c r="M30" s="34"/>
      <c r="N30" s="56"/>
      <c r="O30" s="56"/>
      <c r="P30" s="56"/>
      <c r="Q30" s="56"/>
      <c r="R30" s="54"/>
      <c r="S30" s="25" t="e">
        <v>#N/A</v>
      </c>
      <c r="T30" s="56" t="s">
        <v>1190</v>
      </c>
      <c r="U30" s="56"/>
      <c r="V30" s="229" t="e">
        <f>VLOOKUP(F30,'[1]2. PROFITLOSSLITE'!$F$3:$W$167,17,FALSE)</f>
        <v>#N/A</v>
      </c>
      <c r="W30" s="229" t="e">
        <f>VLOOKUP(F30,'[1]2. PROFITLOSSLITE'!$F$3:$W$167,18,FALSE)</f>
        <v>#N/A</v>
      </c>
      <c r="X30" s="70"/>
      <c r="Y30" s="56" t="s">
        <v>1060</v>
      </c>
      <c r="Z30" s="56"/>
      <c r="AA30" s="55"/>
      <c r="AB30" s="56"/>
      <c r="AC30" s="70"/>
      <c r="AD30" s="70"/>
      <c r="AE30" s="70"/>
      <c r="AF30" s="70"/>
      <c r="AG30" s="70"/>
    </row>
    <row r="31" spans="1:33" ht="14.25" customHeight="1">
      <c r="A31" s="259"/>
      <c r="B31" s="259"/>
      <c r="C31" s="260"/>
      <c r="D31" s="260"/>
      <c r="E31" s="56" t="s">
        <v>53</v>
      </c>
      <c r="F31" s="56" t="s">
        <v>1196</v>
      </c>
      <c r="G31" s="56" t="s">
        <v>535</v>
      </c>
      <c r="H31" s="56" t="s">
        <v>243</v>
      </c>
      <c r="I31" s="56"/>
      <c r="J31" s="56">
        <v>21</v>
      </c>
      <c r="K31" s="56" t="s">
        <v>680</v>
      </c>
      <c r="L31" s="56"/>
      <c r="M31" s="34"/>
      <c r="N31" s="56"/>
      <c r="O31" s="56"/>
      <c r="P31" s="56"/>
      <c r="Q31" s="56"/>
      <c r="R31" s="54"/>
      <c r="S31" s="25" t="e">
        <v>#N/A</v>
      </c>
      <c r="T31" s="56" t="s">
        <v>1190</v>
      </c>
      <c r="U31" s="56"/>
      <c r="V31" s="229" t="e">
        <f>VLOOKUP(F31,'[1]2. PROFITLOSSLITE'!$F$3:$W$167,17,FALSE)</f>
        <v>#N/A</v>
      </c>
      <c r="W31" s="229" t="e">
        <f>VLOOKUP(F31,'[1]2. PROFITLOSSLITE'!$F$3:$W$167,18,FALSE)</f>
        <v>#N/A</v>
      </c>
      <c r="X31" s="70"/>
      <c r="Y31" s="56" t="s">
        <v>1060</v>
      </c>
      <c r="Z31" s="56"/>
      <c r="AA31" s="55"/>
      <c r="AB31" s="56"/>
      <c r="AC31" s="70"/>
      <c r="AD31" s="70"/>
      <c r="AE31" s="70"/>
      <c r="AF31" s="70"/>
      <c r="AG31" s="70"/>
    </row>
    <row r="32" spans="1:33" ht="14.25" customHeight="1">
      <c r="A32" s="259"/>
      <c r="B32" s="259"/>
      <c r="C32" s="260"/>
      <c r="D32" s="260"/>
      <c r="E32" s="56" t="s">
        <v>55</v>
      </c>
      <c r="F32" s="56" t="s">
        <v>376</v>
      </c>
      <c r="G32" s="56" t="s">
        <v>247</v>
      </c>
      <c r="H32" s="56" t="s">
        <v>243</v>
      </c>
      <c r="I32" s="56"/>
      <c r="J32" s="56">
        <v>22</v>
      </c>
      <c r="K32" s="56" t="s">
        <v>682</v>
      </c>
      <c r="L32" s="56" t="s">
        <v>1327</v>
      </c>
      <c r="M32" s="56" t="s">
        <v>377</v>
      </c>
      <c r="N32" s="56" t="s">
        <v>1390</v>
      </c>
      <c r="O32" s="56" t="s">
        <v>1410</v>
      </c>
      <c r="P32" s="56" t="s">
        <v>1411</v>
      </c>
      <c r="Q32" s="56"/>
      <c r="R32" s="54"/>
      <c r="S32" s="25"/>
      <c r="T32" s="56" t="s">
        <v>1412</v>
      </c>
      <c r="U32" s="56">
        <v>1</v>
      </c>
      <c r="V32" s="229" t="e">
        <f>VLOOKUP(F32,'[1]2. PROFITLOSSLITE'!$F$3:$W$167,17,FALSE)</f>
        <v>#N/A</v>
      </c>
      <c r="W32" s="229" t="e">
        <f>VLOOKUP(F32,'[1]2. PROFITLOSSLITE'!$F$3:$W$167,18,FALSE)</f>
        <v>#N/A</v>
      </c>
      <c r="X32" s="70">
        <v>44</v>
      </c>
      <c r="Y32" s="56"/>
      <c r="Z32" s="56" t="s">
        <v>1331</v>
      </c>
      <c r="AA32" s="55">
        <v>43475</v>
      </c>
      <c r="AB32" s="56" t="s">
        <v>1057</v>
      </c>
      <c r="AC32" s="56"/>
      <c r="AD32" s="56"/>
      <c r="AE32" s="56"/>
      <c r="AF32" s="56"/>
      <c r="AG32" s="56"/>
    </row>
    <row r="33" spans="1:33" ht="14.25" customHeight="1">
      <c r="A33" s="259"/>
      <c r="B33" s="259"/>
      <c r="C33" s="260"/>
      <c r="D33" s="260"/>
      <c r="E33" s="56" t="s">
        <v>59</v>
      </c>
      <c r="F33" s="56" t="s">
        <v>413</v>
      </c>
      <c r="G33" s="56" t="s">
        <v>329</v>
      </c>
      <c r="H33" s="56" t="s">
        <v>243</v>
      </c>
      <c r="I33" s="56"/>
      <c r="J33" s="56">
        <v>23</v>
      </c>
      <c r="K33" s="56" t="s">
        <v>682</v>
      </c>
      <c r="L33" s="56" t="s">
        <v>1327</v>
      </c>
      <c r="M33" s="56" t="s">
        <v>414</v>
      </c>
      <c r="N33" s="56" t="s">
        <v>1370</v>
      </c>
      <c r="O33" s="56" t="s">
        <v>1413</v>
      </c>
      <c r="P33" s="56" t="s">
        <v>1414</v>
      </c>
      <c r="Q33" s="56"/>
      <c r="R33" s="54"/>
      <c r="S33" s="25">
        <v>0</v>
      </c>
      <c r="T33" s="56" t="s">
        <v>1415</v>
      </c>
      <c r="U33" s="56"/>
      <c r="V33" s="229" t="e">
        <f>VLOOKUP(F33,'[1]2. PROFITLOSSLITE'!$F$3:$W$167,17,FALSE)</f>
        <v>#N/A</v>
      </c>
      <c r="W33" s="229" t="e">
        <f>VLOOKUP(F33,'[1]2. PROFITLOSSLITE'!$F$3:$W$167,18,FALSE)</f>
        <v>#N/A</v>
      </c>
      <c r="X33" s="70">
        <v>63</v>
      </c>
      <c r="Y33" s="56"/>
      <c r="Z33" s="56" t="s">
        <v>1331</v>
      </c>
      <c r="AA33" s="55">
        <v>43475</v>
      </c>
      <c r="AB33" s="56" t="s">
        <v>1057</v>
      </c>
      <c r="AC33" s="56"/>
      <c r="AD33" s="56"/>
      <c r="AE33" s="56"/>
      <c r="AF33" s="56"/>
      <c r="AG33" s="56"/>
    </row>
    <row r="34" spans="1:33" ht="14.25" customHeight="1">
      <c r="A34" s="259"/>
      <c r="B34" s="259"/>
      <c r="C34" s="260"/>
      <c r="D34" s="260"/>
      <c r="E34" s="56" t="s">
        <v>55</v>
      </c>
      <c r="F34" s="56" t="s">
        <v>1416</v>
      </c>
      <c r="G34" s="56" t="s">
        <v>329</v>
      </c>
      <c r="H34" s="56" t="s">
        <v>243</v>
      </c>
      <c r="I34" s="56"/>
      <c r="J34" s="56"/>
      <c r="K34" s="56" t="s">
        <v>680</v>
      </c>
      <c r="L34" s="56"/>
      <c r="M34" s="34"/>
      <c r="N34" s="56"/>
      <c r="O34" s="56"/>
      <c r="P34" s="56"/>
      <c r="Q34" s="56"/>
      <c r="R34" s="54"/>
      <c r="S34" s="25" t="e">
        <v>#N/A</v>
      </c>
      <c r="T34" s="56" t="s">
        <v>1417</v>
      </c>
      <c r="U34" s="56"/>
      <c r="V34" s="229" t="e">
        <f>VLOOKUP(F34,'[1]2. PROFITLOSSLITE'!$F$3:$W$167,17,FALSE)</f>
        <v>#N/A</v>
      </c>
      <c r="W34" s="229" t="e">
        <f>VLOOKUP(F34,'[1]2. PROFITLOSSLITE'!$F$3:$W$167,18,FALSE)</f>
        <v>#N/A</v>
      </c>
      <c r="X34" s="70"/>
      <c r="Y34" s="56" t="s">
        <v>1060</v>
      </c>
      <c r="Z34" s="56"/>
      <c r="AA34" s="55"/>
      <c r="AB34" s="56"/>
      <c r="AC34" s="56"/>
      <c r="AD34" s="56"/>
      <c r="AE34" s="56"/>
      <c r="AF34" s="56"/>
      <c r="AG34" s="56"/>
    </row>
    <row r="35" spans="1:33" ht="14.25" customHeight="1">
      <c r="A35" s="244"/>
      <c r="B35" s="244"/>
      <c r="C35" s="244"/>
      <c r="D35" s="244"/>
      <c r="E35" s="56" t="s">
        <v>55</v>
      </c>
      <c r="F35" s="56" t="s">
        <v>1418</v>
      </c>
      <c r="G35" s="56" t="s">
        <v>329</v>
      </c>
      <c r="H35" s="56" t="s">
        <v>243</v>
      </c>
      <c r="I35" s="56"/>
      <c r="J35" s="56"/>
      <c r="K35" s="56" t="s">
        <v>682</v>
      </c>
      <c r="L35" s="56" t="s">
        <v>1327</v>
      </c>
      <c r="M35" s="56" t="s">
        <v>459</v>
      </c>
      <c r="N35" s="266" t="s">
        <v>1395</v>
      </c>
      <c r="O35" s="267" t="s">
        <v>1419</v>
      </c>
      <c r="P35" s="268" t="s">
        <v>1420</v>
      </c>
      <c r="Q35" s="244" t="s">
        <v>1336</v>
      </c>
      <c r="R35" s="269"/>
      <c r="S35" s="268"/>
      <c r="T35" s="244"/>
      <c r="U35" s="244"/>
      <c r="V35" s="244" t="e">
        <f>VLOOKUP(F35,'[1]2. PROFITLOSSLITE'!$F$3:$W$167,17,FALSE)</f>
        <v>#N/A</v>
      </c>
      <c r="W35" s="244" t="e">
        <f>VLOOKUP(F35,'[1]2. PROFITLOSSLITE'!$F$3:$W$167,18,FALSE)</f>
        <v>#N/A</v>
      </c>
      <c r="X35" s="244">
        <v>83</v>
      </c>
      <c r="Y35" s="244"/>
      <c r="Z35" s="244" t="s">
        <v>1162</v>
      </c>
      <c r="AA35" s="270">
        <v>43641</v>
      </c>
      <c r="AB35" s="244" t="s">
        <v>1337</v>
      </c>
      <c r="AC35" s="244"/>
      <c r="AD35" s="244"/>
      <c r="AE35" s="244"/>
      <c r="AF35" s="244"/>
      <c r="AG35" s="244"/>
    </row>
    <row r="36" spans="1:33" ht="14.25" customHeight="1">
      <c r="A36" s="244"/>
      <c r="B36" s="244"/>
      <c r="C36" s="244"/>
      <c r="D36" s="244"/>
      <c r="E36" s="56" t="s">
        <v>55</v>
      </c>
      <c r="F36" s="56" t="s">
        <v>1421</v>
      </c>
      <c r="G36" s="56" t="s">
        <v>329</v>
      </c>
      <c r="H36" s="56" t="s">
        <v>243</v>
      </c>
      <c r="I36" s="56"/>
      <c r="J36" s="56"/>
      <c r="K36" s="56" t="s">
        <v>682</v>
      </c>
      <c r="L36" s="56" t="s">
        <v>1327</v>
      </c>
      <c r="M36" s="56" t="s">
        <v>451</v>
      </c>
      <c r="N36" s="61" t="s">
        <v>1395</v>
      </c>
      <c r="O36" s="21" t="s">
        <v>1422</v>
      </c>
      <c r="P36" s="70" t="s">
        <v>1423</v>
      </c>
      <c r="Q36" s="244" t="s">
        <v>1336</v>
      </c>
      <c r="R36" s="269"/>
      <c r="S36" s="268"/>
      <c r="T36" s="244"/>
      <c r="U36" s="244"/>
      <c r="V36" s="244" t="e">
        <f>VLOOKUP(F36,'[1]2. PROFITLOSSLITE'!$F$3:$W$167,17,FALSE)</f>
        <v>#N/A</v>
      </c>
      <c r="W36" s="244" t="e">
        <f>VLOOKUP(F36,'[1]2. PROFITLOSSLITE'!$F$3:$W$167,18,FALSE)</f>
        <v>#N/A</v>
      </c>
      <c r="X36" s="244">
        <v>79</v>
      </c>
      <c r="Y36" s="244"/>
      <c r="Z36" s="244" t="s">
        <v>1162</v>
      </c>
      <c r="AA36" s="270">
        <v>43641</v>
      </c>
      <c r="AB36" s="244" t="s">
        <v>1337</v>
      </c>
      <c r="AC36" s="244"/>
      <c r="AD36" s="244"/>
      <c r="AE36" s="244"/>
      <c r="AF36" s="244"/>
      <c r="AG36" s="244"/>
    </row>
    <row r="37" spans="1:33" ht="14.25" customHeight="1">
      <c r="A37" s="244"/>
      <c r="B37" s="244"/>
      <c r="C37" s="244"/>
      <c r="D37" s="244"/>
      <c r="E37" s="56" t="s">
        <v>55</v>
      </c>
      <c r="F37" s="56" t="s">
        <v>1424</v>
      </c>
      <c r="G37" s="56" t="s">
        <v>329</v>
      </c>
      <c r="H37" s="56" t="s">
        <v>243</v>
      </c>
      <c r="I37" s="56"/>
      <c r="J37" s="56"/>
      <c r="K37" s="56" t="s">
        <v>682</v>
      </c>
      <c r="L37" s="56" t="s">
        <v>1327</v>
      </c>
      <c r="M37" s="56" t="s">
        <v>461</v>
      </c>
      <c r="N37" s="61" t="s">
        <v>1395</v>
      </c>
      <c r="O37" s="21" t="s">
        <v>1425</v>
      </c>
      <c r="P37" s="70" t="s">
        <v>1426</v>
      </c>
      <c r="Q37" s="56" t="s">
        <v>1336</v>
      </c>
      <c r="R37" s="54"/>
      <c r="S37" s="70"/>
      <c r="T37" s="56"/>
      <c r="U37" s="56"/>
      <c r="V37" s="244" t="e">
        <f>VLOOKUP(F37,'[1]2. PROFITLOSSLITE'!$F$3:$W$167,17,FALSE)</f>
        <v>#N/A</v>
      </c>
      <c r="W37" s="244" t="e">
        <f>VLOOKUP(F37,'[1]2. PROFITLOSSLITE'!$F$3:$W$167,18,FALSE)</f>
        <v>#N/A</v>
      </c>
      <c r="X37" s="56">
        <v>84</v>
      </c>
      <c r="Y37" s="56"/>
      <c r="Z37" s="56" t="s">
        <v>1162</v>
      </c>
      <c r="AA37" s="55">
        <v>43641</v>
      </c>
      <c r="AB37" s="56" t="s">
        <v>1337</v>
      </c>
      <c r="AC37" s="70"/>
      <c r="AD37" s="70"/>
      <c r="AE37" s="70"/>
      <c r="AF37" s="70"/>
      <c r="AG37" s="70"/>
    </row>
    <row r="38" spans="1:33" ht="14.25" customHeight="1">
      <c r="A38" s="244"/>
      <c r="B38" s="244"/>
      <c r="C38" s="244"/>
      <c r="D38" s="244"/>
      <c r="E38" s="56" t="s">
        <v>55</v>
      </c>
      <c r="F38" s="56" t="s">
        <v>1427</v>
      </c>
      <c r="G38" s="56" t="s">
        <v>329</v>
      </c>
      <c r="H38" s="56" t="s">
        <v>243</v>
      </c>
      <c r="I38" s="56"/>
      <c r="J38" s="56"/>
      <c r="K38" s="56" t="s">
        <v>682</v>
      </c>
      <c r="L38" s="56" t="s">
        <v>1327</v>
      </c>
      <c r="M38" s="56" t="s">
        <v>453</v>
      </c>
      <c r="N38" s="266" t="s">
        <v>1395</v>
      </c>
      <c r="O38" s="267" t="s">
        <v>1428</v>
      </c>
      <c r="P38" s="268" t="s">
        <v>1429</v>
      </c>
      <c r="Q38" s="244" t="s">
        <v>1336</v>
      </c>
      <c r="R38" s="269"/>
      <c r="S38" s="268"/>
      <c r="T38" s="244"/>
      <c r="U38" s="244"/>
      <c r="V38" s="244" t="e">
        <f>VLOOKUP(F38,'[1]2. PROFITLOSSLITE'!$F$3:$W$167,17,FALSE)</f>
        <v>#N/A</v>
      </c>
      <c r="W38" s="244" t="e">
        <f>VLOOKUP(F38,'[1]2. PROFITLOSSLITE'!$F$3:$W$167,18,FALSE)</f>
        <v>#N/A</v>
      </c>
      <c r="X38" s="244">
        <v>80</v>
      </c>
      <c r="Y38" s="244"/>
      <c r="Z38" s="244" t="s">
        <v>1162</v>
      </c>
      <c r="AA38" s="270">
        <v>43641</v>
      </c>
      <c r="AB38" s="244" t="s">
        <v>1337</v>
      </c>
      <c r="AC38" s="244"/>
      <c r="AD38" s="244"/>
      <c r="AE38" s="244"/>
      <c r="AF38" s="244"/>
      <c r="AG38" s="244"/>
    </row>
    <row r="39" spans="1:33" ht="14.25" customHeight="1">
      <c r="A39" s="244"/>
      <c r="B39" s="244"/>
      <c r="C39" s="244"/>
      <c r="D39" s="244"/>
      <c r="E39" s="56" t="s">
        <v>55</v>
      </c>
      <c r="F39" s="56" t="s">
        <v>1430</v>
      </c>
      <c r="G39" s="56" t="s">
        <v>255</v>
      </c>
      <c r="H39" s="56" t="s">
        <v>243</v>
      </c>
      <c r="I39" s="56"/>
      <c r="J39" s="56"/>
      <c r="K39" s="56" t="s">
        <v>682</v>
      </c>
      <c r="L39" s="56" t="s">
        <v>1327</v>
      </c>
      <c r="M39" s="56" t="s">
        <v>457</v>
      </c>
      <c r="N39" s="61" t="s">
        <v>1333</v>
      </c>
      <c r="O39" s="21" t="s">
        <v>1334</v>
      </c>
      <c r="P39" s="70" t="s">
        <v>1335</v>
      </c>
      <c r="Q39" s="244"/>
      <c r="R39" s="269"/>
      <c r="S39" s="268"/>
      <c r="T39" s="244"/>
      <c r="U39" s="244"/>
      <c r="V39" s="244"/>
      <c r="W39" s="244"/>
      <c r="X39" s="244"/>
      <c r="Y39" s="244"/>
      <c r="Z39" s="244"/>
      <c r="AA39" s="270"/>
      <c r="AB39" s="244"/>
      <c r="AC39" s="244"/>
      <c r="AD39" s="244"/>
      <c r="AE39" s="244"/>
      <c r="AF39" s="244"/>
      <c r="AG39" s="244"/>
    </row>
    <row r="40" spans="1:33" ht="14.25" customHeight="1">
      <c r="A40" s="244"/>
      <c r="B40" s="244"/>
      <c r="C40" s="244"/>
      <c r="D40" s="244"/>
      <c r="E40" s="56" t="s">
        <v>55</v>
      </c>
      <c r="F40" s="56" t="s">
        <v>1431</v>
      </c>
      <c r="G40" s="56" t="s">
        <v>329</v>
      </c>
      <c r="H40" s="56" t="s">
        <v>243</v>
      </c>
      <c r="I40" s="56"/>
      <c r="J40" s="56"/>
      <c r="K40" s="56" t="s">
        <v>682</v>
      </c>
      <c r="L40" s="56" t="s">
        <v>1327</v>
      </c>
      <c r="M40" s="56" t="s">
        <v>455</v>
      </c>
      <c r="N40" s="61" t="s">
        <v>1395</v>
      </c>
      <c r="O40" s="21" t="s">
        <v>1432</v>
      </c>
      <c r="P40" s="70" t="s">
        <v>1433</v>
      </c>
      <c r="Q40" s="56" t="s">
        <v>1336</v>
      </c>
      <c r="R40" s="54"/>
      <c r="S40" s="70"/>
      <c r="T40" s="56"/>
      <c r="U40" s="56"/>
      <c r="V40" s="244" t="e">
        <f>VLOOKUP(F40,'[1]2. PROFITLOSSLITE'!$F$3:$W$167,17,FALSE)</f>
        <v>#N/A</v>
      </c>
      <c r="W40" s="244" t="e">
        <f>VLOOKUP(F40,'[1]2. PROFITLOSSLITE'!$F$3:$W$167,18,FALSE)</f>
        <v>#N/A</v>
      </c>
      <c r="X40" s="56">
        <v>81</v>
      </c>
      <c r="Y40" s="56"/>
      <c r="Z40" s="56" t="s">
        <v>1162</v>
      </c>
      <c r="AA40" s="55">
        <v>43641</v>
      </c>
      <c r="AB40" s="56" t="s">
        <v>1337</v>
      </c>
      <c r="AC40" s="56"/>
      <c r="AD40" s="56"/>
      <c r="AE40" s="56"/>
      <c r="AF40" s="56"/>
      <c r="AG40" s="56"/>
    </row>
    <row r="41" spans="1:33" ht="14.25" customHeight="1">
      <c r="A41" s="244"/>
      <c r="B41" s="244"/>
      <c r="C41" s="244"/>
      <c r="D41" s="244"/>
      <c r="E41" s="56" t="s">
        <v>55</v>
      </c>
      <c r="F41" s="56" t="s">
        <v>1434</v>
      </c>
      <c r="G41" s="56" t="s">
        <v>329</v>
      </c>
      <c r="H41" s="56" t="s">
        <v>243</v>
      </c>
      <c r="I41" s="56"/>
      <c r="J41" s="56"/>
      <c r="K41" s="56" t="s">
        <v>682</v>
      </c>
      <c r="L41" s="56" t="s">
        <v>1327</v>
      </c>
      <c r="M41" s="56" t="s">
        <v>447</v>
      </c>
      <c r="N41" s="61" t="s">
        <v>1395</v>
      </c>
      <c r="O41" s="21" t="s">
        <v>1435</v>
      </c>
      <c r="P41" s="56" t="s">
        <v>1436</v>
      </c>
      <c r="Q41" s="56" t="s">
        <v>1336</v>
      </c>
      <c r="R41" s="54"/>
      <c r="S41" s="70"/>
      <c r="T41" s="56"/>
      <c r="U41" s="56"/>
      <c r="V41" s="244"/>
      <c r="W41" s="244"/>
      <c r="X41" s="56"/>
      <c r="Y41" s="56"/>
      <c r="Z41" s="56"/>
      <c r="AA41" s="55"/>
      <c r="AB41" s="56"/>
      <c r="AC41" s="56"/>
      <c r="AD41" s="56"/>
      <c r="AE41" s="56"/>
      <c r="AF41" s="56"/>
      <c r="AG41" s="56"/>
    </row>
    <row r="42" spans="1:33" ht="14.25" customHeight="1">
      <c r="A42" s="244"/>
      <c r="B42" s="244"/>
      <c r="C42" s="244"/>
      <c r="D42" s="244"/>
      <c r="E42" s="56" t="s">
        <v>55</v>
      </c>
      <c r="F42" s="56" t="s">
        <v>1437</v>
      </c>
      <c r="G42" s="56" t="s">
        <v>255</v>
      </c>
      <c r="H42" s="56" t="s">
        <v>243</v>
      </c>
      <c r="I42" s="56"/>
      <c r="J42" s="56"/>
      <c r="K42" s="56" t="s">
        <v>682</v>
      </c>
      <c r="L42" s="56" t="s">
        <v>1327</v>
      </c>
      <c r="M42" s="56" t="s">
        <v>449</v>
      </c>
      <c r="N42" s="61" t="s">
        <v>1333</v>
      </c>
      <c r="O42" s="21" t="s">
        <v>1366</v>
      </c>
      <c r="P42" s="56" t="s">
        <v>1367</v>
      </c>
      <c r="Q42" s="56" t="s">
        <v>1336</v>
      </c>
      <c r="R42" s="54"/>
      <c r="S42" s="70"/>
      <c r="T42" s="56"/>
      <c r="U42" s="56"/>
      <c r="V42" s="244"/>
      <c r="W42" s="244"/>
      <c r="X42" s="56"/>
      <c r="Y42" s="56"/>
      <c r="Z42" s="56"/>
      <c r="AA42" s="55"/>
      <c r="AB42" s="56"/>
      <c r="AC42" s="70"/>
      <c r="AD42" s="70"/>
      <c r="AE42" s="70"/>
      <c r="AF42" s="70"/>
      <c r="AG42" s="70"/>
    </row>
    <row r="43" spans="1:33" ht="14.25" customHeight="1">
      <c r="A43" s="244"/>
      <c r="B43" s="244"/>
      <c r="C43" s="244"/>
      <c r="D43" s="244"/>
      <c r="E43" s="56" t="s">
        <v>55</v>
      </c>
      <c r="F43" s="56" t="s">
        <v>1438</v>
      </c>
      <c r="G43" s="56" t="s">
        <v>329</v>
      </c>
      <c r="H43" s="56" t="s">
        <v>243</v>
      </c>
      <c r="I43" s="56"/>
      <c r="J43" s="56"/>
      <c r="K43" s="56" t="s">
        <v>682</v>
      </c>
      <c r="L43" s="56" t="s">
        <v>1327</v>
      </c>
      <c r="M43" s="56" t="s">
        <v>1439</v>
      </c>
      <c r="N43" s="61" t="s">
        <v>1395</v>
      </c>
      <c r="O43" s="21"/>
      <c r="P43" s="70"/>
      <c r="Q43" s="56" t="s">
        <v>1341</v>
      </c>
      <c r="R43" s="54"/>
      <c r="S43" s="70"/>
      <c r="T43" s="56"/>
      <c r="U43" s="56"/>
      <c r="V43" s="244"/>
      <c r="W43" s="244"/>
      <c r="X43" s="56"/>
      <c r="Y43" s="56"/>
      <c r="Z43" s="56"/>
      <c r="AA43" s="55">
        <v>45033</v>
      </c>
      <c r="AB43" s="56"/>
      <c r="AC43" s="56"/>
      <c r="AD43" s="56"/>
      <c r="AE43" s="56"/>
      <c r="AF43" s="56"/>
      <c r="AG43" s="56"/>
    </row>
    <row r="44" spans="1:33" ht="14.25" customHeight="1">
      <c r="A44" s="244"/>
      <c r="B44" s="244"/>
      <c r="C44" s="244"/>
      <c r="D44" s="244"/>
      <c r="E44" s="56" t="s">
        <v>55</v>
      </c>
      <c r="F44" s="56" t="s">
        <v>1440</v>
      </c>
      <c r="G44" s="56" t="s">
        <v>329</v>
      </c>
      <c r="H44" s="56" t="s">
        <v>243</v>
      </c>
      <c r="I44" s="56"/>
      <c r="J44" s="56"/>
      <c r="K44" s="56" t="s">
        <v>680</v>
      </c>
      <c r="L44" s="572"/>
      <c r="M44" s="572"/>
      <c r="N44" s="576" t="s">
        <v>1395</v>
      </c>
      <c r="O44" s="577" t="s">
        <v>1435</v>
      </c>
      <c r="P44" s="572" t="s">
        <v>1436</v>
      </c>
      <c r="Q44" s="572" t="s">
        <v>1336</v>
      </c>
      <c r="R44" s="54"/>
      <c r="S44" s="70"/>
      <c r="T44" s="56"/>
      <c r="U44" s="56"/>
      <c r="V44" s="244"/>
      <c r="W44" s="244"/>
      <c r="X44" s="56">
        <v>77</v>
      </c>
      <c r="Y44" s="56"/>
      <c r="Z44" s="56" t="s">
        <v>1162</v>
      </c>
      <c r="AA44" s="55">
        <v>43641</v>
      </c>
      <c r="AB44" s="56" t="s">
        <v>1337</v>
      </c>
      <c r="AC44" s="70"/>
      <c r="AD44" s="70"/>
      <c r="AE44" s="70"/>
      <c r="AF44" s="70"/>
      <c r="AG44" s="70"/>
    </row>
    <row r="45" spans="1:33" ht="14.25" customHeight="1">
      <c r="A45" s="244"/>
      <c r="B45" s="244"/>
      <c r="C45" s="244"/>
      <c r="D45" s="244"/>
      <c r="E45" s="56" t="s">
        <v>55</v>
      </c>
      <c r="F45" s="57" t="s">
        <v>1441</v>
      </c>
      <c r="G45" s="56" t="s">
        <v>329</v>
      </c>
      <c r="H45" s="56" t="s">
        <v>243</v>
      </c>
      <c r="I45" s="56"/>
      <c r="J45" s="56"/>
      <c r="K45" s="56" t="s">
        <v>682</v>
      </c>
      <c r="L45" s="56" t="s">
        <v>1327</v>
      </c>
      <c r="M45" s="34" t="s">
        <v>463</v>
      </c>
      <c r="N45" s="61" t="s">
        <v>1395</v>
      </c>
      <c r="O45" s="21" t="s">
        <v>1442</v>
      </c>
      <c r="P45" s="70" t="s">
        <v>1443</v>
      </c>
      <c r="Q45" s="56" t="s">
        <v>1336</v>
      </c>
      <c r="R45" s="54"/>
      <c r="S45" s="70"/>
      <c r="T45" s="56"/>
      <c r="U45" s="56"/>
      <c r="V45" s="244" t="e">
        <f>VLOOKUP(F45,'[1]2. PROFITLOSSLITE'!$F$3:$W$167,17,FALSE)</f>
        <v>#N/A</v>
      </c>
      <c r="W45" s="244" t="e">
        <f>VLOOKUP(F45,'[1]2. PROFITLOSSLITE'!$F$3:$W$167,18,FALSE)</f>
        <v>#N/A</v>
      </c>
      <c r="X45" s="56">
        <v>85</v>
      </c>
      <c r="Y45" s="56"/>
      <c r="Z45" s="56" t="s">
        <v>1162</v>
      </c>
      <c r="AA45" s="55">
        <v>43641</v>
      </c>
      <c r="AB45" s="56" t="s">
        <v>1337</v>
      </c>
      <c r="AC45" s="56"/>
      <c r="AD45" s="56"/>
      <c r="AE45" s="56"/>
      <c r="AF45" s="56"/>
      <c r="AG45" s="56"/>
    </row>
    <row r="46" spans="1:33" ht="14.25" customHeight="1">
      <c r="A46" s="244"/>
      <c r="B46" s="244"/>
      <c r="C46" s="244"/>
      <c r="D46" s="244"/>
      <c r="E46" s="56" t="s">
        <v>55</v>
      </c>
      <c r="F46" s="57" t="s">
        <v>1444</v>
      </c>
      <c r="G46" s="56" t="s">
        <v>329</v>
      </c>
      <c r="H46" s="56" t="s">
        <v>243</v>
      </c>
      <c r="I46" s="56"/>
      <c r="J46" s="56"/>
      <c r="K46" s="56" t="s">
        <v>682</v>
      </c>
      <c r="L46" s="56" t="s">
        <v>1327</v>
      </c>
      <c r="M46" s="34" t="s">
        <v>473</v>
      </c>
      <c r="N46" s="61" t="s">
        <v>1395</v>
      </c>
      <c r="O46" s="21" t="s">
        <v>1445</v>
      </c>
      <c r="P46" s="70" t="s">
        <v>1446</v>
      </c>
      <c r="Q46" s="56" t="s">
        <v>1336</v>
      </c>
      <c r="R46" s="54"/>
      <c r="S46" s="70"/>
      <c r="T46" s="56"/>
      <c r="U46" s="56"/>
      <c r="V46" s="244" t="e">
        <f>VLOOKUP(F46,'[1]2. PROFITLOSSLITE'!$F$3:$W$167,17,FALSE)</f>
        <v>#N/A</v>
      </c>
      <c r="W46" s="244" t="e">
        <f>VLOOKUP(F46,'[1]2. PROFITLOSSLITE'!$F$3:$W$167,18,FALSE)</f>
        <v>#N/A</v>
      </c>
      <c r="X46" s="56">
        <v>90</v>
      </c>
      <c r="Y46" s="56"/>
      <c r="Z46" s="56" t="s">
        <v>1162</v>
      </c>
      <c r="AA46" s="55">
        <v>43641</v>
      </c>
      <c r="AB46" s="56" t="s">
        <v>1337</v>
      </c>
      <c r="AC46" s="56"/>
      <c r="AD46" s="56"/>
      <c r="AE46" s="56"/>
      <c r="AF46" s="56"/>
      <c r="AG46" s="56"/>
    </row>
    <row r="47" spans="1:33" ht="14.25" customHeight="1">
      <c r="A47" s="259"/>
      <c r="B47" s="259"/>
      <c r="C47" s="260"/>
      <c r="D47" s="260"/>
      <c r="E47" s="56" t="s">
        <v>61</v>
      </c>
      <c r="F47" s="56" t="s">
        <v>400</v>
      </c>
      <c r="G47" s="56" t="s">
        <v>329</v>
      </c>
      <c r="H47" s="56" t="s">
        <v>243</v>
      </c>
      <c r="I47" s="56"/>
      <c r="J47" s="56">
        <v>24</v>
      </c>
      <c r="K47" s="56" t="s">
        <v>682</v>
      </c>
      <c r="L47" s="56" t="s">
        <v>1327</v>
      </c>
      <c r="M47" s="34" t="s">
        <v>401</v>
      </c>
      <c r="N47" s="56" t="s">
        <v>1447</v>
      </c>
      <c r="O47" s="56" t="s">
        <v>1448</v>
      </c>
      <c r="P47" s="56" t="s">
        <v>1449</v>
      </c>
      <c r="Q47" s="56"/>
      <c r="R47" s="54"/>
      <c r="S47" s="25">
        <v>-7665.62</v>
      </c>
      <c r="T47" s="56" t="s">
        <v>1450</v>
      </c>
      <c r="U47" s="56"/>
      <c r="V47" s="229" t="e">
        <f>VLOOKUP(F47,'[1]2. PROFITLOSSLITE'!$F$3:$W$167,17,FALSE)</f>
        <v>#N/A</v>
      </c>
      <c r="W47" s="229" t="e">
        <f>VLOOKUP(F47,'[1]2. PROFITLOSSLITE'!$F$3:$W$167,18,FALSE)</f>
        <v>#N/A</v>
      </c>
      <c r="X47" s="70">
        <v>57</v>
      </c>
      <c r="Y47" s="56"/>
      <c r="Z47" s="56" t="s">
        <v>1331</v>
      </c>
      <c r="AA47" s="55">
        <v>43475</v>
      </c>
      <c r="AB47" s="56" t="s">
        <v>1057</v>
      </c>
      <c r="AC47" s="70"/>
      <c r="AD47" s="70"/>
      <c r="AE47" s="70"/>
      <c r="AF47" s="70"/>
      <c r="AG47" s="70"/>
    </row>
    <row r="48" spans="1:33" ht="14.25" customHeight="1">
      <c r="A48" s="259"/>
      <c r="B48" s="259"/>
      <c r="C48" s="260"/>
      <c r="D48" s="260"/>
      <c r="E48" s="56" t="s">
        <v>55</v>
      </c>
      <c r="F48" s="56" t="s">
        <v>1451</v>
      </c>
      <c r="G48" s="56" t="s">
        <v>329</v>
      </c>
      <c r="H48" s="56" t="s">
        <v>243</v>
      </c>
      <c r="I48" s="56"/>
      <c r="J48" s="22"/>
      <c r="K48" s="56" t="s">
        <v>680</v>
      </c>
      <c r="L48" s="56"/>
      <c r="M48" s="34"/>
      <c r="N48" s="56"/>
      <c r="O48" s="56"/>
      <c r="P48" s="56"/>
      <c r="Q48" s="56"/>
      <c r="R48" s="54"/>
      <c r="S48" s="25" t="e">
        <v>#N/A</v>
      </c>
      <c r="T48" s="21" t="s">
        <v>1452</v>
      </c>
      <c r="U48" s="56"/>
      <c r="V48" s="229" t="e">
        <f>VLOOKUP(F48,'[1]2. PROFITLOSSLITE'!$F$3:$W$167,17,FALSE)</f>
        <v>#N/A</v>
      </c>
      <c r="W48" s="229" t="e">
        <f>VLOOKUP(F48,'[1]2. PROFITLOSSLITE'!$F$3:$W$167,18,FALSE)</f>
        <v>#N/A</v>
      </c>
      <c r="X48" s="70"/>
      <c r="Y48" s="56" t="s">
        <v>1060</v>
      </c>
      <c r="Z48" s="56"/>
      <c r="AA48" s="55"/>
      <c r="AB48" s="56"/>
      <c r="AC48" s="70"/>
      <c r="AD48" s="70"/>
      <c r="AE48" s="70"/>
      <c r="AF48" s="70"/>
      <c r="AG48" s="70"/>
    </row>
    <row r="49" spans="1:33" ht="12.5">
      <c r="A49" s="244"/>
      <c r="B49" s="244"/>
      <c r="C49" s="244"/>
      <c r="D49" s="244"/>
      <c r="E49" s="56" t="s">
        <v>55</v>
      </c>
      <c r="F49" s="56" t="s">
        <v>1453</v>
      </c>
      <c r="G49" s="56" t="s">
        <v>329</v>
      </c>
      <c r="H49" s="56" t="s">
        <v>243</v>
      </c>
      <c r="I49" s="56"/>
      <c r="J49" s="56"/>
      <c r="K49" s="56" t="s">
        <v>680</v>
      </c>
      <c r="L49" s="572"/>
      <c r="M49" s="572"/>
      <c r="N49" s="573" t="s">
        <v>1395</v>
      </c>
      <c r="O49" s="574" t="s">
        <v>1454</v>
      </c>
      <c r="P49" s="575" t="s">
        <v>1436</v>
      </c>
      <c r="Q49" s="575" t="s">
        <v>1336</v>
      </c>
      <c r="R49" s="269"/>
      <c r="S49" s="268"/>
      <c r="T49" s="244"/>
      <c r="U49" s="244"/>
      <c r="V49" s="244"/>
      <c r="W49" s="244"/>
      <c r="X49" s="244">
        <v>75</v>
      </c>
      <c r="Y49" s="244"/>
      <c r="Z49" s="244" t="s">
        <v>1162</v>
      </c>
      <c r="AA49" s="270">
        <v>43641</v>
      </c>
      <c r="AB49" s="244" t="s">
        <v>1455</v>
      </c>
      <c r="AC49" s="244"/>
      <c r="AD49" s="244"/>
      <c r="AE49" s="244"/>
      <c r="AF49" s="244"/>
      <c r="AG49" s="244"/>
    </row>
    <row r="50" spans="1:33" ht="12.5">
      <c r="A50" s="259"/>
      <c r="B50" s="259"/>
      <c r="C50" s="260"/>
      <c r="D50" s="260"/>
      <c r="E50" s="56" t="s">
        <v>61</v>
      </c>
      <c r="F50" s="56" t="s">
        <v>120</v>
      </c>
      <c r="G50" s="56" t="s">
        <v>250</v>
      </c>
      <c r="H50" s="56" t="s">
        <v>243</v>
      </c>
      <c r="I50" s="56"/>
      <c r="J50" s="56">
        <v>25</v>
      </c>
      <c r="K50" s="56" t="s">
        <v>682</v>
      </c>
      <c r="L50" s="56" t="s">
        <v>1327</v>
      </c>
      <c r="M50" s="34" t="s">
        <v>295</v>
      </c>
      <c r="N50" s="56" t="s">
        <v>1456</v>
      </c>
      <c r="O50" s="56" t="s">
        <v>1457</v>
      </c>
      <c r="P50" s="56" t="s">
        <v>1458</v>
      </c>
      <c r="Q50" s="56" t="s">
        <v>1459</v>
      </c>
      <c r="R50" s="54"/>
      <c r="S50" s="25" t="s">
        <v>1201</v>
      </c>
      <c r="T50" s="56" t="s">
        <v>1460</v>
      </c>
      <c r="U50" s="56">
        <v>1</v>
      </c>
      <c r="V50" s="229" t="e">
        <f>VLOOKUP(F50,'[1]2. PROFITLOSSLITE'!$F$3:$W$167,17,FALSE)</f>
        <v>#N/A</v>
      </c>
      <c r="W50" s="229" t="e">
        <f>VLOOKUP(F50,'[1]2. PROFITLOSSLITE'!$F$3:$W$167,18,FALSE)</f>
        <v>#N/A</v>
      </c>
      <c r="X50" s="70">
        <v>2</v>
      </c>
      <c r="Y50" s="56"/>
      <c r="Z50" s="56" t="s">
        <v>1331</v>
      </c>
      <c r="AA50" s="55">
        <v>43475</v>
      </c>
      <c r="AB50" s="56" t="s">
        <v>1057</v>
      </c>
      <c r="AC50" s="56"/>
      <c r="AD50" s="56"/>
      <c r="AE50" s="56"/>
      <c r="AF50" s="56"/>
      <c r="AG50" s="56"/>
    </row>
    <row r="51" spans="1:33" ht="12.5">
      <c r="A51" s="259"/>
      <c r="B51" s="259"/>
      <c r="C51" s="260"/>
      <c r="D51" s="260"/>
      <c r="E51" s="56" t="s">
        <v>59</v>
      </c>
      <c r="F51" s="56" t="s">
        <v>296</v>
      </c>
      <c r="G51" s="56" t="s">
        <v>242</v>
      </c>
      <c r="H51" s="56" t="s">
        <v>243</v>
      </c>
      <c r="I51" s="56"/>
      <c r="J51" s="56">
        <v>73</v>
      </c>
      <c r="K51" s="56" t="s">
        <v>682</v>
      </c>
      <c r="L51" s="56" t="s">
        <v>1327</v>
      </c>
      <c r="M51" s="56" t="s">
        <v>297</v>
      </c>
      <c r="N51" s="56" t="s">
        <v>1390</v>
      </c>
      <c r="O51" s="56" t="s">
        <v>1461</v>
      </c>
      <c r="P51" s="56" t="s">
        <v>1462</v>
      </c>
      <c r="Q51" s="56"/>
      <c r="R51" s="54"/>
      <c r="S51" s="25" t="s">
        <v>1463</v>
      </c>
      <c r="T51" s="56" t="s">
        <v>1464</v>
      </c>
      <c r="U51" s="56"/>
      <c r="V51" s="229" t="e">
        <f>VLOOKUP(F51,'[1]2. PROFITLOSSLITE'!$F$3:$W$167,17,FALSE)</f>
        <v>#N/A</v>
      </c>
      <c r="W51" s="229" t="e">
        <f>VLOOKUP(F51,'[1]2. PROFITLOSSLITE'!$F$3:$W$167,18,FALSE)</f>
        <v>#N/A</v>
      </c>
      <c r="X51" s="70">
        <v>3</v>
      </c>
      <c r="Y51" s="56"/>
      <c r="Z51" s="56" t="s">
        <v>1331</v>
      </c>
      <c r="AA51" s="55">
        <v>43475</v>
      </c>
      <c r="AB51" s="56" t="s">
        <v>1057</v>
      </c>
      <c r="AC51" s="56"/>
      <c r="AD51" s="56"/>
      <c r="AE51" s="56"/>
      <c r="AF51" s="56"/>
      <c r="AG51" s="56"/>
    </row>
    <row r="52" spans="1:33" ht="12.5">
      <c r="A52" s="259"/>
      <c r="B52" s="259"/>
      <c r="C52" s="260"/>
      <c r="D52" s="260"/>
      <c r="E52" s="70" t="s">
        <v>55</v>
      </c>
      <c r="F52" s="70" t="s">
        <v>1465</v>
      </c>
      <c r="G52" s="70" t="s">
        <v>329</v>
      </c>
      <c r="H52" s="56" t="s">
        <v>243</v>
      </c>
      <c r="I52" s="70"/>
      <c r="J52" s="70"/>
      <c r="K52" s="56" t="s">
        <v>680</v>
      </c>
      <c r="L52" s="56"/>
      <c r="M52" s="34"/>
      <c r="N52" s="56"/>
      <c r="O52" s="56"/>
      <c r="P52" s="56"/>
      <c r="Q52" s="56"/>
      <c r="R52" s="271"/>
      <c r="S52" s="25" t="e">
        <v>#N/A</v>
      </c>
      <c r="T52" s="70" t="s">
        <v>1466</v>
      </c>
      <c r="U52" s="70"/>
      <c r="V52" s="229" t="e">
        <f>VLOOKUP(F52,'[1]2. PROFITLOSSLITE'!$F$3:$W$167,17,FALSE)</f>
        <v>#N/A</v>
      </c>
      <c r="W52" s="229" t="e">
        <f>VLOOKUP(F52,'[1]2. PROFITLOSSLITE'!$F$3:$W$167,18,FALSE)</f>
        <v>#N/A</v>
      </c>
      <c r="X52" s="70"/>
      <c r="Y52" s="56" t="s">
        <v>1060</v>
      </c>
      <c r="Z52" s="56"/>
      <c r="AA52" s="55"/>
      <c r="AB52" s="56"/>
      <c r="AC52" s="70"/>
      <c r="AD52" s="70"/>
      <c r="AE52" s="70"/>
      <c r="AF52" s="70"/>
      <c r="AG52" s="70"/>
    </row>
    <row r="53" spans="1:33" ht="12.5">
      <c r="A53" s="259"/>
      <c r="B53" s="259"/>
      <c r="C53" s="260"/>
      <c r="D53" s="260"/>
      <c r="E53" s="70" t="s">
        <v>55</v>
      </c>
      <c r="F53" s="70" t="s">
        <v>1467</v>
      </c>
      <c r="G53" s="70" t="s">
        <v>329</v>
      </c>
      <c r="H53" s="56" t="s">
        <v>243</v>
      </c>
      <c r="I53" s="70"/>
      <c r="J53" s="70"/>
      <c r="K53" s="56" t="s">
        <v>680</v>
      </c>
      <c r="L53" s="56"/>
      <c r="M53" s="34"/>
      <c r="N53" s="56"/>
      <c r="O53" s="56"/>
      <c r="P53" s="56"/>
      <c r="Q53" s="56"/>
      <c r="R53" s="271"/>
      <c r="S53" s="25" t="e">
        <v>#N/A</v>
      </c>
      <c r="T53" s="70" t="s">
        <v>1468</v>
      </c>
      <c r="U53" s="70"/>
      <c r="V53" s="229" t="e">
        <f>VLOOKUP(F53,'[1]2. PROFITLOSSLITE'!$F$3:$W$167,17,FALSE)</f>
        <v>#N/A</v>
      </c>
      <c r="W53" s="229" t="e">
        <f>VLOOKUP(F53,'[1]2. PROFITLOSSLITE'!$F$3:$W$167,18,FALSE)</f>
        <v>#N/A</v>
      </c>
      <c r="X53" s="70"/>
      <c r="Y53" s="56" t="s">
        <v>1060</v>
      </c>
      <c r="Z53" s="56"/>
      <c r="AA53" s="55"/>
      <c r="AB53" s="56"/>
      <c r="AC53" s="56"/>
      <c r="AD53" s="56"/>
      <c r="AE53" s="56"/>
      <c r="AF53" s="56"/>
      <c r="AG53" s="56"/>
    </row>
    <row r="54" spans="1:33" ht="12.5">
      <c r="A54" s="259"/>
      <c r="B54" s="259"/>
      <c r="C54" s="260"/>
      <c r="D54" s="260"/>
      <c r="E54" s="70" t="s">
        <v>55</v>
      </c>
      <c r="F54" s="70" t="s">
        <v>1469</v>
      </c>
      <c r="G54" s="70" t="s">
        <v>329</v>
      </c>
      <c r="H54" s="56" t="s">
        <v>243</v>
      </c>
      <c r="I54" s="70"/>
      <c r="J54" s="70"/>
      <c r="K54" s="56" t="s">
        <v>680</v>
      </c>
      <c r="L54" s="56"/>
      <c r="M54" s="34"/>
      <c r="N54" s="56"/>
      <c r="O54" s="56"/>
      <c r="P54" s="56"/>
      <c r="Q54" s="56"/>
      <c r="R54" s="271"/>
      <c r="S54" s="25" t="e">
        <v>#N/A</v>
      </c>
      <c r="T54" s="70" t="s">
        <v>1470</v>
      </c>
      <c r="U54" s="70"/>
      <c r="V54" s="229" t="e">
        <f>VLOOKUP(F54,'[1]2. PROFITLOSSLITE'!$F$3:$W$167,17,FALSE)</f>
        <v>#N/A</v>
      </c>
      <c r="W54" s="229" t="e">
        <f>VLOOKUP(F54,'[1]2. PROFITLOSSLITE'!$F$3:$W$167,18,FALSE)</f>
        <v>#N/A</v>
      </c>
      <c r="X54" s="70"/>
      <c r="Y54" s="56" t="s">
        <v>1060</v>
      </c>
      <c r="Z54" s="56"/>
      <c r="AA54" s="55"/>
      <c r="AB54" s="56"/>
      <c r="AC54" s="56"/>
      <c r="AD54" s="56"/>
      <c r="AE54" s="56"/>
      <c r="AF54" s="56"/>
      <c r="AG54" s="56"/>
    </row>
    <row r="55" spans="1:33" ht="12.5">
      <c r="A55" s="259"/>
      <c r="B55" s="259"/>
      <c r="C55" s="260"/>
      <c r="D55" s="260"/>
      <c r="E55" s="70" t="s">
        <v>55</v>
      </c>
      <c r="F55" s="70" t="s">
        <v>1471</v>
      </c>
      <c r="G55" s="70" t="s">
        <v>329</v>
      </c>
      <c r="H55" s="56" t="s">
        <v>243</v>
      </c>
      <c r="I55" s="70"/>
      <c r="J55" s="70"/>
      <c r="K55" s="56" t="s">
        <v>680</v>
      </c>
      <c r="L55" s="56"/>
      <c r="M55" s="34"/>
      <c r="N55" s="56"/>
      <c r="O55" s="56"/>
      <c r="P55" s="56"/>
      <c r="Q55" s="56"/>
      <c r="R55" s="271"/>
      <c r="S55" s="25" t="e">
        <v>#N/A</v>
      </c>
      <c r="T55" s="70" t="s">
        <v>1472</v>
      </c>
      <c r="U55" s="70"/>
      <c r="V55" s="229" t="e">
        <f>VLOOKUP(F55,'[1]2. PROFITLOSSLITE'!$F$3:$W$167,17,FALSE)</f>
        <v>#N/A</v>
      </c>
      <c r="W55" s="229" t="e">
        <f>VLOOKUP(F55,'[1]2. PROFITLOSSLITE'!$F$3:$W$167,18,FALSE)</f>
        <v>#N/A</v>
      </c>
      <c r="X55" s="70"/>
      <c r="Y55" s="56" t="s">
        <v>1060</v>
      </c>
      <c r="Z55" s="56"/>
      <c r="AA55" s="55"/>
      <c r="AB55" s="56"/>
      <c r="AC55" s="56"/>
      <c r="AD55" s="56"/>
      <c r="AE55" s="56"/>
      <c r="AF55" s="56"/>
      <c r="AG55" s="56"/>
    </row>
    <row r="56" spans="1:33" ht="12.5">
      <c r="A56" s="259"/>
      <c r="B56" s="259"/>
      <c r="C56" s="260"/>
      <c r="D56" s="260"/>
      <c r="E56" s="70" t="s">
        <v>55</v>
      </c>
      <c r="F56" s="70" t="s">
        <v>1473</v>
      </c>
      <c r="G56" s="70" t="s">
        <v>329</v>
      </c>
      <c r="H56" s="56" t="s">
        <v>243</v>
      </c>
      <c r="I56" s="70"/>
      <c r="J56" s="70"/>
      <c r="K56" s="56" t="s">
        <v>680</v>
      </c>
      <c r="L56" s="56"/>
      <c r="M56" s="34"/>
      <c r="N56" s="56"/>
      <c r="O56" s="56"/>
      <c r="P56" s="56"/>
      <c r="Q56" s="56"/>
      <c r="R56" s="271"/>
      <c r="S56" s="25" t="e">
        <v>#N/A</v>
      </c>
      <c r="T56" s="70" t="s">
        <v>1474</v>
      </c>
      <c r="U56" s="70"/>
      <c r="V56" s="229" t="e">
        <f>VLOOKUP(F56,'[1]2. PROFITLOSSLITE'!$F$3:$W$167,17,FALSE)</f>
        <v>#N/A</v>
      </c>
      <c r="W56" s="229" t="e">
        <f>VLOOKUP(F56,'[1]2. PROFITLOSSLITE'!$F$3:$W$167,18,FALSE)</f>
        <v>#N/A</v>
      </c>
      <c r="X56" s="70"/>
      <c r="Y56" s="56" t="s">
        <v>1060</v>
      </c>
      <c r="Z56" s="56"/>
      <c r="AA56" s="55"/>
      <c r="AB56" s="56"/>
      <c r="AC56" s="70"/>
      <c r="AD56" s="70"/>
      <c r="AE56" s="70"/>
      <c r="AF56" s="70"/>
      <c r="AG56" s="70"/>
    </row>
    <row r="57" spans="1:33" ht="12.5">
      <c r="A57" s="259"/>
      <c r="B57" s="259"/>
      <c r="C57" s="260"/>
      <c r="D57" s="260"/>
      <c r="E57" s="70" t="s">
        <v>55</v>
      </c>
      <c r="F57" s="70" t="s">
        <v>1475</v>
      </c>
      <c r="G57" s="70" t="s">
        <v>329</v>
      </c>
      <c r="H57" s="56" t="s">
        <v>243</v>
      </c>
      <c r="I57" s="70"/>
      <c r="J57" s="70"/>
      <c r="K57" s="56" t="s">
        <v>680</v>
      </c>
      <c r="L57" s="56"/>
      <c r="M57" s="34"/>
      <c r="N57" s="56"/>
      <c r="O57" s="56"/>
      <c r="P57" s="56"/>
      <c r="Q57" s="56"/>
      <c r="R57" s="271"/>
      <c r="S57" s="25" t="e">
        <v>#N/A</v>
      </c>
      <c r="T57" s="70" t="s">
        <v>1476</v>
      </c>
      <c r="U57" s="70"/>
      <c r="V57" s="229" t="e">
        <f>VLOOKUP(F57,'[1]2. PROFITLOSSLITE'!$F$3:$W$167,17,FALSE)</f>
        <v>#N/A</v>
      </c>
      <c r="W57" s="229" t="e">
        <f>VLOOKUP(F57,'[1]2. PROFITLOSSLITE'!$F$3:$W$167,18,FALSE)</f>
        <v>#N/A</v>
      </c>
      <c r="X57" s="70"/>
      <c r="Y57" s="56" t="s">
        <v>1060</v>
      </c>
      <c r="Z57" s="56"/>
      <c r="AA57" s="55"/>
      <c r="AB57" s="56"/>
      <c r="AC57" s="56"/>
      <c r="AD57" s="56"/>
      <c r="AE57" s="56"/>
      <c r="AF57" s="56"/>
      <c r="AG57" s="56"/>
    </row>
    <row r="58" spans="1:33" ht="12.5">
      <c r="A58" s="259"/>
      <c r="B58" s="259"/>
      <c r="C58" s="260"/>
      <c r="D58" s="260"/>
      <c r="E58" s="70" t="s">
        <v>55</v>
      </c>
      <c r="F58" s="70" t="s">
        <v>1477</v>
      </c>
      <c r="G58" s="70" t="s">
        <v>329</v>
      </c>
      <c r="H58" s="56" t="s">
        <v>243</v>
      </c>
      <c r="I58" s="70"/>
      <c r="J58" s="70"/>
      <c r="K58" s="56" t="s">
        <v>680</v>
      </c>
      <c r="L58" s="56"/>
      <c r="M58" s="34"/>
      <c r="N58" s="56"/>
      <c r="O58" s="56"/>
      <c r="P58" s="56"/>
      <c r="Q58" s="56"/>
      <c r="R58" s="271"/>
      <c r="S58" s="25" t="e">
        <v>#N/A</v>
      </c>
      <c r="T58" s="70" t="s">
        <v>1478</v>
      </c>
      <c r="U58" s="70"/>
      <c r="V58" s="229" t="e">
        <f>VLOOKUP(F58,'[1]2. PROFITLOSSLITE'!$F$3:$W$167,17,FALSE)</f>
        <v>#N/A</v>
      </c>
      <c r="W58" s="229" t="e">
        <f>VLOOKUP(F58,'[1]2. PROFITLOSSLITE'!$F$3:$W$167,18,FALSE)</f>
        <v>#N/A</v>
      </c>
      <c r="X58" s="70"/>
      <c r="Y58" s="56" t="s">
        <v>1060</v>
      </c>
      <c r="Z58" s="56"/>
      <c r="AA58" s="55"/>
      <c r="AB58" s="56"/>
      <c r="AC58" s="56"/>
      <c r="AD58" s="56"/>
      <c r="AE58" s="56"/>
      <c r="AF58" s="56"/>
      <c r="AG58" s="56"/>
    </row>
    <row r="59" spans="1:33" ht="12.5">
      <c r="A59" s="259"/>
      <c r="B59" s="259"/>
      <c r="C59" s="260" t="s">
        <v>1479</v>
      </c>
      <c r="D59" s="260">
        <v>1</v>
      </c>
      <c r="E59" s="70" t="s">
        <v>55</v>
      </c>
      <c r="F59" s="70" t="s">
        <v>1480</v>
      </c>
      <c r="G59" s="70" t="s">
        <v>329</v>
      </c>
      <c r="H59" s="56" t="s">
        <v>243</v>
      </c>
      <c r="I59" s="70"/>
      <c r="J59" s="70"/>
      <c r="K59" s="56" t="s">
        <v>680</v>
      </c>
      <c r="L59" s="56"/>
      <c r="M59" s="34"/>
      <c r="N59" s="56"/>
      <c r="O59" s="56"/>
      <c r="P59" s="56"/>
      <c r="Q59" s="56"/>
      <c r="R59" s="271"/>
      <c r="S59" s="25" t="e">
        <v>#N/A</v>
      </c>
      <c r="T59" s="70" t="s">
        <v>1481</v>
      </c>
      <c r="U59" s="70"/>
      <c r="V59" s="229" t="e">
        <f>VLOOKUP(F59,'[1]2. PROFITLOSSLITE'!$F$3:$W$167,17,FALSE)</f>
        <v>#N/A</v>
      </c>
      <c r="W59" s="229" t="e">
        <f>VLOOKUP(F59,'[1]2. PROFITLOSSLITE'!$F$3:$W$167,18,FALSE)</f>
        <v>#N/A</v>
      </c>
      <c r="X59" s="70"/>
      <c r="Y59" s="56" t="s">
        <v>1060</v>
      </c>
      <c r="Z59" s="56"/>
      <c r="AA59" s="55"/>
      <c r="AB59" s="56"/>
      <c r="AC59" s="56"/>
      <c r="AD59" s="56"/>
      <c r="AE59" s="56"/>
      <c r="AF59" s="56"/>
      <c r="AG59" s="56"/>
    </row>
    <row r="60" spans="1:33" ht="12.5">
      <c r="A60" s="244"/>
      <c r="B60" s="244"/>
      <c r="C60" s="244"/>
      <c r="D60" s="244"/>
      <c r="E60" s="70" t="s">
        <v>55</v>
      </c>
      <c r="F60" s="56" t="s">
        <v>1482</v>
      </c>
      <c r="G60" s="56" t="s">
        <v>329</v>
      </c>
      <c r="H60" s="70" t="s">
        <v>243</v>
      </c>
      <c r="I60" s="56"/>
      <c r="J60" s="70"/>
      <c r="K60" s="56" t="s">
        <v>680</v>
      </c>
      <c r="L60" s="572"/>
      <c r="M60" s="322"/>
      <c r="N60" s="67" t="s">
        <v>1395</v>
      </c>
      <c r="O60" s="70" t="s">
        <v>1483</v>
      </c>
      <c r="P60" s="56" t="s">
        <v>1364</v>
      </c>
      <c r="Q60" s="56" t="s">
        <v>1484</v>
      </c>
      <c r="R60" s="54"/>
      <c r="S60" s="70"/>
      <c r="T60" s="56"/>
      <c r="U60" s="56"/>
      <c r="V60" s="244"/>
      <c r="W60" s="244"/>
      <c r="X60" s="56">
        <v>96</v>
      </c>
      <c r="Y60" s="56"/>
      <c r="Z60" s="56" t="s">
        <v>1162</v>
      </c>
      <c r="AA60" s="55">
        <v>43641</v>
      </c>
      <c r="AB60" s="56" t="s">
        <v>1455</v>
      </c>
      <c r="AC60" s="56"/>
      <c r="AD60" s="56"/>
      <c r="AE60" s="56"/>
      <c r="AF60" s="56"/>
      <c r="AG60" s="56"/>
    </row>
    <row r="61" spans="1:33" ht="12.5">
      <c r="A61" s="244"/>
      <c r="B61" s="244"/>
      <c r="C61" s="244"/>
      <c r="D61" s="244"/>
      <c r="E61" s="70" t="s">
        <v>55</v>
      </c>
      <c r="F61" s="56" t="s">
        <v>1485</v>
      </c>
      <c r="G61" s="56" t="s">
        <v>329</v>
      </c>
      <c r="H61" s="70" t="s">
        <v>243</v>
      </c>
      <c r="I61" s="56"/>
      <c r="J61" s="70"/>
      <c r="K61" s="56" t="s">
        <v>680</v>
      </c>
      <c r="L61" s="56"/>
      <c r="M61" s="5"/>
      <c r="N61" s="70"/>
      <c r="O61" s="70"/>
      <c r="P61" s="56"/>
      <c r="Q61" s="56"/>
      <c r="R61" s="54"/>
      <c r="S61" s="70"/>
      <c r="T61" s="56"/>
      <c r="U61" s="56"/>
      <c r="V61" s="244"/>
      <c r="W61" s="244"/>
      <c r="X61" s="56">
        <v>96</v>
      </c>
      <c r="Y61" s="56"/>
      <c r="Z61" s="56" t="s">
        <v>1162</v>
      </c>
      <c r="AA61" s="55">
        <v>43641</v>
      </c>
      <c r="AB61" s="56" t="s">
        <v>1455</v>
      </c>
      <c r="AC61" s="56"/>
      <c r="AD61" s="56"/>
      <c r="AE61" s="56"/>
      <c r="AF61" s="56"/>
      <c r="AG61" s="56"/>
    </row>
    <row r="62" spans="1:33" ht="12.5">
      <c r="A62" s="244"/>
      <c r="B62" s="244"/>
      <c r="C62" s="244"/>
      <c r="D62" s="244"/>
      <c r="E62" s="70" t="s">
        <v>55</v>
      </c>
      <c r="F62" s="56" t="s">
        <v>1486</v>
      </c>
      <c r="G62" s="56" t="s">
        <v>329</v>
      </c>
      <c r="H62" s="70" t="s">
        <v>243</v>
      </c>
      <c r="I62" s="56"/>
      <c r="J62" s="70"/>
      <c r="K62" s="56" t="s">
        <v>680</v>
      </c>
      <c r="L62" s="56"/>
      <c r="M62" s="5"/>
      <c r="N62" s="70"/>
      <c r="O62" s="70"/>
      <c r="P62" s="56"/>
      <c r="Q62" s="56"/>
      <c r="R62" s="54"/>
      <c r="S62" s="70"/>
      <c r="T62" s="56"/>
      <c r="U62" s="56"/>
      <c r="V62" s="244"/>
      <c r="W62" s="244"/>
      <c r="X62" s="56">
        <v>96</v>
      </c>
      <c r="Y62" s="56"/>
      <c r="Z62" s="56" t="s">
        <v>1162</v>
      </c>
      <c r="AA62" s="55">
        <v>43641</v>
      </c>
      <c r="AB62" s="56" t="s">
        <v>1455</v>
      </c>
      <c r="AC62" s="56"/>
      <c r="AD62" s="56"/>
      <c r="AE62" s="56"/>
      <c r="AF62" s="56"/>
      <c r="AG62" s="56"/>
    </row>
    <row r="63" spans="1:33" ht="12.5">
      <c r="A63" s="244"/>
      <c r="B63" s="244"/>
      <c r="C63" s="244"/>
      <c r="D63" s="244"/>
      <c r="E63" s="70" t="s">
        <v>55</v>
      </c>
      <c r="F63" s="56" t="s">
        <v>1487</v>
      </c>
      <c r="G63" s="56" t="s">
        <v>329</v>
      </c>
      <c r="H63" s="70" t="s">
        <v>243</v>
      </c>
      <c r="I63" s="56"/>
      <c r="J63" s="70"/>
      <c r="K63" s="56" t="s">
        <v>680</v>
      </c>
      <c r="L63" s="56"/>
      <c r="M63" s="5"/>
      <c r="N63" s="70"/>
      <c r="O63" s="70"/>
      <c r="P63" s="56"/>
      <c r="Q63" s="56"/>
      <c r="R63" s="54"/>
      <c r="S63" s="70"/>
      <c r="T63" s="56"/>
      <c r="U63" s="56"/>
      <c r="V63" s="244"/>
      <c r="W63" s="244"/>
      <c r="X63" s="56">
        <v>96</v>
      </c>
      <c r="Y63" s="56"/>
      <c r="Z63" s="56" t="s">
        <v>1162</v>
      </c>
      <c r="AA63" s="55">
        <v>43641</v>
      </c>
      <c r="AB63" s="56" t="s">
        <v>1455</v>
      </c>
      <c r="AC63" s="56"/>
      <c r="AD63" s="56"/>
      <c r="AE63" s="56"/>
      <c r="AF63" s="56"/>
      <c r="AG63" s="56"/>
    </row>
    <row r="64" spans="1:33" ht="12.5">
      <c r="A64" s="259"/>
      <c r="B64" s="259"/>
      <c r="C64" s="260" t="s">
        <v>1093</v>
      </c>
      <c r="D64" s="260">
        <v>1</v>
      </c>
      <c r="E64" s="70" t="s">
        <v>55</v>
      </c>
      <c r="F64" s="70" t="s">
        <v>1488</v>
      </c>
      <c r="G64" s="70" t="s">
        <v>329</v>
      </c>
      <c r="H64" s="56" t="s">
        <v>243</v>
      </c>
      <c r="I64" s="70"/>
      <c r="J64" s="70"/>
      <c r="K64" s="56" t="s">
        <v>680</v>
      </c>
      <c r="L64" s="56"/>
      <c r="M64" s="34"/>
      <c r="N64" s="56"/>
      <c r="O64" s="56"/>
      <c r="P64" s="56"/>
      <c r="Q64" s="56"/>
      <c r="R64" s="271"/>
      <c r="S64" s="25" t="e">
        <v>#N/A</v>
      </c>
      <c r="T64" s="70" t="s">
        <v>1489</v>
      </c>
      <c r="U64" s="70"/>
      <c r="V64" s="229" t="e">
        <f>VLOOKUP(F64,'[1]2. PROFITLOSSLITE'!$F$3:$W$167,17,FALSE)</f>
        <v>#N/A</v>
      </c>
      <c r="W64" s="229" t="e">
        <f>VLOOKUP(F64,'[1]2. PROFITLOSSLITE'!$F$3:$W$167,18,FALSE)</f>
        <v>#N/A</v>
      </c>
      <c r="X64" s="70"/>
      <c r="Y64" s="56" t="s">
        <v>1060</v>
      </c>
      <c r="Z64" s="56"/>
      <c r="AA64" s="55"/>
      <c r="AB64" s="56"/>
      <c r="AC64" s="70"/>
      <c r="AD64" s="70"/>
      <c r="AE64" s="70"/>
      <c r="AF64" s="70"/>
      <c r="AG64" s="70"/>
    </row>
    <row r="65" spans="1:33" ht="12.5">
      <c r="A65" s="259"/>
      <c r="B65" s="259"/>
      <c r="C65" s="260"/>
      <c r="D65" s="260"/>
      <c r="E65" s="70" t="s">
        <v>55</v>
      </c>
      <c r="F65" s="70" t="s">
        <v>1490</v>
      </c>
      <c r="G65" s="70" t="s">
        <v>329</v>
      </c>
      <c r="H65" s="56" t="s">
        <v>243</v>
      </c>
      <c r="I65" s="70"/>
      <c r="J65" s="70"/>
      <c r="K65" s="56" t="s">
        <v>680</v>
      </c>
      <c r="L65" s="56"/>
      <c r="M65" s="34"/>
      <c r="N65" s="56"/>
      <c r="O65" s="56"/>
      <c r="P65" s="56"/>
      <c r="Q65" s="56"/>
      <c r="R65" s="271"/>
      <c r="S65" s="25" t="e">
        <v>#N/A</v>
      </c>
      <c r="T65" s="70" t="s">
        <v>1491</v>
      </c>
      <c r="U65" s="70"/>
      <c r="V65" s="229" t="e">
        <f>VLOOKUP(F65,'[1]2. PROFITLOSSLITE'!$F$3:$W$167,17,FALSE)</f>
        <v>#N/A</v>
      </c>
      <c r="W65" s="229" t="e">
        <f>VLOOKUP(F65,'[1]2. PROFITLOSSLITE'!$F$3:$W$167,18,FALSE)</f>
        <v>#N/A</v>
      </c>
      <c r="X65" s="70"/>
      <c r="Y65" s="56" t="s">
        <v>1060</v>
      </c>
      <c r="Z65" s="56"/>
      <c r="AA65" s="55"/>
      <c r="AB65" s="56"/>
      <c r="AC65" s="70"/>
      <c r="AD65" s="70"/>
      <c r="AE65" s="70"/>
      <c r="AF65" s="70"/>
      <c r="AG65" s="70"/>
    </row>
    <row r="66" spans="1:33" ht="12.5">
      <c r="A66" s="259"/>
      <c r="B66" s="259"/>
      <c r="C66" s="260" t="s">
        <v>1492</v>
      </c>
      <c r="D66" s="260">
        <v>1</v>
      </c>
      <c r="E66" s="70" t="s">
        <v>55</v>
      </c>
      <c r="F66" s="70" t="s">
        <v>1493</v>
      </c>
      <c r="G66" s="70" t="s">
        <v>329</v>
      </c>
      <c r="H66" s="56" t="s">
        <v>243</v>
      </c>
      <c r="I66" s="70"/>
      <c r="J66" s="70"/>
      <c r="K66" s="56" t="s">
        <v>680</v>
      </c>
      <c r="L66" s="56"/>
      <c r="M66" s="34"/>
      <c r="N66" s="56"/>
      <c r="O66" s="56"/>
      <c r="P66" s="56"/>
      <c r="Q66" s="56"/>
      <c r="R66" s="271"/>
      <c r="S66" s="25" t="e">
        <v>#N/A</v>
      </c>
      <c r="T66" s="70" t="s">
        <v>1494</v>
      </c>
      <c r="U66" s="70"/>
      <c r="V66" s="229" t="e">
        <f>VLOOKUP(F66,'[1]2. PROFITLOSSLITE'!$F$3:$W$167,17,FALSE)</f>
        <v>#N/A</v>
      </c>
      <c r="W66" s="229" t="e">
        <f>VLOOKUP(F66,'[1]2. PROFITLOSSLITE'!$F$3:$W$167,18,FALSE)</f>
        <v>#N/A</v>
      </c>
      <c r="X66" s="70"/>
      <c r="Y66" s="56" t="s">
        <v>1060</v>
      </c>
      <c r="Z66" s="56"/>
      <c r="AA66" s="55"/>
      <c r="AB66" s="56"/>
      <c r="AC66" s="56"/>
      <c r="AD66" s="56"/>
      <c r="AE66" s="56"/>
      <c r="AF66" s="56"/>
      <c r="AG66" s="56"/>
    </row>
    <row r="67" spans="1:33" ht="12.5">
      <c r="A67" s="259"/>
      <c r="B67" s="259"/>
      <c r="C67" s="260" t="s">
        <v>1495</v>
      </c>
      <c r="D67" s="260">
        <v>1</v>
      </c>
      <c r="E67" s="70" t="s">
        <v>55</v>
      </c>
      <c r="F67" s="70" t="s">
        <v>1496</v>
      </c>
      <c r="G67" s="70" t="s">
        <v>329</v>
      </c>
      <c r="H67" s="56" t="s">
        <v>243</v>
      </c>
      <c r="I67" s="70"/>
      <c r="J67" s="70"/>
      <c r="K67" s="56" t="s">
        <v>680</v>
      </c>
      <c r="L67" s="56"/>
      <c r="M67" s="34"/>
      <c r="N67" s="56"/>
      <c r="O67" s="56"/>
      <c r="P67" s="56"/>
      <c r="Q67" s="56"/>
      <c r="R67" s="271"/>
      <c r="S67" s="25" t="e">
        <v>#N/A</v>
      </c>
      <c r="T67" s="70" t="s">
        <v>1497</v>
      </c>
      <c r="U67" s="70"/>
      <c r="V67" s="229" t="e">
        <f>VLOOKUP(F67,'[1]2. PROFITLOSSLITE'!$F$3:$W$167,17,FALSE)</f>
        <v>#N/A</v>
      </c>
      <c r="W67" s="229" t="e">
        <f>VLOOKUP(F67,'[1]2. PROFITLOSSLITE'!$F$3:$W$167,18,FALSE)</f>
        <v>#N/A</v>
      </c>
      <c r="X67" s="70"/>
      <c r="Y67" s="56" t="s">
        <v>1060</v>
      </c>
      <c r="Z67" s="56"/>
      <c r="AA67" s="55"/>
      <c r="AB67" s="56"/>
      <c r="AC67" s="56"/>
      <c r="AD67" s="56"/>
      <c r="AE67" s="56"/>
      <c r="AF67" s="56"/>
      <c r="AG67" s="56"/>
    </row>
    <row r="68" spans="1:33" ht="12.5">
      <c r="A68" s="259"/>
      <c r="B68" s="259"/>
      <c r="C68" s="260"/>
      <c r="D68" s="260"/>
      <c r="E68" s="70" t="s">
        <v>55</v>
      </c>
      <c r="F68" s="70" t="s">
        <v>1498</v>
      </c>
      <c r="G68" s="70" t="s">
        <v>329</v>
      </c>
      <c r="H68" s="56" t="s">
        <v>243</v>
      </c>
      <c r="I68" s="70"/>
      <c r="J68" s="70"/>
      <c r="K68" s="56" t="s">
        <v>680</v>
      </c>
      <c r="L68" s="56"/>
      <c r="M68" s="34"/>
      <c r="N68" s="56"/>
      <c r="O68" s="56"/>
      <c r="P68" s="56"/>
      <c r="Q68" s="56"/>
      <c r="R68" s="271"/>
      <c r="S68" s="25"/>
      <c r="T68" s="70"/>
      <c r="U68" s="70"/>
      <c r="V68" s="229"/>
      <c r="W68" s="229"/>
      <c r="X68" s="70"/>
      <c r="Y68" s="56"/>
      <c r="Z68" s="56"/>
      <c r="AA68" s="55"/>
      <c r="AB68" s="56"/>
      <c r="AC68" s="56"/>
      <c r="AD68" s="56"/>
      <c r="AE68" s="56"/>
      <c r="AF68" s="56"/>
      <c r="AG68" s="56"/>
    </row>
    <row r="69" spans="1:33" ht="12.5">
      <c r="A69" s="259"/>
      <c r="B69" s="259"/>
      <c r="C69" s="260"/>
      <c r="D69" s="260"/>
      <c r="E69" s="70" t="s">
        <v>55</v>
      </c>
      <c r="F69" s="70" t="s">
        <v>1499</v>
      </c>
      <c r="G69" s="70" t="s">
        <v>329</v>
      </c>
      <c r="H69" s="56" t="s">
        <v>243</v>
      </c>
      <c r="I69" s="70"/>
      <c r="J69" s="70"/>
      <c r="K69" s="56" t="s">
        <v>680</v>
      </c>
      <c r="L69" s="56"/>
      <c r="M69" s="34"/>
      <c r="N69" s="56"/>
      <c r="O69" s="56"/>
      <c r="P69" s="56"/>
      <c r="Q69" s="56"/>
      <c r="R69" s="271"/>
      <c r="S69" s="25"/>
      <c r="T69" s="70"/>
      <c r="U69" s="70"/>
      <c r="V69" s="229"/>
      <c r="W69" s="229"/>
      <c r="X69" s="70"/>
      <c r="Y69" s="56"/>
      <c r="Z69" s="56"/>
      <c r="AA69" s="55"/>
      <c r="AB69" s="56"/>
      <c r="AC69" s="56"/>
      <c r="AD69" s="56"/>
      <c r="AE69" s="56"/>
      <c r="AF69" s="56"/>
      <c r="AG69" s="56"/>
    </row>
    <row r="70" spans="1:33" ht="12.5">
      <c r="A70" s="259"/>
      <c r="B70" s="259"/>
      <c r="C70" s="260"/>
      <c r="D70" s="260"/>
      <c r="E70" s="70" t="s">
        <v>55</v>
      </c>
      <c r="F70" s="70" t="s">
        <v>1500</v>
      </c>
      <c r="G70" s="70" t="s">
        <v>329</v>
      </c>
      <c r="H70" s="56" t="s">
        <v>243</v>
      </c>
      <c r="I70" s="70"/>
      <c r="J70" s="70"/>
      <c r="K70" s="56" t="s">
        <v>680</v>
      </c>
      <c r="L70" s="56"/>
      <c r="M70" s="34"/>
      <c r="N70" s="56"/>
      <c r="O70" s="56"/>
      <c r="P70" s="56"/>
      <c r="Q70" s="56"/>
      <c r="R70" s="271"/>
      <c r="S70" s="25"/>
      <c r="T70" s="70"/>
      <c r="U70" s="70"/>
      <c r="V70" s="229"/>
      <c r="W70" s="229"/>
      <c r="X70" s="70"/>
      <c r="Y70" s="56"/>
      <c r="Z70" s="56"/>
      <c r="AA70" s="55"/>
      <c r="AB70" s="56"/>
      <c r="AC70" s="56"/>
      <c r="AD70" s="56"/>
      <c r="AE70" s="56"/>
      <c r="AF70" s="56"/>
      <c r="AG70" s="56"/>
    </row>
    <row r="71" spans="1:33" ht="12.5">
      <c r="A71" s="259"/>
      <c r="B71" s="259"/>
      <c r="C71" s="260"/>
      <c r="D71" s="260"/>
      <c r="E71" s="70" t="s">
        <v>55</v>
      </c>
      <c r="F71" s="70" t="s">
        <v>1501</v>
      </c>
      <c r="G71" s="70" t="s">
        <v>329</v>
      </c>
      <c r="H71" s="56" t="s">
        <v>243</v>
      </c>
      <c r="I71" s="70"/>
      <c r="J71" s="70"/>
      <c r="K71" s="56" t="s">
        <v>680</v>
      </c>
      <c r="L71" s="56"/>
      <c r="M71" s="34"/>
      <c r="N71" s="56"/>
      <c r="O71" s="56"/>
      <c r="P71" s="56"/>
      <c r="Q71" s="56"/>
      <c r="R71" s="271"/>
      <c r="S71" s="25"/>
      <c r="T71" s="70"/>
      <c r="U71" s="70"/>
      <c r="V71" s="229"/>
      <c r="W71" s="229"/>
      <c r="X71" s="70"/>
      <c r="Y71" s="56"/>
      <c r="Z71" s="56"/>
      <c r="AA71" s="55"/>
      <c r="AB71" s="56"/>
      <c r="AC71" s="56"/>
      <c r="AD71" s="56"/>
      <c r="AE71" s="56"/>
      <c r="AF71" s="56"/>
      <c r="AG71" s="56"/>
    </row>
    <row r="72" spans="1:33" ht="14.25" customHeight="1">
      <c r="A72" s="244"/>
      <c r="B72" s="244"/>
      <c r="C72" s="244" t="s">
        <v>1502</v>
      </c>
      <c r="D72" s="244">
        <v>1</v>
      </c>
      <c r="E72" s="56" t="s">
        <v>55</v>
      </c>
      <c r="F72" s="56" t="s">
        <v>1503</v>
      </c>
      <c r="G72" s="56" t="s">
        <v>329</v>
      </c>
      <c r="H72" s="56" t="s">
        <v>243</v>
      </c>
      <c r="I72" s="56"/>
      <c r="J72" s="22"/>
      <c r="K72" s="56" t="s">
        <v>680</v>
      </c>
      <c r="L72" s="56"/>
      <c r="M72" s="34"/>
      <c r="N72" s="56"/>
      <c r="O72" s="56"/>
      <c r="P72" s="56"/>
      <c r="Q72" s="56"/>
      <c r="R72" s="54"/>
      <c r="S72" s="25" t="e">
        <v>#N/A</v>
      </c>
      <c r="T72" s="21" t="s">
        <v>1504</v>
      </c>
      <c r="U72" s="56"/>
      <c r="V72" s="229" t="e">
        <f>VLOOKUP(F72,'[1]2. PROFITLOSSLITE'!$F$3:$W$167,17,FALSE)</f>
        <v>#N/A</v>
      </c>
      <c r="W72" s="229" t="e">
        <f>VLOOKUP(F72,'[1]2. PROFITLOSSLITE'!$F$3:$W$167,18,FALSE)</f>
        <v>#N/A</v>
      </c>
      <c r="X72" s="70"/>
      <c r="Y72" s="56" t="s">
        <v>1060</v>
      </c>
      <c r="Z72" s="56"/>
      <c r="AA72" s="55"/>
      <c r="AB72" s="56"/>
      <c r="AC72" s="70"/>
      <c r="AD72" s="70"/>
      <c r="AE72" s="70"/>
      <c r="AF72" s="70"/>
      <c r="AG72" s="70"/>
    </row>
    <row r="73" spans="1:33" ht="16.5" customHeight="1">
      <c r="A73" s="259"/>
      <c r="B73" s="259"/>
      <c r="C73" s="260"/>
      <c r="D73" s="260"/>
      <c r="E73" s="56" t="s">
        <v>55</v>
      </c>
      <c r="F73" s="56" t="s">
        <v>1505</v>
      </c>
      <c r="G73" s="56" t="s">
        <v>329</v>
      </c>
      <c r="H73" s="56" t="s">
        <v>243</v>
      </c>
      <c r="I73" s="56"/>
      <c r="J73" s="22"/>
      <c r="K73" s="56" t="s">
        <v>680</v>
      </c>
      <c r="L73" s="56"/>
      <c r="M73" s="34"/>
      <c r="N73" s="56"/>
      <c r="O73" s="56"/>
      <c r="P73" s="56"/>
      <c r="Q73" s="56"/>
      <c r="R73" s="54"/>
      <c r="S73" s="25" t="e">
        <v>#N/A</v>
      </c>
      <c r="T73" s="21" t="s">
        <v>1506</v>
      </c>
      <c r="U73" s="56"/>
      <c r="V73" s="229" t="e">
        <f>VLOOKUP(F73,'[1]2. PROFITLOSSLITE'!$F$3:$W$167,17,FALSE)</f>
        <v>#N/A</v>
      </c>
      <c r="W73" s="229" t="e">
        <f>VLOOKUP(F73,'[1]2. PROFITLOSSLITE'!$F$3:$W$167,18,FALSE)</f>
        <v>#N/A</v>
      </c>
      <c r="X73" s="70"/>
      <c r="Y73" s="56" t="s">
        <v>1060</v>
      </c>
      <c r="Z73" s="56"/>
      <c r="AA73" s="55"/>
      <c r="AB73" s="56"/>
      <c r="AC73" s="56"/>
      <c r="AD73" s="56"/>
      <c r="AE73" s="56"/>
      <c r="AF73" s="56"/>
      <c r="AG73" s="56"/>
    </row>
    <row r="74" spans="1:33" ht="18.75" customHeight="1">
      <c r="A74" s="259"/>
      <c r="B74" s="259"/>
      <c r="C74" s="260" t="s">
        <v>1507</v>
      </c>
      <c r="D74" s="260">
        <v>1</v>
      </c>
      <c r="E74" s="70" t="s">
        <v>55</v>
      </c>
      <c r="F74" s="56" t="s">
        <v>1508</v>
      </c>
      <c r="G74" s="56" t="s">
        <v>329</v>
      </c>
      <c r="H74" s="70" t="s">
        <v>243</v>
      </c>
      <c r="I74" s="56"/>
      <c r="J74" s="70"/>
      <c r="K74" s="56" t="s">
        <v>680</v>
      </c>
      <c r="L74" s="56"/>
      <c r="M74" s="34"/>
      <c r="N74" s="244"/>
      <c r="O74" s="244"/>
      <c r="P74" s="244"/>
      <c r="Q74" s="244"/>
      <c r="R74" s="269"/>
      <c r="S74" s="276" t="e">
        <v>#N/A</v>
      </c>
      <c r="T74" s="244" t="s">
        <v>1509</v>
      </c>
      <c r="U74" s="244"/>
      <c r="V74" s="229" t="e">
        <f>VLOOKUP(F74,'[1]2. PROFITLOSSLITE'!$F$3:$W$167,17,FALSE)</f>
        <v>#N/A</v>
      </c>
      <c r="W74" s="229" t="e">
        <f>VLOOKUP(F74,'[1]2. PROFITLOSSLITE'!$F$3:$W$167,18,FALSE)</f>
        <v>#N/A</v>
      </c>
      <c r="X74" s="268"/>
      <c r="Y74" s="244" t="s">
        <v>1060</v>
      </c>
      <c r="Z74" s="244"/>
      <c r="AA74" s="270"/>
      <c r="AB74" s="244"/>
      <c r="AC74" s="244"/>
      <c r="AD74" s="244"/>
      <c r="AE74" s="244"/>
      <c r="AF74" s="244"/>
      <c r="AG74" s="244"/>
    </row>
    <row r="75" spans="1:33" ht="18.75" customHeight="1">
      <c r="A75" s="259"/>
      <c r="B75" s="259"/>
      <c r="C75" s="260" t="s">
        <v>1510</v>
      </c>
      <c r="D75" s="260">
        <v>1</v>
      </c>
      <c r="E75" s="70" t="s">
        <v>55</v>
      </c>
      <c r="F75" s="56" t="s">
        <v>1511</v>
      </c>
      <c r="G75" s="56" t="s">
        <v>329</v>
      </c>
      <c r="H75" s="70" t="s">
        <v>243</v>
      </c>
      <c r="I75" s="56"/>
      <c r="J75" s="70"/>
      <c r="K75" s="56" t="s">
        <v>680</v>
      </c>
      <c r="L75" s="56"/>
      <c r="M75" s="34"/>
      <c r="N75" s="244"/>
      <c r="O75" s="244"/>
      <c r="P75" s="244"/>
      <c r="Q75" s="244"/>
      <c r="R75" s="269"/>
      <c r="S75" s="276" t="e">
        <v>#N/A</v>
      </c>
      <c r="T75" s="244" t="s">
        <v>1512</v>
      </c>
      <c r="U75" s="244"/>
      <c r="V75" s="229" t="e">
        <f>VLOOKUP(F75,'[1]2. PROFITLOSSLITE'!$F$3:$W$167,17,FALSE)</f>
        <v>#N/A</v>
      </c>
      <c r="W75" s="229" t="e">
        <f>VLOOKUP(F75,'[1]2. PROFITLOSSLITE'!$F$3:$W$167,18,FALSE)</f>
        <v>#N/A</v>
      </c>
      <c r="X75" s="268"/>
      <c r="Y75" s="244" t="s">
        <v>1060</v>
      </c>
      <c r="Z75" s="244"/>
      <c r="AA75" s="270"/>
      <c r="AB75" s="244"/>
      <c r="AC75" s="268"/>
      <c r="AD75" s="268"/>
      <c r="AE75" s="268"/>
      <c r="AF75" s="268"/>
      <c r="AG75" s="268"/>
    </row>
    <row r="76" spans="1:33" ht="18.75" customHeight="1">
      <c r="A76" s="259"/>
      <c r="B76" s="259"/>
      <c r="C76" s="260" t="s">
        <v>1513</v>
      </c>
      <c r="D76" s="260">
        <v>1</v>
      </c>
      <c r="E76" s="70" t="s">
        <v>55</v>
      </c>
      <c r="F76" s="56" t="s">
        <v>1514</v>
      </c>
      <c r="G76" s="56" t="s">
        <v>329</v>
      </c>
      <c r="H76" s="70" t="s">
        <v>243</v>
      </c>
      <c r="I76" s="56"/>
      <c r="J76" s="70"/>
      <c r="K76" s="56" t="s">
        <v>680</v>
      </c>
      <c r="L76" s="56"/>
      <c r="M76" s="34"/>
      <c r="N76" s="56"/>
      <c r="O76" s="56"/>
      <c r="P76" s="56"/>
      <c r="Q76" s="56"/>
      <c r="R76" s="269"/>
      <c r="S76" s="276" t="e">
        <v>#N/A</v>
      </c>
      <c r="T76" s="244" t="s">
        <v>1515</v>
      </c>
      <c r="U76" s="244"/>
      <c r="V76" s="229" t="e">
        <f>VLOOKUP(F76,'[1]2. PROFITLOSSLITE'!$F$3:$W$167,17,FALSE)</f>
        <v>#N/A</v>
      </c>
      <c r="W76" s="229" t="e">
        <f>VLOOKUP(F76,'[1]2. PROFITLOSSLITE'!$F$3:$W$167,18,FALSE)</f>
        <v>#N/A</v>
      </c>
      <c r="X76" s="268"/>
      <c r="Y76" s="244" t="s">
        <v>1060</v>
      </c>
      <c r="Z76" s="244"/>
      <c r="AA76" s="270"/>
      <c r="AB76" s="244"/>
      <c r="AC76" s="244"/>
      <c r="AD76" s="244"/>
      <c r="AE76" s="244"/>
      <c r="AF76" s="244"/>
      <c r="AG76" s="244"/>
    </row>
    <row r="77" spans="1:33" ht="19.5" customHeight="1">
      <c r="A77" s="259"/>
      <c r="B77" s="259"/>
      <c r="C77" s="260"/>
      <c r="D77" s="260"/>
      <c r="E77" s="70" t="s">
        <v>55</v>
      </c>
      <c r="F77" s="56" t="s">
        <v>1516</v>
      </c>
      <c r="G77" s="56" t="s">
        <v>329</v>
      </c>
      <c r="H77" s="70" t="s">
        <v>243</v>
      </c>
      <c r="I77" s="56"/>
      <c r="J77" s="70"/>
      <c r="K77" s="56" t="s">
        <v>680</v>
      </c>
      <c r="L77" s="56"/>
      <c r="M77" s="34"/>
      <c r="N77" s="56"/>
      <c r="O77" s="56"/>
      <c r="P77" s="56"/>
      <c r="Q77" s="56"/>
      <c r="R77" s="54"/>
      <c r="S77" s="25" t="e">
        <v>#N/A</v>
      </c>
      <c r="T77" s="56" t="s">
        <v>1517</v>
      </c>
      <c r="U77" s="56"/>
      <c r="V77" s="229" t="e">
        <f>VLOOKUP(F77,'[1]2. PROFITLOSSLITE'!$F$3:$W$167,17,FALSE)</f>
        <v>#N/A</v>
      </c>
      <c r="W77" s="229" t="e">
        <f>VLOOKUP(F77,'[1]2. PROFITLOSSLITE'!$F$3:$W$167,18,FALSE)</f>
        <v>#N/A</v>
      </c>
      <c r="X77" s="70"/>
      <c r="Y77" s="56" t="s">
        <v>1060</v>
      </c>
      <c r="Z77" s="56"/>
      <c r="AA77" s="55"/>
      <c r="AB77" s="56"/>
      <c r="AC77" s="56"/>
      <c r="AD77" s="56"/>
      <c r="AE77" s="56"/>
      <c r="AF77" s="56"/>
      <c r="AG77" s="56"/>
    </row>
    <row r="78" spans="1:33" ht="14.25" customHeight="1">
      <c r="A78" s="244"/>
      <c r="B78" s="244"/>
      <c r="C78" s="244"/>
      <c r="D78" s="244"/>
      <c r="E78" s="56" t="s">
        <v>61</v>
      </c>
      <c r="F78" s="56" t="s">
        <v>407</v>
      </c>
      <c r="G78" s="56" t="s">
        <v>329</v>
      </c>
      <c r="H78" s="56" t="s">
        <v>243</v>
      </c>
      <c r="I78" s="56"/>
      <c r="J78" s="56">
        <v>27</v>
      </c>
      <c r="K78" s="56" t="s">
        <v>682</v>
      </c>
      <c r="L78" s="56" t="s">
        <v>1327</v>
      </c>
      <c r="M78" s="56" t="s">
        <v>408</v>
      </c>
      <c r="N78" s="56" t="s">
        <v>1447</v>
      </c>
      <c r="O78" s="56" t="s">
        <v>1518</v>
      </c>
      <c r="P78" s="56" t="s">
        <v>1519</v>
      </c>
      <c r="Q78" s="56"/>
      <c r="R78" s="54"/>
      <c r="S78" s="25">
        <v>698.95</v>
      </c>
      <c r="T78" s="56" t="s">
        <v>1520</v>
      </c>
      <c r="U78" s="56"/>
      <c r="V78" s="244" t="e">
        <f>VLOOKUP(F78,'[1]2. PROFITLOSSLITE'!$F$3:$W$167,17,FALSE)</f>
        <v>#N/A</v>
      </c>
      <c r="W78" s="244" t="e">
        <f>VLOOKUP(F78,'[1]2. PROFITLOSSLITE'!$F$3:$W$167,18,FALSE)</f>
        <v>#N/A</v>
      </c>
      <c r="X78" s="70">
        <v>60</v>
      </c>
      <c r="Y78" s="56"/>
      <c r="Z78" s="56" t="s">
        <v>1521</v>
      </c>
      <c r="AA78" s="55">
        <v>43538</v>
      </c>
      <c r="AB78" s="56" t="s">
        <v>1522</v>
      </c>
      <c r="AC78" s="70"/>
      <c r="AD78" s="70"/>
      <c r="AE78" s="70"/>
      <c r="AF78" s="70"/>
      <c r="AG78" s="70"/>
    </row>
    <row r="79" spans="1:33" ht="14.25" customHeight="1">
      <c r="A79" s="244"/>
      <c r="B79" s="244"/>
      <c r="C79" s="244"/>
      <c r="D79" s="244"/>
      <c r="E79" s="244" t="s">
        <v>55</v>
      </c>
      <c r="F79" s="244" t="s">
        <v>1523</v>
      </c>
      <c r="G79" s="244" t="s">
        <v>329</v>
      </c>
      <c r="H79" s="244" t="s">
        <v>243</v>
      </c>
      <c r="I79" s="244"/>
      <c r="J79" s="244"/>
      <c r="K79" s="56" t="s">
        <v>682</v>
      </c>
      <c r="L79" s="244" t="s">
        <v>1327</v>
      </c>
      <c r="M79" s="244" t="s">
        <v>443</v>
      </c>
      <c r="N79" s="266" t="s">
        <v>1395</v>
      </c>
      <c r="O79" s="267" t="s">
        <v>1454</v>
      </c>
      <c r="P79" s="244" t="s">
        <v>1436</v>
      </c>
      <c r="Q79" s="244" t="s">
        <v>1336</v>
      </c>
      <c r="R79" s="269"/>
      <c r="S79" s="268"/>
      <c r="T79" s="244"/>
      <c r="U79" s="244"/>
      <c r="V79" s="244"/>
      <c r="W79" s="244"/>
      <c r="X79" s="244">
        <v>75</v>
      </c>
      <c r="Y79" s="244"/>
      <c r="Z79" s="244" t="s">
        <v>1162</v>
      </c>
      <c r="AA79" s="270">
        <v>43641</v>
      </c>
      <c r="AB79" s="244" t="s">
        <v>1455</v>
      </c>
      <c r="AC79" s="244"/>
      <c r="AD79" s="244"/>
      <c r="AE79" s="244"/>
      <c r="AF79" s="244"/>
      <c r="AG79" s="244"/>
    </row>
    <row r="80" spans="1:33" ht="14.25" customHeight="1">
      <c r="A80" s="244"/>
      <c r="B80" s="244"/>
      <c r="C80" s="244"/>
      <c r="D80" s="244"/>
      <c r="E80" s="56" t="s">
        <v>55</v>
      </c>
      <c r="F80" s="56" t="s">
        <v>1524</v>
      </c>
      <c r="G80" s="56" t="s">
        <v>255</v>
      </c>
      <c r="H80" s="56" t="s">
        <v>243</v>
      </c>
      <c r="I80" s="56"/>
      <c r="J80" s="56"/>
      <c r="K80" s="56" t="s">
        <v>682</v>
      </c>
      <c r="L80" s="56" t="s">
        <v>1327</v>
      </c>
      <c r="M80" s="56" t="s">
        <v>445</v>
      </c>
      <c r="N80" s="61" t="s">
        <v>1333</v>
      </c>
      <c r="O80" s="21" t="s">
        <v>1369</v>
      </c>
      <c r="P80" s="56" t="s">
        <v>1367</v>
      </c>
      <c r="Q80" s="56" t="s">
        <v>1336</v>
      </c>
      <c r="R80" s="269"/>
      <c r="S80" s="268"/>
      <c r="T80" s="244"/>
      <c r="U80" s="244"/>
      <c r="V80" s="244"/>
      <c r="W80" s="244"/>
      <c r="X80" s="244"/>
      <c r="Y80" s="244"/>
      <c r="Z80" s="244"/>
      <c r="AA80" s="270"/>
      <c r="AB80" s="244"/>
      <c r="AC80" s="244"/>
      <c r="AD80" s="244"/>
      <c r="AE80" s="244"/>
      <c r="AF80" s="244"/>
      <c r="AG80" s="244"/>
    </row>
    <row r="81" spans="1:33" ht="14.25" customHeight="1">
      <c r="A81" s="244"/>
      <c r="B81" s="244"/>
      <c r="C81" s="244" t="s">
        <v>1525</v>
      </c>
      <c r="D81" s="244">
        <v>1</v>
      </c>
      <c r="E81" s="70" t="s">
        <v>55</v>
      </c>
      <c r="F81" s="56" t="s">
        <v>1526</v>
      </c>
      <c r="G81" s="56" t="s">
        <v>329</v>
      </c>
      <c r="H81" s="70" t="s">
        <v>243</v>
      </c>
      <c r="I81" s="56"/>
      <c r="J81" s="70"/>
      <c r="K81" s="56" t="s">
        <v>680</v>
      </c>
      <c r="L81" s="56"/>
      <c r="M81" s="34"/>
      <c r="N81" s="56"/>
      <c r="O81" s="56"/>
      <c r="P81" s="56"/>
      <c r="Q81" s="56"/>
      <c r="R81" s="54"/>
      <c r="S81" s="25" t="e">
        <v>#N/A</v>
      </c>
      <c r="T81" s="56" t="s">
        <v>1527</v>
      </c>
      <c r="U81" s="56"/>
      <c r="V81" s="244" t="e">
        <f>VLOOKUP(F81,'[1]2. PROFITLOSSLITE'!$F$3:$W$167,17,FALSE)</f>
        <v>#N/A</v>
      </c>
      <c r="W81" s="244" t="e">
        <f>VLOOKUP(F81,'[1]2. PROFITLOSSLITE'!$F$3:$W$167,18,FALSE)</f>
        <v>#N/A</v>
      </c>
      <c r="X81" s="70"/>
      <c r="Y81" s="56" t="s">
        <v>1060</v>
      </c>
      <c r="Z81" s="56"/>
      <c r="AA81" s="55"/>
      <c r="AB81" s="56"/>
      <c r="AC81" s="56"/>
      <c r="AD81" s="56"/>
      <c r="AE81" s="56"/>
      <c r="AF81" s="56"/>
      <c r="AG81" s="56"/>
    </row>
    <row r="82" spans="1:33" ht="14.25" customHeight="1">
      <c r="A82" s="244"/>
      <c r="B82" s="244"/>
      <c r="C82" s="244"/>
      <c r="D82" s="244"/>
      <c r="E82" s="268" t="s">
        <v>55</v>
      </c>
      <c r="F82" s="244" t="s">
        <v>1528</v>
      </c>
      <c r="G82" s="244" t="s">
        <v>329</v>
      </c>
      <c r="H82" s="268" t="s">
        <v>243</v>
      </c>
      <c r="I82" s="244"/>
      <c r="J82" s="268"/>
      <c r="K82" s="56" t="s">
        <v>680</v>
      </c>
      <c r="L82" s="244"/>
      <c r="M82" s="247"/>
      <c r="N82" s="244"/>
      <c r="O82" s="244"/>
      <c r="P82" s="244"/>
      <c r="Q82" s="244"/>
      <c r="R82" s="269"/>
      <c r="S82" s="276" t="e">
        <v>#N/A</v>
      </c>
      <c r="T82" s="244" t="s">
        <v>1529</v>
      </c>
      <c r="U82" s="244"/>
      <c r="V82" s="244" t="e">
        <f>VLOOKUP(F82,'[1]2. PROFITLOSSLITE'!$F$3:$W$167,17,FALSE)</f>
        <v>#N/A</v>
      </c>
      <c r="W82" s="244" t="e">
        <f>VLOOKUP(F82,'[1]2. PROFITLOSSLITE'!$F$3:$W$167,18,FALSE)</f>
        <v>#N/A</v>
      </c>
      <c r="X82" s="268"/>
      <c r="Y82" s="244" t="s">
        <v>1060</v>
      </c>
      <c r="Z82" s="244"/>
      <c r="AA82" s="270"/>
      <c r="AB82" s="244"/>
      <c r="AC82" s="268"/>
      <c r="AD82" s="268"/>
      <c r="AE82" s="268"/>
      <c r="AF82" s="268"/>
      <c r="AG82" s="268"/>
    </row>
    <row r="83" spans="1:33" ht="14.25" customHeight="1">
      <c r="A83" s="244"/>
      <c r="B83" s="244"/>
      <c r="C83" s="244"/>
      <c r="D83" s="244"/>
      <c r="E83" s="56" t="s">
        <v>61</v>
      </c>
      <c r="F83" s="56" t="s">
        <v>333</v>
      </c>
      <c r="G83" s="56" t="s">
        <v>329</v>
      </c>
      <c r="H83" s="56" t="s">
        <v>243</v>
      </c>
      <c r="I83" s="56"/>
      <c r="J83" s="56">
        <v>28</v>
      </c>
      <c r="K83" s="56" t="s">
        <v>682</v>
      </c>
      <c r="L83" s="56" t="s">
        <v>1327</v>
      </c>
      <c r="M83" s="56" t="s">
        <v>334</v>
      </c>
      <c r="N83" s="56" t="s">
        <v>1395</v>
      </c>
      <c r="O83" s="56" t="s">
        <v>1530</v>
      </c>
      <c r="P83" s="56" t="s">
        <v>1531</v>
      </c>
      <c r="Q83" s="56"/>
      <c r="R83" s="54"/>
      <c r="S83" s="25">
        <v>1</v>
      </c>
      <c r="T83" s="56" t="s">
        <v>1532</v>
      </c>
      <c r="U83" s="56"/>
      <c r="V83" s="244" t="e">
        <f>VLOOKUP(F83,'[1]2. PROFITLOSSLITE'!$F$3:$W$167,17,FALSE)</f>
        <v>#N/A</v>
      </c>
      <c r="W83" s="244" t="e">
        <f>VLOOKUP(F83,'[1]2. PROFITLOSSLITE'!$F$3:$W$167,18,FALSE)</f>
        <v>#N/A</v>
      </c>
      <c r="X83" s="70">
        <v>23</v>
      </c>
      <c r="Y83" s="56"/>
      <c r="Z83" s="56" t="s">
        <v>1331</v>
      </c>
      <c r="AA83" s="55">
        <v>43475</v>
      </c>
      <c r="AB83" s="56" t="s">
        <v>1057</v>
      </c>
      <c r="AC83" s="56"/>
      <c r="AD83" s="56"/>
      <c r="AE83" s="56"/>
      <c r="AF83" s="56"/>
      <c r="AG83" s="56"/>
    </row>
    <row r="84" spans="1:33" ht="14.25" customHeight="1">
      <c r="A84" s="244"/>
      <c r="B84" s="244"/>
      <c r="C84" s="244"/>
      <c r="D84" s="244"/>
      <c r="E84" s="56" t="s">
        <v>55</v>
      </c>
      <c r="F84" s="56" t="s">
        <v>1533</v>
      </c>
      <c r="G84" s="56" t="s">
        <v>329</v>
      </c>
      <c r="H84" s="70" t="s">
        <v>243</v>
      </c>
      <c r="I84" s="56"/>
      <c r="J84" s="56"/>
      <c r="K84" s="56" t="s">
        <v>682</v>
      </c>
      <c r="L84" s="56" t="s">
        <v>1327</v>
      </c>
      <c r="M84" s="5" t="s">
        <v>485</v>
      </c>
      <c r="N84" s="70" t="s">
        <v>1395</v>
      </c>
      <c r="O84" s="56"/>
      <c r="P84" s="56"/>
      <c r="Q84" s="56"/>
      <c r="R84" s="54"/>
      <c r="S84" s="25"/>
      <c r="T84" s="56"/>
      <c r="U84" s="56"/>
      <c r="V84" s="244"/>
      <c r="W84" s="244"/>
      <c r="X84" s="70"/>
      <c r="Y84" s="56"/>
      <c r="Z84" s="56"/>
      <c r="AA84" s="55"/>
      <c r="AB84" s="56"/>
      <c r="AC84" s="56"/>
      <c r="AD84" s="56"/>
      <c r="AE84" s="56"/>
      <c r="AF84" s="56"/>
      <c r="AG84" s="56"/>
    </row>
    <row r="85" spans="1:33" ht="14.25" customHeight="1">
      <c r="A85" s="259"/>
      <c r="B85" s="259"/>
      <c r="C85" s="260" t="s">
        <v>1534</v>
      </c>
      <c r="D85" s="260">
        <v>1</v>
      </c>
      <c r="E85" s="70" t="s">
        <v>55</v>
      </c>
      <c r="F85" s="56" t="s">
        <v>1535</v>
      </c>
      <c r="G85" s="56" t="s">
        <v>329</v>
      </c>
      <c r="H85" s="70" t="s">
        <v>243</v>
      </c>
      <c r="I85" s="56"/>
      <c r="J85" s="70"/>
      <c r="K85" s="56" t="s">
        <v>680</v>
      </c>
      <c r="L85" s="56"/>
      <c r="M85" s="34"/>
      <c r="N85" s="56"/>
      <c r="O85" s="56"/>
      <c r="P85" s="56"/>
      <c r="Q85" s="56"/>
      <c r="R85" s="54"/>
      <c r="S85" s="25" t="e">
        <v>#N/A</v>
      </c>
      <c r="T85" s="56" t="s">
        <v>1536</v>
      </c>
      <c r="U85" s="56"/>
      <c r="V85" s="229" t="e">
        <f>VLOOKUP(F85,'[1]2. PROFITLOSSLITE'!$F$3:$W$167,17,FALSE)</f>
        <v>#N/A</v>
      </c>
      <c r="W85" s="229" t="e">
        <f>VLOOKUP(F85,'[1]2. PROFITLOSSLITE'!$F$3:$W$167,18,FALSE)</f>
        <v>#N/A</v>
      </c>
      <c r="X85" s="70"/>
      <c r="Y85" s="56" t="s">
        <v>1060</v>
      </c>
      <c r="Z85" s="56"/>
      <c r="AA85" s="55"/>
      <c r="AB85" s="56"/>
      <c r="AC85" s="70"/>
      <c r="AD85" s="70"/>
      <c r="AE85" s="70"/>
      <c r="AF85" s="70"/>
      <c r="AG85" s="70"/>
    </row>
    <row r="86" spans="1:33" ht="14.25" customHeight="1">
      <c r="A86" s="244"/>
      <c r="B86" s="244"/>
      <c r="C86" s="244" t="s">
        <v>1537</v>
      </c>
      <c r="D86" s="244">
        <v>1</v>
      </c>
      <c r="E86" s="70" t="s">
        <v>55</v>
      </c>
      <c r="F86" s="56" t="s">
        <v>1538</v>
      </c>
      <c r="G86" s="56" t="s">
        <v>329</v>
      </c>
      <c r="H86" s="70" t="s">
        <v>243</v>
      </c>
      <c r="I86" s="56"/>
      <c r="J86" s="70"/>
      <c r="K86" s="56" t="s">
        <v>680</v>
      </c>
      <c r="L86" s="56"/>
      <c r="M86" s="34"/>
      <c r="N86" s="56"/>
      <c r="O86" s="56"/>
      <c r="P86" s="56"/>
      <c r="Q86" s="56"/>
      <c r="R86" s="54"/>
      <c r="S86" s="25" t="e">
        <v>#N/A</v>
      </c>
      <c r="T86" s="56" t="s">
        <v>1539</v>
      </c>
      <c r="U86" s="56"/>
      <c r="V86" s="244" t="e">
        <f>VLOOKUP(F86,'[1]2. PROFITLOSSLITE'!$F$3:$W$167,17,FALSE)</f>
        <v>#N/A</v>
      </c>
      <c r="W86" s="244" t="e">
        <f>VLOOKUP(F86,'[1]2. PROFITLOSSLITE'!$F$3:$W$167,18,FALSE)</f>
        <v>#N/A</v>
      </c>
      <c r="X86" s="70"/>
      <c r="Y86" s="56" t="s">
        <v>1060</v>
      </c>
      <c r="Z86" s="56"/>
      <c r="AA86" s="55"/>
      <c r="AB86" s="56"/>
      <c r="AC86" s="56"/>
      <c r="AD86" s="56"/>
      <c r="AE86" s="56"/>
      <c r="AF86" s="56"/>
      <c r="AG86" s="56"/>
    </row>
    <row r="87" spans="1:33" ht="14.25" customHeight="1">
      <c r="A87" s="259"/>
      <c r="B87" s="259"/>
      <c r="C87" s="260" t="s">
        <v>1540</v>
      </c>
      <c r="D87" s="260">
        <v>1</v>
      </c>
      <c r="E87" s="70" t="s">
        <v>55</v>
      </c>
      <c r="F87" s="56" t="s">
        <v>1541</v>
      </c>
      <c r="G87" s="56" t="s">
        <v>329</v>
      </c>
      <c r="H87" s="70" t="s">
        <v>243</v>
      </c>
      <c r="I87" s="56"/>
      <c r="J87" s="70"/>
      <c r="K87" s="56" t="s">
        <v>680</v>
      </c>
      <c r="L87" s="56"/>
      <c r="M87" s="34"/>
      <c r="N87" s="56"/>
      <c r="O87" s="56"/>
      <c r="P87" s="56"/>
      <c r="Q87" s="56"/>
      <c r="R87" s="54"/>
      <c r="S87" s="25" t="e">
        <v>#N/A</v>
      </c>
      <c r="T87" s="56" t="s">
        <v>1542</v>
      </c>
      <c r="U87" s="56"/>
      <c r="V87" s="229" t="e">
        <f>VLOOKUP(F87,'[1]2. PROFITLOSSLITE'!$F$3:$W$167,17,FALSE)</f>
        <v>#N/A</v>
      </c>
      <c r="W87" s="229" t="e">
        <f>VLOOKUP(F87,'[1]2. PROFITLOSSLITE'!$F$3:$W$167,18,FALSE)</f>
        <v>#N/A</v>
      </c>
      <c r="X87" s="70"/>
      <c r="Y87" s="56" t="s">
        <v>1060</v>
      </c>
      <c r="Z87" s="56"/>
      <c r="AA87" s="55"/>
      <c r="AB87" s="56"/>
      <c r="AC87" s="70"/>
      <c r="AD87" s="70"/>
      <c r="AE87" s="70"/>
      <c r="AF87" s="70"/>
      <c r="AG87" s="70"/>
    </row>
    <row r="88" spans="1:33" ht="14.25" customHeight="1">
      <c r="A88" s="244"/>
      <c r="B88" s="244"/>
      <c r="C88" s="244"/>
      <c r="D88" s="244"/>
      <c r="E88" s="70" t="s">
        <v>55</v>
      </c>
      <c r="F88" s="56" t="s">
        <v>1543</v>
      </c>
      <c r="G88" s="56" t="s">
        <v>329</v>
      </c>
      <c r="H88" s="70" t="s">
        <v>243</v>
      </c>
      <c r="I88" s="56"/>
      <c r="J88" s="70"/>
      <c r="K88" s="56" t="s">
        <v>680</v>
      </c>
      <c r="L88" s="56"/>
      <c r="M88" s="34"/>
      <c r="N88" s="56"/>
      <c r="O88" s="56"/>
      <c r="P88" s="56"/>
      <c r="Q88" s="56"/>
      <c r="R88" s="54"/>
      <c r="S88" s="25"/>
      <c r="T88" s="56"/>
      <c r="U88" s="56"/>
      <c r="V88" s="244"/>
      <c r="W88" s="244"/>
      <c r="X88" s="70"/>
      <c r="Y88" s="56"/>
      <c r="Z88" s="56"/>
      <c r="AA88" s="55"/>
      <c r="AB88" s="56"/>
      <c r="AC88" s="70"/>
      <c r="AD88" s="70"/>
      <c r="AE88" s="70"/>
      <c r="AF88" s="70"/>
      <c r="AG88" s="70"/>
    </row>
    <row r="89" spans="1:33" ht="14.25" customHeight="1">
      <c r="A89" s="244"/>
      <c r="B89" s="244"/>
      <c r="C89" s="244"/>
      <c r="D89" s="244"/>
      <c r="E89" s="70" t="s">
        <v>55</v>
      </c>
      <c r="F89" s="56" t="s">
        <v>1543</v>
      </c>
      <c r="G89" s="56" t="s">
        <v>329</v>
      </c>
      <c r="H89" s="70" t="s">
        <v>243</v>
      </c>
      <c r="I89" s="56"/>
      <c r="J89" s="70"/>
      <c r="K89" s="56" t="s">
        <v>680</v>
      </c>
      <c r="L89" s="56"/>
      <c r="M89" s="34"/>
      <c r="N89" s="56"/>
      <c r="O89" s="56"/>
      <c r="P89" s="56"/>
      <c r="Q89" s="56"/>
      <c r="R89" s="54"/>
      <c r="S89" s="25"/>
      <c r="T89" s="56"/>
      <c r="U89" s="56"/>
      <c r="V89" s="244"/>
      <c r="W89" s="244"/>
      <c r="X89" s="70"/>
      <c r="Y89" s="56"/>
      <c r="Z89" s="56"/>
      <c r="AA89" s="55"/>
      <c r="AB89" s="56"/>
      <c r="AC89" s="70"/>
      <c r="AD89" s="70"/>
      <c r="AE89" s="70"/>
      <c r="AF89" s="70"/>
      <c r="AG89" s="70"/>
    </row>
    <row r="90" spans="1:33" ht="14.25" customHeight="1">
      <c r="A90" s="259"/>
      <c r="B90" s="259"/>
      <c r="C90" s="260"/>
      <c r="D90" s="260"/>
      <c r="E90" s="56" t="s">
        <v>59</v>
      </c>
      <c r="F90" s="56" t="s">
        <v>424</v>
      </c>
      <c r="G90" s="56" t="s">
        <v>329</v>
      </c>
      <c r="H90" s="56" t="s">
        <v>243</v>
      </c>
      <c r="I90" s="56"/>
      <c r="J90" s="56">
        <v>29</v>
      </c>
      <c r="K90" s="56" t="s">
        <v>682</v>
      </c>
      <c r="L90" s="56" t="s">
        <v>1327</v>
      </c>
      <c r="M90" s="34" t="s">
        <v>425</v>
      </c>
      <c r="N90" s="56" t="s">
        <v>1370</v>
      </c>
      <c r="O90" s="56" t="s">
        <v>1544</v>
      </c>
      <c r="P90" s="56" t="s">
        <v>1545</v>
      </c>
      <c r="Q90" s="56"/>
      <c r="R90" s="54"/>
      <c r="S90" s="25">
        <v>8364.57</v>
      </c>
      <c r="T90" s="56" t="s">
        <v>1546</v>
      </c>
      <c r="U90" s="56"/>
      <c r="V90" s="229" t="e">
        <f>VLOOKUP(F90,'[1]2. PROFITLOSSLITE'!$F$3:$W$167,17,FALSE)</f>
        <v>#N/A</v>
      </c>
      <c r="W90" s="229" t="e">
        <f>VLOOKUP(F90,'[1]2. PROFITLOSSLITE'!$F$3:$W$167,18,FALSE)</f>
        <v>#N/A</v>
      </c>
      <c r="X90" s="70">
        <v>68</v>
      </c>
      <c r="Y90" s="56"/>
      <c r="Z90" s="56" t="s">
        <v>1331</v>
      </c>
      <c r="AA90" s="55">
        <v>43475</v>
      </c>
      <c r="AB90" s="56" t="s">
        <v>1057</v>
      </c>
      <c r="AC90" s="56"/>
      <c r="AD90" s="56"/>
      <c r="AE90" s="56"/>
      <c r="AF90" s="56"/>
      <c r="AG90" s="56"/>
    </row>
    <row r="91" spans="1:33" ht="14.25" customHeight="1">
      <c r="A91" s="259"/>
      <c r="B91" s="259"/>
      <c r="C91" s="260"/>
      <c r="D91" s="260"/>
      <c r="E91" s="56" t="s">
        <v>55</v>
      </c>
      <c r="F91" s="56" t="s">
        <v>520</v>
      </c>
      <c r="G91" s="56" t="s">
        <v>255</v>
      </c>
      <c r="H91" s="56" t="s">
        <v>243</v>
      </c>
      <c r="I91" s="56"/>
      <c r="J91" s="56">
        <v>30</v>
      </c>
      <c r="K91" s="56" t="s">
        <v>680</v>
      </c>
      <c r="L91" s="56"/>
      <c r="M91" s="34"/>
      <c r="N91" s="56"/>
      <c r="O91" s="56"/>
      <c r="P91" s="56"/>
      <c r="Q91" s="56"/>
      <c r="R91" s="54"/>
      <c r="S91" s="25" t="e">
        <v>#N/A</v>
      </c>
      <c r="T91" s="56" t="s">
        <v>1547</v>
      </c>
      <c r="U91" s="56"/>
      <c r="V91" s="229" t="e">
        <f>VLOOKUP(F91,'[1]2. PROFITLOSSLITE'!$F$3:$W$167,17,FALSE)</f>
        <v>#N/A</v>
      </c>
      <c r="W91" s="229" t="e">
        <f>VLOOKUP(F91,'[1]2. PROFITLOSSLITE'!$F$3:$W$167,18,FALSE)</f>
        <v>#N/A</v>
      </c>
      <c r="X91" s="70"/>
      <c r="Y91" s="56" t="s">
        <v>1060</v>
      </c>
      <c r="Z91" s="56"/>
      <c r="AA91" s="55"/>
      <c r="AB91" s="56"/>
      <c r="AC91" s="70"/>
      <c r="AD91" s="70"/>
      <c r="AE91" s="70"/>
      <c r="AF91" s="70"/>
      <c r="AG91" s="70"/>
    </row>
    <row r="92" spans="1:33" ht="14.25" customHeight="1">
      <c r="A92" s="62"/>
      <c r="B92" s="62"/>
      <c r="C92" s="63" t="s">
        <v>1548</v>
      </c>
      <c r="D92" s="63">
        <v>1</v>
      </c>
      <c r="E92" s="56" t="s">
        <v>55</v>
      </c>
      <c r="F92" s="56" t="s">
        <v>522</v>
      </c>
      <c r="G92" s="56" t="s">
        <v>329</v>
      </c>
      <c r="H92" s="56" t="s">
        <v>243</v>
      </c>
      <c r="I92" s="56"/>
      <c r="J92" s="56">
        <v>31</v>
      </c>
      <c r="K92" s="56" t="s">
        <v>680</v>
      </c>
      <c r="L92" s="56"/>
      <c r="M92" s="34"/>
      <c r="N92" s="56"/>
      <c r="O92" s="56"/>
      <c r="P92" s="56"/>
      <c r="Q92" s="56"/>
      <c r="R92" s="54"/>
      <c r="S92" s="25" t="e">
        <v>#N/A</v>
      </c>
      <c r="T92" s="56" t="s">
        <v>1549</v>
      </c>
      <c r="U92" s="56"/>
      <c r="V92" s="64" t="e">
        <f>VLOOKUP(F92,'[1]2. PROFITLOSSLITE'!$F$3:$W$167,17,FALSE)</f>
        <v>#N/A</v>
      </c>
      <c r="W92" s="64" t="e">
        <f>VLOOKUP(F92,'[1]2. PROFITLOSSLITE'!$F$3:$W$167,18,FALSE)</f>
        <v>#N/A</v>
      </c>
      <c r="X92" s="70"/>
      <c r="Y92" s="56" t="s">
        <v>1060</v>
      </c>
      <c r="Z92" s="56"/>
      <c r="AA92" s="55"/>
      <c r="AB92" s="56"/>
      <c r="AC92" s="70"/>
      <c r="AD92" s="70"/>
      <c r="AE92" s="70"/>
      <c r="AF92" s="70"/>
      <c r="AG92" s="70"/>
    </row>
    <row r="93" spans="1:33" ht="14.25" customHeight="1">
      <c r="A93" s="259"/>
      <c r="B93" s="259"/>
      <c r="C93" s="260" t="s">
        <v>1550</v>
      </c>
      <c r="D93" s="260">
        <v>1</v>
      </c>
      <c r="E93" s="56" t="s">
        <v>55</v>
      </c>
      <c r="F93" s="56" t="s">
        <v>260</v>
      </c>
      <c r="G93" s="56" t="s">
        <v>242</v>
      </c>
      <c r="H93" s="56" t="s">
        <v>243</v>
      </c>
      <c r="I93" s="56"/>
      <c r="J93" s="22">
        <v>81</v>
      </c>
      <c r="K93" s="56" t="s">
        <v>680</v>
      </c>
      <c r="L93" s="56"/>
      <c r="M93" s="34"/>
      <c r="N93" s="56"/>
      <c r="O93" s="56"/>
      <c r="P93" s="56"/>
      <c r="Q93" s="56"/>
      <c r="R93" s="274"/>
      <c r="S93" s="25" t="e">
        <v>#N/A</v>
      </c>
      <c r="T93" s="56" t="s">
        <v>1551</v>
      </c>
      <c r="U93" s="56">
        <v>1</v>
      </c>
      <c r="V93" s="229" t="e">
        <f>VLOOKUP(F93,'[1]2. PROFITLOSSLITE'!$F$3:$W$167,17,FALSE)</f>
        <v>#N/A</v>
      </c>
      <c r="W93" s="229" t="e">
        <f>VLOOKUP(F93,'[1]2. PROFITLOSSLITE'!$F$3:$W$167,18,FALSE)</f>
        <v>#N/A</v>
      </c>
      <c r="X93" s="70"/>
      <c r="Y93" s="56" t="s">
        <v>1060</v>
      </c>
      <c r="Z93" s="56"/>
      <c r="AA93" s="55"/>
      <c r="AB93" s="56"/>
      <c r="AC93" s="70"/>
      <c r="AD93" s="70"/>
      <c r="AE93" s="70"/>
      <c r="AF93" s="70"/>
      <c r="AG93" s="70"/>
    </row>
    <row r="94" spans="1:33" ht="14.25" customHeight="1">
      <c r="A94" s="259"/>
      <c r="B94" s="259"/>
      <c r="C94" s="260" t="s">
        <v>225</v>
      </c>
      <c r="D94" s="260">
        <v>1</v>
      </c>
      <c r="E94" s="56" t="s">
        <v>55</v>
      </c>
      <c r="F94" s="56" t="s">
        <v>270</v>
      </c>
      <c r="G94" s="56" t="s">
        <v>242</v>
      </c>
      <c r="H94" s="56" t="s">
        <v>243</v>
      </c>
      <c r="I94" s="56"/>
      <c r="J94" s="22">
        <v>82</v>
      </c>
      <c r="K94" s="56" t="s">
        <v>680</v>
      </c>
      <c r="L94" s="56"/>
      <c r="M94" s="34"/>
      <c r="N94" s="56"/>
      <c r="O94" s="56"/>
      <c r="P94" s="56"/>
      <c r="Q94" s="56"/>
      <c r="R94" s="274"/>
      <c r="S94" s="25" t="e">
        <v>#N/A</v>
      </c>
      <c r="T94" s="56" t="s">
        <v>1551</v>
      </c>
      <c r="U94" s="56">
        <v>1</v>
      </c>
      <c r="V94" s="229" t="e">
        <f>VLOOKUP(F94,'[1]2. PROFITLOSSLITE'!$F$3:$W$167,17,FALSE)</f>
        <v>#N/A</v>
      </c>
      <c r="W94" s="229" t="e">
        <f>VLOOKUP(F94,'[1]2. PROFITLOSSLITE'!$F$3:$W$167,18,FALSE)</f>
        <v>#N/A</v>
      </c>
      <c r="X94" s="70"/>
      <c r="Y94" s="56" t="s">
        <v>1060</v>
      </c>
      <c r="Z94" s="56"/>
      <c r="AA94" s="55"/>
      <c r="AB94" s="56"/>
      <c r="AC94" s="70"/>
      <c r="AD94" s="70"/>
      <c r="AE94" s="70"/>
      <c r="AF94" s="70"/>
      <c r="AG94" s="70"/>
    </row>
    <row r="95" spans="1:33" ht="14.25" customHeight="1">
      <c r="A95" s="56"/>
      <c r="B95" s="56"/>
      <c r="C95" s="56" t="s">
        <v>1552</v>
      </c>
      <c r="D95" s="56">
        <v>1</v>
      </c>
      <c r="E95" s="56" t="s">
        <v>55</v>
      </c>
      <c r="F95" s="56" t="s">
        <v>1223</v>
      </c>
      <c r="G95" s="56" t="s">
        <v>242</v>
      </c>
      <c r="H95" s="56" t="s">
        <v>243</v>
      </c>
      <c r="I95" s="56"/>
      <c r="J95" s="22">
        <v>83</v>
      </c>
      <c r="K95" s="56" t="s">
        <v>680</v>
      </c>
      <c r="L95" s="56"/>
      <c r="M95" s="34"/>
      <c r="N95" s="56"/>
      <c r="O95" s="56"/>
      <c r="P95" s="56"/>
      <c r="Q95" s="56"/>
      <c r="R95" s="274"/>
      <c r="S95" s="25" t="e">
        <v>#N/A</v>
      </c>
      <c r="T95" s="56" t="s">
        <v>1551</v>
      </c>
      <c r="U95" s="56">
        <v>1</v>
      </c>
      <c r="V95" s="56" t="e">
        <f>VLOOKUP(F95,'[1]2. PROFITLOSSLITE'!$F$3:$W$167,17,FALSE)</f>
        <v>#N/A</v>
      </c>
      <c r="W95" s="56" t="e">
        <f>VLOOKUP(F95,'[1]2. PROFITLOSSLITE'!$F$3:$W$167,18,FALSE)</f>
        <v>#N/A</v>
      </c>
      <c r="X95" s="70"/>
      <c r="Y95" s="56" t="s">
        <v>1060</v>
      </c>
      <c r="Z95" s="56"/>
      <c r="AA95" s="55"/>
      <c r="AB95" s="56"/>
      <c r="AC95" s="70"/>
      <c r="AD95" s="70"/>
      <c r="AE95" s="70"/>
      <c r="AF95" s="70"/>
      <c r="AG95" s="70"/>
    </row>
    <row r="96" spans="1:33" ht="14.25" customHeight="1">
      <c r="A96" s="259"/>
      <c r="B96" s="259"/>
      <c r="C96" s="260" t="s">
        <v>1553</v>
      </c>
      <c r="D96" s="260">
        <v>1</v>
      </c>
      <c r="E96" s="56" t="s">
        <v>55</v>
      </c>
      <c r="F96" s="56" t="s">
        <v>1228</v>
      </c>
      <c r="G96" s="56" t="s">
        <v>242</v>
      </c>
      <c r="H96" s="56" t="s">
        <v>243</v>
      </c>
      <c r="I96" s="56"/>
      <c r="J96" s="22">
        <v>84</v>
      </c>
      <c r="K96" s="56" t="s">
        <v>680</v>
      </c>
      <c r="L96" s="56"/>
      <c r="M96" s="34"/>
      <c r="N96" s="56"/>
      <c r="O96" s="56"/>
      <c r="P96" s="56"/>
      <c r="Q96" s="56"/>
      <c r="R96" s="274"/>
      <c r="S96" s="25" t="e">
        <v>#N/A</v>
      </c>
      <c r="T96" s="56" t="s">
        <v>1551</v>
      </c>
      <c r="U96" s="56">
        <v>1</v>
      </c>
      <c r="V96" s="229" t="e">
        <f>VLOOKUP(F96,'[1]2. PROFITLOSSLITE'!$F$3:$W$167,17,FALSE)</f>
        <v>#N/A</v>
      </c>
      <c r="W96" s="229" t="e">
        <f>VLOOKUP(F96,'[1]2. PROFITLOSSLITE'!$F$3:$W$167,18,FALSE)</f>
        <v>#N/A</v>
      </c>
      <c r="X96" s="70"/>
      <c r="Y96" s="56" t="s">
        <v>1060</v>
      </c>
      <c r="Z96" s="56"/>
      <c r="AA96" s="55"/>
      <c r="AB96" s="56"/>
      <c r="AC96" s="70"/>
      <c r="AD96" s="70"/>
      <c r="AE96" s="70"/>
      <c r="AF96" s="70"/>
      <c r="AG96" s="70"/>
    </row>
    <row r="97" spans="1:33" ht="14.25" customHeight="1">
      <c r="A97" s="259"/>
      <c r="B97" s="259"/>
      <c r="C97" s="260"/>
      <c r="D97" s="260"/>
      <c r="E97" s="56" t="s">
        <v>59</v>
      </c>
      <c r="F97" s="56" t="s">
        <v>341</v>
      </c>
      <c r="G97" s="56" t="s">
        <v>247</v>
      </c>
      <c r="H97" s="56" t="s">
        <v>243</v>
      </c>
      <c r="I97" s="56"/>
      <c r="J97" s="56">
        <v>32</v>
      </c>
      <c r="K97" s="56" t="s">
        <v>682</v>
      </c>
      <c r="L97" s="56" t="s">
        <v>1327</v>
      </c>
      <c r="M97" s="34" t="s">
        <v>342</v>
      </c>
      <c r="N97" s="56" t="s">
        <v>1554</v>
      </c>
      <c r="O97" s="56" t="s">
        <v>1555</v>
      </c>
      <c r="P97" s="56" t="s">
        <v>1556</v>
      </c>
      <c r="Q97" s="56"/>
      <c r="R97" s="249" t="s">
        <v>1346</v>
      </c>
      <c r="S97" s="25" t="s">
        <v>1252</v>
      </c>
      <c r="T97" s="56" t="s">
        <v>1557</v>
      </c>
      <c r="U97" s="56">
        <v>1</v>
      </c>
      <c r="V97" s="229" t="e">
        <f>VLOOKUP(F97,'[1]2. PROFITLOSSLITE'!$F$3:$W$167,17,FALSE)</f>
        <v>#N/A</v>
      </c>
      <c r="W97" s="229" t="e">
        <f>VLOOKUP(F97,'[1]2. PROFITLOSSLITE'!$F$3:$W$167,18,FALSE)</f>
        <v>#N/A</v>
      </c>
      <c r="X97" s="70">
        <v>27</v>
      </c>
      <c r="Y97" s="56"/>
      <c r="Z97" s="56" t="s">
        <v>1331</v>
      </c>
      <c r="AA97" s="55">
        <v>43475</v>
      </c>
      <c r="AB97" s="56" t="s">
        <v>1057</v>
      </c>
      <c r="AC97" s="70"/>
      <c r="AD97" s="70"/>
      <c r="AE97" s="70"/>
      <c r="AF97" s="70"/>
      <c r="AG97" s="70"/>
    </row>
    <row r="98" spans="1:33" ht="14.25" customHeight="1">
      <c r="A98" s="259"/>
      <c r="B98" s="259"/>
      <c r="C98" s="260"/>
      <c r="D98" s="260"/>
      <c r="E98" s="56" t="s">
        <v>59</v>
      </c>
      <c r="F98" s="56" t="s">
        <v>343</v>
      </c>
      <c r="G98" s="56" t="s">
        <v>247</v>
      </c>
      <c r="H98" s="56" t="s">
        <v>243</v>
      </c>
      <c r="I98" s="56"/>
      <c r="J98" s="56">
        <v>33</v>
      </c>
      <c r="K98" s="56" t="s">
        <v>682</v>
      </c>
      <c r="L98" s="56" t="s">
        <v>1327</v>
      </c>
      <c r="M98" s="34" t="s">
        <v>344</v>
      </c>
      <c r="N98" s="56" t="s">
        <v>1554</v>
      </c>
      <c r="O98" s="56" t="s">
        <v>1558</v>
      </c>
      <c r="P98" s="56" t="s">
        <v>1559</v>
      </c>
      <c r="Q98" s="56"/>
      <c r="R98" s="249" t="s">
        <v>1346</v>
      </c>
      <c r="S98" s="25" t="s">
        <v>1252</v>
      </c>
      <c r="T98" s="56" t="s">
        <v>1560</v>
      </c>
      <c r="U98" s="56">
        <v>1</v>
      </c>
      <c r="V98" s="229" t="e">
        <f>VLOOKUP(F98,'[1]2. PROFITLOSSLITE'!$F$3:$W$167,17,FALSE)</f>
        <v>#N/A</v>
      </c>
      <c r="W98" s="229" t="e">
        <f>VLOOKUP(F98,'[1]2. PROFITLOSSLITE'!$F$3:$W$167,18,FALSE)</f>
        <v>#N/A</v>
      </c>
      <c r="X98" s="70">
        <v>28</v>
      </c>
      <c r="Y98" s="56"/>
      <c r="Z98" s="56" t="s">
        <v>1331</v>
      </c>
      <c r="AA98" s="55">
        <v>43475</v>
      </c>
      <c r="AB98" s="56" t="s">
        <v>1057</v>
      </c>
      <c r="AC98" s="70"/>
      <c r="AD98" s="70"/>
      <c r="AE98" s="70"/>
      <c r="AF98" s="70"/>
      <c r="AG98" s="70"/>
    </row>
    <row r="99" spans="1:33" ht="14.25" customHeight="1">
      <c r="A99" s="259"/>
      <c r="B99" s="259"/>
      <c r="C99" s="260"/>
      <c r="D99" s="260"/>
      <c r="E99" s="56" t="s">
        <v>59</v>
      </c>
      <c r="F99" s="56" t="s">
        <v>363</v>
      </c>
      <c r="G99" s="56" t="s">
        <v>364</v>
      </c>
      <c r="H99" s="56" t="s">
        <v>243</v>
      </c>
      <c r="I99" s="56"/>
      <c r="J99" s="56">
        <v>34</v>
      </c>
      <c r="K99" s="56" t="s">
        <v>682</v>
      </c>
      <c r="L99" s="56" t="s">
        <v>1327</v>
      </c>
      <c r="M99" s="34" t="s">
        <v>365</v>
      </c>
      <c r="N99" s="56" t="s">
        <v>1561</v>
      </c>
      <c r="O99" s="56" t="s">
        <v>1562</v>
      </c>
      <c r="P99" s="56" t="s">
        <v>1563</v>
      </c>
      <c r="Q99" s="56"/>
      <c r="R99" s="249" t="s">
        <v>1346</v>
      </c>
      <c r="S99" s="25"/>
      <c r="T99" s="56" t="s">
        <v>1564</v>
      </c>
      <c r="U99" s="56">
        <v>1</v>
      </c>
      <c r="V99" s="229" t="e">
        <f>VLOOKUP(F99,'[1]2. PROFITLOSSLITE'!$F$3:$W$167,17,FALSE)</f>
        <v>#N/A</v>
      </c>
      <c r="W99" s="229" t="e">
        <f>VLOOKUP(F99,'[1]2. PROFITLOSSLITE'!$F$3:$W$167,18,FALSE)</f>
        <v>#N/A</v>
      </c>
      <c r="X99" s="70">
        <v>38</v>
      </c>
      <c r="Y99" s="56"/>
      <c r="Z99" s="56" t="s">
        <v>1331</v>
      </c>
      <c r="AA99" s="55">
        <v>43475</v>
      </c>
      <c r="AB99" s="56" t="s">
        <v>1057</v>
      </c>
      <c r="AC99" s="70"/>
      <c r="AD99" s="70"/>
      <c r="AE99" s="70"/>
      <c r="AF99" s="70"/>
      <c r="AG99" s="70"/>
    </row>
    <row r="100" spans="1:33" ht="14.25" customHeight="1">
      <c r="A100" s="259"/>
      <c r="B100" s="259"/>
      <c r="C100" s="260"/>
      <c r="D100" s="260"/>
      <c r="E100" s="56" t="s">
        <v>59</v>
      </c>
      <c r="F100" s="56" t="s">
        <v>318</v>
      </c>
      <c r="G100" s="56" t="s">
        <v>264</v>
      </c>
      <c r="H100" s="56" t="s">
        <v>243</v>
      </c>
      <c r="I100" s="56"/>
      <c r="J100" s="56">
        <v>35</v>
      </c>
      <c r="K100" s="56" t="s">
        <v>682</v>
      </c>
      <c r="L100" s="56" t="s">
        <v>1327</v>
      </c>
      <c r="M100" s="34" t="s">
        <v>319</v>
      </c>
      <c r="N100" s="56" t="s">
        <v>1565</v>
      </c>
      <c r="O100" s="56" t="s">
        <v>1566</v>
      </c>
      <c r="P100" s="56" t="s">
        <v>1567</v>
      </c>
      <c r="Q100" s="56"/>
      <c r="R100" s="249" t="s">
        <v>1346</v>
      </c>
      <c r="S100" s="25" t="s">
        <v>1568</v>
      </c>
      <c r="T100" s="56" t="s">
        <v>318</v>
      </c>
      <c r="U100" s="56"/>
      <c r="V100" s="229" t="e">
        <f>VLOOKUP(F100,'[1]2. PROFITLOSSLITE'!$F$3:$W$167,17,FALSE)</f>
        <v>#N/A</v>
      </c>
      <c r="W100" s="229" t="e">
        <f>VLOOKUP(F100,'[1]2. PROFITLOSSLITE'!$F$3:$W$167,18,FALSE)</f>
        <v>#N/A</v>
      </c>
      <c r="X100" s="70">
        <v>16</v>
      </c>
      <c r="Y100" s="56"/>
      <c r="Z100" s="56" t="s">
        <v>1331</v>
      </c>
      <c r="AA100" s="55">
        <v>43475</v>
      </c>
      <c r="AB100" s="56" t="s">
        <v>1057</v>
      </c>
      <c r="AC100" s="56"/>
      <c r="AD100" s="56"/>
      <c r="AE100" s="56"/>
      <c r="AF100" s="56"/>
      <c r="AG100" s="56"/>
    </row>
    <row r="101" spans="1:33" ht="14.25" customHeight="1">
      <c r="A101" s="259"/>
      <c r="B101" s="259"/>
      <c r="C101" s="260" t="s">
        <v>1569</v>
      </c>
      <c r="D101" s="260">
        <v>1</v>
      </c>
      <c r="E101" s="56" t="s">
        <v>55</v>
      </c>
      <c r="F101" s="56" t="s">
        <v>1570</v>
      </c>
      <c r="G101" s="56" t="s">
        <v>249</v>
      </c>
      <c r="H101" s="56" t="s">
        <v>243</v>
      </c>
      <c r="I101" s="56"/>
      <c r="J101" s="22"/>
      <c r="K101" s="56" t="s">
        <v>680</v>
      </c>
      <c r="L101" s="56"/>
      <c r="M101" s="34"/>
      <c r="N101" s="56"/>
      <c r="O101" s="56"/>
      <c r="P101" s="56"/>
      <c r="Q101" s="56"/>
      <c r="R101" s="54"/>
      <c r="S101" s="25" t="e">
        <v>#N/A</v>
      </c>
      <c r="T101" s="21" t="s">
        <v>1571</v>
      </c>
      <c r="U101" s="56">
        <v>1</v>
      </c>
      <c r="V101" s="229" t="e">
        <f>VLOOKUP(F101,'[1]2. PROFITLOSSLITE'!$F$3:$W$167,17,FALSE)</f>
        <v>#N/A</v>
      </c>
      <c r="W101" s="229" t="e">
        <f>VLOOKUP(F101,'[1]2. PROFITLOSSLITE'!$F$3:$W$167,18,FALSE)</f>
        <v>#N/A</v>
      </c>
      <c r="X101" s="70"/>
      <c r="Y101" s="56" t="s">
        <v>1060</v>
      </c>
      <c r="Z101" s="56"/>
      <c r="AA101" s="55"/>
      <c r="AB101" s="56"/>
      <c r="AC101" s="70"/>
      <c r="AD101" s="70"/>
      <c r="AE101" s="70"/>
      <c r="AF101" s="70"/>
      <c r="AG101" s="70"/>
    </row>
    <row r="102" spans="1:33" ht="38.25" customHeight="1">
      <c r="A102" s="244"/>
      <c r="B102" s="244"/>
      <c r="C102" s="244"/>
      <c r="D102" s="244"/>
      <c r="E102" s="56" t="s">
        <v>55</v>
      </c>
      <c r="F102" s="56" t="s">
        <v>476</v>
      </c>
      <c r="G102" s="56" t="s">
        <v>242</v>
      </c>
      <c r="H102" s="56" t="s">
        <v>243</v>
      </c>
      <c r="I102" s="56"/>
      <c r="J102" s="56">
        <v>36</v>
      </c>
      <c r="K102" s="56" t="s">
        <v>682</v>
      </c>
      <c r="L102" s="56" t="s">
        <v>1327</v>
      </c>
      <c r="M102" s="5" t="s">
        <v>1572</v>
      </c>
      <c r="N102" s="70" t="s">
        <v>1573</v>
      </c>
      <c r="O102" s="56" t="s">
        <v>1574</v>
      </c>
      <c r="P102" s="56" t="s">
        <v>1575</v>
      </c>
      <c r="Q102" s="56"/>
      <c r="R102" s="54"/>
      <c r="S102" s="25" t="e">
        <v>#N/A</v>
      </c>
      <c r="T102" s="56" t="s">
        <v>1576</v>
      </c>
      <c r="U102" s="56">
        <v>1</v>
      </c>
      <c r="V102" s="244" t="e">
        <f>VLOOKUP(F102,'[1]2. PROFITLOSSLITE'!$F$3:$W$167,17,FALSE)</f>
        <v>#N/A</v>
      </c>
      <c r="W102" s="244" t="e">
        <f>VLOOKUP(F102,'[1]2. PROFITLOSSLITE'!$F$3:$W$167,18,FALSE)</f>
        <v>#N/A</v>
      </c>
      <c r="X102" s="70">
        <v>92</v>
      </c>
      <c r="Y102" s="56"/>
      <c r="Z102" s="56" t="s">
        <v>1197</v>
      </c>
      <c r="AA102" s="55">
        <v>43607</v>
      </c>
      <c r="AB102" s="56" t="s">
        <v>1577</v>
      </c>
      <c r="AC102" s="70"/>
      <c r="AD102" s="70"/>
      <c r="AE102" s="70"/>
      <c r="AF102" s="70"/>
      <c r="AG102" s="70"/>
    </row>
    <row r="103" spans="1:33" ht="14.25" customHeight="1">
      <c r="A103" s="259"/>
      <c r="B103" s="259"/>
      <c r="C103" s="260"/>
      <c r="D103" s="260"/>
      <c r="E103" s="56" t="s">
        <v>55</v>
      </c>
      <c r="F103" s="56" t="s">
        <v>1578</v>
      </c>
      <c r="G103" s="56" t="s">
        <v>329</v>
      </c>
      <c r="H103" s="56" t="s">
        <v>243</v>
      </c>
      <c r="I103" s="56"/>
      <c r="J103" s="56">
        <v>91</v>
      </c>
      <c r="K103" s="56" t="s">
        <v>680</v>
      </c>
      <c r="L103" s="56"/>
      <c r="M103" s="34"/>
      <c r="N103" s="56"/>
      <c r="O103" s="56"/>
      <c r="P103" s="56"/>
      <c r="Q103" s="56"/>
      <c r="R103" s="54"/>
      <c r="S103" s="25" t="e">
        <v>#N/A</v>
      </c>
      <c r="T103" s="56" t="s">
        <v>1579</v>
      </c>
      <c r="U103" s="56">
        <v>1</v>
      </c>
      <c r="V103" s="229" t="e">
        <f>VLOOKUP(F103,'[1]2. PROFITLOSSLITE'!$F$3:$W$167,17,FALSE)</f>
        <v>#N/A</v>
      </c>
      <c r="W103" s="229" t="e">
        <f>VLOOKUP(F103,'[1]2. PROFITLOSSLITE'!$F$3:$W$167,18,FALSE)</f>
        <v>#N/A</v>
      </c>
      <c r="X103" s="70"/>
      <c r="Y103" s="56" t="s">
        <v>1060</v>
      </c>
      <c r="Z103" s="56"/>
      <c r="AA103" s="55"/>
      <c r="AB103" s="56"/>
      <c r="AC103" s="70"/>
      <c r="AD103" s="70"/>
      <c r="AE103" s="70"/>
      <c r="AF103" s="70"/>
      <c r="AG103" s="70"/>
    </row>
    <row r="104" spans="1:33" ht="14.25" customHeight="1">
      <c r="A104" s="259"/>
      <c r="B104" s="259"/>
      <c r="C104" s="260"/>
      <c r="D104" s="260"/>
      <c r="E104" s="56" t="s">
        <v>61</v>
      </c>
      <c r="F104" s="56" t="s">
        <v>126</v>
      </c>
      <c r="G104" s="56" t="s">
        <v>242</v>
      </c>
      <c r="H104" s="56" t="s">
        <v>243</v>
      </c>
      <c r="I104" s="56"/>
      <c r="J104" s="56">
        <v>37</v>
      </c>
      <c r="K104" s="56" t="s">
        <v>682</v>
      </c>
      <c r="L104" s="56" t="s">
        <v>1327</v>
      </c>
      <c r="M104" s="34" t="s">
        <v>314</v>
      </c>
      <c r="N104" s="56" t="s">
        <v>1580</v>
      </c>
      <c r="O104" s="56" t="s">
        <v>1581</v>
      </c>
      <c r="P104" s="56" t="s">
        <v>1582</v>
      </c>
      <c r="Q104" s="56"/>
      <c r="R104" s="54"/>
      <c r="S104" s="25" t="s">
        <v>1583</v>
      </c>
      <c r="T104" s="56" t="s">
        <v>1584</v>
      </c>
      <c r="U104" s="56"/>
      <c r="V104" s="229" t="e">
        <f>VLOOKUP(F104,'[1]2. PROFITLOSSLITE'!$F$3:$W$167,17,FALSE)</f>
        <v>#N/A</v>
      </c>
      <c r="W104" s="229" t="e">
        <f>VLOOKUP(F104,'[1]2. PROFITLOSSLITE'!$F$3:$W$167,18,FALSE)</f>
        <v>#N/A</v>
      </c>
      <c r="X104" s="70">
        <v>13</v>
      </c>
      <c r="Y104" s="56"/>
      <c r="Z104" s="56" t="s">
        <v>1331</v>
      </c>
      <c r="AA104" s="55">
        <v>43475</v>
      </c>
      <c r="AB104" s="56" t="s">
        <v>1057</v>
      </c>
      <c r="AC104" s="65"/>
      <c r="AD104" s="65"/>
      <c r="AE104" s="65"/>
      <c r="AF104" s="65"/>
      <c r="AG104" s="65"/>
    </row>
    <row r="105" spans="1:33" ht="14.25" customHeight="1">
      <c r="A105" s="244"/>
      <c r="B105" s="244"/>
      <c r="C105" s="244"/>
      <c r="D105" s="244"/>
      <c r="E105" s="56" t="s">
        <v>55</v>
      </c>
      <c r="F105" s="56" t="s">
        <v>466</v>
      </c>
      <c r="H105" s="56" t="s">
        <v>243</v>
      </c>
      <c r="I105" s="56"/>
      <c r="J105" s="56"/>
      <c r="K105" s="56" t="s">
        <v>682</v>
      </c>
      <c r="L105" s="56" t="s">
        <v>1327</v>
      </c>
      <c r="M105" s="34" t="s">
        <v>467</v>
      </c>
      <c r="N105" s="61" t="s">
        <v>1395</v>
      </c>
      <c r="O105" s="21" t="s">
        <v>1585</v>
      </c>
      <c r="P105" s="70" t="s">
        <v>1586</v>
      </c>
      <c r="Q105" s="56" t="s">
        <v>1336</v>
      </c>
      <c r="R105" s="54"/>
      <c r="S105" s="70"/>
      <c r="T105" s="56"/>
      <c r="U105" s="56"/>
      <c r="V105" s="244" t="e">
        <f>VLOOKUP(F105,'[1]2. PROFITLOSSLITE'!$F$3:$W$167,17,FALSE)</f>
        <v>#N/A</v>
      </c>
      <c r="W105" s="244" t="e">
        <f>VLOOKUP(F105,'[1]2. PROFITLOSSLITE'!$F$3:$W$167,18,FALSE)</f>
        <v>#N/A</v>
      </c>
      <c r="X105" s="56">
        <v>87</v>
      </c>
      <c r="Y105" s="56"/>
      <c r="Z105" s="56" t="s">
        <v>1587</v>
      </c>
      <c r="AA105" s="55">
        <v>43529</v>
      </c>
      <c r="AB105" s="56" t="s">
        <v>1588</v>
      </c>
      <c r="AC105" s="60"/>
      <c r="AD105" s="60"/>
      <c r="AE105" s="60"/>
      <c r="AF105" s="60"/>
      <c r="AG105" s="60"/>
    </row>
    <row r="106" spans="1:33" ht="14.25" customHeight="1">
      <c r="A106" s="259"/>
      <c r="B106" s="259"/>
      <c r="C106" s="260" t="s">
        <v>1589</v>
      </c>
      <c r="D106" s="260">
        <v>1</v>
      </c>
      <c r="E106" s="56" t="s">
        <v>55</v>
      </c>
      <c r="F106" s="56" t="s">
        <v>372</v>
      </c>
      <c r="G106" s="56" t="s">
        <v>329</v>
      </c>
      <c r="H106" s="56" t="s">
        <v>243</v>
      </c>
      <c r="I106" s="56"/>
      <c r="J106" s="56">
        <v>38</v>
      </c>
      <c r="K106" s="56" t="s">
        <v>682</v>
      </c>
      <c r="L106" s="56" t="s">
        <v>1327</v>
      </c>
      <c r="M106" s="34" t="s">
        <v>373</v>
      </c>
      <c r="N106" s="56" t="s">
        <v>1395</v>
      </c>
      <c r="O106" s="56" t="s">
        <v>1590</v>
      </c>
      <c r="P106" s="56" t="s">
        <v>1376</v>
      </c>
      <c r="Q106" s="56" t="s">
        <v>1398</v>
      </c>
      <c r="R106" s="54"/>
      <c r="S106" s="25"/>
      <c r="T106" s="56" t="s">
        <v>1591</v>
      </c>
      <c r="U106" s="56"/>
      <c r="V106" s="229" t="e">
        <f>VLOOKUP(F106,'[1]2. PROFITLOSSLITE'!$F$3:$W$167,17,FALSE)</f>
        <v>#N/A</v>
      </c>
      <c r="W106" s="229" t="e">
        <f>VLOOKUP(F106,'[1]2. PROFITLOSSLITE'!$F$3:$W$167,18,FALSE)</f>
        <v>#N/A</v>
      </c>
      <c r="X106" s="70">
        <v>42</v>
      </c>
      <c r="Y106" s="56"/>
      <c r="Z106" s="56" t="s">
        <v>1331</v>
      </c>
      <c r="AA106" s="55">
        <v>43475</v>
      </c>
      <c r="AB106" s="56" t="s">
        <v>1057</v>
      </c>
      <c r="AC106" s="70"/>
      <c r="AD106" s="70"/>
      <c r="AE106" s="70"/>
      <c r="AF106" s="70"/>
      <c r="AG106" s="70"/>
    </row>
    <row r="107" spans="1:33" ht="14.25" customHeight="1">
      <c r="A107" s="259"/>
      <c r="B107" s="259"/>
      <c r="C107" s="260" t="s">
        <v>1592</v>
      </c>
      <c r="D107" s="260">
        <v>1</v>
      </c>
      <c r="E107" s="56" t="s">
        <v>55</v>
      </c>
      <c r="F107" s="56" t="s">
        <v>428</v>
      </c>
      <c r="G107" s="56" t="s">
        <v>429</v>
      </c>
      <c r="H107" s="56" t="s">
        <v>243</v>
      </c>
      <c r="I107" s="56"/>
      <c r="J107" s="22"/>
      <c r="K107" s="56" t="s">
        <v>682</v>
      </c>
      <c r="L107" s="56" t="s">
        <v>1327</v>
      </c>
      <c r="M107" s="34" t="s">
        <v>430</v>
      </c>
      <c r="N107" s="56" t="s">
        <v>1593</v>
      </c>
      <c r="O107" s="56" t="s">
        <v>1594</v>
      </c>
      <c r="P107" s="56" t="s">
        <v>1595</v>
      </c>
      <c r="Q107" s="56"/>
      <c r="R107" s="54"/>
      <c r="S107" s="25"/>
      <c r="T107" s="61" t="s">
        <v>1596</v>
      </c>
      <c r="U107" s="56"/>
      <c r="V107" s="229" t="e">
        <f>VLOOKUP(F107,'[1]2. PROFITLOSSLITE'!$F$3:$W$167,17,FALSE)</f>
        <v>#N/A</v>
      </c>
      <c r="W107" s="229" t="e">
        <f>VLOOKUP(F107,'[1]2. PROFITLOSSLITE'!$F$3:$W$167,18,FALSE)</f>
        <v>#N/A</v>
      </c>
      <c r="X107" s="70">
        <v>70</v>
      </c>
      <c r="Y107" s="56"/>
      <c r="Z107" s="56" t="s">
        <v>1331</v>
      </c>
      <c r="AA107" s="55">
        <v>43475</v>
      </c>
      <c r="AB107" s="56" t="s">
        <v>1057</v>
      </c>
      <c r="AC107" s="70"/>
      <c r="AD107" s="70"/>
      <c r="AE107" s="70"/>
      <c r="AF107" s="70"/>
      <c r="AG107" s="70"/>
    </row>
    <row r="108" spans="1:33" ht="14.25" customHeight="1">
      <c r="A108" s="259"/>
      <c r="B108" s="259"/>
      <c r="C108" s="260"/>
      <c r="D108" s="260"/>
      <c r="E108" s="56" t="s">
        <v>59</v>
      </c>
      <c r="F108" s="56" t="s">
        <v>331</v>
      </c>
      <c r="G108" s="56" t="s">
        <v>329</v>
      </c>
      <c r="H108" s="56" t="s">
        <v>243</v>
      </c>
      <c r="I108" s="56"/>
      <c r="J108" s="56">
        <v>39</v>
      </c>
      <c r="K108" s="56" t="s">
        <v>682</v>
      </c>
      <c r="L108" s="56" t="s">
        <v>1327</v>
      </c>
      <c r="M108" s="34" t="s">
        <v>332</v>
      </c>
      <c r="N108" s="56" t="s">
        <v>1597</v>
      </c>
      <c r="O108" s="56" t="s">
        <v>1598</v>
      </c>
      <c r="P108" s="56" t="s">
        <v>1401</v>
      </c>
      <c r="Q108" s="56" t="s">
        <v>1398</v>
      </c>
      <c r="R108" s="54"/>
      <c r="S108" s="25">
        <v>1</v>
      </c>
      <c r="T108" s="56" t="s">
        <v>1599</v>
      </c>
      <c r="U108" s="56"/>
      <c r="V108" s="229" t="e">
        <f>VLOOKUP(F108,'[1]2. PROFITLOSSLITE'!$F$3:$W$167,17,FALSE)</f>
        <v>#N/A</v>
      </c>
      <c r="W108" s="229" t="e">
        <f>VLOOKUP(F108,'[1]2. PROFITLOSSLITE'!$F$3:$W$167,18,FALSE)</f>
        <v>#N/A</v>
      </c>
      <c r="X108" s="70">
        <v>22</v>
      </c>
      <c r="Y108" s="56"/>
      <c r="Z108" s="56" t="s">
        <v>1331</v>
      </c>
      <c r="AA108" s="55">
        <v>43475</v>
      </c>
      <c r="AB108" s="56" t="s">
        <v>1057</v>
      </c>
      <c r="AC108" s="70"/>
      <c r="AD108" s="70"/>
      <c r="AE108" s="70"/>
      <c r="AF108" s="70"/>
      <c r="AG108" s="70"/>
    </row>
    <row r="109" spans="1:33" ht="14.25" customHeight="1">
      <c r="A109" s="259"/>
      <c r="B109" s="259"/>
      <c r="C109" s="260"/>
      <c r="D109" s="260"/>
      <c r="E109" s="56" t="s">
        <v>53</v>
      </c>
      <c r="F109" s="56" t="s">
        <v>124</v>
      </c>
      <c r="G109" s="56" t="s">
        <v>535</v>
      </c>
      <c r="H109" s="56" t="s">
        <v>903</v>
      </c>
      <c r="I109" s="56"/>
      <c r="J109" s="56">
        <v>1</v>
      </c>
      <c r="K109" s="56" t="s">
        <v>680</v>
      </c>
      <c r="L109" s="56"/>
      <c r="M109" s="34"/>
      <c r="N109" s="56"/>
      <c r="O109" s="56"/>
      <c r="P109" s="56"/>
      <c r="Q109" s="56"/>
      <c r="R109" s="54"/>
      <c r="S109" s="25" t="e">
        <v>#N/A</v>
      </c>
      <c r="T109" s="56" t="s">
        <v>1190</v>
      </c>
      <c r="U109" s="56"/>
      <c r="V109" s="229" t="e">
        <f>VLOOKUP(F109,'[1]2. PROFITLOSSLITE'!$F$3:$W$167,17,FALSE)</f>
        <v>#N/A</v>
      </c>
      <c r="W109" s="229" t="e">
        <f>VLOOKUP(F109,'[1]2. PROFITLOSSLITE'!$F$3:$W$167,18,FALSE)</f>
        <v>#N/A</v>
      </c>
      <c r="X109" s="70"/>
      <c r="Y109" s="56" t="s">
        <v>1060</v>
      </c>
      <c r="Z109" s="56"/>
      <c r="AA109" s="55"/>
      <c r="AB109" s="56"/>
      <c r="AC109" s="70"/>
      <c r="AD109" s="70"/>
      <c r="AE109" s="70"/>
      <c r="AF109" s="70"/>
      <c r="AG109" s="70"/>
    </row>
    <row r="110" spans="1:33" ht="14.25" customHeight="1">
      <c r="A110" s="259"/>
      <c r="B110" s="259"/>
      <c r="C110" s="260"/>
      <c r="D110" s="260"/>
      <c r="E110" s="56" t="s">
        <v>55</v>
      </c>
      <c r="F110" s="56" t="s">
        <v>361</v>
      </c>
      <c r="G110" s="56" t="s">
        <v>255</v>
      </c>
      <c r="H110" s="56" t="s">
        <v>243</v>
      </c>
      <c r="I110" s="56"/>
      <c r="J110" s="56">
        <v>40</v>
      </c>
      <c r="K110" s="56" t="s">
        <v>682</v>
      </c>
      <c r="L110" s="56" t="s">
        <v>1327</v>
      </c>
      <c r="M110" s="34" t="s">
        <v>362</v>
      </c>
      <c r="N110" s="56" t="s">
        <v>1600</v>
      </c>
      <c r="O110" s="56"/>
      <c r="P110" s="56" t="s">
        <v>1601</v>
      </c>
      <c r="Q110" s="56"/>
      <c r="R110" s="249"/>
      <c r="S110" s="25"/>
      <c r="T110" s="56" t="s">
        <v>1602</v>
      </c>
      <c r="U110" s="56">
        <v>1</v>
      </c>
      <c r="V110" s="229" t="e">
        <f>VLOOKUP(F110,'[1]2. PROFITLOSSLITE'!$F$3:$W$167,17,FALSE)</f>
        <v>#N/A</v>
      </c>
      <c r="W110" s="229" t="e">
        <f>VLOOKUP(F110,'[1]2. PROFITLOSSLITE'!$F$3:$W$167,18,FALSE)</f>
        <v>#N/A</v>
      </c>
      <c r="X110" s="70">
        <v>37</v>
      </c>
      <c r="Y110" s="56"/>
      <c r="Z110" s="56" t="s">
        <v>1331</v>
      </c>
      <c r="AA110" s="55">
        <v>43475</v>
      </c>
      <c r="AB110" s="56" t="s">
        <v>1603</v>
      </c>
      <c r="AC110" s="70"/>
      <c r="AD110" s="70"/>
      <c r="AE110" s="70"/>
      <c r="AF110" s="70"/>
      <c r="AG110" s="70"/>
    </row>
    <row r="111" spans="1:33" ht="14.25" customHeight="1">
      <c r="A111" s="259"/>
      <c r="B111" s="259"/>
      <c r="C111" s="260"/>
      <c r="D111" s="260"/>
      <c r="E111" s="56" t="s">
        <v>59</v>
      </c>
      <c r="F111" s="56" t="s">
        <v>322</v>
      </c>
      <c r="G111" s="56" t="s">
        <v>264</v>
      </c>
      <c r="H111" s="56" t="s">
        <v>243</v>
      </c>
      <c r="I111" s="56"/>
      <c r="J111" s="56">
        <v>41</v>
      </c>
      <c r="K111" s="56" t="s">
        <v>682</v>
      </c>
      <c r="L111" s="56" t="s">
        <v>1327</v>
      </c>
      <c r="M111" s="34" t="s">
        <v>323</v>
      </c>
      <c r="N111" s="56" t="s">
        <v>1604</v>
      </c>
      <c r="O111" s="56" t="s">
        <v>1605</v>
      </c>
      <c r="P111" s="56" t="s">
        <v>1606</v>
      </c>
      <c r="Q111" s="56"/>
      <c r="R111" s="249" t="s">
        <v>1346</v>
      </c>
      <c r="S111" s="25"/>
      <c r="T111" s="56" t="s">
        <v>322</v>
      </c>
      <c r="U111" s="56"/>
      <c r="V111" s="229" t="e">
        <f>VLOOKUP(F111,'[1]2. PROFITLOSSLITE'!$F$3:$W$167,17,FALSE)</f>
        <v>#N/A</v>
      </c>
      <c r="W111" s="229" t="e">
        <f>VLOOKUP(F111,'[1]2. PROFITLOSSLITE'!$F$3:$W$167,18,FALSE)</f>
        <v>#N/A</v>
      </c>
      <c r="X111" s="70">
        <v>18</v>
      </c>
      <c r="Y111" s="56"/>
      <c r="Z111" s="56" t="s">
        <v>1331</v>
      </c>
      <c r="AA111" s="55">
        <v>43475</v>
      </c>
      <c r="AB111" s="56" t="s">
        <v>1057</v>
      </c>
      <c r="AC111" s="70"/>
      <c r="AD111" s="70"/>
      <c r="AE111" s="70"/>
      <c r="AF111" s="70"/>
      <c r="AG111" s="70"/>
    </row>
    <row r="112" spans="1:33" ht="17.25" customHeight="1">
      <c r="A112" s="259"/>
      <c r="B112" s="259"/>
      <c r="C112" s="260"/>
      <c r="D112" s="260"/>
      <c r="E112" s="56" t="s">
        <v>55</v>
      </c>
      <c r="F112" s="56" t="s">
        <v>411</v>
      </c>
      <c r="G112" s="56" t="s">
        <v>329</v>
      </c>
      <c r="H112" s="56" t="s">
        <v>243</v>
      </c>
      <c r="I112" s="56"/>
      <c r="J112" s="22"/>
      <c r="K112" s="56" t="s">
        <v>682</v>
      </c>
      <c r="L112" s="56" t="s">
        <v>1327</v>
      </c>
      <c r="M112" s="34" t="s">
        <v>412</v>
      </c>
      <c r="N112" s="56" t="s">
        <v>1370</v>
      </c>
      <c r="O112" s="56" t="s">
        <v>1607</v>
      </c>
      <c r="P112" s="56" t="s">
        <v>1608</v>
      </c>
      <c r="Q112" s="56"/>
      <c r="R112" s="54"/>
      <c r="S112" s="25">
        <v>0</v>
      </c>
      <c r="T112" s="21" t="s">
        <v>1609</v>
      </c>
      <c r="U112" s="56"/>
      <c r="V112" s="229" t="e">
        <f>VLOOKUP(F112,'[1]2. PROFITLOSSLITE'!$F$3:$W$167,17,FALSE)</f>
        <v>#N/A</v>
      </c>
      <c r="W112" s="229" t="e">
        <f>VLOOKUP(F112,'[1]2. PROFITLOSSLITE'!$F$3:$W$167,18,FALSE)</f>
        <v>#N/A</v>
      </c>
      <c r="X112" s="70">
        <v>62</v>
      </c>
      <c r="Y112" s="56"/>
      <c r="Z112" s="56" t="s">
        <v>1331</v>
      </c>
      <c r="AA112" s="55">
        <v>43475</v>
      </c>
      <c r="AB112" s="56" t="s">
        <v>1057</v>
      </c>
      <c r="AC112" s="70"/>
      <c r="AD112" s="70"/>
      <c r="AE112" s="70"/>
      <c r="AF112" s="70"/>
      <c r="AG112" s="70"/>
    </row>
    <row r="113" spans="1:33" ht="16.5" customHeight="1">
      <c r="A113" s="259"/>
      <c r="B113" s="259"/>
      <c r="C113" s="260"/>
      <c r="D113" s="260"/>
      <c r="E113" s="56" t="s">
        <v>55</v>
      </c>
      <c r="F113" s="56" t="s">
        <v>398</v>
      </c>
      <c r="G113" s="56" t="s">
        <v>329</v>
      </c>
      <c r="H113" s="56" t="s">
        <v>243</v>
      </c>
      <c r="I113" s="56"/>
      <c r="J113" s="56">
        <v>42</v>
      </c>
      <c r="K113" s="56" t="s">
        <v>682</v>
      </c>
      <c r="L113" s="56" t="s">
        <v>1327</v>
      </c>
      <c r="M113" s="34" t="s">
        <v>399</v>
      </c>
      <c r="N113" s="56" t="s">
        <v>1370</v>
      </c>
      <c r="O113" s="56" t="s">
        <v>1610</v>
      </c>
      <c r="P113" s="56" t="s">
        <v>1608</v>
      </c>
      <c r="Q113" s="56"/>
      <c r="R113" s="54"/>
      <c r="S113" s="25">
        <v>-7665.62</v>
      </c>
      <c r="T113" s="56" t="s">
        <v>1611</v>
      </c>
      <c r="U113" s="56"/>
      <c r="V113" s="229" t="e">
        <f>VLOOKUP(F113,'[1]2. PROFITLOSSLITE'!$F$3:$W$167,17,FALSE)</f>
        <v>#N/A</v>
      </c>
      <c r="W113" s="229" t="e">
        <f>VLOOKUP(F113,'[1]2. PROFITLOSSLITE'!$F$3:$W$167,18,FALSE)</f>
        <v>#N/A</v>
      </c>
      <c r="X113" s="70">
        <v>56</v>
      </c>
      <c r="Y113" s="56"/>
      <c r="Z113" s="56" t="s">
        <v>1331</v>
      </c>
      <c r="AA113" s="55">
        <v>43475</v>
      </c>
      <c r="AB113" s="56" t="s">
        <v>1057</v>
      </c>
      <c r="AC113" s="34"/>
      <c r="AD113" s="34"/>
      <c r="AE113" s="34"/>
      <c r="AF113" s="34"/>
      <c r="AG113" s="34"/>
    </row>
    <row r="114" spans="1:33" ht="14.25" customHeight="1">
      <c r="A114" s="259"/>
      <c r="B114" s="259"/>
      <c r="C114" s="260"/>
      <c r="D114" s="260" t="s">
        <v>1612</v>
      </c>
      <c r="E114" s="56" t="s">
        <v>55</v>
      </c>
      <c r="F114" s="56" t="s">
        <v>418</v>
      </c>
      <c r="G114" s="56" t="s">
        <v>329</v>
      </c>
      <c r="H114" s="56" t="s">
        <v>243</v>
      </c>
      <c r="I114" s="56"/>
      <c r="J114" s="22"/>
      <c r="K114" s="56" t="s">
        <v>682</v>
      </c>
      <c r="L114" s="56" t="s">
        <v>1327</v>
      </c>
      <c r="M114" s="66" t="s">
        <v>419</v>
      </c>
      <c r="N114" s="56" t="s">
        <v>1370</v>
      </c>
      <c r="O114" s="56" t="s">
        <v>1613</v>
      </c>
      <c r="P114" s="56" t="s">
        <v>1608</v>
      </c>
      <c r="Q114" s="56"/>
      <c r="R114" s="54"/>
      <c r="S114" s="25">
        <v>0</v>
      </c>
      <c r="T114" s="56" t="s">
        <v>1614</v>
      </c>
      <c r="U114" s="56"/>
      <c r="V114" s="229" t="e">
        <f>VLOOKUP(F114,'[1]2. PROFITLOSSLITE'!$F$3:$W$167,17,FALSE)</f>
        <v>#N/A</v>
      </c>
      <c r="W114" s="229" t="e">
        <f>VLOOKUP(F114,'[1]2. PROFITLOSSLITE'!$F$3:$W$167,18,FALSE)</f>
        <v>#N/A</v>
      </c>
      <c r="X114" s="70">
        <v>65</v>
      </c>
      <c r="Y114" s="56"/>
      <c r="Z114" s="56" t="s">
        <v>1521</v>
      </c>
      <c r="AA114" s="55">
        <v>43538</v>
      </c>
      <c r="AB114" s="56" t="s">
        <v>1615</v>
      </c>
      <c r="AC114" s="70"/>
      <c r="AD114" s="70"/>
      <c r="AE114" s="70"/>
      <c r="AF114" s="70"/>
      <c r="AG114" s="70"/>
    </row>
    <row r="115" spans="1:33" ht="14.25" customHeight="1">
      <c r="A115" s="259"/>
      <c r="B115" s="259"/>
      <c r="C115" s="260"/>
      <c r="D115" s="260"/>
      <c r="E115" s="56" t="s">
        <v>59</v>
      </c>
      <c r="F115" s="56" t="s">
        <v>129</v>
      </c>
      <c r="G115" s="56" t="s">
        <v>250</v>
      </c>
      <c r="H115" s="56" t="s">
        <v>243</v>
      </c>
      <c r="I115" s="56"/>
      <c r="J115" s="56">
        <v>43</v>
      </c>
      <c r="K115" s="56" t="s">
        <v>682</v>
      </c>
      <c r="L115" s="56" t="s">
        <v>1327</v>
      </c>
      <c r="M115" s="34" t="s">
        <v>337</v>
      </c>
      <c r="N115" s="56" t="s">
        <v>1456</v>
      </c>
      <c r="O115" s="56" t="s">
        <v>1616</v>
      </c>
      <c r="P115" s="56" t="s">
        <v>1462</v>
      </c>
      <c r="Q115" s="56"/>
      <c r="R115" s="54"/>
      <c r="S115" s="25" t="s">
        <v>1201</v>
      </c>
      <c r="T115" s="56" t="s">
        <v>1617</v>
      </c>
      <c r="U115" s="56">
        <v>1</v>
      </c>
      <c r="V115" s="229" t="e">
        <f>VLOOKUP(F115,'[1]2. PROFITLOSSLITE'!$F$3:$W$167,17,FALSE)</f>
        <v>#N/A</v>
      </c>
      <c r="W115" s="229" t="e">
        <f>VLOOKUP(F115,'[1]2. PROFITLOSSLITE'!$F$3:$W$167,18,FALSE)</f>
        <v>#N/A</v>
      </c>
      <c r="X115" s="70">
        <v>25</v>
      </c>
      <c r="Y115" s="56"/>
      <c r="Z115" s="56" t="s">
        <v>1331</v>
      </c>
      <c r="AA115" s="55">
        <v>43475</v>
      </c>
      <c r="AB115" s="56" t="s">
        <v>1618</v>
      </c>
      <c r="AC115" s="70"/>
      <c r="AD115" s="70"/>
      <c r="AE115" s="70"/>
      <c r="AF115" s="70"/>
      <c r="AG115" s="70"/>
    </row>
    <row r="116" spans="1:33" ht="14.25" customHeight="1">
      <c r="A116" s="259"/>
      <c r="B116" s="259"/>
      <c r="C116" s="260"/>
      <c r="D116" s="260"/>
      <c r="E116" s="56" t="s">
        <v>59</v>
      </c>
      <c r="F116" s="56" t="s">
        <v>339</v>
      </c>
      <c r="G116" s="56" t="s">
        <v>242</v>
      </c>
      <c r="H116" s="56" t="s">
        <v>243</v>
      </c>
      <c r="I116" s="56"/>
      <c r="J116" s="56">
        <v>72</v>
      </c>
      <c r="K116" s="56" t="s">
        <v>682</v>
      </c>
      <c r="L116" s="56" t="s">
        <v>1327</v>
      </c>
      <c r="M116" s="34" t="s">
        <v>340</v>
      </c>
      <c r="N116" s="56" t="s">
        <v>1390</v>
      </c>
      <c r="O116" s="56" t="s">
        <v>1619</v>
      </c>
      <c r="P116" s="56" t="s">
        <v>1462</v>
      </c>
      <c r="Q116" s="56"/>
      <c r="R116" s="54"/>
      <c r="S116" s="25" t="s">
        <v>1463</v>
      </c>
      <c r="T116" s="56" t="s">
        <v>1620</v>
      </c>
      <c r="U116" s="56"/>
      <c r="V116" s="229" t="e">
        <f>VLOOKUP(F116,'[1]2. PROFITLOSSLITE'!$F$3:$W$167,17,FALSE)</f>
        <v>#N/A</v>
      </c>
      <c r="W116" s="229" t="e">
        <f>VLOOKUP(F116,'[1]2. PROFITLOSSLITE'!$F$3:$W$167,18,FALSE)</f>
        <v>#N/A</v>
      </c>
      <c r="X116" s="70">
        <v>26</v>
      </c>
      <c r="Y116" s="56"/>
      <c r="Z116" s="56" t="s">
        <v>1331</v>
      </c>
      <c r="AA116" s="55">
        <v>43475</v>
      </c>
      <c r="AB116" s="56" t="s">
        <v>1603</v>
      </c>
      <c r="AC116" s="70"/>
      <c r="AD116" s="70"/>
      <c r="AE116" s="70"/>
      <c r="AF116" s="70"/>
      <c r="AG116" s="70"/>
    </row>
    <row r="117" spans="1:33" ht="14.25" customHeight="1">
      <c r="A117" s="259"/>
      <c r="B117" s="259"/>
      <c r="C117" s="260"/>
      <c r="D117" s="260"/>
      <c r="E117" s="70" t="s">
        <v>55</v>
      </c>
      <c r="F117" s="56" t="s">
        <v>1621</v>
      </c>
      <c r="G117" s="56" t="s">
        <v>329</v>
      </c>
      <c r="H117" s="70" t="s">
        <v>243</v>
      </c>
      <c r="I117" s="56"/>
      <c r="J117" s="70"/>
      <c r="K117" s="56" t="s">
        <v>680</v>
      </c>
      <c r="L117" s="56"/>
      <c r="M117" s="34"/>
      <c r="N117" s="56"/>
      <c r="O117" s="56"/>
      <c r="P117" s="56"/>
      <c r="Q117" s="56"/>
      <c r="R117" s="54"/>
      <c r="S117" s="25" t="e">
        <v>#N/A</v>
      </c>
      <c r="T117" s="56" t="s">
        <v>1622</v>
      </c>
      <c r="U117" s="56"/>
      <c r="V117" s="229" t="e">
        <f>VLOOKUP(F117,'[1]2. PROFITLOSSLITE'!$F$3:$W$167,17,FALSE)</f>
        <v>#N/A</v>
      </c>
      <c r="W117" s="229" t="e">
        <f>VLOOKUP(F117,'[1]2. PROFITLOSSLITE'!$F$3:$W$167,18,FALSE)</f>
        <v>#N/A</v>
      </c>
      <c r="X117" s="70"/>
      <c r="Y117" s="56" t="s">
        <v>1060</v>
      </c>
      <c r="Z117" s="56"/>
      <c r="AA117" s="55"/>
      <c r="AB117" s="56"/>
      <c r="AC117" s="70"/>
      <c r="AD117" s="70"/>
      <c r="AE117" s="70"/>
      <c r="AF117" s="70"/>
      <c r="AG117" s="70"/>
    </row>
    <row r="118" spans="1:33" ht="14.25" customHeight="1">
      <c r="A118" s="259"/>
      <c r="B118" s="259"/>
      <c r="C118" s="260"/>
      <c r="D118" s="260"/>
      <c r="E118" s="70" t="s">
        <v>55</v>
      </c>
      <c r="F118" s="56" t="s">
        <v>1623</v>
      </c>
      <c r="G118" s="56" t="s">
        <v>329</v>
      </c>
      <c r="H118" s="70" t="s">
        <v>243</v>
      </c>
      <c r="I118" s="56"/>
      <c r="J118" s="70"/>
      <c r="K118" s="56" t="s">
        <v>680</v>
      </c>
      <c r="L118" s="56"/>
      <c r="M118" s="34"/>
      <c r="N118" s="56"/>
      <c r="O118" s="56"/>
      <c r="P118" s="56"/>
      <c r="Q118" s="56"/>
      <c r="R118" s="54"/>
      <c r="S118" s="25" t="e">
        <v>#N/A</v>
      </c>
      <c r="T118" s="56" t="s">
        <v>1624</v>
      </c>
      <c r="U118" s="56"/>
      <c r="V118" s="229" t="e">
        <f>VLOOKUP(F118,'[1]2. PROFITLOSSLITE'!$F$3:$W$167,17,FALSE)</f>
        <v>#N/A</v>
      </c>
      <c r="W118" s="229" t="e">
        <f>VLOOKUP(F118,'[1]2. PROFITLOSSLITE'!$F$3:$W$167,18,FALSE)</f>
        <v>#N/A</v>
      </c>
      <c r="X118" s="70"/>
      <c r="Y118" s="56" t="s">
        <v>1060</v>
      </c>
      <c r="Z118" s="56"/>
      <c r="AA118" s="55"/>
      <c r="AB118" s="56"/>
      <c r="AC118" s="70"/>
      <c r="AD118" s="70"/>
      <c r="AE118" s="70"/>
      <c r="AF118" s="70"/>
      <c r="AG118" s="70"/>
    </row>
    <row r="119" spans="1:33" ht="14.25" customHeight="1">
      <c r="A119" s="259"/>
      <c r="B119" s="259"/>
      <c r="C119" s="260"/>
      <c r="D119" s="260"/>
      <c r="E119" s="70" t="s">
        <v>55</v>
      </c>
      <c r="F119" s="56" t="s">
        <v>1625</v>
      </c>
      <c r="G119" s="56" t="s">
        <v>329</v>
      </c>
      <c r="H119" s="70" t="s">
        <v>243</v>
      </c>
      <c r="I119" s="56"/>
      <c r="J119" s="70"/>
      <c r="K119" s="56" t="s">
        <v>680</v>
      </c>
      <c r="L119" s="56"/>
      <c r="M119" s="34"/>
      <c r="N119" s="56"/>
      <c r="O119" s="56"/>
      <c r="P119" s="56"/>
      <c r="Q119" s="56"/>
      <c r="R119" s="54"/>
      <c r="S119" s="25" t="e">
        <v>#N/A</v>
      </c>
      <c r="T119" s="56" t="s">
        <v>1626</v>
      </c>
      <c r="U119" s="56"/>
      <c r="V119" s="229" t="e">
        <f>VLOOKUP(F119,'[1]2. PROFITLOSSLITE'!$F$3:$W$167,17,FALSE)</f>
        <v>#N/A</v>
      </c>
      <c r="W119" s="229" t="e">
        <f>VLOOKUP(F119,'[1]2. PROFITLOSSLITE'!$F$3:$W$167,18,FALSE)</f>
        <v>#N/A</v>
      </c>
      <c r="X119" s="70"/>
      <c r="Y119" s="56" t="s">
        <v>1060</v>
      </c>
      <c r="Z119" s="56"/>
      <c r="AA119" s="55"/>
      <c r="AB119" s="56"/>
      <c r="AC119" s="70"/>
      <c r="AD119" s="70"/>
      <c r="AE119" s="70"/>
      <c r="AF119" s="70"/>
      <c r="AG119" s="70"/>
    </row>
    <row r="120" spans="1:33" ht="14.25" customHeight="1">
      <c r="A120" s="259"/>
      <c r="B120" s="259"/>
      <c r="C120" s="260"/>
      <c r="D120" s="260"/>
      <c r="E120" s="70" t="s">
        <v>55</v>
      </c>
      <c r="F120" s="56" t="s">
        <v>1627</v>
      </c>
      <c r="G120" s="56" t="s">
        <v>329</v>
      </c>
      <c r="H120" s="70" t="s">
        <v>243</v>
      </c>
      <c r="I120" s="56"/>
      <c r="J120" s="70"/>
      <c r="K120" s="56" t="s">
        <v>680</v>
      </c>
      <c r="L120" s="56"/>
      <c r="M120" s="34"/>
      <c r="N120" s="56"/>
      <c r="O120" s="56"/>
      <c r="P120" s="56"/>
      <c r="Q120" s="56"/>
      <c r="R120" s="54"/>
      <c r="S120" s="25" t="e">
        <v>#N/A</v>
      </c>
      <c r="T120" s="56" t="s">
        <v>1628</v>
      </c>
      <c r="U120" s="56"/>
      <c r="V120" s="229" t="e">
        <f>VLOOKUP(F120,'[1]2. PROFITLOSSLITE'!$F$3:$W$167,17,FALSE)</f>
        <v>#N/A</v>
      </c>
      <c r="W120" s="229" t="e">
        <f>VLOOKUP(F120,'[1]2. PROFITLOSSLITE'!$F$3:$W$167,18,FALSE)</f>
        <v>#N/A</v>
      </c>
      <c r="X120" s="70"/>
      <c r="Y120" s="56" t="s">
        <v>1060</v>
      </c>
      <c r="Z120" s="56"/>
      <c r="AA120" s="55"/>
      <c r="AB120" s="56"/>
      <c r="AC120" s="70"/>
      <c r="AD120" s="70"/>
      <c r="AE120" s="70"/>
      <c r="AF120" s="70"/>
      <c r="AG120" s="70"/>
    </row>
    <row r="121" spans="1:33" ht="14.25" customHeight="1">
      <c r="A121" s="244"/>
      <c r="B121" s="244"/>
      <c r="C121" s="244"/>
      <c r="D121" s="244"/>
      <c r="E121" s="56" t="s">
        <v>59</v>
      </c>
      <c r="F121" s="56" t="s">
        <v>404</v>
      </c>
      <c r="G121" s="56" t="s">
        <v>329</v>
      </c>
      <c r="H121" s="56" t="s">
        <v>243</v>
      </c>
      <c r="I121" s="56"/>
      <c r="J121" s="56">
        <v>44</v>
      </c>
      <c r="K121" s="56" t="s">
        <v>682</v>
      </c>
      <c r="L121" s="56" t="s">
        <v>1327</v>
      </c>
      <c r="M121" s="34" t="s">
        <v>405</v>
      </c>
      <c r="N121" s="56" t="s">
        <v>1370</v>
      </c>
      <c r="O121" s="56" t="s">
        <v>1629</v>
      </c>
      <c r="P121" s="56" t="s">
        <v>1401</v>
      </c>
      <c r="Q121" s="56"/>
      <c r="R121" s="54"/>
      <c r="S121" s="25">
        <v>698.95</v>
      </c>
      <c r="T121" s="56" t="s">
        <v>1630</v>
      </c>
      <c r="U121" s="56"/>
      <c r="V121" s="244" t="e">
        <f>VLOOKUP(F121,'[1]2. PROFITLOSSLITE'!$F$3:$W$167,17,FALSE)</f>
        <v>#N/A</v>
      </c>
      <c r="W121" s="244" t="e">
        <f>VLOOKUP(F121,'[1]2. PROFITLOSSLITE'!$F$3:$W$167,18,FALSE)</f>
        <v>#N/A</v>
      </c>
      <c r="X121" s="70">
        <v>59</v>
      </c>
      <c r="Y121" s="56"/>
      <c r="Z121" s="56" t="s">
        <v>1521</v>
      </c>
      <c r="AA121" s="55">
        <v>43538</v>
      </c>
      <c r="AB121" s="56" t="s">
        <v>1631</v>
      </c>
      <c r="AC121" s="56"/>
      <c r="AD121" s="56"/>
      <c r="AE121" s="56"/>
      <c r="AF121" s="56"/>
      <c r="AG121" s="56"/>
    </row>
    <row r="122" spans="1:33" ht="14.25" customHeight="1">
      <c r="A122" s="259"/>
      <c r="B122" s="259"/>
      <c r="C122" s="260"/>
      <c r="D122" s="260"/>
      <c r="E122" s="70" t="s">
        <v>55</v>
      </c>
      <c r="F122" s="56" t="s">
        <v>1632</v>
      </c>
      <c r="G122" s="56" t="s">
        <v>329</v>
      </c>
      <c r="H122" s="70" t="s">
        <v>243</v>
      </c>
      <c r="I122" s="56"/>
      <c r="J122" s="70"/>
      <c r="K122" s="56" t="s">
        <v>680</v>
      </c>
      <c r="L122" s="56"/>
      <c r="M122" s="34"/>
      <c r="N122" s="56"/>
      <c r="O122" s="56"/>
      <c r="P122" s="56"/>
      <c r="Q122" s="56"/>
      <c r="R122" s="54"/>
      <c r="S122" s="25" t="e">
        <v>#N/A</v>
      </c>
      <c r="T122" s="56" t="s">
        <v>1633</v>
      </c>
      <c r="U122" s="56"/>
      <c r="V122" s="229" t="e">
        <f>VLOOKUP(F122,'[1]2. PROFITLOSSLITE'!$F$3:$W$167,17,FALSE)</f>
        <v>#N/A</v>
      </c>
      <c r="W122" s="229" t="e">
        <f>VLOOKUP(F122,'[1]2. PROFITLOSSLITE'!$F$3:$W$167,18,FALSE)</f>
        <v>#N/A</v>
      </c>
      <c r="X122" s="70"/>
      <c r="Y122" s="56" t="s">
        <v>1060</v>
      </c>
      <c r="Z122" s="56"/>
      <c r="AA122" s="55"/>
      <c r="AB122" s="56"/>
      <c r="AC122" s="70"/>
      <c r="AD122" s="70"/>
      <c r="AE122" s="70"/>
      <c r="AF122" s="70"/>
      <c r="AG122" s="70"/>
    </row>
    <row r="123" spans="1:33" ht="14.25" customHeight="1">
      <c r="A123" s="259"/>
      <c r="B123" s="259"/>
      <c r="C123" s="260"/>
      <c r="D123" s="260"/>
      <c r="E123" s="70" t="s">
        <v>55</v>
      </c>
      <c r="F123" s="56" t="s">
        <v>1634</v>
      </c>
      <c r="G123" s="56" t="s">
        <v>329</v>
      </c>
      <c r="H123" s="70" t="s">
        <v>243</v>
      </c>
      <c r="I123" s="56"/>
      <c r="J123" s="70"/>
      <c r="K123" s="56" t="s">
        <v>680</v>
      </c>
      <c r="L123" s="56"/>
      <c r="M123" s="34"/>
      <c r="N123" s="56"/>
      <c r="O123" s="56"/>
      <c r="P123" s="56"/>
      <c r="Q123" s="56"/>
      <c r="R123" s="54"/>
      <c r="S123" s="25" t="e">
        <v>#N/A</v>
      </c>
      <c r="T123" s="56" t="s">
        <v>1635</v>
      </c>
      <c r="U123" s="56"/>
      <c r="V123" s="229" t="e">
        <f>VLOOKUP(F123,'[1]2. PROFITLOSSLITE'!$F$3:$W$167,17,FALSE)</f>
        <v>#N/A</v>
      </c>
      <c r="W123" s="229" t="e">
        <f>VLOOKUP(F123,'[1]2. PROFITLOSSLITE'!$F$3:$W$167,18,FALSE)</f>
        <v>#N/A</v>
      </c>
      <c r="X123" s="70"/>
      <c r="Y123" s="56" t="s">
        <v>1060</v>
      </c>
      <c r="Z123" s="56"/>
      <c r="AA123" s="55"/>
      <c r="AB123" s="56"/>
      <c r="AC123" s="56"/>
      <c r="AD123" s="56"/>
      <c r="AE123" s="56"/>
      <c r="AF123" s="56"/>
      <c r="AG123" s="56"/>
    </row>
    <row r="124" spans="1:33" ht="14.25" customHeight="1">
      <c r="A124" s="259"/>
      <c r="B124" s="259"/>
      <c r="C124" s="260"/>
      <c r="D124" s="260"/>
      <c r="E124" s="56" t="s">
        <v>59</v>
      </c>
      <c r="F124" s="56" t="s">
        <v>328</v>
      </c>
      <c r="G124" s="56" t="s">
        <v>329</v>
      </c>
      <c r="H124" s="56" t="s">
        <v>243</v>
      </c>
      <c r="I124" s="56"/>
      <c r="J124" s="56">
        <v>45</v>
      </c>
      <c r="K124" s="56" t="s">
        <v>682</v>
      </c>
      <c r="L124" s="56" t="s">
        <v>1327</v>
      </c>
      <c r="M124" s="34" t="s">
        <v>330</v>
      </c>
      <c r="N124" s="56" t="s">
        <v>1636</v>
      </c>
      <c r="O124" s="56" t="s">
        <v>1637</v>
      </c>
      <c r="P124" s="56" t="s">
        <v>1638</v>
      </c>
      <c r="Q124" s="56" t="s">
        <v>1398</v>
      </c>
      <c r="R124" s="54"/>
      <c r="S124" s="25">
        <v>1</v>
      </c>
      <c r="T124" s="56" t="s">
        <v>1639</v>
      </c>
      <c r="U124" s="56"/>
      <c r="V124" s="229" t="e">
        <f>VLOOKUP(F124,'[1]2. PROFITLOSSLITE'!$F$3:$W$167,17,FALSE)</f>
        <v>#N/A</v>
      </c>
      <c r="W124" s="229" t="e">
        <f>VLOOKUP(F124,'[1]2. PROFITLOSSLITE'!$F$3:$W$167,18,FALSE)</f>
        <v>#N/A</v>
      </c>
      <c r="X124" s="70">
        <v>21</v>
      </c>
      <c r="Y124" s="56"/>
      <c r="Z124" s="56" t="s">
        <v>1331</v>
      </c>
      <c r="AA124" s="55">
        <v>43475</v>
      </c>
      <c r="AB124" s="56" t="s">
        <v>1057</v>
      </c>
      <c r="AC124" s="56"/>
      <c r="AD124" s="56"/>
      <c r="AE124" s="56"/>
      <c r="AF124" s="56"/>
      <c r="AG124" s="56"/>
    </row>
    <row r="125" spans="1:33" ht="14.25" customHeight="1">
      <c r="A125" s="259"/>
      <c r="B125" s="259"/>
      <c r="C125" s="260"/>
      <c r="D125" s="260"/>
      <c r="E125" s="70" t="s">
        <v>55</v>
      </c>
      <c r="F125" s="56" t="s">
        <v>1640</v>
      </c>
      <c r="G125" s="56" t="s">
        <v>329</v>
      </c>
      <c r="H125" s="70" t="s">
        <v>243</v>
      </c>
      <c r="I125" s="56"/>
      <c r="J125" s="70"/>
      <c r="K125" s="56" t="s">
        <v>680</v>
      </c>
      <c r="L125" s="56"/>
      <c r="M125" s="34"/>
      <c r="N125" s="56"/>
      <c r="O125" s="56"/>
      <c r="P125" s="56"/>
      <c r="Q125" s="56"/>
      <c r="R125" s="54"/>
      <c r="S125" s="25" t="e">
        <v>#N/A</v>
      </c>
      <c r="T125" s="56" t="s">
        <v>1641</v>
      </c>
      <c r="U125" s="56"/>
      <c r="V125" s="229" t="e">
        <f>VLOOKUP(F125,'[1]2. PROFITLOSSLITE'!$F$3:$W$167,17,FALSE)</f>
        <v>#N/A</v>
      </c>
      <c r="W125" s="229" t="e">
        <f>VLOOKUP(F125,'[1]2. PROFITLOSSLITE'!$F$3:$W$167,18,FALSE)</f>
        <v>#N/A</v>
      </c>
      <c r="X125" s="70"/>
      <c r="Y125" s="56" t="s">
        <v>1060</v>
      </c>
      <c r="Z125" s="56"/>
      <c r="AA125" s="55"/>
      <c r="AB125" s="56"/>
      <c r="AC125" s="70"/>
      <c r="AD125" s="70"/>
      <c r="AE125" s="70"/>
      <c r="AF125" s="70"/>
      <c r="AG125" s="70"/>
    </row>
    <row r="126" spans="1:33" ht="14.25" customHeight="1">
      <c r="A126" s="259"/>
      <c r="B126" s="259"/>
      <c r="C126" s="260"/>
      <c r="D126" s="260"/>
      <c r="E126" s="70" t="s">
        <v>55</v>
      </c>
      <c r="F126" s="56" t="s">
        <v>1642</v>
      </c>
      <c r="G126" s="56" t="s">
        <v>329</v>
      </c>
      <c r="H126" s="70" t="s">
        <v>243</v>
      </c>
      <c r="I126" s="56"/>
      <c r="J126" s="70"/>
      <c r="K126" s="56" t="s">
        <v>680</v>
      </c>
      <c r="L126" s="56"/>
      <c r="M126" s="34"/>
      <c r="N126" s="56"/>
      <c r="O126" s="56"/>
      <c r="P126" s="56"/>
      <c r="Q126" s="56"/>
      <c r="R126" s="54"/>
      <c r="S126" s="25" t="e">
        <v>#N/A</v>
      </c>
      <c r="T126" s="56" t="s">
        <v>1643</v>
      </c>
      <c r="U126" s="56"/>
      <c r="V126" s="229" t="e">
        <f>VLOOKUP(F126,'[1]2. PROFITLOSSLITE'!$F$3:$W$167,17,FALSE)</f>
        <v>#N/A</v>
      </c>
      <c r="W126" s="229" t="e">
        <f>VLOOKUP(F126,'[1]2. PROFITLOSSLITE'!$F$3:$W$167,18,FALSE)</f>
        <v>#N/A</v>
      </c>
      <c r="X126" s="70"/>
      <c r="Y126" s="56" t="s">
        <v>1060</v>
      </c>
      <c r="Z126" s="56"/>
      <c r="AA126" s="55"/>
      <c r="AB126" s="56"/>
      <c r="AC126" s="70"/>
      <c r="AD126" s="70"/>
      <c r="AE126" s="70"/>
      <c r="AF126" s="70"/>
      <c r="AG126" s="70"/>
    </row>
    <row r="127" spans="1:33" ht="14.25" customHeight="1">
      <c r="A127" s="259"/>
      <c r="B127" s="259"/>
      <c r="C127" s="260"/>
      <c r="D127" s="260"/>
      <c r="E127" s="70" t="s">
        <v>55</v>
      </c>
      <c r="F127" s="56" t="s">
        <v>1644</v>
      </c>
      <c r="G127" s="56" t="s">
        <v>329</v>
      </c>
      <c r="H127" s="70" t="s">
        <v>243</v>
      </c>
      <c r="I127" s="56"/>
      <c r="J127" s="70"/>
      <c r="K127" s="56" t="s">
        <v>680</v>
      </c>
      <c r="L127" s="56"/>
      <c r="M127" s="34"/>
      <c r="N127" s="56"/>
      <c r="O127" s="56"/>
      <c r="P127" s="56"/>
      <c r="Q127" s="56"/>
      <c r="R127" s="54"/>
      <c r="S127" s="25" t="e">
        <v>#N/A</v>
      </c>
      <c r="T127" s="56" t="s">
        <v>1645</v>
      </c>
      <c r="U127" s="56"/>
      <c r="V127" s="229" t="e">
        <f>VLOOKUP(F127,'[1]2. PROFITLOSSLITE'!$F$3:$W$167,17,FALSE)</f>
        <v>#N/A</v>
      </c>
      <c r="W127" s="229" t="e">
        <f>VLOOKUP(F127,'[1]2. PROFITLOSSLITE'!$F$3:$W$167,18,FALSE)</f>
        <v>#N/A</v>
      </c>
      <c r="X127" s="70"/>
      <c r="Y127" s="56" t="s">
        <v>1060</v>
      </c>
      <c r="Z127" s="56"/>
      <c r="AA127" s="55"/>
      <c r="AB127" s="56"/>
      <c r="AC127" s="70"/>
      <c r="AD127" s="70"/>
      <c r="AE127" s="70"/>
      <c r="AF127" s="70"/>
      <c r="AG127" s="70"/>
    </row>
    <row r="128" spans="1:33" ht="14.25" customHeight="1">
      <c r="A128" s="259"/>
      <c r="B128" s="259"/>
      <c r="C128" s="260"/>
      <c r="D128" s="260"/>
      <c r="E128" s="70" t="s">
        <v>55</v>
      </c>
      <c r="F128" s="56" t="s">
        <v>1646</v>
      </c>
      <c r="G128" s="56" t="s">
        <v>329</v>
      </c>
      <c r="H128" s="70" t="s">
        <v>243</v>
      </c>
      <c r="I128" s="56"/>
      <c r="J128" s="70"/>
      <c r="K128" s="56" t="s">
        <v>680</v>
      </c>
      <c r="L128" s="56"/>
      <c r="M128" s="34"/>
      <c r="N128" s="56"/>
      <c r="O128" s="56"/>
      <c r="P128" s="56"/>
      <c r="Q128" s="56"/>
      <c r="R128" s="54"/>
      <c r="S128" s="25" t="e">
        <v>#N/A</v>
      </c>
      <c r="T128" s="56" t="s">
        <v>1647</v>
      </c>
      <c r="U128" s="56"/>
      <c r="V128" s="229" t="e">
        <f>VLOOKUP(F128,'[1]2. PROFITLOSSLITE'!$F$3:$W$167,17,FALSE)</f>
        <v>#N/A</v>
      </c>
      <c r="W128" s="229" t="e">
        <f>VLOOKUP(F128,'[1]2. PROFITLOSSLITE'!$F$3:$W$167,18,FALSE)</f>
        <v>#N/A</v>
      </c>
      <c r="X128" s="70"/>
      <c r="Y128" s="56" t="s">
        <v>1060</v>
      </c>
      <c r="Z128" s="56"/>
      <c r="AA128" s="55"/>
      <c r="AB128" s="56"/>
      <c r="AC128" s="70"/>
      <c r="AD128" s="70"/>
      <c r="AE128" s="70"/>
      <c r="AF128" s="70"/>
      <c r="AG128" s="70"/>
    </row>
    <row r="129" spans="1:33" ht="14.25" customHeight="1">
      <c r="A129" s="62"/>
      <c r="B129" s="62"/>
      <c r="C129" s="63"/>
      <c r="D129" s="63"/>
      <c r="E129" s="56" t="s">
        <v>55</v>
      </c>
      <c r="F129" s="56" t="s">
        <v>1648</v>
      </c>
      <c r="G129" s="56" t="s">
        <v>329</v>
      </c>
      <c r="H129" s="56" t="s">
        <v>243</v>
      </c>
      <c r="I129" s="56"/>
      <c r="J129" s="22"/>
      <c r="K129" s="56" t="s">
        <v>680</v>
      </c>
      <c r="L129" s="56"/>
      <c r="M129" s="34"/>
      <c r="N129" s="56"/>
      <c r="O129" s="56"/>
      <c r="P129" s="56"/>
      <c r="Q129" s="56"/>
      <c r="R129" s="54"/>
      <c r="S129" s="25" t="e">
        <v>#N/A</v>
      </c>
      <c r="T129" s="56" t="s">
        <v>1649</v>
      </c>
      <c r="U129" s="56"/>
      <c r="V129" s="64" t="e">
        <f>VLOOKUP(F129,'[1]2. PROFITLOSSLITE'!$F$3:$W$167,17,FALSE)</f>
        <v>#N/A</v>
      </c>
      <c r="W129" s="64" t="e">
        <f>VLOOKUP(F129,'[1]2. PROFITLOSSLITE'!$F$3:$W$167,18,FALSE)</f>
        <v>#N/A</v>
      </c>
      <c r="X129" s="70"/>
      <c r="Y129" s="56" t="s">
        <v>1060</v>
      </c>
      <c r="Z129" s="56"/>
      <c r="AA129" s="55"/>
      <c r="AB129" s="56"/>
      <c r="AC129" s="34"/>
      <c r="AD129" s="34"/>
      <c r="AE129" s="34"/>
      <c r="AF129" s="34"/>
      <c r="AG129" s="34"/>
    </row>
    <row r="130" spans="1:33" ht="14.25" customHeight="1">
      <c r="A130" s="259"/>
      <c r="B130" s="259"/>
      <c r="C130" s="260"/>
      <c r="D130" s="260"/>
      <c r="E130" s="56" t="s">
        <v>55</v>
      </c>
      <c r="F130" s="56" t="s">
        <v>431</v>
      </c>
      <c r="G130" s="56" t="s">
        <v>432</v>
      </c>
      <c r="H130" s="56" t="s">
        <v>243</v>
      </c>
      <c r="I130" s="56"/>
      <c r="J130" s="56">
        <v>80</v>
      </c>
      <c r="K130" s="56" t="s">
        <v>682</v>
      </c>
      <c r="L130" s="56" t="s">
        <v>1327</v>
      </c>
      <c r="M130" s="34" t="s">
        <v>433</v>
      </c>
      <c r="N130" s="56" t="s">
        <v>1593</v>
      </c>
      <c r="O130" s="56" t="s">
        <v>1650</v>
      </c>
      <c r="P130" s="56" t="s">
        <v>1651</v>
      </c>
      <c r="Q130" s="56"/>
      <c r="R130" s="54"/>
      <c r="S130" s="25" t="s">
        <v>680</v>
      </c>
      <c r="T130" s="56" t="s">
        <v>1652</v>
      </c>
      <c r="U130" s="56">
        <v>1</v>
      </c>
      <c r="V130" s="229" t="e">
        <f>VLOOKUP(F130,'[1]2. PROFITLOSSLITE'!$F$3:$W$167,17,FALSE)</f>
        <v>#N/A</v>
      </c>
      <c r="W130" s="229" t="e">
        <f>VLOOKUP(F130,'[1]2. PROFITLOSSLITE'!$F$3:$W$167,18,FALSE)</f>
        <v>#N/A</v>
      </c>
      <c r="X130" s="70">
        <v>71</v>
      </c>
      <c r="Y130" s="56"/>
      <c r="Z130" s="56" t="s">
        <v>1331</v>
      </c>
      <c r="AA130" s="55">
        <v>43475</v>
      </c>
      <c r="AB130" s="56" t="s">
        <v>1057</v>
      </c>
      <c r="AC130" s="56"/>
      <c r="AD130" s="56"/>
      <c r="AE130" s="56"/>
      <c r="AF130" s="56"/>
      <c r="AG130" s="56"/>
    </row>
    <row r="131" spans="1:33" ht="14.25" customHeight="1">
      <c r="A131" s="259"/>
      <c r="B131" s="259"/>
      <c r="C131" s="260"/>
      <c r="D131" s="260"/>
      <c r="E131" s="56" t="s">
        <v>55</v>
      </c>
      <c r="F131" s="56" t="s">
        <v>1653</v>
      </c>
      <c r="G131" s="56" t="s">
        <v>329</v>
      </c>
      <c r="H131" s="56" t="s">
        <v>243</v>
      </c>
      <c r="I131" s="56"/>
      <c r="J131" s="22"/>
      <c r="K131" s="56" t="s">
        <v>680</v>
      </c>
      <c r="L131" s="56"/>
      <c r="M131" s="34"/>
      <c r="N131" s="56"/>
      <c r="O131" s="56"/>
      <c r="P131" s="56"/>
      <c r="Q131" s="56"/>
      <c r="R131" s="54"/>
      <c r="S131" s="25" t="e">
        <v>#N/A</v>
      </c>
      <c r="T131" s="61" t="s">
        <v>1654</v>
      </c>
      <c r="U131" s="56"/>
      <c r="V131" s="229" t="e">
        <f>VLOOKUP(F131,'[1]2. PROFITLOSSLITE'!$F$3:$W$167,17,FALSE)</f>
        <v>#N/A</v>
      </c>
      <c r="W131" s="229" t="e">
        <f>VLOOKUP(F131,'[1]2. PROFITLOSSLITE'!$F$3:$W$167,18,FALSE)</f>
        <v>#N/A</v>
      </c>
      <c r="X131" s="70"/>
      <c r="Y131" s="56" t="s">
        <v>1060</v>
      </c>
      <c r="Z131" s="56"/>
      <c r="AA131" s="55"/>
      <c r="AB131" s="56"/>
      <c r="AC131" s="70"/>
      <c r="AD131" s="70"/>
      <c r="AE131" s="70"/>
      <c r="AF131" s="70"/>
      <c r="AG131" s="70"/>
    </row>
    <row r="132" spans="1:33" ht="14.25" customHeight="1">
      <c r="A132" s="259"/>
      <c r="B132" s="259"/>
      <c r="C132" s="260"/>
      <c r="D132" s="260"/>
      <c r="E132" s="56" t="s">
        <v>55</v>
      </c>
      <c r="F132" s="56" t="s">
        <v>374</v>
      </c>
      <c r="G132" s="56" t="s">
        <v>329</v>
      </c>
      <c r="H132" s="56" t="s">
        <v>243</v>
      </c>
      <c r="I132" s="56"/>
      <c r="J132" s="56">
        <v>95</v>
      </c>
      <c r="K132" s="56" t="s">
        <v>682</v>
      </c>
      <c r="L132" s="56" t="s">
        <v>1327</v>
      </c>
      <c r="M132" s="34" t="s">
        <v>375</v>
      </c>
      <c r="N132" s="56" t="s">
        <v>1395</v>
      </c>
      <c r="O132" s="56" t="s">
        <v>1655</v>
      </c>
      <c r="P132" s="56" t="s">
        <v>1656</v>
      </c>
      <c r="Q132" s="56" t="s">
        <v>1398</v>
      </c>
      <c r="R132" s="54"/>
      <c r="S132" s="25"/>
      <c r="T132" s="56" t="s">
        <v>1657</v>
      </c>
      <c r="U132" s="56"/>
      <c r="V132" s="229" t="e">
        <f>VLOOKUP(F132,'[1]2. PROFITLOSSLITE'!$F$3:$W$167,17,FALSE)</f>
        <v>#N/A</v>
      </c>
      <c r="W132" s="229" t="e">
        <f>VLOOKUP(F132,'[1]2. PROFITLOSSLITE'!$F$3:$W$167,18,FALSE)</f>
        <v>#N/A</v>
      </c>
      <c r="X132" s="70">
        <v>43</v>
      </c>
      <c r="Y132" s="56"/>
      <c r="Z132" s="56" t="s">
        <v>1331</v>
      </c>
      <c r="AA132" s="55">
        <v>43475</v>
      </c>
      <c r="AB132" s="56" t="s">
        <v>1057</v>
      </c>
      <c r="AC132" s="56"/>
      <c r="AD132" s="56"/>
      <c r="AE132" s="56"/>
      <c r="AF132" s="56"/>
      <c r="AG132" s="56"/>
    </row>
    <row r="133" spans="1:33" ht="14.25" customHeight="1">
      <c r="A133" s="259"/>
      <c r="B133" s="259"/>
      <c r="C133" s="260"/>
      <c r="D133" s="260"/>
      <c r="E133" s="56" t="s">
        <v>55</v>
      </c>
      <c r="F133" s="56" t="s">
        <v>1658</v>
      </c>
      <c r="G133" s="56" t="s">
        <v>329</v>
      </c>
      <c r="H133" s="56" t="s">
        <v>243</v>
      </c>
      <c r="I133" s="56"/>
      <c r="J133" s="56">
        <v>96</v>
      </c>
      <c r="K133" s="56" t="s">
        <v>680</v>
      </c>
      <c r="L133" s="56"/>
      <c r="M133" s="34"/>
      <c r="N133" s="56"/>
      <c r="O133" s="56"/>
      <c r="P133" s="56"/>
      <c r="Q133" s="56"/>
      <c r="R133" s="54"/>
      <c r="S133" s="25" t="e">
        <v>#N/A</v>
      </c>
      <c r="T133" s="56" t="s">
        <v>1659</v>
      </c>
      <c r="U133" s="56"/>
      <c r="V133" s="229" t="e">
        <f>VLOOKUP(F133,'[1]2. PROFITLOSSLITE'!$F$3:$W$167,17,FALSE)</f>
        <v>#N/A</v>
      </c>
      <c r="W133" s="229" t="e">
        <f>VLOOKUP(F133,'[1]2. PROFITLOSSLITE'!$F$3:$W$167,18,FALSE)</f>
        <v>#N/A</v>
      </c>
      <c r="X133" s="70"/>
      <c r="Y133" s="56" t="s">
        <v>1060</v>
      </c>
      <c r="Z133" s="56"/>
      <c r="AA133" s="55"/>
      <c r="AB133" s="56"/>
      <c r="AC133" s="70"/>
      <c r="AD133" s="70"/>
      <c r="AE133" s="70"/>
      <c r="AF133" s="70"/>
      <c r="AG133" s="70"/>
    </row>
    <row r="134" spans="1:33" ht="14.25" customHeight="1">
      <c r="A134" s="259"/>
      <c r="B134" s="259"/>
      <c r="C134" s="260"/>
      <c r="D134" s="260"/>
      <c r="E134" s="56" t="s">
        <v>55</v>
      </c>
      <c r="F134" s="56" t="s">
        <v>359</v>
      </c>
      <c r="G134" s="56" t="s">
        <v>329</v>
      </c>
      <c r="H134" s="56" t="s">
        <v>243</v>
      </c>
      <c r="I134" s="56"/>
      <c r="J134" s="56">
        <v>93</v>
      </c>
      <c r="K134" s="56" t="s">
        <v>682</v>
      </c>
      <c r="L134" s="56" t="s">
        <v>1327</v>
      </c>
      <c r="M134" s="34" t="s">
        <v>360</v>
      </c>
      <c r="N134" s="56" t="s">
        <v>1395</v>
      </c>
      <c r="O134" s="56" t="s">
        <v>1660</v>
      </c>
      <c r="P134" s="56" t="s">
        <v>1661</v>
      </c>
      <c r="Q134" s="56" t="s">
        <v>1398</v>
      </c>
      <c r="R134" s="54"/>
      <c r="S134" s="25"/>
      <c r="T134" s="56" t="s">
        <v>1662</v>
      </c>
      <c r="U134" s="56"/>
      <c r="V134" s="229" t="e">
        <f>VLOOKUP(F134,'[1]2. PROFITLOSSLITE'!$F$3:$W$167,17,FALSE)</f>
        <v>#N/A</v>
      </c>
      <c r="W134" s="229" t="e">
        <f>VLOOKUP(F134,'[1]2. PROFITLOSSLITE'!$F$3:$W$167,18,FALSE)</f>
        <v>#N/A</v>
      </c>
      <c r="X134" s="70">
        <v>36</v>
      </c>
      <c r="Y134" s="56"/>
      <c r="Z134" s="56" t="s">
        <v>1331</v>
      </c>
      <c r="AA134" s="55">
        <v>43475</v>
      </c>
      <c r="AB134" s="56" t="s">
        <v>1057</v>
      </c>
      <c r="AC134" s="56"/>
      <c r="AD134" s="56"/>
      <c r="AE134" s="56"/>
      <c r="AF134" s="56"/>
      <c r="AG134" s="56"/>
    </row>
    <row r="135" spans="1:33" ht="14.25" customHeight="1">
      <c r="A135" s="259"/>
      <c r="B135" s="259"/>
      <c r="C135" s="260"/>
      <c r="D135" s="260"/>
      <c r="E135" s="56" t="s">
        <v>59</v>
      </c>
      <c r="F135" s="56" t="s">
        <v>353</v>
      </c>
      <c r="G135" s="56" t="s">
        <v>346</v>
      </c>
      <c r="H135" s="56" t="s">
        <v>243</v>
      </c>
      <c r="I135" s="56"/>
      <c r="J135" s="56">
        <v>46</v>
      </c>
      <c r="K135" s="56" t="s">
        <v>682</v>
      </c>
      <c r="L135" s="56" t="s">
        <v>1327</v>
      </c>
      <c r="M135" s="34" t="s">
        <v>354</v>
      </c>
      <c r="N135" s="56" t="s">
        <v>1663</v>
      </c>
      <c r="O135" s="56" t="s">
        <v>1664</v>
      </c>
      <c r="P135" s="56" t="s">
        <v>1376</v>
      </c>
      <c r="Q135" s="56"/>
      <c r="R135" s="249" t="s">
        <v>1346</v>
      </c>
      <c r="S135" s="25"/>
      <c r="T135" s="56" t="s">
        <v>1665</v>
      </c>
      <c r="U135" s="56"/>
      <c r="V135" s="229" t="e">
        <f>VLOOKUP(F135,'[1]2. PROFITLOSSLITE'!$F$3:$W$167,17,FALSE)</f>
        <v>#N/A</v>
      </c>
      <c r="W135" s="229" t="e">
        <f>VLOOKUP(F135,'[1]2. PROFITLOSSLITE'!$F$3:$W$167,18,FALSE)</f>
        <v>#N/A</v>
      </c>
      <c r="X135" s="70">
        <v>33</v>
      </c>
      <c r="Y135" s="56"/>
      <c r="Z135" s="56" t="s">
        <v>1331</v>
      </c>
      <c r="AA135" s="55">
        <v>43475</v>
      </c>
      <c r="AB135" s="56" t="s">
        <v>1057</v>
      </c>
      <c r="AC135" s="56"/>
      <c r="AD135" s="56"/>
      <c r="AE135" s="56"/>
      <c r="AF135" s="56"/>
      <c r="AG135" s="56"/>
    </row>
    <row r="136" spans="1:33" ht="14.25" customHeight="1">
      <c r="A136" s="259"/>
      <c r="B136" s="259"/>
      <c r="C136" s="260"/>
      <c r="D136" s="260"/>
      <c r="E136" s="56" t="s">
        <v>55</v>
      </c>
      <c r="F136" s="56" t="s">
        <v>394</v>
      </c>
      <c r="G136" s="56" t="s">
        <v>329</v>
      </c>
      <c r="H136" s="56" t="s">
        <v>243</v>
      </c>
      <c r="I136" s="56"/>
      <c r="J136" s="56">
        <v>92</v>
      </c>
      <c r="K136" s="56" t="s">
        <v>682</v>
      </c>
      <c r="L136" s="56" t="s">
        <v>1327</v>
      </c>
      <c r="M136" s="34" t="s">
        <v>395</v>
      </c>
      <c r="N136" s="56" t="s">
        <v>1395</v>
      </c>
      <c r="O136" s="56"/>
      <c r="P136" s="56" t="s">
        <v>1608</v>
      </c>
      <c r="Q136" s="56" t="s">
        <v>1398</v>
      </c>
      <c r="R136" s="54"/>
      <c r="S136" s="25">
        <v>0</v>
      </c>
      <c r="T136" s="56" t="s">
        <v>1666</v>
      </c>
      <c r="U136" s="56"/>
      <c r="V136" s="229" t="e">
        <f>VLOOKUP(F136,'[1]2. PROFITLOSSLITE'!$F$3:$W$167,17,FALSE)</f>
        <v>#N/A</v>
      </c>
      <c r="W136" s="229" t="e">
        <f>VLOOKUP(F136,'[1]2. PROFITLOSSLITE'!$F$3:$W$167,18,FALSE)</f>
        <v>#N/A</v>
      </c>
      <c r="X136" s="70">
        <v>54</v>
      </c>
      <c r="Y136" s="56"/>
      <c r="Z136" s="56" t="s">
        <v>1331</v>
      </c>
      <c r="AA136" s="55">
        <v>43475</v>
      </c>
      <c r="AB136" s="56" t="s">
        <v>1057</v>
      </c>
      <c r="AC136" s="56"/>
      <c r="AD136" s="56"/>
      <c r="AE136" s="56"/>
      <c r="AF136" s="56"/>
      <c r="AG136" s="56"/>
    </row>
    <row r="137" spans="1:33" ht="14.25" customHeight="1">
      <c r="A137" s="259"/>
      <c r="B137" s="259"/>
      <c r="C137" s="260"/>
      <c r="D137" s="260"/>
      <c r="E137" s="56" t="s">
        <v>55</v>
      </c>
      <c r="F137" s="56" t="s">
        <v>386</v>
      </c>
      <c r="G137" s="56" t="s">
        <v>329</v>
      </c>
      <c r="H137" s="56" t="s">
        <v>243</v>
      </c>
      <c r="I137" s="56"/>
      <c r="J137" s="56">
        <v>47</v>
      </c>
      <c r="K137" s="56" t="s">
        <v>682</v>
      </c>
      <c r="L137" s="56" t="s">
        <v>1327</v>
      </c>
      <c r="M137" s="34" t="s">
        <v>387</v>
      </c>
      <c r="N137" s="56" t="s">
        <v>1395</v>
      </c>
      <c r="O137" s="56"/>
      <c r="P137" s="56" t="s">
        <v>1608</v>
      </c>
      <c r="Q137" s="56" t="s">
        <v>1398</v>
      </c>
      <c r="R137" s="54"/>
      <c r="S137" s="25"/>
      <c r="T137" s="56" t="s">
        <v>1667</v>
      </c>
      <c r="U137" s="56"/>
      <c r="V137" s="229" t="e">
        <f>VLOOKUP(F137,'[1]2. PROFITLOSSLITE'!$F$3:$W$167,17,FALSE)</f>
        <v>#N/A</v>
      </c>
      <c r="W137" s="229" t="e">
        <f>VLOOKUP(F137,'[1]2. PROFITLOSSLITE'!$F$3:$W$167,18,FALSE)</f>
        <v>#N/A</v>
      </c>
      <c r="X137" s="70">
        <v>50</v>
      </c>
      <c r="Y137" s="56"/>
      <c r="Z137" s="56" t="s">
        <v>1331</v>
      </c>
      <c r="AA137" s="55">
        <v>43475</v>
      </c>
      <c r="AB137" s="56" t="s">
        <v>1057</v>
      </c>
      <c r="AC137" s="56"/>
      <c r="AD137" s="56"/>
      <c r="AE137" s="56"/>
      <c r="AF137" s="56"/>
      <c r="AG137" s="56"/>
    </row>
    <row r="138" spans="1:33" ht="14.25" customHeight="1">
      <c r="A138" s="259"/>
      <c r="B138" s="259"/>
      <c r="C138" s="260"/>
      <c r="D138" s="260"/>
      <c r="E138" s="56" t="s">
        <v>55</v>
      </c>
      <c r="F138" s="56" t="s">
        <v>298</v>
      </c>
      <c r="G138" s="56" t="s">
        <v>242</v>
      </c>
      <c r="H138" s="56" t="s">
        <v>243</v>
      </c>
      <c r="I138" s="56"/>
      <c r="J138" s="56">
        <v>85</v>
      </c>
      <c r="K138" s="56" t="s">
        <v>682</v>
      </c>
      <c r="L138" s="56" t="s">
        <v>1327</v>
      </c>
      <c r="M138" s="34" t="s">
        <v>299</v>
      </c>
      <c r="N138" s="56" t="s">
        <v>1668</v>
      </c>
      <c r="O138" s="56"/>
      <c r="P138" s="56" t="s">
        <v>1669</v>
      </c>
      <c r="Q138" s="56"/>
      <c r="R138" s="54"/>
      <c r="S138" s="25" t="s">
        <v>1670</v>
      </c>
      <c r="T138" s="56" t="s">
        <v>1671</v>
      </c>
      <c r="U138" s="56">
        <v>1</v>
      </c>
      <c r="V138" s="229" t="e">
        <f>VLOOKUP(F138,'[1]2. PROFITLOSSLITE'!$F$3:$W$167,17,FALSE)</f>
        <v>#N/A</v>
      </c>
      <c r="W138" s="229" t="e">
        <f>VLOOKUP(F138,'[1]2. PROFITLOSSLITE'!$F$3:$W$167,18,FALSE)</f>
        <v>#N/A</v>
      </c>
      <c r="X138" s="70">
        <v>4</v>
      </c>
      <c r="Y138" s="56"/>
      <c r="Z138" s="56" t="s">
        <v>1331</v>
      </c>
      <c r="AA138" s="55">
        <v>43475</v>
      </c>
      <c r="AB138" s="56" t="s">
        <v>1057</v>
      </c>
      <c r="AC138" s="56"/>
      <c r="AD138" s="56"/>
      <c r="AE138" s="56"/>
      <c r="AF138" s="56"/>
      <c r="AG138" s="56"/>
    </row>
    <row r="139" spans="1:33" ht="14.25" customHeight="1">
      <c r="A139" s="259"/>
      <c r="B139" s="259"/>
      <c r="C139" s="260"/>
      <c r="D139" s="260"/>
      <c r="E139" s="56" t="s">
        <v>55</v>
      </c>
      <c r="F139" s="56" t="s">
        <v>300</v>
      </c>
      <c r="G139" s="56" t="s">
        <v>242</v>
      </c>
      <c r="H139" s="56" t="s">
        <v>243</v>
      </c>
      <c r="I139" s="56"/>
      <c r="J139" s="56">
        <v>86</v>
      </c>
      <c r="K139" s="56" t="s">
        <v>682</v>
      </c>
      <c r="L139" s="56" t="s">
        <v>1327</v>
      </c>
      <c r="M139" s="34" t="s">
        <v>301</v>
      </c>
      <c r="N139" s="56" t="s">
        <v>1668</v>
      </c>
      <c r="O139" s="56"/>
      <c r="P139" s="56" t="s">
        <v>1672</v>
      </c>
      <c r="Q139" s="56"/>
      <c r="R139" s="54"/>
      <c r="S139" s="25" t="s">
        <v>1673</v>
      </c>
      <c r="T139" s="56" t="s">
        <v>1674</v>
      </c>
      <c r="U139" s="56">
        <v>1</v>
      </c>
      <c r="V139" s="229" t="e">
        <f>VLOOKUP(F139,'[1]2. PROFITLOSSLITE'!$F$3:$W$167,17,FALSE)</f>
        <v>#N/A</v>
      </c>
      <c r="W139" s="229" t="e">
        <f>VLOOKUP(F139,'[1]2. PROFITLOSSLITE'!$F$3:$W$167,18,FALSE)</f>
        <v>#N/A</v>
      </c>
      <c r="X139" s="70">
        <v>5</v>
      </c>
      <c r="Y139" s="56"/>
      <c r="Z139" s="56" t="s">
        <v>1331</v>
      </c>
      <c r="AA139" s="55">
        <v>43475</v>
      </c>
      <c r="AB139" s="56" t="s">
        <v>1057</v>
      </c>
      <c r="AC139" s="56"/>
      <c r="AD139" s="56"/>
      <c r="AE139" s="56"/>
      <c r="AF139" s="56"/>
      <c r="AG139" s="56"/>
    </row>
    <row r="140" spans="1:33" ht="14.25" customHeight="1">
      <c r="A140" s="259"/>
      <c r="B140" s="259"/>
      <c r="C140" s="260"/>
      <c r="D140" s="260"/>
      <c r="E140" s="56" t="s">
        <v>55</v>
      </c>
      <c r="F140" s="56" t="s">
        <v>345</v>
      </c>
      <c r="G140" s="56" t="s">
        <v>346</v>
      </c>
      <c r="H140" s="56" t="s">
        <v>243</v>
      </c>
      <c r="I140" s="56"/>
      <c r="J140" s="56">
        <v>49</v>
      </c>
      <c r="K140" s="56" t="s">
        <v>682</v>
      </c>
      <c r="L140" s="56" t="s">
        <v>1327</v>
      </c>
      <c r="M140" s="34" t="s">
        <v>347</v>
      </c>
      <c r="N140" s="56" t="s">
        <v>1390</v>
      </c>
      <c r="O140" s="56"/>
      <c r="P140" s="56" t="s">
        <v>1675</v>
      </c>
      <c r="Q140" s="56"/>
      <c r="R140" s="54"/>
      <c r="S140" s="25" t="s">
        <v>1676</v>
      </c>
      <c r="T140" s="56" t="s">
        <v>1677</v>
      </c>
      <c r="U140" s="56">
        <v>1</v>
      </c>
      <c r="V140" s="229" t="e">
        <f>VLOOKUP(F140,'[1]2. PROFITLOSSLITE'!$F$3:$W$167,17,FALSE)</f>
        <v>#N/A</v>
      </c>
      <c r="W140" s="229" t="e">
        <f>VLOOKUP(F140,'[1]2. PROFITLOSSLITE'!$F$3:$W$167,18,FALSE)</f>
        <v>#N/A</v>
      </c>
      <c r="X140" s="70">
        <v>29</v>
      </c>
      <c r="Y140" s="56"/>
      <c r="Z140" s="56" t="s">
        <v>1331</v>
      </c>
      <c r="AA140" s="55">
        <v>43475</v>
      </c>
      <c r="AB140" s="56" t="s">
        <v>1057</v>
      </c>
      <c r="AC140" s="56"/>
      <c r="AD140" s="56"/>
      <c r="AE140" s="56"/>
      <c r="AF140" s="56"/>
      <c r="AG140" s="56"/>
    </row>
    <row r="141" spans="1:33" ht="14.25" customHeight="1">
      <c r="A141" s="244"/>
      <c r="B141" s="244"/>
      <c r="C141" s="244"/>
      <c r="D141" s="244"/>
      <c r="E141" s="56" t="s">
        <v>55</v>
      </c>
      <c r="F141" s="56" t="s">
        <v>1678</v>
      </c>
      <c r="G141" s="23"/>
      <c r="H141" s="56" t="s">
        <v>243</v>
      </c>
      <c r="I141" s="56"/>
      <c r="J141" s="56"/>
      <c r="K141" s="56" t="s">
        <v>682</v>
      </c>
      <c r="L141" s="56" t="s">
        <v>1327</v>
      </c>
      <c r="M141" s="34" t="s">
        <v>469</v>
      </c>
      <c r="N141" s="61" t="s">
        <v>1333</v>
      </c>
      <c r="O141" s="21" t="s">
        <v>1679</v>
      </c>
      <c r="P141" s="70" t="s">
        <v>1680</v>
      </c>
      <c r="Q141" s="56" t="s">
        <v>1336</v>
      </c>
      <c r="R141" s="54"/>
      <c r="S141" s="70"/>
      <c r="T141" s="56"/>
      <c r="U141" s="56"/>
      <c r="V141" s="244" t="e">
        <f>VLOOKUP(F141,'[1]2. PROFITLOSSLITE'!$F$3:$W$167,17,FALSE)</f>
        <v>#N/A</v>
      </c>
      <c r="W141" s="244" t="e">
        <f>VLOOKUP(F141,'[1]2. PROFITLOSSLITE'!$F$3:$W$167,18,FALSE)</f>
        <v>#N/A</v>
      </c>
      <c r="X141" s="56">
        <v>88</v>
      </c>
      <c r="Y141" s="56"/>
      <c r="Z141" s="56" t="s">
        <v>1162</v>
      </c>
      <c r="AA141" s="55">
        <v>43641</v>
      </c>
      <c r="AB141" s="56" t="s">
        <v>1337</v>
      </c>
      <c r="AC141" s="56"/>
      <c r="AD141" s="56"/>
      <c r="AE141" s="56"/>
      <c r="AF141" s="56"/>
      <c r="AG141" s="56"/>
    </row>
    <row r="142" spans="1:33" ht="14.25" customHeight="1">
      <c r="A142" s="259"/>
      <c r="B142" s="259"/>
      <c r="C142" s="260"/>
      <c r="D142" s="260"/>
      <c r="E142" s="56" t="s">
        <v>55</v>
      </c>
      <c r="F142" s="56" t="s">
        <v>1681</v>
      </c>
      <c r="G142" s="56" t="s">
        <v>247</v>
      </c>
      <c r="H142" s="56" t="s">
        <v>243</v>
      </c>
      <c r="I142" s="56"/>
      <c r="J142" s="22"/>
      <c r="K142" s="56" t="s">
        <v>680</v>
      </c>
      <c r="L142" s="56"/>
      <c r="M142" s="34"/>
      <c r="N142" s="56"/>
      <c r="O142" s="56"/>
      <c r="P142" s="56"/>
      <c r="Q142" s="56"/>
      <c r="R142" s="54"/>
      <c r="S142" s="25" t="e">
        <v>#N/A</v>
      </c>
      <c r="T142" s="21" t="s">
        <v>1682</v>
      </c>
      <c r="U142" s="56"/>
      <c r="V142" s="229" t="e">
        <f>VLOOKUP(F142,'[1]2. PROFITLOSSLITE'!$F$3:$W$167,17,FALSE)</f>
        <v>#N/A</v>
      </c>
      <c r="W142" s="229" t="e">
        <f>VLOOKUP(F142,'[1]2. PROFITLOSSLITE'!$F$3:$W$167,18,FALSE)</f>
        <v>#N/A</v>
      </c>
      <c r="X142" s="70"/>
      <c r="Y142" s="56" t="s">
        <v>1060</v>
      </c>
      <c r="Z142" s="56"/>
      <c r="AA142" s="55"/>
      <c r="AB142" s="56"/>
      <c r="AC142" s="56"/>
      <c r="AD142" s="56"/>
      <c r="AE142" s="56"/>
      <c r="AF142" s="56"/>
      <c r="AG142" s="56"/>
    </row>
    <row r="143" spans="1:33" ht="14.25" customHeight="1">
      <c r="A143" s="259"/>
      <c r="B143" s="259"/>
      <c r="C143" s="260"/>
      <c r="D143" s="260"/>
      <c r="E143" s="56" t="s">
        <v>61</v>
      </c>
      <c r="F143" s="56" t="s">
        <v>152</v>
      </c>
      <c r="G143" s="56" t="s">
        <v>247</v>
      </c>
      <c r="H143" s="56" t="s">
        <v>243</v>
      </c>
      <c r="I143" s="56"/>
      <c r="J143" s="56">
        <v>50</v>
      </c>
      <c r="K143" s="56" t="s">
        <v>682</v>
      </c>
      <c r="L143" s="56" t="s">
        <v>1327</v>
      </c>
      <c r="M143" s="34" t="s">
        <v>315</v>
      </c>
      <c r="N143" s="56" t="s">
        <v>1683</v>
      </c>
      <c r="O143" s="56" t="s">
        <v>1684</v>
      </c>
      <c r="P143" s="56" t="s">
        <v>1685</v>
      </c>
      <c r="Q143" s="56"/>
      <c r="R143" s="249" t="s">
        <v>1346</v>
      </c>
      <c r="S143" s="25" t="s">
        <v>1568</v>
      </c>
      <c r="T143" s="56" t="s">
        <v>1686</v>
      </c>
      <c r="U143" s="56"/>
      <c r="V143" s="229" t="e">
        <f>VLOOKUP(F143,'[1]2. PROFITLOSSLITE'!$F$3:$W$167,17,FALSE)</f>
        <v>#N/A</v>
      </c>
      <c r="W143" s="229" t="e">
        <f>VLOOKUP(F143,'[1]2. PROFITLOSSLITE'!$F$3:$W$167,18,FALSE)</f>
        <v>#N/A</v>
      </c>
      <c r="X143" s="70">
        <v>14</v>
      </c>
      <c r="Y143" s="56"/>
      <c r="Z143" s="56" t="s">
        <v>1331</v>
      </c>
      <c r="AA143" s="55">
        <v>43475</v>
      </c>
      <c r="AB143" s="56" t="s">
        <v>1057</v>
      </c>
      <c r="AC143" s="56"/>
      <c r="AD143" s="56"/>
      <c r="AE143" s="56"/>
      <c r="AF143" s="56"/>
      <c r="AG143" s="56"/>
    </row>
    <row r="144" spans="1:33" ht="14.25" customHeight="1">
      <c r="A144" s="259"/>
      <c r="B144" s="259"/>
      <c r="C144" s="260"/>
      <c r="D144" s="260"/>
      <c r="E144" s="56" t="s">
        <v>55</v>
      </c>
      <c r="F144" s="56" t="s">
        <v>396</v>
      </c>
      <c r="G144" s="56" t="s">
        <v>329</v>
      </c>
      <c r="H144" s="56" t="s">
        <v>243</v>
      </c>
      <c r="I144" s="56"/>
      <c r="J144" s="56">
        <v>94</v>
      </c>
      <c r="K144" s="56" t="s">
        <v>682</v>
      </c>
      <c r="L144" s="56" t="s">
        <v>1327</v>
      </c>
      <c r="M144" s="34" t="s">
        <v>397</v>
      </c>
      <c r="N144" s="56" t="s">
        <v>1395</v>
      </c>
      <c r="O144" s="56" t="s">
        <v>1687</v>
      </c>
      <c r="P144" s="56" t="s">
        <v>1608</v>
      </c>
      <c r="Q144" s="56" t="s">
        <v>1398</v>
      </c>
      <c r="R144" s="54"/>
      <c r="S144" s="25">
        <v>0</v>
      </c>
      <c r="T144" s="56" t="s">
        <v>1688</v>
      </c>
      <c r="U144" s="56"/>
      <c r="V144" s="229" t="e">
        <f>VLOOKUP(F144,'[1]2. PROFITLOSSLITE'!$F$3:$W$167,17,FALSE)</f>
        <v>#N/A</v>
      </c>
      <c r="W144" s="229" t="e">
        <f>VLOOKUP(F144,'[1]2. PROFITLOSSLITE'!$F$3:$W$167,18,FALSE)</f>
        <v>#N/A</v>
      </c>
      <c r="X144" s="70">
        <v>55</v>
      </c>
      <c r="Y144" s="56"/>
      <c r="Z144" s="56" t="s">
        <v>1331</v>
      </c>
      <c r="AA144" s="55">
        <v>43475</v>
      </c>
      <c r="AB144" s="56" t="s">
        <v>1057</v>
      </c>
      <c r="AC144" s="56"/>
      <c r="AD144" s="56"/>
      <c r="AE144" s="56"/>
      <c r="AF144" s="56"/>
      <c r="AG144" s="56"/>
    </row>
    <row r="145" spans="1:33" ht="14.25" customHeight="1">
      <c r="A145" s="259"/>
      <c r="B145" s="259"/>
      <c r="C145" s="260"/>
      <c r="D145" s="260"/>
      <c r="E145" s="56" t="s">
        <v>61</v>
      </c>
      <c r="F145" s="56" t="s">
        <v>144</v>
      </c>
      <c r="G145" s="56" t="s">
        <v>329</v>
      </c>
      <c r="H145" s="56" t="s">
        <v>243</v>
      </c>
      <c r="I145" s="56"/>
      <c r="J145" s="56">
        <v>51</v>
      </c>
      <c r="K145" s="56" t="s">
        <v>682</v>
      </c>
      <c r="L145" s="56" t="s">
        <v>1327</v>
      </c>
      <c r="M145" s="34" t="s">
        <v>385</v>
      </c>
      <c r="N145" s="56" t="s">
        <v>1689</v>
      </c>
      <c r="O145" s="56" t="s">
        <v>1690</v>
      </c>
      <c r="P145" s="56" t="s">
        <v>1608</v>
      </c>
      <c r="Q145" s="56"/>
      <c r="R145" s="54"/>
      <c r="S145" s="25">
        <v>698.95</v>
      </c>
      <c r="T145" s="56" t="s">
        <v>1691</v>
      </c>
      <c r="U145" s="56"/>
      <c r="V145" s="229" t="e">
        <f>VLOOKUP(F145,'[1]2. PROFITLOSSLITE'!$F$3:$W$167,17,FALSE)</f>
        <v>#N/A</v>
      </c>
      <c r="W145" s="229" t="e">
        <f>VLOOKUP(F145,'[1]2. PROFITLOSSLITE'!$F$3:$W$167,18,FALSE)</f>
        <v>#N/A</v>
      </c>
      <c r="X145" s="70">
        <v>49</v>
      </c>
      <c r="Y145" s="56"/>
      <c r="Z145" s="56" t="s">
        <v>1331</v>
      </c>
      <c r="AA145" s="55">
        <v>43475</v>
      </c>
      <c r="AB145" s="56" t="s">
        <v>1057</v>
      </c>
      <c r="AC145" s="56"/>
      <c r="AD145" s="56"/>
      <c r="AE145" s="56"/>
      <c r="AF145" s="56"/>
      <c r="AG145" s="56"/>
    </row>
    <row r="146" spans="1:33" ht="14.25" customHeight="1">
      <c r="A146" s="62"/>
      <c r="B146" s="62"/>
      <c r="C146" s="63"/>
      <c r="D146" s="63"/>
      <c r="E146" s="56" t="s">
        <v>55</v>
      </c>
      <c r="F146" s="56" t="s">
        <v>1692</v>
      </c>
      <c r="G146" s="56" t="s">
        <v>329</v>
      </c>
      <c r="H146" s="56" t="s">
        <v>243</v>
      </c>
      <c r="I146" s="56"/>
      <c r="J146" s="22"/>
      <c r="K146" s="56" t="s">
        <v>680</v>
      </c>
      <c r="L146" s="56"/>
      <c r="M146" s="34"/>
      <c r="N146" s="56"/>
      <c r="O146" s="56"/>
      <c r="P146" s="56"/>
      <c r="Q146" s="56"/>
      <c r="R146" s="54"/>
      <c r="S146" s="25" t="e">
        <v>#N/A</v>
      </c>
      <c r="T146" s="21" t="s">
        <v>1693</v>
      </c>
      <c r="U146" s="56"/>
      <c r="V146" s="64" t="e">
        <f>VLOOKUP(F146,'[1]2. PROFITLOSSLITE'!$F$3:$W$167,17,FALSE)</f>
        <v>#N/A</v>
      </c>
      <c r="W146" s="64" t="e">
        <f>VLOOKUP(F146,'[1]2. PROFITLOSSLITE'!$F$3:$W$167,18,FALSE)</f>
        <v>#N/A</v>
      </c>
      <c r="X146" s="70"/>
      <c r="Y146" s="56" t="s">
        <v>1060</v>
      </c>
      <c r="Z146" s="56"/>
      <c r="AA146" s="55"/>
      <c r="AB146" s="56"/>
      <c r="AC146" s="56"/>
      <c r="AD146" s="56"/>
      <c r="AE146" s="56"/>
      <c r="AF146" s="56"/>
      <c r="AG146" s="56"/>
    </row>
    <row r="147" spans="1:33" ht="14.25" customHeight="1">
      <c r="A147" s="259"/>
      <c r="B147" s="259"/>
      <c r="C147" s="260"/>
      <c r="D147" s="260"/>
      <c r="E147" s="56" t="s">
        <v>55</v>
      </c>
      <c r="F147" s="56" t="s">
        <v>906</v>
      </c>
      <c r="G147" s="56" t="s">
        <v>242</v>
      </c>
      <c r="H147" s="56" t="s">
        <v>243</v>
      </c>
      <c r="I147" s="56"/>
      <c r="J147" s="56">
        <v>87</v>
      </c>
      <c r="K147" s="56" t="s">
        <v>680</v>
      </c>
      <c r="L147" s="56"/>
      <c r="M147" s="34"/>
      <c r="N147" s="56"/>
      <c r="O147" s="56"/>
      <c r="P147" s="56"/>
      <c r="Q147" s="56"/>
      <c r="R147" s="54"/>
      <c r="S147" s="25" t="e">
        <v>#N/A</v>
      </c>
      <c r="T147" s="56" t="s">
        <v>1694</v>
      </c>
      <c r="U147" s="56">
        <v>1</v>
      </c>
      <c r="V147" s="229" t="e">
        <f>VLOOKUP(F147,'[1]2. PROFITLOSSLITE'!$F$3:$W$167,17,FALSE)</f>
        <v>#N/A</v>
      </c>
      <c r="W147" s="229" t="e">
        <f>VLOOKUP(F147,'[1]2. PROFITLOSSLITE'!$F$3:$W$167,18,FALSE)</f>
        <v>#N/A</v>
      </c>
      <c r="X147" s="70"/>
      <c r="Y147" s="56" t="s">
        <v>1060</v>
      </c>
      <c r="Z147" s="56"/>
      <c r="AA147" s="55"/>
      <c r="AB147" s="56"/>
      <c r="AC147" s="56"/>
      <c r="AD147" s="56"/>
      <c r="AE147" s="56"/>
      <c r="AF147" s="56"/>
      <c r="AG147" s="56"/>
    </row>
    <row r="148" spans="1:33" ht="14.25" customHeight="1">
      <c r="A148" s="259"/>
      <c r="B148" s="259"/>
      <c r="C148" s="260"/>
      <c r="D148" s="260"/>
      <c r="E148" s="56" t="s">
        <v>55</v>
      </c>
      <c r="F148" s="56" t="s">
        <v>1695</v>
      </c>
      <c r="G148" s="56" t="s">
        <v>247</v>
      </c>
      <c r="H148" s="56" t="s">
        <v>243</v>
      </c>
      <c r="I148" s="56"/>
      <c r="J148" s="56">
        <v>54</v>
      </c>
      <c r="K148" s="56" t="s">
        <v>680</v>
      </c>
      <c r="L148" s="56"/>
      <c r="M148" s="34"/>
      <c r="N148" s="56"/>
      <c r="O148" s="56"/>
      <c r="P148" s="56"/>
      <c r="Q148" s="56"/>
      <c r="R148" s="54"/>
      <c r="S148" s="25" t="e">
        <v>#N/A</v>
      </c>
      <c r="T148" s="56" t="s">
        <v>1696</v>
      </c>
      <c r="U148" s="56"/>
      <c r="V148" s="229" t="e">
        <f>VLOOKUP(F148,'[1]2. PROFITLOSSLITE'!$F$3:$W$167,17,FALSE)</f>
        <v>#N/A</v>
      </c>
      <c r="W148" s="229" t="e">
        <f>VLOOKUP(F148,'[1]2. PROFITLOSSLITE'!$F$3:$W$167,18,FALSE)</f>
        <v>#N/A</v>
      </c>
      <c r="X148" s="70"/>
      <c r="Y148" s="56" t="s">
        <v>1060</v>
      </c>
      <c r="Z148" s="56"/>
      <c r="AA148" s="55"/>
      <c r="AB148" s="56"/>
      <c r="AC148" s="56"/>
      <c r="AD148" s="56"/>
      <c r="AE148" s="56"/>
      <c r="AF148" s="56"/>
      <c r="AG148" s="56"/>
    </row>
    <row r="149" spans="1:33" ht="14.25" customHeight="1">
      <c r="A149" s="259"/>
      <c r="B149" s="259"/>
      <c r="C149" s="260"/>
      <c r="D149" s="260"/>
      <c r="E149" s="70" t="s">
        <v>55</v>
      </c>
      <c r="F149" s="56" t="s">
        <v>415</v>
      </c>
      <c r="G149" s="56" t="s">
        <v>329</v>
      </c>
      <c r="H149" s="70" t="s">
        <v>243</v>
      </c>
      <c r="I149" s="56"/>
      <c r="J149" s="70">
        <v>98</v>
      </c>
      <c r="K149" s="56" t="s">
        <v>682</v>
      </c>
      <c r="L149" s="56" t="s">
        <v>1327</v>
      </c>
      <c r="M149" s="66" t="s">
        <v>417</v>
      </c>
      <c r="N149" s="56" t="s">
        <v>1370</v>
      </c>
      <c r="O149" s="56" t="s">
        <v>1697</v>
      </c>
      <c r="P149" s="56" t="s">
        <v>1698</v>
      </c>
      <c r="Q149" s="56"/>
      <c r="R149" s="54"/>
      <c r="S149" s="25">
        <v>0</v>
      </c>
      <c r="T149" s="70" t="s">
        <v>1699</v>
      </c>
      <c r="U149" s="56"/>
      <c r="V149" s="229" t="e">
        <f>VLOOKUP(F149,'[1]2. PROFITLOSSLITE'!$F$3:$W$167,17,FALSE)</f>
        <v>#N/A</v>
      </c>
      <c r="W149" s="229" t="e">
        <f>VLOOKUP(F149,'[1]2. PROFITLOSSLITE'!$F$3:$W$167,18,FALSE)</f>
        <v>#N/A</v>
      </c>
      <c r="X149" s="70">
        <v>64</v>
      </c>
      <c r="Y149" s="56"/>
      <c r="Z149" s="56" t="s">
        <v>1521</v>
      </c>
      <c r="AA149" s="55">
        <v>43538</v>
      </c>
      <c r="AB149" s="56" t="s">
        <v>1700</v>
      </c>
      <c r="AC149" s="56"/>
      <c r="AD149" s="56"/>
      <c r="AE149" s="56"/>
      <c r="AF149" s="56"/>
      <c r="AG149" s="56"/>
    </row>
    <row r="150" spans="1:33" ht="14.25" customHeight="1">
      <c r="A150" s="244"/>
      <c r="B150" s="244"/>
      <c r="C150" s="244"/>
      <c r="D150" s="244"/>
      <c r="E150" s="70" t="s">
        <v>55</v>
      </c>
      <c r="F150" s="56" t="s">
        <v>1701</v>
      </c>
      <c r="G150" s="56" t="s">
        <v>329</v>
      </c>
      <c r="H150" s="70" t="s">
        <v>243</v>
      </c>
      <c r="I150" s="56"/>
      <c r="J150" s="70">
        <v>106</v>
      </c>
      <c r="K150" s="56" t="s">
        <v>680</v>
      </c>
      <c r="L150" s="56"/>
      <c r="M150" s="34"/>
      <c r="N150" s="56"/>
      <c r="O150" s="56"/>
      <c r="P150" s="56"/>
      <c r="Q150" s="56"/>
      <c r="R150" s="54"/>
      <c r="S150" s="25" t="e">
        <v>#N/A</v>
      </c>
      <c r="T150" s="56" t="s">
        <v>1702</v>
      </c>
      <c r="U150" s="56"/>
      <c r="V150" s="244" t="e">
        <f>VLOOKUP(F150,'[1]2. PROFITLOSSLITE'!$F$3:$W$167,17,FALSE)</f>
        <v>#N/A</v>
      </c>
      <c r="W150" s="244" t="e">
        <f>VLOOKUP(F150,'[1]2. PROFITLOSSLITE'!$F$3:$W$167,18,FALSE)</f>
        <v>#N/A</v>
      </c>
      <c r="X150" s="70"/>
      <c r="Y150" s="56" t="s">
        <v>1060</v>
      </c>
      <c r="Z150" s="56"/>
      <c r="AA150" s="55"/>
      <c r="AB150" s="56"/>
      <c r="AC150" s="56"/>
      <c r="AD150" s="56"/>
      <c r="AE150" s="56"/>
      <c r="AF150" s="56"/>
      <c r="AG150" s="56"/>
    </row>
    <row r="151" spans="1:33" ht="14.25" customHeight="1">
      <c r="A151" s="62"/>
      <c r="B151" s="62"/>
      <c r="C151" s="63"/>
      <c r="D151" s="63"/>
      <c r="E151" s="70" t="s">
        <v>55</v>
      </c>
      <c r="F151" s="56" t="s">
        <v>402</v>
      </c>
      <c r="G151" s="56" t="s">
        <v>329</v>
      </c>
      <c r="H151" s="70" t="s">
        <v>243</v>
      </c>
      <c r="I151" s="56"/>
      <c r="J151" s="70">
        <v>99</v>
      </c>
      <c r="K151" s="56" t="s">
        <v>682</v>
      </c>
      <c r="L151" s="56" t="s">
        <v>1327</v>
      </c>
      <c r="M151" s="34" t="s">
        <v>403</v>
      </c>
      <c r="N151" s="56" t="s">
        <v>1370</v>
      </c>
      <c r="O151" s="56" t="s">
        <v>1703</v>
      </c>
      <c r="P151" s="56" t="s">
        <v>1704</v>
      </c>
      <c r="Q151" s="56"/>
      <c r="R151" s="54"/>
      <c r="S151" s="25">
        <v>-7665.62</v>
      </c>
      <c r="T151" s="56" t="s">
        <v>1705</v>
      </c>
      <c r="U151" s="56"/>
      <c r="V151" s="64" t="e">
        <f>VLOOKUP(F151,'[1]2. PROFITLOSSLITE'!$F$3:$W$167,17,FALSE)</f>
        <v>#N/A</v>
      </c>
      <c r="W151" s="64" t="e">
        <f>VLOOKUP(F151,'[1]2. PROFITLOSSLITE'!$F$3:$W$167,18,FALSE)</f>
        <v>#N/A</v>
      </c>
      <c r="X151" s="70">
        <v>58</v>
      </c>
      <c r="Y151" s="56"/>
      <c r="Z151" s="56" t="s">
        <v>1331</v>
      </c>
      <c r="AA151" s="55">
        <v>43475</v>
      </c>
      <c r="AB151" s="56" t="s">
        <v>1057</v>
      </c>
      <c r="AC151" s="70"/>
      <c r="AD151" s="70"/>
      <c r="AE151" s="70"/>
      <c r="AF151" s="70"/>
      <c r="AG151" s="70"/>
    </row>
    <row r="152" spans="1:33" ht="14.25" customHeight="1">
      <c r="A152" s="259"/>
      <c r="B152" s="259"/>
      <c r="C152" s="260"/>
      <c r="D152" s="260"/>
      <c r="E152" s="70" t="s">
        <v>55</v>
      </c>
      <c r="F152" s="56" t="s">
        <v>422</v>
      </c>
      <c r="G152" s="56" t="s">
        <v>329</v>
      </c>
      <c r="H152" s="70" t="s">
        <v>243</v>
      </c>
      <c r="I152" s="56"/>
      <c r="J152" s="70">
        <v>104</v>
      </c>
      <c r="K152" s="56" t="s">
        <v>682</v>
      </c>
      <c r="L152" s="56" t="s">
        <v>1327</v>
      </c>
      <c r="M152" s="34" t="s">
        <v>423</v>
      </c>
      <c r="N152" s="56" t="s">
        <v>1370</v>
      </c>
      <c r="O152" s="56" t="s">
        <v>1706</v>
      </c>
      <c r="P152" s="56" t="s">
        <v>1707</v>
      </c>
      <c r="Q152" s="56"/>
      <c r="R152" s="54"/>
      <c r="S152" s="25">
        <v>0</v>
      </c>
      <c r="T152" s="56" t="s">
        <v>1708</v>
      </c>
      <c r="U152" s="56"/>
      <c r="V152" s="229" t="e">
        <f>VLOOKUP(F152,'[1]2. PROFITLOSSLITE'!$F$3:$W$167,17,FALSE)</f>
        <v>#N/A</v>
      </c>
      <c r="W152" s="229" t="e">
        <f>VLOOKUP(F152,'[1]2. PROFITLOSSLITE'!$F$3:$W$167,18,FALSE)</f>
        <v>#N/A</v>
      </c>
      <c r="X152" s="70">
        <v>67</v>
      </c>
      <c r="Y152" s="56"/>
      <c r="Z152" s="56" t="s">
        <v>1331</v>
      </c>
      <c r="AA152" s="55">
        <v>43475</v>
      </c>
      <c r="AB152" s="56" t="s">
        <v>1057</v>
      </c>
      <c r="AC152" s="70"/>
      <c r="AD152" s="70"/>
      <c r="AE152" s="70"/>
      <c r="AF152" s="70"/>
      <c r="AG152" s="70"/>
    </row>
    <row r="153" spans="1:33" ht="14.25" customHeight="1">
      <c r="A153" s="259"/>
      <c r="B153" s="259"/>
      <c r="C153" s="260"/>
      <c r="D153" s="260"/>
      <c r="E153" s="70" t="s">
        <v>55</v>
      </c>
      <c r="F153" s="56" t="s">
        <v>303</v>
      </c>
      <c r="G153" s="56" t="s">
        <v>250</v>
      </c>
      <c r="H153" s="70" t="s">
        <v>243</v>
      </c>
      <c r="I153" s="56"/>
      <c r="J153" s="70">
        <v>100</v>
      </c>
      <c r="K153" s="56" t="s">
        <v>682</v>
      </c>
      <c r="L153" s="56" t="s">
        <v>1327</v>
      </c>
      <c r="M153" s="34" t="s">
        <v>304</v>
      </c>
      <c r="N153" s="56" t="s">
        <v>1709</v>
      </c>
      <c r="O153" s="56" t="s">
        <v>1710</v>
      </c>
      <c r="P153" s="56" t="s">
        <v>1711</v>
      </c>
      <c r="Q153" s="56"/>
      <c r="R153" s="54"/>
      <c r="S153" s="25" t="s">
        <v>1201</v>
      </c>
      <c r="T153" s="56" t="s">
        <v>1712</v>
      </c>
      <c r="U153" s="56"/>
      <c r="V153" s="229" t="e">
        <f>VLOOKUP(F153,'[1]2. PROFITLOSSLITE'!$F$3:$W$167,17,FALSE)</f>
        <v>#N/A</v>
      </c>
      <c r="W153" s="229" t="e">
        <f>VLOOKUP(F153,'[1]2. PROFITLOSSLITE'!$F$3:$W$167,18,FALSE)</f>
        <v>#N/A</v>
      </c>
      <c r="X153" s="70">
        <v>7</v>
      </c>
      <c r="Y153" s="56"/>
      <c r="Z153" s="56" t="s">
        <v>1331</v>
      </c>
      <c r="AA153" s="55">
        <v>43475</v>
      </c>
      <c r="AB153" s="56" t="s">
        <v>1057</v>
      </c>
      <c r="AC153" s="70"/>
      <c r="AD153" s="70"/>
      <c r="AE153" s="70"/>
      <c r="AF153" s="70"/>
      <c r="AG153" s="70"/>
    </row>
    <row r="154" spans="1:33" ht="14.25" customHeight="1">
      <c r="A154" s="259"/>
      <c r="B154" s="259"/>
      <c r="C154" s="260"/>
      <c r="D154" s="260"/>
      <c r="E154" s="70" t="s">
        <v>55</v>
      </c>
      <c r="F154" s="56" t="s">
        <v>305</v>
      </c>
      <c r="G154" s="56" t="s">
        <v>242</v>
      </c>
      <c r="H154" s="70" t="s">
        <v>243</v>
      </c>
      <c r="I154" s="56"/>
      <c r="J154" s="70">
        <v>105</v>
      </c>
      <c r="K154" s="56" t="s">
        <v>682</v>
      </c>
      <c r="L154" s="56" t="s">
        <v>1327</v>
      </c>
      <c r="M154" s="34" t="s">
        <v>306</v>
      </c>
      <c r="N154" s="56" t="s">
        <v>1390</v>
      </c>
      <c r="O154" s="56" t="s">
        <v>1713</v>
      </c>
      <c r="P154" s="56" t="s">
        <v>1462</v>
      </c>
      <c r="Q154" s="56"/>
      <c r="R154" s="54"/>
      <c r="S154" s="25" t="s">
        <v>1463</v>
      </c>
      <c r="T154" s="56" t="s">
        <v>1714</v>
      </c>
      <c r="U154" s="56"/>
      <c r="V154" s="229" t="e">
        <f>VLOOKUP(F154,'[1]2. PROFITLOSSLITE'!$F$3:$W$167,17,FALSE)</f>
        <v>#N/A</v>
      </c>
      <c r="W154" s="229" t="e">
        <f>VLOOKUP(F154,'[1]2. PROFITLOSSLITE'!$F$3:$W$167,18,FALSE)</f>
        <v>#N/A</v>
      </c>
      <c r="X154" s="70">
        <v>8</v>
      </c>
      <c r="Y154" s="56"/>
      <c r="Z154" s="56" t="s">
        <v>1331</v>
      </c>
      <c r="AA154" s="55">
        <v>43475</v>
      </c>
      <c r="AB154" s="56" t="s">
        <v>1057</v>
      </c>
      <c r="AC154" s="70"/>
      <c r="AD154" s="70"/>
      <c r="AE154" s="70"/>
      <c r="AF154" s="70"/>
      <c r="AG154" s="70"/>
    </row>
    <row r="155" spans="1:33" ht="14.25" customHeight="1">
      <c r="A155" s="259"/>
      <c r="B155" s="259"/>
      <c r="C155" s="260"/>
      <c r="D155" s="260"/>
      <c r="E155" s="70" t="s">
        <v>55</v>
      </c>
      <c r="F155" s="56" t="s">
        <v>409</v>
      </c>
      <c r="G155" s="56" t="s">
        <v>329</v>
      </c>
      <c r="H155" s="70" t="s">
        <v>243</v>
      </c>
      <c r="I155" s="56"/>
      <c r="J155" s="70">
        <v>101</v>
      </c>
      <c r="K155" s="56" t="s">
        <v>682</v>
      </c>
      <c r="L155" s="56" t="s">
        <v>1327</v>
      </c>
      <c r="M155" s="34" t="s">
        <v>410</v>
      </c>
      <c r="N155" s="56" t="s">
        <v>1370</v>
      </c>
      <c r="O155" s="56" t="s">
        <v>1715</v>
      </c>
      <c r="P155" s="56" t="s">
        <v>1716</v>
      </c>
      <c r="Q155" s="56"/>
      <c r="R155" s="54"/>
      <c r="S155" s="25">
        <v>698.95</v>
      </c>
      <c r="T155" s="56" t="s">
        <v>1717</v>
      </c>
      <c r="U155" s="56"/>
      <c r="V155" s="229" t="e">
        <f>VLOOKUP(F155,'[1]2. PROFITLOSSLITE'!$F$3:$W$167,17,FALSE)</f>
        <v>#N/A</v>
      </c>
      <c r="W155" s="229" t="e">
        <f>VLOOKUP(F155,'[1]2. PROFITLOSSLITE'!$F$3:$W$167,18,FALSE)</f>
        <v>#N/A</v>
      </c>
      <c r="X155" s="70">
        <v>61</v>
      </c>
      <c r="Y155" s="56"/>
      <c r="Z155" s="56" t="s">
        <v>1331</v>
      </c>
      <c r="AA155" s="55">
        <v>43475</v>
      </c>
      <c r="AB155" s="56" t="s">
        <v>1057</v>
      </c>
      <c r="AC155" s="70"/>
      <c r="AD155" s="70"/>
      <c r="AE155" s="70"/>
      <c r="AF155" s="70"/>
      <c r="AG155" s="70"/>
    </row>
    <row r="156" spans="1:33" ht="14.25" customHeight="1">
      <c r="A156" s="259"/>
      <c r="B156" s="259"/>
      <c r="C156" s="260"/>
      <c r="D156" s="260"/>
      <c r="E156" s="70" t="s">
        <v>55</v>
      </c>
      <c r="F156" s="56" t="s">
        <v>1718</v>
      </c>
      <c r="G156" s="56" t="s">
        <v>329</v>
      </c>
      <c r="H156" s="70" t="s">
        <v>243</v>
      </c>
      <c r="I156" s="56"/>
      <c r="J156" s="70">
        <v>107</v>
      </c>
      <c r="K156" s="56" t="s">
        <v>680</v>
      </c>
      <c r="L156" s="56"/>
      <c r="M156" s="34"/>
      <c r="N156" s="56"/>
      <c r="O156" s="56"/>
      <c r="P156" s="56"/>
      <c r="Q156" s="56"/>
      <c r="R156" s="54"/>
      <c r="S156" s="25" t="e">
        <v>#N/A</v>
      </c>
      <c r="T156" s="56" t="s">
        <v>1719</v>
      </c>
      <c r="U156" s="56"/>
      <c r="V156" s="229" t="e">
        <f>VLOOKUP(F156,'[1]2. PROFITLOSSLITE'!$F$3:$W$167,17,FALSE)</f>
        <v>#N/A</v>
      </c>
      <c r="W156" s="229" t="e">
        <f>VLOOKUP(F156,'[1]2. PROFITLOSSLITE'!$F$3:$W$167,18,FALSE)</f>
        <v>#N/A</v>
      </c>
      <c r="X156" s="70"/>
      <c r="Y156" s="56" t="s">
        <v>1060</v>
      </c>
      <c r="Z156" s="56"/>
      <c r="AA156" s="55"/>
      <c r="AB156" s="56"/>
      <c r="AC156" s="56"/>
      <c r="AD156" s="56"/>
      <c r="AE156" s="56"/>
      <c r="AF156" s="56"/>
      <c r="AG156" s="56"/>
    </row>
    <row r="157" spans="1:33" ht="14.25" customHeight="1">
      <c r="A157" s="259"/>
      <c r="B157" s="259"/>
      <c r="C157" s="260"/>
      <c r="D157" s="260"/>
      <c r="E157" s="70" t="s">
        <v>55</v>
      </c>
      <c r="F157" s="56" t="s">
        <v>335</v>
      </c>
      <c r="G157" s="56" t="s">
        <v>329</v>
      </c>
      <c r="H157" s="70" t="s">
        <v>243</v>
      </c>
      <c r="I157" s="56"/>
      <c r="J157" s="70">
        <v>102</v>
      </c>
      <c r="K157" s="56" t="s">
        <v>682</v>
      </c>
      <c r="L157" s="56" t="s">
        <v>1327</v>
      </c>
      <c r="M157" s="34" t="s">
        <v>336</v>
      </c>
      <c r="N157" s="56" t="s">
        <v>1395</v>
      </c>
      <c r="O157" s="56" t="s">
        <v>1720</v>
      </c>
      <c r="P157" s="56" t="s">
        <v>1638</v>
      </c>
      <c r="Q157" s="56" t="s">
        <v>1398</v>
      </c>
      <c r="R157" s="54"/>
      <c r="S157" s="25">
        <v>1</v>
      </c>
      <c r="T157" s="56" t="s">
        <v>1721</v>
      </c>
      <c r="U157" s="56"/>
      <c r="V157" s="229" t="e">
        <f>VLOOKUP(F157,'[1]2. PROFITLOSSLITE'!$F$3:$W$167,17,FALSE)</f>
        <v>#N/A</v>
      </c>
      <c r="W157" s="229" t="e">
        <f>VLOOKUP(F157,'[1]2. PROFITLOSSLITE'!$F$3:$W$167,18,FALSE)</f>
        <v>#N/A</v>
      </c>
      <c r="X157" s="70">
        <v>24</v>
      </c>
      <c r="Y157" s="56"/>
      <c r="Z157" s="56" t="s">
        <v>1331</v>
      </c>
      <c r="AA157" s="55">
        <v>43475</v>
      </c>
      <c r="AB157" s="56" t="s">
        <v>1057</v>
      </c>
      <c r="AC157" s="67"/>
      <c r="AD157" s="67"/>
      <c r="AE157" s="67"/>
      <c r="AF157" s="67"/>
      <c r="AG157" s="67"/>
    </row>
    <row r="158" spans="1:33" ht="14.25" customHeight="1">
      <c r="A158" s="259"/>
      <c r="B158" s="259"/>
      <c r="C158" s="260"/>
      <c r="D158" s="260"/>
      <c r="E158" s="56" t="s">
        <v>55</v>
      </c>
      <c r="F158" s="56" t="s">
        <v>426</v>
      </c>
      <c r="G158" s="56" t="s">
        <v>329</v>
      </c>
      <c r="H158" s="56" t="s">
        <v>243</v>
      </c>
      <c r="I158" s="56"/>
      <c r="J158" s="56">
        <v>103</v>
      </c>
      <c r="K158" s="56" t="s">
        <v>682</v>
      </c>
      <c r="L158" s="56" t="s">
        <v>1327</v>
      </c>
      <c r="M158" s="56" t="s">
        <v>427</v>
      </c>
      <c r="N158" s="56" t="s">
        <v>1395</v>
      </c>
      <c r="O158" s="56" t="s">
        <v>1722</v>
      </c>
      <c r="P158" s="56" t="s">
        <v>1723</v>
      </c>
      <c r="Q158" s="56" t="s">
        <v>1398</v>
      </c>
      <c r="R158" s="54"/>
      <c r="S158" s="25">
        <v>8364.57</v>
      </c>
      <c r="T158" s="56" t="s">
        <v>1724</v>
      </c>
      <c r="U158" s="56"/>
      <c r="V158" s="229" t="e">
        <f>VLOOKUP(F158,'[1]2. PROFITLOSSLITE'!$F$3:$W$167,17,FALSE)</f>
        <v>#N/A</v>
      </c>
      <c r="W158" s="229" t="e">
        <f>VLOOKUP(F158,'[1]2. PROFITLOSSLITE'!$F$3:$W$167,18,FALSE)</f>
        <v>#N/A</v>
      </c>
      <c r="X158" s="70">
        <v>69</v>
      </c>
      <c r="Y158" s="56"/>
      <c r="Z158" s="56" t="s">
        <v>1331</v>
      </c>
      <c r="AA158" s="55">
        <v>43475</v>
      </c>
      <c r="AB158" s="56" t="s">
        <v>1057</v>
      </c>
      <c r="AC158" s="67"/>
      <c r="AD158" s="67"/>
      <c r="AE158" s="67"/>
      <c r="AF158" s="67"/>
      <c r="AG158" s="67"/>
    </row>
    <row r="159" spans="1:33" ht="14.25" customHeight="1">
      <c r="A159" s="259"/>
      <c r="B159" s="259"/>
      <c r="C159" s="260"/>
      <c r="D159" s="260"/>
      <c r="E159" s="56" t="s">
        <v>55</v>
      </c>
      <c r="F159" s="56" t="s">
        <v>326</v>
      </c>
      <c r="G159" s="56" t="s">
        <v>242</v>
      </c>
      <c r="H159" s="56" t="s">
        <v>243</v>
      </c>
      <c r="I159" s="56"/>
      <c r="J159" s="56"/>
      <c r="K159" s="56" t="s">
        <v>682</v>
      </c>
      <c r="L159" s="56" t="s">
        <v>1327</v>
      </c>
      <c r="M159" s="56" t="s">
        <v>327</v>
      </c>
      <c r="N159" s="56" t="s">
        <v>1390</v>
      </c>
      <c r="O159" s="56" t="s">
        <v>1725</v>
      </c>
      <c r="P159" s="56" t="s">
        <v>1376</v>
      </c>
      <c r="Q159" s="56"/>
      <c r="R159" s="54"/>
      <c r="S159" s="25" t="s">
        <v>1726</v>
      </c>
      <c r="T159" s="21" t="s">
        <v>1727</v>
      </c>
      <c r="U159" s="56"/>
      <c r="V159" s="229" t="e">
        <f>VLOOKUP(F159,'[1]2. PROFITLOSSLITE'!$F$3:$W$167,17,FALSE)</f>
        <v>#N/A</v>
      </c>
      <c r="W159" s="229" t="e">
        <f>VLOOKUP(F159,'[1]2. PROFITLOSSLITE'!$F$3:$W$167,18,FALSE)</f>
        <v>#N/A</v>
      </c>
      <c r="X159" s="70">
        <v>20</v>
      </c>
      <c r="Y159" s="56"/>
      <c r="Z159" s="56" t="s">
        <v>1331</v>
      </c>
      <c r="AA159" s="55">
        <v>43475</v>
      </c>
      <c r="AB159" s="56" t="s">
        <v>1057</v>
      </c>
      <c r="AC159" s="70"/>
      <c r="AD159" s="70"/>
      <c r="AE159" s="70"/>
      <c r="AF159" s="70"/>
      <c r="AG159" s="70"/>
    </row>
    <row r="160" spans="1:33" ht="14.25" customHeight="1">
      <c r="A160" s="259"/>
      <c r="B160" s="259"/>
      <c r="C160" s="260"/>
      <c r="D160" s="260"/>
      <c r="E160" s="56" t="s">
        <v>55</v>
      </c>
      <c r="F160" s="56" t="s">
        <v>1728</v>
      </c>
      <c r="G160" s="56" t="s">
        <v>329</v>
      </c>
      <c r="H160" s="56" t="s">
        <v>243</v>
      </c>
      <c r="I160" s="56"/>
      <c r="J160" s="22"/>
      <c r="K160" s="56" t="s">
        <v>680</v>
      </c>
      <c r="L160" s="56"/>
      <c r="M160" s="34"/>
      <c r="N160" s="56"/>
      <c r="O160" s="56"/>
      <c r="P160" s="56"/>
      <c r="Q160" s="56"/>
      <c r="R160" s="54"/>
      <c r="S160" s="25" t="e">
        <v>#N/A</v>
      </c>
      <c r="T160" s="21" t="s">
        <v>1729</v>
      </c>
      <c r="U160" s="56"/>
      <c r="V160" s="229" t="e">
        <f>VLOOKUP(F160,'[1]2. PROFITLOSSLITE'!$F$3:$W$167,17,FALSE)</f>
        <v>#N/A</v>
      </c>
      <c r="W160" s="229" t="e">
        <f>VLOOKUP(F160,'[1]2. PROFITLOSSLITE'!$F$3:$W$167,18,FALSE)</f>
        <v>#N/A</v>
      </c>
      <c r="X160" s="70"/>
      <c r="Y160" s="56" t="s">
        <v>1060</v>
      </c>
      <c r="Z160" s="56"/>
      <c r="AA160" s="55"/>
      <c r="AB160" s="56"/>
      <c r="AC160" s="56"/>
      <c r="AD160" s="56"/>
      <c r="AE160" s="56"/>
      <c r="AF160" s="56"/>
      <c r="AG160" s="56"/>
    </row>
    <row r="161" spans="1:33" ht="14.25" customHeight="1">
      <c r="A161" s="259"/>
      <c r="B161" s="259"/>
      <c r="C161" s="260"/>
      <c r="D161" s="260"/>
      <c r="E161" s="56" t="s">
        <v>55</v>
      </c>
      <c r="F161" s="56" t="s">
        <v>1730</v>
      </c>
      <c r="G161" s="56" t="s">
        <v>329</v>
      </c>
      <c r="H161" s="56" t="s">
        <v>243</v>
      </c>
      <c r="I161" s="56"/>
      <c r="J161" s="22"/>
      <c r="K161" s="56" t="s">
        <v>680</v>
      </c>
      <c r="L161" s="56"/>
      <c r="M161" s="34"/>
      <c r="N161" s="56"/>
      <c r="O161" s="56"/>
      <c r="P161" s="56"/>
      <c r="Q161" s="56"/>
      <c r="R161" s="54"/>
      <c r="S161" s="25" t="e">
        <v>#N/A</v>
      </c>
      <c r="T161" s="21" t="s">
        <v>1731</v>
      </c>
      <c r="U161" s="56"/>
      <c r="V161" s="229" t="e">
        <f>VLOOKUP(F161,'[1]2. PROFITLOSSLITE'!$F$3:$W$167,17,FALSE)</f>
        <v>#N/A</v>
      </c>
      <c r="W161" s="229" t="e">
        <f>VLOOKUP(F161,'[1]2. PROFITLOSSLITE'!$F$3:$W$167,18,FALSE)</f>
        <v>#N/A</v>
      </c>
      <c r="X161" s="70"/>
      <c r="Y161" s="56" t="s">
        <v>1060</v>
      </c>
      <c r="Z161" s="56"/>
      <c r="AA161" s="55"/>
      <c r="AB161" s="56"/>
      <c r="AC161" s="56"/>
      <c r="AD161" s="56"/>
      <c r="AE161" s="56"/>
      <c r="AF161" s="56"/>
      <c r="AG161" s="56"/>
    </row>
    <row r="162" spans="1:33" ht="14.25" customHeight="1">
      <c r="A162" s="259"/>
      <c r="B162" s="259"/>
      <c r="C162" s="260"/>
      <c r="D162" s="260"/>
      <c r="E162" s="56" t="s">
        <v>55</v>
      </c>
      <c r="F162" s="56" t="s">
        <v>1732</v>
      </c>
      <c r="G162" s="56" t="s">
        <v>329</v>
      </c>
      <c r="H162" s="56" t="s">
        <v>243</v>
      </c>
      <c r="I162" s="56"/>
      <c r="J162" s="22"/>
      <c r="K162" s="56" t="s">
        <v>680</v>
      </c>
      <c r="L162" s="56"/>
      <c r="M162" s="34"/>
      <c r="N162" s="56"/>
      <c r="O162" s="56"/>
      <c r="P162" s="56"/>
      <c r="Q162" s="56"/>
      <c r="R162" s="54"/>
      <c r="S162" s="25" t="e">
        <v>#N/A</v>
      </c>
      <c r="T162" s="21" t="s">
        <v>1733</v>
      </c>
      <c r="U162" s="56"/>
      <c r="V162" s="229" t="e">
        <f>VLOOKUP(F162,'[1]2. PROFITLOSSLITE'!$F$3:$W$167,17,FALSE)</f>
        <v>#N/A</v>
      </c>
      <c r="W162" s="229" t="e">
        <f>VLOOKUP(F162,'[1]2. PROFITLOSSLITE'!$F$3:$W$167,18,FALSE)</f>
        <v>#N/A</v>
      </c>
      <c r="X162" s="70"/>
      <c r="Y162" s="56" t="s">
        <v>1060</v>
      </c>
      <c r="Z162" s="56"/>
      <c r="AA162" s="55"/>
      <c r="AB162" s="56"/>
      <c r="AC162" s="56"/>
      <c r="AD162" s="56"/>
      <c r="AE162" s="56"/>
      <c r="AF162" s="56"/>
      <c r="AG162" s="56"/>
    </row>
    <row r="163" spans="1:33" ht="14.25" customHeight="1">
      <c r="A163" s="259"/>
      <c r="B163" s="259"/>
      <c r="C163" s="260"/>
      <c r="D163" s="260"/>
      <c r="E163" s="244" t="s">
        <v>55</v>
      </c>
      <c r="F163" s="244" t="s">
        <v>1734</v>
      </c>
      <c r="G163" s="244" t="s">
        <v>250</v>
      </c>
      <c r="H163" s="244" t="s">
        <v>243</v>
      </c>
      <c r="I163" s="244"/>
      <c r="J163" s="275"/>
      <c r="K163" s="244" t="s">
        <v>680</v>
      </c>
      <c r="L163" s="244"/>
      <c r="M163" s="247"/>
      <c r="N163" s="244"/>
      <c r="O163" s="244"/>
      <c r="P163" s="244"/>
      <c r="Q163" s="244"/>
      <c r="R163" s="269"/>
      <c r="S163" s="276" t="e">
        <v>#N/A</v>
      </c>
      <c r="T163" s="267" t="s">
        <v>1735</v>
      </c>
      <c r="U163" s="244"/>
      <c r="V163" s="229" t="e">
        <f>VLOOKUP(F163,'[1]2. PROFITLOSSLITE'!$F$3:$W$167,17,FALSE)</f>
        <v>#N/A</v>
      </c>
      <c r="W163" s="229" t="e">
        <f>VLOOKUP(F163,'[1]2. PROFITLOSSLITE'!$F$3:$W$167,18,FALSE)</f>
        <v>#N/A</v>
      </c>
      <c r="X163" s="268"/>
      <c r="Y163" s="244" t="s">
        <v>1060</v>
      </c>
      <c r="Z163" s="244"/>
      <c r="AA163" s="270"/>
      <c r="AB163" s="244"/>
      <c r="AC163" s="244"/>
      <c r="AD163" s="244"/>
      <c r="AE163" s="244"/>
      <c r="AF163" s="244"/>
      <c r="AG163" s="244"/>
    </row>
    <row r="164" spans="1:33" ht="14.25" customHeight="1">
      <c r="A164" s="259"/>
      <c r="B164" s="259"/>
      <c r="C164" s="260"/>
      <c r="D164" s="260"/>
      <c r="E164" s="56" t="s">
        <v>61</v>
      </c>
      <c r="F164" s="56" t="s">
        <v>153</v>
      </c>
      <c r="G164" s="56" t="s">
        <v>324</v>
      </c>
      <c r="H164" s="56" t="s">
        <v>243</v>
      </c>
      <c r="I164" s="56"/>
      <c r="J164" s="56">
        <v>55</v>
      </c>
      <c r="K164" s="56" t="s">
        <v>682</v>
      </c>
      <c r="L164" s="56" t="s">
        <v>1327</v>
      </c>
      <c r="M164" s="56" t="s">
        <v>325</v>
      </c>
      <c r="N164" s="56" t="s">
        <v>1736</v>
      </c>
      <c r="O164" s="244" t="s">
        <v>1737</v>
      </c>
      <c r="P164" s="244" t="s">
        <v>1738</v>
      </c>
      <c r="Q164" s="244"/>
      <c r="R164" s="277" t="s">
        <v>1346</v>
      </c>
      <c r="S164" s="276" t="s">
        <v>1739</v>
      </c>
      <c r="T164" s="244" t="s">
        <v>1740</v>
      </c>
      <c r="U164" s="244">
        <v>1</v>
      </c>
      <c r="V164" s="229" t="e">
        <f>VLOOKUP(F164,'[1]2. PROFITLOSSLITE'!$F$3:$W$167,17,FALSE)</f>
        <v>#N/A</v>
      </c>
      <c r="W164" s="229" t="e">
        <f>VLOOKUP(F164,'[1]2. PROFITLOSSLITE'!$F$3:$W$167,18,FALSE)</f>
        <v>#N/A</v>
      </c>
      <c r="X164" s="268">
        <v>19</v>
      </c>
      <c r="Y164" s="244"/>
      <c r="Z164" s="244" t="s">
        <v>1331</v>
      </c>
      <c r="AA164" s="270">
        <v>43475</v>
      </c>
      <c r="AB164" s="244" t="s">
        <v>1057</v>
      </c>
      <c r="AC164" s="268"/>
      <c r="AD164" s="268"/>
      <c r="AE164" s="268"/>
      <c r="AF164" s="268"/>
      <c r="AG164" s="268"/>
    </row>
    <row r="165" spans="1:33" ht="18.75" customHeight="1">
      <c r="A165" s="68"/>
      <c r="B165" s="68"/>
      <c r="C165" s="68"/>
      <c r="D165" s="68"/>
      <c r="E165" s="57" t="s">
        <v>55</v>
      </c>
      <c r="F165" s="57" t="s">
        <v>1741</v>
      </c>
      <c r="G165" s="57" t="s">
        <v>324</v>
      </c>
      <c r="H165" s="57" t="s">
        <v>243</v>
      </c>
      <c r="I165" s="57"/>
      <c r="J165" s="57"/>
      <c r="K165" s="57" t="s">
        <v>682</v>
      </c>
      <c r="L165" s="57" t="s">
        <v>1327</v>
      </c>
      <c r="M165" s="57" t="s">
        <v>1742</v>
      </c>
      <c r="N165" s="57"/>
      <c r="O165" s="68"/>
      <c r="P165" s="68"/>
      <c r="Q165" s="68"/>
      <c r="R165" s="68"/>
      <c r="S165" s="68" t="e">
        <v>#N/A</v>
      </c>
      <c r="T165" s="68" t="s">
        <v>1743</v>
      </c>
      <c r="U165" s="68"/>
      <c r="V165" s="68" t="e">
        <f>VLOOKUP(F165,'[1]2. PROFITLOSSLITE'!$F$3:$W$167,17,FALSE)</f>
        <v>#N/A</v>
      </c>
      <c r="W165" s="68" t="e">
        <f>VLOOKUP(F165,'[1]2. PROFITLOSSLITE'!$F$3:$W$167,18,FALSE)</f>
        <v>#N/A</v>
      </c>
      <c r="X165" s="454"/>
      <c r="Y165" s="454" t="s">
        <v>1060</v>
      </c>
      <c r="Z165" s="454"/>
      <c r="AA165" s="454"/>
      <c r="AB165" s="454"/>
      <c r="AC165" s="262"/>
      <c r="AD165" s="262"/>
      <c r="AE165" s="262"/>
      <c r="AF165" s="262"/>
      <c r="AG165" s="262"/>
    </row>
    <row r="166" spans="1:33" ht="14.25" customHeight="1">
      <c r="A166" s="259"/>
      <c r="B166" s="259"/>
      <c r="C166" s="260"/>
      <c r="D166" s="260"/>
      <c r="E166" s="244" t="s">
        <v>55</v>
      </c>
      <c r="F166" s="244" t="s">
        <v>1744</v>
      </c>
      <c r="G166" s="244" t="s">
        <v>329</v>
      </c>
      <c r="H166" s="244" t="s">
        <v>243</v>
      </c>
      <c r="I166" s="244"/>
      <c r="J166" s="275"/>
      <c r="K166" s="244" t="s">
        <v>680</v>
      </c>
      <c r="L166" s="244"/>
      <c r="M166" s="247"/>
      <c r="N166" s="244"/>
      <c r="O166" s="244"/>
      <c r="P166" s="244"/>
      <c r="Q166" s="244"/>
      <c r="R166" s="269"/>
      <c r="S166" s="276" t="e">
        <v>#N/A</v>
      </c>
      <c r="T166" s="267" t="s">
        <v>1745</v>
      </c>
      <c r="U166" s="244"/>
      <c r="V166" s="229" t="e">
        <f>VLOOKUP(F166,'[1]2. PROFITLOSSLITE'!$F$3:$W$167,17,FALSE)</f>
        <v>#N/A</v>
      </c>
      <c r="W166" s="229" t="e">
        <f>VLOOKUP(F166,'[1]2. PROFITLOSSLITE'!$F$3:$W$167,18,FALSE)</f>
        <v>#N/A</v>
      </c>
      <c r="X166" s="268"/>
      <c r="Y166" s="244" t="s">
        <v>1060</v>
      </c>
      <c r="Z166" s="244"/>
      <c r="AA166" s="270"/>
      <c r="AB166" s="244"/>
      <c r="AC166" s="244"/>
      <c r="AD166" s="244"/>
      <c r="AE166" s="244"/>
      <c r="AF166" s="244"/>
      <c r="AG166" s="244"/>
    </row>
    <row r="167" spans="1:33" ht="14.25" customHeight="1">
      <c r="A167" s="262"/>
      <c r="B167" s="262"/>
      <c r="C167" s="262"/>
      <c r="D167" s="262"/>
      <c r="E167" s="57" t="s">
        <v>55</v>
      </c>
      <c r="F167" s="57" t="s">
        <v>1746</v>
      </c>
      <c r="G167" s="57" t="s">
        <v>247</v>
      </c>
      <c r="H167" s="57" t="s">
        <v>243</v>
      </c>
      <c r="I167" s="57"/>
      <c r="J167" s="57"/>
      <c r="K167" s="57" t="s">
        <v>682</v>
      </c>
      <c r="L167" s="57" t="s">
        <v>1327</v>
      </c>
      <c r="M167" s="57" t="s">
        <v>1747</v>
      </c>
      <c r="N167" s="57"/>
      <c r="O167" s="262"/>
      <c r="P167" s="262"/>
      <c r="Q167" s="262"/>
      <c r="R167" s="264"/>
      <c r="S167" s="273" t="e">
        <v>#N/A</v>
      </c>
      <c r="T167" s="272" t="s">
        <v>1748</v>
      </c>
      <c r="U167" s="262"/>
      <c r="V167" s="262" t="e">
        <f>VLOOKUP(F167,'[1]2. PROFITLOSSLITE'!$F$3:$W$167,17,FALSE)</f>
        <v>#N/A</v>
      </c>
      <c r="W167" s="262" t="e">
        <f>VLOOKUP(F167,'[1]2. PROFITLOSSLITE'!$F$3:$W$167,18,FALSE)</f>
        <v>#N/A</v>
      </c>
      <c r="X167" s="263"/>
      <c r="Y167" s="262" t="s">
        <v>1060</v>
      </c>
      <c r="Z167" s="262"/>
      <c r="AA167" s="265"/>
      <c r="AB167" s="262"/>
      <c r="AC167" s="262"/>
      <c r="AD167" s="262"/>
      <c r="AE167" s="262"/>
      <c r="AF167" s="262"/>
      <c r="AG167" s="262"/>
    </row>
    <row r="168" spans="1:33" ht="14.25" customHeight="1">
      <c r="A168" s="259"/>
      <c r="B168" s="259"/>
      <c r="C168" s="260"/>
      <c r="D168" s="260"/>
      <c r="E168" s="56" t="s">
        <v>59</v>
      </c>
      <c r="F168" s="56" t="s">
        <v>151</v>
      </c>
      <c r="G168" s="56" t="s">
        <v>247</v>
      </c>
      <c r="H168" s="56" t="s">
        <v>243</v>
      </c>
      <c r="I168" s="56"/>
      <c r="J168" s="56">
        <v>56</v>
      </c>
      <c r="K168" s="56" t="s">
        <v>682</v>
      </c>
      <c r="L168" s="56" t="s">
        <v>1327</v>
      </c>
      <c r="M168" s="56" t="s">
        <v>348</v>
      </c>
      <c r="N168" s="56" t="s">
        <v>1390</v>
      </c>
      <c r="O168" s="244" t="s">
        <v>1749</v>
      </c>
      <c r="P168" s="244" t="s">
        <v>1750</v>
      </c>
      <c r="Q168" s="244"/>
      <c r="R168" s="277" t="s">
        <v>1346</v>
      </c>
      <c r="S168" s="276" t="s">
        <v>1751</v>
      </c>
      <c r="T168" s="244" t="s">
        <v>1752</v>
      </c>
      <c r="U168" s="244">
        <v>1</v>
      </c>
      <c r="V168" s="229" t="e">
        <f>VLOOKUP(F168,'[1]2. PROFITLOSSLITE'!$F$3:$W$167,17,FALSE)</f>
        <v>#N/A</v>
      </c>
      <c r="W168" s="229" t="e">
        <f>VLOOKUP(F168,'[1]2. PROFITLOSSLITE'!$F$3:$W$167,18,FALSE)</f>
        <v>#N/A</v>
      </c>
      <c r="X168" s="268">
        <v>30</v>
      </c>
      <c r="Y168" s="244"/>
      <c r="Z168" s="244" t="s">
        <v>1331</v>
      </c>
      <c r="AA168" s="270">
        <v>43475</v>
      </c>
      <c r="AB168" s="244" t="s">
        <v>1057</v>
      </c>
      <c r="AC168" s="268"/>
      <c r="AD168" s="268"/>
      <c r="AE168" s="268"/>
      <c r="AF168" s="268"/>
      <c r="AG168" s="268"/>
    </row>
    <row r="169" spans="1:33" ht="14.25" customHeight="1">
      <c r="A169" s="259"/>
      <c r="B169" s="259"/>
      <c r="C169" s="260"/>
      <c r="D169" s="260"/>
      <c r="E169" s="56" t="s">
        <v>59</v>
      </c>
      <c r="F169" s="56" t="s">
        <v>349</v>
      </c>
      <c r="G169" s="56" t="s">
        <v>247</v>
      </c>
      <c r="H169" s="56" t="s">
        <v>243</v>
      </c>
      <c r="I169" s="56"/>
      <c r="J169" s="56">
        <v>57</v>
      </c>
      <c r="K169" s="56" t="s">
        <v>682</v>
      </c>
      <c r="L169" s="56" t="s">
        <v>1327</v>
      </c>
      <c r="M169" s="56" t="s">
        <v>350</v>
      </c>
      <c r="N169" s="56" t="s">
        <v>1390</v>
      </c>
      <c r="O169" s="244" t="s">
        <v>1753</v>
      </c>
      <c r="P169" s="244" t="s">
        <v>1754</v>
      </c>
      <c r="Q169" s="244"/>
      <c r="R169" s="277" t="s">
        <v>1346</v>
      </c>
      <c r="S169" s="276" t="s">
        <v>1755</v>
      </c>
      <c r="T169" s="244" t="s">
        <v>1756</v>
      </c>
      <c r="U169" s="244">
        <v>1</v>
      </c>
      <c r="V169" s="229" t="e">
        <f>VLOOKUP(F169,'[1]2. PROFITLOSSLITE'!$F$3:$W$167,17,FALSE)</f>
        <v>#N/A</v>
      </c>
      <c r="W169" s="229" t="e">
        <f>VLOOKUP(F169,'[1]2. PROFITLOSSLITE'!$F$3:$W$167,18,FALSE)</f>
        <v>#N/A</v>
      </c>
      <c r="X169" s="268">
        <v>31</v>
      </c>
      <c r="Y169" s="244"/>
      <c r="Z169" s="244" t="s">
        <v>1331</v>
      </c>
      <c r="AA169" s="270">
        <v>43475</v>
      </c>
      <c r="AB169" s="244" t="s">
        <v>1057</v>
      </c>
      <c r="AC169" s="268"/>
      <c r="AD169" s="268"/>
      <c r="AE169" s="268"/>
      <c r="AF169" s="268"/>
      <c r="AG169" s="268"/>
    </row>
    <row r="170" spans="1:33" ht="14.25" customHeight="1">
      <c r="A170" s="259"/>
      <c r="B170" s="259"/>
      <c r="C170" s="260"/>
      <c r="D170" s="260"/>
      <c r="E170" s="56" t="s">
        <v>55</v>
      </c>
      <c r="F170" s="56" t="s">
        <v>351</v>
      </c>
      <c r="G170" s="56" t="s">
        <v>247</v>
      </c>
      <c r="H170" s="56" t="s">
        <v>243</v>
      </c>
      <c r="I170" s="56"/>
      <c r="J170" s="56">
        <v>58</v>
      </c>
      <c r="K170" s="56" t="s">
        <v>682</v>
      </c>
      <c r="L170" s="56" t="s">
        <v>1327</v>
      </c>
      <c r="M170" s="56" t="s">
        <v>352</v>
      </c>
      <c r="N170" s="56" t="s">
        <v>1390</v>
      </c>
      <c r="O170" s="244" t="s">
        <v>1391</v>
      </c>
      <c r="P170" s="244" t="s">
        <v>1757</v>
      </c>
      <c r="Q170" s="244"/>
      <c r="R170" s="277" t="s">
        <v>1346</v>
      </c>
      <c r="S170" s="276" t="s">
        <v>1758</v>
      </c>
      <c r="T170" s="244" t="s">
        <v>1759</v>
      </c>
      <c r="U170" s="244">
        <v>1</v>
      </c>
      <c r="V170" s="229" t="e">
        <f>VLOOKUP(F170,'[1]2. PROFITLOSSLITE'!$F$3:$W$167,17,FALSE)</f>
        <v>#N/A</v>
      </c>
      <c r="W170" s="229" t="e">
        <f>VLOOKUP(F170,'[1]2. PROFITLOSSLITE'!$F$3:$W$167,18,FALSE)</f>
        <v>#N/A</v>
      </c>
      <c r="X170" s="268">
        <v>32</v>
      </c>
      <c r="Y170" s="244"/>
      <c r="Z170" s="244" t="s">
        <v>1331</v>
      </c>
      <c r="AA170" s="270">
        <v>43475</v>
      </c>
      <c r="AB170" s="244" t="s">
        <v>1057</v>
      </c>
      <c r="AC170" s="268"/>
      <c r="AD170" s="268"/>
      <c r="AE170" s="268"/>
      <c r="AF170" s="268"/>
      <c r="AG170" s="268"/>
    </row>
    <row r="171" spans="1:33" ht="14.25" customHeight="1">
      <c r="A171" s="259"/>
      <c r="B171" s="259"/>
      <c r="C171" s="260"/>
      <c r="D171" s="260"/>
      <c r="E171" s="244" t="s">
        <v>55</v>
      </c>
      <c r="F171" s="244" t="s">
        <v>1760</v>
      </c>
      <c r="G171" s="244" t="s">
        <v>247</v>
      </c>
      <c r="H171" s="244" t="s">
        <v>243</v>
      </c>
      <c r="I171" s="244"/>
      <c r="J171" s="275"/>
      <c r="K171" s="244" t="s">
        <v>680</v>
      </c>
      <c r="L171" s="244"/>
      <c r="M171" s="247"/>
      <c r="N171" s="244"/>
      <c r="O171" s="244"/>
      <c r="P171" s="244"/>
      <c r="Q171" s="244"/>
      <c r="R171" s="269"/>
      <c r="S171" s="276" t="e">
        <v>#N/A</v>
      </c>
      <c r="T171" s="267" t="s">
        <v>1761</v>
      </c>
      <c r="U171" s="244"/>
      <c r="V171" s="229" t="e">
        <f>VLOOKUP(F171,'[1]2. PROFITLOSSLITE'!$F$3:$W$167,17,FALSE)</f>
        <v>#N/A</v>
      </c>
      <c r="W171" s="229" t="e">
        <f>VLOOKUP(F171,'[1]2. PROFITLOSSLITE'!$F$3:$W$167,18,FALSE)</f>
        <v>#N/A</v>
      </c>
      <c r="X171" s="268"/>
      <c r="Y171" s="244" t="s">
        <v>1060</v>
      </c>
      <c r="Z171" s="244"/>
      <c r="AA171" s="270"/>
      <c r="AB171" s="244"/>
      <c r="AC171" s="244"/>
      <c r="AD171" s="244"/>
      <c r="AE171" s="244"/>
      <c r="AF171" s="244"/>
      <c r="AG171" s="244"/>
    </row>
    <row r="172" spans="1:33" ht="14.25" customHeight="1">
      <c r="A172" s="259"/>
      <c r="B172" s="259"/>
      <c r="C172" s="260"/>
      <c r="D172" s="260"/>
      <c r="E172" s="56" t="s">
        <v>59</v>
      </c>
      <c r="F172" s="56" t="s">
        <v>320</v>
      </c>
      <c r="G172" s="56" t="s">
        <v>264</v>
      </c>
      <c r="H172" s="56" t="s">
        <v>243</v>
      </c>
      <c r="I172" s="56"/>
      <c r="J172" s="56">
        <v>59</v>
      </c>
      <c r="K172" s="56" t="s">
        <v>682</v>
      </c>
      <c r="L172" s="56" t="s">
        <v>1327</v>
      </c>
      <c r="M172" s="56" t="s">
        <v>321</v>
      </c>
      <c r="N172" s="56" t="s">
        <v>1604</v>
      </c>
      <c r="O172" s="244" t="s">
        <v>1762</v>
      </c>
      <c r="P172" s="244" t="s">
        <v>1763</v>
      </c>
      <c r="Q172" s="244"/>
      <c r="R172" s="277" t="s">
        <v>1346</v>
      </c>
      <c r="S172" s="276"/>
      <c r="T172" s="244" t="s">
        <v>320</v>
      </c>
      <c r="U172" s="244"/>
      <c r="V172" s="229" t="e">
        <f>VLOOKUP(F172,'[1]2. PROFITLOSSLITE'!$F$3:$W$167,17,FALSE)</f>
        <v>#N/A</v>
      </c>
      <c r="W172" s="229" t="e">
        <f>VLOOKUP(F172,'[1]2. PROFITLOSSLITE'!$F$3:$W$167,18,FALSE)</f>
        <v>#N/A</v>
      </c>
      <c r="X172" s="268">
        <v>17</v>
      </c>
      <c r="Y172" s="244"/>
      <c r="Z172" s="244" t="s">
        <v>1331</v>
      </c>
      <c r="AA172" s="270">
        <v>43475</v>
      </c>
      <c r="AB172" s="244" t="s">
        <v>1057</v>
      </c>
      <c r="AC172" s="268"/>
      <c r="AD172" s="268"/>
      <c r="AE172" s="268"/>
      <c r="AF172" s="268"/>
      <c r="AG172" s="268"/>
    </row>
    <row r="173" spans="1:33" ht="14.25" customHeight="1">
      <c r="A173" s="259"/>
      <c r="B173" s="259"/>
      <c r="C173" s="260"/>
      <c r="D173" s="260"/>
      <c r="E173" s="56" t="s">
        <v>59</v>
      </c>
      <c r="F173" s="56" t="s">
        <v>355</v>
      </c>
      <c r="G173" s="56" t="s">
        <v>346</v>
      </c>
      <c r="H173" s="56" t="s">
        <v>243</v>
      </c>
      <c r="I173" s="56"/>
      <c r="J173" s="56">
        <v>3</v>
      </c>
      <c r="K173" s="56" t="s">
        <v>682</v>
      </c>
      <c r="L173" s="56" t="s">
        <v>1327</v>
      </c>
      <c r="M173" s="56" t="s">
        <v>356</v>
      </c>
      <c r="N173" s="56" t="s">
        <v>1663</v>
      </c>
      <c r="O173" s="244" t="s">
        <v>1764</v>
      </c>
      <c r="P173" s="244" t="s">
        <v>1376</v>
      </c>
      <c r="Q173" s="244"/>
      <c r="R173" s="277" t="s">
        <v>1346</v>
      </c>
      <c r="S173" s="276"/>
      <c r="T173" s="244" t="s">
        <v>1765</v>
      </c>
      <c r="U173" s="244">
        <v>1</v>
      </c>
      <c r="V173" s="229" t="e">
        <f>VLOOKUP(F173,'[1]2. PROFITLOSSLITE'!$F$3:$W$167,17,FALSE)</f>
        <v>#N/A</v>
      </c>
      <c r="W173" s="229" t="e">
        <f>VLOOKUP(F173,'[1]2. PROFITLOSSLITE'!$F$3:$W$167,18,FALSE)</f>
        <v>#N/A</v>
      </c>
      <c r="X173" s="268">
        <v>34</v>
      </c>
      <c r="Y173" s="244"/>
      <c r="Z173" s="244" t="s">
        <v>1331</v>
      </c>
      <c r="AA173" s="270">
        <v>43475</v>
      </c>
      <c r="AB173" s="244" t="s">
        <v>1057</v>
      </c>
      <c r="AC173" s="268"/>
      <c r="AD173" s="268"/>
      <c r="AE173" s="268"/>
      <c r="AF173" s="268"/>
      <c r="AG173" s="268"/>
    </row>
    <row r="174" spans="1:33" ht="14.25" customHeight="1">
      <c r="A174" s="62"/>
      <c r="B174" s="62"/>
      <c r="C174" s="63"/>
      <c r="D174" s="63"/>
      <c r="E174" s="56" t="s">
        <v>55</v>
      </c>
      <c r="F174" s="56" t="s">
        <v>434</v>
      </c>
      <c r="G174" s="56" t="s">
        <v>324</v>
      </c>
      <c r="H174" s="56" t="s">
        <v>243</v>
      </c>
      <c r="I174" s="56"/>
      <c r="J174" s="56"/>
      <c r="K174" s="56" t="s">
        <v>682</v>
      </c>
      <c r="L174" s="56" t="s">
        <v>1327</v>
      </c>
      <c r="M174" s="56" t="s">
        <v>435</v>
      </c>
      <c r="N174" s="56" t="s">
        <v>1593</v>
      </c>
      <c r="O174" s="56" t="s">
        <v>1766</v>
      </c>
      <c r="P174" s="56"/>
      <c r="Q174" s="56"/>
      <c r="R174" s="54"/>
      <c r="S174" s="25"/>
      <c r="T174" s="21" t="s">
        <v>1767</v>
      </c>
      <c r="U174" s="56"/>
      <c r="V174" s="64" t="e">
        <f>VLOOKUP(F174,'[1]2. PROFITLOSSLITE'!$F$3:$W$167,17,FALSE)</f>
        <v>#N/A</v>
      </c>
      <c r="W174" s="64" t="e">
        <f>VLOOKUP(F174,'[1]2. PROFITLOSSLITE'!$F$3:$W$167,18,FALSE)</f>
        <v>#N/A</v>
      </c>
      <c r="X174" s="70">
        <v>72</v>
      </c>
      <c r="Y174" s="56"/>
      <c r="Z174" s="56" t="s">
        <v>1331</v>
      </c>
      <c r="AA174" s="55">
        <v>43475</v>
      </c>
      <c r="AB174" s="56" t="s">
        <v>1057</v>
      </c>
      <c r="AC174" s="70"/>
      <c r="AD174" s="70"/>
      <c r="AE174" s="70"/>
      <c r="AF174" s="70"/>
      <c r="AG174" s="70"/>
    </row>
    <row r="175" spans="1:33" ht="15" customHeight="1">
      <c r="A175" s="244"/>
      <c r="B175" s="244"/>
      <c r="C175" s="244"/>
      <c r="D175" s="244"/>
      <c r="E175" s="56" t="s">
        <v>55</v>
      </c>
      <c r="F175" s="56" t="s">
        <v>491</v>
      </c>
      <c r="G175" s="56" t="s">
        <v>249</v>
      </c>
      <c r="H175" s="56" t="s">
        <v>243</v>
      </c>
      <c r="I175" s="56"/>
      <c r="J175" s="56"/>
      <c r="K175" s="56" t="s">
        <v>682</v>
      </c>
      <c r="L175" s="56" t="s">
        <v>1327</v>
      </c>
      <c r="M175" s="56" t="s">
        <v>492</v>
      </c>
      <c r="N175" s="56"/>
      <c r="O175" s="247" t="s">
        <v>1768</v>
      </c>
      <c r="P175" s="247" t="s">
        <v>1769</v>
      </c>
      <c r="Q175" s="247" t="s">
        <v>1770</v>
      </c>
      <c r="R175" s="269"/>
      <c r="S175" s="276">
        <v>1771</v>
      </c>
      <c r="T175" s="267" t="s">
        <v>1771</v>
      </c>
      <c r="U175" s="244">
        <v>1</v>
      </c>
      <c r="V175" s="244" t="e">
        <f>VLOOKUP(F175,'[1]2. PROFITLOSSLITE'!$F$3:$W$167,17,FALSE)</f>
        <v>#N/A</v>
      </c>
      <c r="W175" s="244" t="e">
        <f>VLOOKUP(F175,'[1]2. PROFITLOSSLITE'!$F$3:$W$167,18,FALSE)</f>
        <v>#N/A</v>
      </c>
      <c r="X175" s="268">
        <v>99</v>
      </c>
      <c r="Y175" s="244"/>
      <c r="Z175" s="278" t="s">
        <v>1353</v>
      </c>
      <c r="AA175" s="279">
        <v>43551</v>
      </c>
      <c r="AB175" s="278" t="s">
        <v>1772</v>
      </c>
      <c r="AC175" s="268"/>
      <c r="AD175" s="268"/>
      <c r="AE175" s="268"/>
      <c r="AF175" s="268"/>
      <c r="AG175" s="268"/>
    </row>
    <row r="176" spans="1:33" ht="37.5">
      <c r="A176" s="262"/>
      <c r="B176" s="262"/>
      <c r="C176" s="262"/>
      <c r="D176" s="262"/>
      <c r="E176" s="56" t="s">
        <v>55</v>
      </c>
      <c r="F176" s="56" t="s">
        <v>1773</v>
      </c>
      <c r="G176" s="56" t="s">
        <v>247</v>
      </c>
      <c r="H176" s="56" t="s">
        <v>243</v>
      </c>
      <c r="I176" s="56"/>
      <c r="J176" s="56"/>
      <c r="K176" s="56" t="s">
        <v>682</v>
      </c>
      <c r="L176" s="56" t="s">
        <v>1327</v>
      </c>
      <c r="M176" s="34" t="s">
        <v>1774</v>
      </c>
      <c r="N176" s="56" t="s">
        <v>1184</v>
      </c>
      <c r="O176" s="57" t="s">
        <v>1775</v>
      </c>
      <c r="P176" s="262"/>
      <c r="Q176" s="262"/>
      <c r="R176" s="264"/>
      <c r="S176" s="273" t="e">
        <v>#N/A</v>
      </c>
      <c r="T176" s="272" t="s">
        <v>1776</v>
      </c>
      <c r="U176" s="262">
        <v>1</v>
      </c>
      <c r="V176" s="262" t="e">
        <f>VLOOKUP(F176,'[1]2. PROFITLOSSLITE'!$F$3:$W$167,17,FALSE)</f>
        <v>#N/A</v>
      </c>
      <c r="W176" s="262" t="e">
        <f>VLOOKUP(F176,'[1]2. PROFITLOSSLITE'!$F$3:$W$167,18,FALSE)</f>
        <v>#N/A</v>
      </c>
      <c r="X176" s="263"/>
      <c r="Y176" s="262" t="s">
        <v>1060</v>
      </c>
      <c r="Z176" s="262"/>
      <c r="AA176" s="265"/>
      <c r="AB176" s="262"/>
      <c r="AC176" s="262"/>
      <c r="AD176" s="262"/>
      <c r="AE176" s="262"/>
      <c r="AF176" s="262"/>
      <c r="AG176" s="262"/>
    </row>
    <row r="177" spans="1:33" ht="14.25" customHeight="1">
      <c r="A177" s="244"/>
      <c r="B177" s="244"/>
      <c r="C177" s="244"/>
      <c r="D177" s="244"/>
      <c r="E177" s="56" t="s">
        <v>55</v>
      </c>
      <c r="F177" s="56" t="s">
        <v>493</v>
      </c>
      <c r="G177" s="56" t="s">
        <v>242</v>
      </c>
      <c r="H177" s="56" t="s">
        <v>243</v>
      </c>
      <c r="I177" s="56"/>
      <c r="J177" s="56">
        <v>74</v>
      </c>
      <c r="K177" s="56" t="s">
        <v>1777</v>
      </c>
      <c r="L177" s="56" t="s">
        <v>1327</v>
      </c>
      <c r="M177" s="56" t="s">
        <v>494</v>
      </c>
      <c r="N177" s="56"/>
      <c r="O177" s="247" t="s">
        <v>1778</v>
      </c>
      <c r="P177" s="247" t="s">
        <v>1779</v>
      </c>
      <c r="Q177" s="247" t="s">
        <v>1780</v>
      </c>
      <c r="R177" s="269"/>
      <c r="S177" s="276" t="s">
        <v>1781</v>
      </c>
      <c r="T177" s="244" t="s">
        <v>1782</v>
      </c>
      <c r="U177" s="244">
        <v>1</v>
      </c>
      <c r="V177" s="244" t="e">
        <f>VLOOKUP(F177,'[1]2. PROFITLOSSLITE'!$F$3:$W$167,17,FALSE)</f>
        <v>#N/A</v>
      </c>
      <c r="W177" s="244" t="e">
        <f>VLOOKUP(F177,'[1]2. PROFITLOSSLITE'!$F$3:$W$167,18,FALSE)</f>
        <v>#N/A</v>
      </c>
      <c r="X177" s="268">
        <v>100</v>
      </c>
      <c r="Y177" s="244"/>
      <c r="Z177" s="278" t="s">
        <v>1353</v>
      </c>
      <c r="AA177" s="279">
        <v>43551</v>
      </c>
      <c r="AB177" s="278" t="s">
        <v>1783</v>
      </c>
      <c r="AC177" s="268"/>
      <c r="AD177" s="268"/>
      <c r="AE177" s="268"/>
      <c r="AF177" s="268"/>
      <c r="AG177" s="268"/>
    </row>
    <row r="178" spans="1:33" ht="14.25" customHeight="1">
      <c r="A178" s="259"/>
      <c r="B178" s="259"/>
      <c r="C178" s="260"/>
      <c r="D178" s="260"/>
      <c r="E178" s="244" t="s">
        <v>55</v>
      </c>
      <c r="F178" s="244" t="s">
        <v>1784</v>
      </c>
      <c r="G178" s="244" t="s">
        <v>329</v>
      </c>
      <c r="H178" s="244" t="s">
        <v>243</v>
      </c>
      <c r="I178" s="244"/>
      <c r="J178" s="275"/>
      <c r="K178" s="244" t="s">
        <v>680</v>
      </c>
      <c r="L178" s="244"/>
      <c r="M178" s="247"/>
      <c r="N178" s="244"/>
      <c r="O178" s="244"/>
      <c r="P178" s="244"/>
      <c r="Q178" s="244"/>
      <c r="R178" s="269"/>
      <c r="S178" s="276" t="e">
        <v>#N/A</v>
      </c>
      <c r="T178" s="266" t="s">
        <v>1785</v>
      </c>
      <c r="U178" s="244"/>
      <c r="V178" s="229" t="e">
        <f>VLOOKUP(F178,'[1]2. PROFITLOSSLITE'!$F$3:$W$167,17,FALSE)</f>
        <v>#N/A</v>
      </c>
      <c r="W178" s="229" t="e">
        <f>VLOOKUP(F178,'[1]2. PROFITLOSSLITE'!$F$3:$W$167,18,FALSE)</f>
        <v>#N/A</v>
      </c>
      <c r="X178" s="268"/>
      <c r="Y178" s="244" t="s">
        <v>1060</v>
      </c>
      <c r="Z178" s="244"/>
      <c r="AA178" s="270"/>
      <c r="AB178" s="244"/>
      <c r="AC178" s="244"/>
      <c r="AD178" s="244"/>
      <c r="AE178" s="244"/>
      <c r="AF178" s="244"/>
      <c r="AG178" s="244"/>
    </row>
    <row r="179" spans="1:33" ht="14.25" customHeight="1">
      <c r="A179" s="259"/>
      <c r="B179" s="259"/>
      <c r="C179" s="260"/>
      <c r="D179" s="260"/>
      <c r="E179" s="56" t="s">
        <v>55</v>
      </c>
      <c r="F179" s="56" t="s">
        <v>312</v>
      </c>
      <c r="G179" s="56" t="s">
        <v>249</v>
      </c>
      <c r="H179" s="56" t="s">
        <v>243</v>
      </c>
      <c r="I179" s="56"/>
      <c r="J179" s="56"/>
      <c r="K179" s="56" t="s">
        <v>682</v>
      </c>
      <c r="L179" s="56" t="s">
        <v>1327</v>
      </c>
      <c r="M179" s="56" t="s">
        <v>313</v>
      </c>
      <c r="N179" s="56" t="s">
        <v>1736</v>
      </c>
      <c r="O179" s="244" t="s">
        <v>1786</v>
      </c>
      <c r="P179" s="244" t="s">
        <v>1787</v>
      </c>
      <c r="Q179" s="244" t="s">
        <v>1788</v>
      </c>
      <c r="R179" s="269"/>
      <c r="S179" s="276"/>
      <c r="T179" s="267" t="s">
        <v>1789</v>
      </c>
      <c r="U179" s="244"/>
      <c r="V179" s="229" t="e">
        <f>VLOOKUP(F179,'[1]2. PROFITLOSSLITE'!$F$3:$W$167,17,FALSE)</f>
        <v>#N/A</v>
      </c>
      <c r="W179" s="229" t="e">
        <f>VLOOKUP(F179,'[1]2. PROFITLOSSLITE'!$F$3:$W$167,18,FALSE)</f>
        <v>#N/A</v>
      </c>
      <c r="X179" s="268">
        <v>12</v>
      </c>
      <c r="Y179" s="244"/>
      <c r="Z179" s="244" t="s">
        <v>1331</v>
      </c>
      <c r="AA179" s="270">
        <v>43475</v>
      </c>
      <c r="AB179" s="244" t="s">
        <v>1057</v>
      </c>
      <c r="AC179" s="268"/>
      <c r="AD179" s="268"/>
      <c r="AE179" s="268"/>
      <c r="AF179" s="268"/>
      <c r="AG179" s="268"/>
    </row>
    <row r="180" spans="1:33" ht="14.25" customHeight="1">
      <c r="A180" s="259"/>
      <c r="B180" s="259"/>
      <c r="C180" s="260"/>
      <c r="D180" s="260"/>
      <c r="E180" s="56" t="s">
        <v>55</v>
      </c>
      <c r="F180" s="56" t="s">
        <v>436</v>
      </c>
      <c r="G180" s="56" t="s">
        <v>429</v>
      </c>
      <c r="H180" s="56" t="s">
        <v>243</v>
      </c>
      <c r="I180" s="56"/>
      <c r="J180" s="56"/>
      <c r="K180" s="56" t="s">
        <v>682</v>
      </c>
      <c r="L180" s="56" t="s">
        <v>1327</v>
      </c>
      <c r="M180" s="56" t="s">
        <v>437</v>
      </c>
      <c r="N180" s="56" t="s">
        <v>1593</v>
      </c>
      <c r="O180" s="244" t="s">
        <v>1790</v>
      </c>
      <c r="P180" s="244" t="s">
        <v>1608</v>
      </c>
      <c r="Q180" s="244"/>
      <c r="R180" s="269"/>
      <c r="S180" s="276" t="s">
        <v>682</v>
      </c>
      <c r="T180" s="266" t="s">
        <v>1791</v>
      </c>
      <c r="U180" s="244"/>
      <c r="V180" s="229" t="e">
        <f>VLOOKUP(F180,'[1]2. PROFITLOSSLITE'!$F$3:$W$167,17,FALSE)</f>
        <v>#N/A</v>
      </c>
      <c r="W180" s="229" t="e">
        <f>VLOOKUP(F180,'[1]2. PROFITLOSSLITE'!$F$3:$W$167,18,FALSE)</f>
        <v>#N/A</v>
      </c>
      <c r="X180" s="268">
        <v>73</v>
      </c>
      <c r="Y180" s="244"/>
      <c r="Z180" s="244" t="s">
        <v>1331</v>
      </c>
      <c r="AA180" s="270">
        <v>43475</v>
      </c>
      <c r="AB180" s="244" t="s">
        <v>1057</v>
      </c>
      <c r="AC180" s="280"/>
      <c r="AD180" s="280"/>
      <c r="AE180" s="280"/>
      <c r="AF180" s="280"/>
      <c r="AG180" s="280"/>
    </row>
    <row r="181" spans="1:33" ht="14.25" customHeight="1">
      <c r="A181" s="262"/>
      <c r="B181" s="262"/>
      <c r="C181" s="262"/>
      <c r="D181" s="262"/>
      <c r="E181" s="56" t="s">
        <v>59</v>
      </c>
      <c r="F181" s="56" t="s">
        <v>383</v>
      </c>
      <c r="G181" s="56" t="s">
        <v>255</v>
      </c>
      <c r="H181" s="56" t="s">
        <v>243</v>
      </c>
      <c r="I181" s="56"/>
      <c r="J181" s="56">
        <v>63</v>
      </c>
      <c r="K181" s="56" t="s">
        <v>682</v>
      </c>
      <c r="L181" s="56" t="s">
        <v>1327</v>
      </c>
      <c r="M181" s="56" t="s">
        <v>384</v>
      </c>
      <c r="N181" s="56" t="s">
        <v>1333</v>
      </c>
      <c r="O181" s="262" t="s">
        <v>1792</v>
      </c>
      <c r="P181" s="262" t="s">
        <v>1401</v>
      </c>
      <c r="Q181" s="262"/>
      <c r="R181" s="264"/>
      <c r="S181" s="273"/>
      <c r="T181" s="262" t="s">
        <v>1793</v>
      </c>
      <c r="U181" s="262"/>
      <c r="V181" s="262" t="e">
        <f>VLOOKUP(F181,'[1]2. PROFITLOSSLITE'!$F$3:$W$167,17,FALSE)</f>
        <v>#N/A</v>
      </c>
      <c r="W181" s="262" t="e">
        <f>VLOOKUP(F181,'[1]2. PROFITLOSSLITE'!$F$3:$W$167,18,FALSE)</f>
        <v>#N/A</v>
      </c>
      <c r="X181" s="263">
        <v>48</v>
      </c>
      <c r="Y181" s="262"/>
      <c r="Z181" s="262" t="s">
        <v>1794</v>
      </c>
      <c r="AA181" s="265">
        <v>43641</v>
      </c>
      <c r="AB181" s="262" t="s">
        <v>1795</v>
      </c>
      <c r="AC181" s="263"/>
      <c r="AD181" s="263"/>
      <c r="AE181" s="263"/>
      <c r="AF181" s="263"/>
      <c r="AG181" s="263"/>
    </row>
    <row r="182" spans="1:33" ht="14.25" customHeight="1">
      <c r="A182" s="244"/>
      <c r="B182" s="244"/>
      <c r="C182" s="244"/>
      <c r="D182" s="244"/>
      <c r="E182" s="244" t="s">
        <v>55</v>
      </c>
      <c r="F182" s="244" t="s">
        <v>1796</v>
      </c>
      <c r="G182" s="244" t="s">
        <v>429</v>
      </c>
      <c r="H182" s="244" t="s">
        <v>243</v>
      </c>
      <c r="I182" s="244"/>
      <c r="J182" s="275"/>
      <c r="K182" s="244" t="s">
        <v>680</v>
      </c>
      <c r="L182" s="244"/>
      <c r="M182" s="247"/>
      <c r="N182" s="244"/>
      <c r="O182" s="244"/>
      <c r="P182" s="244"/>
      <c r="Q182" s="244"/>
      <c r="R182" s="269"/>
      <c r="S182" s="276" t="e">
        <v>#N/A</v>
      </c>
      <c r="T182" s="266" t="s">
        <v>1797</v>
      </c>
      <c r="U182" s="244"/>
      <c r="V182" s="244" t="e">
        <f>VLOOKUP(F182,'[1]2. PROFITLOSSLITE'!$F$3:$W$167,17,FALSE)</f>
        <v>#N/A</v>
      </c>
      <c r="W182" s="244" t="e">
        <f>VLOOKUP(F182,'[1]2. PROFITLOSSLITE'!$F$3:$W$167,18,FALSE)</f>
        <v>#N/A</v>
      </c>
      <c r="X182" s="268"/>
      <c r="Y182" s="244" t="s">
        <v>1060</v>
      </c>
      <c r="Z182" s="244"/>
      <c r="AA182" s="270"/>
      <c r="AB182" s="244"/>
      <c r="AC182" s="244"/>
      <c r="AD182" s="244"/>
      <c r="AE182" s="244"/>
      <c r="AF182" s="244"/>
      <c r="AG182" s="244"/>
    </row>
    <row r="183" spans="1:33" ht="14.25" customHeight="1">
      <c r="A183" s="259"/>
      <c r="B183" s="259"/>
      <c r="C183" s="260"/>
      <c r="D183" s="260"/>
      <c r="E183" s="56" t="s">
        <v>59</v>
      </c>
      <c r="F183" s="56" t="s">
        <v>147</v>
      </c>
      <c r="G183" s="56" t="s">
        <v>247</v>
      </c>
      <c r="H183" s="56" t="s">
        <v>243</v>
      </c>
      <c r="I183" s="56"/>
      <c r="J183" s="56">
        <v>64</v>
      </c>
      <c r="K183" s="56" t="s">
        <v>682</v>
      </c>
      <c r="L183" s="56" t="s">
        <v>1327</v>
      </c>
      <c r="M183" s="56" t="s">
        <v>382</v>
      </c>
      <c r="N183" s="56" t="s">
        <v>1798</v>
      </c>
      <c r="O183" s="244" t="s">
        <v>1799</v>
      </c>
      <c r="P183" s="244" t="s">
        <v>1800</v>
      </c>
      <c r="Q183" s="244"/>
      <c r="R183" s="269"/>
      <c r="S183" s="276" t="s">
        <v>1801</v>
      </c>
      <c r="T183" s="244" t="s">
        <v>1802</v>
      </c>
      <c r="U183" s="244"/>
      <c r="V183" s="229" t="e">
        <f>VLOOKUP(F183,'[1]2. PROFITLOSSLITE'!$F$3:$W$167,17,FALSE)</f>
        <v>#N/A</v>
      </c>
      <c r="W183" s="229" t="e">
        <f>VLOOKUP(F183,'[1]2. PROFITLOSSLITE'!$F$3:$W$167,18,FALSE)</f>
        <v>#N/A</v>
      </c>
      <c r="X183" s="268">
        <v>47</v>
      </c>
      <c r="Y183" s="244"/>
      <c r="Z183" s="244" t="s">
        <v>1331</v>
      </c>
      <c r="AA183" s="270">
        <v>43475</v>
      </c>
      <c r="AB183" s="244" t="s">
        <v>1057</v>
      </c>
      <c r="AC183" s="280"/>
      <c r="AD183" s="280"/>
      <c r="AE183" s="280"/>
      <c r="AF183" s="280"/>
      <c r="AG183" s="280"/>
    </row>
    <row r="184" spans="1:33" ht="14.25" customHeight="1">
      <c r="A184" s="259"/>
      <c r="B184" s="259"/>
      <c r="C184" s="260"/>
      <c r="D184" s="260"/>
      <c r="E184" s="244" t="s">
        <v>53</v>
      </c>
      <c r="F184" s="244" t="s">
        <v>123</v>
      </c>
      <c r="G184" s="244" t="s">
        <v>535</v>
      </c>
      <c r="H184" s="244" t="s">
        <v>243</v>
      </c>
      <c r="I184" s="244"/>
      <c r="J184" s="244">
        <v>71</v>
      </c>
      <c r="K184" s="244" t="s">
        <v>680</v>
      </c>
      <c r="L184" s="244"/>
      <c r="M184" s="247"/>
      <c r="N184" s="244"/>
      <c r="O184" s="244"/>
      <c r="P184" s="244"/>
      <c r="Q184" s="244"/>
      <c r="R184" s="269"/>
      <c r="S184" s="276" t="e">
        <v>#N/A</v>
      </c>
      <c r="T184" s="244" t="s">
        <v>1190</v>
      </c>
      <c r="U184" s="244"/>
      <c r="V184" s="229" t="e">
        <f>VLOOKUP(F184,'[1]2. PROFITLOSSLITE'!$F$3:$W$167,17,FALSE)</f>
        <v>#N/A</v>
      </c>
      <c r="W184" s="229" t="e">
        <f>VLOOKUP(F184,'[1]2. PROFITLOSSLITE'!$F$3:$W$167,18,FALSE)</f>
        <v>#N/A</v>
      </c>
      <c r="X184" s="268"/>
      <c r="Y184" s="244" t="s">
        <v>1060</v>
      </c>
      <c r="Z184" s="244"/>
      <c r="AA184" s="270"/>
      <c r="AB184" s="244"/>
      <c r="AC184" s="268"/>
      <c r="AD184" s="268"/>
      <c r="AE184" s="268"/>
      <c r="AF184" s="268"/>
      <c r="AG184" s="268"/>
    </row>
    <row r="185" spans="1:33" ht="14.25" customHeight="1">
      <c r="A185" s="259"/>
      <c r="B185" s="259"/>
      <c r="C185" s="260"/>
      <c r="D185" s="260"/>
      <c r="E185" s="56" t="s">
        <v>63</v>
      </c>
      <c r="F185" s="56" t="s">
        <v>122</v>
      </c>
      <c r="G185" s="56" t="s">
        <v>1803</v>
      </c>
      <c r="H185" s="56" t="s">
        <v>903</v>
      </c>
      <c r="I185" s="56"/>
      <c r="J185" s="56">
        <v>35</v>
      </c>
      <c r="K185" s="56" t="s">
        <v>680</v>
      </c>
      <c r="L185" s="56"/>
      <c r="M185" s="34"/>
      <c r="N185" s="56"/>
      <c r="O185" s="56"/>
      <c r="P185" s="56"/>
      <c r="Q185" s="56"/>
      <c r="R185" s="54"/>
      <c r="S185" s="25" t="e">
        <v>#N/A</v>
      </c>
      <c r="T185" s="56" t="s">
        <v>1804</v>
      </c>
      <c r="U185" s="56"/>
      <c r="V185" s="229" t="e">
        <f>VLOOKUP(F185,'[1]2. PROFITLOSSLITE'!$F$3:$W$167,17,FALSE)</f>
        <v>#N/A</v>
      </c>
      <c r="W185" s="229" t="e">
        <f>VLOOKUP(F185,'[1]2. PROFITLOSSLITE'!$F$3:$W$167,18,FALSE)</f>
        <v>#N/A</v>
      </c>
      <c r="X185" s="70"/>
      <c r="Y185" s="56" t="s">
        <v>1060</v>
      </c>
      <c r="Z185" s="56"/>
      <c r="AA185" s="55"/>
      <c r="AB185" s="56"/>
      <c r="AC185" s="70"/>
      <c r="AD185" s="70"/>
      <c r="AE185" s="70"/>
      <c r="AF185" s="70"/>
      <c r="AG185" s="70"/>
    </row>
    <row r="186" spans="1:33" ht="14.25" customHeight="1">
      <c r="A186" s="259"/>
      <c r="B186" s="259"/>
      <c r="C186" s="260"/>
      <c r="D186" s="260"/>
      <c r="E186" s="56" t="s">
        <v>59</v>
      </c>
      <c r="F186" s="56" t="s">
        <v>316</v>
      </c>
      <c r="G186" s="56" t="s">
        <v>264</v>
      </c>
      <c r="H186" s="56" t="s">
        <v>243</v>
      </c>
      <c r="I186" s="56"/>
      <c r="J186" s="56">
        <v>65</v>
      </c>
      <c r="K186" s="56" t="s">
        <v>682</v>
      </c>
      <c r="L186" s="56" t="s">
        <v>1327</v>
      </c>
      <c r="M186" s="34" t="s">
        <v>317</v>
      </c>
      <c r="N186" s="56" t="s">
        <v>1604</v>
      </c>
      <c r="O186" s="56" t="s">
        <v>1805</v>
      </c>
      <c r="P186" s="56" t="s">
        <v>1806</v>
      </c>
      <c r="Q186" s="56"/>
      <c r="R186" s="249" t="s">
        <v>1346</v>
      </c>
      <c r="S186" s="25"/>
      <c r="T186" s="56" t="s">
        <v>1589</v>
      </c>
      <c r="U186" s="56"/>
      <c r="V186" s="229" t="e">
        <f>VLOOKUP(F186,'[1]2. PROFITLOSSLITE'!$F$3:$W$167,17,FALSE)</f>
        <v>#N/A</v>
      </c>
      <c r="W186" s="229" t="e">
        <f>VLOOKUP(F186,'[1]2. PROFITLOSSLITE'!$F$3:$W$167,18,FALSE)</f>
        <v>#N/A</v>
      </c>
      <c r="X186" s="70">
        <v>15</v>
      </c>
      <c r="Y186" s="56"/>
      <c r="Z186" s="56" t="s">
        <v>1331</v>
      </c>
      <c r="AA186" s="55">
        <v>43475</v>
      </c>
      <c r="AB186" s="56" t="s">
        <v>1057</v>
      </c>
      <c r="AC186" s="67"/>
      <c r="AD186" s="67"/>
      <c r="AE186" s="67"/>
      <c r="AF186" s="67"/>
      <c r="AG186" s="67"/>
    </row>
    <row r="187" spans="1:33" ht="14.25" customHeight="1">
      <c r="A187" s="259"/>
      <c r="B187" s="259"/>
      <c r="C187" s="260"/>
      <c r="D187" s="260"/>
      <c r="E187" s="56" t="s">
        <v>55</v>
      </c>
      <c r="F187" s="56" t="s">
        <v>378</v>
      </c>
      <c r="G187" s="56" t="s">
        <v>247</v>
      </c>
      <c r="H187" s="56" t="s">
        <v>243</v>
      </c>
      <c r="I187" s="56"/>
      <c r="J187" s="56">
        <v>66</v>
      </c>
      <c r="K187" s="56" t="s">
        <v>682</v>
      </c>
      <c r="L187" s="56" t="s">
        <v>1327</v>
      </c>
      <c r="M187" s="34" t="s">
        <v>379</v>
      </c>
      <c r="N187" s="56" t="s">
        <v>1604</v>
      </c>
      <c r="O187" s="56" t="s">
        <v>1807</v>
      </c>
      <c r="P187" s="56" t="s">
        <v>1808</v>
      </c>
      <c r="Q187" s="56"/>
      <c r="R187" s="54"/>
      <c r="S187" s="25"/>
      <c r="T187" s="56" t="s">
        <v>1809</v>
      </c>
      <c r="U187" s="56">
        <v>1</v>
      </c>
      <c r="V187" s="229" t="e">
        <f>VLOOKUP(F187,'[1]2. PROFITLOSSLITE'!$F$3:$W$167,17,FALSE)</f>
        <v>#N/A</v>
      </c>
      <c r="W187" s="229" t="e">
        <f>VLOOKUP(F187,'[1]2. PROFITLOSSLITE'!$F$3:$W$167,18,FALSE)</f>
        <v>#N/A</v>
      </c>
      <c r="X187" s="70">
        <v>45</v>
      </c>
      <c r="Y187" s="56"/>
      <c r="Z187" s="56" t="s">
        <v>1331</v>
      </c>
      <c r="AA187" s="55">
        <v>43475</v>
      </c>
      <c r="AB187" s="56" t="s">
        <v>1057</v>
      </c>
      <c r="AC187" s="67"/>
      <c r="AD187" s="67"/>
      <c r="AE187" s="67"/>
      <c r="AF187" s="67"/>
      <c r="AG187" s="67"/>
    </row>
    <row r="188" spans="1:33" ht="14.25" customHeight="1">
      <c r="A188" s="244"/>
      <c r="B188" s="244"/>
      <c r="C188" s="244"/>
      <c r="D188" s="244"/>
      <c r="E188" s="56" t="s">
        <v>55</v>
      </c>
      <c r="F188" s="56" t="s">
        <v>380</v>
      </c>
      <c r="G188" s="56" t="s">
        <v>324</v>
      </c>
      <c r="H188" s="56" t="s">
        <v>243</v>
      </c>
      <c r="I188" s="56"/>
      <c r="J188" s="56">
        <v>67</v>
      </c>
      <c r="K188" s="56" t="s">
        <v>682</v>
      </c>
      <c r="L188" s="56" t="s">
        <v>1327</v>
      </c>
      <c r="M188" s="34" t="s">
        <v>381</v>
      </c>
      <c r="N188" s="56" t="s">
        <v>1736</v>
      </c>
      <c r="O188" s="56" t="s">
        <v>1810</v>
      </c>
      <c r="P188" s="56" t="s">
        <v>1738</v>
      </c>
      <c r="Q188" s="56"/>
      <c r="R188" s="54"/>
      <c r="S188" s="25"/>
      <c r="T188" s="56" t="s">
        <v>1811</v>
      </c>
      <c r="U188" s="56"/>
      <c r="V188" s="244" t="e">
        <f>VLOOKUP(F188,'[1]2. PROFITLOSSLITE'!$F$3:$W$167,17,FALSE)</f>
        <v>#N/A</v>
      </c>
      <c r="W188" s="244" t="e">
        <f>VLOOKUP(F188,'[1]2. PROFITLOSSLITE'!$F$3:$W$167,18,FALSE)</f>
        <v>#N/A</v>
      </c>
      <c r="X188" s="70">
        <v>46</v>
      </c>
      <c r="Y188" s="56"/>
      <c r="Z188" s="56" t="s">
        <v>1331</v>
      </c>
      <c r="AA188" s="55">
        <v>43475</v>
      </c>
      <c r="AB188" s="56" t="s">
        <v>1057</v>
      </c>
      <c r="AC188" s="70"/>
      <c r="AD188" s="70"/>
      <c r="AE188" s="70"/>
      <c r="AF188" s="70"/>
      <c r="AG188" s="70"/>
    </row>
    <row r="189" spans="1:33" ht="14.25" customHeight="1">
      <c r="A189" s="544"/>
      <c r="B189" s="544"/>
      <c r="C189" s="544"/>
      <c r="D189" s="544"/>
      <c r="E189" s="56" t="s">
        <v>55</v>
      </c>
      <c r="F189" s="56" t="s">
        <v>1812</v>
      </c>
      <c r="G189" s="56" t="s">
        <v>247</v>
      </c>
      <c r="H189" s="56" t="s">
        <v>243</v>
      </c>
      <c r="I189" s="56"/>
      <c r="J189" s="56">
        <v>75</v>
      </c>
      <c r="K189" s="56" t="s">
        <v>682</v>
      </c>
      <c r="L189" s="56" t="s">
        <v>1327</v>
      </c>
      <c r="M189" s="34" t="s">
        <v>1813</v>
      </c>
      <c r="N189" s="56"/>
      <c r="O189" s="56"/>
      <c r="P189" s="56"/>
      <c r="Q189" s="56"/>
      <c r="R189" s="54"/>
      <c r="S189" s="25" t="e">
        <v>#N/A</v>
      </c>
      <c r="T189" s="56" t="s">
        <v>1814</v>
      </c>
      <c r="U189" s="56">
        <v>1</v>
      </c>
      <c r="V189" s="544" t="e">
        <f>VLOOKUP(F189,'[1]2. PROFITLOSSLITE'!$F$3:$W$167,17,FALSE)</f>
        <v>#N/A</v>
      </c>
      <c r="W189" s="544" t="e">
        <f>VLOOKUP(F189,'[1]2. PROFITLOSSLITE'!$F$3:$W$167,18,FALSE)</f>
        <v>#N/A</v>
      </c>
      <c r="X189" s="70"/>
      <c r="Y189" s="56" t="s">
        <v>1060</v>
      </c>
      <c r="Z189" s="56"/>
      <c r="AA189" s="55"/>
      <c r="AB189" s="56"/>
      <c r="AC189" s="70"/>
      <c r="AD189" s="70"/>
      <c r="AE189" s="70"/>
      <c r="AF189" s="70"/>
      <c r="AG189" s="70"/>
    </row>
    <row r="190" spans="1:33" ht="14.25" customHeight="1">
      <c r="A190" s="244"/>
      <c r="B190" s="244"/>
      <c r="C190" s="244"/>
      <c r="D190" s="244"/>
      <c r="E190" s="56" t="s">
        <v>55</v>
      </c>
      <c r="F190" s="56" t="s">
        <v>1815</v>
      </c>
      <c r="G190" s="56" t="s">
        <v>247</v>
      </c>
      <c r="H190" s="56" t="s">
        <v>243</v>
      </c>
      <c r="I190" s="56"/>
      <c r="J190" s="56">
        <v>76</v>
      </c>
      <c r="K190" s="56" t="s">
        <v>680</v>
      </c>
      <c r="L190" s="56"/>
      <c r="M190" s="34"/>
      <c r="N190" s="56"/>
      <c r="O190" s="56"/>
      <c r="P190" s="56"/>
      <c r="Q190" s="56"/>
      <c r="R190" s="54"/>
      <c r="S190" s="25" t="e">
        <v>#N/A</v>
      </c>
      <c r="T190" s="56" t="s">
        <v>1814</v>
      </c>
      <c r="U190" s="56">
        <v>1</v>
      </c>
      <c r="V190" s="244" t="e">
        <f>VLOOKUP(F190,'[1]2. PROFITLOSSLITE'!$F$3:$W$167,17,FALSE)</f>
        <v>#N/A</v>
      </c>
      <c r="W190" s="244" t="e">
        <f>VLOOKUP(F190,'[1]2. PROFITLOSSLITE'!$F$3:$W$167,18,FALSE)</f>
        <v>#N/A</v>
      </c>
      <c r="X190" s="70"/>
      <c r="Y190" s="56" t="s">
        <v>1060</v>
      </c>
      <c r="Z190" s="56"/>
      <c r="AA190" s="55"/>
      <c r="AB190" s="56"/>
      <c r="AC190" s="70"/>
      <c r="AD190" s="70"/>
      <c r="AE190" s="70"/>
      <c r="AF190" s="70"/>
      <c r="AG190" s="70"/>
    </row>
    <row r="191" spans="1:33" ht="14.25" customHeight="1">
      <c r="A191" s="244"/>
      <c r="B191" s="244"/>
      <c r="C191" s="244"/>
      <c r="D191" s="244"/>
      <c r="E191" s="56" t="s">
        <v>55</v>
      </c>
      <c r="F191" s="56" t="s">
        <v>1816</v>
      </c>
      <c r="G191" s="56" t="s">
        <v>247</v>
      </c>
      <c r="H191" s="56" t="s">
        <v>243</v>
      </c>
      <c r="I191" s="56"/>
      <c r="J191" s="56">
        <v>77</v>
      </c>
      <c r="K191" s="56" t="s">
        <v>680</v>
      </c>
      <c r="L191" s="56"/>
      <c r="M191" s="34"/>
      <c r="N191" s="56"/>
      <c r="O191" s="56"/>
      <c r="P191" s="56"/>
      <c r="Q191" s="56"/>
      <c r="R191" s="54"/>
      <c r="S191" s="25" t="e">
        <v>#N/A</v>
      </c>
      <c r="T191" s="56" t="s">
        <v>1814</v>
      </c>
      <c r="U191" s="56">
        <v>1</v>
      </c>
      <c r="V191" s="244" t="e">
        <f>VLOOKUP(F191,'[1]2. PROFITLOSSLITE'!$F$3:$W$167,17,FALSE)</f>
        <v>#N/A</v>
      </c>
      <c r="W191" s="244" t="e">
        <f>VLOOKUP(F191,'[1]2. PROFITLOSSLITE'!$F$3:$W$167,18,FALSE)</f>
        <v>#N/A</v>
      </c>
      <c r="X191" s="70"/>
      <c r="Y191" s="56" t="s">
        <v>1060</v>
      </c>
      <c r="Z191" s="56"/>
      <c r="AA191" s="55"/>
      <c r="AB191" s="56"/>
      <c r="AC191" s="70"/>
      <c r="AD191" s="70"/>
      <c r="AE191" s="70"/>
      <c r="AF191" s="70"/>
      <c r="AG191" s="70"/>
    </row>
    <row r="192" spans="1:33" ht="14.25" customHeight="1">
      <c r="A192" s="259"/>
      <c r="B192" s="259"/>
      <c r="C192" s="260"/>
      <c r="D192" s="260"/>
      <c r="E192" s="56" t="s">
        <v>55</v>
      </c>
      <c r="F192" s="56" t="s">
        <v>1817</v>
      </c>
      <c r="G192" s="56" t="s">
        <v>247</v>
      </c>
      <c r="H192" s="56" t="s">
        <v>243</v>
      </c>
      <c r="I192" s="56"/>
      <c r="J192" s="56">
        <v>77</v>
      </c>
      <c r="K192" s="56" t="s">
        <v>680</v>
      </c>
      <c r="L192" s="56"/>
      <c r="M192" s="34"/>
      <c r="N192" s="56"/>
      <c r="O192" s="56"/>
      <c r="P192" s="56"/>
      <c r="Q192" s="56"/>
      <c r="R192" s="54"/>
      <c r="S192" s="25" t="e">
        <v>#N/A</v>
      </c>
      <c r="T192" s="56" t="s">
        <v>1814</v>
      </c>
      <c r="U192" s="56">
        <v>1</v>
      </c>
      <c r="V192" s="229" t="e">
        <f>VLOOKUP(F192,'[1]2. PROFITLOSSLITE'!$F$3:$W$167,17,FALSE)</f>
        <v>#N/A</v>
      </c>
      <c r="W192" s="229" t="e">
        <f>VLOOKUP(F192,'[1]2. PROFITLOSSLITE'!$F$3:$W$167,18,FALSE)</f>
        <v>#N/A</v>
      </c>
      <c r="X192" s="70"/>
      <c r="Y192" s="56" t="s">
        <v>1060</v>
      </c>
      <c r="Z192" s="56"/>
      <c r="AA192" s="55"/>
      <c r="AB192" s="56"/>
      <c r="AC192" s="70"/>
      <c r="AD192" s="70"/>
      <c r="AE192" s="70"/>
      <c r="AF192" s="70"/>
      <c r="AG192" s="70"/>
    </row>
    <row r="193" spans="1:33" ht="14.25" customHeight="1">
      <c r="A193" s="259"/>
      <c r="B193" s="259"/>
      <c r="C193" s="260"/>
      <c r="D193" s="260"/>
      <c r="E193" s="56" t="s">
        <v>55</v>
      </c>
      <c r="F193" s="56" t="s">
        <v>1818</v>
      </c>
      <c r="G193" s="56" t="s">
        <v>247</v>
      </c>
      <c r="H193" s="56" t="s">
        <v>243</v>
      </c>
      <c r="I193" s="56"/>
      <c r="J193" s="56">
        <v>78</v>
      </c>
      <c r="K193" s="56" t="s">
        <v>680</v>
      </c>
      <c r="L193" s="56"/>
      <c r="M193" s="34"/>
      <c r="N193" s="56"/>
      <c r="O193" s="56"/>
      <c r="P193" s="56"/>
      <c r="Q193" s="56"/>
      <c r="R193" s="54"/>
      <c r="S193" s="25" t="e">
        <v>#N/A</v>
      </c>
      <c r="T193" s="56" t="s">
        <v>1814</v>
      </c>
      <c r="U193" s="56">
        <v>1</v>
      </c>
      <c r="V193" s="229" t="e">
        <f>VLOOKUP(F193,'[1]2. PROFITLOSSLITE'!$F$3:$W$167,17,FALSE)</f>
        <v>#N/A</v>
      </c>
      <c r="W193" s="229" t="e">
        <f>VLOOKUP(F193,'[1]2. PROFITLOSSLITE'!$F$3:$W$167,18,FALSE)</f>
        <v>#N/A</v>
      </c>
      <c r="X193" s="70"/>
      <c r="Y193" s="56" t="s">
        <v>1060</v>
      </c>
      <c r="Z193" s="56"/>
      <c r="AA193" s="55"/>
      <c r="AB193" s="56"/>
      <c r="AC193" s="70"/>
      <c r="AD193" s="70"/>
      <c r="AE193" s="70"/>
      <c r="AF193" s="70"/>
      <c r="AG193" s="70"/>
    </row>
    <row r="194" spans="1:33" ht="14.25" customHeight="1">
      <c r="A194" s="259"/>
      <c r="B194" s="259"/>
      <c r="C194" s="260"/>
      <c r="D194" s="260"/>
      <c r="E194" s="56" t="s">
        <v>55</v>
      </c>
      <c r="F194" s="56" t="s">
        <v>1819</v>
      </c>
      <c r="G194" s="56" t="s">
        <v>329</v>
      </c>
      <c r="H194" s="56" t="s">
        <v>243</v>
      </c>
      <c r="I194" s="56"/>
      <c r="J194" s="56">
        <v>88</v>
      </c>
      <c r="K194" s="56" t="s">
        <v>680</v>
      </c>
      <c r="L194" s="56"/>
      <c r="M194" s="34"/>
      <c r="N194" s="56"/>
      <c r="O194" s="56"/>
      <c r="P194" s="56"/>
      <c r="Q194" s="56"/>
      <c r="R194" s="54"/>
      <c r="S194" s="25" t="e">
        <v>#N/A</v>
      </c>
      <c r="T194" s="56" t="s">
        <v>1820</v>
      </c>
      <c r="U194" s="56">
        <v>1</v>
      </c>
      <c r="V194" s="229" t="e">
        <f>VLOOKUP(F194,'[1]2. PROFITLOSSLITE'!$F$3:$W$167,17,FALSE)</f>
        <v>#N/A</v>
      </c>
      <c r="W194" s="229" t="e">
        <f>VLOOKUP(F194,'[1]2. PROFITLOSSLITE'!$F$3:$W$167,18,FALSE)</f>
        <v>#N/A</v>
      </c>
      <c r="X194" s="70"/>
      <c r="Y194" s="56" t="s">
        <v>1060</v>
      </c>
      <c r="Z194" s="56"/>
      <c r="AA194" s="55"/>
      <c r="AB194" s="56"/>
      <c r="AC194" s="70"/>
      <c r="AD194" s="70"/>
      <c r="AE194" s="70"/>
      <c r="AF194" s="70"/>
      <c r="AG194" s="70"/>
    </row>
    <row r="195" spans="1:33" ht="14.25" customHeight="1">
      <c r="A195" s="259"/>
      <c r="B195" s="259"/>
      <c r="C195" s="260"/>
      <c r="D195" s="260"/>
      <c r="E195" s="56" t="s">
        <v>55</v>
      </c>
      <c r="F195" s="56" t="s">
        <v>370</v>
      </c>
      <c r="G195" s="56" t="s">
        <v>329</v>
      </c>
      <c r="H195" s="56" t="s">
        <v>243</v>
      </c>
      <c r="I195" s="56"/>
      <c r="J195" s="22"/>
      <c r="K195" s="56" t="s">
        <v>682</v>
      </c>
      <c r="L195" s="56" t="s">
        <v>1327</v>
      </c>
      <c r="M195" s="34" t="s">
        <v>371</v>
      </c>
      <c r="N195" s="56" t="s">
        <v>1370</v>
      </c>
      <c r="O195" s="56"/>
      <c r="P195" s="56" t="s">
        <v>1563</v>
      </c>
      <c r="Q195" s="56"/>
      <c r="R195" s="54"/>
      <c r="S195" s="25"/>
      <c r="T195" s="61" t="s">
        <v>1821</v>
      </c>
      <c r="U195" s="56"/>
      <c r="V195" s="229" t="e">
        <f>VLOOKUP(F195,'[1]2. PROFITLOSSLITE'!$F$3:$W$167,17,FALSE)</f>
        <v>#N/A</v>
      </c>
      <c r="W195" s="229" t="e">
        <f>VLOOKUP(F195,'[1]2. PROFITLOSSLITE'!$F$3:$W$167,18,FALSE)</f>
        <v>#N/A</v>
      </c>
      <c r="X195" s="70">
        <v>41</v>
      </c>
      <c r="Y195" s="56"/>
      <c r="Z195" s="56" t="s">
        <v>1331</v>
      </c>
      <c r="AA195" s="55">
        <v>43475</v>
      </c>
      <c r="AB195" s="56" t="s">
        <v>1057</v>
      </c>
      <c r="AC195" s="67"/>
      <c r="AD195" s="67"/>
      <c r="AE195" s="67"/>
      <c r="AF195" s="67"/>
      <c r="AG195" s="67"/>
    </row>
    <row r="196" spans="1:33" ht="14.25" customHeight="1">
      <c r="A196" s="259"/>
      <c r="B196" s="259"/>
      <c r="C196" s="260"/>
      <c r="D196" s="260"/>
      <c r="E196" s="56" t="s">
        <v>55</v>
      </c>
      <c r="F196" s="56" t="s">
        <v>366</v>
      </c>
      <c r="G196" s="56" t="s">
        <v>329</v>
      </c>
      <c r="H196" s="56" t="s">
        <v>243</v>
      </c>
      <c r="I196" s="56"/>
      <c r="J196" s="56">
        <v>90</v>
      </c>
      <c r="K196" s="56" t="s">
        <v>682</v>
      </c>
      <c r="L196" s="56" t="s">
        <v>1327</v>
      </c>
      <c r="M196" s="34" t="s">
        <v>367</v>
      </c>
      <c r="N196" s="56" t="s">
        <v>1395</v>
      </c>
      <c r="O196" s="56"/>
      <c r="P196" s="56" t="s">
        <v>1563</v>
      </c>
      <c r="Q196" s="56" t="s">
        <v>1398</v>
      </c>
      <c r="R196" s="54"/>
      <c r="S196" s="25"/>
      <c r="T196" s="56" t="s">
        <v>1822</v>
      </c>
      <c r="U196" s="56">
        <v>1</v>
      </c>
      <c r="V196" s="229" t="e">
        <f>VLOOKUP(F196,'[1]2. PROFITLOSSLITE'!$F$3:$W$167,17,FALSE)</f>
        <v>#N/A</v>
      </c>
      <c r="W196" s="229" t="e">
        <f>VLOOKUP(F196,'[1]2. PROFITLOSSLITE'!$F$3:$W$167,18,FALSE)</f>
        <v>#N/A</v>
      </c>
      <c r="X196" s="70">
        <v>39</v>
      </c>
      <c r="Y196" s="56"/>
      <c r="Z196" s="56" t="s">
        <v>1331</v>
      </c>
      <c r="AA196" s="55">
        <v>43475</v>
      </c>
      <c r="AB196" s="56" t="s">
        <v>1603</v>
      </c>
      <c r="AC196" s="69"/>
      <c r="AD196" s="69"/>
      <c r="AE196" s="69"/>
      <c r="AF196" s="69"/>
      <c r="AG196" s="69"/>
    </row>
    <row r="197" spans="1:33" ht="14.25" customHeight="1">
      <c r="A197" s="259"/>
      <c r="B197" s="259"/>
      <c r="C197" s="260"/>
      <c r="D197" s="260"/>
      <c r="E197" s="56" t="s">
        <v>55</v>
      </c>
      <c r="F197" s="56" t="s">
        <v>368</v>
      </c>
      <c r="G197" s="56" t="s">
        <v>329</v>
      </c>
      <c r="H197" s="56" t="s">
        <v>243</v>
      </c>
      <c r="I197" s="56"/>
      <c r="J197" s="56">
        <v>89</v>
      </c>
      <c r="K197" s="56" t="s">
        <v>682</v>
      </c>
      <c r="L197" s="56" t="s">
        <v>1327</v>
      </c>
      <c r="M197" s="34" t="s">
        <v>369</v>
      </c>
      <c r="N197" s="56" t="s">
        <v>1395</v>
      </c>
      <c r="O197" s="56"/>
      <c r="P197" s="56" t="s">
        <v>1563</v>
      </c>
      <c r="Q197" s="56" t="s">
        <v>1398</v>
      </c>
      <c r="R197" s="54"/>
      <c r="S197" s="25"/>
      <c r="T197" s="56" t="s">
        <v>1823</v>
      </c>
      <c r="U197" s="56">
        <v>1</v>
      </c>
      <c r="V197" s="229" t="e">
        <f>VLOOKUP(F197,'[1]2. PROFITLOSSLITE'!$F$3:$W$167,17,FALSE)</f>
        <v>#N/A</v>
      </c>
      <c r="W197" s="229" t="e">
        <f>VLOOKUP(F197,'[1]2. PROFITLOSSLITE'!$F$3:$W$167,18,FALSE)</f>
        <v>#N/A</v>
      </c>
      <c r="X197" s="70">
        <v>40</v>
      </c>
      <c r="Y197" s="56"/>
      <c r="Z197" s="56" t="s">
        <v>1331</v>
      </c>
      <c r="AA197" s="55">
        <v>43475</v>
      </c>
      <c r="AB197" s="56" t="s">
        <v>1057</v>
      </c>
      <c r="AC197" s="70"/>
      <c r="AD197" s="70"/>
      <c r="AE197" s="70"/>
      <c r="AF197" s="70"/>
      <c r="AG197" s="70"/>
    </row>
    <row r="198" spans="1:33" ht="14.25" customHeight="1">
      <c r="A198" s="70"/>
      <c r="B198" s="70"/>
      <c r="C198" s="70"/>
      <c r="D198" s="70"/>
      <c r="E198" s="70"/>
      <c r="F198" s="70"/>
      <c r="G198" s="70"/>
      <c r="H198" s="70"/>
      <c r="I198" s="70"/>
      <c r="J198" s="70"/>
      <c r="K198" s="70"/>
      <c r="L198" s="70"/>
      <c r="M198" s="5"/>
      <c r="N198" s="70"/>
      <c r="O198" s="70"/>
      <c r="P198" s="70"/>
      <c r="Q198" s="70"/>
      <c r="R198" s="70"/>
      <c r="S198" s="70"/>
      <c r="T198" s="70"/>
      <c r="U198" s="70"/>
      <c r="V198" s="70"/>
      <c r="W198" s="70"/>
      <c r="X198" s="70"/>
      <c r="Y198" s="70"/>
      <c r="Z198" s="70"/>
      <c r="AA198" s="20"/>
      <c r="AB198" s="70"/>
      <c r="AC198" s="70"/>
      <c r="AD198" s="70"/>
      <c r="AE198" s="70"/>
      <c r="AF198" s="70"/>
      <c r="AG198" s="70"/>
    </row>
    <row r="199" spans="1:33" ht="14.25" customHeight="1">
      <c r="A199" s="70"/>
      <c r="B199" s="70"/>
      <c r="C199" s="70"/>
      <c r="D199" s="70"/>
      <c r="E199" s="70"/>
      <c r="F199" s="70"/>
      <c r="G199" s="70"/>
      <c r="H199" s="70"/>
      <c r="I199" s="70"/>
      <c r="J199" s="70"/>
      <c r="K199" s="70"/>
      <c r="L199" s="70"/>
      <c r="M199" s="5"/>
      <c r="N199" s="70"/>
      <c r="O199" s="70"/>
      <c r="P199" s="70"/>
      <c r="Q199" s="70"/>
      <c r="R199" s="70"/>
      <c r="S199" s="70"/>
      <c r="T199" s="70"/>
      <c r="U199" s="70"/>
      <c r="V199" s="70"/>
      <c r="W199" s="70"/>
      <c r="X199" s="70"/>
      <c r="Y199" s="70"/>
      <c r="Z199" s="70"/>
      <c r="AA199" s="20"/>
      <c r="AB199" s="70"/>
      <c r="AC199" s="70"/>
      <c r="AD199" s="70"/>
      <c r="AE199" s="70"/>
      <c r="AF199" s="70"/>
      <c r="AG199" s="70"/>
    </row>
    <row r="200" spans="1:33" ht="14.25" customHeight="1">
      <c r="A200" s="70"/>
      <c r="B200" s="70"/>
      <c r="C200" s="70"/>
      <c r="D200" s="70"/>
      <c r="E200" s="70"/>
      <c r="F200" s="70"/>
      <c r="G200" s="70"/>
      <c r="H200" s="70"/>
      <c r="I200" s="70"/>
      <c r="J200" s="70"/>
      <c r="K200" s="70"/>
      <c r="L200" s="70"/>
      <c r="M200" s="5"/>
      <c r="N200" s="70"/>
      <c r="O200" s="70">
        <v>55537021</v>
      </c>
      <c r="P200" s="70" t="s">
        <v>1824</v>
      </c>
      <c r="Q200" s="70"/>
      <c r="R200" s="70"/>
      <c r="S200" s="70"/>
      <c r="T200" s="70"/>
      <c r="U200" s="70"/>
      <c r="V200" s="70"/>
      <c r="W200" s="70"/>
      <c r="X200" s="70"/>
      <c r="Y200" s="70"/>
      <c r="Z200" s="70"/>
      <c r="AA200" s="20"/>
      <c r="AB200" s="70"/>
      <c r="AC200" s="70"/>
      <c r="AD200" s="70"/>
      <c r="AE200" s="70"/>
      <c r="AF200" s="70"/>
      <c r="AG200" s="70"/>
    </row>
  </sheetData>
  <autoFilter ref="A3:AG197" xr:uid="{00000000-0009-0000-0000-000009000000}"/>
  <sortState xmlns:xlrd2="http://schemas.microsoft.com/office/spreadsheetml/2017/richdata2" ref="A4:AG197">
    <sortCondition ref="F4:F197"/>
  </sortState>
  <conditionalFormatting sqref="K4:K6 K18:K42 K82:K158 K162:K163 K166 K178:K180">
    <cfRule type="cellIs" dxfId="23" priority="4" operator="equal">
      <formula>1</formula>
    </cfRule>
  </conditionalFormatting>
  <conditionalFormatting sqref="K44:K79">
    <cfRule type="cellIs" dxfId="22" priority="1" operator="equal">
      <formula>1</formula>
    </cfRule>
  </conditionalFormatting>
  <conditionalFormatting sqref="K170 K172:K173 K185:K197">
    <cfRule type="cellIs" dxfId="21" priority="5" operator="equal">
      <formula>1</formula>
    </cfRule>
  </conditionalFormatting>
  <pageMargins left="0.7" right="0.7" top="0.75" bottom="0.75" header="0" footer="0"/>
  <pageSetup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filterMode="1">
    <tabColor rgb="FFFFFF00"/>
    <outlinePr summaryBelow="0" summaryRight="0"/>
  </sheetPr>
  <dimension ref="A1:S45"/>
  <sheetViews>
    <sheetView topLeftCell="L3" workbookViewId="0">
      <selection activeCell="L29" sqref="L29"/>
    </sheetView>
  </sheetViews>
  <sheetFormatPr defaultColWidth="14.453125" defaultRowHeight="15" customHeight="1"/>
  <cols>
    <col min="1" max="4" width="10.7265625" hidden="1" customWidth="1"/>
    <col min="5" max="5" width="15.26953125" customWidth="1"/>
    <col min="6" max="6" width="43.81640625" customWidth="1"/>
    <col min="7" max="7" width="26.1796875" customWidth="1"/>
    <col min="8" max="8" width="8.453125" customWidth="1"/>
    <col min="9" max="9" width="7.1796875" customWidth="1"/>
    <col min="10" max="10" width="12.81640625" customWidth="1"/>
    <col min="11" max="11" width="43.1796875" customWidth="1"/>
    <col min="12" max="12" width="38.7265625" customWidth="1"/>
    <col min="13" max="13" width="17.453125" customWidth="1"/>
    <col min="14" max="14" width="86.1796875" customWidth="1"/>
    <col min="15" max="15" width="2.54296875" customWidth="1"/>
    <col min="16" max="17" width="17.453125" customWidth="1"/>
    <col min="18" max="18" width="21.453125" style="458" customWidth="1"/>
    <col min="19" max="19" width="52.26953125" customWidth="1"/>
    <col min="20" max="26" width="17.26953125" customWidth="1"/>
  </cols>
  <sheetData>
    <row r="1" spans="1:19" s="571" customFormat="1" ht="15" customHeight="1">
      <c r="A1"/>
      <c r="B1"/>
      <c r="C1"/>
      <c r="D1"/>
      <c r="E1" s="582" t="s">
        <v>1825</v>
      </c>
      <c r="R1" s="581"/>
    </row>
    <row r="2" spans="1:19" ht="20.25" customHeight="1">
      <c r="A2" s="186"/>
      <c r="B2" s="186"/>
      <c r="C2" s="186"/>
      <c r="D2" s="119"/>
      <c r="E2" s="289" t="s">
        <v>1322</v>
      </c>
      <c r="F2" s="186"/>
      <c r="G2" s="186"/>
      <c r="H2" s="186"/>
      <c r="I2" s="186"/>
      <c r="J2" s="186"/>
      <c r="K2" s="207" t="s">
        <v>1038</v>
      </c>
      <c r="L2" s="207"/>
      <c r="M2" s="353"/>
      <c r="N2" s="285"/>
      <c r="O2" s="207"/>
      <c r="P2" s="207"/>
      <c r="Q2" s="186"/>
      <c r="R2" s="79"/>
      <c r="S2" s="186"/>
    </row>
    <row r="3" spans="1:19" s="180" customFormat="1" ht="18.75" customHeight="1">
      <c r="A3" s="583" t="s">
        <v>1040</v>
      </c>
      <c r="B3" s="583" t="s">
        <v>1041</v>
      </c>
      <c r="C3" s="583" t="s">
        <v>1042</v>
      </c>
      <c r="D3" s="584" t="s">
        <v>1043</v>
      </c>
      <c r="E3" s="583" t="s">
        <v>224</v>
      </c>
      <c r="F3" s="583" t="s">
        <v>225</v>
      </c>
      <c r="G3" s="583" t="s">
        <v>226</v>
      </c>
      <c r="H3" s="583" t="s">
        <v>227</v>
      </c>
      <c r="I3" s="583" t="s">
        <v>1044</v>
      </c>
      <c r="J3" s="583" t="s">
        <v>1046</v>
      </c>
      <c r="K3" s="585" t="s">
        <v>100</v>
      </c>
      <c r="L3" s="585" t="s">
        <v>101</v>
      </c>
      <c r="M3" s="422" t="s">
        <v>102</v>
      </c>
      <c r="N3" s="586" t="s">
        <v>103</v>
      </c>
      <c r="O3" s="585" t="s">
        <v>104</v>
      </c>
      <c r="P3" s="585" t="s">
        <v>105</v>
      </c>
      <c r="Q3" s="583" t="s">
        <v>111</v>
      </c>
      <c r="R3" s="587" t="s">
        <v>112</v>
      </c>
      <c r="S3" s="583"/>
    </row>
    <row r="4" spans="1:19" ht="18.75" hidden="1" customHeight="1">
      <c r="A4" s="193"/>
      <c r="B4" s="193"/>
      <c r="C4" s="193"/>
      <c r="D4" s="193"/>
      <c r="E4" t="s">
        <v>55</v>
      </c>
      <c r="F4" t="s">
        <v>1826</v>
      </c>
      <c r="G4" t="s">
        <v>249</v>
      </c>
      <c r="H4" t="s">
        <v>243</v>
      </c>
      <c r="R4"/>
    </row>
    <row r="5" spans="1:19" ht="18.75" hidden="1" customHeight="1">
      <c r="A5" s="193"/>
      <c r="B5" s="193"/>
      <c r="C5" s="193"/>
      <c r="D5" s="193"/>
      <c r="E5" t="s">
        <v>55</v>
      </c>
      <c r="F5" t="s">
        <v>1827</v>
      </c>
      <c r="G5" t="s">
        <v>252</v>
      </c>
      <c r="H5" t="s">
        <v>243</v>
      </c>
      <c r="R5"/>
    </row>
    <row r="6" spans="1:19" ht="26.25" customHeight="1">
      <c r="A6" s="213"/>
      <c r="B6" s="213"/>
      <c r="C6" s="210"/>
      <c r="D6" s="297"/>
      <c r="E6" s="186" t="s">
        <v>61</v>
      </c>
      <c r="F6" s="186" t="s">
        <v>178</v>
      </c>
      <c r="G6" s="186" t="s">
        <v>1828</v>
      </c>
      <c r="H6" s="186" t="s">
        <v>243</v>
      </c>
      <c r="I6" s="186"/>
      <c r="J6" s="186" t="s">
        <v>682</v>
      </c>
      <c r="K6" s="186" t="s">
        <v>1829</v>
      </c>
      <c r="L6" s="186" t="s">
        <v>1830</v>
      </c>
      <c r="M6" s="90" t="s">
        <v>1831</v>
      </c>
      <c r="N6" s="121" t="s">
        <v>1832</v>
      </c>
      <c r="O6" s="90"/>
      <c r="P6" s="186"/>
      <c r="Q6" s="186"/>
      <c r="R6" s="79" t="s">
        <v>1833</v>
      </c>
      <c r="S6" s="186"/>
    </row>
    <row r="7" spans="1:19" ht="18.75" hidden="1" customHeight="1">
      <c r="A7" s="213"/>
      <c r="B7" s="213"/>
      <c r="C7" s="210"/>
      <c r="D7" s="297"/>
      <c r="E7" t="s">
        <v>55</v>
      </c>
      <c r="F7" s="186" t="s">
        <v>1834</v>
      </c>
      <c r="G7" s="186" t="s">
        <v>249</v>
      </c>
      <c r="H7" s="186" t="s">
        <v>243</v>
      </c>
      <c r="I7" s="186"/>
      <c r="J7" s="186"/>
      <c r="K7" s="186"/>
      <c r="L7" s="186"/>
      <c r="M7" s="90"/>
      <c r="N7" s="90"/>
      <c r="O7" s="90"/>
      <c r="P7" s="186"/>
      <c r="Q7" s="186"/>
      <c r="R7" s="186"/>
      <c r="S7" s="186"/>
    </row>
    <row r="8" spans="1:19" ht="18.75" hidden="1" customHeight="1">
      <c r="A8" s="193"/>
      <c r="B8" s="193"/>
      <c r="C8" s="193"/>
      <c r="D8" s="193"/>
      <c r="E8" t="s">
        <v>55</v>
      </c>
      <c r="F8" t="s">
        <v>1835</v>
      </c>
      <c r="G8" t="s">
        <v>247</v>
      </c>
      <c r="H8" t="s">
        <v>243</v>
      </c>
      <c r="R8"/>
    </row>
    <row r="9" spans="1:19" ht="18.75" hidden="1" customHeight="1">
      <c r="A9" s="193"/>
      <c r="B9" s="193"/>
      <c r="C9" s="193"/>
      <c r="D9" s="193"/>
      <c r="E9" t="s">
        <v>55</v>
      </c>
      <c r="F9" t="s">
        <v>1836</v>
      </c>
      <c r="G9" t="s">
        <v>247</v>
      </c>
      <c r="H9" t="s">
        <v>243</v>
      </c>
      <c r="R9"/>
    </row>
    <row r="10" spans="1:19" ht="18.75" customHeight="1">
      <c r="A10" s="213"/>
      <c r="B10" s="213"/>
      <c r="C10" s="210"/>
      <c r="D10" s="297"/>
      <c r="E10" s="186" t="s">
        <v>61</v>
      </c>
      <c r="F10" s="186" t="s">
        <v>179</v>
      </c>
      <c r="G10" s="186" t="s">
        <v>246</v>
      </c>
      <c r="H10" s="186" t="s">
        <v>903</v>
      </c>
      <c r="I10" s="186"/>
      <c r="J10" s="186" t="s">
        <v>682</v>
      </c>
      <c r="K10" s="186" t="s">
        <v>1829</v>
      </c>
      <c r="L10" s="186" t="s">
        <v>1837</v>
      </c>
      <c r="M10" s="90" t="s">
        <v>1831</v>
      </c>
      <c r="N10" s="121" t="s">
        <v>1838</v>
      </c>
      <c r="O10" s="90"/>
      <c r="P10" s="186"/>
      <c r="Q10" s="186"/>
      <c r="R10" s="79" t="s">
        <v>1833</v>
      </c>
      <c r="S10" s="186"/>
    </row>
    <row r="11" spans="1:19" ht="18.75" hidden="1" customHeight="1">
      <c r="A11" s="193"/>
      <c r="B11" s="193"/>
      <c r="C11" s="193"/>
      <c r="D11" s="193"/>
      <c r="E11" t="s">
        <v>55</v>
      </c>
      <c r="F11" t="s">
        <v>1839</v>
      </c>
      <c r="G11" t="s">
        <v>252</v>
      </c>
      <c r="H11" t="s">
        <v>243</v>
      </c>
      <c r="R11"/>
    </row>
    <row r="12" spans="1:19" ht="18.75" customHeight="1">
      <c r="A12" s="193"/>
      <c r="B12" s="193"/>
      <c r="C12" s="193"/>
      <c r="D12" s="193"/>
      <c r="E12" t="s">
        <v>55</v>
      </c>
      <c r="F12" t="s">
        <v>1840</v>
      </c>
      <c r="G12" t="s">
        <v>919</v>
      </c>
      <c r="H12" t="s">
        <v>243</v>
      </c>
      <c r="J12" s="186" t="s">
        <v>682</v>
      </c>
      <c r="K12" s="186" t="s">
        <v>1829</v>
      </c>
      <c r="L12" t="s">
        <v>907</v>
      </c>
      <c r="M12" s="90" t="s">
        <v>1831</v>
      </c>
      <c r="N12" t="s">
        <v>1841</v>
      </c>
      <c r="R12" s="458" t="s">
        <v>1842</v>
      </c>
    </row>
    <row r="13" spans="1:19" ht="18.75" customHeight="1">
      <c r="A13" s="213"/>
      <c r="B13" s="213"/>
      <c r="C13" s="210"/>
      <c r="D13" s="297"/>
      <c r="E13" s="186" t="s">
        <v>61</v>
      </c>
      <c r="F13" s="186" t="s">
        <v>170</v>
      </c>
      <c r="G13" s="186" t="s">
        <v>242</v>
      </c>
      <c r="H13" s="186" t="s">
        <v>903</v>
      </c>
      <c r="I13" s="186"/>
      <c r="J13" s="186" t="s">
        <v>682</v>
      </c>
      <c r="K13" s="186" t="s">
        <v>1829</v>
      </c>
      <c r="L13" s="186" t="s">
        <v>1843</v>
      </c>
      <c r="M13" s="90" t="s">
        <v>1831</v>
      </c>
      <c r="N13" s="121" t="s">
        <v>1844</v>
      </c>
      <c r="O13" s="90"/>
      <c r="P13" s="186"/>
      <c r="Q13" s="186"/>
      <c r="R13" s="79" t="s">
        <v>1845</v>
      </c>
      <c r="S13" s="186"/>
    </row>
    <row r="14" spans="1:19" ht="27" customHeight="1">
      <c r="A14" s="213"/>
      <c r="B14" s="213"/>
      <c r="C14" s="210"/>
      <c r="D14" s="297"/>
      <c r="E14" s="186" t="s">
        <v>61</v>
      </c>
      <c r="F14" s="186" t="s">
        <v>1846</v>
      </c>
      <c r="G14" s="186" t="s">
        <v>247</v>
      </c>
      <c r="H14" s="186" t="s">
        <v>243</v>
      </c>
      <c r="I14" s="186"/>
      <c r="J14" s="186" t="s">
        <v>682</v>
      </c>
      <c r="K14" s="186" t="s">
        <v>1829</v>
      </c>
      <c r="L14" s="186" t="s">
        <v>1847</v>
      </c>
      <c r="M14" s="90" t="s">
        <v>1831</v>
      </c>
      <c r="N14" s="121" t="s">
        <v>1848</v>
      </c>
      <c r="O14" s="90"/>
      <c r="P14" s="186"/>
      <c r="Q14" s="186"/>
      <c r="R14" s="79" t="s">
        <v>1849</v>
      </c>
      <c r="S14" s="186"/>
    </row>
    <row r="15" spans="1:19" ht="27" customHeight="1">
      <c r="A15" s="213"/>
      <c r="B15" s="213"/>
      <c r="C15" s="210"/>
      <c r="D15" s="297"/>
      <c r="E15" s="186" t="s">
        <v>61</v>
      </c>
      <c r="F15" s="186" t="s">
        <v>180</v>
      </c>
      <c r="G15" s="186" t="s">
        <v>242</v>
      </c>
      <c r="H15" s="186" t="s">
        <v>243</v>
      </c>
      <c r="I15" s="186"/>
      <c r="J15" s="186" t="s">
        <v>682</v>
      </c>
      <c r="K15" s="186" t="s">
        <v>1829</v>
      </c>
      <c r="L15" s="186" t="s">
        <v>1850</v>
      </c>
      <c r="M15" s="90" t="s">
        <v>1831</v>
      </c>
      <c r="N15" s="121" t="s">
        <v>1851</v>
      </c>
      <c r="O15" s="90"/>
      <c r="P15" s="186"/>
      <c r="Q15" s="186"/>
      <c r="R15" s="79" t="s">
        <v>1852</v>
      </c>
      <c r="S15" s="186"/>
    </row>
    <row r="16" spans="1:19" ht="33" customHeight="1">
      <c r="A16" s="213"/>
      <c r="B16" s="213"/>
      <c r="C16" s="210"/>
      <c r="D16" s="297"/>
      <c r="E16" s="186" t="s">
        <v>53</v>
      </c>
      <c r="F16" s="186" t="s">
        <v>1010</v>
      </c>
      <c r="G16" s="186" t="s">
        <v>1853</v>
      </c>
      <c r="H16" s="186" t="s">
        <v>243</v>
      </c>
      <c r="I16" s="186"/>
      <c r="J16" s="186" t="s">
        <v>682</v>
      </c>
      <c r="K16" s="186" t="s">
        <v>1829</v>
      </c>
      <c r="L16" s="123" t="s">
        <v>1854</v>
      </c>
      <c r="M16" s="90" t="s">
        <v>53</v>
      </c>
      <c r="N16" s="90" t="s">
        <v>53</v>
      </c>
      <c r="O16" s="90"/>
      <c r="P16" s="186"/>
      <c r="Q16" s="186"/>
      <c r="R16" s="79"/>
      <c r="S16" s="186"/>
    </row>
    <row r="17" spans="1:19" ht="18.75" customHeight="1">
      <c r="A17" s="213"/>
      <c r="B17" s="213"/>
      <c r="C17" s="210"/>
      <c r="D17" s="297"/>
      <c r="E17" s="186" t="s">
        <v>61</v>
      </c>
      <c r="F17" s="186" t="s">
        <v>118</v>
      </c>
      <c r="G17" s="186" t="s">
        <v>1855</v>
      </c>
      <c r="H17" s="186" t="s">
        <v>243</v>
      </c>
      <c r="I17" s="186"/>
      <c r="J17" s="186" t="s">
        <v>682</v>
      </c>
      <c r="K17" s="186" t="s">
        <v>1829</v>
      </c>
      <c r="L17" s="186" t="s">
        <v>118</v>
      </c>
      <c r="M17" s="90" t="s">
        <v>1831</v>
      </c>
      <c r="N17" s="121" t="s">
        <v>1856</v>
      </c>
      <c r="O17" s="90"/>
      <c r="P17" s="186"/>
      <c r="Q17" s="186"/>
      <c r="R17" s="79">
        <v>52308250</v>
      </c>
      <c r="S17" s="186"/>
    </row>
    <row r="18" spans="1:19" ht="18.75" hidden="1" customHeight="1">
      <c r="A18" s="193"/>
      <c r="B18" s="193"/>
      <c r="C18" s="193"/>
      <c r="D18" s="193"/>
      <c r="E18" t="s">
        <v>55</v>
      </c>
      <c r="F18" t="s">
        <v>1857</v>
      </c>
      <c r="G18" t="s">
        <v>242</v>
      </c>
      <c r="H18" t="s">
        <v>243</v>
      </c>
      <c r="R18"/>
    </row>
    <row r="19" spans="1:19" ht="18.75" hidden="1" customHeight="1">
      <c r="A19" s="193"/>
      <c r="B19" s="193"/>
      <c r="C19" s="193"/>
      <c r="D19" s="193"/>
      <c r="E19" t="s">
        <v>55</v>
      </c>
      <c r="F19" t="s">
        <v>1858</v>
      </c>
      <c r="G19" t="s">
        <v>242</v>
      </c>
      <c r="H19" t="s">
        <v>243</v>
      </c>
      <c r="R19"/>
    </row>
    <row r="20" spans="1:19" ht="18.75" hidden="1" customHeight="1">
      <c r="A20" s="193"/>
      <c r="B20" s="193"/>
      <c r="C20" s="193"/>
      <c r="D20" s="193"/>
      <c r="E20" t="s">
        <v>55</v>
      </c>
      <c r="F20" t="s">
        <v>269</v>
      </c>
      <c r="G20" t="s">
        <v>247</v>
      </c>
      <c r="H20" t="s">
        <v>243</v>
      </c>
      <c r="R20"/>
    </row>
    <row r="21" spans="1:19" ht="18.75" hidden="1" customHeight="1">
      <c r="A21" s="193"/>
      <c r="B21" s="193"/>
      <c r="C21" s="193"/>
      <c r="D21" s="193"/>
      <c r="E21" t="s">
        <v>55</v>
      </c>
      <c r="F21" t="s">
        <v>263</v>
      </c>
      <c r="G21" t="s">
        <v>264</v>
      </c>
      <c r="H21" t="s">
        <v>243</v>
      </c>
      <c r="R21"/>
    </row>
    <row r="22" spans="1:19" ht="18.75" hidden="1" customHeight="1">
      <c r="A22" s="213"/>
      <c r="B22" s="213"/>
      <c r="C22" s="210"/>
      <c r="D22" s="297"/>
      <c r="E22" s="186" t="s">
        <v>53</v>
      </c>
      <c r="F22" s="186" t="s">
        <v>1859</v>
      </c>
      <c r="G22" s="186" t="s">
        <v>432</v>
      </c>
      <c r="H22" s="186" t="s">
        <v>243</v>
      </c>
      <c r="I22" s="186"/>
      <c r="J22" s="186"/>
      <c r="K22" s="186"/>
      <c r="L22" s="186"/>
      <c r="M22" s="90"/>
      <c r="N22" s="90"/>
      <c r="O22" s="90"/>
      <c r="P22" s="186"/>
      <c r="Q22" s="186"/>
      <c r="R22" s="186"/>
      <c r="S22" s="186"/>
    </row>
    <row r="23" spans="1:19" ht="18.75" hidden="1" customHeight="1">
      <c r="A23" s="213"/>
      <c r="B23" s="213"/>
      <c r="C23" s="210"/>
      <c r="D23" s="297"/>
      <c r="E23" t="s">
        <v>55</v>
      </c>
      <c r="F23" s="186" t="s">
        <v>1860</v>
      </c>
      <c r="G23" s="186" t="s">
        <v>346</v>
      </c>
      <c r="H23" s="186" t="s">
        <v>243</v>
      </c>
      <c r="I23" s="186"/>
      <c r="J23" s="186"/>
      <c r="K23" s="186"/>
      <c r="L23" s="186"/>
      <c r="M23" s="90"/>
      <c r="N23" s="90"/>
      <c r="O23" s="90"/>
      <c r="P23" s="186"/>
      <c r="Q23" s="186"/>
      <c r="R23" s="186"/>
      <c r="S23" s="186"/>
    </row>
    <row r="24" spans="1:19" ht="18.75" hidden="1" customHeight="1">
      <c r="A24" s="213"/>
      <c r="B24" s="213"/>
      <c r="C24" s="210"/>
      <c r="D24" s="297"/>
      <c r="E24" t="s">
        <v>55</v>
      </c>
      <c r="F24" s="186" t="s">
        <v>1861</v>
      </c>
      <c r="G24" s="186" t="s">
        <v>346</v>
      </c>
      <c r="H24" s="186" t="s">
        <v>243</v>
      </c>
      <c r="I24" s="186"/>
      <c r="J24" s="186"/>
      <c r="K24" s="186"/>
      <c r="L24" s="186"/>
      <c r="M24" s="90"/>
      <c r="N24" s="90"/>
      <c r="O24" s="90"/>
      <c r="P24" s="186"/>
      <c r="Q24" s="186"/>
      <c r="R24" s="186"/>
      <c r="S24" s="186"/>
    </row>
    <row r="25" spans="1:19" ht="18.75" hidden="1" customHeight="1">
      <c r="A25" s="213"/>
      <c r="B25" s="213"/>
      <c r="C25" s="210"/>
      <c r="D25" s="297"/>
      <c r="E25" s="186" t="s">
        <v>53</v>
      </c>
      <c r="F25" s="186" t="s">
        <v>124</v>
      </c>
      <c r="G25" s="186" t="s">
        <v>1862</v>
      </c>
      <c r="H25" s="186" t="s">
        <v>903</v>
      </c>
      <c r="I25" s="186"/>
      <c r="J25" s="186"/>
      <c r="K25" s="186"/>
      <c r="L25" s="186"/>
      <c r="M25" s="90"/>
      <c r="N25" s="90"/>
      <c r="O25" s="90"/>
      <c r="P25" s="186"/>
      <c r="Q25" s="186"/>
      <c r="R25" s="186"/>
      <c r="S25" s="186"/>
    </row>
    <row r="26" spans="1:19" ht="18.75" hidden="1" customHeight="1">
      <c r="A26" s="193"/>
      <c r="B26" s="193"/>
      <c r="C26" s="193"/>
      <c r="D26" s="193"/>
      <c r="E26" t="s">
        <v>55</v>
      </c>
      <c r="F26" t="s">
        <v>1863</v>
      </c>
      <c r="G26" t="s">
        <v>432</v>
      </c>
      <c r="H26" t="s">
        <v>243</v>
      </c>
      <c r="R26"/>
    </row>
    <row r="27" spans="1:19" ht="18.75" customHeight="1">
      <c r="A27" s="213"/>
      <c r="B27" s="213"/>
      <c r="C27" s="210"/>
      <c r="D27" s="297"/>
      <c r="E27" s="186" t="s">
        <v>61</v>
      </c>
      <c r="F27" s="186" t="s">
        <v>1864</v>
      </c>
      <c r="G27" s="186" t="s">
        <v>1865</v>
      </c>
      <c r="H27" s="186" t="s">
        <v>903</v>
      </c>
      <c r="I27" s="186"/>
      <c r="J27" s="186" t="s">
        <v>682</v>
      </c>
      <c r="K27" s="186" t="s">
        <v>1184</v>
      </c>
      <c r="L27" s="186" t="s">
        <v>1866</v>
      </c>
      <c r="M27" s="90" t="s">
        <v>53</v>
      </c>
      <c r="N27" s="90" t="s">
        <v>53</v>
      </c>
      <c r="O27" s="90"/>
      <c r="P27" s="186"/>
      <c r="Q27" s="186"/>
      <c r="R27" s="79"/>
      <c r="S27" s="186"/>
    </row>
    <row r="28" spans="1:19" ht="15" hidden="1" customHeight="1">
      <c r="E28" t="s">
        <v>55</v>
      </c>
      <c r="F28" t="s">
        <v>1867</v>
      </c>
      <c r="G28" t="s">
        <v>252</v>
      </c>
      <c r="H28" t="s">
        <v>243</v>
      </c>
      <c r="R28"/>
    </row>
    <row r="29" spans="1:19" s="437" customFormat="1" ht="42" customHeight="1">
      <c r="A29" s="213"/>
      <c r="B29" s="213"/>
      <c r="C29" s="210"/>
      <c r="D29" s="297"/>
      <c r="E29" s="480" t="s">
        <v>53</v>
      </c>
      <c r="F29" s="480" t="s">
        <v>1868</v>
      </c>
      <c r="G29" s="480" t="s">
        <v>1853</v>
      </c>
      <c r="H29" s="480" t="s">
        <v>243</v>
      </c>
      <c r="I29" s="480"/>
      <c r="J29" s="480" t="s">
        <v>682</v>
      </c>
      <c r="K29" s="480" t="s">
        <v>1829</v>
      </c>
      <c r="L29" s="633" t="s">
        <v>1869</v>
      </c>
      <c r="M29" s="620" t="s">
        <v>1831</v>
      </c>
      <c r="N29" s="620"/>
      <c r="O29" s="620"/>
      <c r="P29" s="480"/>
      <c r="Q29" s="480"/>
      <c r="R29" s="480"/>
      <c r="S29" s="480"/>
    </row>
    <row r="30" spans="1:19" ht="15" hidden="1" customHeight="1">
      <c r="E30" t="s">
        <v>55</v>
      </c>
      <c r="F30" t="s">
        <v>1870</v>
      </c>
      <c r="G30" t="s">
        <v>255</v>
      </c>
      <c r="H30" t="s">
        <v>243</v>
      </c>
      <c r="R30"/>
    </row>
    <row r="31" spans="1:19" s="437" customFormat="1" ht="52.5" customHeight="1">
      <c r="A31" s="480"/>
      <c r="B31" s="480"/>
      <c r="C31" s="480"/>
      <c r="D31" s="633"/>
      <c r="E31" s="620" t="s">
        <v>53</v>
      </c>
      <c r="F31" s="620" t="s">
        <v>1871</v>
      </c>
      <c r="G31" s="620" t="s">
        <v>255</v>
      </c>
      <c r="H31" s="480" t="s">
        <v>243</v>
      </c>
      <c r="I31" s="480"/>
      <c r="J31" s="480" t="s">
        <v>682</v>
      </c>
      <c r="K31" s="480" t="s">
        <v>1829</v>
      </c>
      <c r="L31" s="480" t="s">
        <v>1872</v>
      </c>
      <c r="M31" s="480" t="s">
        <v>1</v>
      </c>
      <c r="N31" s="658" t="s">
        <v>1873</v>
      </c>
      <c r="O31" s="480"/>
      <c r="P31" s="480"/>
      <c r="Q31" s="480"/>
      <c r="R31" s="480"/>
      <c r="S31" s="633"/>
    </row>
    <row r="32" spans="1:19" ht="15" hidden="1" customHeight="1">
      <c r="E32" t="s">
        <v>55</v>
      </c>
      <c r="F32" t="s">
        <v>1874</v>
      </c>
      <c r="G32" t="s">
        <v>249</v>
      </c>
      <c r="H32" t="s">
        <v>243</v>
      </c>
      <c r="R32"/>
    </row>
    <row r="33" spans="1:19" ht="15" hidden="1" customHeight="1">
      <c r="A33" s="213"/>
      <c r="B33" s="213"/>
      <c r="C33" s="210"/>
      <c r="D33" s="297"/>
      <c r="E33" s="186" t="s">
        <v>53</v>
      </c>
      <c r="F33" s="186" t="s">
        <v>1286</v>
      </c>
      <c r="G33" s="186" t="s">
        <v>250</v>
      </c>
      <c r="H33" s="186" t="s">
        <v>243</v>
      </c>
      <c r="I33" s="186"/>
      <c r="J33" s="186"/>
      <c r="K33" s="186"/>
      <c r="L33" s="186"/>
      <c r="M33" s="90"/>
      <c r="N33" s="90"/>
      <c r="O33" s="90"/>
      <c r="P33" s="186"/>
      <c r="Q33" s="186"/>
      <c r="R33" s="186"/>
      <c r="S33" s="186"/>
    </row>
    <row r="34" spans="1:19" ht="15" hidden="1" customHeight="1">
      <c r="A34" s="213"/>
      <c r="B34" s="213"/>
      <c r="C34" s="210"/>
      <c r="D34" s="297"/>
      <c r="E34" s="186" t="s">
        <v>53</v>
      </c>
      <c r="F34" s="186" t="s">
        <v>1875</v>
      </c>
      <c r="G34" s="186" t="s">
        <v>1876</v>
      </c>
      <c r="H34" s="186" t="s">
        <v>243</v>
      </c>
      <c r="I34" s="186"/>
      <c r="J34" s="186"/>
      <c r="K34" s="186"/>
      <c r="L34" s="186"/>
      <c r="M34" s="90"/>
      <c r="N34" s="90"/>
      <c r="O34" s="90"/>
      <c r="P34" s="186"/>
      <c r="Q34" s="186"/>
      <c r="R34" s="186"/>
      <c r="S34" s="186"/>
    </row>
    <row r="35" spans="1:19" ht="15" hidden="1" customHeight="1">
      <c r="E35" t="s">
        <v>55</v>
      </c>
      <c r="F35" t="s">
        <v>1877</v>
      </c>
      <c r="G35" t="s">
        <v>1853</v>
      </c>
      <c r="H35" t="s">
        <v>243</v>
      </c>
      <c r="R35"/>
    </row>
    <row r="36" spans="1:19" ht="15" hidden="1" customHeight="1">
      <c r="A36" s="213"/>
      <c r="B36" s="213"/>
      <c r="C36" s="210"/>
      <c r="D36" s="297"/>
      <c r="E36" t="s">
        <v>55</v>
      </c>
      <c r="F36" s="186" t="s">
        <v>1878</v>
      </c>
      <c r="G36" s="186" t="s">
        <v>1853</v>
      </c>
      <c r="H36" s="186" t="s">
        <v>243</v>
      </c>
      <c r="I36" s="186"/>
      <c r="J36" s="186"/>
      <c r="K36" s="186"/>
      <c r="L36" s="186"/>
      <c r="M36" s="90"/>
      <c r="N36" s="90"/>
      <c r="O36" s="90"/>
      <c r="P36" s="186"/>
      <c r="Q36" s="186"/>
      <c r="R36" s="186"/>
      <c r="S36" s="186"/>
    </row>
    <row r="37" spans="1:19" ht="15" hidden="1" customHeight="1">
      <c r="E37" t="s">
        <v>55</v>
      </c>
      <c r="F37" t="s">
        <v>1879</v>
      </c>
      <c r="G37" t="s">
        <v>252</v>
      </c>
      <c r="H37" t="s">
        <v>243</v>
      </c>
      <c r="R37"/>
    </row>
    <row r="38" spans="1:19" ht="15" hidden="1" customHeight="1">
      <c r="A38" s="213"/>
      <c r="B38" s="213"/>
      <c r="C38" s="210"/>
      <c r="D38" s="297"/>
      <c r="E38" s="186" t="s">
        <v>53</v>
      </c>
      <c r="F38" s="186" t="s">
        <v>1288</v>
      </c>
      <c r="G38" s="186" t="s">
        <v>1862</v>
      </c>
      <c r="H38" s="186" t="s">
        <v>903</v>
      </c>
      <c r="I38" s="186"/>
      <c r="J38" s="186"/>
      <c r="K38" s="186"/>
      <c r="L38" s="186"/>
      <c r="M38" s="90"/>
      <c r="N38" s="90"/>
      <c r="O38" s="90"/>
      <c r="P38" s="186"/>
      <c r="Q38" s="186"/>
      <c r="R38" s="186"/>
      <c r="S38" s="186"/>
    </row>
    <row r="39" spans="1:19" ht="15" hidden="1" customHeight="1">
      <c r="A39" s="213"/>
      <c r="B39" s="213"/>
      <c r="C39" s="210"/>
      <c r="D39" s="297"/>
      <c r="E39" s="186" t="s">
        <v>53</v>
      </c>
      <c r="F39" s="186" t="s">
        <v>1289</v>
      </c>
      <c r="G39" s="186" t="s">
        <v>1862</v>
      </c>
      <c r="H39" s="186" t="s">
        <v>243</v>
      </c>
      <c r="I39" s="186"/>
      <c r="J39" s="186"/>
      <c r="K39" s="186"/>
      <c r="L39" s="186"/>
      <c r="M39" s="90"/>
      <c r="N39" s="90"/>
      <c r="O39" s="90"/>
      <c r="P39" s="186"/>
      <c r="Q39" s="186"/>
      <c r="R39" s="186"/>
      <c r="S39" s="186"/>
    </row>
    <row r="40" spans="1:19" s="632" customFormat="1" ht="82.5" customHeight="1">
      <c r="A40" s="480"/>
      <c r="B40" s="480"/>
      <c r="C40" s="480"/>
      <c r="D40" s="480"/>
      <c r="E40" s="480" t="s">
        <v>55</v>
      </c>
      <c r="F40" s="480" t="s">
        <v>1880</v>
      </c>
      <c r="G40" s="480" t="s">
        <v>432</v>
      </c>
      <c r="H40" s="633" t="s">
        <v>243</v>
      </c>
      <c r="I40" s="620"/>
      <c r="J40" s="620" t="s">
        <v>682</v>
      </c>
      <c r="K40" s="620" t="s">
        <v>1829</v>
      </c>
      <c r="L40" s="633" t="s">
        <v>1881</v>
      </c>
      <c r="M40" s="480" t="s">
        <v>1831</v>
      </c>
      <c r="N40" s="633" t="s">
        <v>1882</v>
      </c>
      <c r="O40" s="480"/>
      <c r="P40" s="480"/>
      <c r="Q40" s="480"/>
      <c r="R40" s="480"/>
      <c r="S40" s="480"/>
    </row>
    <row r="41" spans="1:19" s="632" customFormat="1" ht="45.75" customHeight="1">
      <c r="A41" s="480"/>
      <c r="B41" s="480"/>
      <c r="C41" s="480"/>
      <c r="D41" s="480"/>
      <c r="E41" s="480" t="s">
        <v>55</v>
      </c>
      <c r="F41" s="480" t="s">
        <v>1867</v>
      </c>
      <c r="G41" s="480" t="s">
        <v>1883</v>
      </c>
      <c r="H41" s="633" t="s">
        <v>243</v>
      </c>
      <c r="I41" s="620"/>
      <c r="J41" s="620" t="s">
        <v>682</v>
      </c>
      <c r="K41" s="620" t="s">
        <v>1829</v>
      </c>
      <c r="L41" s="648" t="s">
        <v>1884</v>
      </c>
      <c r="M41" s="480"/>
      <c r="N41" s="633"/>
      <c r="O41" s="480"/>
      <c r="P41" s="480"/>
      <c r="Q41" s="480"/>
      <c r="R41" s="480"/>
      <c r="S41" s="480"/>
    </row>
    <row r="42" spans="1:19" ht="57.75" customHeight="1">
      <c r="A42" s="213"/>
      <c r="B42" s="213"/>
      <c r="C42" s="210"/>
      <c r="D42" s="297"/>
      <c r="E42" s="186" t="s">
        <v>55</v>
      </c>
      <c r="F42" s="186" t="s">
        <v>1290</v>
      </c>
      <c r="G42" s="186" t="s">
        <v>432</v>
      </c>
      <c r="H42" s="186" t="s">
        <v>243</v>
      </c>
      <c r="I42" s="186"/>
      <c r="J42" s="186" t="s">
        <v>682</v>
      </c>
      <c r="K42" s="186" t="s">
        <v>1829</v>
      </c>
      <c r="L42" s="123" t="s">
        <v>1885</v>
      </c>
      <c r="M42" s="90" t="s">
        <v>1831</v>
      </c>
      <c r="N42" s="121" t="s">
        <v>1886</v>
      </c>
      <c r="O42" s="90"/>
      <c r="P42" s="186"/>
      <c r="Q42" s="186"/>
      <c r="R42" s="79" t="s">
        <v>1887</v>
      </c>
      <c r="S42" s="186"/>
    </row>
    <row r="43" spans="1:19" ht="27" customHeight="1">
      <c r="A43" s="213"/>
      <c r="B43" s="213"/>
      <c r="C43" s="210"/>
      <c r="D43" s="297"/>
      <c r="E43" s="186" t="s">
        <v>53</v>
      </c>
      <c r="F43" s="186" t="s">
        <v>123</v>
      </c>
      <c r="G43" s="186" t="s">
        <v>1853</v>
      </c>
      <c r="H43" s="186" t="s">
        <v>903</v>
      </c>
      <c r="I43" s="186"/>
      <c r="J43" s="186" t="s">
        <v>682</v>
      </c>
      <c r="K43" s="186" t="s">
        <v>1184</v>
      </c>
      <c r="L43" s="123" t="s">
        <v>1888</v>
      </c>
      <c r="M43" s="90" t="s">
        <v>53</v>
      </c>
      <c r="N43" s="90" t="s">
        <v>53</v>
      </c>
      <c r="O43" s="90"/>
      <c r="P43" s="186"/>
      <c r="Q43" s="186"/>
      <c r="R43" s="79"/>
      <c r="S43" s="186"/>
    </row>
    <row r="44" spans="1:19" ht="27" customHeight="1">
      <c r="A44" s="213"/>
      <c r="B44" s="213"/>
      <c r="C44" s="210"/>
      <c r="D44" s="297"/>
      <c r="E44" s="186" t="s">
        <v>61</v>
      </c>
      <c r="F44" s="186" t="s">
        <v>122</v>
      </c>
      <c r="G44" s="186" t="s">
        <v>1862</v>
      </c>
      <c r="H44" s="186" t="s">
        <v>903</v>
      </c>
      <c r="I44" s="186"/>
      <c r="J44" s="186" t="s">
        <v>682</v>
      </c>
      <c r="K44" s="186" t="s">
        <v>1184</v>
      </c>
      <c r="L44" s="123" t="s">
        <v>1889</v>
      </c>
      <c r="M44" s="90" t="s">
        <v>53</v>
      </c>
      <c r="N44" s="90" t="s">
        <v>53</v>
      </c>
      <c r="O44" s="90"/>
      <c r="P44" s="186"/>
      <c r="Q44" s="186"/>
      <c r="R44" s="79"/>
      <c r="S44" s="186"/>
    </row>
    <row r="45" spans="1:19" ht="15" customHeight="1">
      <c r="A45" s="213"/>
      <c r="B45" s="213"/>
      <c r="C45" s="210"/>
      <c r="D45" s="297"/>
      <c r="E45" s="186" t="s">
        <v>53</v>
      </c>
      <c r="F45" s="186" t="s">
        <v>1890</v>
      </c>
      <c r="G45" s="186" t="s">
        <v>1853</v>
      </c>
      <c r="H45" s="186" t="s">
        <v>243</v>
      </c>
      <c r="I45" s="186"/>
      <c r="J45" s="186"/>
      <c r="K45" s="186"/>
      <c r="L45" s="186"/>
      <c r="M45" s="90"/>
      <c r="N45" s="90"/>
      <c r="O45" s="90"/>
      <c r="P45" s="186"/>
      <c r="Q45" s="186"/>
      <c r="R45" s="186"/>
      <c r="S45" s="186"/>
    </row>
  </sheetData>
  <autoFilter ref="A3:S45" xr:uid="{00000000-0001-0000-2E00-000000000000}">
    <filterColumn colId="9">
      <filters>
        <filter val="Y"/>
      </filters>
    </filterColumn>
    <sortState xmlns:xlrd2="http://schemas.microsoft.com/office/spreadsheetml/2017/richdata2" ref="A4:S45">
      <sortCondition ref="F4:F45"/>
    </sortState>
  </autoFilter>
  <pageMargins left="0.7" right="0.7" top="0.75" bottom="0.75" header="0" footer="0"/>
  <pageSetup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filterMode="1">
    <outlinePr summaryBelow="0" summaryRight="0"/>
  </sheetPr>
  <dimension ref="A1:S29"/>
  <sheetViews>
    <sheetView workbookViewId="0">
      <pane xSplit="7" ySplit="3" topLeftCell="H23" activePane="bottomRight" state="frozen"/>
      <selection pane="topRight" activeCell="H1" sqref="H1"/>
      <selection pane="bottomLeft" activeCell="A3" sqref="A3"/>
      <selection pane="bottomRight" activeCell="F33" sqref="F33"/>
    </sheetView>
  </sheetViews>
  <sheetFormatPr defaultColWidth="14.453125" defaultRowHeight="15" customHeight="1"/>
  <cols>
    <col min="1" max="4" width="0.1796875" hidden="1" customWidth="1"/>
    <col min="5" max="5" width="14.54296875" customWidth="1"/>
    <col min="6" max="6" width="40" customWidth="1"/>
    <col min="7" max="7" width="20.7265625" customWidth="1"/>
    <col min="8" max="8" width="9" customWidth="1"/>
    <col min="9" max="9" width="13.453125" customWidth="1"/>
    <col min="10" max="10" width="8.453125" customWidth="1"/>
    <col min="11" max="11" width="42" customWidth="1"/>
    <col min="12" max="12" width="54.81640625" customWidth="1"/>
    <col min="13" max="13" width="15" customWidth="1"/>
    <col min="14" max="14" width="52.54296875" customWidth="1"/>
    <col min="15" max="18" width="10.7265625" customWidth="1"/>
    <col min="19" max="19" width="72.7265625" customWidth="1"/>
    <col min="20" max="26" width="17.26953125" customWidth="1"/>
  </cols>
  <sheetData>
    <row r="1" spans="1:19" s="580" customFormat="1" ht="15" customHeight="1">
      <c r="A1"/>
      <c r="B1"/>
      <c r="C1"/>
      <c r="D1"/>
      <c r="E1" s="582" t="s">
        <v>1825</v>
      </c>
    </row>
    <row r="2" spans="1:19" ht="18.75" customHeight="1">
      <c r="A2" s="186"/>
      <c r="B2" s="186"/>
      <c r="C2" s="186"/>
      <c r="D2" s="119"/>
      <c r="E2" s="289" t="s">
        <v>1322</v>
      </c>
      <c r="F2" s="186"/>
      <c r="G2" s="186"/>
      <c r="H2" s="186"/>
      <c r="I2" s="186"/>
      <c r="J2" s="186"/>
      <c r="K2" s="207" t="s">
        <v>1038</v>
      </c>
      <c r="L2" s="207"/>
      <c r="M2" s="207"/>
      <c r="N2" s="207"/>
      <c r="O2" s="207"/>
      <c r="P2" s="207"/>
      <c r="Q2" s="186"/>
      <c r="R2" s="186"/>
      <c r="S2" s="186"/>
    </row>
    <row r="3" spans="1:19" s="180" customFormat="1" ht="18.75" customHeight="1">
      <c r="A3" s="583" t="s">
        <v>1040</v>
      </c>
      <c r="B3" s="583" t="s">
        <v>1041</v>
      </c>
      <c r="C3" s="583" t="s">
        <v>1042</v>
      </c>
      <c r="D3" s="584" t="s">
        <v>1043</v>
      </c>
      <c r="E3" s="583" t="s">
        <v>224</v>
      </c>
      <c r="F3" s="583" t="s">
        <v>225</v>
      </c>
      <c r="G3" s="583" t="s">
        <v>226</v>
      </c>
      <c r="H3" s="583" t="s">
        <v>227</v>
      </c>
      <c r="I3" s="583" t="s">
        <v>1044</v>
      </c>
      <c r="J3" s="583" t="s">
        <v>1891</v>
      </c>
      <c r="K3" s="585" t="s">
        <v>100</v>
      </c>
      <c r="L3" s="585" t="s">
        <v>101</v>
      </c>
      <c r="M3" s="585" t="s">
        <v>102</v>
      </c>
      <c r="N3" s="585" t="s">
        <v>103</v>
      </c>
      <c r="O3" s="585" t="s">
        <v>104</v>
      </c>
      <c r="P3" s="585" t="s">
        <v>105</v>
      </c>
      <c r="Q3" s="583" t="s">
        <v>111</v>
      </c>
      <c r="R3" s="583" t="s">
        <v>112</v>
      </c>
      <c r="S3" s="583" t="s">
        <v>113</v>
      </c>
    </row>
    <row r="4" spans="1:19" ht="18.75" customHeight="1">
      <c r="A4" s="213"/>
      <c r="B4" s="213"/>
      <c r="C4" s="210"/>
      <c r="D4" s="297"/>
      <c r="E4" s="186" t="s">
        <v>63</v>
      </c>
      <c r="F4" s="186" t="s">
        <v>122</v>
      </c>
      <c r="G4" s="186" t="s">
        <v>247</v>
      </c>
      <c r="H4" s="186"/>
      <c r="I4" s="186"/>
      <c r="J4" s="186" t="s">
        <v>682</v>
      </c>
      <c r="K4" s="330" t="s">
        <v>1184</v>
      </c>
      <c r="L4" s="123" t="s">
        <v>1889</v>
      </c>
      <c r="M4" s="90" t="s">
        <v>1831</v>
      </c>
      <c r="N4" s="90" t="s">
        <v>1892</v>
      </c>
      <c r="O4" s="90"/>
      <c r="P4" s="186"/>
      <c r="Q4" s="186"/>
      <c r="R4" s="186"/>
      <c r="S4" s="186" t="s">
        <v>1190</v>
      </c>
    </row>
    <row r="5" spans="1:19" ht="18.75" hidden="1" customHeight="1">
      <c r="A5" s="213"/>
      <c r="B5" s="213"/>
      <c r="C5" s="210"/>
      <c r="D5" s="297"/>
      <c r="E5" s="186" t="s">
        <v>53</v>
      </c>
      <c r="F5" s="186" t="s">
        <v>124</v>
      </c>
      <c r="G5" s="186" t="s">
        <v>535</v>
      </c>
      <c r="H5" s="186"/>
      <c r="I5" s="186"/>
      <c r="J5" s="186"/>
      <c r="K5" s="186"/>
      <c r="L5" s="186"/>
      <c r="M5" s="90"/>
      <c r="N5" s="90"/>
      <c r="O5" s="90"/>
      <c r="P5" s="186"/>
      <c r="Q5" s="186"/>
      <c r="R5" s="186"/>
      <c r="S5" s="186" t="s">
        <v>1190</v>
      </c>
    </row>
    <row r="6" spans="1:19" ht="18.75" hidden="1" customHeight="1">
      <c r="A6" s="213"/>
      <c r="B6" s="213"/>
      <c r="C6" s="210"/>
      <c r="D6" s="297"/>
      <c r="E6" s="186" t="s">
        <v>53</v>
      </c>
      <c r="F6" s="186" t="s">
        <v>1893</v>
      </c>
      <c r="G6" s="186" t="s">
        <v>535</v>
      </c>
      <c r="H6" s="186"/>
      <c r="I6" s="186"/>
      <c r="J6" s="186"/>
      <c r="K6" s="186"/>
      <c r="L6" s="186"/>
      <c r="M6" s="90"/>
      <c r="N6" s="90"/>
      <c r="O6" s="90"/>
      <c r="P6" s="186"/>
      <c r="Q6" s="186"/>
      <c r="R6" s="186"/>
      <c r="S6" s="186" t="s">
        <v>1190</v>
      </c>
    </row>
    <row r="7" spans="1:19" ht="18.75" hidden="1" customHeight="1">
      <c r="A7" s="213"/>
      <c r="B7" s="213"/>
      <c r="C7" s="210"/>
      <c r="D7" s="297"/>
      <c r="E7" s="186" t="s">
        <v>53</v>
      </c>
      <c r="F7" s="186" t="s">
        <v>1189</v>
      </c>
      <c r="G7" s="186" t="s">
        <v>249</v>
      </c>
      <c r="H7" s="186"/>
      <c r="I7" s="186"/>
      <c r="J7" s="186"/>
      <c r="K7" s="186"/>
      <c r="L7" s="186"/>
      <c r="M7" s="90"/>
      <c r="N7" s="90"/>
      <c r="O7" s="90"/>
      <c r="P7" s="186"/>
      <c r="Q7" s="186"/>
      <c r="R7" s="186"/>
      <c r="S7" s="186" t="s">
        <v>1190</v>
      </c>
    </row>
    <row r="8" spans="1:19" ht="18.75" hidden="1" customHeight="1">
      <c r="A8" s="213"/>
      <c r="B8" s="213"/>
      <c r="C8" s="210"/>
      <c r="D8" s="297"/>
      <c r="E8" s="186" t="s">
        <v>53</v>
      </c>
      <c r="F8" s="186" t="s">
        <v>1191</v>
      </c>
      <c r="G8" s="186" t="s">
        <v>252</v>
      </c>
      <c r="H8" s="186"/>
      <c r="I8" s="186"/>
      <c r="J8" s="186"/>
      <c r="K8" s="186"/>
      <c r="L8" s="186"/>
      <c r="M8" s="90"/>
      <c r="N8" s="90"/>
      <c r="O8" s="90"/>
      <c r="P8" s="186"/>
      <c r="Q8" s="186"/>
      <c r="R8" s="186"/>
      <c r="S8" s="186" t="s">
        <v>1190</v>
      </c>
    </row>
    <row r="9" spans="1:19" ht="18.75" hidden="1" customHeight="1">
      <c r="A9" s="213"/>
      <c r="B9" s="213"/>
      <c r="C9" s="210"/>
      <c r="D9" s="297"/>
      <c r="E9" s="186" t="s">
        <v>53</v>
      </c>
      <c r="F9" s="186" t="s">
        <v>1192</v>
      </c>
      <c r="G9" s="186" t="s">
        <v>242</v>
      </c>
      <c r="H9" s="186"/>
      <c r="I9" s="186"/>
      <c r="J9" s="186"/>
      <c r="K9" s="186"/>
      <c r="L9" s="186"/>
      <c r="M9" s="90"/>
      <c r="N9" s="90"/>
      <c r="O9" s="90"/>
      <c r="P9" s="186"/>
      <c r="Q9" s="186"/>
      <c r="R9" s="186"/>
      <c r="S9" s="186" t="s">
        <v>1190</v>
      </c>
    </row>
    <row r="10" spans="1:19" ht="18.75" hidden="1" customHeight="1">
      <c r="A10" s="213"/>
      <c r="B10" s="213"/>
      <c r="C10" s="210"/>
      <c r="D10" s="297"/>
      <c r="E10" s="186" t="s">
        <v>53</v>
      </c>
      <c r="F10" s="186" t="s">
        <v>1193</v>
      </c>
      <c r="G10" s="186" t="s">
        <v>247</v>
      </c>
      <c r="H10" s="186"/>
      <c r="I10" s="186"/>
      <c r="J10" s="186"/>
      <c r="K10" s="186"/>
      <c r="L10" s="186"/>
      <c r="M10" s="90"/>
      <c r="N10" s="90"/>
      <c r="O10" s="90"/>
      <c r="P10" s="186"/>
      <c r="Q10" s="186"/>
      <c r="R10" s="186"/>
      <c r="S10" s="186" t="s">
        <v>1190</v>
      </c>
    </row>
    <row r="11" spans="1:19" ht="18.75" hidden="1" customHeight="1">
      <c r="A11" s="213"/>
      <c r="B11" s="213"/>
      <c r="C11" s="210"/>
      <c r="D11" s="297"/>
      <c r="E11" s="186" t="s">
        <v>53</v>
      </c>
      <c r="F11" s="186" t="s">
        <v>1194</v>
      </c>
      <c r="G11" s="186" t="s">
        <v>252</v>
      </c>
      <c r="H11" s="186"/>
      <c r="I11" s="186"/>
      <c r="J11" s="186"/>
      <c r="K11" s="186"/>
      <c r="L11" s="186"/>
      <c r="M11" s="90"/>
      <c r="N11" s="90"/>
      <c r="O11" s="90"/>
      <c r="P11" s="186"/>
      <c r="Q11" s="186"/>
      <c r="R11" s="186"/>
      <c r="S11" s="186" t="s">
        <v>1190</v>
      </c>
    </row>
    <row r="12" spans="1:19" ht="18.75" hidden="1" customHeight="1">
      <c r="A12" s="213"/>
      <c r="B12" s="213"/>
      <c r="C12" s="210"/>
      <c r="D12" s="297"/>
      <c r="E12" s="186" t="s">
        <v>53</v>
      </c>
      <c r="F12" s="186" t="s">
        <v>1195</v>
      </c>
      <c r="G12" s="186" t="s">
        <v>247</v>
      </c>
      <c r="H12" s="186"/>
      <c r="I12" s="186"/>
      <c r="J12" s="186"/>
      <c r="K12" s="186"/>
      <c r="L12" s="186"/>
      <c r="M12" s="90"/>
      <c r="N12" s="90"/>
      <c r="O12" s="90"/>
      <c r="P12" s="186"/>
      <c r="Q12" s="186"/>
      <c r="R12" s="186"/>
      <c r="S12" s="186" t="s">
        <v>1190</v>
      </c>
    </row>
    <row r="13" spans="1:19" ht="18.75" hidden="1" customHeight="1">
      <c r="A13" s="213"/>
      <c r="B13" s="213"/>
      <c r="C13" s="210"/>
      <c r="D13" s="297"/>
      <c r="E13" s="186" t="s">
        <v>53</v>
      </c>
      <c r="F13" s="186" t="s">
        <v>1196</v>
      </c>
      <c r="G13" s="186" t="s">
        <v>535</v>
      </c>
      <c r="H13" s="186"/>
      <c r="I13" s="186"/>
      <c r="J13" s="186"/>
      <c r="K13" s="186"/>
      <c r="L13" s="186"/>
      <c r="M13" s="90"/>
      <c r="N13" s="90"/>
      <c r="O13" s="90"/>
      <c r="P13" s="186"/>
      <c r="Q13" s="186"/>
      <c r="R13" s="186"/>
      <c r="S13" s="186" t="s">
        <v>1190</v>
      </c>
    </row>
    <row r="14" spans="1:19" ht="18.75" hidden="1" customHeight="1">
      <c r="A14" s="213"/>
      <c r="B14" s="213"/>
      <c r="C14" s="210"/>
      <c r="D14" s="297"/>
      <c r="E14" s="186" t="s">
        <v>53</v>
      </c>
      <c r="F14" s="186" t="s">
        <v>1894</v>
      </c>
      <c r="G14" s="186" t="s">
        <v>535</v>
      </c>
      <c r="H14" s="186"/>
      <c r="I14" s="186"/>
      <c r="J14" s="186"/>
      <c r="K14" s="186"/>
      <c r="L14" s="186"/>
      <c r="M14" s="90"/>
      <c r="N14" s="90"/>
      <c r="O14" s="90"/>
      <c r="P14" s="186"/>
      <c r="Q14" s="186"/>
      <c r="R14" s="186"/>
      <c r="S14" s="186" t="s">
        <v>1190</v>
      </c>
    </row>
    <row r="15" spans="1:19" ht="18.75" hidden="1" customHeight="1">
      <c r="A15" s="213"/>
      <c r="B15" s="213"/>
      <c r="C15" s="210"/>
      <c r="D15" s="297"/>
      <c r="E15" s="186" t="s">
        <v>55</v>
      </c>
      <c r="F15" s="186" t="s">
        <v>1290</v>
      </c>
      <c r="G15" s="186" t="s">
        <v>432</v>
      </c>
      <c r="H15" s="186" t="s">
        <v>243</v>
      </c>
      <c r="I15" s="186"/>
      <c r="J15" s="186"/>
      <c r="K15" s="186"/>
      <c r="L15" s="186"/>
      <c r="M15" s="90"/>
      <c r="N15" s="90"/>
      <c r="O15" s="90"/>
      <c r="P15" s="186"/>
      <c r="Q15" s="186"/>
      <c r="R15" s="186"/>
      <c r="S15" s="186"/>
    </row>
    <row r="16" spans="1:19" ht="18.75" hidden="1" customHeight="1">
      <c r="A16" s="213"/>
      <c r="B16" s="213"/>
      <c r="C16" s="210"/>
      <c r="D16" s="297"/>
      <c r="E16" s="186" t="s">
        <v>53</v>
      </c>
      <c r="F16" s="186" t="s">
        <v>1291</v>
      </c>
      <c r="G16" s="186" t="s">
        <v>247</v>
      </c>
      <c r="H16" s="186"/>
      <c r="I16" s="186"/>
      <c r="J16" s="186"/>
      <c r="K16" s="186"/>
      <c r="L16" s="186"/>
      <c r="M16" s="90"/>
      <c r="N16" s="90"/>
      <c r="O16" s="90"/>
      <c r="P16" s="186"/>
      <c r="Q16" s="186"/>
      <c r="R16" s="186"/>
      <c r="S16" s="186" t="s">
        <v>1190</v>
      </c>
    </row>
    <row r="17" spans="1:19" ht="18.75" hidden="1" customHeight="1">
      <c r="A17" s="213"/>
      <c r="B17" s="213"/>
      <c r="C17" s="210"/>
      <c r="D17" s="297"/>
      <c r="E17" s="186" t="s">
        <v>53</v>
      </c>
      <c r="F17" s="186" t="s">
        <v>1292</v>
      </c>
      <c r="G17" s="186" t="s">
        <v>535</v>
      </c>
      <c r="H17" s="186"/>
      <c r="I17" s="186"/>
      <c r="J17" s="186"/>
      <c r="K17" s="186"/>
      <c r="L17" s="186"/>
      <c r="M17" s="90"/>
      <c r="N17" s="90"/>
      <c r="O17" s="90"/>
      <c r="P17" s="186"/>
      <c r="Q17" s="186"/>
      <c r="R17" s="186"/>
      <c r="S17" s="186" t="s">
        <v>1190</v>
      </c>
    </row>
    <row r="18" spans="1:19" ht="18.75" hidden="1" customHeight="1">
      <c r="A18" s="213"/>
      <c r="B18" s="213"/>
      <c r="C18" s="210"/>
      <c r="D18" s="297"/>
      <c r="E18" s="186" t="s">
        <v>53</v>
      </c>
      <c r="F18" s="186" t="s">
        <v>1289</v>
      </c>
      <c r="G18" s="186" t="s">
        <v>324</v>
      </c>
      <c r="H18" s="186"/>
      <c r="I18" s="186"/>
      <c r="J18" s="186"/>
      <c r="K18" s="186"/>
      <c r="L18" s="186"/>
      <c r="M18" s="90"/>
      <c r="N18" s="90"/>
      <c r="O18" s="90"/>
      <c r="P18" s="186"/>
      <c r="Q18" s="186"/>
      <c r="R18" s="186"/>
      <c r="S18" s="186" t="s">
        <v>1190</v>
      </c>
    </row>
    <row r="19" spans="1:19" ht="18.75" hidden="1" customHeight="1">
      <c r="A19" s="213"/>
      <c r="B19" s="213"/>
      <c r="C19" s="210"/>
      <c r="D19" s="297"/>
      <c r="E19" s="186" t="s">
        <v>53</v>
      </c>
      <c r="F19" s="186" t="s">
        <v>1293</v>
      </c>
      <c r="G19" s="186" t="s">
        <v>432</v>
      </c>
      <c r="H19" s="186"/>
      <c r="I19" s="186"/>
      <c r="J19" s="186"/>
      <c r="K19" s="186"/>
      <c r="L19" s="186"/>
      <c r="M19" s="90"/>
      <c r="N19" s="90"/>
      <c r="O19" s="90"/>
      <c r="P19" s="186"/>
      <c r="Q19" s="186"/>
      <c r="R19" s="186"/>
      <c r="S19" s="186" t="s">
        <v>1190</v>
      </c>
    </row>
    <row r="20" spans="1:19" ht="18.75" customHeight="1">
      <c r="A20" s="213"/>
      <c r="B20" s="213"/>
      <c r="C20" s="210"/>
      <c r="D20" s="297"/>
      <c r="E20" s="186" t="s">
        <v>53</v>
      </c>
      <c r="F20" s="186" t="s">
        <v>123</v>
      </c>
      <c r="G20" s="186" t="s">
        <v>535</v>
      </c>
      <c r="H20" s="186"/>
      <c r="I20" s="186"/>
      <c r="J20" s="186" t="s">
        <v>682</v>
      </c>
      <c r="K20" s="330" t="s">
        <v>1184</v>
      </c>
      <c r="L20" s="186" t="s">
        <v>1888</v>
      </c>
      <c r="M20" s="90" t="s">
        <v>1895</v>
      </c>
      <c r="N20" s="90" t="s">
        <v>1896</v>
      </c>
      <c r="O20" s="90"/>
      <c r="P20" s="186"/>
      <c r="Q20" s="186"/>
      <c r="R20" s="186"/>
      <c r="S20" s="186" t="s">
        <v>1190</v>
      </c>
    </row>
    <row r="21" spans="1:19" ht="18.75" hidden="1" customHeight="1">
      <c r="A21" s="213"/>
      <c r="B21" s="213"/>
      <c r="C21" s="210"/>
      <c r="D21" s="297"/>
      <c r="E21" s="186" t="s">
        <v>53</v>
      </c>
      <c r="F21" s="186" t="s">
        <v>1288</v>
      </c>
      <c r="G21" s="186" t="s">
        <v>535</v>
      </c>
      <c r="H21" s="186"/>
      <c r="I21" s="186"/>
      <c r="J21" s="186"/>
      <c r="K21" s="186"/>
      <c r="L21" s="186"/>
      <c r="M21" s="90"/>
      <c r="N21" s="90"/>
      <c r="O21" s="90"/>
      <c r="P21" s="186"/>
      <c r="Q21" s="186"/>
      <c r="R21" s="186"/>
      <c r="S21" s="186" t="s">
        <v>1190</v>
      </c>
    </row>
    <row r="22" spans="1:19" ht="18.75" customHeight="1">
      <c r="A22" s="213"/>
      <c r="B22" s="213"/>
      <c r="C22" s="210"/>
      <c r="D22" s="297"/>
      <c r="E22" s="186" t="s">
        <v>61</v>
      </c>
      <c r="F22" s="186" t="s">
        <v>170</v>
      </c>
      <c r="G22" s="186" t="s">
        <v>247</v>
      </c>
      <c r="H22" s="186" t="s">
        <v>903</v>
      </c>
      <c r="I22" s="186"/>
      <c r="J22" s="186" t="s">
        <v>682</v>
      </c>
      <c r="K22" s="186" t="s">
        <v>1829</v>
      </c>
      <c r="L22" s="186" t="s">
        <v>1843</v>
      </c>
      <c r="M22" s="90" t="s">
        <v>1831</v>
      </c>
      <c r="N22" s="90" t="s">
        <v>1844</v>
      </c>
      <c r="O22" s="90"/>
      <c r="P22" s="186"/>
      <c r="Q22" s="186"/>
      <c r="R22" s="186" t="s">
        <v>1845</v>
      </c>
      <c r="S22" s="186" t="s">
        <v>1897</v>
      </c>
    </row>
    <row r="23" spans="1:19" ht="79.5" customHeight="1">
      <c r="A23" s="213"/>
      <c r="B23" s="213"/>
      <c r="C23" s="210"/>
      <c r="D23" s="297"/>
      <c r="E23" s="186" t="s">
        <v>61</v>
      </c>
      <c r="F23" s="186" t="s">
        <v>1898</v>
      </c>
      <c r="G23" s="186" t="s">
        <v>247</v>
      </c>
      <c r="H23" s="186" t="s">
        <v>903</v>
      </c>
      <c r="I23" s="186"/>
      <c r="J23" s="186" t="s">
        <v>682</v>
      </c>
      <c r="K23" s="186" t="s">
        <v>1829</v>
      </c>
      <c r="L23" s="123" t="s">
        <v>1899</v>
      </c>
      <c r="M23" s="90" t="s">
        <v>1831</v>
      </c>
      <c r="N23" s="90" t="s">
        <v>1900</v>
      </c>
      <c r="O23" s="90"/>
      <c r="P23" s="186"/>
      <c r="Q23" s="186"/>
      <c r="R23" s="186" t="s">
        <v>1901</v>
      </c>
      <c r="S23" s="186" t="s">
        <v>1902</v>
      </c>
    </row>
    <row r="27" spans="1:19" ht="15" customHeight="1">
      <c r="E27" s="687" t="s">
        <v>1903</v>
      </c>
      <c r="F27" s="687"/>
      <c r="G27" s="687"/>
    </row>
    <row r="28" spans="1:19" ht="15" customHeight="1">
      <c r="E28" s="687"/>
      <c r="F28" s="687"/>
      <c r="G28" s="687"/>
    </row>
    <row r="29" spans="1:19" ht="15" customHeight="1">
      <c r="E29" s="687"/>
      <c r="F29" s="687"/>
      <c r="G29" s="687"/>
    </row>
  </sheetData>
  <autoFilter ref="A3:S23" xr:uid="{00000000-0001-0000-2D00-000000000000}">
    <filterColumn colId="9">
      <filters>
        <filter val="Y"/>
      </filters>
    </filterColumn>
  </autoFilter>
  <mergeCells count="1">
    <mergeCell ref="E27:G29"/>
  </mergeCells>
  <pageMargins left="0.7" right="0.7" top="0.75" bottom="0.75" header="0" footer="0"/>
  <pageSetup orientation="landscape"/>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D7B59E-EABB-4EF6-845D-BDDF4C25F58D}">
  <sheetPr filterMode="1">
    <outlinePr summaryBelow="0" summaryRight="0"/>
  </sheetPr>
  <dimension ref="A1:AG186"/>
  <sheetViews>
    <sheetView topLeftCell="E1" workbookViewId="0">
      <pane ySplit="4" topLeftCell="A32" activePane="bottomLeft" state="frozen"/>
      <selection pane="bottomLeft" activeCell="L29" sqref="L29"/>
    </sheetView>
  </sheetViews>
  <sheetFormatPr defaultColWidth="14.453125" defaultRowHeight="15" customHeight="1"/>
  <cols>
    <col min="1" max="2" width="12.7265625" hidden="1" customWidth="1"/>
    <col min="3" max="3" width="13" hidden="1" customWidth="1"/>
    <col min="4" max="4" width="6.7265625" hidden="1" customWidth="1"/>
    <col min="5" max="5" width="23.26953125" customWidth="1"/>
    <col min="6" max="6" width="43.7265625" customWidth="1"/>
    <col min="7" max="7" width="23.26953125" customWidth="1"/>
    <col min="8" max="8" width="10.7265625" customWidth="1"/>
    <col min="9" max="9" width="14.26953125" customWidth="1"/>
    <col min="10" max="10" width="8.26953125" customWidth="1"/>
    <col min="11" max="11" width="11.453125" customWidth="1"/>
    <col min="12" max="12" width="34.1796875" customWidth="1"/>
    <col min="13" max="13" width="37.7265625" customWidth="1"/>
    <col min="14" max="14" width="22.1796875" customWidth="1"/>
    <col min="15" max="15" width="31.26953125" customWidth="1"/>
    <col min="16" max="16" width="52.54296875" customWidth="1"/>
    <col min="17" max="17" width="31" customWidth="1"/>
    <col min="18" max="18" width="22.1796875" customWidth="1"/>
    <col min="19" max="19" width="23" customWidth="1"/>
    <col min="20" max="20" width="41" customWidth="1"/>
    <col min="21" max="21" width="6.26953125" customWidth="1"/>
    <col min="22" max="22" width="30.7265625" hidden="1" customWidth="1"/>
    <col min="23" max="23" width="38.26953125" hidden="1" customWidth="1"/>
    <col min="24" max="24" width="10.7265625" customWidth="1"/>
    <col min="25" max="25" width="17.1796875" customWidth="1"/>
    <col min="26" max="26" width="25.7265625" customWidth="1"/>
    <col min="27" max="27" width="10.7265625" customWidth="1"/>
    <col min="28" max="28" width="79.7265625" customWidth="1"/>
    <col min="29" max="33" width="10.7265625" customWidth="1"/>
  </cols>
  <sheetData>
    <row r="1" spans="1:33" ht="36" customHeight="1">
      <c r="A1" s="56"/>
      <c r="B1" s="56"/>
      <c r="C1" s="56"/>
      <c r="D1" s="56"/>
      <c r="E1" s="289" t="s">
        <v>1322</v>
      </c>
      <c r="F1" s="688" t="s">
        <v>1904</v>
      </c>
      <c r="G1" s="688"/>
      <c r="H1" s="688"/>
      <c r="I1" s="441"/>
      <c r="J1" s="56"/>
      <c r="K1" s="250"/>
      <c r="L1" s="218"/>
      <c r="M1" s="251"/>
      <c r="N1" s="218"/>
      <c r="O1" s="218"/>
      <c r="P1" s="218"/>
      <c r="Q1" s="218"/>
      <c r="R1" s="56"/>
      <c r="S1" s="56"/>
      <c r="T1" s="56"/>
      <c r="U1" s="56"/>
      <c r="V1" s="56"/>
      <c r="W1" s="56"/>
      <c r="X1" s="56"/>
      <c r="Y1" s="56"/>
      <c r="Z1" s="252" t="s">
        <v>1039</v>
      </c>
      <c r="AA1" s="253"/>
      <c r="AB1" s="254"/>
      <c r="AC1" s="56"/>
      <c r="AD1" s="56"/>
      <c r="AE1" s="56"/>
      <c r="AF1" s="56"/>
      <c r="AG1" s="56"/>
    </row>
    <row r="2" spans="1:33" ht="24.75" customHeight="1">
      <c r="A2" s="46"/>
      <c r="B2" s="47"/>
      <c r="C2" s="47"/>
      <c r="D2" s="47"/>
      <c r="E2" s="48"/>
      <c r="F2" s="45"/>
      <c r="G2" s="46"/>
      <c r="H2" s="46"/>
      <c r="I2" s="46"/>
      <c r="J2" s="46"/>
      <c r="K2" s="49"/>
      <c r="L2" s="218" t="s">
        <v>1038</v>
      </c>
      <c r="M2" s="251"/>
      <c r="N2" s="218"/>
      <c r="O2" s="218"/>
      <c r="P2" s="218"/>
      <c r="Q2" s="218"/>
      <c r="R2" s="47"/>
      <c r="S2" s="47"/>
      <c r="T2" s="47"/>
      <c r="U2" s="46"/>
      <c r="V2" s="50"/>
      <c r="W2" s="51"/>
      <c r="X2" s="52"/>
      <c r="Y2" s="52"/>
      <c r="Z2" s="226"/>
      <c r="AA2" s="227"/>
      <c r="AB2" s="255"/>
      <c r="AC2" s="56"/>
      <c r="AD2" s="56"/>
      <c r="AE2" s="56"/>
      <c r="AF2" s="56"/>
      <c r="AG2" s="56"/>
    </row>
    <row r="3" spans="1:33" ht="14.25" customHeight="1">
      <c r="A3" s="46" t="s">
        <v>1325</v>
      </c>
      <c r="B3" s="206" t="s">
        <v>1041</v>
      </c>
      <c r="C3" s="206" t="s">
        <v>1042</v>
      </c>
      <c r="D3" s="206" t="s">
        <v>1043</v>
      </c>
      <c r="E3" s="206" t="s">
        <v>224</v>
      </c>
      <c r="F3" s="206" t="s">
        <v>225</v>
      </c>
      <c r="G3" s="206" t="s">
        <v>226</v>
      </c>
      <c r="H3" s="206" t="s">
        <v>227</v>
      </c>
      <c r="I3" s="206" t="s">
        <v>1044</v>
      </c>
      <c r="J3" s="206" t="s">
        <v>1045</v>
      </c>
      <c r="K3" s="218" t="s">
        <v>1046</v>
      </c>
      <c r="L3" s="251" t="s">
        <v>100</v>
      </c>
      <c r="M3" s="251" t="s">
        <v>101</v>
      </c>
      <c r="N3" s="218" t="s">
        <v>102</v>
      </c>
      <c r="O3" s="218" t="s">
        <v>103</v>
      </c>
      <c r="P3" s="218" t="s">
        <v>104</v>
      </c>
      <c r="Q3" s="218" t="s">
        <v>105</v>
      </c>
      <c r="R3" s="206" t="s">
        <v>111</v>
      </c>
      <c r="S3" s="206" t="s">
        <v>112</v>
      </c>
      <c r="T3" s="206" t="s">
        <v>113</v>
      </c>
      <c r="U3" s="256" t="s">
        <v>1326</v>
      </c>
      <c r="V3" s="257" t="s">
        <v>1047</v>
      </c>
      <c r="W3" s="258" t="s">
        <v>1048</v>
      </c>
      <c r="X3" s="226" t="s">
        <v>1049</v>
      </c>
      <c r="Y3" s="226" t="s">
        <v>1050</v>
      </c>
      <c r="Z3" s="226" t="s">
        <v>237</v>
      </c>
      <c r="AA3" s="227" t="s">
        <v>1</v>
      </c>
      <c r="AB3" s="255" t="s">
        <v>238</v>
      </c>
      <c r="AC3" s="56"/>
      <c r="AD3" s="56"/>
      <c r="AE3" s="56"/>
      <c r="AF3" s="56"/>
      <c r="AG3" s="56"/>
    </row>
    <row r="4" spans="1:33" ht="12.5" hidden="1">
      <c r="A4" s="259"/>
      <c r="B4" s="259"/>
      <c r="C4" s="260"/>
      <c r="D4" s="260"/>
      <c r="E4" s="56" t="s">
        <v>53</v>
      </c>
      <c r="F4" s="56" t="s">
        <v>1010</v>
      </c>
      <c r="G4" s="56" t="s">
        <v>535</v>
      </c>
      <c r="H4" s="56" t="s">
        <v>243</v>
      </c>
      <c r="I4" s="56"/>
      <c r="J4" s="56">
        <v>2</v>
      </c>
      <c r="K4" s="56" t="s">
        <v>680</v>
      </c>
      <c r="L4" s="45"/>
      <c r="M4" s="45"/>
      <c r="N4" s="45"/>
      <c r="O4" s="56"/>
      <c r="P4" s="56"/>
      <c r="Q4" s="56"/>
      <c r="R4" s="54"/>
      <c r="S4" s="25" t="e">
        <v>#N/A</v>
      </c>
      <c r="T4" s="56" t="s">
        <v>1190</v>
      </c>
      <c r="U4" s="56">
        <v>1</v>
      </c>
      <c r="V4" s="244" t="e">
        <v>#N/A</v>
      </c>
      <c r="W4" s="244" t="e">
        <v>#N/A</v>
      </c>
      <c r="X4" s="70"/>
      <c r="Y4" s="56" t="s">
        <v>1060</v>
      </c>
      <c r="Z4" s="56"/>
      <c r="AA4" s="55"/>
      <c r="AB4" s="56"/>
      <c r="AC4" s="70"/>
      <c r="AD4" s="70"/>
      <c r="AE4" s="70"/>
      <c r="AF4" s="70"/>
      <c r="AG4" s="70"/>
    </row>
    <row r="5" spans="1:33" ht="14.25" customHeight="1">
      <c r="A5" s="259"/>
      <c r="B5" s="259"/>
      <c r="C5" s="260"/>
      <c r="D5" s="261"/>
      <c r="E5" s="56" t="s">
        <v>61</v>
      </c>
      <c r="F5" s="56" t="s">
        <v>118</v>
      </c>
      <c r="G5" s="56" t="s">
        <v>247</v>
      </c>
      <c r="H5" s="56" t="s">
        <v>243</v>
      </c>
      <c r="I5" s="56"/>
      <c r="J5" s="56">
        <v>4</v>
      </c>
      <c r="K5" s="56" t="s">
        <v>682</v>
      </c>
      <c r="L5" s="56" t="s">
        <v>1905</v>
      </c>
      <c r="M5" s="34" t="s">
        <v>302</v>
      </c>
      <c r="N5" s="56" t="s">
        <v>1328</v>
      </c>
      <c r="O5" s="56" t="s">
        <v>1088</v>
      </c>
      <c r="P5" s="56" t="s">
        <v>1329</v>
      </c>
      <c r="Q5" s="56"/>
      <c r="R5" s="54"/>
      <c r="S5" s="25">
        <v>59302865</v>
      </c>
      <c r="T5" s="56" t="s">
        <v>1330</v>
      </c>
      <c r="U5" s="56"/>
      <c r="V5" s="244" t="e">
        <v>#N/A</v>
      </c>
      <c r="W5" s="244" t="e">
        <v>#N/A</v>
      </c>
      <c r="X5" s="70">
        <v>6</v>
      </c>
      <c r="Y5" s="70"/>
      <c r="Z5" s="56" t="s">
        <v>1331</v>
      </c>
      <c r="AA5" s="55">
        <v>43475</v>
      </c>
      <c r="AB5" s="56" t="s">
        <v>1057</v>
      </c>
      <c r="AC5" s="56"/>
      <c r="AD5" s="56"/>
      <c r="AE5" s="56"/>
      <c r="AF5" s="56"/>
      <c r="AG5" s="56"/>
    </row>
    <row r="6" spans="1:33" ht="52.5" customHeight="1">
      <c r="A6" s="262"/>
      <c r="B6" s="262"/>
      <c r="C6" s="262"/>
      <c r="D6" s="262"/>
      <c r="E6" s="56" t="s">
        <v>55</v>
      </c>
      <c r="F6" s="56" t="s">
        <v>1343</v>
      </c>
      <c r="G6" s="56" t="s">
        <v>346</v>
      </c>
      <c r="H6" s="56" t="s">
        <v>243</v>
      </c>
      <c r="I6" s="56"/>
      <c r="J6" s="56">
        <v>5</v>
      </c>
      <c r="K6" s="56" t="s">
        <v>682</v>
      </c>
      <c r="L6" s="56" t="s">
        <v>1905</v>
      </c>
      <c r="M6" s="34" t="s">
        <v>1344</v>
      </c>
      <c r="N6" s="56" t="s">
        <v>1184</v>
      </c>
      <c r="O6" s="56" t="s">
        <v>1345</v>
      </c>
      <c r="P6" s="34"/>
      <c r="Q6" s="56"/>
      <c r="R6" s="249" t="s">
        <v>1346</v>
      </c>
      <c r="S6" s="25" t="e">
        <v>#N/A</v>
      </c>
      <c r="T6" s="56" t="s">
        <v>1347</v>
      </c>
      <c r="U6" s="56"/>
      <c r="V6" s="244" t="e">
        <v>#N/A</v>
      </c>
      <c r="W6" s="244" t="e">
        <v>#N/A</v>
      </c>
      <c r="X6" s="56"/>
      <c r="Y6" s="56" t="s">
        <v>1060</v>
      </c>
      <c r="Z6" s="70"/>
      <c r="AA6" s="6"/>
      <c r="AB6" s="5"/>
      <c r="AC6" s="70"/>
      <c r="AD6" s="70"/>
      <c r="AE6" s="70"/>
      <c r="AF6" s="58"/>
      <c r="AG6" s="58"/>
    </row>
    <row r="7" spans="1:33" ht="25">
      <c r="A7" s="244"/>
      <c r="B7" s="244"/>
      <c r="C7" s="244"/>
      <c r="D7" s="244"/>
      <c r="E7" s="56" t="s">
        <v>55</v>
      </c>
      <c r="F7" s="56" t="s">
        <v>489</v>
      </c>
      <c r="G7" s="56" t="s">
        <v>346</v>
      </c>
      <c r="H7" s="56" t="s">
        <v>243</v>
      </c>
      <c r="I7" s="56"/>
      <c r="J7" s="56">
        <v>7</v>
      </c>
      <c r="K7" s="56" t="s">
        <v>682</v>
      </c>
      <c r="L7" s="56" t="s">
        <v>1905</v>
      </c>
      <c r="M7" s="56" t="s">
        <v>490</v>
      </c>
      <c r="N7" s="56"/>
      <c r="O7" s="34" t="s">
        <v>1348</v>
      </c>
      <c r="P7" s="34" t="s">
        <v>1349</v>
      </c>
      <c r="Q7" s="34" t="s">
        <v>1350</v>
      </c>
      <c r="R7" s="32" t="s">
        <v>1346</v>
      </c>
      <c r="S7" s="435" t="s">
        <v>1351</v>
      </c>
      <c r="T7" s="34" t="s">
        <v>1352</v>
      </c>
      <c r="U7" s="34">
        <v>1</v>
      </c>
      <c r="V7" s="247" t="e">
        <v>#N/A</v>
      </c>
      <c r="W7" s="247" t="e">
        <v>#N/A</v>
      </c>
      <c r="X7" s="5">
        <v>98</v>
      </c>
      <c r="Y7" s="34"/>
      <c r="Z7" s="5" t="s">
        <v>1353</v>
      </c>
      <c r="AA7" s="6">
        <v>43551</v>
      </c>
      <c r="AB7" s="5" t="s">
        <v>1354</v>
      </c>
      <c r="AC7" s="56"/>
      <c r="AD7" s="56"/>
      <c r="AE7" s="56"/>
      <c r="AF7" s="56"/>
      <c r="AG7" s="56"/>
    </row>
    <row r="8" spans="1:33" ht="50">
      <c r="A8" s="244"/>
      <c r="B8" s="244"/>
      <c r="C8" s="244"/>
      <c r="D8" s="244"/>
      <c r="E8" s="56" t="s">
        <v>55</v>
      </c>
      <c r="F8" s="56" t="s">
        <v>486</v>
      </c>
      <c r="G8" s="56" t="s">
        <v>346</v>
      </c>
      <c r="H8" s="56" t="s">
        <v>243</v>
      </c>
      <c r="I8" s="56"/>
      <c r="J8" s="56">
        <v>6</v>
      </c>
      <c r="K8" s="56" t="s">
        <v>682</v>
      </c>
      <c r="L8" s="56" t="s">
        <v>1905</v>
      </c>
      <c r="M8" s="56" t="s">
        <v>488</v>
      </c>
      <c r="N8" s="56"/>
      <c r="O8" s="34" t="s">
        <v>1355</v>
      </c>
      <c r="P8" s="34" t="s">
        <v>1356</v>
      </c>
      <c r="Q8" s="34" t="s">
        <v>1357</v>
      </c>
      <c r="R8" s="32" t="s">
        <v>1346</v>
      </c>
      <c r="S8" s="59" t="s">
        <v>1358</v>
      </c>
      <c r="T8" s="34" t="s">
        <v>1359</v>
      </c>
      <c r="U8" s="34"/>
      <c r="V8" s="247" t="e">
        <v>#N/A</v>
      </c>
      <c r="W8" s="247" t="e">
        <v>#N/A</v>
      </c>
      <c r="X8" s="34">
        <v>97</v>
      </c>
      <c r="Y8" s="34"/>
      <c r="Z8" s="5" t="s">
        <v>1353</v>
      </c>
      <c r="AA8" s="6">
        <v>43551</v>
      </c>
      <c r="AB8" s="5" t="s">
        <v>1360</v>
      </c>
      <c r="AC8" s="56"/>
      <c r="AD8" s="56"/>
      <c r="AE8" s="56"/>
      <c r="AF8" s="56"/>
      <c r="AG8" s="56"/>
    </row>
    <row r="9" spans="1:33" ht="14.25" customHeight="1">
      <c r="A9" s="262"/>
      <c r="B9" s="262"/>
      <c r="C9" s="262"/>
      <c r="D9" s="262"/>
      <c r="E9" s="56" t="s">
        <v>55</v>
      </c>
      <c r="F9" s="56" t="s">
        <v>1361</v>
      </c>
      <c r="G9" s="56"/>
      <c r="H9" s="56" t="s">
        <v>243</v>
      </c>
      <c r="I9" s="56"/>
      <c r="J9" s="56"/>
      <c r="K9" s="56" t="s">
        <v>682</v>
      </c>
      <c r="L9" s="56" t="s">
        <v>1905</v>
      </c>
      <c r="M9" s="56" t="s">
        <v>483</v>
      </c>
      <c r="N9" s="56" t="s">
        <v>1362</v>
      </c>
      <c r="O9" s="268" t="s">
        <v>1363</v>
      </c>
      <c r="P9" s="244" t="s">
        <v>1364</v>
      </c>
      <c r="Q9" s="244" t="s">
        <v>482</v>
      </c>
      <c r="R9" s="269"/>
      <c r="S9" s="268"/>
      <c r="T9" s="244"/>
      <c r="U9" s="244"/>
      <c r="V9" s="244"/>
      <c r="W9" s="244"/>
      <c r="X9" s="244">
        <v>95</v>
      </c>
      <c r="Y9" s="244"/>
      <c r="Z9" s="244" t="s">
        <v>1162</v>
      </c>
      <c r="AA9" s="270">
        <v>43641</v>
      </c>
      <c r="AB9" s="244" t="s">
        <v>1337</v>
      </c>
      <c r="AC9" s="268"/>
      <c r="AD9" s="268"/>
      <c r="AE9" s="268"/>
      <c r="AF9" s="263"/>
      <c r="AG9" s="263"/>
    </row>
    <row r="10" spans="1:33" ht="14.25" customHeight="1">
      <c r="A10" s="259"/>
      <c r="B10" s="259"/>
      <c r="C10" s="260"/>
      <c r="D10" s="260"/>
      <c r="E10" s="56" t="s">
        <v>59</v>
      </c>
      <c r="F10" s="56" t="s">
        <v>420</v>
      </c>
      <c r="G10" s="56" t="s">
        <v>329</v>
      </c>
      <c r="H10" s="56" t="s">
        <v>243</v>
      </c>
      <c r="I10" s="56"/>
      <c r="J10" s="56">
        <v>8</v>
      </c>
      <c r="K10" s="56" t="s">
        <v>682</v>
      </c>
      <c r="L10" s="56" t="s">
        <v>1905</v>
      </c>
      <c r="M10" s="56" t="s">
        <v>421</v>
      </c>
      <c r="N10" s="56" t="s">
        <v>1370</v>
      </c>
      <c r="O10" s="56" t="s">
        <v>1371</v>
      </c>
      <c r="P10" s="56" t="s">
        <v>1372</v>
      </c>
      <c r="Q10" s="56"/>
      <c r="R10" s="54"/>
      <c r="S10" s="25">
        <v>0</v>
      </c>
      <c r="T10" s="56" t="s">
        <v>1373</v>
      </c>
      <c r="U10" s="56"/>
      <c r="V10" s="244" t="e">
        <v>#N/A</v>
      </c>
      <c r="W10" s="244" t="e">
        <v>#N/A</v>
      </c>
      <c r="X10" s="70">
        <v>66</v>
      </c>
      <c r="Y10" s="56"/>
      <c r="Z10" s="56" t="s">
        <v>1331</v>
      </c>
      <c r="AA10" s="55">
        <v>43475</v>
      </c>
      <c r="AB10" s="56" t="s">
        <v>1057</v>
      </c>
      <c r="AC10" s="56"/>
      <c r="AD10" s="56"/>
      <c r="AE10" s="56"/>
      <c r="AF10" s="60"/>
      <c r="AG10" s="60"/>
    </row>
    <row r="11" spans="1:33" ht="14.25" customHeight="1">
      <c r="A11" s="259"/>
      <c r="B11" s="259"/>
      <c r="C11" s="260"/>
      <c r="D11" s="260"/>
      <c r="E11" s="56" t="s">
        <v>55</v>
      </c>
      <c r="F11" s="56" t="s">
        <v>357</v>
      </c>
      <c r="G11" s="56" t="s">
        <v>329</v>
      </c>
      <c r="H11" s="56" t="s">
        <v>243</v>
      </c>
      <c r="I11" s="56"/>
      <c r="J11" s="56"/>
      <c r="K11" s="56" t="s">
        <v>682</v>
      </c>
      <c r="L11" s="56" t="s">
        <v>1905</v>
      </c>
      <c r="M11" s="56" t="s">
        <v>358</v>
      </c>
      <c r="N11" s="56" t="s">
        <v>1374</v>
      </c>
      <c r="O11" s="56" t="s">
        <v>1375</v>
      </c>
      <c r="P11" s="56" t="s">
        <v>1376</v>
      </c>
      <c r="Q11" s="56"/>
      <c r="R11" s="54"/>
      <c r="S11" s="25"/>
      <c r="T11" s="21" t="s">
        <v>1377</v>
      </c>
      <c r="U11" s="56"/>
      <c r="V11" s="244" t="e">
        <v>#N/A</v>
      </c>
      <c r="W11" s="244" t="e">
        <v>#N/A</v>
      </c>
      <c r="X11" s="70">
        <v>35</v>
      </c>
      <c r="Y11" s="56"/>
      <c r="Z11" s="56" t="s">
        <v>1331</v>
      </c>
      <c r="AA11" s="55">
        <v>43475</v>
      </c>
      <c r="AB11" s="56" t="s">
        <v>1057</v>
      </c>
      <c r="AC11" s="70"/>
      <c r="AD11" s="70"/>
      <c r="AE11" s="70"/>
      <c r="AF11" s="70"/>
      <c r="AG11" s="70"/>
    </row>
    <row r="12" spans="1:33" ht="14.25" customHeight="1">
      <c r="A12" s="259"/>
      <c r="B12" s="259"/>
      <c r="C12" s="260"/>
      <c r="D12" s="260"/>
      <c r="E12" s="56" t="s">
        <v>61</v>
      </c>
      <c r="F12" s="56" t="s">
        <v>150</v>
      </c>
      <c r="G12" s="56" t="s">
        <v>247</v>
      </c>
      <c r="H12" s="56" t="s">
        <v>243</v>
      </c>
      <c r="I12" s="56"/>
      <c r="J12" s="56">
        <v>9</v>
      </c>
      <c r="K12" s="56" t="s">
        <v>682</v>
      </c>
      <c r="L12" s="56" t="s">
        <v>1905</v>
      </c>
      <c r="M12" s="56" t="s">
        <v>307</v>
      </c>
      <c r="N12" s="56" t="s">
        <v>1378</v>
      </c>
      <c r="O12" s="56" t="s">
        <v>1379</v>
      </c>
      <c r="P12" s="56" t="s">
        <v>1380</v>
      </c>
      <c r="Q12" s="56" t="s">
        <v>1381</v>
      </c>
      <c r="R12" s="249" t="s">
        <v>1346</v>
      </c>
      <c r="S12" s="25" t="s">
        <v>1382</v>
      </c>
      <c r="T12" s="56" t="s">
        <v>1383</v>
      </c>
      <c r="U12" s="56">
        <v>1</v>
      </c>
      <c r="V12" s="244" t="e">
        <v>#N/A</v>
      </c>
      <c r="W12" s="244" t="e">
        <v>#N/A</v>
      </c>
      <c r="X12" s="70">
        <v>9</v>
      </c>
      <c r="Y12" s="56"/>
      <c r="Z12" s="56" t="s">
        <v>1384</v>
      </c>
      <c r="AA12" s="55">
        <v>43497</v>
      </c>
      <c r="AB12" s="56" t="s">
        <v>1385</v>
      </c>
      <c r="AC12" s="70"/>
      <c r="AD12" s="70"/>
      <c r="AE12" s="70"/>
      <c r="AF12" s="70"/>
      <c r="AG12" s="70"/>
    </row>
    <row r="13" spans="1:33" ht="14.25" customHeight="1">
      <c r="A13" s="259"/>
      <c r="B13" s="259"/>
      <c r="C13" s="260"/>
      <c r="D13" s="260"/>
      <c r="E13" s="56" t="s">
        <v>59</v>
      </c>
      <c r="F13" s="56" t="s">
        <v>308</v>
      </c>
      <c r="G13" s="56" t="s">
        <v>247</v>
      </c>
      <c r="H13" s="56" t="s">
        <v>243</v>
      </c>
      <c r="I13" s="56"/>
      <c r="J13" s="56">
        <v>10</v>
      </c>
      <c r="K13" s="56" t="s">
        <v>682</v>
      </c>
      <c r="L13" s="56" t="s">
        <v>1905</v>
      </c>
      <c r="M13" s="56" t="s">
        <v>309</v>
      </c>
      <c r="N13" s="56" t="s">
        <v>1378</v>
      </c>
      <c r="O13" s="56" t="s">
        <v>1386</v>
      </c>
      <c r="P13" s="56" t="s">
        <v>1387</v>
      </c>
      <c r="Q13" s="56" t="s">
        <v>1381</v>
      </c>
      <c r="R13" s="249" t="s">
        <v>1346</v>
      </c>
      <c r="S13" s="25" t="s">
        <v>1388</v>
      </c>
      <c r="T13" s="56" t="s">
        <v>1389</v>
      </c>
      <c r="U13" s="56">
        <v>1</v>
      </c>
      <c r="V13" s="244" t="e">
        <v>#N/A</v>
      </c>
      <c r="W13" s="244" t="e">
        <v>#N/A</v>
      </c>
      <c r="X13" s="70">
        <v>10</v>
      </c>
      <c r="Y13" s="56"/>
      <c r="Z13" s="56" t="s">
        <v>1384</v>
      </c>
      <c r="AA13" s="55">
        <v>43497</v>
      </c>
      <c r="AB13" s="56" t="s">
        <v>1385</v>
      </c>
      <c r="AC13" s="56"/>
      <c r="AD13" s="56"/>
      <c r="AE13" s="56"/>
      <c r="AF13" s="56"/>
      <c r="AG13" s="56"/>
    </row>
    <row r="14" spans="1:33" ht="14.25" customHeight="1">
      <c r="A14" s="259"/>
      <c r="B14" s="259"/>
      <c r="C14" s="260"/>
      <c r="D14" s="260"/>
      <c r="E14" s="56" t="s">
        <v>55</v>
      </c>
      <c r="F14" s="56" t="s">
        <v>310</v>
      </c>
      <c r="G14" s="56" t="s">
        <v>247</v>
      </c>
      <c r="H14" s="56" t="s">
        <v>243</v>
      </c>
      <c r="I14" s="56"/>
      <c r="J14" s="56">
        <v>11</v>
      </c>
      <c r="K14" s="56" t="s">
        <v>682</v>
      </c>
      <c r="L14" s="56" t="s">
        <v>1905</v>
      </c>
      <c r="M14" s="56" t="s">
        <v>311</v>
      </c>
      <c r="N14" s="56" t="s">
        <v>1390</v>
      </c>
      <c r="O14" s="56" t="s">
        <v>1391</v>
      </c>
      <c r="P14" s="56" t="s">
        <v>1392</v>
      </c>
      <c r="Q14" s="56" t="s">
        <v>1381</v>
      </c>
      <c r="R14" s="249" t="s">
        <v>1346</v>
      </c>
      <c r="S14" s="25" t="s">
        <v>1393</v>
      </c>
      <c r="T14" s="56" t="s">
        <v>1394</v>
      </c>
      <c r="U14" s="56">
        <v>1</v>
      </c>
      <c r="V14" s="244" t="e">
        <v>#N/A</v>
      </c>
      <c r="W14" s="244" t="e">
        <v>#N/A</v>
      </c>
      <c r="X14" s="70">
        <v>11</v>
      </c>
      <c r="Y14" s="56"/>
      <c r="Z14" s="56" t="s">
        <v>1384</v>
      </c>
      <c r="AA14" s="55">
        <v>43497</v>
      </c>
      <c r="AB14" s="56" t="s">
        <v>1385</v>
      </c>
      <c r="AC14" s="56"/>
      <c r="AD14" s="56"/>
      <c r="AE14" s="56"/>
      <c r="AF14" s="56"/>
      <c r="AG14" s="56"/>
    </row>
    <row r="15" spans="1:33" ht="14.25" customHeight="1">
      <c r="A15" s="259"/>
      <c r="B15" s="259"/>
      <c r="C15" s="260"/>
      <c r="D15" s="260"/>
      <c r="E15" s="56" t="s">
        <v>59</v>
      </c>
      <c r="F15" s="56" t="s">
        <v>390</v>
      </c>
      <c r="G15" s="56" t="s">
        <v>329</v>
      </c>
      <c r="H15" s="56" t="s">
        <v>243</v>
      </c>
      <c r="I15" s="56"/>
      <c r="J15" s="56">
        <v>12</v>
      </c>
      <c r="K15" s="56" t="s">
        <v>682</v>
      </c>
      <c r="L15" s="56" t="s">
        <v>1905</v>
      </c>
      <c r="M15" s="56" t="s">
        <v>391</v>
      </c>
      <c r="N15" s="56" t="s">
        <v>1395</v>
      </c>
      <c r="O15" s="56" t="s">
        <v>1396</v>
      </c>
      <c r="P15" s="56" t="s">
        <v>1397</v>
      </c>
      <c r="Q15" s="56" t="s">
        <v>1398</v>
      </c>
      <c r="R15" s="54"/>
      <c r="S15" s="25">
        <v>-10.97</v>
      </c>
      <c r="T15" s="56" t="s">
        <v>1399</v>
      </c>
      <c r="U15" s="56"/>
      <c r="V15" s="244" t="e">
        <v>#N/A</v>
      </c>
      <c r="W15" s="244" t="e">
        <v>#N/A</v>
      </c>
      <c r="X15" s="70">
        <v>52</v>
      </c>
      <c r="Y15" s="56"/>
      <c r="Z15" s="56" t="s">
        <v>1331</v>
      </c>
      <c r="AA15" s="55">
        <v>43475</v>
      </c>
      <c r="AB15" s="56" t="s">
        <v>1057</v>
      </c>
      <c r="AC15" s="56"/>
      <c r="AD15" s="56"/>
      <c r="AE15" s="56"/>
      <c r="AF15" s="56"/>
      <c r="AG15" s="56"/>
    </row>
    <row r="16" spans="1:33" ht="14.25" customHeight="1">
      <c r="A16" s="259"/>
      <c r="B16" s="259"/>
      <c r="C16" s="260"/>
      <c r="D16" s="260"/>
      <c r="E16" s="56" t="s">
        <v>55</v>
      </c>
      <c r="F16" s="56" t="s">
        <v>388</v>
      </c>
      <c r="G16" s="56" t="s">
        <v>329</v>
      </c>
      <c r="H16" s="56" t="s">
        <v>243</v>
      </c>
      <c r="I16" s="56"/>
      <c r="J16" s="56">
        <v>13</v>
      </c>
      <c r="K16" s="56" t="s">
        <v>682</v>
      </c>
      <c r="L16" s="56" t="s">
        <v>1905</v>
      </c>
      <c r="M16" s="56" t="s">
        <v>389</v>
      </c>
      <c r="N16" s="56" t="s">
        <v>1395</v>
      </c>
      <c r="O16" s="56" t="s">
        <v>1400</v>
      </c>
      <c r="P16" s="56" t="s">
        <v>1401</v>
      </c>
      <c r="Q16" s="56" t="s">
        <v>1398</v>
      </c>
      <c r="R16" s="54"/>
      <c r="S16" s="25">
        <v>-10.97</v>
      </c>
      <c r="T16" s="56" t="s">
        <v>1402</v>
      </c>
      <c r="U16" s="56"/>
      <c r="V16" s="244" t="e">
        <v>#N/A</v>
      </c>
      <c r="W16" s="244" t="e">
        <v>#N/A</v>
      </c>
      <c r="X16" s="70">
        <v>51</v>
      </c>
      <c r="Y16" s="56"/>
      <c r="Z16" s="56" t="s">
        <v>1331</v>
      </c>
      <c r="AA16" s="55">
        <v>43475</v>
      </c>
      <c r="AB16" s="56" t="s">
        <v>1057</v>
      </c>
      <c r="AC16" s="70"/>
      <c r="AD16" s="70"/>
      <c r="AE16" s="70"/>
      <c r="AF16" s="70"/>
      <c r="AG16" s="70"/>
    </row>
    <row r="17" spans="1:33" ht="14.25" customHeight="1">
      <c r="A17" s="259"/>
      <c r="B17" s="259"/>
      <c r="C17" s="260"/>
      <c r="D17" s="260"/>
      <c r="E17" s="70" t="s">
        <v>55</v>
      </c>
      <c r="F17" s="56" t="s">
        <v>392</v>
      </c>
      <c r="G17" s="56" t="s">
        <v>329</v>
      </c>
      <c r="H17" s="70" t="s">
        <v>243</v>
      </c>
      <c r="I17" s="56"/>
      <c r="J17" s="70">
        <v>97</v>
      </c>
      <c r="K17" s="56" t="s">
        <v>682</v>
      </c>
      <c r="L17" s="56" t="s">
        <v>1905</v>
      </c>
      <c r="M17" s="34" t="s">
        <v>393</v>
      </c>
      <c r="N17" s="56" t="s">
        <v>1395</v>
      </c>
      <c r="O17" s="56" t="s">
        <v>1403</v>
      </c>
      <c r="P17" s="56" t="s">
        <v>1404</v>
      </c>
      <c r="Q17" s="56" t="s">
        <v>1398</v>
      </c>
      <c r="R17" s="54"/>
      <c r="S17" s="25">
        <v>-10.97</v>
      </c>
      <c r="T17" s="56" t="s">
        <v>1405</v>
      </c>
      <c r="U17" s="56"/>
      <c r="V17" s="244" t="e">
        <v>#N/A</v>
      </c>
      <c r="W17" s="244" t="e">
        <v>#N/A</v>
      </c>
      <c r="X17" s="70">
        <v>53</v>
      </c>
      <c r="Y17" s="56"/>
      <c r="Z17" s="56" t="s">
        <v>1331</v>
      </c>
      <c r="AA17" s="55">
        <v>43475</v>
      </c>
      <c r="AB17" s="56" t="s">
        <v>1057</v>
      </c>
      <c r="AC17" s="56"/>
      <c r="AD17" s="56"/>
      <c r="AE17" s="56"/>
      <c r="AF17" s="56"/>
      <c r="AG17" s="56"/>
    </row>
    <row r="18" spans="1:33" ht="14.25" hidden="1" customHeight="1">
      <c r="A18" s="259"/>
      <c r="B18" s="259"/>
      <c r="C18" s="260"/>
      <c r="D18" s="260"/>
      <c r="E18" s="56" t="s">
        <v>53</v>
      </c>
      <c r="F18" s="56" t="s">
        <v>1406</v>
      </c>
      <c r="G18" s="56" t="s">
        <v>535</v>
      </c>
      <c r="H18" s="56" t="s">
        <v>243</v>
      </c>
      <c r="I18" s="56"/>
      <c r="J18" s="56">
        <v>68</v>
      </c>
      <c r="K18" s="56" t="s">
        <v>680</v>
      </c>
      <c r="L18" s="56"/>
      <c r="M18" s="34"/>
      <c r="N18" s="56"/>
      <c r="O18" s="56"/>
      <c r="P18" s="56"/>
      <c r="Q18" s="56"/>
      <c r="R18" s="54"/>
      <c r="S18" s="25" t="e">
        <v>#N/A</v>
      </c>
      <c r="T18" s="56" t="s">
        <v>1190</v>
      </c>
      <c r="U18" s="56"/>
      <c r="V18" s="244" t="e">
        <v>#N/A</v>
      </c>
      <c r="W18" s="244" t="e">
        <v>#N/A</v>
      </c>
      <c r="X18" s="70"/>
      <c r="Y18" s="56" t="s">
        <v>1060</v>
      </c>
      <c r="Z18" s="56"/>
      <c r="AA18" s="55"/>
      <c r="AB18" s="56"/>
      <c r="AC18" s="70"/>
      <c r="AD18" s="70"/>
      <c r="AE18" s="70"/>
      <c r="AF18" s="70"/>
      <c r="AG18" s="70"/>
    </row>
    <row r="19" spans="1:33" ht="14.25" hidden="1" customHeight="1">
      <c r="A19" s="259"/>
      <c r="B19" s="259"/>
      <c r="C19" s="260"/>
      <c r="D19" s="260"/>
      <c r="E19" s="56" t="s">
        <v>53</v>
      </c>
      <c r="F19" s="56" t="s">
        <v>1189</v>
      </c>
      <c r="G19" s="56" t="s">
        <v>249</v>
      </c>
      <c r="H19" s="56" t="s">
        <v>243</v>
      </c>
      <c r="I19" s="56"/>
      <c r="J19" s="56">
        <v>14</v>
      </c>
      <c r="K19" s="56" t="s">
        <v>680</v>
      </c>
      <c r="L19" s="56"/>
      <c r="M19" s="34"/>
      <c r="N19" s="56"/>
      <c r="O19" s="56"/>
      <c r="P19" s="56"/>
      <c r="Q19" s="56"/>
      <c r="R19" s="54"/>
      <c r="S19" s="25" t="e">
        <v>#N/A</v>
      </c>
      <c r="T19" s="56" t="s">
        <v>1190</v>
      </c>
      <c r="U19" s="56"/>
      <c r="V19" s="244" t="e">
        <v>#N/A</v>
      </c>
      <c r="W19" s="244" t="e">
        <v>#N/A</v>
      </c>
      <c r="X19" s="70"/>
      <c r="Y19" s="56" t="s">
        <v>1060</v>
      </c>
      <c r="Z19" s="56"/>
      <c r="AA19" s="55"/>
      <c r="AB19" s="56"/>
      <c r="AC19" s="70"/>
      <c r="AD19" s="70"/>
      <c r="AE19" s="70"/>
      <c r="AF19" s="70"/>
      <c r="AG19" s="70"/>
    </row>
    <row r="20" spans="1:33" ht="14.25" customHeight="1">
      <c r="A20" s="259"/>
      <c r="B20" s="259"/>
      <c r="C20" s="260"/>
      <c r="D20" s="260"/>
      <c r="E20" s="56" t="s">
        <v>61</v>
      </c>
      <c r="F20" s="56" t="s">
        <v>125</v>
      </c>
      <c r="G20" s="56" t="s">
        <v>255</v>
      </c>
      <c r="H20" s="56" t="s">
        <v>243</v>
      </c>
      <c r="I20" s="56"/>
      <c r="J20" s="56">
        <v>15</v>
      </c>
      <c r="K20" s="56" t="s">
        <v>682</v>
      </c>
      <c r="L20" s="56" t="s">
        <v>1905</v>
      </c>
      <c r="M20" s="56" t="s">
        <v>294</v>
      </c>
      <c r="N20" s="56" t="s">
        <v>1333</v>
      </c>
      <c r="O20" s="56"/>
      <c r="P20" s="56" t="s">
        <v>1407</v>
      </c>
      <c r="Q20" s="56"/>
      <c r="R20" s="54"/>
      <c r="S20" s="25">
        <v>43535</v>
      </c>
      <c r="T20" s="56" t="s">
        <v>1408</v>
      </c>
      <c r="U20" s="56">
        <v>1</v>
      </c>
      <c r="V20" s="229" t="e">
        <v>#N/A</v>
      </c>
      <c r="W20" s="229" t="e">
        <v>#N/A</v>
      </c>
      <c r="X20" s="70">
        <v>1</v>
      </c>
      <c r="Y20" s="56"/>
      <c r="Z20" s="56" t="s">
        <v>1331</v>
      </c>
      <c r="AA20" s="55">
        <v>43475</v>
      </c>
      <c r="AB20" s="56" t="s">
        <v>1057</v>
      </c>
      <c r="AC20" s="56"/>
      <c r="AD20" s="56"/>
      <c r="AE20" s="56"/>
      <c r="AF20" s="56"/>
      <c r="AG20" s="56"/>
    </row>
    <row r="21" spans="1:33" ht="14.25" hidden="1" customHeight="1">
      <c r="A21" s="259"/>
      <c r="B21" s="259"/>
      <c r="C21" s="260"/>
      <c r="D21" s="260"/>
      <c r="E21" s="56" t="s">
        <v>53</v>
      </c>
      <c r="F21" s="56" t="s">
        <v>1191</v>
      </c>
      <c r="G21" s="56" t="s">
        <v>252</v>
      </c>
      <c r="H21" s="56" t="s">
        <v>243</v>
      </c>
      <c r="I21" s="56"/>
      <c r="J21" s="56">
        <v>16</v>
      </c>
      <c r="K21" s="56" t="s">
        <v>680</v>
      </c>
      <c r="L21" s="56"/>
      <c r="M21" s="34"/>
      <c r="N21" s="56"/>
      <c r="O21" s="56"/>
      <c r="P21" s="56"/>
      <c r="Q21" s="56"/>
      <c r="R21" s="54"/>
      <c r="S21" s="25" t="e">
        <v>#N/A</v>
      </c>
      <c r="T21" s="56" t="s">
        <v>1190</v>
      </c>
      <c r="U21" s="56"/>
      <c r="V21" s="229" t="e">
        <v>#N/A</v>
      </c>
      <c r="W21" s="229" t="e">
        <v>#N/A</v>
      </c>
      <c r="X21" s="70"/>
      <c r="Y21" s="56" t="s">
        <v>1060</v>
      </c>
      <c r="Z21" s="56"/>
      <c r="AA21" s="55"/>
      <c r="AB21" s="56"/>
      <c r="AC21" s="70"/>
      <c r="AD21" s="70"/>
      <c r="AE21" s="70"/>
      <c r="AF21" s="70"/>
      <c r="AG21" s="70"/>
    </row>
    <row r="22" spans="1:33" ht="14.25" hidden="1" customHeight="1">
      <c r="A22" s="259"/>
      <c r="B22" s="259"/>
      <c r="C22" s="260"/>
      <c r="D22" s="260"/>
      <c r="E22" s="56" t="s">
        <v>53</v>
      </c>
      <c r="F22" s="56" t="s">
        <v>1192</v>
      </c>
      <c r="G22" s="56" t="s">
        <v>242</v>
      </c>
      <c r="H22" s="56" t="s">
        <v>243</v>
      </c>
      <c r="I22" s="56"/>
      <c r="J22" s="56">
        <v>17</v>
      </c>
      <c r="K22" s="56" t="s">
        <v>680</v>
      </c>
      <c r="L22" s="56"/>
      <c r="M22" s="34"/>
      <c r="N22" s="56"/>
      <c r="O22" s="56"/>
      <c r="P22" s="56"/>
      <c r="Q22" s="56"/>
      <c r="R22" s="54"/>
      <c r="S22" s="25" t="e">
        <v>#N/A</v>
      </c>
      <c r="T22" s="56" t="s">
        <v>1190</v>
      </c>
      <c r="U22" s="56"/>
      <c r="V22" s="229" t="e">
        <v>#N/A</v>
      </c>
      <c r="W22" s="229" t="e">
        <v>#N/A</v>
      </c>
      <c r="X22" s="70"/>
      <c r="Y22" s="56" t="s">
        <v>1060</v>
      </c>
      <c r="Z22" s="56"/>
      <c r="AA22" s="55"/>
      <c r="AB22" s="56"/>
      <c r="AC22" s="70"/>
      <c r="AD22" s="70"/>
      <c r="AE22" s="70"/>
      <c r="AF22" s="70"/>
      <c r="AG22" s="70"/>
    </row>
    <row r="23" spans="1:33" ht="14.25" hidden="1" customHeight="1">
      <c r="A23" s="259"/>
      <c r="B23" s="259"/>
      <c r="C23" s="260"/>
      <c r="D23" s="260"/>
      <c r="E23" s="56" t="s">
        <v>53</v>
      </c>
      <c r="F23" s="56" t="s">
        <v>1409</v>
      </c>
      <c r="G23" s="56" t="s">
        <v>535</v>
      </c>
      <c r="H23" s="56" t="s">
        <v>243</v>
      </c>
      <c r="I23" s="56"/>
      <c r="J23" s="56">
        <v>69</v>
      </c>
      <c r="K23" s="56" t="s">
        <v>680</v>
      </c>
      <c r="L23" s="56"/>
      <c r="M23" s="34"/>
      <c r="N23" s="56"/>
      <c r="O23" s="56"/>
      <c r="P23" s="56"/>
      <c r="Q23" s="56"/>
      <c r="R23" s="54"/>
      <c r="S23" s="25" t="e">
        <v>#N/A</v>
      </c>
      <c r="T23" s="56" t="s">
        <v>1190</v>
      </c>
      <c r="U23" s="56"/>
      <c r="V23" s="229" t="e">
        <v>#N/A</v>
      </c>
      <c r="W23" s="229" t="e">
        <v>#N/A</v>
      </c>
      <c r="X23" s="70"/>
      <c r="Y23" s="56" t="s">
        <v>1060</v>
      </c>
      <c r="Z23" s="56"/>
      <c r="AA23" s="55"/>
      <c r="AB23" s="56"/>
      <c r="AC23" s="70"/>
      <c r="AD23" s="70"/>
      <c r="AE23" s="70"/>
      <c r="AF23" s="70"/>
      <c r="AG23" s="70"/>
    </row>
    <row r="24" spans="1:33" ht="14.25" hidden="1" customHeight="1">
      <c r="A24" s="259"/>
      <c r="B24" s="259"/>
      <c r="C24" s="260"/>
      <c r="D24" s="260"/>
      <c r="E24" s="56" t="s">
        <v>53</v>
      </c>
      <c r="F24" s="56" t="s">
        <v>1193</v>
      </c>
      <c r="G24" s="56" t="s">
        <v>247</v>
      </c>
      <c r="H24" s="56" t="s">
        <v>243</v>
      </c>
      <c r="I24" s="56"/>
      <c r="J24" s="56">
        <v>18</v>
      </c>
      <c r="K24" s="56" t="s">
        <v>680</v>
      </c>
      <c r="L24" s="56"/>
      <c r="M24" s="34"/>
      <c r="N24" s="56"/>
      <c r="O24" s="56"/>
      <c r="P24" s="56"/>
      <c r="Q24" s="56"/>
      <c r="R24" s="54"/>
      <c r="S24" s="25" t="e">
        <v>#N/A</v>
      </c>
      <c r="T24" s="56" t="s">
        <v>1190</v>
      </c>
      <c r="U24" s="56"/>
      <c r="V24" s="229" t="e">
        <v>#N/A</v>
      </c>
      <c r="W24" s="229" t="e">
        <v>#N/A</v>
      </c>
      <c r="X24" s="70"/>
      <c r="Y24" s="56" t="s">
        <v>1060</v>
      </c>
      <c r="Z24" s="56"/>
      <c r="AA24" s="55"/>
      <c r="AB24" s="56"/>
      <c r="AC24" s="70"/>
      <c r="AD24" s="70"/>
      <c r="AE24" s="70"/>
      <c r="AF24" s="70"/>
      <c r="AG24" s="70"/>
    </row>
    <row r="25" spans="1:33" ht="14.25" hidden="1" customHeight="1">
      <c r="A25" s="259"/>
      <c r="B25" s="259"/>
      <c r="C25" s="260"/>
      <c r="D25" s="260"/>
      <c r="E25" s="56" t="s">
        <v>53</v>
      </c>
      <c r="F25" s="56" t="s">
        <v>1194</v>
      </c>
      <c r="G25" s="56" t="s">
        <v>252</v>
      </c>
      <c r="H25" s="56" t="s">
        <v>243</v>
      </c>
      <c r="I25" s="56"/>
      <c r="J25" s="56">
        <v>19</v>
      </c>
      <c r="K25" s="56" t="s">
        <v>680</v>
      </c>
      <c r="L25" s="56"/>
      <c r="M25" s="34"/>
      <c r="N25" s="56"/>
      <c r="O25" s="56"/>
      <c r="P25" s="56"/>
      <c r="Q25" s="56"/>
      <c r="R25" s="54"/>
      <c r="S25" s="25" t="e">
        <v>#N/A</v>
      </c>
      <c r="T25" s="56" t="s">
        <v>1190</v>
      </c>
      <c r="U25" s="56"/>
      <c r="V25" s="229" t="e">
        <v>#N/A</v>
      </c>
      <c r="W25" s="229" t="e">
        <v>#N/A</v>
      </c>
      <c r="X25" s="70"/>
      <c r="Y25" s="56" t="s">
        <v>1060</v>
      </c>
      <c r="Z25" s="56"/>
      <c r="AA25" s="55"/>
      <c r="AB25" s="56"/>
      <c r="AC25" s="70"/>
      <c r="AD25" s="70"/>
      <c r="AE25" s="70"/>
      <c r="AF25" s="70"/>
      <c r="AG25" s="70"/>
    </row>
    <row r="26" spans="1:33" ht="14.25" hidden="1" customHeight="1">
      <c r="A26" s="259"/>
      <c r="B26" s="259"/>
      <c r="C26" s="260"/>
      <c r="D26" s="260"/>
      <c r="E26" s="56" t="s">
        <v>53</v>
      </c>
      <c r="F26" s="56" t="s">
        <v>1195</v>
      </c>
      <c r="G26" s="56" t="s">
        <v>247</v>
      </c>
      <c r="H26" s="56" t="s">
        <v>243</v>
      </c>
      <c r="I26" s="56"/>
      <c r="J26" s="56">
        <v>20</v>
      </c>
      <c r="K26" s="56" t="s">
        <v>680</v>
      </c>
      <c r="L26" s="56"/>
      <c r="M26" s="34"/>
      <c r="N26" s="56"/>
      <c r="O26" s="56"/>
      <c r="P26" s="56"/>
      <c r="Q26" s="56"/>
      <c r="R26" s="54"/>
      <c r="S26" s="25" t="e">
        <v>#N/A</v>
      </c>
      <c r="T26" s="56" t="s">
        <v>1190</v>
      </c>
      <c r="U26" s="56"/>
      <c r="V26" s="229" t="e">
        <v>#N/A</v>
      </c>
      <c r="W26" s="229" t="e">
        <v>#N/A</v>
      </c>
      <c r="X26" s="70"/>
      <c r="Y26" s="56" t="s">
        <v>1060</v>
      </c>
      <c r="Z26" s="56"/>
      <c r="AA26" s="55"/>
      <c r="AB26" s="56"/>
      <c r="AC26" s="70"/>
      <c r="AD26" s="70"/>
      <c r="AE26" s="70"/>
      <c r="AF26" s="70"/>
      <c r="AG26" s="70"/>
    </row>
    <row r="27" spans="1:33" ht="14.25" hidden="1" customHeight="1">
      <c r="A27" s="259"/>
      <c r="B27" s="259"/>
      <c r="C27" s="260"/>
      <c r="D27" s="260"/>
      <c r="E27" s="56" t="s">
        <v>53</v>
      </c>
      <c r="F27" s="56" t="s">
        <v>1196</v>
      </c>
      <c r="G27" s="56" t="s">
        <v>535</v>
      </c>
      <c r="H27" s="56" t="s">
        <v>243</v>
      </c>
      <c r="I27" s="56"/>
      <c r="J27" s="56">
        <v>21</v>
      </c>
      <c r="K27" s="56" t="s">
        <v>680</v>
      </c>
      <c r="L27" s="56"/>
      <c r="M27" s="34"/>
      <c r="N27" s="56"/>
      <c r="O27" s="56"/>
      <c r="P27" s="56"/>
      <c r="Q27" s="56"/>
      <c r="R27" s="54"/>
      <c r="S27" s="25" t="e">
        <v>#N/A</v>
      </c>
      <c r="T27" s="56" t="s">
        <v>1190</v>
      </c>
      <c r="U27" s="56"/>
      <c r="V27" s="229" t="e">
        <v>#N/A</v>
      </c>
      <c r="W27" s="229" t="e">
        <v>#N/A</v>
      </c>
      <c r="X27" s="70"/>
      <c r="Y27" s="56" t="s">
        <v>1060</v>
      </c>
      <c r="Z27" s="56"/>
      <c r="AA27" s="55"/>
      <c r="AB27" s="56"/>
      <c r="AC27" s="70"/>
      <c r="AD27" s="70"/>
      <c r="AE27" s="70"/>
      <c r="AF27" s="70"/>
      <c r="AG27" s="70"/>
    </row>
    <row r="28" spans="1:33" ht="14.25" customHeight="1">
      <c r="A28" s="259"/>
      <c r="B28" s="259"/>
      <c r="C28" s="260"/>
      <c r="D28" s="260"/>
      <c r="E28" s="56" t="s">
        <v>55</v>
      </c>
      <c r="F28" s="56" t="s">
        <v>376</v>
      </c>
      <c r="G28" s="56" t="s">
        <v>247</v>
      </c>
      <c r="H28" s="56" t="s">
        <v>243</v>
      </c>
      <c r="I28" s="56"/>
      <c r="J28" s="56">
        <v>22</v>
      </c>
      <c r="K28" s="56" t="s">
        <v>682</v>
      </c>
      <c r="L28" s="56" t="s">
        <v>1905</v>
      </c>
      <c r="M28" s="56" t="s">
        <v>377</v>
      </c>
      <c r="N28" s="56" t="s">
        <v>1390</v>
      </c>
      <c r="O28" s="56" t="s">
        <v>1410</v>
      </c>
      <c r="P28" s="56" t="s">
        <v>1411</v>
      </c>
      <c r="Q28" s="56"/>
      <c r="R28" s="54"/>
      <c r="S28" s="25"/>
      <c r="T28" s="56" t="s">
        <v>1412</v>
      </c>
      <c r="U28" s="56">
        <v>1</v>
      </c>
      <c r="V28" s="229" t="e">
        <v>#N/A</v>
      </c>
      <c r="W28" s="229" t="e">
        <v>#N/A</v>
      </c>
      <c r="X28" s="70">
        <v>44</v>
      </c>
      <c r="Y28" s="56"/>
      <c r="Z28" s="56" t="s">
        <v>1331</v>
      </c>
      <c r="AA28" s="55">
        <v>43475</v>
      </c>
      <c r="AB28" s="56" t="s">
        <v>1057</v>
      </c>
      <c r="AC28" s="56"/>
      <c r="AD28" s="56"/>
      <c r="AE28" s="56"/>
      <c r="AF28" s="56"/>
      <c r="AG28" s="56"/>
    </row>
    <row r="29" spans="1:33" ht="14.25" customHeight="1">
      <c r="A29" s="259"/>
      <c r="B29" s="259"/>
      <c r="C29" s="260"/>
      <c r="D29" s="260"/>
      <c r="E29" s="56" t="s">
        <v>59</v>
      </c>
      <c r="F29" s="56" t="s">
        <v>413</v>
      </c>
      <c r="G29" s="56" t="s">
        <v>329</v>
      </c>
      <c r="H29" s="56" t="s">
        <v>243</v>
      </c>
      <c r="I29" s="56"/>
      <c r="J29" s="56">
        <v>23</v>
      </c>
      <c r="K29" s="56" t="s">
        <v>682</v>
      </c>
      <c r="L29" s="56" t="s">
        <v>1905</v>
      </c>
      <c r="M29" s="56" t="s">
        <v>414</v>
      </c>
      <c r="N29" s="56" t="s">
        <v>1370</v>
      </c>
      <c r="O29" s="56" t="s">
        <v>1413</v>
      </c>
      <c r="P29" s="56" t="s">
        <v>1414</v>
      </c>
      <c r="Q29" s="56"/>
      <c r="R29" s="54"/>
      <c r="S29" s="25">
        <v>0</v>
      </c>
      <c r="T29" s="56" t="s">
        <v>1415</v>
      </c>
      <c r="U29" s="56"/>
      <c r="V29" s="229" t="e">
        <v>#N/A</v>
      </c>
      <c r="W29" s="229" t="e">
        <v>#N/A</v>
      </c>
      <c r="X29" s="70">
        <v>63</v>
      </c>
      <c r="Y29" s="56"/>
      <c r="Z29" s="56" t="s">
        <v>1331</v>
      </c>
      <c r="AA29" s="55">
        <v>43475</v>
      </c>
      <c r="AB29" s="56" t="s">
        <v>1057</v>
      </c>
      <c r="AC29" s="56"/>
      <c r="AD29" s="56"/>
      <c r="AE29" s="56"/>
      <c r="AF29" s="56"/>
      <c r="AG29" s="56"/>
    </row>
    <row r="30" spans="1:33" ht="14.25" hidden="1" customHeight="1">
      <c r="A30" s="259"/>
      <c r="B30" s="259"/>
      <c r="C30" s="260"/>
      <c r="D30" s="260"/>
      <c r="E30" s="56" t="s">
        <v>55</v>
      </c>
      <c r="F30" s="56" t="s">
        <v>1416</v>
      </c>
      <c r="G30" s="56" t="s">
        <v>329</v>
      </c>
      <c r="H30" s="56" t="s">
        <v>243</v>
      </c>
      <c r="I30" s="56"/>
      <c r="J30" s="56"/>
      <c r="K30" s="56" t="s">
        <v>680</v>
      </c>
      <c r="L30" s="56"/>
      <c r="M30" s="34"/>
      <c r="N30" s="56"/>
      <c r="O30" s="56"/>
      <c r="P30" s="56"/>
      <c r="Q30" s="56"/>
      <c r="R30" s="54"/>
      <c r="S30" s="25" t="e">
        <v>#N/A</v>
      </c>
      <c r="T30" s="56" t="s">
        <v>1417</v>
      </c>
      <c r="U30" s="56"/>
      <c r="V30" s="229" t="e">
        <v>#N/A</v>
      </c>
      <c r="W30" s="229" t="e">
        <v>#N/A</v>
      </c>
      <c r="X30" s="70"/>
      <c r="Y30" s="56" t="s">
        <v>1060</v>
      </c>
      <c r="Z30" s="56"/>
      <c r="AA30" s="55"/>
      <c r="AB30" s="56"/>
      <c r="AC30" s="56"/>
      <c r="AD30" s="56"/>
      <c r="AE30" s="56"/>
      <c r="AF30" s="56"/>
      <c r="AG30" s="56"/>
    </row>
    <row r="31" spans="1:33" ht="14.25" customHeight="1">
      <c r="A31" s="244"/>
      <c r="B31" s="244"/>
      <c r="C31" s="244"/>
      <c r="D31" s="244"/>
      <c r="E31" s="56" t="s">
        <v>55</v>
      </c>
      <c r="F31" s="56" t="s">
        <v>1418</v>
      </c>
      <c r="G31" s="56" t="s">
        <v>329</v>
      </c>
      <c r="H31" s="56" t="s">
        <v>243</v>
      </c>
      <c r="I31" s="56"/>
      <c r="J31" s="56"/>
      <c r="K31" s="56" t="s">
        <v>682</v>
      </c>
      <c r="L31" s="56" t="s">
        <v>1905</v>
      </c>
      <c r="M31" s="56" t="s">
        <v>459</v>
      </c>
      <c r="N31" s="61" t="s">
        <v>1395</v>
      </c>
      <c r="O31" s="21" t="s">
        <v>1419</v>
      </c>
      <c r="P31" s="70" t="s">
        <v>1420</v>
      </c>
      <c r="Q31" s="56" t="s">
        <v>1336</v>
      </c>
      <c r="R31" s="54"/>
      <c r="S31" s="70"/>
      <c r="T31" s="56"/>
      <c r="U31" s="56"/>
      <c r="V31" s="244" t="e">
        <v>#N/A</v>
      </c>
      <c r="W31" s="244" t="e">
        <v>#N/A</v>
      </c>
      <c r="X31" s="56">
        <v>83</v>
      </c>
      <c r="Y31" s="56"/>
      <c r="Z31" s="56" t="s">
        <v>1162</v>
      </c>
      <c r="AA31" s="55">
        <v>43641</v>
      </c>
      <c r="AB31" s="56" t="s">
        <v>1337</v>
      </c>
      <c r="AC31" s="56"/>
      <c r="AD31" s="56"/>
      <c r="AE31" s="56"/>
      <c r="AF31" s="56"/>
      <c r="AG31" s="56"/>
    </row>
    <row r="32" spans="1:33" ht="14.25" customHeight="1">
      <c r="A32" s="244"/>
      <c r="B32" s="244"/>
      <c r="C32" s="244"/>
      <c r="D32" s="244"/>
      <c r="E32" s="56" t="s">
        <v>55</v>
      </c>
      <c r="F32" s="56" t="s">
        <v>1421</v>
      </c>
      <c r="G32" s="56" t="s">
        <v>329</v>
      </c>
      <c r="H32" s="56" t="s">
        <v>243</v>
      </c>
      <c r="I32" s="56"/>
      <c r="J32" s="56"/>
      <c r="K32" s="56" t="s">
        <v>682</v>
      </c>
      <c r="L32" s="56" t="s">
        <v>1905</v>
      </c>
      <c r="M32" s="56" t="s">
        <v>451</v>
      </c>
      <c r="N32" s="61" t="s">
        <v>1395</v>
      </c>
      <c r="O32" s="21" t="s">
        <v>1422</v>
      </c>
      <c r="P32" s="70" t="s">
        <v>1423</v>
      </c>
      <c r="Q32" s="56" t="s">
        <v>1336</v>
      </c>
      <c r="R32" s="54"/>
      <c r="S32" s="70"/>
      <c r="T32" s="56"/>
      <c r="U32" s="56"/>
      <c r="V32" s="244" t="e">
        <v>#N/A</v>
      </c>
      <c r="W32" s="244" t="e">
        <v>#N/A</v>
      </c>
      <c r="X32" s="56">
        <v>79</v>
      </c>
      <c r="Y32" s="56"/>
      <c r="Z32" s="56" t="s">
        <v>1162</v>
      </c>
      <c r="AA32" s="55">
        <v>43641</v>
      </c>
      <c r="AB32" s="56" t="s">
        <v>1337</v>
      </c>
      <c r="AC32" s="56"/>
      <c r="AD32" s="56"/>
      <c r="AE32" s="56"/>
      <c r="AF32" s="56"/>
      <c r="AG32" s="56"/>
    </row>
    <row r="33" spans="1:33" ht="14.25" customHeight="1">
      <c r="A33" s="244"/>
      <c r="B33" s="244"/>
      <c r="C33" s="244"/>
      <c r="D33" s="244"/>
      <c r="E33" s="56" t="s">
        <v>55</v>
      </c>
      <c r="F33" s="56" t="s">
        <v>1424</v>
      </c>
      <c r="G33" s="56" t="s">
        <v>329</v>
      </c>
      <c r="H33" s="56" t="s">
        <v>243</v>
      </c>
      <c r="I33" s="56"/>
      <c r="J33" s="56"/>
      <c r="K33" s="56" t="s">
        <v>682</v>
      </c>
      <c r="L33" s="56" t="s">
        <v>1905</v>
      </c>
      <c r="M33" s="56" t="s">
        <v>461</v>
      </c>
      <c r="N33" s="61" t="s">
        <v>1395</v>
      </c>
      <c r="O33" s="21" t="s">
        <v>1425</v>
      </c>
      <c r="P33" s="70" t="s">
        <v>1426</v>
      </c>
      <c r="Q33" s="56" t="s">
        <v>1336</v>
      </c>
      <c r="R33" s="54"/>
      <c r="S33" s="70"/>
      <c r="T33" s="56"/>
      <c r="U33" s="56"/>
      <c r="V33" s="244" t="e">
        <v>#N/A</v>
      </c>
      <c r="W33" s="244" t="e">
        <v>#N/A</v>
      </c>
      <c r="X33" s="56">
        <v>84</v>
      </c>
      <c r="Y33" s="56"/>
      <c r="Z33" s="56" t="s">
        <v>1162</v>
      </c>
      <c r="AA33" s="55">
        <v>43641</v>
      </c>
      <c r="AB33" s="56" t="s">
        <v>1337</v>
      </c>
      <c r="AC33" s="70"/>
      <c r="AD33" s="70"/>
      <c r="AE33" s="70"/>
      <c r="AF33" s="70"/>
      <c r="AG33" s="70"/>
    </row>
    <row r="34" spans="1:33" ht="14.25" customHeight="1">
      <c r="A34" s="244"/>
      <c r="B34" s="244"/>
      <c r="C34" s="244"/>
      <c r="D34" s="244"/>
      <c r="E34" s="56" t="s">
        <v>55</v>
      </c>
      <c r="F34" s="56" t="s">
        <v>1427</v>
      </c>
      <c r="G34" s="56" t="s">
        <v>329</v>
      </c>
      <c r="H34" s="56" t="s">
        <v>243</v>
      </c>
      <c r="I34" s="56"/>
      <c r="J34" s="56"/>
      <c r="K34" s="56" t="s">
        <v>682</v>
      </c>
      <c r="L34" s="56" t="s">
        <v>1905</v>
      </c>
      <c r="M34" s="56" t="s">
        <v>453</v>
      </c>
      <c r="N34" s="266" t="s">
        <v>1395</v>
      </c>
      <c r="O34" s="267" t="s">
        <v>1428</v>
      </c>
      <c r="P34" s="268" t="s">
        <v>1429</v>
      </c>
      <c r="Q34" s="244" t="s">
        <v>1336</v>
      </c>
      <c r="R34" s="269"/>
      <c r="S34" s="268"/>
      <c r="T34" s="244"/>
      <c r="U34" s="244"/>
      <c r="V34" s="244" t="e">
        <v>#N/A</v>
      </c>
      <c r="W34" s="244" t="e">
        <v>#N/A</v>
      </c>
      <c r="X34" s="244">
        <v>80</v>
      </c>
      <c r="Y34" s="244"/>
      <c r="Z34" s="244" t="s">
        <v>1162</v>
      </c>
      <c r="AA34" s="270">
        <v>43641</v>
      </c>
      <c r="AB34" s="244" t="s">
        <v>1337</v>
      </c>
      <c r="AC34" s="244"/>
      <c r="AD34" s="244"/>
      <c r="AE34" s="244"/>
      <c r="AF34" s="244"/>
      <c r="AG34" s="244"/>
    </row>
    <row r="35" spans="1:33" ht="14.25" customHeight="1">
      <c r="A35" s="244"/>
      <c r="B35" s="244"/>
      <c r="C35" s="244"/>
      <c r="D35" s="244"/>
      <c r="E35" s="56" t="s">
        <v>55</v>
      </c>
      <c r="F35" s="56" t="s">
        <v>1430</v>
      </c>
      <c r="G35" s="56" t="s">
        <v>255</v>
      </c>
      <c r="H35" s="56" t="s">
        <v>243</v>
      </c>
      <c r="I35" s="56"/>
      <c r="J35" s="56"/>
      <c r="K35" s="56" t="s">
        <v>682</v>
      </c>
      <c r="L35" s="56" t="s">
        <v>1905</v>
      </c>
      <c r="M35" s="56" t="s">
        <v>457</v>
      </c>
      <c r="N35" s="61" t="s">
        <v>1333</v>
      </c>
      <c r="O35" s="21" t="s">
        <v>1334</v>
      </c>
      <c r="P35" s="70" t="s">
        <v>1335</v>
      </c>
      <c r="Q35" s="56" t="s">
        <v>1336</v>
      </c>
      <c r="R35" s="54"/>
      <c r="S35" s="70"/>
      <c r="T35" s="56"/>
      <c r="U35" s="56"/>
      <c r="V35" s="244" t="e">
        <v>#N/A</v>
      </c>
      <c r="W35" s="244" t="e">
        <v>#N/A</v>
      </c>
      <c r="X35" s="56">
        <v>82</v>
      </c>
      <c r="Y35" s="56"/>
      <c r="Z35" s="56" t="s">
        <v>1162</v>
      </c>
      <c r="AA35" s="55">
        <v>43641</v>
      </c>
      <c r="AB35" s="56" t="s">
        <v>1337</v>
      </c>
      <c r="AC35" s="56"/>
      <c r="AD35" s="56"/>
      <c r="AE35" s="56"/>
      <c r="AF35" s="56"/>
      <c r="AG35" s="56"/>
    </row>
    <row r="36" spans="1:33" ht="14.25" customHeight="1">
      <c r="A36" s="244"/>
      <c r="B36" s="244"/>
      <c r="C36" s="244"/>
      <c r="D36" s="244"/>
      <c r="E36" s="56" t="s">
        <v>55</v>
      </c>
      <c r="F36" s="56" t="s">
        <v>1431</v>
      </c>
      <c r="G36" s="56" t="s">
        <v>329</v>
      </c>
      <c r="H36" s="56" t="s">
        <v>243</v>
      </c>
      <c r="I36" s="56"/>
      <c r="J36" s="56"/>
      <c r="K36" s="56" t="s">
        <v>682</v>
      </c>
      <c r="L36" s="56" t="s">
        <v>1905</v>
      </c>
      <c r="M36" s="56" t="s">
        <v>455</v>
      </c>
      <c r="N36" s="61" t="s">
        <v>1395</v>
      </c>
      <c r="O36" s="21" t="s">
        <v>1432</v>
      </c>
      <c r="P36" s="70" t="s">
        <v>1433</v>
      </c>
      <c r="Q36" s="56" t="s">
        <v>1336</v>
      </c>
      <c r="R36" s="54"/>
      <c r="S36" s="70"/>
      <c r="T36" s="56"/>
      <c r="U36" s="56"/>
      <c r="V36" s="244" t="e">
        <v>#N/A</v>
      </c>
      <c r="W36" s="244" t="e">
        <v>#N/A</v>
      </c>
      <c r="X36" s="56">
        <v>81</v>
      </c>
      <c r="Y36" s="56"/>
      <c r="Z36" s="56" t="s">
        <v>1162</v>
      </c>
      <c r="AA36" s="55">
        <v>43641</v>
      </c>
      <c r="AB36" s="56" t="s">
        <v>1337</v>
      </c>
      <c r="AC36" s="56"/>
      <c r="AD36" s="56"/>
      <c r="AE36" s="56"/>
      <c r="AF36" s="56"/>
      <c r="AG36" s="56"/>
    </row>
    <row r="37" spans="1:33" ht="14.25" customHeight="1">
      <c r="A37" s="244"/>
      <c r="B37" s="244"/>
      <c r="C37" s="244"/>
      <c r="D37" s="244"/>
      <c r="E37" s="56" t="s">
        <v>55</v>
      </c>
      <c r="F37" s="56" t="s">
        <v>1434</v>
      </c>
      <c r="G37" s="56" t="s">
        <v>329</v>
      </c>
      <c r="H37" s="56" t="s">
        <v>243</v>
      </c>
      <c r="I37" s="56"/>
      <c r="J37" s="56"/>
      <c r="K37" s="56" t="s">
        <v>682</v>
      </c>
      <c r="L37" s="56" t="s">
        <v>1905</v>
      </c>
      <c r="M37" s="56" t="s">
        <v>447</v>
      </c>
      <c r="N37" s="61" t="s">
        <v>1395</v>
      </c>
      <c r="O37" s="21" t="s">
        <v>1435</v>
      </c>
      <c r="P37" s="56" t="s">
        <v>1436</v>
      </c>
      <c r="Q37" s="56" t="s">
        <v>1336</v>
      </c>
      <c r="R37" s="54"/>
      <c r="S37" s="70"/>
      <c r="T37" s="56"/>
      <c r="U37" s="56"/>
      <c r="V37" s="244"/>
      <c r="W37" s="244"/>
      <c r="X37" s="56">
        <v>77</v>
      </c>
      <c r="Y37" s="56"/>
      <c r="Z37" s="56" t="s">
        <v>1162</v>
      </c>
      <c r="AA37" s="55">
        <v>43641</v>
      </c>
      <c r="AB37" s="56" t="s">
        <v>1337</v>
      </c>
      <c r="AC37" s="70"/>
      <c r="AD37" s="70"/>
      <c r="AE37" s="70"/>
      <c r="AF37" s="70"/>
      <c r="AG37" s="70"/>
    </row>
    <row r="38" spans="1:33" ht="14.25" customHeight="1">
      <c r="A38" s="56"/>
      <c r="B38" s="56"/>
      <c r="C38" s="56"/>
      <c r="D38" s="56"/>
      <c r="E38" s="56" t="s">
        <v>55</v>
      </c>
      <c r="F38" s="56" t="s">
        <v>1437</v>
      </c>
      <c r="G38" s="56" t="s">
        <v>255</v>
      </c>
      <c r="H38" s="56" t="s">
        <v>243</v>
      </c>
      <c r="I38" s="56"/>
      <c r="J38" s="56"/>
      <c r="K38" s="56" t="s">
        <v>682</v>
      </c>
      <c r="L38" s="56" t="s">
        <v>1905</v>
      </c>
      <c r="M38" s="56" t="s">
        <v>449</v>
      </c>
      <c r="N38" s="61" t="s">
        <v>1333</v>
      </c>
      <c r="O38" s="21" t="s">
        <v>1366</v>
      </c>
      <c r="P38" s="56" t="s">
        <v>1367</v>
      </c>
      <c r="Q38" s="56" t="s">
        <v>1336</v>
      </c>
      <c r="R38" s="54"/>
      <c r="S38" s="70"/>
      <c r="T38" s="56"/>
      <c r="U38" s="56"/>
      <c r="V38" s="56"/>
      <c r="W38" s="56"/>
      <c r="X38" s="56">
        <v>78</v>
      </c>
      <c r="Y38" s="56"/>
      <c r="Z38" s="56" t="s">
        <v>1162</v>
      </c>
      <c r="AA38" s="55">
        <v>43641</v>
      </c>
      <c r="AB38" s="56" t="s">
        <v>1337</v>
      </c>
      <c r="AC38" s="56"/>
      <c r="AD38" s="56"/>
      <c r="AE38" s="56"/>
      <c r="AF38" s="56"/>
      <c r="AG38" s="56"/>
    </row>
    <row r="39" spans="1:33" ht="14.25" customHeight="1">
      <c r="A39" s="244"/>
      <c r="B39" s="244"/>
      <c r="C39" s="244"/>
      <c r="D39" s="244"/>
      <c r="E39" s="56" t="s">
        <v>55</v>
      </c>
      <c r="F39" s="57" t="s">
        <v>1441</v>
      </c>
      <c r="G39" s="56" t="s">
        <v>329</v>
      </c>
      <c r="H39" s="56" t="s">
        <v>243</v>
      </c>
      <c r="I39" s="56"/>
      <c r="J39" s="56"/>
      <c r="K39" s="56" t="s">
        <v>682</v>
      </c>
      <c r="L39" s="56" t="s">
        <v>1905</v>
      </c>
      <c r="M39" s="34" t="s">
        <v>463</v>
      </c>
      <c r="N39" s="61" t="s">
        <v>1395</v>
      </c>
      <c r="O39" s="21" t="s">
        <v>1442</v>
      </c>
      <c r="P39" s="70" t="s">
        <v>1443</v>
      </c>
      <c r="Q39" s="56" t="s">
        <v>1336</v>
      </c>
      <c r="R39" s="54"/>
      <c r="S39" s="70"/>
      <c r="T39" s="56"/>
      <c r="U39" s="56"/>
      <c r="V39" s="244" t="e">
        <v>#N/A</v>
      </c>
      <c r="W39" s="244" t="e">
        <v>#N/A</v>
      </c>
      <c r="X39" s="56">
        <v>85</v>
      </c>
      <c r="Y39" s="56"/>
      <c r="Z39" s="56" t="s">
        <v>1162</v>
      </c>
      <c r="AA39" s="55">
        <v>43641</v>
      </c>
      <c r="AB39" s="56" t="s">
        <v>1337</v>
      </c>
      <c r="AC39" s="56"/>
      <c r="AD39" s="56"/>
      <c r="AE39" s="56"/>
      <c r="AF39" s="56"/>
      <c r="AG39" s="56"/>
    </row>
    <row r="40" spans="1:33" ht="14.25" customHeight="1">
      <c r="A40" s="244"/>
      <c r="B40" s="244"/>
      <c r="C40" s="244"/>
      <c r="D40" s="244"/>
      <c r="E40" s="56" t="s">
        <v>55</v>
      </c>
      <c r="F40" s="57" t="s">
        <v>1444</v>
      </c>
      <c r="G40" s="56" t="s">
        <v>329</v>
      </c>
      <c r="H40" s="56" t="s">
        <v>243</v>
      </c>
      <c r="I40" s="56"/>
      <c r="J40" s="56"/>
      <c r="K40" s="56" t="s">
        <v>682</v>
      </c>
      <c r="L40" s="56" t="s">
        <v>1905</v>
      </c>
      <c r="M40" s="34" t="s">
        <v>473</v>
      </c>
      <c r="N40" s="61" t="s">
        <v>1395</v>
      </c>
      <c r="O40" s="21" t="s">
        <v>1445</v>
      </c>
      <c r="P40" s="70" t="s">
        <v>1446</v>
      </c>
      <c r="Q40" s="56" t="s">
        <v>1336</v>
      </c>
      <c r="R40" s="54"/>
      <c r="S40" s="70"/>
      <c r="T40" s="56"/>
      <c r="U40" s="56"/>
      <c r="V40" s="244" t="e">
        <v>#N/A</v>
      </c>
      <c r="W40" s="244" t="e">
        <v>#N/A</v>
      </c>
      <c r="X40" s="56">
        <v>90</v>
      </c>
      <c r="Y40" s="56"/>
      <c r="Z40" s="56" t="s">
        <v>1162</v>
      </c>
      <c r="AA40" s="55">
        <v>43641</v>
      </c>
      <c r="AB40" s="56" t="s">
        <v>1337</v>
      </c>
      <c r="AC40" s="56"/>
      <c r="AD40" s="56"/>
      <c r="AE40" s="56"/>
      <c r="AF40" s="56"/>
      <c r="AG40" s="56"/>
    </row>
    <row r="41" spans="1:33" ht="14.25" customHeight="1">
      <c r="A41" s="259"/>
      <c r="B41" s="259"/>
      <c r="C41" s="260"/>
      <c r="D41" s="260"/>
      <c r="E41" s="56" t="s">
        <v>61</v>
      </c>
      <c r="F41" s="56" t="s">
        <v>400</v>
      </c>
      <c r="G41" s="56" t="s">
        <v>329</v>
      </c>
      <c r="H41" s="56" t="s">
        <v>243</v>
      </c>
      <c r="I41" s="56"/>
      <c r="J41" s="56">
        <v>24</v>
      </c>
      <c r="K41" s="56" t="s">
        <v>682</v>
      </c>
      <c r="L41" s="56" t="s">
        <v>1905</v>
      </c>
      <c r="M41" s="34" t="s">
        <v>401</v>
      </c>
      <c r="N41" s="56" t="s">
        <v>1447</v>
      </c>
      <c r="O41" s="56" t="s">
        <v>1448</v>
      </c>
      <c r="P41" s="56" t="s">
        <v>1449</v>
      </c>
      <c r="Q41" s="56"/>
      <c r="R41" s="54"/>
      <c r="S41" s="25">
        <v>-7665.62</v>
      </c>
      <c r="T41" s="56" t="s">
        <v>1450</v>
      </c>
      <c r="U41" s="56"/>
      <c r="V41" s="229" t="e">
        <v>#N/A</v>
      </c>
      <c r="W41" s="229" t="e">
        <v>#N/A</v>
      </c>
      <c r="X41" s="70">
        <v>57</v>
      </c>
      <c r="Y41" s="56"/>
      <c r="Z41" s="56" t="s">
        <v>1331</v>
      </c>
      <c r="AA41" s="55">
        <v>43475</v>
      </c>
      <c r="AB41" s="56" t="s">
        <v>1057</v>
      </c>
      <c r="AC41" s="70"/>
      <c r="AD41" s="70"/>
      <c r="AE41" s="70"/>
      <c r="AF41" s="70"/>
      <c r="AG41" s="70"/>
    </row>
    <row r="42" spans="1:33" ht="14.25" hidden="1" customHeight="1">
      <c r="A42" s="259"/>
      <c r="B42" s="259"/>
      <c r="C42" s="260"/>
      <c r="D42" s="260"/>
      <c r="E42" s="56" t="s">
        <v>55</v>
      </c>
      <c r="F42" s="56" t="s">
        <v>1451</v>
      </c>
      <c r="G42" s="56" t="s">
        <v>329</v>
      </c>
      <c r="H42" s="56" t="s">
        <v>243</v>
      </c>
      <c r="I42" s="56"/>
      <c r="J42" s="22"/>
      <c r="K42" s="56" t="s">
        <v>680</v>
      </c>
      <c r="L42" s="56"/>
      <c r="M42" s="34"/>
      <c r="N42" s="56"/>
      <c r="O42" s="56"/>
      <c r="P42" s="56"/>
      <c r="Q42" s="56"/>
      <c r="R42" s="54"/>
      <c r="S42" s="25" t="e">
        <v>#N/A</v>
      </c>
      <c r="T42" s="21" t="s">
        <v>1452</v>
      </c>
      <c r="U42" s="56"/>
      <c r="V42" s="229" t="e">
        <v>#N/A</v>
      </c>
      <c r="W42" s="229" t="e">
        <v>#N/A</v>
      </c>
      <c r="X42" s="70"/>
      <c r="Y42" s="56" t="s">
        <v>1060</v>
      </c>
      <c r="Z42" s="56"/>
      <c r="AA42" s="55"/>
      <c r="AB42" s="56"/>
      <c r="AC42" s="70"/>
      <c r="AD42" s="70"/>
      <c r="AE42" s="70"/>
      <c r="AF42" s="70"/>
      <c r="AG42" s="70"/>
    </row>
    <row r="43" spans="1:33" ht="14.25" customHeight="1">
      <c r="A43" s="259"/>
      <c r="B43" s="259"/>
      <c r="C43" s="260"/>
      <c r="D43" s="260"/>
      <c r="E43" s="56" t="s">
        <v>61</v>
      </c>
      <c r="F43" s="56" t="s">
        <v>120</v>
      </c>
      <c r="G43" s="56" t="s">
        <v>250</v>
      </c>
      <c r="H43" s="56" t="s">
        <v>243</v>
      </c>
      <c r="I43" s="56"/>
      <c r="J43" s="56">
        <v>25</v>
      </c>
      <c r="K43" s="56" t="s">
        <v>682</v>
      </c>
      <c r="L43" s="56" t="s">
        <v>1905</v>
      </c>
      <c r="M43" s="34" t="s">
        <v>295</v>
      </c>
      <c r="N43" s="56" t="s">
        <v>1456</v>
      </c>
      <c r="O43" s="56" t="s">
        <v>1457</v>
      </c>
      <c r="P43" s="56" t="s">
        <v>1458</v>
      </c>
      <c r="Q43" s="56" t="s">
        <v>1459</v>
      </c>
      <c r="R43" s="54"/>
      <c r="S43" s="25" t="s">
        <v>1201</v>
      </c>
      <c r="T43" s="56" t="s">
        <v>1460</v>
      </c>
      <c r="U43" s="56">
        <v>1</v>
      </c>
      <c r="V43" s="229" t="e">
        <v>#N/A</v>
      </c>
      <c r="W43" s="229" t="e">
        <v>#N/A</v>
      </c>
      <c r="X43" s="70">
        <v>2</v>
      </c>
      <c r="Y43" s="56"/>
      <c r="Z43" s="56" t="s">
        <v>1331</v>
      </c>
      <c r="AA43" s="55">
        <v>43475</v>
      </c>
      <c r="AB43" s="56" t="s">
        <v>1057</v>
      </c>
      <c r="AC43" s="56"/>
      <c r="AD43" s="56"/>
      <c r="AE43" s="56"/>
      <c r="AF43" s="56"/>
      <c r="AG43" s="56"/>
    </row>
    <row r="44" spans="1:33" ht="12.5">
      <c r="A44" s="259"/>
      <c r="B44" s="259"/>
      <c r="C44" s="260"/>
      <c r="D44" s="260"/>
      <c r="E44" s="56" t="s">
        <v>59</v>
      </c>
      <c r="F44" s="56" t="s">
        <v>296</v>
      </c>
      <c r="G44" s="56" t="s">
        <v>242</v>
      </c>
      <c r="H44" s="56" t="s">
        <v>243</v>
      </c>
      <c r="I44" s="56"/>
      <c r="J44" s="56">
        <v>73</v>
      </c>
      <c r="K44" s="56" t="s">
        <v>682</v>
      </c>
      <c r="L44" s="56" t="s">
        <v>1905</v>
      </c>
      <c r="M44" s="56" t="s">
        <v>297</v>
      </c>
      <c r="N44" s="56" t="s">
        <v>1390</v>
      </c>
      <c r="O44" s="56" t="s">
        <v>1461</v>
      </c>
      <c r="P44" s="56" t="s">
        <v>1462</v>
      </c>
      <c r="Q44" s="56"/>
      <c r="R44" s="54"/>
      <c r="S44" s="25" t="s">
        <v>1463</v>
      </c>
      <c r="T44" s="56" t="s">
        <v>1464</v>
      </c>
      <c r="U44" s="56"/>
      <c r="V44" s="229" t="e">
        <v>#N/A</v>
      </c>
      <c r="W44" s="229" t="e">
        <v>#N/A</v>
      </c>
      <c r="X44" s="70">
        <v>3</v>
      </c>
      <c r="Y44" s="56"/>
      <c r="Z44" s="56" t="s">
        <v>1331</v>
      </c>
      <c r="AA44" s="55">
        <v>43475</v>
      </c>
      <c r="AB44" s="56" t="s">
        <v>1057</v>
      </c>
      <c r="AC44" s="56"/>
      <c r="AD44" s="56"/>
      <c r="AE44" s="56"/>
      <c r="AF44" s="56"/>
      <c r="AG44" s="56"/>
    </row>
    <row r="45" spans="1:33" ht="12.5" hidden="1">
      <c r="A45" s="259"/>
      <c r="B45" s="259"/>
      <c r="C45" s="260"/>
      <c r="D45" s="260"/>
      <c r="E45" s="70" t="s">
        <v>55</v>
      </c>
      <c r="F45" s="70" t="s">
        <v>1465</v>
      </c>
      <c r="G45" s="70" t="s">
        <v>329</v>
      </c>
      <c r="H45" s="56" t="s">
        <v>243</v>
      </c>
      <c r="I45" s="70"/>
      <c r="J45" s="70"/>
      <c r="K45" s="56" t="s">
        <v>680</v>
      </c>
      <c r="L45" s="56"/>
      <c r="M45" s="34"/>
      <c r="N45" s="56"/>
      <c r="O45" s="56"/>
      <c r="P45" s="56"/>
      <c r="Q45" s="56"/>
      <c r="R45" s="271"/>
      <c r="S45" s="25" t="e">
        <v>#N/A</v>
      </c>
      <c r="T45" s="70" t="s">
        <v>1466</v>
      </c>
      <c r="U45" s="70"/>
      <c r="V45" s="229" t="e">
        <v>#N/A</v>
      </c>
      <c r="W45" s="229" t="e">
        <v>#N/A</v>
      </c>
      <c r="X45" s="70"/>
      <c r="Y45" s="56" t="s">
        <v>1060</v>
      </c>
      <c r="Z45" s="56"/>
      <c r="AA45" s="55"/>
      <c r="AB45" s="56"/>
      <c r="AC45" s="70"/>
      <c r="AD45" s="70"/>
      <c r="AE45" s="70"/>
      <c r="AF45" s="70"/>
      <c r="AG45" s="70"/>
    </row>
    <row r="46" spans="1:33" ht="12.5" hidden="1">
      <c r="A46" s="259"/>
      <c r="B46" s="259"/>
      <c r="C46" s="260"/>
      <c r="D46" s="260"/>
      <c r="E46" s="70" t="s">
        <v>55</v>
      </c>
      <c r="F46" s="70" t="s">
        <v>1467</v>
      </c>
      <c r="G46" s="70" t="s">
        <v>329</v>
      </c>
      <c r="H46" s="56" t="s">
        <v>243</v>
      </c>
      <c r="I46" s="70"/>
      <c r="J46" s="70"/>
      <c r="K46" s="56" t="s">
        <v>680</v>
      </c>
      <c r="L46" s="56"/>
      <c r="M46" s="34"/>
      <c r="N46" s="56"/>
      <c r="O46" s="56"/>
      <c r="P46" s="56"/>
      <c r="Q46" s="56"/>
      <c r="R46" s="271"/>
      <c r="S46" s="25" t="e">
        <v>#N/A</v>
      </c>
      <c r="T46" s="70" t="s">
        <v>1468</v>
      </c>
      <c r="U46" s="70"/>
      <c r="V46" s="229" t="e">
        <v>#N/A</v>
      </c>
      <c r="W46" s="229" t="e">
        <v>#N/A</v>
      </c>
      <c r="X46" s="70"/>
      <c r="Y46" s="56" t="s">
        <v>1060</v>
      </c>
      <c r="Z46" s="56"/>
      <c r="AA46" s="55"/>
      <c r="AB46" s="56"/>
      <c r="AC46" s="56"/>
      <c r="AD46" s="56"/>
      <c r="AE46" s="56"/>
      <c r="AF46" s="56"/>
      <c r="AG46" s="56"/>
    </row>
    <row r="47" spans="1:33" ht="12.5" hidden="1">
      <c r="A47" s="259"/>
      <c r="B47" s="259"/>
      <c r="C47" s="260"/>
      <c r="D47" s="260"/>
      <c r="E47" s="70" t="s">
        <v>55</v>
      </c>
      <c r="F47" s="70" t="s">
        <v>1469</v>
      </c>
      <c r="G47" s="70" t="s">
        <v>329</v>
      </c>
      <c r="H47" s="56" t="s">
        <v>243</v>
      </c>
      <c r="I47" s="70"/>
      <c r="J47" s="70"/>
      <c r="K47" s="56" t="s">
        <v>680</v>
      </c>
      <c r="L47" s="56"/>
      <c r="M47" s="34"/>
      <c r="N47" s="56"/>
      <c r="O47" s="56"/>
      <c r="P47" s="56"/>
      <c r="Q47" s="56"/>
      <c r="R47" s="271"/>
      <c r="S47" s="25" t="e">
        <v>#N/A</v>
      </c>
      <c r="T47" s="70" t="s">
        <v>1470</v>
      </c>
      <c r="U47" s="70"/>
      <c r="V47" s="229" t="e">
        <v>#N/A</v>
      </c>
      <c r="W47" s="229" t="e">
        <v>#N/A</v>
      </c>
      <c r="X47" s="70"/>
      <c r="Y47" s="56" t="s">
        <v>1060</v>
      </c>
      <c r="Z47" s="56"/>
      <c r="AA47" s="55"/>
      <c r="AB47" s="56"/>
      <c r="AC47" s="56"/>
      <c r="AD47" s="56"/>
      <c r="AE47" s="56"/>
      <c r="AF47" s="56"/>
      <c r="AG47" s="56"/>
    </row>
    <row r="48" spans="1:33" ht="12.5" hidden="1">
      <c r="A48" s="259"/>
      <c r="B48" s="259"/>
      <c r="C48" s="260"/>
      <c r="D48" s="260"/>
      <c r="E48" s="70" t="s">
        <v>55</v>
      </c>
      <c r="F48" s="70" t="s">
        <v>1471</v>
      </c>
      <c r="G48" s="70" t="s">
        <v>329</v>
      </c>
      <c r="H48" s="56" t="s">
        <v>243</v>
      </c>
      <c r="I48" s="70"/>
      <c r="J48" s="70"/>
      <c r="K48" s="56" t="s">
        <v>680</v>
      </c>
      <c r="L48" s="56"/>
      <c r="M48" s="34"/>
      <c r="N48" s="56"/>
      <c r="O48" s="56"/>
      <c r="P48" s="56"/>
      <c r="Q48" s="56"/>
      <c r="R48" s="271"/>
      <c r="S48" s="25" t="e">
        <v>#N/A</v>
      </c>
      <c r="T48" s="70" t="s">
        <v>1472</v>
      </c>
      <c r="U48" s="70"/>
      <c r="V48" s="229" t="e">
        <v>#N/A</v>
      </c>
      <c r="W48" s="229" t="e">
        <v>#N/A</v>
      </c>
      <c r="X48" s="70"/>
      <c r="Y48" s="56" t="s">
        <v>1060</v>
      </c>
      <c r="Z48" s="56"/>
      <c r="AA48" s="55"/>
      <c r="AB48" s="56"/>
      <c r="AC48" s="56"/>
      <c r="AD48" s="56"/>
      <c r="AE48" s="56"/>
      <c r="AF48" s="56"/>
      <c r="AG48" s="56"/>
    </row>
    <row r="49" spans="1:33" ht="12.5" hidden="1">
      <c r="A49" s="259"/>
      <c r="B49" s="259"/>
      <c r="C49" s="260"/>
      <c r="D49" s="260"/>
      <c r="E49" s="70" t="s">
        <v>55</v>
      </c>
      <c r="F49" s="70" t="s">
        <v>1473</v>
      </c>
      <c r="G49" s="70" t="s">
        <v>329</v>
      </c>
      <c r="H49" s="56" t="s">
        <v>243</v>
      </c>
      <c r="I49" s="70"/>
      <c r="J49" s="70"/>
      <c r="K49" s="56" t="s">
        <v>680</v>
      </c>
      <c r="L49" s="56"/>
      <c r="M49" s="34"/>
      <c r="N49" s="56"/>
      <c r="O49" s="56"/>
      <c r="P49" s="56"/>
      <c r="Q49" s="56"/>
      <c r="R49" s="271"/>
      <c r="S49" s="25" t="e">
        <v>#N/A</v>
      </c>
      <c r="T49" s="70" t="s">
        <v>1474</v>
      </c>
      <c r="U49" s="70"/>
      <c r="V49" s="229" t="e">
        <v>#N/A</v>
      </c>
      <c r="W49" s="229" t="e">
        <v>#N/A</v>
      </c>
      <c r="X49" s="70"/>
      <c r="Y49" s="56" t="s">
        <v>1060</v>
      </c>
      <c r="Z49" s="56"/>
      <c r="AA49" s="55"/>
      <c r="AB49" s="56"/>
      <c r="AC49" s="70"/>
      <c r="AD49" s="70"/>
      <c r="AE49" s="70"/>
      <c r="AF49" s="70"/>
      <c r="AG49" s="70"/>
    </row>
    <row r="50" spans="1:33" ht="12.5" hidden="1">
      <c r="A50" s="259"/>
      <c r="B50" s="259"/>
      <c r="C50" s="260"/>
      <c r="D50" s="260"/>
      <c r="E50" s="70" t="s">
        <v>55</v>
      </c>
      <c r="F50" s="70" t="s">
        <v>1475</v>
      </c>
      <c r="G50" s="70" t="s">
        <v>329</v>
      </c>
      <c r="H50" s="56" t="s">
        <v>243</v>
      </c>
      <c r="I50" s="70"/>
      <c r="J50" s="70"/>
      <c r="K50" s="56" t="s">
        <v>680</v>
      </c>
      <c r="L50" s="56"/>
      <c r="M50" s="34"/>
      <c r="N50" s="56"/>
      <c r="O50" s="56"/>
      <c r="P50" s="56"/>
      <c r="Q50" s="56"/>
      <c r="R50" s="271"/>
      <c r="S50" s="25" t="e">
        <v>#N/A</v>
      </c>
      <c r="T50" s="70" t="s">
        <v>1476</v>
      </c>
      <c r="U50" s="70"/>
      <c r="V50" s="229" t="e">
        <v>#N/A</v>
      </c>
      <c r="W50" s="229" t="e">
        <v>#N/A</v>
      </c>
      <c r="X50" s="70"/>
      <c r="Y50" s="56" t="s">
        <v>1060</v>
      </c>
      <c r="Z50" s="56"/>
      <c r="AA50" s="55"/>
      <c r="AB50" s="56"/>
      <c r="AC50" s="56"/>
      <c r="AD50" s="56"/>
      <c r="AE50" s="56"/>
      <c r="AF50" s="56"/>
      <c r="AG50" s="56"/>
    </row>
    <row r="51" spans="1:33" ht="12.5" hidden="1">
      <c r="A51" s="259"/>
      <c r="B51" s="259"/>
      <c r="C51" s="260"/>
      <c r="D51" s="260"/>
      <c r="E51" s="70" t="s">
        <v>55</v>
      </c>
      <c r="F51" s="70" t="s">
        <v>1477</v>
      </c>
      <c r="G51" s="70" t="s">
        <v>329</v>
      </c>
      <c r="H51" s="56" t="s">
        <v>243</v>
      </c>
      <c r="I51" s="70"/>
      <c r="J51" s="70"/>
      <c r="K51" s="56" t="s">
        <v>680</v>
      </c>
      <c r="L51" s="56"/>
      <c r="M51" s="34"/>
      <c r="N51" s="56"/>
      <c r="O51" s="56"/>
      <c r="P51" s="56"/>
      <c r="Q51" s="56"/>
      <c r="R51" s="271"/>
      <c r="S51" s="25" t="e">
        <v>#N/A</v>
      </c>
      <c r="T51" s="70" t="s">
        <v>1478</v>
      </c>
      <c r="U51" s="70"/>
      <c r="V51" s="229" t="e">
        <v>#N/A</v>
      </c>
      <c r="W51" s="229" t="e">
        <v>#N/A</v>
      </c>
      <c r="X51" s="70"/>
      <c r="Y51" s="56" t="s">
        <v>1060</v>
      </c>
      <c r="Z51" s="56"/>
      <c r="AA51" s="55"/>
      <c r="AB51" s="56"/>
      <c r="AC51" s="56"/>
      <c r="AD51" s="56"/>
      <c r="AE51" s="56"/>
      <c r="AF51" s="56"/>
      <c r="AG51" s="56"/>
    </row>
    <row r="52" spans="1:33" ht="12.5" hidden="1">
      <c r="A52" s="259"/>
      <c r="B52" s="259"/>
      <c r="C52" s="260" t="s">
        <v>1479</v>
      </c>
      <c r="D52" s="260">
        <v>1</v>
      </c>
      <c r="E52" s="70" t="s">
        <v>55</v>
      </c>
      <c r="F52" s="70" t="s">
        <v>1480</v>
      </c>
      <c r="G52" s="70" t="s">
        <v>329</v>
      </c>
      <c r="H52" s="56" t="s">
        <v>243</v>
      </c>
      <c r="I52" s="70"/>
      <c r="J52" s="70"/>
      <c r="K52" s="56" t="s">
        <v>680</v>
      </c>
      <c r="L52" s="56"/>
      <c r="M52" s="34"/>
      <c r="N52" s="56"/>
      <c r="O52" s="56"/>
      <c r="P52" s="56"/>
      <c r="Q52" s="56"/>
      <c r="R52" s="271"/>
      <c r="S52" s="25" t="e">
        <v>#N/A</v>
      </c>
      <c r="T52" s="70" t="s">
        <v>1481</v>
      </c>
      <c r="U52" s="70"/>
      <c r="V52" s="229" t="e">
        <v>#N/A</v>
      </c>
      <c r="W52" s="229" t="e">
        <v>#N/A</v>
      </c>
      <c r="X52" s="70"/>
      <c r="Y52" s="56" t="s">
        <v>1060</v>
      </c>
      <c r="Z52" s="56"/>
      <c r="AA52" s="55"/>
      <c r="AB52" s="56"/>
      <c r="AC52" s="56"/>
      <c r="AD52" s="56"/>
      <c r="AE52" s="56"/>
      <c r="AF52" s="56"/>
      <c r="AG52" s="56"/>
    </row>
    <row r="53" spans="1:33" ht="12.5" hidden="1">
      <c r="A53" s="259"/>
      <c r="B53" s="259"/>
      <c r="C53" s="260" t="s">
        <v>1093</v>
      </c>
      <c r="D53" s="260">
        <v>1</v>
      </c>
      <c r="E53" s="70" t="s">
        <v>55</v>
      </c>
      <c r="F53" s="70" t="s">
        <v>1488</v>
      </c>
      <c r="G53" s="70" t="s">
        <v>329</v>
      </c>
      <c r="H53" s="56" t="s">
        <v>243</v>
      </c>
      <c r="I53" s="70"/>
      <c r="J53" s="70"/>
      <c r="K53" s="56" t="s">
        <v>680</v>
      </c>
      <c r="L53" s="56"/>
      <c r="M53" s="34"/>
      <c r="N53" s="56"/>
      <c r="O53" s="56"/>
      <c r="P53" s="56"/>
      <c r="Q53" s="56"/>
      <c r="R53" s="271"/>
      <c r="S53" s="25" t="e">
        <v>#N/A</v>
      </c>
      <c r="T53" s="70" t="s">
        <v>1489</v>
      </c>
      <c r="U53" s="70"/>
      <c r="V53" s="229" t="e">
        <v>#N/A</v>
      </c>
      <c r="W53" s="229" t="e">
        <v>#N/A</v>
      </c>
      <c r="X53" s="70"/>
      <c r="Y53" s="56" t="s">
        <v>1060</v>
      </c>
      <c r="Z53" s="56"/>
      <c r="AA53" s="55"/>
      <c r="AB53" s="56"/>
      <c r="AC53" s="70"/>
      <c r="AD53" s="70"/>
      <c r="AE53" s="70"/>
      <c r="AF53" s="70"/>
      <c r="AG53" s="70"/>
    </row>
    <row r="54" spans="1:33" ht="12.5" hidden="1">
      <c r="A54" s="259"/>
      <c r="B54" s="259"/>
      <c r="C54" s="260"/>
      <c r="D54" s="260"/>
      <c r="E54" s="70" t="s">
        <v>55</v>
      </c>
      <c r="F54" s="70" t="s">
        <v>1490</v>
      </c>
      <c r="G54" s="70" t="s">
        <v>329</v>
      </c>
      <c r="H54" s="56" t="s">
        <v>243</v>
      </c>
      <c r="I54" s="70"/>
      <c r="J54" s="70"/>
      <c r="K54" s="56" t="s">
        <v>680</v>
      </c>
      <c r="L54" s="56"/>
      <c r="M54" s="34"/>
      <c r="N54" s="56"/>
      <c r="O54" s="56"/>
      <c r="P54" s="56"/>
      <c r="Q54" s="56"/>
      <c r="R54" s="271"/>
      <c r="S54" s="25" t="e">
        <v>#N/A</v>
      </c>
      <c r="T54" s="70" t="s">
        <v>1491</v>
      </c>
      <c r="U54" s="70"/>
      <c r="V54" s="229" t="e">
        <v>#N/A</v>
      </c>
      <c r="W54" s="229" t="e">
        <v>#N/A</v>
      </c>
      <c r="X54" s="70"/>
      <c r="Y54" s="56" t="s">
        <v>1060</v>
      </c>
      <c r="Z54" s="56"/>
      <c r="AA54" s="55"/>
      <c r="AB54" s="56"/>
      <c r="AC54" s="70"/>
      <c r="AD54" s="70"/>
      <c r="AE54" s="70"/>
      <c r="AF54" s="70"/>
      <c r="AG54" s="70"/>
    </row>
    <row r="55" spans="1:33" ht="12.5" hidden="1">
      <c r="A55" s="259"/>
      <c r="B55" s="259"/>
      <c r="C55" s="260" t="s">
        <v>1492</v>
      </c>
      <c r="D55" s="260">
        <v>1</v>
      </c>
      <c r="E55" s="70" t="s">
        <v>55</v>
      </c>
      <c r="F55" s="70" t="s">
        <v>1493</v>
      </c>
      <c r="G55" s="70" t="s">
        <v>329</v>
      </c>
      <c r="H55" s="56" t="s">
        <v>243</v>
      </c>
      <c r="I55" s="70"/>
      <c r="J55" s="70"/>
      <c r="K55" s="56" t="s">
        <v>680</v>
      </c>
      <c r="L55" s="56"/>
      <c r="M55" s="34"/>
      <c r="N55" s="56"/>
      <c r="O55" s="56"/>
      <c r="P55" s="56"/>
      <c r="Q55" s="56"/>
      <c r="R55" s="271"/>
      <c r="S55" s="25" t="e">
        <v>#N/A</v>
      </c>
      <c r="T55" s="70" t="s">
        <v>1494</v>
      </c>
      <c r="U55" s="70"/>
      <c r="V55" s="229" t="e">
        <v>#N/A</v>
      </c>
      <c r="W55" s="229" t="e">
        <v>#N/A</v>
      </c>
      <c r="X55" s="70"/>
      <c r="Y55" s="56" t="s">
        <v>1060</v>
      </c>
      <c r="Z55" s="56"/>
      <c r="AA55" s="55"/>
      <c r="AB55" s="56"/>
      <c r="AC55" s="56"/>
      <c r="AD55" s="56"/>
      <c r="AE55" s="56"/>
      <c r="AF55" s="56"/>
      <c r="AG55" s="56"/>
    </row>
    <row r="56" spans="1:33" ht="12.5" hidden="1">
      <c r="A56" s="259"/>
      <c r="B56" s="259"/>
      <c r="C56" s="260" t="s">
        <v>1495</v>
      </c>
      <c r="D56" s="260">
        <v>1</v>
      </c>
      <c r="E56" s="70" t="s">
        <v>55</v>
      </c>
      <c r="F56" s="70" t="s">
        <v>1496</v>
      </c>
      <c r="G56" s="70" t="s">
        <v>329</v>
      </c>
      <c r="H56" s="56" t="s">
        <v>243</v>
      </c>
      <c r="I56" s="70"/>
      <c r="J56" s="70"/>
      <c r="K56" s="56" t="s">
        <v>680</v>
      </c>
      <c r="L56" s="56"/>
      <c r="M56" s="34"/>
      <c r="N56" s="56"/>
      <c r="O56" s="56"/>
      <c r="P56" s="56"/>
      <c r="Q56" s="56"/>
      <c r="R56" s="271"/>
      <c r="S56" s="25" t="e">
        <v>#N/A</v>
      </c>
      <c r="T56" s="70" t="s">
        <v>1497</v>
      </c>
      <c r="U56" s="70"/>
      <c r="V56" s="229" t="e">
        <v>#N/A</v>
      </c>
      <c r="W56" s="229" t="e">
        <v>#N/A</v>
      </c>
      <c r="X56" s="70"/>
      <c r="Y56" s="56" t="s">
        <v>1060</v>
      </c>
      <c r="Z56" s="56"/>
      <c r="AA56" s="55"/>
      <c r="AB56" s="56"/>
      <c r="AC56" s="56"/>
      <c r="AD56" s="56"/>
      <c r="AE56" s="56"/>
      <c r="AF56" s="56"/>
      <c r="AG56" s="56"/>
    </row>
    <row r="57" spans="1:33" ht="12.5" hidden="1">
      <c r="A57" s="244"/>
      <c r="B57" s="244"/>
      <c r="C57" s="244" t="s">
        <v>1502</v>
      </c>
      <c r="D57" s="244">
        <v>1</v>
      </c>
      <c r="E57" s="56" t="s">
        <v>55</v>
      </c>
      <c r="F57" s="56" t="s">
        <v>1503</v>
      </c>
      <c r="G57" s="56" t="s">
        <v>329</v>
      </c>
      <c r="H57" s="56" t="s">
        <v>243</v>
      </c>
      <c r="I57" s="56"/>
      <c r="J57" s="22"/>
      <c r="K57" s="56" t="s">
        <v>680</v>
      </c>
      <c r="L57" s="56"/>
      <c r="M57" s="34"/>
      <c r="N57" s="56"/>
      <c r="O57" s="56"/>
      <c r="P57" s="56"/>
      <c r="Q57" s="56"/>
      <c r="R57" s="54"/>
      <c r="S57" s="25" t="e">
        <v>#N/A</v>
      </c>
      <c r="T57" s="21" t="s">
        <v>1504</v>
      </c>
      <c r="U57" s="56"/>
      <c r="V57" s="229" t="e">
        <v>#N/A</v>
      </c>
      <c r="W57" s="229" t="e">
        <v>#N/A</v>
      </c>
      <c r="X57" s="70"/>
      <c r="Y57" s="56" t="s">
        <v>1060</v>
      </c>
      <c r="Z57" s="56"/>
      <c r="AA57" s="55"/>
      <c r="AB57" s="56"/>
      <c r="AC57" s="70"/>
      <c r="AD57" s="70"/>
      <c r="AE57" s="70"/>
      <c r="AF57" s="70"/>
      <c r="AG57" s="70"/>
    </row>
    <row r="58" spans="1:33" ht="12.5" hidden="1">
      <c r="A58" s="62"/>
      <c r="B58" s="62"/>
      <c r="C58" s="63"/>
      <c r="D58" s="63"/>
      <c r="E58" s="56" t="s">
        <v>55</v>
      </c>
      <c r="F58" s="56" t="s">
        <v>1505</v>
      </c>
      <c r="G58" s="56" t="s">
        <v>329</v>
      </c>
      <c r="H58" s="56" t="s">
        <v>243</v>
      </c>
      <c r="I58" s="56"/>
      <c r="J58" s="22"/>
      <c r="K58" s="56" t="s">
        <v>680</v>
      </c>
      <c r="L58" s="56"/>
      <c r="M58" s="34"/>
      <c r="N58" s="56"/>
      <c r="O58" s="56"/>
      <c r="P58" s="56"/>
      <c r="Q58" s="56"/>
      <c r="R58" s="54"/>
      <c r="S58" s="25" t="e">
        <v>#N/A</v>
      </c>
      <c r="T58" s="21" t="s">
        <v>1506</v>
      </c>
      <c r="U58" s="56"/>
      <c r="V58" s="229" t="e">
        <v>#N/A</v>
      </c>
      <c r="W58" s="229" t="e">
        <v>#N/A</v>
      </c>
      <c r="X58" s="70"/>
      <c r="Y58" s="56" t="s">
        <v>1060</v>
      </c>
      <c r="Z58" s="56"/>
      <c r="AA58" s="55"/>
      <c r="AB58" s="56"/>
      <c r="AC58" s="56"/>
      <c r="AD58" s="56"/>
      <c r="AE58" s="56"/>
      <c r="AF58" s="56"/>
      <c r="AG58" s="56"/>
    </row>
    <row r="59" spans="1:33" ht="12.5" hidden="1">
      <c r="A59" s="259"/>
      <c r="B59" s="259"/>
      <c r="C59" s="260" t="s">
        <v>1507</v>
      </c>
      <c r="D59" s="260">
        <v>1</v>
      </c>
      <c r="E59" s="70" t="s">
        <v>55</v>
      </c>
      <c r="F59" s="56" t="s">
        <v>1508</v>
      </c>
      <c r="G59" s="56" t="s">
        <v>329</v>
      </c>
      <c r="H59" s="70" t="s">
        <v>243</v>
      </c>
      <c r="I59" s="56"/>
      <c r="J59" s="70"/>
      <c r="K59" s="56" t="s">
        <v>680</v>
      </c>
      <c r="L59" s="56"/>
      <c r="M59" s="34"/>
      <c r="N59" s="56"/>
      <c r="O59" s="56"/>
      <c r="P59" s="56"/>
      <c r="Q59" s="56"/>
      <c r="R59" s="54"/>
      <c r="S59" s="25" t="e">
        <v>#N/A</v>
      </c>
      <c r="T59" s="56" t="s">
        <v>1509</v>
      </c>
      <c r="U59" s="56"/>
      <c r="V59" s="229" t="e">
        <v>#N/A</v>
      </c>
      <c r="W59" s="229" t="e">
        <v>#N/A</v>
      </c>
      <c r="X59" s="70"/>
      <c r="Y59" s="56" t="s">
        <v>1060</v>
      </c>
      <c r="Z59" s="56"/>
      <c r="AA59" s="55"/>
      <c r="AB59" s="56"/>
      <c r="AC59" s="56"/>
      <c r="AD59" s="56"/>
      <c r="AE59" s="56"/>
      <c r="AF59" s="56"/>
      <c r="AG59" s="56"/>
    </row>
    <row r="60" spans="1:33" ht="12.5" hidden="1">
      <c r="A60" s="259"/>
      <c r="B60" s="259"/>
      <c r="C60" s="260" t="s">
        <v>1510</v>
      </c>
      <c r="D60" s="260">
        <v>1</v>
      </c>
      <c r="E60" s="70" t="s">
        <v>55</v>
      </c>
      <c r="F60" s="56" t="s">
        <v>1511</v>
      </c>
      <c r="G60" s="56" t="s">
        <v>329</v>
      </c>
      <c r="H60" s="70" t="s">
        <v>243</v>
      </c>
      <c r="I60" s="56"/>
      <c r="J60" s="70"/>
      <c r="K60" s="56" t="s">
        <v>680</v>
      </c>
      <c r="L60" s="56"/>
      <c r="M60" s="34"/>
      <c r="N60" s="56"/>
      <c r="O60" s="56"/>
      <c r="P60" s="56"/>
      <c r="Q60" s="56"/>
      <c r="R60" s="54"/>
      <c r="S60" s="25" t="e">
        <v>#N/A</v>
      </c>
      <c r="T60" s="56" t="s">
        <v>1512</v>
      </c>
      <c r="U60" s="56"/>
      <c r="V60" s="229" t="e">
        <v>#N/A</v>
      </c>
      <c r="W60" s="229" t="e">
        <v>#N/A</v>
      </c>
      <c r="X60" s="70"/>
      <c r="Y60" s="56" t="s">
        <v>1060</v>
      </c>
      <c r="Z60" s="56"/>
      <c r="AA60" s="55"/>
      <c r="AB60" s="56"/>
      <c r="AC60" s="70"/>
      <c r="AD60" s="70"/>
      <c r="AE60" s="70"/>
      <c r="AF60" s="70"/>
      <c r="AG60" s="70"/>
    </row>
    <row r="61" spans="1:33" ht="12.5" hidden="1">
      <c r="A61" s="259"/>
      <c r="B61" s="259"/>
      <c r="C61" s="260" t="s">
        <v>1513</v>
      </c>
      <c r="D61" s="260">
        <v>1</v>
      </c>
      <c r="E61" s="70" t="s">
        <v>55</v>
      </c>
      <c r="F61" s="56" t="s">
        <v>1514</v>
      </c>
      <c r="G61" s="56" t="s">
        <v>329</v>
      </c>
      <c r="H61" s="70" t="s">
        <v>243</v>
      </c>
      <c r="I61" s="56"/>
      <c r="J61" s="70"/>
      <c r="K61" s="56" t="s">
        <v>680</v>
      </c>
      <c r="L61" s="56"/>
      <c r="M61" s="34"/>
      <c r="N61" s="56"/>
      <c r="O61" s="56"/>
      <c r="P61" s="56"/>
      <c r="Q61" s="56"/>
      <c r="R61" s="54"/>
      <c r="S61" s="25" t="e">
        <v>#N/A</v>
      </c>
      <c r="T61" s="56" t="s">
        <v>1515</v>
      </c>
      <c r="U61" s="56"/>
      <c r="V61" s="229" t="e">
        <v>#N/A</v>
      </c>
      <c r="W61" s="229" t="e">
        <v>#N/A</v>
      </c>
      <c r="X61" s="70"/>
      <c r="Y61" s="56" t="s">
        <v>1060</v>
      </c>
      <c r="Z61" s="56"/>
      <c r="AA61" s="55"/>
      <c r="AB61" s="56"/>
      <c r="AC61" s="56"/>
      <c r="AD61" s="56"/>
      <c r="AE61" s="56"/>
      <c r="AF61" s="56"/>
      <c r="AG61" s="56"/>
    </row>
    <row r="62" spans="1:33" ht="15" hidden="1" customHeight="1">
      <c r="A62" s="259"/>
      <c r="B62" s="259"/>
      <c r="C62" s="260"/>
      <c r="D62" s="260"/>
      <c r="E62" s="70" t="s">
        <v>55</v>
      </c>
      <c r="F62" s="56" t="s">
        <v>1516</v>
      </c>
      <c r="G62" s="56" t="s">
        <v>329</v>
      </c>
      <c r="H62" s="70" t="s">
        <v>243</v>
      </c>
      <c r="I62" s="56"/>
      <c r="J62" s="70"/>
      <c r="K62" s="56" t="s">
        <v>680</v>
      </c>
      <c r="L62" s="56"/>
      <c r="M62" s="34"/>
      <c r="N62" s="56"/>
      <c r="O62" s="56"/>
      <c r="P62" s="56"/>
      <c r="Q62" s="56"/>
      <c r="R62" s="54"/>
      <c r="S62" s="25" t="e">
        <v>#N/A</v>
      </c>
      <c r="T62" s="56" t="s">
        <v>1517</v>
      </c>
      <c r="U62" s="56"/>
      <c r="V62" s="229" t="e">
        <v>#N/A</v>
      </c>
      <c r="W62" s="229" t="e">
        <v>#N/A</v>
      </c>
      <c r="X62" s="70"/>
      <c r="Y62" s="56" t="s">
        <v>1060</v>
      </c>
      <c r="Z62" s="56"/>
      <c r="AA62" s="55"/>
      <c r="AB62" s="56"/>
      <c r="AC62" s="56"/>
      <c r="AD62" s="56"/>
      <c r="AE62" s="56"/>
      <c r="AF62" s="56"/>
      <c r="AG62" s="56"/>
    </row>
    <row r="63" spans="1:33" ht="14.25" customHeight="1">
      <c r="A63" s="244"/>
      <c r="B63" s="244"/>
      <c r="C63" s="244"/>
      <c r="D63" s="244"/>
      <c r="E63" s="70" t="s">
        <v>55</v>
      </c>
      <c r="F63" s="56" t="s">
        <v>1906</v>
      </c>
      <c r="G63" s="56" t="s">
        <v>329</v>
      </c>
      <c r="H63" s="70" t="s">
        <v>243</v>
      </c>
      <c r="I63" s="56"/>
      <c r="J63" s="70"/>
      <c r="K63" s="56" t="s">
        <v>682</v>
      </c>
      <c r="L63" s="244" t="s">
        <v>1905</v>
      </c>
      <c r="M63" s="34" t="s">
        <v>1907</v>
      </c>
      <c r="N63" s="56"/>
      <c r="O63" s="56"/>
      <c r="P63" s="56"/>
      <c r="Q63" s="56"/>
      <c r="R63" s="54"/>
      <c r="S63" s="25"/>
      <c r="T63" s="56"/>
      <c r="U63" s="56"/>
      <c r="V63" s="244"/>
      <c r="W63" s="244"/>
      <c r="X63" s="70"/>
      <c r="Y63" s="56"/>
      <c r="Z63" s="56"/>
      <c r="AA63" s="55"/>
      <c r="AB63" s="56"/>
      <c r="AC63" s="70"/>
      <c r="AD63" s="70"/>
      <c r="AE63" s="70"/>
      <c r="AF63" s="70"/>
      <c r="AG63" s="70"/>
    </row>
    <row r="64" spans="1:33" ht="16.5" customHeight="1">
      <c r="A64" s="244"/>
      <c r="B64" s="244"/>
      <c r="C64" s="244"/>
      <c r="D64" s="244"/>
      <c r="E64" s="56" t="s">
        <v>61</v>
      </c>
      <c r="F64" s="56" t="s">
        <v>407</v>
      </c>
      <c r="G64" s="56" t="s">
        <v>329</v>
      </c>
      <c r="H64" s="56" t="s">
        <v>243</v>
      </c>
      <c r="I64" s="56"/>
      <c r="J64" s="56">
        <v>27</v>
      </c>
      <c r="K64" s="56" t="s">
        <v>682</v>
      </c>
      <c r="L64" s="56" t="s">
        <v>1905</v>
      </c>
      <c r="M64" s="56" t="s">
        <v>408</v>
      </c>
      <c r="N64" s="56" t="s">
        <v>1447</v>
      </c>
      <c r="O64" s="56" t="s">
        <v>1518</v>
      </c>
      <c r="P64" s="56" t="s">
        <v>1519</v>
      </c>
      <c r="Q64" s="56"/>
      <c r="R64" s="54"/>
      <c r="S64" s="25">
        <v>698.95</v>
      </c>
      <c r="T64" s="56" t="s">
        <v>1520</v>
      </c>
      <c r="U64" s="56"/>
      <c r="V64" s="244" t="e">
        <v>#N/A</v>
      </c>
      <c r="W64" s="244" t="e">
        <v>#N/A</v>
      </c>
      <c r="X64" s="70">
        <v>60</v>
      </c>
      <c r="Y64" s="56"/>
      <c r="Z64" s="56" t="s">
        <v>1521</v>
      </c>
      <c r="AA64" s="55">
        <v>43538</v>
      </c>
      <c r="AB64" s="56" t="s">
        <v>1522</v>
      </c>
      <c r="AC64" s="70"/>
      <c r="AD64" s="70"/>
      <c r="AE64" s="70"/>
      <c r="AF64" s="70"/>
      <c r="AG64" s="70"/>
    </row>
    <row r="65" spans="1:33" ht="18.75" customHeight="1">
      <c r="A65" s="244"/>
      <c r="B65" s="244"/>
      <c r="C65" s="244"/>
      <c r="D65" s="244"/>
      <c r="E65" s="56" t="s">
        <v>55</v>
      </c>
      <c r="F65" s="56" t="s">
        <v>1523</v>
      </c>
      <c r="G65" s="56" t="s">
        <v>329</v>
      </c>
      <c r="H65" s="56" t="s">
        <v>243</v>
      </c>
      <c r="I65" s="56"/>
      <c r="J65" s="56"/>
      <c r="K65" s="56" t="s">
        <v>682</v>
      </c>
      <c r="L65" s="56" t="s">
        <v>1905</v>
      </c>
      <c r="M65" s="56" t="s">
        <v>443</v>
      </c>
      <c r="N65" s="266" t="s">
        <v>1395</v>
      </c>
      <c r="O65" s="267" t="s">
        <v>1454</v>
      </c>
      <c r="P65" s="244" t="s">
        <v>1436</v>
      </c>
      <c r="Q65" s="244" t="s">
        <v>1336</v>
      </c>
      <c r="R65" s="269"/>
      <c r="S65" s="268"/>
      <c r="T65" s="244"/>
      <c r="U65" s="244"/>
      <c r="V65" s="244"/>
      <c r="W65" s="244"/>
      <c r="X65" s="244">
        <v>75</v>
      </c>
      <c r="Y65" s="244"/>
      <c r="Z65" s="244" t="s">
        <v>1162</v>
      </c>
      <c r="AA65" s="270">
        <v>43641</v>
      </c>
      <c r="AB65" s="244" t="s">
        <v>1455</v>
      </c>
      <c r="AC65" s="244"/>
      <c r="AD65" s="244"/>
      <c r="AE65" s="244"/>
      <c r="AF65" s="244"/>
      <c r="AG65" s="244"/>
    </row>
    <row r="66" spans="1:33" ht="19.5" customHeight="1">
      <c r="A66" s="244"/>
      <c r="B66" s="244"/>
      <c r="C66" s="244"/>
      <c r="D66" s="244"/>
      <c r="E66" s="56" t="s">
        <v>55</v>
      </c>
      <c r="F66" s="56" t="s">
        <v>1524</v>
      </c>
      <c r="G66" s="56" t="s">
        <v>255</v>
      </c>
      <c r="H66" s="56" t="s">
        <v>243</v>
      </c>
      <c r="I66" s="56"/>
      <c r="J66" s="56"/>
      <c r="K66" s="56" t="s">
        <v>682</v>
      </c>
      <c r="L66" s="56" t="s">
        <v>1905</v>
      </c>
      <c r="M66" s="56" t="s">
        <v>445</v>
      </c>
      <c r="N66" s="61" t="s">
        <v>1333</v>
      </c>
      <c r="O66" s="21" t="s">
        <v>1369</v>
      </c>
      <c r="P66" s="56" t="s">
        <v>1367</v>
      </c>
      <c r="Q66" s="56" t="s">
        <v>1336</v>
      </c>
      <c r="R66" s="54"/>
      <c r="S66" s="70"/>
      <c r="T66" s="56"/>
      <c r="U66" s="56"/>
      <c r="V66" s="244"/>
      <c r="W66" s="244"/>
      <c r="X66" s="56">
        <v>76</v>
      </c>
      <c r="Y66" s="56"/>
      <c r="Z66" s="56" t="s">
        <v>1162</v>
      </c>
      <c r="AA66" s="55">
        <v>43641</v>
      </c>
      <c r="AB66" s="56" t="s">
        <v>1337</v>
      </c>
      <c r="AC66" s="56"/>
      <c r="AD66" s="56"/>
      <c r="AE66" s="56"/>
      <c r="AF66" s="56"/>
      <c r="AG66" s="56"/>
    </row>
    <row r="67" spans="1:33" ht="14.25" hidden="1" customHeight="1">
      <c r="A67" s="244"/>
      <c r="B67" s="244"/>
      <c r="C67" s="244" t="s">
        <v>1525</v>
      </c>
      <c r="D67" s="244">
        <v>1</v>
      </c>
      <c r="E67" s="70" t="s">
        <v>55</v>
      </c>
      <c r="F67" s="56" t="s">
        <v>1526</v>
      </c>
      <c r="G67" s="56" t="s">
        <v>329</v>
      </c>
      <c r="H67" s="70" t="s">
        <v>243</v>
      </c>
      <c r="I67" s="56"/>
      <c r="J67" s="70"/>
      <c r="K67" s="56" t="s">
        <v>680</v>
      </c>
      <c r="L67" s="56"/>
      <c r="M67" s="34"/>
      <c r="N67" s="56"/>
      <c r="O67" s="56"/>
      <c r="P67" s="56"/>
      <c r="Q67" s="56"/>
      <c r="R67" s="54"/>
      <c r="S67" s="25" t="e">
        <v>#N/A</v>
      </c>
      <c r="T67" s="56" t="s">
        <v>1527</v>
      </c>
      <c r="U67" s="56"/>
      <c r="V67" s="244" t="e">
        <v>#N/A</v>
      </c>
      <c r="W67" s="244" t="e">
        <v>#N/A</v>
      </c>
      <c r="X67" s="70"/>
      <c r="Y67" s="56" t="s">
        <v>1060</v>
      </c>
      <c r="Z67" s="56"/>
      <c r="AA67" s="55"/>
      <c r="AB67" s="56"/>
      <c r="AC67" s="56"/>
      <c r="AD67" s="56"/>
      <c r="AE67" s="56"/>
      <c r="AF67" s="56"/>
      <c r="AG67" s="56"/>
    </row>
    <row r="68" spans="1:33" ht="14.25" customHeight="1">
      <c r="A68" s="244"/>
      <c r="B68" s="244"/>
      <c r="C68" s="244"/>
      <c r="D68" s="244"/>
      <c r="E68" s="268" t="s">
        <v>55</v>
      </c>
      <c r="F68" s="244" t="s">
        <v>1528</v>
      </c>
      <c r="G68" s="244" t="s">
        <v>329</v>
      </c>
      <c r="H68" s="268" t="s">
        <v>243</v>
      </c>
      <c r="I68" s="244"/>
      <c r="J68" s="268"/>
      <c r="K68" s="244" t="s">
        <v>682</v>
      </c>
      <c r="L68" s="244" t="s">
        <v>1905</v>
      </c>
      <c r="M68" s="247" t="s">
        <v>1908</v>
      </c>
      <c r="N68" s="244"/>
      <c r="O68" s="244"/>
      <c r="P68" s="244"/>
      <c r="Q68" s="244"/>
      <c r="R68" s="269"/>
      <c r="S68" s="276" t="e">
        <v>#N/A</v>
      </c>
      <c r="T68" s="244" t="s">
        <v>1529</v>
      </c>
      <c r="U68" s="244"/>
      <c r="V68" s="244" t="e">
        <v>#N/A</v>
      </c>
      <c r="W68" s="244" t="e">
        <v>#N/A</v>
      </c>
      <c r="X68" s="268"/>
      <c r="Y68" s="244" t="s">
        <v>1060</v>
      </c>
      <c r="Z68" s="244"/>
      <c r="AA68" s="270"/>
      <c r="AB68" s="244"/>
      <c r="AC68" s="268"/>
      <c r="AD68" s="268"/>
      <c r="AE68" s="268"/>
      <c r="AF68" s="268"/>
      <c r="AG68" s="268"/>
    </row>
    <row r="69" spans="1:33" ht="14.25" customHeight="1">
      <c r="A69" s="244"/>
      <c r="B69" s="244"/>
      <c r="C69" s="244"/>
      <c r="D69" s="244"/>
      <c r="E69" s="56" t="s">
        <v>61</v>
      </c>
      <c r="F69" s="56" t="s">
        <v>333</v>
      </c>
      <c r="G69" s="56" t="s">
        <v>329</v>
      </c>
      <c r="H69" s="56" t="s">
        <v>243</v>
      </c>
      <c r="I69" s="56"/>
      <c r="J69" s="56">
        <v>28</v>
      </c>
      <c r="K69" s="56" t="s">
        <v>682</v>
      </c>
      <c r="L69" s="56" t="s">
        <v>1905</v>
      </c>
      <c r="M69" s="56" t="s">
        <v>334</v>
      </c>
      <c r="N69" s="56" t="s">
        <v>1395</v>
      </c>
      <c r="O69" s="56" t="s">
        <v>1530</v>
      </c>
      <c r="P69" s="56" t="s">
        <v>1531</v>
      </c>
      <c r="Q69" s="56"/>
      <c r="R69" s="54"/>
      <c r="S69" s="25">
        <v>1</v>
      </c>
      <c r="T69" s="56" t="s">
        <v>1532</v>
      </c>
      <c r="U69" s="56"/>
      <c r="V69" s="244" t="e">
        <v>#N/A</v>
      </c>
      <c r="W69" s="244" t="e">
        <v>#N/A</v>
      </c>
      <c r="X69" s="70">
        <v>23</v>
      </c>
      <c r="Y69" s="56"/>
      <c r="Z69" s="56" t="s">
        <v>1331</v>
      </c>
      <c r="AA69" s="55">
        <v>43475</v>
      </c>
      <c r="AB69" s="56" t="s">
        <v>1057</v>
      </c>
      <c r="AC69" s="56"/>
      <c r="AD69" s="56"/>
      <c r="AE69" s="56"/>
      <c r="AF69" s="56"/>
      <c r="AG69" s="56"/>
    </row>
    <row r="70" spans="1:33" ht="14.25" customHeight="1">
      <c r="A70" s="244"/>
      <c r="B70" s="244"/>
      <c r="C70" s="244"/>
      <c r="D70" s="244"/>
      <c r="E70" s="70" t="s">
        <v>55</v>
      </c>
      <c r="F70" s="56" t="s">
        <v>1533</v>
      </c>
      <c r="G70" s="56" t="s">
        <v>329</v>
      </c>
      <c r="H70" s="70" t="s">
        <v>243</v>
      </c>
      <c r="I70" s="56"/>
      <c r="J70" s="70"/>
      <c r="K70" s="56" t="s">
        <v>682</v>
      </c>
      <c r="L70" s="56" t="s">
        <v>1905</v>
      </c>
      <c r="M70" s="5" t="s">
        <v>485</v>
      </c>
      <c r="N70" s="70" t="s">
        <v>1395</v>
      </c>
      <c r="O70" s="70" t="s">
        <v>1483</v>
      </c>
      <c r="P70" s="56" t="s">
        <v>1364</v>
      </c>
      <c r="Q70" s="56" t="s">
        <v>1909</v>
      </c>
      <c r="R70" s="54"/>
      <c r="S70" s="70"/>
      <c r="T70" s="56"/>
      <c r="U70" s="56"/>
      <c r="V70" s="244"/>
      <c r="W70" s="244"/>
      <c r="X70" s="56">
        <v>96</v>
      </c>
      <c r="Y70" s="56"/>
      <c r="Z70" s="56" t="s">
        <v>1162</v>
      </c>
      <c r="AA70" s="55">
        <v>43641</v>
      </c>
      <c r="AB70" s="56" t="s">
        <v>1455</v>
      </c>
      <c r="AC70" s="56"/>
      <c r="AD70" s="56"/>
      <c r="AE70" s="56"/>
      <c r="AF70" s="56"/>
      <c r="AG70" s="56"/>
    </row>
    <row r="71" spans="1:33" ht="14.25" hidden="1" customHeight="1">
      <c r="A71" s="244"/>
      <c r="B71" s="244"/>
      <c r="C71" s="244" t="s">
        <v>1534</v>
      </c>
      <c r="D71" s="244">
        <v>1</v>
      </c>
      <c r="E71" s="70" t="s">
        <v>55</v>
      </c>
      <c r="F71" s="56" t="s">
        <v>1535</v>
      </c>
      <c r="G71" s="56" t="s">
        <v>329</v>
      </c>
      <c r="H71" s="70" t="s">
        <v>243</v>
      </c>
      <c r="I71" s="56"/>
      <c r="J71" s="70"/>
      <c r="K71" s="56" t="s">
        <v>680</v>
      </c>
      <c r="L71" s="56"/>
      <c r="M71" s="34"/>
      <c r="N71" s="56"/>
      <c r="O71" s="56"/>
      <c r="P71" s="56"/>
      <c r="Q71" s="56"/>
      <c r="R71" s="54"/>
      <c r="S71" s="25" t="e">
        <v>#N/A</v>
      </c>
      <c r="T71" s="56" t="s">
        <v>1536</v>
      </c>
      <c r="U71" s="56"/>
      <c r="V71" s="244" t="e">
        <v>#N/A</v>
      </c>
      <c r="W71" s="244" t="e">
        <v>#N/A</v>
      </c>
      <c r="X71" s="70"/>
      <c r="Y71" s="56" t="s">
        <v>1060</v>
      </c>
      <c r="Z71" s="56"/>
      <c r="AA71" s="55"/>
      <c r="AB71" s="56"/>
      <c r="AC71" s="70"/>
      <c r="AD71" s="70"/>
      <c r="AE71" s="70"/>
      <c r="AF71" s="70"/>
      <c r="AG71" s="70"/>
    </row>
    <row r="72" spans="1:33" ht="14.25" customHeight="1">
      <c r="A72" s="244"/>
      <c r="B72" s="244"/>
      <c r="C72" s="244" t="s">
        <v>1537</v>
      </c>
      <c r="D72" s="244">
        <v>1</v>
      </c>
      <c r="E72" s="70" t="s">
        <v>55</v>
      </c>
      <c r="F72" s="56" t="s">
        <v>1538</v>
      </c>
      <c r="G72" s="56" t="s">
        <v>329</v>
      </c>
      <c r="H72" s="70" t="s">
        <v>243</v>
      </c>
      <c r="I72" s="56"/>
      <c r="J72" s="70"/>
      <c r="K72" s="56" t="s">
        <v>682</v>
      </c>
      <c r="L72" s="244" t="s">
        <v>1905</v>
      </c>
      <c r="M72" s="34" t="s">
        <v>1910</v>
      </c>
      <c r="N72" s="56"/>
      <c r="O72" s="56"/>
      <c r="P72" s="56"/>
      <c r="Q72" s="56"/>
      <c r="R72" s="54"/>
      <c r="S72" s="25" t="e">
        <v>#N/A</v>
      </c>
      <c r="T72" s="56" t="s">
        <v>1539</v>
      </c>
      <c r="U72" s="56"/>
      <c r="V72" s="244" t="e">
        <v>#N/A</v>
      </c>
      <c r="W72" s="244" t="e">
        <v>#N/A</v>
      </c>
      <c r="X72" s="70"/>
      <c r="Y72" s="56" t="s">
        <v>1060</v>
      </c>
      <c r="Z72" s="56"/>
      <c r="AA72" s="55"/>
      <c r="AB72" s="56"/>
      <c r="AC72" s="56"/>
      <c r="AD72" s="56"/>
      <c r="AE72" s="56"/>
      <c r="AF72" s="56"/>
      <c r="AG72" s="56"/>
    </row>
    <row r="73" spans="1:33" ht="14.25" hidden="1" customHeight="1">
      <c r="A73" s="244"/>
      <c r="B73" s="244"/>
      <c r="C73" s="244" t="s">
        <v>1540</v>
      </c>
      <c r="D73" s="244">
        <v>1</v>
      </c>
      <c r="E73" s="70" t="s">
        <v>55</v>
      </c>
      <c r="F73" s="56" t="s">
        <v>1541</v>
      </c>
      <c r="G73" s="56" t="s">
        <v>329</v>
      </c>
      <c r="H73" s="70" t="s">
        <v>243</v>
      </c>
      <c r="I73" s="56"/>
      <c r="J73" s="70"/>
      <c r="K73" s="56" t="s">
        <v>680</v>
      </c>
      <c r="L73" s="56"/>
      <c r="M73" s="34"/>
      <c r="N73" s="56"/>
      <c r="O73" s="56"/>
      <c r="P73" s="56"/>
      <c r="Q73" s="56"/>
      <c r="R73" s="54"/>
      <c r="S73" s="25" t="e">
        <v>#N/A</v>
      </c>
      <c r="T73" s="56" t="s">
        <v>1542</v>
      </c>
      <c r="U73" s="56"/>
      <c r="V73" s="244" t="e">
        <v>#N/A</v>
      </c>
      <c r="W73" s="244" t="e">
        <v>#N/A</v>
      </c>
      <c r="X73" s="70"/>
      <c r="Y73" s="56" t="s">
        <v>1060</v>
      </c>
      <c r="Z73" s="56"/>
      <c r="AA73" s="55"/>
      <c r="AB73" s="56"/>
      <c r="AC73" s="70"/>
      <c r="AD73" s="70"/>
      <c r="AE73" s="70"/>
      <c r="AF73" s="70"/>
      <c r="AG73" s="70"/>
    </row>
    <row r="74" spans="1:33" ht="14.25" customHeight="1">
      <c r="A74" s="244"/>
      <c r="B74" s="244"/>
      <c r="C74" s="244"/>
      <c r="D74" s="244"/>
      <c r="E74" s="70" t="s">
        <v>55</v>
      </c>
      <c r="F74" s="56" t="s">
        <v>1543</v>
      </c>
      <c r="G74" s="56" t="s">
        <v>329</v>
      </c>
      <c r="H74" s="70" t="s">
        <v>243</v>
      </c>
      <c r="I74" s="56"/>
      <c r="J74" s="70"/>
      <c r="K74" s="56" t="s">
        <v>682</v>
      </c>
      <c r="L74" s="244" t="s">
        <v>1905</v>
      </c>
      <c r="M74" s="34" t="s">
        <v>1911</v>
      </c>
      <c r="N74" s="56"/>
      <c r="O74" s="56"/>
      <c r="P74" s="56"/>
      <c r="Q74" s="56"/>
      <c r="R74" s="54"/>
      <c r="S74" s="25"/>
      <c r="T74" s="56"/>
      <c r="U74" s="56"/>
      <c r="V74" s="244"/>
      <c r="W74" s="244"/>
      <c r="X74" s="70"/>
      <c r="Y74" s="56"/>
      <c r="Z74" s="56"/>
      <c r="AA74" s="55"/>
      <c r="AB74" s="56"/>
      <c r="AC74" s="70"/>
      <c r="AD74" s="70"/>
      <c r="AE74" s="70"/>
      <c r="AF74" s="70"/>
      <c r="AG74" s="70"/>
    </row>
    <row r="75" spans="1:33" ht="14.25" customHeight="1">
      <c r="A75" s="259"/>
      <c r="B75" s="259"/>
      <c r="C75" s="260"/>
      <c r="D75" s="260"/>
      <c r="E75" s="56" t="s">
        <v>59</v>
      </c>
      <c r="F75" s="56" t="s">
        <v>424</v>
      </c>
      <c r="G75" s="56" t="s">
        <v>329</v>
      </c>
      <c r="H75" s="56" t="s">
        <v>243</v>
      </c>
      <c r="I75" s="56"/>
      <c r="J75" s="56">
        <v>29</v>
      </c>
      <c r="K75" s="56" t="s">
        <v>682</v>
      </c>
      <c r="L75" s="56" t="s">
        <v>1905</v>
      </c>
      <c r="M75" s="34" t="s">
        <v>425</v>
      </c>
      <c r="N75" s="56" t="s">
        <v>1370</v>
      </c>
      <c r="O75" s="56" t="s">
        <v>1544</v>
      </c>
      <c r="P75" s="56" t="s">
        <v>1545</v>
      </c>
      <c r="Q75" s="56"/>
      <c r="R75" s="54"/>
      <c r="S75" s="25">
        <v>8364.57</v>
      </c>
      <c r="T75" s="56" t="s">
        <v>1546</v>
      </c>
      <c r="U75" s="56"/>
      <c r="V75" s="229" t="e">
        <v>#N/A</v>
      </c>
      <c r="W75" s="229" t="e">
        <v>#N/A</v>
      </c>
      <c r="X75" s="70">
        <v>68</v>
      </c>
      <c r="Y75" s="56"/>
      <c r="Z75" s="56" t="s">
        <v>1331</v>
      </c>
      <c r="AA75" s="55">
        <v>43475</v>
      </c>
      <c r="AB75" s="56" t="s">
        <v>1057</v>
      </c>
      <c r="AC75" s="56"/>
      <c r="AD75" s="56"/>
      <c r="AE75" s="56"/>
      <c r="AF75" s="56"/>
      <c r="AG75" s="56"/>
    </row>
    <row r="76" spans="1:33" ht="14.25" hidden="1" customHeight="1">
      <c r="A76" s="259"/>
      <c r="B76" s="259"/>
      <c r="C76" s="260"/>
      <c r="D76" s="260"/>
      <c r="E76" s="56" t="s">
        <v>55</v>
      </c>
      <c r="F76" s="56" t="s">
        <v>520</v>
      </c>
      <c r="G76" s="56" t="s">
        <v>255</v>
      </c>
      <c r="H76" s="56" t="s">
        <v>243</v>
      </c>
      <c r="I76" s="56"/>
      <c r="J76" s="56">
        <v>30</v>
      </c>
      <c r="K76" s="56" t="s">
        <v>680</v>
      </c>
      <c r="L76" s="56"/>
      <c r="M76" s="34"/>
      <c r="N76" s="56"/>
      <c r="O76" s="56"/>
      <c r="P76" s="56"/>
      <c r="Q76" s="56"/>
      <c r="R76" s="54"/>
      <c r="S76" s="25" t="e">
        <v>#N/A</v>
      </c>
      <c r="T76" s="56" t="s">
        <v>1547</v>
      </c>
      <c r="U76" s="56"/>
      <c r="V76" s="229" t="e">
        <v>#N/A</v>
      </c>
      <c r="W76" s="229" t="e">
        <v>#N/A</v>
      </c>
      <c r="X76" s="70"/>
      <c r="Y76" s="56" t="s">
        <v>1060</v>
      </c>
      <c r="Z76" s="56"/>
      <c r="AA76" s="55"/>
      <c r="AB76" s="56"/>
      <c r="AC76" s="70"/>
      <c r="AD76" s="70"/>
      <c r="AE76" s="70"/>
      <c r="AF76" s="70"/>
      <c r="AG76" s="70"/>
    </row>
    <row r="77" spans="1:33" ht="14.25" hidden="1" customHeight="1">
      <c r="A77" s="62"/>
      <c r="B77" s="62"/>
      <c r="C77" s="63" t="s">
        <v>1548</v>
      </c>
      <c r="D77" s="63">
        <v>1</v>
      </c>
      <c r="E77" s="56" t="s">
        <v>55</v>
      </c>
      <c r="F77" s="56" t="s">
        <v>522</v>
      </c>
      <c r="G77" s="56" t="s">
        <v>329</v>
      </c>
      <c r="H77" s="56" t="s">
        <v>243</v>
      </c>
      <c r="I77" s="56"/>
      <c r="J77" s="56">
        <v>31</v>
      </c>
      <c r="K77" s="56" t="s">
        <v>680</v>
      </c>
      <c r="L77" s="56"/>
      <c r="M77" s="34"/>
      <c r="N77" s="56"/>
      <c r="O77" s="56"/>
      <c r="P77" s="56"/>
      <c r="Q77" s="56"/>
      <c r="R77" s="54"/>
      <c r="S77" s="25" t="e">
        <v>#N/A</v>
      </c>
      <c r="T77" s="56" t="s">
        <v>1549</v>
      </c>
      <c r="U77" s="56"/>
      <c r="V77" s="64" t="e">
        <v>#N/A</v>
      </c>
      <c r="W77" s="64" t="e">
        <v>#N/A</v>
      </c>
      <c r="X77" s="70"/>
      <c r="Y77" s="56" t="s">
        <v>1060</v>
      </c>
      <c r="Z77" s="56"/>
      <c r="AA77" s="55"/>
      <c r="AB77" s="56"/>
      <c r="AC77" s="70"/>
      <c r="AD77" s="70"/>
      <c r="AE77" s="70"/>
      <c r="AF77" s="70"/>
      <c r="AG77" s="70"/>
    </row>
    <row r="78" spans="1:33" ht="14.25" hidden="1" customHeight="1">
      <c r="A78" s="259"/>
      <c r="B78" s="259"/>
      <c r="C78" s="260" t="s">
        <v>1550</v>
      </c>
      <c r="D78" s="260">
        <v>1</v>
      </c>
      <c r="E78" s="56" t="s">
        <v>55</v>
      </c>
      <c r="F78" s="56" t="s">
        <v>260</v>
      </c>
      <c r="G78" s="56" t="s">
        <v>242</v>
      </c>
      <c r="H78" s="56" t="s">
        <v>243</v>
      </c>
      <c r="I78" s="56"/>
      <c r="J78" s="22">
        <v>81</v>
      </c>
      <c r="K78" s="56" t="s">
        <v>680</v>
      </c>
      <c r="L78" s="56"/>
      <c r="M78" s="34"/>
      <c r="N78" s="56"/>
      <c r="O78" s="56"/>
      <c r="P78" s="56"/>
      <c r="Q78" s="56"/>
      <c r="R78" s="274"/>
      <c r="S78" s="25" t="e">
        <v>#N/A</v>
      </c>
      <c r="T78" s="56" t="s">
        <v>1551</v>
      </c>
      <c r="U78" s="56">
        <v>1</v>
      </c>
      <c r="V78" s="229" t="e">
        <v>#N/A</v>
      </c>
      <c r="W78" s="229" t="e">
        <v>#N/A</v>
      </c>
      <c r="X78" s="70"/>
      <c r="Y78" s="56" t="s">
        <v>1060</v>
      </c>
      <c r="Z78" s="56"/>
      <c r="AA78" s="55"/>
      <c r="AB78" s="56"/>
      <c r="AC78" s="70"/>
      <c r="AD78" s="70"/>
      <c r="AE78" s="70"/>
      <c r="AF78" s="70"/>
      <c r="AG78" s="70"/>
    </row>
    <row r="79" spans="1:33" ht="14.25" hidden="1" customHeight="1">
      <c r="A79" s="259"/>
      <c r="B79" s="259"/>
      <c r="C79" s="260" t="s">
        <v>225</v>
      </c>
      <c r="D79" s="260">
        <v>1</v>
      </c>
      <c r="E79" s="56" t="s">
        <v>55</v>
      </c>
      <c r="F79" s="56" t="s">
        <v>270</v>
      </c>
      <c r="G79" s="56" t="s">
        <v>242</v>
      </c>
      <c r="H79" s="56" t="s">
        <v>243</v>
      </c>
      <c r="I79" s="56"/>
      <c r="J79" s="22">
        <v>82</v>
      </c>
      <c r="K79" s="56" t="s">
        <v>680</v>
      </c>
      <c r="L79" s="56"/>
      <c r="M79" s="34"/>
      <c r="N79" s="56"/>
      <c r="O79" s="56"/>
      <c r="P79" s="56"/>
      <c r="Q79" s="56"/>
      <c r="R79" s="274"/>
      <c r="S79" s="25" t="e">
        <v>#N/A</v>
      </c>
      <c r="T79" s="56" t="s">
        <v>1551</v>
      </c>
      <c r="U79" s="56">
        <v>1</v>
      </c>
      <c r="V79" s="229" t="e">
        <v>#N/A</v>
      </c>
      <c r="W79" s="229" t="e">
        <v>#N/A</v>
      </c>
      <c r="X79" s="70"/>
      <c r="Y79" s="56" t="s">
        <v>1060</v>
      </c>
      <c r="Z79" s="56"/>
      <c r="AA79" s="55"/>
      <c r="AB79" s="56"/>
      <c r="AC79" s="70"/>
      <c r="AD79" s="70"/>
      <c r="AE79" s="70"/>
      <c r="AF79" s="70"/>
      <c r="AG79" s="70"/>
    </row>
    <row r="80" spans="1:33" ht="14.25" hidden="1" customHeight="1">
      <c r="A80" s="56"/>
      <c r="B80" s="56"/>
      <c r="C80" s="56" t="s">
        <v>1552</v>
      </c>
      <c r="D80" s="56">
        <v>1</v>
      </c>
      <c r="E80" s="56" t="s">
        <v>55</v>
      </c>
      <c r="F80" s="56" t="s">
        <v>1223</v>
      </c>
      <c r="G80" s="56" t="s">
        <v>242</v>
      </c>
      <c r="H80" s="56" t="s">
        <v>243</v>
      </c>
      <c r="I80" s="56"/>
      <c r="J80" s="22">
        <v>83</v>
      </c>
      <c r="K80" s="56" t="s">
        <v>680</v>
      </c>
      <c r="L80" s="56"/>
      <c r="M80" s="34"/>
      <c r="N80" s="56"/>
      <c r="O80" s="56"/>
      <c r="P80" s="56"/>
      <c r="Q80" s="56"/>
      <c r="R80" s="274"/>
      <c r="S80" s="25" t="e">
        <v>#N/A</v>
      </c>
      <c r="T80" s="56" t="s">
        <v>1551</v>
      </c>
      <c r="U80" s="56">
        <v>1</v>
      </c>
      <c r="V80" s="56" t="e">
        <v>#N/A</v>
      </c>
      <c r="W80" s="56" t="e">
        <v>#N/A</v>
      </c>
      <c r="X80" s="70"/>
      <c r="Y80" s="56" t="s">
        <v>1060</v>
      </c>
      <c r="Z80" s="56"/>
      <c r="AA80" s="55"/>
      <c r="AB80" s="56"/>
      <c r="AC80" s="70"/>
      <c r="AD80" s="70"/>
      <c r="AE80" s="70"/>
      <c r="AF80" s="70"/>
      <c r="AG80" s="70"/>
    </row>
    <row r="81" spans="1:33" ht="14.25" hidden="1" customHeight="1">
      <c r="A81" s="259"/>
      <c r="B81" s="259"/>
      <c r="C81" s="260" t="s">
        <v>1553</v>
      </c>
      <c r="D81" s="260">
        <v>1</v>
      </c>
      <c r="E81" s="56" t="s">
        <v>55</v>
      </c>
      <c r="F81" s="56" t="s">
        <v>1228</v>
      </c>
      <c r="G81" s="56" t="s">
        <v>242</v>
      </c>
      <c r="H81" s="56" t="s">
        <v>243</v>
      </c>
      <c r="I81" s="56"/>
      <c r="J81" s="22">
        <v>84</v>
      </c>
      <c r="K81" s="56" t="s">
        <v>680</v>
      </c>
      <c r="L81" s="56"/>
      <c r="M81" s="34"/>
      <c r="N81" s="56"/>
      <c r="O81" s="56"/>
      <c r="P81" s="56"/>
      <c r="Q81" s="56"/>
      <c r="R81" s="274"/>
      <c r="S81" s="25" t="e">
        <v>#N/A</v>
      </c>
      <c r="T81" s="56" t="s">
        <v>1551</v>
      </c>
      <c r="U81" s="56">
        <v>1</v>
      </c>
      <c r="V81" s="229" t="e">
        <v>#N/A</v>
      </c>
      <c r="W81" s="229" t="e">
        <v>#N/A</v>
      </c>
      <c r="X81" s="70"/>
      <c r="Y81" s="56" t="s">
        <v>1060</v>
      </c>
      <c r="Z81" s="56"/>
      <c r="AA81" s="55"/>
      <c r="AB81" s="56"/>
      <c r="AC81" s="70"/>
      <c r="AD81" s="70"/>
      <c r="AE81" s="70"/>
      <c r="AF81" s="70"/>
      <c r="AG81" s="70"/>
    </row>
    <row r="82" spans="1:33" ht="14.25" customHeight="1">
      <c r="A82" s="259"/>
      <c r="B82" s="259"/>
      <c r="C82" s="260"/>
      <c r="D82" s="260"/>
      <c r="E82" s="56" t="s">
        <v>59</v>
      </c>
      <c r="F82" s="56" t="s">
        <v>341</v>
      </c>
      <c r="G82" s="56" t="s">
        <v>247</v>
      </c>
      <c r="H82" s="56" t="s">
        <v>243</v>
      </c>
      <c r="I82" s="56"/>
      <c r="J82" s="56">
        <v>32</v>
      </c>
      <c r="K82" s="56" t="s">
        <v>682</v>
      </c>
      <c r="L82" s="56" t="s">
        <v>1905</v>
      </c>
      <c r="M82" s="34" t="s">
        <v>342</v>
      </c>
      <c r="N82" s="56" t="s">
        <v>1554</v>
      </c>
      <c r="O82" s="56" t="s">
        <v>1555</v>
      </c>
      <c r="P82" s="56" t="s">
        <v>1556</v>
      </c>
      <c r="Q82" s="56"/>
      <c r="R82" s="249" t="s">
        <v>1346</v>
      </c>
      <c r="S82" s="25" t="s">
        <v>1252</v>
      </c>
      <c r="T82" s="56" t="s">
        <v>1557</v>
      </c>
      <c r="U82" s="56">
        <v>1</v>
      </c>
      <c r="V82" s="229" t="e">
        <v>#N/A</v>
      </c>
      <c r="W82" s="229" t="e">
        <v>#N/A</v>
      </c>
      <c r="X82" s="70">
        <v>27</v>
      </c>
      <c r="Y82" s="56"/>
      <c r="Z82" s="56" t="s">
        <v>1331</v>
      </c>
      <c r="AA82" s="55">
        <v>43475</v>
      </c>
      <c r="AB82" s="56" t="s">
        <v>1057</v>
      </c>
      <c r="AC82" s="70"/>
      <c r="AD82" s="70"/>
      <c r="AE82" s="70"/>
      <c r="AF82" s="70"/>
      <c r="AG82" s="70"/>
    </row>
    <row r="83" spans="1:33" ht="14.25" customHeight="1">
      <c r="A83" s="259"/>
      <c r="B83" s="259"/>
      <c r="C83" s="260"/>
      <c r="D83" s="260"/>
      <c r="E83" s="56" t="s">
        <v>59</v>
      </c>
      <c r="F83" s="56" t="s">
        <v>343</v>
      </c>
      <c r="G83" s="56" t="s">
        <v>247</v>
      </c>
      <c r="H83" s="56" t="s">
        <v>243</v>
      </c>
      <c r="I83" s="56"/>
      <c r="J83" s="56">
        <v>33</v>
      </c>
      <c r="K83" s="56" t="s">
        <v>682</v>
      </c>
      <c r="L83" s="56" t="s">
        <v>1905</v>
      </c>
      <c r="M83" s="34" t="s">
        <v>344</v>
      </c>
      <c r="N83" s="56" t="s">
        <v>1554</v>
      </c>
      <c r="O83" s="56" t="s">
        <v>1558</v>
      </c>
      <c r="P83" s="56" t="s">
        <v>1559</v>
      </c>
      <c r="Q83" s="56"/>
      <c r="R83" s="249" t="s">
        <v>1346</v>
      </c>
      <c r="S83" s="25" t="s">
        <v>1252</v>
      </c>
      <c r="T83" s="56" t="s">
        <v>1560</v>
      </c>
      <c r="U83" s="56">
        <v>1</v>
      </c>
      <c r="V83" s="229" t="e">
        <v>#N/A</v>
      </c>
      <c r="W83" s="229" t="e">
        <v>#N/A</v>
      </c>
      <c r="X83" s="70">
        <v>28</v>
      </c>
      <c r="Y83" s="56"/>
      <c r="Z83" s="56" t="s">
        <v>1331</v>
      </c>
      <c r="AA83" s="55">
        <v>43475</v>
      </c>
      <c r="AB83" s="56" t="s">
        <v>1057</v>
      </c>
      <c r="AC83" s="70"/>
      <c r="AD83" s="70"/>
      <c r="AE83" s="70"/>
      <c r="AF83" s="70"/>
      <c r="AG83" s="70"/>
    </row>
    <row r="84" spans="1:33" ht="14.25" customHeight="1">
      <c r="A84" s="259"/>
      <c r="B84" s="259"/>
      <c r="C84" s="260"/>
      <c r="D84" s="260"/>
      <c r="E84" s="56" t="s">
        <v>59</v>
      </c>
      <c r="F84" s="56" t="s">
        <v>363</v>
      </c>
      <c r="G84" s="56" t="s">
        <v>364</v>
      </c>
      <c r="H84" s="56" t="s">
        <v>243</v>
      </c>
      <c r="I84" s="56"/>
      <c r="J84" s="56">
        <v>34</v>
      </c>
      <c r="K84" s="56" t="s">
        <v>682</v>
      </c>
      <c r="L84" s="56" t="s">
        <v>1905</v>
      </c>
      <c r="M84" s="34" t="s">
        <v>365</v>
      </c>
      <c r="N84" s="56" t="s">
        <v>1561</v>
      </c>
      <c r="O84" s="56" t="s">
        <v>1562</v>
      </c>
      <c r="P84" s="56" t="s">
        <v>1563</v>
      </c>
      <c r="Q84" s="56"/>
      <c r="R84" s="249" t="s">
        <v>1346</v>
      </c>
      <c r="S84" s="25"/>
      <c r="T84" s="56" t="s">
        <v>1564</v>
      </c>
      <c r="U84" s="56">
        <v>1</v>
      </c>
      <c r="V84" s="229" t="e">
        <v>#N/A</v>
      </c>
      <c r="W84" s="229" t="e">
        <v>#N/A</v>
      </c>
      <c r="X84" s="70">
        <v>38</v>
      </c>
      <c r="Y84" s="56"/>
      <c r="Z84" s="56" t="s">
        <v>1331</v>
      </c>
      <c r="AA84" s="55">
        <v>43475</v>
      </c>
      <c r="AB84" s="56" t="s">
        <v>1057</v>
      </c>
      <c r="AC84" s="70"/>
      <c r="AD84" s="70"/>
      <c r="AE84" s="70"/>
      <c r="AF84" s="70"/>
      <c r="AG84" s="70"/>
    </row>
    <row r="85" spans="1:33" ht="14.25" customHeight="1">
      <c r="A85" s="259"/>
      <c r="B85" s="259"/>
      <c r="C85" s="260"/>
      <c r="D85" s="260"/>
      <c r="E85" s="56" t="s">
        <v>59</v>
      </c>
      <c r="F85" s="56" t="s">
        <v>318</v>
      </c>
      <c r="G85" s="56" t="s">
        <v>264</v>
      </c>
      <c r="H85" s="56" t="s">
        <v>243</v>
      </c>
      <c r="I85" s="56"/>
      <c r="J85" s="56">
        <v>35</v>
      </c>
      <c r="K85" s="56" t="s">
        <v>682</v>
      </c>
      <c r="L85" s="56" t="s">
        <v>1905</v>
      </c>
      <c r="M85" s="34" t="s">
        <v>319</v>
      </c>
      <c r="N85" s="56" t="s">
        <v>1565</v>
      </c>
      <c r="O85" s="56" t="s">
        <v>1566</v>
      </c>
      <c r="P85" s="56" t="s">
        <v>1567</v>
      </c>
      <c r="Q85" s="56"/>
      <c r="R85" s="249" t="s">
        <v>1346</v>
      </c>
      <c r="S85" s="25" t="s">
        <v>1568</v>
      </c>
      <c r="T85" s="56" t="s">
        <v>318</v>
      </c>
      <c r="U85" s="56"/>
      <c r="V85" s="229" t="e">
        <v>#N/A</v>
      </c>
      <c r="W85" s="229" t="e">
        <v>#N/A</v>
      </c>
      <c r="X85" s="70">
        <v>16</v>
      </c>
      <c r="Y85" s="56"/>
      <c r="Z85" s="56" t="s">
        <v>1331</v>
      </c>
      <c r="AA85" s="55">
        <v>43475</v>
      </c>
      <c r="AB85" s="56" t="s">
        <v>1057</v>
      </c>
      <c r="AC85" s="56"/>
      <c r="AD85" s="56"/>
      <c r="AE85" s="56"/>
      <c r="AF85" s="56"/>
      <c r="AG85" s="56"/>
    </row>
    <row r="86" spans="1:33" ht="14.25" hidden="1" customHeight="1">
      <c r="A86" s="259"/>
      <c r="B86" s="259"/>
      <c r="C86" s="260" t="s">
        <v>1569</v>
      </c>
      <c r="D86" s="260">
        <v>1</v>
      </c>
      <c r="E86" s="56" t="s">
        <v>55</v>
      </c>
      <c r="F86" s="56" t="s">
        <v>1570</v>
      </c>
      <c r="G86" s="56" t="s">
        <v>249</v>
      </c>
      <c r="H86" s="56" t="s">
        <v>243</v>
      </c>
      <c r="I86" s="56"/>
      <c r="J86" s="22"/>
      <c r="K86" s="56" t="s">
        <v>680</v>
      </c>
      <c r="L86" s="56"/>
      <c r="M86" s="34"/>
      <c r="N86" s="56"/>
      <c r="O86" s="56"/>
      <c r="P86" s="56"/>
      <c r="Q86" s="56"/>
      <c r="R86" s="54"/>
      <c r="S86" s="25" t="e">
        <v>#N/A</v>
      </c>
      <c r="T86" s="21" t="s">
        <v>1571</v>
      </c>
      <c r="U86" s="56">
        <v>1</v>
      </c>
      <c r="V86" s="229" t="e">
        <v>#N/A</v>
      </c>
      <c r="W86" s="229" t="e">
        <v>#N/A</v>
      </c>
      <c r="X86" s="70"/>
      <c r="Y86" s="56" t="s">
        <v>1060</v>
      </c>
      <c r="Z86" s="56"/>
      <c r="AA86" s="55"/>
      <c r="AB86" s="56"/>
      <c r="AC86" s="70"/>
      <c r="AD86" s="70"/>
      <c r="AE86" s="70"/>
      <c r="AF86" s="70"/>
      <c r="AG86" s="70"/>
    </row>
    <row r="87" spans="1:33" ht="38.25" customHeight="1">
      <c r="A87" s="244"/>
      <c r="B87" s="244"/>
      <c r="C87" s="244"/>
      <c r="D87" s="244"/>
      <c r="E87" s="56" t="s">
        <v>55</v>
      </c>
      <c r="F87" s="56" t="s">
        <v>476</v>
      </c>
      <c r="G87" s="56" t="s">
        <v>242</v>
      </c>
      <c r="H87" s="56" t="s">
        <v>243</v>
      </c>
      <c r="I87" s="56"/>
      <c r="J87" s="56">
        <v>36</v>
      </c>
      <c r="K87" s="56" t="s">
        <v>682</v>
      </c>
      <c r="L87" s="56" t="s">
        <v>1905</v>
      </c>
      <c r="M87" s="5" t="s">
        <v>1572</v>
      </c>
      <c r="N87" s="70" t="s">
        <v>1573</v>
      </c>
      <c r="O87" s="56" t="s">
        <v>1574</v>
      </c>
      <c r="P87" s="56" t="s">
        <v>1575</v>
      </c>
      <c r="Q87" s="56"/>
      <c r="R87" s="54"/>
      <c r="S87" s="25" t="e">
        <v>#N/A</v>
      </c>
      <c r="T87" s="56" t="s">
        <v>1576</v>
      </c>
      <c r="U87" s="56">
        <v>1</v>
      </c>
      <c r="V87" s="244" t="e">
        <v>#N/A</v>
      </c>
      <c r="W87" s="244" t="e">
        <v>#N/A</v>
      </c>
      <c r="X87" s="70">
        <v>92</v>
      </c>
      <c r="Y87" s="56"/>
      <c r="Z87" s="56" t="s">
        <v>1197</v>
      </c>
      <c r="AA87" s="55">
        <v>43607</v>
      </c>
      <c r="AB87" s="56" t="s">
        <v>1577</v>
      </c>
      <c r="AC87" s="70"/>
      <c r="AD87" s="70"/>
      <c r="AE87" s="70"/>
      <c r="AF87" s="70"/>
      <c r="AG87" s="70"/>
    </row>
    <row r="88" spans="1:33" ht="14.25" hidden="1" customHeight="1">
      <c r="A88" s="259"/>
      <c r="B88" s="259"/>
      <c r="C88" s="260"/>
      <c r="D88" s="260"/>
      <c r="E88" s="56" t="s">
        <v>55</v>
      </c>
      <c r="F88" s="56" t="s">
        <v>1578</v>
      </c>
      <c r="G88" s="56" t="s">
        <v>329</v>
      </c>
      <c r="H88" s="56" t="s">
        <v>243</v>
      </c>
      <c r="I88" s="56"/>
      <c r="J88" s="56">
        <v>91</v>
      </c>
      <c r="K88" s="56" t="s">
        <v>680</v>
      </c>
      <c r="L88" s="56"/>
      <c r="M88" s="34"/>
      <c r="N88" s="56"/>
      <c r="O88" s="56"/>
      <c r="P88" s="56"/>
      <c r="Q88" s="56"/>
      <c r="R88" s="54"/>
      <c r="S88" s="25" t="e">
        <v>#N/A</v>
      </c>
      <c r="T88" s="56" t="s">
        <v>1579</v>
      </c>
      <c r="U88" s="56">
        <v>1</v>
      </c>
      <c r="V88" s="229" t="e">
        <v>#N/A</v>
      </c>
      <c r="W88" s="229" t="e">
        <v>#N/A</v>
      </c>
      <c r="X88" s="70"/>
      <c r="Y88" s="56" t="s">
        <v>1060</v>
      </c>
      <c r="Z88" s="56"/>
      <c r="AA88" s="55"/>
      <c r="AB88" s="56"/>
      <c r="AC88" s="70"/>
      <c r="AD88" s="70"/>
      <c r="AE88" s="70"/>
      <c r="AF88" s="70"/>
      <c r="AG88" s="70"/>
    </row>
    <row r="89" spans="1:33" ht="14.25" customHeight="1">
      <c r="A89" s="259"/>
      <c r="B89" s="259"/>
      <c r="C89" s="260"/>
      <c r="D89" s="260"/>
      <c r="E89" s="56" t="s">
        <v>61</v>
      </c>
      <c r="F89" s="56" t="s">
        <v>126</v>
      </c>
      <c r="G89" s="56" t="s">
        <v>242</v>
      </c>
      <c r="H89" s="56" t="s">
        <v>243</v>
      </c>
      <c r="I89" s="56"/>
      <c r="J89" s="56">
        <v>37</v>
      </c>
      <c r="K89" s="56" t="s">
        <v>682</v>
      </c>
      <c r="L89" s="56" t="s">
        <v>1905</v>
      </c>
      <c r="M89" s="34" t="s">
        <v>314</v>
      </c>
      <c r="N89" s="56" t="s">
        <v>1580</v>
      </c>
      <c r="O89" s="56" t="s">
        <v>1581</v>
      </c>
      <c r="P89" s="56" t="s">
        <v>1582</v>
      </c>
      <c r="Q89" s="56"/>
      <c r="R89" s="54"/>
      <c r="S89" s="25" t="s">
        <v>1583</v>
      </c>
      <c r="T89" s="56" t="s">
        <v>1584</v>
      </c>
      <c r="U89" s="56"/>
      <c r="V89" s="229" t="e">
        <v>#N/A</v>
      </c>
      <c r="W89" s="229" t="e">
        <v>#N/A</v>
      </c>
      <c r="X89" s="70">
        <v>13</v>
      </c>
      <c r="Y89" s="56"/>
      <c r="Z89" s="56" t="s">
        <v>1331</v>
      </c>
      <c r="AA89" s="55">
        <v>43475</v>
      </c>
      <c r="AB89" s="56" t="s">
        <v>1057</v>
      </c>
      <c r="AC89" s="65"/>
      <c r="AD89" s="65"/>
      <c r="AE89" s="65"/>
      <c r="AF89" s="65"/>
      <c r="AG89" s="65"/>
    </row>
    <row r="90" spans="1:33" ht="14.25" customHeight="1">
      <c r="A90" s="244"/>
      <c r="B90" s="244"/>
      <c r="C90" s="244"/>
      <c r="D90" s="244"/>
      <c r="E90" s="56" t="s">
        <v>55</v>
      </c>
      <c r="F90" s="56" t="s">
        <v>466</v>
      </c>
      <c r="H90" s="56" t="s">
        <v>243</v>
      </c>
      <c r="I90" s="56"/>
      <c r="J90" s="56"/>
      <c r="K90" s="56" t="s">
        <v>682</v>
      </c>
      <c r="L90" s="56" t="s">
        <v>1905</v>
      </c>
      <c r="M90" s="34" t="s">
        <v>467</v>
      </c>
      <c r="N90" s="61" t="s">
        <v>1395</v>
      </c>
      <c r="O90" s="21" t="s">
        <v>1585</v>
      </c>
      <c r="P90" s="70" t="s">
        <v>1586</v>
      </c>
      <c r="Q90" s="56" t="s">
        <v>1336</v>
      </c>
      <c r="R90" s="54"/>
      <c r="S90" s="70"/>
      <c r="T90" s="56"/>
      <c r="U90" s="56"/>
      <c r="V90" s="244" t="e">
        <v>#N/A</v>
      </c>
      <c r="W90" s="244" t="e">
        <v>#N/A</v>
      </c>
      <c r="X90" s="56">
        <v>87</v>
      </c>
      <c r="Y90" s="56"/>
      <c r="Z90" s="56" t="s">
        <v>1587</v>
      </c>
      <c r="AA90" s="55">
        <v>43529</v>
      </c>
      <c r="AB90" s="56" t="s">
        <v>1588</v>
      </c>
      <c r="AC90" s="60"/>
      <c r="AD90" s="60"/>
      <c r="AE90" s="60"/>
      <c r="AF90" s="60"/>
      <c r="AG90" s="60"/>
    </row>
    <row r="91" spans="1:33" ht="14.25" customHeight="1">
      <c r="A91" s="259"/>
      <c r="B91" s="259"/>
      <c r="C91" s="260" t="s">
        <v>1589</v>
      </c>
      <c r="D91" s="260">
        <v>1</v>
      </c>
      <c r="E91" s="56" t="s">
        <v>55</v>
      </c>
      <c r="F91" s="56" t="s">
        <v>372</v>
      </c>
      <c r="G91" s="56" t="s">
        <v>329</v>
      </c>
      <c r="H91" s="56" t="s">
        <v>243</v>
      </c>
      <c r="I91" s="56"/>
      <c r="J91" s="56">
        <v>38</v>
      </c>
      <c r="K91" s="56" t="s">
        <v>682</v>
      </c>
      <c r="L91" s="56" t="s">
        <v>1905</v>
      </c>
      <c r="M91" s="34" t="s">
        <v>373</v>
      </c>
      <c r="N91" s="56" t="s">
        <v>1395</v>
      </c>
      <c r="O91" s="56" t="s">
        <v>1590</v>
      </c>
      <c r="P91" s="56" t="s">
        <v>1376</v>
      </c>
      <c r="Q91" s="56" t="s">
        <v>1398</v>
      </c>
      <c r="R91" s="54"/>
      <c r="S91" s="25"/>
      <c r="T91" s="56" t="s">
        <v>1591</v>
      </c>
      <c r="U91" s="56"/>
      <c r="V91" s="229" t="e">
        <v>#N/A</v>
      </c>
      <c r="W91" s="229" t="e">
        <v>#N/A</v>
      </c>
      <c r="X91" s="70">
        <v>42</v>
      </c>
      <c r="Y91" s="56"/>
      <c r="Z91" s="56" t="s">
        <v>1331</v>
      </c>
      <c r="AA91" s="55">
        <v>43475</v>
      </c>
      <c r="AB91" s="56" t="s">
        <v>1057</v>
      </c>
      <c r="AC91" s="70"/>
      <c r="AD91" s="70"/>
      <c r="AE91" s="70"/>
      <c r="AF91" s="70"/>
      <c r="AG91" s="70"/>
    </row>
    <row r="92" spans="1:33" ht="14.25" customHeight="1">
      <c r="A92" s="259"/>
      <c r="B92" s="259"/>
      <c r="C92" s="260" t="s">
        <v>1592</v>
      </c>
      <c r="D92" s="260">
        <v>1</v>
      </c>
      <c r="E92" s="56" t="s">
        <v>55</v>
      </c>
      <c r="F92" s="56" t="s">
        <v>428</v>
      </c>
      <c r="G92" s="56" t="s">
        <v>429</v>
      </c>
      <c r="H92" s="56" t="s">
        <v>243</v>
      </c>
      <c r="I92" s="56"/>
      <c r="J92" s="22"/>
      <c r="K92" s="56" t="s">
        <v>682</v>
      </c>
      <c r="L92" s="56" t="s">
        <v>1905</v>
      </c>
      <c r="M92" s="34" t="s">
        <v>430</v>
      </c>
      <c r="N92" s="56" t="s">
        <v>1593</v>
      </c>
      <c r="O92" s="56" t="s">
        <v>1594</v>
      </c>
      <c r="P92" s="56" t="s">
        <v>1595</v>
      </c>
      <c r="Q92" s="56"/>
      <c r="R92" s="54"/>
      <c r="S92" s="25"/>
      <c r="T92" s="61" t="s">
        <v>1596</v>
      </c>
      <c r="U92" s="56"/>
      <c r="V92" s="229" t="e">
        <v>#N/A</v>
      </c>
      <c r="W92" s="229" t="e">
        <v>#N/A</v>
      </c>
      <c r="X92" s="70">
        <v>70</v>
      </c>
      <c r="Y92" s="56"/>
      <c r="Z92" s="56" t="s">
        <v>1331</v>
      </c>
      <c r="AA92" s="55">
        <v>43475</v>
      </c>
      <c r="AB92" s="56" t="s">
        <v>1057</v>
      </c>
      <c r="AC92" s="70"/>
      <c r="AD92" s="70"/>
      <c r="AE92" s="70"/>
      <c r="AF92" s="70"/>
      <c r="AG92" s="70"/>
    </row>
    <row r="93" spans="1:33" ht="14.25" customHeight="1">
      <c r="A93" s="259"/>
      <c r="B93" s="259"/>
      <c r="C93" s="260"/>
      <c r="D93" s="260"/>
      <c r="E93" s="56" t="s">
        <v>59</v>
      </c>
      <c r="F93" s="56" t="s">
        <v>331</v>
      </c>
      <c r="G93" s="56" t="s">
        <v>329</v>
      </c>
      <c r="H93" s="56" t="s">
        <v>243</v>
      </c>
      <c r="I93" s="56"/>
      <c r="J93" s="56">
        <v>39</v>
      </c>
      <c r="K93" s="56" t="s">
        <v>682</v>
      </c>
      <c r="L93" s="56" t="s">
        <v>1905</v>
      </c>
      <c r="M93" s="34" t="s">
        <v>332</v>
      </c>
      <c r="N93" s="56" t="s">
        <v>1597</v>
      </c>
      <c r="O93" s="56" t="s">
        <v>1598</v>
      </c>
      <c r="P93" s="56" t="s">
        <v>1401</v>
      </c>
      <c r="Q93" s="56" t="s">
        <v>1398</v>
      </c>
      <c r="R93" s="54"/>
      <c r="S93" s="25">
        <v>1</v>
      </c>
      <c r="T93" s="56" t="s">
        <v>1599</v>
      </c>
      <c r="U93" s="56"/>
      <c r="V93" s="229" t="e">
        <v>#N/A</v>
      </c>
      <c r="W93" s="229" t="e">
        <v>#N/A</v>
      </c>
      <c r="X93" s="70">
        <v>22</v>
      </c>
      <c r="Y93" s="56"/>
      <c r="Z93" s="56" t="s">
        <v>1331</v>
      </c>
      <c r="AA93" s="55">
        <v>43475</v>
      </c>
      <c r="AB93" s="56" t="s">
        <v>1057</v>
      </c>
      <c r="AC93" s="70"/>
      <c r="AD93" s="70"/>
      <c r="AE93" s="70"/>
      <c r="AF93" s="70"/>
      <c r="AG93" s="70"/>
    </row>
    <row r="94" spans="1:33" ht="14.25" hidden="1" customHeight="1">
      <c r="A94" s="259"/>
      <c r="B94" s="259"/>
      <c r="C94" s="260"/>
      <c r="D94" s="260"/>
      <c r="E94" s="56" t="s">
        <v>53</v>
      </c>
      <c r="F94" s="56" t="s">
        <v>124</v>
      </c>
      <c r="G94" s="56" t="s">
        <v>535</v>
      </c>
      <c r="H94" s="56" t="s">
        <v>903</v>
      </c>
      <c r="I94" s="56"/>
      <c r="J94" s="56">
        <v>1</v>
      </c>
      <c r="K94" s="56" t="s">
        <v>680</v>
      </c>
      <c r="L94" s="56"/>
      <c r="M94" s="34"/>
      <c r="N94" s="56"/>
      <c r="O94" s="56"/>
      <c r="P94" s="56"/>
      <c r="Q94" s="56"/>
      <c r="R94" s="54"/>
      <c r="S94" s="25" t="e">
        <v>#N/A</v>
      </c>
      <c r="T94" s="56" t="s">
        <v>1190</v>
      </c>
      <c r="U94" s="56"/>
      <c r="V94" s="229" t="e">
        <v>#N/A</v>
      </c>
      <c r="W94" s="229" t="e">
        <v>#N/A</v>
      </c>
      <c r="X94" s="70"/>
      <c r="Y94" s="56" t="s">
        <v>1060</v>
      </c>
      <c r="Z94" s="56"/>
      <c r="AA94" s="55"/>
      <c r="AB94" s="56"/>
      <c r="AC94" s="70"/>
      <c r="AD94" s="70"/>
      <c r="AE94" s="70"/>
      <c r="AF94" s="70"/>
      <c r="AG94" s="70"/>
    </row>
    <row r="95" spans="1:33" ht="14.25" customHeight="1">
      <c r="A95" s="259"/>
      <c r="B95" s="259"/>
      <c r="C95" s="260"/>
      <c r="D95" s="260"/>
      <c r="E95" s="56" t="s">
        <v>55</v>
      </c>
      <c r="F95" s="56" t="s">
        <v>361</v>
      </c>
      <c r="G95" s="56" t="s">
        <v>255</v>
      </c>
      <c r="H95" s="56" t="s">
        <v>243</v>
      </c>
      <c r="I95" s="56"/>
      <c r="J95" s="56">
        <v>40</v>
      </c>
      <c r="K95" s="56" t="s">
        <v>682</v>
      </c>
      <c r="L95" s="56" t="s">
        <v>1905</v>
      </c>
      <c r="M95" s="34" t="s">
        <v>362</v>
      </c>
      <c r="N95" s="56" t="s">
        <v>1600</v>
      </c>
      <c r="O95" s="56"/>
      <c r="P95" s="56" t="s">
        <v>1601</v>
      </c>
      <c r="Q95" s="56"/>
      <c r="R95" s="249"/>
      <c r="S95" s="25"/>
      <c r="T95" s="56" t="s">
        <v>1602</v>
      </c>
      <c r="U95" s="56">
        <v>1</v>
      </c>
      <c r="V95" s="229" t="e">
        <v>#N/A</v>
      </c>
      <c r="W95" s="229" t="e">
        <v>#N/A</v>
      </c>
      <c r="X95" s="70">
        <v>37</v>
      </c>
      <c r="Y95" s="56"/>
      <c r="Z95" s="56" t="s">
        <v>1331</v>
      </c>
      <c r="AA95" s="55">
        <v>43475</v>
      </c>
      <c r="AB95" s="56" t="s">
        <v>1603</v>
      </c>
      <c r="AC95" s="70"/>
      <c r="AD95" s="70"/>
      <c r="AE95" s="70"/>
      <c r="AF95" s="70"/>
      <c r="AG95" s="70"/>
    </row>
    <row r="96" spans="1:33" ht="14.25" customHeight="1">
      <c r="A96" s="259"/>
      <c r="B96" s="259"/>
      <c r="C96" s="260"/>
      <c r="D96" s="260"/>
      <c r="E96" s="56" t="s">
        <v>59</v>
      </c>
      <c r="F96" s="56" t="s">
        <v>322</v>
      </c>
      <c r="G96" s="56" t="s">
        <v>264</v>
      </c>
      <c r="H96" s="56" t="s">
        <v>243</v>
      </c>
      <c r="I96" s="56"/>
      <c r="J96" s="56">
        <v>41</v>
      </c>
      <c r="K96" s="56" t="s">
        <v>682</v>
      </c>
      <c r="L96" s="56" t="s">
        <v>1905</v>
      </c>
      <c r="M96" s="34" t="s">
        <v>323</v>
      </c>
      <c r="N96" s="56" t="s">
        <v>1604</v>
      </c>
      <c r="O96" s="56" t="s">
        <v>1605</v>
      </c>
      <c r="P96" s="56" t="s">
        <v>1606</v>
      </c>
      <c r="Q96" s="56"/>
      <c r="R96" s="249" t="s">
        <v>1346</v>
      </c>
      <c r="S96" s="25"/>
      <c r="T96" s="56" t="s">
        <v>322</v>
      </c>
      <c r="U96" s="56"/>
      <c r="V96" s="229" t="e">
        <v>#N/A</v>
      </c>
      <c r="W96" s="229" t="e">
        <v>#N/A</v>
      </c>
      <c r="X96" s="70">
        <v>18</v>
      </c>
      <c r="Y96" s="56"/>
      <c r="Z96" s="56" t="s">
        <v>1331</v>
      </c>
      <c r="AA96" s="55">
        <v>43475</v>
      </c>
      <c r="AB96" s="56" t="s">
        <v>1057</v>
      </c>
      <c r="AC96" s="70"/>
      <c r="AD96" s="70"/>
      <c r="AE96" s="70"/>
      <c r="AF96" s="70"/>
      <c r="AG96" s="70"/>
    </row>
    <row r="97" spans="1:33" ht="17.25" customHeight="1">
      <c r="A97" s="259"/>
      <c r="B97" s="259"/>
      <c r="C97" s="260"/>
      <c r="D97" s="260"/>
      <c r="E97" s="56" t="s">
        <v>55</v>
      </c>
      <c r="F97" s="56" t="s">
        <v>411</v>
      </c>
      <c r="G97" s="56" t="s">
        <v>329</v>
      </c>
      <c r="H97" s="56" t="s">
        <v>243</v>
      </c>
      <c r="I97" s="56"/>
      <c r="J97" s="22"/>
      <c r="K97" s="56" t="s">
        <v>682</v>
      </c>
      <c r="L97" s="56" t="s">
        <v>1905</v>
      </c>
      <c r="M97" s="34" t="s">
        <v>412</v>
      </c>
      <c r="N97" s="56" t="s">
        <v>1370</v>
      </c>
      <c r="O97" s="56" t="s">
        <v>1607</v>
      </c>
      <c r="P97" s="56" t="s">
        <v>1608</v>
      </c>
      <c r="Q97" s="56"/>
      <c r="R97" s="54"/>
      <c r="S97" s="25">
        <v>0</v>
      </c>
      <c r="T97" s="21" t="s">
        <v>1609</v>
      </c>
      <c r="U97" s="56"/>
      <c r="V97" s="229" t="e">
        <v>#N/A</v>
      </c>
      <c r="W97" s="229" t="e">
        <v>#N/A</v>
      </c>
      <c r="X97" s="70">
        <v>62</v>
      </c>
      <c r="Y97" s="56"/>
      <c r="Z97" s="56" t="s">
        <v>1331</v>
      </c>
      <c r="AA97" s="55">
        <v>43475</v>
      </c>
      <c r="AB97" s="56" t="s">
        <v>1057</v>
      </c>
      <c r="AC97" s="70"/>
      <c r="AD97" s="70"/>
      <c r="AE97" s="70"/>
      <c r="AF97" s="70"/>
      <c r="AG97" s="70"/>
    </row>
    <row r="98" spans="1:33" ht="16.5" customHeight="1">
      <c r="A98" s="259"/>
      <c r="B98" s="259"/>
      <c r="C98" s="260"/>
      <c r="D98" s="260"/>
      <c r="E98" s="56" t="s">
        <v>55</v>
      </c>
      <c r="F98" s="56" t="s">
        <v>398</v>
      </c>
      <c r="G98" s="56" t="s">
        <v>329</v>
      </c>
      <c r="H98" s="56" t="s">
        <v>243</v>
      </c>
      <c r="I98" s="56"/>
      <c r="J98" s="56">
        <v>42</v>
      </c>
      <c r="K98" s="56" t="s">
        <v>682</v>
      </c>
      <c r="L98" s="56" t="s">
        <v>1905</v>
      </c>
      <c r="M98" s="34" t="s">
        <v>399</v>
      </c>
      <c r="N98" s="56" t="s">
        <v>1370</v>
      </c>
      <c r="O98" s="56" t="s">
        <v>1610</v>
      </c>
      <c r="P98" s="56" t="s">
        <v>1608</v>
      </c>
      <c r="Q98" s="56"/>
      <c r="R98" s="54"/>
      <c r="S98" s="25">
        <v>-7665.62</v>
      </c>
      <c r="T98" s="56" t="s">
        <v>1611</v>
      </c>
      <c r="U98" s="56"/>
      <c r="V98" s="229" t="e">
        <v>#N/A</v>
      </c>
      <c r="W98" s="229" t="e">
        <v>#N/A</v>
      </c>
      <c r="X98" s="70">
        <v>56</v>
      </c>
      <c r="Y98" s="56"/>
      <c r="Z98" s="56" t="s">
        <v>1331</v>
      </c>
      <c r="AA98" s="55">
        <v>43475</v>
      </c>
      <c r="AB98" s="56" t="s">
        <v>1057</v>
      </c>
      <c r="AC98" s="34"/>
      <c r="AD98" s="34"/>
      <c r="AE98" s="34"/>
      <c r="AF98" s="34"/>
      <c r="AG98" s="34"/>
    </row>
    <row r="99" spans="1:33" ht="14.25" customHeight="1">
      <c r="A99" s="259"/>
      <c r="B99" s="259"/>
      <c r="C99" s="260"/>
      <c r="D99" s="260" t="s">
        <v>1612</v>
      </c>
      <c r="E99" s="56" t="s">
        <v>55</v>
      </c>
      <c r="F99" s="56" t="s">
        <v>418</v>
      </c>
      <c r="G99" s="56" t="s">
        <v>329</v>
      </c>
      <c r="H99" s="56" t="s">
        <v>243</v>
      </c>
      <c r="I99" s="56"/>
      <c r="J99" s="22"/>
      <c r="K99" s="56" t="s">
        <v>682</v>
      </c>
      <c r="L99" s="56" t="s">
        <v>1905</v>
      </c>
      <c r="M99" s="66" t="s">
        <v>419</v>
      </c>
      <c r="N99" s="56" t="s">
        <v>1370</v>
      </c>
      <c r="O99" s="56" t="s">
        <v>1613</v>
      </c>
      <c r="P99" s="56" t="s">
        <v>1608</v>
      </c>
      <c r="Q99" s="56"/>
      <c r="R99" s="54"/>
      <c r="S99" s="25">
        <v>0</v>
      </c>
      <c r="T99" s="56" t="s">
        <v>1614</v>
      </c>
      <c r="U99" s="56"/>
      <c r="V99" s="229" t="e">
        <v>#N/A</v>
      </c>
      <c r="W99" s="229" t="e">
        <v>#N/A</v>
      </c>
      <c r="X99" s="70">
        <v>65</v>
      </c>
      <c r="Y99" s="56"/>
      <c r="Z99" s="56" t="s">
        <v>1521</v>
      </c>
      <c r="AA99" s="55">
        <v>43538</v>
      </c>
      <c r="AB99" s="56" t="s">
        <v>1615</v>
      </c>
      <c r="AC99" s="70"/>
      <c r="AD99" s="70"/>
      <c r="AE99" s="70"/>
      <c r="AF99" s="70"/>
      <c r="AG99" s="70"/>
    </row>
    <row r="100" spans="1:33" ht="14.25" customHeight="1">
      <c r="A100" s="259"/>
      <c r="B100" s="259"/>
      <c r="C100" s="260"/>
      <c r="D100" s="260"/>
      <c r="E100" s="56" t="s">
        <v>59</v>
      </c>
      <c r="F100" s="56" t="s">
        <v>129</v>
      </c>
      <c r="G100" s="56" t="s">
        <v>250</v>
      </c>
      <c r="H100" s="56" t="s">
        <v>243</v>
      </c>
      <c r="I100" s="56"/>
      <c r="J100" s="56">
        <v>43</v>
      </c>
      <c r="K100" s="56" t="s">
        <v>682</v>
      </c>
      <c r="L100" s="56" t="s">
        <v>1905</v>
      </c>
      <c r="M100" s="34" t="s">
        <v>337</v>
      </c>
      <c r="N100" s="56" t="s">
        <v>1456</v>
      </c>
      <c r="O100" s="56" t="s">
        <v>1616</v>
      </c>
      <c r="P100" s="56" t="s">
        <v>1462</v>
      </c>
      <c r="Q100" s="56"/>
      <c r="R100" s="54"/>
      <c r="S100" s="25" t="s">
        <v>1201</v>
      </c>
      <c r="T100" s="56" t="s">
        <v>1617</v>
      </c>
      <c r="U100" s="56">
        <v>1</v>
      </c>
      <c r="V100" s="229" t="e">
        <v>#N/A</v>
      </c>
      <c r="W100" s="229" t="e">
        <v>#N/A</v>
      </c>
      <c r="X100" s="70">
        <v>25</v>
      </c>
      <c r="Y100" s="56"/>
      <c r="Z100" s="56" t="s">
        <v>1331</v>
      </c>
      <c r="AA100" s="55">
        <v>43475</v>
      </c>
      <c r="AB100" s="56" t="s">
        <v>1618</v>
      </c>
      <c r="AC100" s="70"/>
      <c r="AD100" s="70"/>
      <c r="AE100" s="70"/>
      <c r="AF100" s="70"/>
      <c r="AG100" s="70"/>
    </row>
    <row r="101" spans="1:33" ht="14.25" customHeight="1">
      <c r="A101" s="259"/>
      <c r="B101" s="259"/>
      <c r="C101" s="260"/>
      <c r="D101" s="260"/>
      <c r="E101" s="56" t="s">
        <v>59</v>
      </c>
      <c r="F101" s="56" t="s">
        <v>339</v>
      </c>
      <c r="G101" s="56" t="s">
        <v>242</v>
      </c>
      <c r="H101" s="56" t="s">
        <v>243</v>
      </c>
      <c r="I101" s="56"/>
      <c r="J101" s="56">
        <v>72</v>
      </c>
      <c r="K101" s="56" t="s">
        <v>682</v>
      </c>
      <c r="L101" s="56" t="s">
        <v>1905</v>
      </c>
      <c r="M101" s="34" t="s">
        <v>340</v>
      </c>
      <c r="N101" s="56" t="s">
        <v>1390</v>
      </c>
      <c r="O101" s="56" t="s">
        <v>1619</v>
      </c>
      <c r="P101" s="56" t="s">
        <v>1462</v>
      </c>
      <c r="Q101" s="56"/>
      <c r="R101" s="54"/>
      <c r="S101" s="25" t="s">
        <v>1463</v>
      </c>
      <c r="T101" s="56" t="s">
        <v>1620</v>
      </c>
      <c r="U101" s="56"/>
      <c r="V101" s="229" t="e">
        <v>#N/A</v>
      </c>
      <c r="W101" s="229" t="e">
        <v>#N/A</v>
      </c>
      <c r="X101" s="70">
        <v>26</v>
      </c>
      <c r="Y101" s="56"/>
      <c r="Z101" s="56" t="s">
        <v>1331</v>
      </c>
      <c r="AA101" s="55">
        <v>43475</v>
      </c>
      <c r="AB101" s="56" t="s">
        <v>1603</v>
      </c>
      <c r="AC101" s="70"/>
      <c r="AD101" s="70"/>
      <c r="AE101" s="70"/>
      <c r="AF101" s="70"/>
      <c r="AG101" s="70"/>
    </row>
    <row r="102" spans="1:33" ht="14.25" hidden="1" customHeight="1">
      <c r="A102" s="259"/>
      <c r="B102" s="259"/>
      <c r="C102" s="260"/>
      <c r="D102" s="260"/>
      <c r="E102" s="70" t="s">
        <v>55</v>
      </c>
      <c r="F102" s="56" t="s">
        <v>1621</v>
      </c>
      <c r="G102" s="56" t="s">
        <v>329</v>
      </c>
      <c r="H102" s="70" t="s">
        <v>243</v>
      </c>
      <c r="I102" s="56"/>
      <c r="J102" s="70"/>
      <c r="K102" s="56" t="s">
        <v>680</v>
      </c>
      <c r="L102" s="56"/>
      <c r="M102" s="34"/>
      <c r="N102" s="56"/>
      <c r="O102" s="56"/>
      <c r="P102" s="56"/>
      <c r="Q102" s="56"/>
      <c r="R102" s="54"/>
      <c r="S102" s="25" t="e">
        <v>#N/A</v>
      </c>
      <c r="T102" s="56" t="s">
        <v>1622</v>
      </c>
      <c r="U102" s="56"/>
      <c r="V102" s="229" t="e">
        <v>#N/A</v>
      </c>
      <c r="W102" s="229" t="e">
        <v>#N/A</v>
      </c>
      <c r="X102" s="70"/>
      <c r="Y102" s="56" t="s">
        <v>1060</v>
      </c>
      <c r="Z102" s="56"/>
      <c r="AA102" s="55"/>
      <c r="AB102" s="56"/>
      <c r="AC102" s="70"/>
      <c r="AD102" s="70"/>
      <c r="AE102" s="70"/>
      <c r="AF102" s="70"/>
      <c r="AG102" s="70"/>
    </row>
    <row r="103" spans="1:33" ht="14.25" hidden="1" customHeight="1">
      <c r="A103" s="259"/>
      <c r="B103" s="259"/>
      <c r="C103" s="260"/>
      <c r="D103" s="260"/>
      <c r="E103" s="70" t="s">
        <v>55</v>
      </c>
      <c r="F103" s="56" t="s">
        <v>1623</v>
      </c>
      <c r="G103" s="56" t="s">
        <v>329</v>
      </c>
      <c r="H103" s="70" t="s">
        <v>243</v>
      </c>
      <c r="I103" s="56"/>
      <c r="J103" s="70"/>
      <c r="K103" s="56" t="s">
        <v>680</v>
      </c>
      <c r="L103" s="56"/>
      <c r="M103" s="34"/>
      <c r="N103" s="56"/>
      <c r="O103" s="56"/>
      <c r="P103" s="56"/>
      <c r="Q103" s="56"/>
      <c r="R103" s="54"/>
      <c r="S103" s="25" t="e">
        <v>#N/A</v>
      </c>
      <c r="T103" s="56" t="s">
        <v>1624</v>
      </c>
      <c r="U103" s="56"/>
      <c r="V103" s="229" t="e">
        <v>#N/A</v>
      </c>
      <c r="W103" s="229" t="e">
        <v>#N/A</v>
      </c>
      <c r="X103" s="70"/>
      <c r="Y103" s="56" t="s">
        <v>1060</v>
      </c>
      <c r="Z103" s="56"/>
      <c r="AA103" s="55"/>
      <c r="AB103" s="56"/>
      <c r="AC103" s="70"/>
      <c r="AD103" s="70"/>
      <c r="AE103" s="70"/>
      <c r="AF103" s="70"/>
      <c r="AG103" s="70"/>
    </row>
    <row r="104" spans="1:33" ht="14.25" hidden="1" customHeight="1">
      <c r="A104" s="259"/>
      <c r="B104" s="259"/>
      <c r="C104" s="260"/>
      <c r="D104" s="260"/>
      <c r="E104" s="70" t="s">
        <v>55</v>
      </c>
      <c r="F104" s="56" t="s">
        <v>1625</v>
      </c>
      <c r="G104" s="56" t="s">
        <v>329</v>
      </c>
      <c r="H104" s="70" t="s">
        <v>243</v>
      </c>
      <c r="I104" s="56"/>
      <c r="J104" s="70"/>
      <c r="K104" s="56" t="s">
        <v>680</v>
      </c>
      <c r="L104" s="56"/>
      <c r="M104" s="34"/>
      <c r="N104" s="56"/>
      <c r="O104" s="56"/>
      <c r="P104" s="56"/>
      <c r="Q104" s="56"/>
      <c r="R104" s="54"/>
      <c r="S104" s="25" t="e">
        <v>#N/A</v>
      </c>
      <c r="T104" s="56" t="s">
        <v>1626</v>
      </c>
      <c r="U104" s="56"/>
      <c r="V104" s="229" t="e">
        <v>#N/A</v>
      </c>
      <c r="W104" s="229" t="e">
        <v>#N/A</v>
      </c>
      <c r="X104" s="70"/>
      <c r="Y104" s="56" t="s">
        <v>1060</v>
      </c>
      <c r="Z104" s="56"/>
      <c r="AA104" s="55"/>
      <c r="AB104" s="56"/>
      <c r="AC104" s="70"/>
      <c r="AD104" s="70"/>
      <c r="AE104" s="70"/>
      <c r="AF104" s="70"/>
      <c r="AG104" s="70"/>
    </row>
    <row r="105" spans="1:33" ht="14.25" hidden="1" customHeight="1">
      <c r="A105" s="259"/>
      <c r="B105" s="259"/>
      <c r="C105" s="260"/>
      <c r="D105" s="260"/>
      <c r="E105" s="70" t="s">
        <v>55</v>
      </c>
      <c r="F105" s="56" t="s">
        <v>1627</v>
      </c>
      <c r="G105" s="56" t="s">
        <v>329</v>
      </c>
      <c r="H105" s="70" t="s">
        <v>243</v>
      </c>
      <c r="I105" s="56"/>
      <c r="J105" s="70"/>
      <c r="K105" s="56" t="s">
        <v>680</v>
      </c>
      <c r="L105" s="56"/>
      <c r="M105" s="34"/>
      <c r="N105" s="56"/>
      <c r="O105" s="56"/>
      <c r="P105" s="56"/>
      <c r="Q105" s="56"/>
      <c r="R105" s="54"/>
      <c r="S105" s="25" t="e">
        <v>#N/A</v>
      </c>
      <c r="T105" s="56" t="s">
        <v>1628</v>
      </c>
      <c r="U105" s="56"/>
      <c r="V105" s="229" t="e">
        <v>#N/A</v>
      </c>
      <c r="W105" s="229" t="e">
        <v>#N/A</v>
      </c>
      <c r="X105" s="70"/>
      <c r="Y105" s="56" t="s">
        <v>1060</v>
      </c>
      <c r="Z105" s="56"/>
      <c r="AA105" s="55"/>
      <c r="AB105" s="56"/>
      <c r="AC105" s="70"/>
      <c r="AD105" s="70"/>
      <c r="AE105" s="70"/>
      <c r="AF105" s="70"/>
      <c r="AG105" s="70"/>
    </row>
    <row r="106" spans="1:33" ht="14.25" customHeight="1">
      <c r="A106" s="244"/>
      <c r="B106" s="244"/>
      <c r="C106" s="244"/>
      <c r="D106" s="244"/>
      <c r="E106" s="56" t="s">
        <v>59</v>
      </c>
      <c r="F106" s="56" t="s">
        <v>404</v>
      </c>
      <c r="G106" s="56" t="s">
        <v>329</v>
      </c>
      <c r="H106" s="56" t="s">
        <v>243</v>
      </c>
      <c r="I106" s="56"/>
      <c r="J106" s="56">
        <v>44</v>
      </c>
      <c r="K106" s="56" t="s">
        <v>682</v>
      </c>
      <c r="L106" s="56" t="s">
        <v>1905</v>
      </c>
      <c r="M106" s="34" t="s">
        <v>405</v>
      </c>
      <c r="N106" s="56" t="s">
        <v>1370</v>
      </c>
      <c r="O106" s="56" t="s">
        <v>1629</v>
      </c>
      <c r="P106" s="56" t="s">
        <v>1401</v>
      </c>
      <c r="Q106" s="56"/>
      <c r="R106" s="54"/>
      <c r="S106" s="25">
        <v>698.95</v>
      </c>
      <c r="T106" s="56" t="s">
        <v>1630</v>
      </c>
      <c r="U106" s="56"/>
      <c r="V106" s="244" t="e">
        <v>#N/A</v>
      </c>
      <c r="W106" s="244" t="e">
        <v>#N/A</v>
      </c>
      <c r="X106" s="70">
        <v>59</v>
      </c>
      <c r="Y106" s="56"/>
      <c r="Z106" s="56" t="s">
        <v>1521</v>
      </c>
      <c r="AA106" s="55">
        <v>43538</v>
      </c>
      <c r="AB106" s="56" t="s">
        <v>1631</v>
      </c>
      <c r="AC106" s="56"/>
      <c r="AD106" s="56"/>
      <c r="AE106" s="56"/>
      <c r="AF106" s="56"/>
      <c r="AG106" s="56"/>
    </row>
    <row r="107" spans="1:33" ht="14.25" hidden="1" customHeight="1">
      <c r="A107" s="259"/>
      <c r="B107" s="259"/>
      <c r="C107" s="260"/>
      <c r="D107" s="260"/>
      <c r="E107" s="70" t="s">
        <v>55</v>
      </c>
      <c r="F107" s="56" t="s">
        <v>1632</v>
      </c>
      <c r="G107" s="56" t="s">
        <v>329</v>
      </c>
      <c r="H107" s="70" t="s">
        <v>243</v>
      </c>
      <c r="I107" s="56"/>
      <c r="J107" s="70"/>
      <c r="K107" s="56" t="s">
        <v>680</v>
      </c>
      <c r="L107" s="56"/>
      <c r="M107" s="34"/>
      <c r="N107" s="56"/>
      <c r="O107" s="56"/>
      <c r="P107" s="56"/>
      <c r="Q107" s="56"/>
      <c r="R107" s="54"/>
      <c r="S107" s="25" t="e">
        <v>#N/A</v>
      </c>
      <c r="T107" s="56" t="s">
        <v>1633</v>
      </c>
      <c r="U107" s="56"/>
      <c r="V107" s="229" t="e">
        <v>#N/A</v>
      </c>
      <c r="W107" s="229" t="e">
        <v>#N/A</v>
      </c>
      <c r="X107" s="70"/>
      <c r="Y107" s="56" t="s">
        <v>1060</v>
      </c>
      <c r="Z107" s="56"/>
      <c r="AA107" s="55"/>
      <c r="AB107" s="56"/>
      <c r="AC107" s="70"/>
      <c r="AD107" s="70"/>
      <c r="AE107" s="70"/>
      <c r="AF107" s="70"/>
      <c r="AG107" s="70"/>
    </row>
    <row r="108" spans="1:33" ht="14.25" hidden="1" customHeight="1">
      <c r="A108" s="259"/>
      <c r="B108" s="259"/>
      <c r="C108" s="260"/>
      <c r="D108" s="260"/>
      <c r="E108" s="70" t="s">
        <v>55</v>
      </c>
      <c r="F108" s="56" t="s">
        <v>1634</v>
      </c>
      <c r="G108" s="56" t="s">
        <v>329</v>
      </c>
      <c r="H108" s="70" t="s">
        <v>243</v>
      </c>
      <c r="I108" s="56"/>
      <c r="J108" s="70"/>
      <c r="K108" s="56" t="s">
        <v>680</v>
      </c>
      <c r="L108" s="56"/>
      <c r="M108" s="34"/>
      <c r="N108" s="56"/>
      <c r="O108" s="56"/>
      <c r="P108" s="56"/>
      <c r="Q108" s="56"/>
      <c r="R108" s="54"/>
      <c r="S108" s="25" t="e">
        <v>#N/A</v>
      </c>
      <c r="T108" s="56" t="s">
        <v>1635</v>
      </c>
      <c r="U108" s="56"/>
      <c r="V108" s="229" t="e">
        <v>#N/A</v>
      </c>
      <c r="W108" s="229" t="e">
        <v>#N/A</v>
      </c>
      <c r="X108" s="70"/>
      <c r="Y108" s="56" t="s">
        <v>1060</v>
      </c>
      <c r="Z108" s="56"/>
      <c r="AA108" s="55"/>
      <c r="AB108" s="56"/>
      <c r="AC108" s="56"/>
      <c r="AD108" s="56"/>
      <c r="AE108" s="56"/>
      <c r="AF108" s="56"/>
      <c r="AG108" s="56"/>
    </row>
    <row r="109" spans="1:33" ht="14.25" customHeight="1">
      <c r="A109" s="259"/>
      <c r="B109" s="259"/>
      <c r="C109" s="260"/>
      <c r="D109" s="260"/>
      <c r="E109" s="56" t="s">
        <v>59</v>
      </c>
      <c r="F109" s="56" t="s">
        <v>328</v>
      </c>
      <c r="G109" s="56" t="s">
        <v>329</v>
      </c>
      <c r="H109" s="56" t="s">
        <v>243</v>
      </c>
      <c r="I109" s="56"/>
      <c r="J109" s="56">
        <v>45</v>
      </c>
      <c r="K109" s="56" t="s">
        <v>682</v>
      </c>
      <c r="L109" s="56" t="s">
        <v>1905</v>
      </c>
      <c r="M109" s="34" t="s">
        <v>330</v>
      </c>
      <c r="N109" s="56" t="s">
        <v>1636</v>
      </c>
      <c r="O109" s="56" t="s">
        <v>1637</v>
      </c>
      <c r="P109" s="56" t="s">
        <v>1638</v>
      </c>
      <c r="Q109" s="56" t="s">
        <v>1398</v>
      </c>
      <c r="R109" s="54"/>
      <c r="S109" s="25">
        <v>1</v>
      </c>
      <c r="T109" s="56" t="s">
        <v>1639</v>
      </c>
      <c r="U109" s="56"/>
      <c r="V109" s="229" t="e">
        <v>#N/A</v>
      </c>
      <c r="W109" s="229" t="e">
        <v>#N/A</v>
      </c>
      <c r="X109" s="70">
        <v>21</v>
      </c>
      <c r="Y109" s="56"/>
      <c r="Z109" s="56" t="s">
        <v>1331</v>
      </c>
      <c r="AA109" s="55">
        <v>43475</v>
      </c>
      <c r="AB109" s="56" t="s">
        <v>1057</v>
      </c>
      <c r="AC109" s="56"/>
      <c r="AD109" s="56"/>
      <c r="AE109" s="56"/>
      <c r="AF109" s="56"/>
      <c r="AG109" s="56"/>
    </row>
    <row r="110" spans="1:33" ht="14.25" hidden="1" customHeight="1">
      <c r="A110" s="259"/>
      <c r="B110" s="259"/>
      <c r="C110" s="260"/>
      <c r="D110" s="260"/>
      <c r="E110" s="70" t="s">
        <v>55</v>
      </c>
      <c r="F110" s="56" t="s">
        <v>1640</v>
      </c>
      <c r="G110" s="56" t="s">
        <v>329</v>
      </c>
      <c r="H110" s="70" t="s">
        <v>243</v>
      </c>
      <c r="I110" s="56"/>
      <c r="J110" s="70"/>
      <c r="K110" s="56" t="s">
        <v>680</v>
      </c>
      <c r="L110" s="56"/>
      <c r="M110" s="34"/>
      <c r="N110" s="56"/>
      <c r="O110" s="56"/>
      <c r="P110" s="56"/>
      <c r="Q110" s="56"/>
      <c r="R110" s="54"/>
      <c r="S110" s="25" t="e">
        <v>#N/A</v>
      </c>
      <c r="T110" s="56" t="s">
        <v>1641</v>
      </c>
      <c r="U110" s="56"/>
      <c r="V110" s="229" t="e">
        <v>#N/A</v>
      </c>
      <c r="W110" s="229" t="e">
        <v>#N/A</v>
      </c>
      <c r="X110" s="70"/>
      <c r="Y110" s="56" t="s">
        <v>1060</v>
      </c>
      <c r="Z110" s="56"/>
      <c r="AA110" s="55"/>
      <c r="AB110" s="56"/>
      <c r="AC110" s="70"/>
      <c r="AD110" s="70"/>
      <c r="AE110" s="70"/>
      <c r="AF110" s="70"/>
      <c r="AG110" s="70"/>
    </row>
    <row r="111" spans="1:33" ht="14.25" hidden="1" customHeight="1">
      <c r="A111" s="259"/>
      <c r="B111" s="259"/>
      <c r="C111" s="260"/>
      <c r="D111" s="260"/>
      <c r="E111" s="70" t="s">
        <v>55</v>
      </c>
      <c r="F111" s="56" t="s">
        <v>1642</v>
      </c>
      <c r="G111" s="56" t="s">
        <v>329</v>
      </c>
      <c r="H111" s="70" t="s">
        <v>243</v>
      </c>
      <c r="I111" s="56"/>
      <c r="J111" s="70"/>
      <c r="K111" s="56" t="s">
        <v>680</v>
      </c>
      <c r="L111" s="56"/>
      <c r="M111" s="34"/>
      <c r="N111" s="56"/>
      <c r="O111" s="56"/>
      <c r="P111" s="56"/>
      <c r="Q111" s="56"/>
      <c r="R111" s="54"/>
      <c r="S111" s="25" t="e">
        <v>#N/A</v>
      </c>
      <c r="T111" s="56" t="s">
        <v>1643</v>
      </c>
      <c r="U111" s="56"/>
      <c r="V111" s="229" t="e">
        <v>#N/A</v>
      </c>
      <c r="W111" s="229" t="e">
        <v>#N/A</v>
      </c>
      <c r="X111" s="70"/>
      <c r="Y111" s="56" t="s">
        <v>1060</v>
      </c>
      <c r="Z111" s="56"/>
      <c r="AA111" s="55"/>
      <c r="AB111" s="56"/>
      <c r="AC111" s="70"/>
      <c r="AD111" s="70"/>
      <c r="AE111" s="70"/>
      <c r="AF111" s="70"/>
      <c r="AG111" s="70"/>
    </row>
    <row r="112" spans="1:33" ht="14.25" hidden="1" customHeight="1">
      <c r="A112" s="259"/>
      <c r="B112" s="259"/>
      <c r="C112" s="260"/>
      <c r="D112" s="260"/>
      <c r="E112" s="70" t="s">
        <v>55</v>
      </c>
      <c r="F112" s="56" t="s">
        <v>1644</v>
      </c>
      <c r="G112" s="56" t="s">
        <v>329</v>
      </c>
      <c r="H112" s="70" t="s">
        <v>243</v>
      </c>
      <c r="I112" s="56"/>
      <c r="J112" s="70"/>
      <c r="K112" s="56" t="s">
        <v>680</v>
      </c>
      <c r="L112" s="56"/>
      <c r="M112" s="34"/>
      <c r="N112" s="56"/>
      <c r="O112" s="56"/>
      <c r="P112" s="56"/>
      <c r="Q112" s="56"/>
      <c r="R112" s="54"/>
      <c r="S112" s="25" t="e">
        <v>#N/A</v>
      </c>
      <c r="T112" s="56" t="s">
        <v>1645</v>
      </c>
      <c r="U112" s="56"/>
      <c r="V112" s="229" t="e">
        <v>#N/A</v>
      </c>
      <c r="W112" s="229" t="e">
        <v>#N/A</v>
      </c>
      <c r="X112" s="70"/>
      <c r="Y112" s="56" t="s">
        <v>1060</v>
      </c>
      <c r="Z112" s="56"/>
      <c r="AA112" s="55"/>
      <c r="AB112" s="56"/>
      <c r="AC112" s="70"/>
      <c r="AD112" s="70"/>
      <c r="AE112" s="70"/>
      <c r="AF112" s="70"/>
      <c r="AG112" s="70"/>
    </row>
    <row r="113" spans="1:33" ht="14.25" hidden="1" customHeight="1">
      <c r="A113" s="259"/>
      <c r="B113" s="259"/>
      <c r="C113" s="260"/>
      <c r="D113" s="260"/>
      <c r="E113" s="70" t="s">
        <v>55</v>
      </c>
      <c r="F113" s="56" t="s">
        <v>1646</v>
      </c>
      <c r="G113" s="56" t="s">
        <v>329</v>
      </c>
      <c r="H113" s="70" t="s">
        <v>243</v>
      </c>
      <c r="I113" s="56"/>
      <c r="J113" s="70"/>
      <c r="K113" s="56" t="s">
        <v>680</v>
      </c>
      <c r="L113" s="56"/>
      <c r="M113" s="34"/>
      <c r="N113" s="56"/>
      <c r="O113" s="56"/>
      <c r="P113" s="56"/>
      <c r="Q113" s="56"/>
      <c r="R113" s="54"/>
      <c r="S113" s="25" t="e">
        <v>#N/A</v>
      </c>
      <c r="T113" s="56" t="s">
        <v>1647</v>
      </c>
      <c r="U113" s="56"/>
      <c r="V113" s="229" t="e">
        <v>#N/A</v>
      </c>
      <c r="W113" s="229" t="e">
        <v>#N/A</v>
      </c>
      <c r="X113" s="70"/>
      <c r="Y113" s="56" t="s">
        <v>1060</v>
      </c>
      <c r="Z113" s="56"/>
      <c r="AA113" s="55"/>
      <c r="AB113" s="56"/>
      <c r="AC113" s="70"/>
      <c r="AD113" s="70"/>
      <c r="AE113" s="70"/>
      <c r="AF113" s="70"/>
      <c r="AG113" s="70"/>
    </row>
    <row r="114" spans="1:33" ht="14.25" hidden="1" customHeight="1">
      <c r="A114" s="62"/>
      <c r="B114" s="62"/>
      <c r="C114" s="63"/>
      <c r="D114" s="63"/>
      <c r="E114" s="56" t="s">
        <v>55</v>
      </c>
      <c r="F114" s="56" t="s">
        <v>1648</v>
      </c>
      <c r="G114" s="56" t="s">
        <v>329</v>
      </c>
      <c r="H114" s="56" t="s">
        <v>243</v>
      </c>
      <c r="I114" s="56"/>
      <c r="J114" s="22"/>
      <c r="K114" s="56" t="s">
        <v>680</v>
      </c>
      <c r="L114" s="56"/>
      <c r="M114" s="34"/>
      <c r="N114" s="56"/>
      <c r="O114" s="56"/>
      <c r="P114" s="56"/>
      <c r="Q114" s="56"/>
      <c r="R114" s="54"/>
      <c r="S114" s="25" t="e">
        <v>#N/A</v>
      </c>
      <c r="T114" s="56" t="s">
        <v>1649</v>
      </c>
      <c r="U114" s="56"/>
      <c r="V114" s="64" t="e">
        <v>#N/A</v>
      </c>
      <c r="W114" s="64" t="e">
        <v>#N/A</v>
      </c>
      <c r="X114" s="70"/>
      <c r="Y114" s="56" t="s">
        <v>1060</v>
      </c>
      <c r="Z114" s="56"/>
      <c r="AA114" s="55"/>
      <c r="AB114" s="56"/>
      <c r="AC114" s="34"/>
      <c r="AD114" s="34"/>
      <c r="AE114" s="34"/>
      <c r="AF114" s="34"/>
      <c r="AG114" s="34"/>
    </row>
    <row r="115" spans="1:33" ht="14.25" customHeight="1">
      <c r="A115" s="259"/>
      <c r="B115" s="259"/>
      <c r="C115" s="260"/>
      <c r="D115" s="260"/>
      <c r="E115" s="56" t="s">
        <v>55</v>
      </c>
      <c r="F115" s="56" t="s">
        <v>431</v>
      </c>
      <c r="G115" s="56" t="s">
        <v>432</v>
      </c>
      <c r="H115" s="56" t="s">
        <v>243</v>
      </c>
      <c r="I115" s="56"/>
      <c r="J115" s="56">
        <v>80</v>
      </c>
      <c r="K115" s="56" t="s">
        <v>682</v>
      </c>
      <c r="L115" s="56" t="s">
        <v>1905</v>
      </c>
      <c r="M115" s="34" t="s">
        <v>433</v>
      </c>
      <c r="N115" s="56" t="s">
        <v>1593</v>
      </c>
      <c r="O115" s="56" t="s">
        <v>1650</v>
      </c>
      <c r="P115" s="56" t="s">
        <v>1651</v>
      </c>
      <c r="Q115" s="56"/>
      <c r="R115" s="54"/>
      <c r="S115" s="25" t="s">
        <v>680</v>
      </c>
      <c r="T115" s="56" t="s">
        <v>1652</v>
      </c>
      <c r="U115" s="56">
        <v>1</v>
      </c>
      <c r="V115" s="229" t="e">
        <v>#N/A</v>
      </c>
      <c r="W115" s="229" t="e">
        <v>#N/A</v>
      </c>
      <c r="X115" s="70">
        <v>71</v>
      </c>
      <c r="Y115" s="56"/>
      <c r="Z115" s="56" t="s">
        <v>1331</v>
      </c>
      <c r="AA115" s="55">
        <v>43475</v>
      </c>
      <c r="AB115" s="56" t="s">
        <v>1057</v>
      </c>
      <c r="AC115" s="56"/>
      <c r="AD115" s="56"/>
      <c r="AE115" s="56"/>
      <c r="AF115" s="56"/>
      <c r="AG115" s="56"/>
    </row>
    <row r="116" spans="1:33" ht="14.25" hidden="1" customHeight="1">
      <c r="A116" s="259"/>
      <c r="B116" s="259"/>
      <c r="C116" s="260"/>
      <c r="D116" s="260"/>
      <c r="E116" s="56" t="s">
        <v>55</v>
      </c>
      <c r="F116" s="56" t="s">
        <v>1653</v>
      </c>
      <c r="G116" s="56" t="s">
        <v>329</v>
      </c>
      <c r="H116" s="56" t="s">
        <v>243</v>
      </c>
      <c r="I116" s="56"/>
      <c r="J116" s="22"/>
      <c r="K116" s="56" t="s">
        <v>680</v>
      </c>
      <c r="L116" s="56"/>
      <c r="M116" s="34"/>
      <c r="N116" s="56"/>
      <c r="O116" s="56"/>
      <c r="P116" s="56"/>
      <c r="Q116" s="56"/>
      <c r="R116" s="54"/>
      <c r="S116" s="25" t="e">
        <v>#N/A</v>
      </c>
      <c r="T116" s="61" t="s">
        <v>1654</v>
      </c>
      <c r="U116" s="56"/>
      <c r="V116" s="229" t="e">
        <v>#N/A</v>
      </c>
      <c r="W116" s="229" t="e">
        <v>#N/A</v>
      </c>
      <c r="X116" s="70"/>
      <c r="Y116" s="56" t="s">
        <v>1060</v>
      </c>
      <c r="Z116" s="56"/>
      <c r="AA116" s="55"/>
      <c r="AB116" s="56"/>
      <c r="AC116" s="70"/>
      <c r="AD116" s="70"/>
      <c r="AE116" s="70"/>
      <c r="AF116" s="70"/>
      <c r="AG116" s="70"/>
    </row>
    <row r="117" spans="1:33" ht="14.25" customHeight="1">
      <c r="A117" s="259"/>
      <c r="B117" s="259"/>
      <c r="C117" s="260"/>
      <c r="D117" s="260"/>
      <c r="E117" s="56" t="s">
        <v>55</v>
      </c>
      <c r="F117" s="56" t="s">
        <v>374</v>
      </c>
      <c r="G117" s="56" t="s">
        <v>329</v>
      </c>
      <c r="H117" s="56" t="s">
        <v>243</v>
      </c>
      <c r="I117" s="56"/>
      <c r="J117" s="56">
        <v>95</v>
      </c>
      <c r="K117" s="56" t="s">
        <v>682</v>
      </c>
      <c r="L117" s="56" t="s">
        <v>1905</v>
      </c>
      <c r="M117" s="34" t="s">
        <v>375</v>
      </c>
      <c r="N117" s="56" t="s">
        <v>1395</v>
      </c>
      <c r="O117" s="56" t="s">
        <v>1655</v>
      </c>
      <c r="P117" s="56" t="s">
        <v>1656</v>
      </c>
      <c r="Q117" s="56" t="s">
        <v>1398</v>
      </c>
      <c r="R117" s="54"/>
      <c r="S117" s="25"/>
      <c r="T117" s="56" t="s">
        <v>1657</v>
      </c>
      <c r="U117" s="56"/>
      <c r="V117" s="229" t="e">
        <v>#N/A</v>
      </c>
      <c r="W117" s="229" t="e">
        <v>#N/A</v>
      </c>
      <c r="X117" s="70">
        <v>43</v>
      </c>
      <c r="Y117" s="56"/>
      <c r="Z117" s="56" t="s">
        <v>1331</v>
      </c>
      <c r="AA117" s="55">
        <v>43475</v>
      </c>
      <c r="AB117" s="56" t="s">
        <v>1057</v>
      </c>
      <c r="AC117" s="56"/>
      <c r="AD117" s="56"/>
      <c r="AE117" s="56"/>
      <c r="AF117" s="56"/>
      <c r="AG117" s="56"/>
    </row>
    <row r="118" spans="1:33" ht="14.25" hidden="1" customHeight="1">
      <c r="A118" s="259"/>
      <c r="B118" s="259"/>
      <c r="C118" s="260"/>
      <c r="D118" s="260"/>
      <c r="E118" s="56" t="s">
        <v>55</v>
      </c>
      <c r="F118" s="56" t="s">
        <v>1658</v>
      </c>
      <c r="G118" s="56" t="s">
        <v>329</v>
      </c>
      <c r="H118" s="56" t="s">
        <v>243</v>
      </c>
      <c r="I118" s="56"/>
      <c r="J118" s="56">
        <v>96</v>
      </c>
      <c r="K118" s="56" t="s">
        <v>680</v>
      </c>
      <c r="L118" s="56"/>
      <c r="M118" s="34"/>
      <c r="N118" s="56"/>
      <c r="O118" s="56"/>
      <c r="P118" s="56"/>
      <c r="Q118" s="56"/>
      <c r="R118" s="54"/>
      <c r="S118" s="25" t="e">
        <v>#N/A</v>
      </c>
      <c r="T118" s="56" t="s">
        <v>1659</v>
      </c>
      <c r="U118" s="56"/>
      <c r="V118" s="229" t="e">
        <v>#N/A</v>
      </c>
      <c r="W118" s="229" t="e">
        <v>#N/A</v>
      </c>
      <c r="X118" s="70"/>
      <c r="Y118" s="56" t="s">
        <v>1060</v>
      </c>
      <c r="Z118" s="56"/>
      <c r="AA118" s="55"/>
      <c r="AB118" s="56"/>
      <c r="AC118" s="70"/>
      <c r="AD118" s="70"/>
      <c r="AE118" s="70"/>
      <c r="AF118" s="70"/>
      <c r="AG118" s="70"/>
    </row>
    <row r="119" spans="1:33" ht="14.25" customHeight="1">
      <c r="A119" s="259"/>
      <c r="B119" s="259"/>
      <c r="C119" s="260"/>
      <c r="D119" s="260"/>
      <c r="E119" s="56" t="s">
        <v>55</v>
      </c>
      <c r="F119" s="56" t="s">
        <v>359</v>
      </c>
      <c r="G119" s="56" t="s">
        <v>329</v>
      </c>
      <c r="H119" s="56" t="s">
        <v>243</v>
      </c>
      <c r="I119" s="56"/>
      <c r="J119" s="56">
        <v>93</v>
      </c>
      <c r="K119" s="56" t="s">
        <v>682</v>
      </c>
      <c r="L119" s="56" t="s">
        <v>1905</v>
      </c>
      <c r="M119" s="34" t="s">
        <v>360</v>
      </c>
      <c r="N119" s="56" t="s">
        <v>1395</v>
      </c>
      <c r="O119" s="56" t="s">
        <v>1660</v>
      </c>
      <c r="P119" s="56" t="s">
        <v>1661</v>
      </c>
      <c r="Q119" s="56" t="s">
        <v>1398</v>
      </c>
      <c r="R119" s="54"/>
      <c r="S119" s="25"/>
      <c r="T119" s="56" t="s">
        <v>1662</v>
      </c>
      <c r="U119" s="56"/>
      <c r="V119" s="229" t="e">
        <v>#N/A</v>
      </c>
      <c r="W119" s="229" t="e">
        <v>#N/A</v>
      </c>
      <c r="X119" s="70">
        <v>36</v>
      </c>
      <c r="Y119" s="56"/>
      <c r="Z119" s="56" t="s">
        <v>1331</v>
      </c>
      <c r="AA119" s="55">
        <v>43475</v>
      </c>
      <c r="AB119" s="56" t="s">
        <v>1057</v>
      </c>
      <c r="AC119" s="56"/>
      <c r="AD119" s="56"/>
      <c r="AE119" s="56"/>
      <c r="AF119" s="56"/>
      <c r="AG119" s="56"/>
    </row>
    <row r="120" spans="1:33" ht="14.25" customHeight="1">
      <c r="A120" s="259"/>
      <c r="B120" s="259"/>
      <c r="C120" s="260"/>
      <c r="D120" s="260"/>
      <c r="E120" s="56" t="s">
        <v>59</v>
      </c>
      <c r="F120" s="56" t="s">
        <v>353</v>
      </c>
      <c r="G120" s="56" t="s">
        <v>346</v>
      </c>
      <c r="H120" s="56" t="s">
        <v>243</v>
      </c>
      <c r="I120" s="56"/>
      <c r="J120" s="56">
        <v>46</v>
      </c>
      <c r="K120" s="56" t="s">
        <v>682</v>
      </c>
      <c r="L120" s="56" t="s">
        <v>1905</v>
      </c>
      <c r="M120" s="34" t="s">
        <v>354</v>
      </c>
      <c r="N120" s="56" t="s">
        <v>1663</v>
      </c>
      <c r="O120" s="56" t="s">
        <v>1664</v>
      </c>
      <c r="P120" s="56" t="s">
        <v>1376</v>
      </c>
      <c r="Q120" s="56"/>
      <c r="R120" s="249" t="s">
        <v>1346</v>
      </c>
      <c r="S120" s="25"/>
      <c r="T120" s="56" t="s">
        <v>1665</v>
      </c>
      <c r="U120" s="56"/>
      <c r="V120" s="229" t="e">
        <v>#N/A</v>
      </c>
      <c r="W120" s="229" t="e">
        <v>#N/A</v>
      </c>
      <c r="X120" s="70">
        <v>33</v>
      </c>
      <c r="Y120" s="56"/>
      <c r="Z120" s="56" t="s">
        <v>1331</v>
      </c>
      <c r="AA120" s="55">
        <v>43475</v>
      </c>
      <c r="AB120" s="56" t="s">
        <v>1057</v>
      </c>
      <c r="AC120" s="56"/>
      <c r="AD120" s="56"/>
      <c r="AE120" s="56"/>
      <c r="AF120" s="56"/>
      <c r="AG120" s="56"/>
    </row>
    <row r="121" spans="1:33" ht="14.25" customHeight="1">
      <c r="A121" s="259"/>
      <c r="B121" s="259"/>
      <c r="C121" s="260"/>
      <c r="D121" s="260"/>
      <c r="E121" s="56" t="s">
        <v>55</v>
      </c>
      <c r="F121" s="56" t="s">
        <v>394</v>
      </c>
      <c r="G121" s="56" t="s">
        <v>329</v>
      </c>
      <c r="H121" s="56" t="s">
        <v>243</v>
      </c>
      <c r="I121" s="56"/>
      <c r="J121" s="56">
        <v>92</v>
      </c>
      <c r="K121" s="56" t="s">
        <v>682</v>
      </c>
      <c r="L121" s="56" t="s">
        <v>1905</v>
      </c>
      <c r="M121" s="34" t="s">
        <v>395</v>
      </c>
      <c r="N121" s="56" t="s">
        <v>1395</v>
      </c>
      <c r="O121" s="56"/>
      <c r="P121" s="56" t="s">
        <v>1608</v>
      </c>
      <c r="Q121" s="56" t="s">
        <v>1398</v>
      </c>
      <c r="R121" s="54"/>
      <c r="S121" s="25">
        <v>0</v>
      </c>
      <c r="T121" s="56" t="s">
        <v>1666</v>
      </c>
      <c r="U121" s="56"/>
      <c r="V121" s="229" t="e">
        <v>#N/A</v>
      </c>
      <c r="W121" s="229" t="e">
        <v>#N/A</v>
      </c>
      <c r="X121" s="70">
        <v>54</v>
      </c>
      <c r="Y121" s="56"/>
      <c r="Z121" s="56" t="s">
        <v>1331</v>
      </c>
      <c r="AA121" s="55">
        <v>43475</v>
      </c>
      <c r="AB121" s="56" t="s">
        <v>1057</v>
      </c>
      <c r="AC121" s="56"/>
      <c r="AD121" s="56"/>
      <c r="AE121" s="56"/>
      <c r="AF121" s="56"/>
      <c r="AG121" s="56"/>
    </row>
    <row r="122" spans="1:33" ht="14.25" customHeight="1">
      <c r="A122" s="259"/>
      <c r="B122" s="259"/>
      <c r="C122" s="260"/>
      <c r="D122" s="260"/>
      <c r="E122" s="56" t="s">
        <v>55</v>
      </c>
      <c r="F122" s="56" t="s">
        <v>386</v>
      </c>
      <c r="G122" s="56" t="s">
        <v>329</v>
      </c>
      <c r="H122" s="56" t="s">
        <v>243</v>
      </c>
      <c r="I122" s="56"/>
      <c r="J122" s="56">
        <v>47</v>
      </c>
      <c r="K122" s="56" t="s">
        <v>682</v>
      </c>
      <c r="L122" s="56" t="s">
        <v>1905</v>
      </c>
      <c r="M122" s="34" t="s">
        <v>387</v>
      </c>
      <c r="N122" s="56" t="s">
        <v>1395</v>
      </c>
      <c r="O122" s="56"/>
      <c r="P122" s="56" t="s">
        <v>1608</v>
      </c>
      <c r="Q122" s="56" t="s">
        <v>1398</v>
      </c>
      <c r="R122" s="54"/>
      <c r="S122" s="25"/>
      <c r="T122" s="56" t="s">
        <v>1667</v>
      </c>
      <c r="U122" s="56"/>
      <c r="V122" s="229" t="e">
        <v>#N/A</v>
      </c>
      <c r="W122" s="229" t="e">
        <v>#N/A</v>
      </c>
      <c r="X122" s="70">
        <v>50</v>
      </c>
      <c r="Y122" s="56"/>
      <c r="Z122" s="56" t="s">
        <v>1331</v>
      </c>
      <c r="AA122" s="55">
        <v>43475</v>
      </c>
      <c r="AB122" s="56" t="s">
        <v>1057</v>
      </c>
      <c r="AC122" s="56"/>
      <c r="AD122" s="56"/>
      <c r="AE122" s="56"/>
      <c r="AF122" s="56"/>
      <c r="AG122" s="56"/>
    </row>
    <row r="123" spans="1:33" ht="14.25" customHeight="1">
      <c r="A123" s="259"/>
      <c r="B123" s="259"/>
      <c r="C123" s="260"/>
      <c r="D123" s="260"/>
      <c r="E123" s="56" t="s">
        <v>55</v>
      </c>
      <c r="F123" s="56" t="s">
        <v>298</v>
      </c>
      <c r="G123" s="56" t="s">
        <v>242</v>
      </c>
      <c r="H123" s="56" t="s">
        <v>243</v>
      </c>
      <c r="I123" s="56"/>
      <c r="J123" s="56">
        <v>85</v>
      </c>
      <c r="K123" s="56" t="s">
        <v>682</v>
      </c>
      <c r="L123" s="56" t="s">
        <v>1905</v>
      </c>
      <c r="M123" s="34" t="s">
        <v>299</v>
      </c>
      <c r="N123" s="56" t="s">
        <v>1668</v>
      </c>
      <c r="O123" s="56"/>
      <c r="P123" s="56" t="s">
        <v>1669</v>
      </c>
      <c r="Q123" s="56"/>
      <c r="R123" s="54"/>
      <c r="S123" s="25" t="s">
        <v>1670</v>
      </c>
      <c r="T123" s="56" t="s">
        <v>1671</v>
      </c>
      <c r="U123" s="56">
        <v>1</v>
      </c>
      <c r="V123" s="229" t="e">
        <v>#N/A</v>
      </c>
      <c r="W123" s="229" t="e">
        <v>#N/A</v>
      </c>
      <c r="X123" s="70">
        <v>4</v>
      </c>
      <c r="Y123" s="56"/>
      <c r="Z123" s="56" t="s">
        <v>1331</v>
      </c>
      <c r="AA123" s="55">
        <v>43475</v>
      </c>
      <c r="AB123" s="56" t="s">
        <v>1057</v>
      </c>
      <c r="AC123" s="56"/>
      <c r="AD123" s="56"/>
      <c r="AE123" s="56"/>
      <c r="AF123" s="56"/>
      <c r="AG123" s="56"/>
    </row>
    <row r="124" spans="1:33" ht="14.25" customHeight="1">
      <c r="A124" s="259"/>
      <c r="B124" s="259"/>
      <c r="C124" s="260"/>
      <c r="D124" s="260"/>
      <c r="E124" s="56" t="s">
        <v>55</v>
      </c>
      <c r="F124" s="56" t="s">
        <v>300</v>
      </c>
      <c r="G124" s="56" t="s">
        <v>242</v>
      </c>
      <c r="H124" s="56" t="s">
        <v>243</v>
      </c>
      <c r="I124" s="56"/>
      <c r="J124" s="56">
        <v>86</v>
      </c>
      <c r="K124" s="56" t="s">
        <v>682</v>
      </c>
      <c r="L124" s="56" t="s">
        <v>1905</v>
      </c>
      <c r="M124" s="34" t="s">
        <v>301</v>
      </c>
      <c r="N124" s="56" t="s">
        <v>1668</v>
      </c>
      <c r="O124" s="56"/>
      <c r="P124" s="56" t="s">
        <v>1672</v>
      </c>
      <c r="Q124" s="56"/>
      <c r="R124" s="54"/>
      <c r="S124" s="25" t="s">
        <v>1673</v>
      </c>
      <c r="T124" s="56" t="s">
        <v>1674</v>
      </c>
      <c r="U124" s="56">
        <v>1</v>
      </c>
      <c r="V124" s="229" t="e">
        <v>#N/A</v>
      </c>
      <c r="W124" s="229" t="e">
        <v>#N/A</v>
      </c>
      <c r="X124" s="70">
        <v>5</v>
      </c>
      <c r="Y124" s="56"/>
      <c r="Z124" s="56" t="s">
        <v>1331</v>
      </c>
      <c r="AA124" s="55">
        <v>43475</v>
      </c>
      <c r="AB124" s="56" t="s">
        <v>1057</v>
      </c>
      <c r="AC124" s="56"/>
      <c r="AD124" s="56"/>
      <c r="AE124" s="56"/>
      <c r="AF124" s="56"/>
      <c r="AG124" s="56"/>
    </row>
    <row r="125" spans="1:33" ht="14.25" customHeight="1">
      <c r="A125" s="259"/>
      <c r="B125" s="259"/>
      <c r="C125" s="260"/>
      <c r="D125" s="260"/>
      <c r="E125" s="56" t="s">
        <v>55</v>
      </c>
      <c r="F125" s="56" t="s">
        <v>345</v>
      </c>
      <c r="G125" s="56" t="s">
        <v>346</v>
      </c>
      <c r="H125" s="56" t="s">
        <v>243</v>
      </c>
      <c r="I125" s="56"/>
      <c r="J125" s="56">
        <v>49</v>
      </c>
      <c r="K125" s="56" t="s">
        <v>682</v>
      </c>
      <c r="L125" s="56" t="s">
        <v>1905</v>
      </c>
      <c r="M125" s="34" t="s">
        <v>347</v>
      </c>
      <c r="N125" s="56" t="s">
        <v>1390</v>
      </c>
      <c r="O125" s="56"/>
      <c r="P125" s="56" t="s">
        <v>1675</v>
      </c>
      <c r="Q125" s="56"/>
      <c r="R125" s="54"/>
      <c r="S125" s="25" t="s">
        <v>1676</v>
      </c>
      <c r="T125" s="56" t="s">
        <v>1677</v>
      </c>
      <c r="U125" s="56">
        <v>1</v>
      </c>
      <c r="V125" s="229" t="e">
        <v>#N/A</v>
      </c>
      <c r="W125" s="229" t="e">
        <v>#N/A</v>
      </c>
      <c r="X125" s="70">
        <v>29</v>
      </c>
      <c r="Y125" s="56"/>
      <c r="Z125" s="56" t="s">
        <v>1331</v>
      </c>
      <c r="AA125" s="55">
        <v>43475</v>
      </c>
      <c r="AB125" s="56" t="s">
        <v>1057</v>
      </c>
      <c r="AC125" s="56"/>
      <c r="AD125" s="56"/>
      <c r="AE125" s="56"/>
      <c r="AF125" s="56"/>
      <c r="AG125" s="56"/>
    </row>
    <row r="126" spans="1:33" ht="14.25" customHeight="1">
      <c r="A126" s="244"/>
      <c r="B126" s="244"/>
      <c r="C126" s="244"/>
      <c r="D126" s="244"/>
      <c r="E126" s="56" t="s">
        <v>55</v>
      </c>
      <c r="F126" s="56" t="s">
        <v>1678</v>
      </c>
      <c r="G126" s="23"/>
      <c r="H126" s="56" t="s">
        <v>243</v>
      </c>
      <c r="I126" s="56"/>
      <c r="J126" s="56"/>
      <c r="K126" s="56" t="s">
        <v>682</v>
      </c>
      <c r="L126" s="56" t="s">
        <v>1905</v>
      </c>
      <c r="M126" s="34" t="s">
        <v>469</v>
      </c>
      <c r="N126" s="61" t="s">
        <v>1333</v>
      </c>
      <c r="O126" s="21" t="s">
        <v>1679</v>
      </c>
      <c r="P126" s="70" t="s">
        <v>1680</v>
      </c>
      <c r="Q126" s="56" t="s">
        <v>1336</v>
      </c>
      <c r="R126" s="54"/>
      <c r="S126" s="70"/>
      <c r="T126" s="56"/>
      <c r="U126" s="56"/>
      <c r="V126" s="244" t="e">
        <v>#N/A</v>
      </c>
      <c r="W126" s="244" t="e">
        <v>#N/A</v>
      </c>
      <c r="X126" s="56">
        <v>88</v>
      </c>
      <c r="Y126" s="56"/>
      <c r="Z126" s="56" t="s">
        <v>1162</v>
      </c>
      <c r="AA126" s="55">
        <v>43641</v>
      </c>
      <c r="AB126" s="56" t="s">
        <v>1337</v>
      </c>
      <c r="AC126" s="56"/>
      <c r="AD126" s="56"/>
      <c r="AE126" s="56"/>
      <c r="AF126" s="56"/>
      <c r="AG126" s="56"/>
    </row>
    <row r="127" spans="1:33" ht="14.25" hidden="1" customHeight="1">
      <c r="A127" s="259"/>
      <c r="B127" s="259"/>
      <c r="C127" s="260"/>
      <c r="D127" s="260"/>
      <c r="E127" s="56" t="s">
        <v>55</v>
      </c>
      <c r="F127" s="56" t="s">
        <v>1681</v>
      </c>
      <c r="G127" s="56" t="s">
        <v>247</v>
      </c>
      <c r="H127" s="56" t="s">
        <v>243</v>
      </c>
      <c r="I127" s="56"/>
      <c r="J127" s="22"/>
      <c r="K127" s="56" t="s">
        <v>680</v>
      </c>
      <c r="L127" s="56"/>
      <c r="M127" s="34"/>
      <c r="N127" s="56"/>
      <c r="O127" s="56"/>
      <c r="P127" s="56"/>
      <c r="Q127" s="56"/>
      <c r="R127" s="54"/>
      <c r="S127" s="25" t="e">
        <v>#N/A</v>
      </c>
      <c r="T127" s="21" t="s">
        <v>1682</v>
      </c>
      <c r="U127" s="56"/>
      <c r="V127" s="229" t="e">
        <v>#N/A</v>
      </c>
      <c r="W127" s="229" t="e">
        <v>#N/A</v>
      </c>
      <c r="X127" s="70"/>
      <c r="Y127" s="56" t="s">
        <v>1060</v>
      </c>
      <c r="Z127" s="56"/>
      <c r="AA127" s="55"/>
      <c r="AB127" s="56"/>
      <c r="AC127" s="56"/>
      <c r="AD127" s="56"/>
      <c r="AE127" s="56"/>
      <c r="AF127" s="56"/>
      <c r="AG127" s="56"/>
    </row>
    <row r="128" spans="1:33" ht="14.25" customHeight="1">
      <c r="A128" s="259"/>
      <c r="B128" s="259"/>
      <c r="C128" s="260"/>
      <c r="D128" s="260"/>
      <c r="E128" s="56" t="s">
        <v>61</v>
      </c>
      <c r="F128" s="56" t="s">
        <v>152</v>
      </c>
      <c r="G128" s="56" t="s">
        <v>247</v>
      </c>
      <c r="H128" s="56" t="s">
        <v>243</v>
      </c>
      <c r="I128" s="56"/>
      <c r="J128" s="56">
        <v>50</v>
      </c>
      <c r="K128" s="56" t="s">
        <v>682</v>
      </c>
      <c r="L128" s="56" t="s">
        <v>1905</v>
      </c>
      <c r="M128" s="34" t="s">
        <v>315</v>
      </c>
      <c r="N128" s="56" t="s">
        <v>1683</v>
      </c>
      <c r="O128" s="56" t="s">
        <v>1684</v>
      </c>
      <c r="P128" s="56" t="s">
        <v>1685</v>
      </c>
      <c r="Q128" s="56"/>
      <c r="R128" s="249" t="s">
        <v>1346</v>
      </c>
      <c r="S128" s="25" t="s">
        <v>1568</v>
      </c>
      <c r="T128" s="56" t="s">
        <v>1686</v>
      </c>
      <c r="U128" s="56"/>
      <c r="V128" s="229" t="e">
        <v>#N/A</v>
      </c>
      <c r="W128" s="229" t="e">
        <v>#N/A</v>
      </c>
      <c r="X128" s="70">
        <v>14</v>
      </c>
      <c r="Y128" s="56"/>
      <c r="Z128" s="56" t="s">
        <v>1331</v>
      </c>
      <c r="AA128" s="55">
        <v>43475</v>
      </c>
      <c r="AB128" s="56" t="s">
        <v>1057</v>
      </c>
      <c r="AC128" s="56"/>
      <c r="AD128" s="56"/>
      <c r="AE128" s="56"/>
      <c r="AF128" s="56"/>
      <c r="AG128" s="56"/>
    </row>
    <row r="129" spans="1:33" ht="14.25" customHeight="1">
      <c r="A129" s="259"/>
      <c r="B129" s="259"/>
      <c r="C129" s="260"/>
      <c r="D129" s="260"/>
      <c r="E129" s="56" t="s">
        <v>55</v>
      </c>
      <c r="F129" s="56" t="s">
        <v>396</v>
      </c>
      <c r="G129" s="56" t="s">
        <v>329</v>
      </c>
      <c r="H129" s="56" t="s">
        <v>243</v>
      </c>
      <c r="I129" s="56"/>
      <c r="J129" s="56">
        <v>94</v>
      </c>
      <c r="K129" s="56" t="s">
        <v>682</v>
      </c>
      <c r="L129" s="56" t="s">
        <v>1905</v>
      </c>
      <c r="M129" s="34" t="s">
        <v>397</v>
      </c>
      <c r="N129" s="56" t="s">
        <v>1395</v>
      </c>
      <c r="O129" s="56" t="s">
        <v>1687</v>
      </c>
      <c r="P129" s="56" t="s">
        <v>1608</v>
      </c>
      <c r="Q129" s="56" t="s">
        <v>1398</v>
      </c>
      <c r="R129" s="54"/>
      <c r="S129" s="25">
        <v>0</v>
      </c>
      <c r="T129" s="56" t="s">
        <v>1688</v>
      </c>
      <c r="U129" s="56"/>
      <c r="V129" s="229" t="e">
        <v>#N/A</v>
      </c>
      <c r="W129" s="229" t="e">
        <v>#N/A</v>
      </c>
      <c r="X129" s="70">
        <v>55</v>
      </c>
      <c r="Y129" s="56"/>
      <c r="Z129" s="56" t="s">
        <v>1331</v>
      </c>
      <c r="AA129" s="55">
        <v>43475</v>
      </c>
      <c r="AB129" s="56" t="s">
        <v>1057</v>
      </c>
      <c r="AC129" s="56"/>
      <c r="AD129" s="56"/>
      <c r="AE129" s="56"/>
      <c r="AF129" s="56"/>
      <c r="AG129" s="56"/>
    </row>
    <row r="130" spans="1:33" ht="14.25" customHeight="1">
      <c r="A130" s="259"/>
      <c r="B130" s="259"/>
      <c r="C130" s="260"/>
      <c r="D130" s="260"/>
      <c r="E130" s="56" t="s">
        <v>61</v>
      </c>
      <c r="F130" s="56" t="s">
        <v>144</v>
      </c>
      <c r="G130" s="56" t="s">
        <v>329</v>
      </c>
      <c r="H130" s="56" t="s">
        <v>243</v>
      </c>
      <c r="I130" s="56"/>
      <c r="J130" s="56">
        <v>51</v>
      </c>
      <c r="K130" s="56" t="s">
        <v>682</v>
      </c>
      <c r="L130" s="56" t="s">
        <v>1905</v>
      </c>
      <c r="M130" s="34" t="s">
        <v>385</v>
      </c>
      <c r="N130" s="56" t="s">
        <v>1689</v>
      </c>
      <c r="O130" s="56" t="s">
        <v>1690</v>
      </c>
      <c r="P130" s="56" t="s">
        <v>1608</v>
      </c>
      <c r="Q130" s="56"/>
      <c r="R130" s="54"/>
      <c r="S130" s="25">
        <v>698.95</v>
      </c>
      <c r="T130" s="56" t="s">
        <v>1691</v>
      </c>
      <c r="U130" s="56"/>
      <c r="V130" s="229" t="e">
        <v>#N/A</v>
      </c>
      <c r="W130" s="229" t="e">
        <v>#N/A</v>
      </c>
      <c r="X130" s="70">
        <v>49</v>
      </c>
      <c r="Y130" s="56"/>
      <c r="Z130" s="56" t="s">
        <v>1331</v>
      </c>
      <c r="AA130" s="55">
        <v>43475</v>
      </c>
      <c r="AB130" s="56" t="s">
        <v>1057</v>
      </c>
      <c r="AC130" s="56"/>
      <c r="AD130" s="56"/>
      <c r="AE130" s="56"/>
      <c r="AF130" s="56"/>
      <c r="AG130" s="56"/>
    </row>
    <row r="131" spans="1:33" ht="14.25" hidden="1" customHeight="1">
      <c r="A131" s="62"/>
      <c r="B131" s="62"/>
      <c r="C131" s="63"/>
      <c r="D131" s="63"/>
      <c r="E131" s="56" t="s">
        <v>55</v>
      </c>
      <c r="F131" s="56" t="s">
        <v>1692</v>
      </c>
      <c r="G131" s="56" t="s">
        <v>329</v>
      </c>
      <c r="H131" s="56" t="s">
        <v>243</v>
      </c>
      <c r="I131" s="56"/>
      <c r="J131" s="22"/>
      <c r="K131" s="56" t="s">
        <v>680</v>
      </c>
      <c r="L131" s="56"/>
      <c r="M131" s="34"/>
      <c r="N131" s="56"/>
      <c r="O131" s="56"/>
      <c r="P131" s="56"/>
      <c r="Q131" s="56"/>
      <c r="R131" s="54"/>
      <c r="S131" s="25" t="e">
        <v>#N/A</v>
      </c>
      <c r="T131" s="21" t="s">
        <v>1693</v>
      </c>
      <c r="U131" s="56"/>
      <c r="V131" s="64" t="e">
        <v>#N/A</v>
      </c>
      <c r="W131" s="64" t="e">
        <v>#N/A</v>
      </c>
      <c r="X131" s="70"/>
      <c r="Y131" s="56" t="s">
        <v>1060</v>
      </c>
      <c r="Z131" s="56"/>
      <c r="AA131" s="55"/>
      <c r="AB131" s="56"/>
      <c r="AC131" s="56"/>
      <c r="AD131" s="56"/>
      <c r="AE131" s="56"/>
      <c r="AF131" s="56"/>
      <c r="AG131" s="56"/>
    </row>
    <row r="132" spans="1:33" ht="14.25" hidden="1" customHeight="1">
      <c r="A132" s="259"/>
      <c r="B132" s="259"/>
      <c r="C132" s="260"/>
      <c r="D132" s="260"/>
      <c r="E132" s="56" t="s">
        <v>55</v>
      </c>
      <c r="F132" s="56" t="s">
        <v>906</v>
      </c>
      <c r="G132" s="56" t="s">
        <v>242</v>
      </c>
      <c r="H132" s="56" t="s">
        <v>243</v>
      </c>
      <c r="I132" s="56"/>
      <c r="J132" s="56">
        <v>87</v>
      </c>
      <c r="K132" s="56" t="s">
        <v>680</v>
      </c>
      <c r="L132" s="56"/>
      <c r="M132" s="34"/>
      <c r="N132" s="56"/>
      <c r="O132" s="56"/>
      <c r="P132" s="56"/>
      <c r="Q132" s="56"/>
      <c r="R132" s="54"/>
      <c r="S132" s="25" t="e">
        <v>#N/A</v>
      </c>
      <c r="T132" s="56" t="s">
        <v>1694</v>
      </c>
      <c r="U132" s="56">
        <v>1</v>
      </c>
      <c r="V132" s="229" t="e">
        <v>#N/A</v>
      </c>
      <c r="W132" s="229" t="e">
        <v>#N/A</v>
      </c>
      <c r="X132" s="70"/>
      <c r="Y132" s="56" t="s">
        <v>1060</v>
      </c>
      <c r="Z132" s="56"/>
      <c r="AA132" s="55"/>
      <c r="AB132" s="56"/>
      <c r="AC132" s="56"/>
      <c r="AD132" s="56"/>
      <c r="AE132" s="56"/>
      <c r="AF132" s="56"/>
      <c r="AG132" s="56"/>
    </row>
    <row r="133" spans="1:33" ht="14.25" hidden="1" customHeight="1">
      <c r="A133" s="259"/>
      <c r="B133" s="259"/>
      <c r="C133" s="260"/>
      <c r="D133" s="260"/>
      <c r="E133" s="56" t="s">
        <v>55</v>
      </c>
      <c r="F133" s="56" t="s">
        <v>1695</v>
      </c>
      <c r="G133" s="56" t="s">
        <v>247</v>
      </c>
      <c r="H133" s="56" t="s">
        <v>243</v>
      </c>
      <c r="I133" s="56"/>
      <c r="J133" s="56">
        <v>54</v>
      </c>
      <c r="K133" s="56" t="s">
        <v>680</v>
      </c>
      <c r="L133" s="56"/>
      <c r="M133" s="34"/>
      <c r="N133" s="56"/>
      <c r="O133" s="56"/>
      <c r="P133" s="56"/>
      <c r="Q133" s="56"/>
      <c r="R133" s="54"/>
      <c r="S133" s="25" t="e">
        <v>#N/A</v>
      </c>
      <c r="T133" s="56" t="s">
        <v>1696</v>
      </c>
      <c r="U133" s="56"/>
      <c r="V133" s="229" t="e">
        <v>#N/A</v>
      </c>
      <c r="W133" s="229" t="e">
        <v>#N/A</v>
      </c>
      <c r="X133" s="70"/>
      <c r="Y133" s="56" t="s">
        <v>1060</v>
      </c>
      <c r="Z133" s="56"/>
      <c r="AA133" s="55"/>
      <c r="AB133" s="56"/>
      <c r="AC133" s="56"/>
      <c r="AD133" s="56"/>
      <c r="AE133" s="56"/>
      <c r="AF133" s="56"/>
      <c r="AG133" s="56"/>
    </row>
    <row r="134" spans="1:33" ht="14.25" customHeight="1">
      <c r="A134" s="259"/>
      <c r="B134" s="259"/>
      <c r="C134" s="260"/>
      <c r="D134" s="260"/>
      <c r="E134" s="70" t="s">
        <v>55</v>
      </c>
      <c r="F134" s="56" t="s">
        <v>415</v>
      </c>
      <c r="G134" s="56" t="s">
        <v>329</v>
      </c>
      <c r="H134" s="70" t="s">
        <v>243</v>
      </c>
      <c r="I134" s="56"/>
      <c r="J134" s="70">
        <v>98</v>
      </c>
      <c r="K134" s="56" t="s">
        <v>682</v>
      </c>
      <c r="L134" s="56" t="s">
        <v>1905</v>
      </c>
      <c r="M134" s="66" t="s">
        <v>417</v>
      </c>
      <c r="N134" s="56" t="s">
        <v>1370</v>
      </c>
      <c r="O134" s="56" t="s">
        <v>1697</v>
      </c>
      <c r="P134" s="56" t="s">
        <v>1698</v>
      </c>
      <c r="Q134" s="56"/>
      <c r="R134" s="54"/>
      <c r="S134" s="25">
        <v>0</v>
      </c>
      <c r="T134" s="70" t="s">
        <v>1699</v>
      </c>
      <c r="U134" s="56"/>
      <c r="V134" s="229" t="e">
        <v>#N/A</v>
      </c>
      <c r="W134" s="229" t="e">
        <v>#N/A</v>
      </c>
      <c r="X134" s="70">
        <v>64</v>
      </c>
      <c r="Y134" s="56"/>
      <c r="Z134" s="56" t="s">
        <v>1521</v>
      </c>
      <c r="AA134" s="55">
        <v>43538</v>
      </c>
      <c r="AB134" s="56" t="s">
        <v>1700</v>
      </c>
      <c r="AC134" s="56"/>
      <c r="AD134" s="56"/>
      <c r="AE134" s="56"/>
      <c r="AF134" s="56"/>
      <c r="AG134" s="56"/>
    </row>
    <row r="135" spans="1:33" ht="14.25" hidden="1" customHeight="1">
      <c r="A135" s="244"/>
      <c r="B135" s="244"/>
      <c r="C135" s="244"/>
      <c r="D135" s="244"/>
      <c r="E135" s="70" t="s">
        <v>55</v>
      </c>
      <c r="F135" s="56" t="s">
        <v>1701</v>
      </c>
      <c r="G135" s="56" t="s">
        <v>329</v>
      </c>
      <c r="H135" s="70" t="s">
        <v>243</v>
      </c>
      <c r="I135" s="56"/>
      <c r="J135" s="70">
        <v>106</v>
      </c>
      <c r="K135" s="56" t="s">
        <v>680</v>
      </c>
      <c r="L135" s="56"/>
      <c r="M135" s="34"/>
      <c r="N135" s="56"/>
      <c r="O135" s="56"/>
      <c r="P135" s="56"/>
      <c r="Q135" s="56"/>
      <c r="R135" s="54"/>
      <c r="S135" s="25" t="e">
        <v>#N/A</v>
      </c>
      <c r="T135" s="56" t="s">
        <v>1702</v>
      </c>
      <c r="U135" s="56"/>
      <c r="V135" s="244" t="e">
        <v>#N/A</v>
      </c>
      <c r="W135" s="244" t="e">
        <v>#N/A</v>
      </c>
      <c r="X135" s="70"/>
      <c r="Y135" s="56" t="s">
        <v>1060</v>
      </c>
      <c r="Z135" s="56"/>
      <c r="AA135" s="55"/>
      <c r="AB135" s="56"/>
      <c r="AC135" s="56"/>
      <c r="AD135" s="56"/>
      <c r="AE135" s="56"/>
      <c r="AF135" s="56"/>
      <c r="AG135" s="56"/>
    </row>
    <row r="136" spans="1:33" ht="14.25" customHeight="1">
      <c r="A136" s="62"/>
      <c r="B136" s="62"/>
      <c r="C136" s="63"/>
      <c r="D136" s="63"/>
      <c r="E136" s="70" t="s">
        <v>55</v>
      </c>
      <c r="F136" s="56" t="s">
        <v>402</v>
      </c>
      <c r="G136" s="56" t="s">
        <v>329</v>
      </c>
      <c r="H136" s="70" t="s">
        <v>243</v>
      </c>
      <c r="I136" s="56"/>
      <c r="J136" s="70">
        <v>99</v>
      </c>
      <c r="K136" s="56" t="s">
        <v>682</v>
      </c>
      <c r="L136" s="56" t="s">
        <v>1905</v>
      </c>
      <c r="M136" s="34" t="s">
        <v>403</v>
      </c>
      <c r="N136" s="56" t="s">
        <v>1370</v>
      </c>
      <c r="O136" s="56" t="s">
        <v>1703</v>
      </c>
      <c r="P136" s="56" t="s">
        <v>1704</v>
      </c>
      <c r="Q136" s="56"/>
      <c r="R136" s="54"/>
      <c r="S136" s="25">
        <v>-7665.62</v>
      </c>
      <c r="T136" s="56" t="s">
        <v>1705</v>
      </c>
      <c r="U136" s="56"/>
      <c r="V136" s="64" t="e">
        <v>#N/A</v>
      </c>
      <c r="W136" s="64" t="e">
        <v>#N/A</v>
      </c>
      <c r="X136" s="70">
        <v>58</v>
      </c>
      <c r="Y136" s="56"/>
      <c r="Z136" s="56" t="s">
        <v>1331</v>
      </c>
      <c r="AA136" s="55">
        <v>43475</v>
      </c>
      <c r="AB136" s="56" t="s">
        <v>1057</v>
      </c>
      <c r="AC136" s="70"/>
      <c r="AD136" s="70"/>
      <c r="AE136" s="70"/>
      <c r="AF136" s="70"/>
      <c r="AG136" s="70"/>
    </row>
    <row r="137" spans="1:33" ht="14.25" customHeight="1">
      <c r="A137" s="259"/>
      <c r="B137" s="259"/>
      <c r="C137" s="260"/>
      <c r="D137" s="260"/>
      <c r="E137" s="70" t="s">
        <v>55</v>
      </c>
      <c r="F137" s="56" t="s">
        <v>422</v>
      </c>
      <c r="G137" s="56" t="s">
        <v>329</v>
      </c>
      <c r="H137" s="70" t="s">
        <v>243</v>
      </c>
      <c r="I137" s="56"/>
      <c r="J137" s="70">
        <v>104</v>
      </c>
      <c r="K137" s="56" t="s">
        <v>682</v>
      </c>
      <c r="L137" s="56" t="s">
        <v>1905</v>
      </c>
      <c r="M137" s="34" t="s">
        <v>423</v>
      </c>
      <c r="N137" s="56" t="s">
        <v>1370</v>
      </c>
      <c r="O137" s="56" t="s">
        <v>1706</v>
      </c>
      <c r="P137" s="56" t="s">
        <v>1707</v>
      </c>
      <c r="Q137" s="56"/>
      <c r="R137" s="54"/>
      <c r="S137" s="25">
        <v>0</v>
      </c>
      <c r="T137" s="56" t="s">
        <v>1708</v>
      </c>
      <c r="U137" s="56"/>
      <c r="V137" s="229" t="e">
        <v>#N/A</v>
      </c>
      <c r="W137" s="229" t="e">
        <v>#N/A</v>
      </c>
      <c r="X137" s="70">
        <v>67</v>
      </c>
      <c r="Y137" s="56"/>
      <c r="Z137" s="56" t="s">
        <v>1331</v>
      </c>
      <c r="AA137" s="55">
        <v>43475</v>
      </c>
      <c r="AB137" s="56" t="s">
        <v>1057</v>
      </c>
      <c r="AC137" s="70"/>
      <c r="AD137" s="70"/>
      <c r="AE137" s="70"/>
      <c r="AF137" s="70"/>
      <c r="AG137" s="70"/>
    </row>
    <row r="138" spans="1:33" ht="14.25" customHeight="1">
      <c r="A138" s="259"/>
      <c r="B138" s="259"/>
      <c r="C138" s="260"/>
      <c r="D138" s="260"/>
      <c r="E138" s="70" t="s">
        <v>55</v>
      </c>
      <c r="F138" s="56" t="s">
        <v>303</v>
      </c>
      <c r="G138" s="56" t="s">
        <v>250</v>
      </c>
      <c r="H138" s="70" t="s">
        <v>243</v>
      </c>
      <c r="I138" s="56"/>
      <c r="J138" s="70">
        <v>100</v>
      </c>
      <c r="K138" s="56" t="s">
        <v>682</v>
      </c>
      <c r="L138" s="56" t="s">
        <v>1905</v>
      </c>
      <c r="M138" s="34" t="s">
        <v>304</v>
      </c>
      <c r="N138" s="56" t="s">
        <v>1709</v>
      </c>
      <c r="O138" s="56" t="s">
        <v>1710</v>
      </c>
      <c r="P138" s="56" t="s">
        <v>1711</v>
      </c>
      <c r="Q138" s="56"/>
      <c r="R138" s="54"/>
      <c r="S138" s="25" t="s">
        <v>1201</v>
      </c>
      <c r="T138" s="56" t="s">
        <v>1712</v>
      </c>
      <c r="U138" s="56"/>
      <c r="V138" s="229" t="e">
        <v>#N/A</v>
      </c>
      <c r="W138" s="229" t="e">
        <v>#N/A</v>
      </c>
      <c r="X138" s="70">
        <v>7</v>
      </c>
      <c r="Y138" s="56"/>
      <c r="Z138" s="56" t="s">
        <v>1331</v>
      </c>
      <c r="AA138" s="55">
        <v>43475</v>
      </c>
      <c r="AB138" s="56" t="s">
        <v>1057</v>
      </c>
      <c r="AC138" s="70"/>
      <c r="AD138" s="70"/>
      <c r="AE138" s="70"/>
      <c r="AF138" s="70"/>
      <c r="AG138" s="70"/>
    </row>
    <row r="139" spans="1:33" ht="14.25" customHeight="1">
      <c r="A139" s="259"/>
      <c r="B139" s="259"/>
      <c r="C139" s="260"/>
      <c r="D139" s="260"/>
      <c r="E139" s="70" t="s">
        <v>55</v>
      </c>
      <c r="F139" s="56" t="s">
        <v>305</v>
      </c>
      <c r="G139" s="56" t="s">
        <v>242</v>
      </c>
      <c r="H139" s="70" t="s">
        <v>243</v>
      </c>
      <c r="I139" s="56"/>
      <c r="J139" s="70">
        <v>105</v>
      </c>
      <c r="K139" s="56" t="s">
        <v>682</v>
      </c>
      <c r="L139" s="56" t="s">
        <v>1905</v>
      </c>
      <c r="M139" s="34" t="s">
        <v>306</v>
      </c>
      <c r="N139" s="56" t="s">
        <v>1390</v>
      </c>
      <c r="O139" s="56" t="s">
        <v>1713</v>
      </c>
      <c r="P139" s="56" t="s">
        <v>1462</v>
      </c>
      <c r="Q139" s="56"/>
      <c r="R139" s="54"/>
      <c r="S139" s="25" t="s">
        <v>1463</v>
      </c>
      <c r="T139" s="56" t="s">
        <v>1714</v>
      </c>
      <c r="U139" s="56"/>
      <c r="V139" s="229" t="e">
        <v>#N/A</v>
      </c>
      <c r="W139" s="229" t="e">
        <v>#N/A</v>
      </c>
      <c r="X139" s="70">
        <v>8</v>
      </c>
      <c r="Y139" s="56"/>
      <c r="Z139" s="56" t="s">
        <v>1331</v>
      </c>
      <c r="AA139" s="55">
        <v>43475</v>
      </c>
      <c r="AB139" s="56" t="s">
        <v>1057</v>
      </c>
      <c r="AC139" s="70"/>
      <c r="AD139" s="70"/>
      <c r="AE139" s="70"/>
      <c r="AF139" s="70"/>
      <c r="AG139" s="70"/>
    </row>
    <row r="140" spans="1:33" ht="14.25" customHeight="1">
      <c r="A140" s="259"/>
      <c r="B140" s="259"/>
      <c r="C140" s="260"/>
      <c r="D140" s="260"/>
      <c r="E140" s="70" t="s">
        <v>55</v>
      </c>
      <c r="F140" s="56" t="s">
        <v>409</v>
      </c>
      <c r="G140" s="56" t="s">
        <v>329</v>
      </c>
      <c r="H140" s="70" t="s">
        <v>243</v>
      </c>
      <c r="I140" s="56"/>
      <c r="J140" s="70">
        <v>101</v>
      </c>
      <c r="K140" s="56" t="s">
        <v>682</v>
      </c>
      <c r="L140" s="56" t="s">
        <v>1905</v>
      </c>
      <c r="M140" s="34" t="s">
        <v>410</v>
      </c>
      <c r="N140" s="56" t="s">
        <v>1370</v>
      </c>
      <c r="O140" s="56" t="s">
        <v>1715</v>
      </c>
      <c r="P140" s="56" t="s">
        <v>1716</v>
      </c>
      <c r="Q140" s="56"/>
      <c r="R140" s="54"/>
      <c r="S140" s="25">
        <v>698.95</v>
      </c>
      <c r="T140" s="56" t="s">
        <v>1717</v>
      </c>
      <c r="U140" s="56"/>
      <c r="V140" s="229" t="e">
        <v>#N/A</v>
      </c>
      <c r="W140" s="229" t="e">
        <v>#N/A</v>
      </c>
      <c r="X140" s="70">
        <v>61</v>
      </c>
      <c r="Y140" s="56"/>
      <c r="Z140" s="56" t="s">
        <v>1331</v>
      </c>
      <c r="AA140" s="55">
        <v>43475</v>
      </c>
      <c r="AB140" s="56" t="s">
        <v>1057</v>
      </c>
      <c r="AC140" s="70"/>
      <c r="AD140" s="70"/>
      <c r="AE140" s="70"/>
      <c r="AF140" s="70"/>
      <c r="AG140" s="70"/>
    </row>
    <row r="141" spans="1:33" ht="14.25" hidden="1" customHeight="1">
      <c r="A141" s="259"/>
      <c r="B141" s="259"/>
      <c r="C141" s="260"/>
      <c r="D141" s="260"/>
      <c r="E141" s="70" t="s">
        <v>55</v>
      </c>
      <c r="F141" s="56" t="s">
        <v>1718</v>
      </c>
      <c r="G141" s="56" t="s">
        <v>329</v>
      </c>
      <c r="H141" s="70" t="s">
        <v>243</v>
      </c>
      <c r="I141" s="56"/>
      <c r="J141" s="70">
        <v>107</v>
      </c>
      <c r="K141" s="56" t="s">
        <v>680</v>
      </c>
      <c r="L141" s="56"/>
      <c r="M141" s="34"/>
      <c r="N141" s="56"/>
      <c r="O141" s="56"/>
      <c r="P141" s="56"/>
      <c r="Q141" s="56"/>
      <c r="R141" s="54"/>
      <c r="S141" s="25" t="e">
        <v>#N/A</v>
      </c>
      <c r="T141" s="56" t="s">
        <v>1719</v>
      </c>
      <c r="U141" s="56"/>
      <c r="V141" s="229" t="e">
        <v>#N/A</v>
      </c>
      <c r="W141" s="229" t="e">
        <v>#N/A</v>
      </c>
      <c r="X141" s="70"/>
      <c r="Y141" s="56" t="s">
        <v>1060</v>
      </c>
      <c r="Z141" s="56"/>
      <c r="AA141" s="55"/>
      <c r="AB141" s="56"/>
      <c r="AC141" s="56"/>
      <c r="AD141" s="56"/>
      <c r="AE141" s="56"/>
      <c r="AF141" s="56"/>
      <c r="AG141" s="56"/>
    </row>
    <row r="142" spans="1:33" ht="14.25" customHeight="1">
      <c r="A142" s="259"/>
      <c r="B142" s="259"/>
      <c r="C142" s="260"/>
      <c r="D142" s="260"/>
      <c r="E142" s="70" t="s">
        <v>55</v>
      </c>
      <c r="F142" s="56" t="s">
        <v>335</v>
      </c>
      <c r="G142" s="56" t="s">
        <v>329</v>
      </c>
      <c r="H142" s="70" t="s">
        <v>243</v>
      </c>
      <c r="I142" s="56"/>
      <c r="J142" s="70">
        <v>102</v>
      </c>
      <c r="K142" s="56" t="s">
        <v>682</v>
      </c>
      <c r="L142" s="56" t="s">
        <v>1905</v>
      </c>
      <c r="M142" s="34" t="s">
        <v>336</v>
      </c>
      <c r="N142" s="56" t="s">
        <v>1395</v>
      </c>
      <c r="O142" s="56" t="s">
        <v>1720</v>
      </c>
      <c r="P142" s="56" t="s">
        <v>1638</v>
      </c>
      <c r="Q142" s="56" t="s">
        <v>1398</v>
      </c>
      <c r="R142" s="54"/>
      <c r="S142" s="25">
        <v>1</v>
      </c>
      <c r="T142" s="56" t="s">
        <v>1721</v>
      </c>
      <c r="U142" s="56"/>
      <c r="V142" s="229" t="e">
        <v>#N/A</v>
      </c>
      <c r="W142" s="229" t="e">
        <v>#N/A</v>
      </c>
      <c r="X142" s="70">
        <v>24</v>
      </c>
      <c r="Y142" s="56"/>
      <c r="Z142" s="56" t="s">
        <v>1331</v>
      </c>
      <c r="AA142" s="55">
        <v>43475</v>
      </c>
      <c r="AB142" s="56" t="s">
        <v>1057</v>
      </c>
      <c r="AC142" s="67"/>
      <c r="AD142" s="67"/>
      <c r="AE142" s="67"/>
      <c r="AF142" s="67"/>
      <c r="AG142" s="67"/>
    </row>
    <row r="143" spans="1:33" ht="14.25" customHeight="1">
      <c r="A143" s="259"/>
      <c r="B143" s="259"/>
      <c r="C143" s="260"/>
      <c r="D143" s="260"/>
      <c r="E143" s="56" t="s">
        <v>55</v>
      </c>
      <c r="F143" s="56" t="s">
        <v>426</v>
      </c>
      <c r="G143" s="56" t="s">
        <v>329</v>
      </c>
      <c r="H143" s="56" t="s">
        <v>243</v>
      </c>
      <c r="I143" s="56"/>
      <c r="J143" s="56">
        <v>103</v>
      </c>
      <c r="K143" s="56" t="s">
        <v>682</v>
      </c>
      <c r="L143" s="56" t="s">
        <v>1905</v>
      </c>
      <c r="M143" s="56" t="s">
        <v>427</v>
      </c>
      <c r="N143" s="56" t="s">
        <v>1395</v>
      </c>
      <c r="O143" s="56" t="s">
        <v>1722</v>
      </c>
      <c r="P143" s="56" t="s">
        <v>1723</v>
      </c>
      <c r="Q143" s="56" t="s">
        <v>1398</v>
      </c>
      <c r="R143" s="54"/>
      <c r="S143" s="25">
        <v>8364.57</v>
      </c>
      <c r="T143" s="56" t="s">
        <v>1724</v>
      </c>
      <c r="U143" s="56"/>
      <c r="V143" s="229" t="e">
        <v>#N/A</v>
      </c>
      <c r="W143" s="229" t="e">
        <v>#N/A</v>
      </c>
      <c r="X143" s="70">
        <v>69</v>
      </c>
      <c r="Y143" s="56"/>
      <c r="Z143" s="56" t="s">
        <v>1331</v>
      </c>
      <c r="AA143" s="55">
        <v>43475</v>
      </c>
      <c r="AB143" s="56" t="s">
        <v>1057</v>
      </c>
      <c r="AC143" s="67"/>
      <c r="AD143" s="67"/>
      <c r="AE143" s="67"/>
      <c r="AF143" s="67"/>
      <c r="AG143" s="67"/>
    </row>
    <row r="144" spans="1:33" ht="14.25" customHeight="1">
      <c r="A144" s="259"/>
      <c r="B144" s="259"/>
      <c r="C144" s="260"/>
      <c r="D144" s="260"/>
      <c r="E144" s="56" t="s">
        <v>55</v>
      </c>
      <c r="F144" s="56" t="s">
        <v>326</v>
      </c>
      <c r="G144" s="56" t="s">
        <v>242</v>
      </c>
      <c r="H144" s="56" t="s">
        <v>243</v>
      </c>
      <c r="I144" s="56"/>
      <c r="J144" s="56"/>
      <c r="K144" s="56" t="s">
        <v>682</v>
      </c>
      <c r="L144" s="56" t="s">
        <v>1905</v>
      </c>
      <c r="M144" s="56" t="s">
        <v>327</v>
      </c>
      <c r="N144" s="56" t="s">
        <v>1390</v>
      </c>
      <c r="O144" s="56" t="s">
        <v>1725</v>
      </c>
      <c r="P144" s="56" t="s">
        <v>1376</v>
      </c>
      <c r="Q144" s="56"/>
      <c r="R144" s="54"/>
      <c r="S144" s="25" t="s">
        <v>1726</v>
      </c>
      <c r="T144" s="21" t="s">
        <v>1727</v>
      </c>
      <c r="U144" s="56"/>
      <c r="V144" s="229" t="e">
        <v>#N/A</v>
      </c>
      <c r="W144" s="229" t="e">
        <v>#N/A</v>
      </c>
      <c r="X144" s="70">
        <v>20</v>
      </c>
      <c r="Y144" s="56"/>
      <c r="Z144" s="56" t="s">
        <v>1331</v>
      </c>
      <c r="AA144" s="55">
        <v>43475</v>
      </c>
      <c r="AB144" s="56" t="s">
        <v>1057</v>
      </c>
      <c r="AC144" s="70"/>
      <c r="AD144" s="70"/>
      <c r="AE144" s="70"/>
      <c r="AF144" s="70"/>
      <c r="AG144" s="70"/>
    </row>
    <row r="145" spans="1:33" ht="14.25" hidden="1" customHeight="1">
      <c r="A145" s="259"/>
      <c r="B145" s="259"/>
      <c r="C145" s="260"/>
      <c r="D145" s="260"/>
      <c r="E145" s="56" t="s">
        <v>55</v>
      </c>
      <c r="F145" s="56" t="s">
        <v>1728</v>
      </c>
      <c r="G145" s="56" t="s">
        <v>329</v>
      </c>
      <c r="H145" s="56" t="s">
        <v>243</v>
      </c>
      <c r="I145" s="56"/>
      <c r="J145" s="22"/>
      <c r="K145" s="56" t="s">
        <v>680</v>
      </c>
      <c r="L145" s="56"/>
      <c r="M145" s="34"/>
      <c r="N145" s="56"/>
      <c r="O145" s="56"/>
      <c r="P145" s="56"/>
      <c r="Q145" s="56"/>
      <c r="R145" s="54"/>
      <c r="S145" s="25" t="e">
        <v>#N/A</v>
      </c>
      <c r="T145" s="21" t="s">
        <v>1729</v>
      </c>
      <c r="U145" s="56"/>
      <c r="V145" s="229" t="e">
        <v>#N/A</v>
      </c>
      <c r="W145" s="229" t="e">
        <v>#N/A</v>
      </c>
      <c r="X145" s="70"/>
      <c r="Y145" s="56" t="s">
        <v>1060</v>
      </c>
      <c r="Z145" s="56"/>
      <c r="AA145" s="55"/>
      <c r="AB145" s="56"/>
      <c r="AC145" s="56"/>
      <c r="AD145" s="56"/>
      <c r="AE145" s="56"/>
      <c r="AF145" s="56"/>
      <c r="AG145" s="56"/>
    </row>
    <row r="146" spans="1:33" ht="14.25" hidden="1" customHeight="1">
      <c r="A146" s="259"/>
      <c r="B146" s="259"/>
      <c r="C146" s="260"/>
      <c r="D146" s="260"/>
      <c r="E146" s="56" t="s">
        <v>55</v>
      </c>
      <c r="F146" s="56" t="s">
        <v>1730</v>
      </c>
      <c r="G146" s="56" t="s">
        <v>329</v>
      </c>
      <c r="H146" s="56" t="s">
        <v>243</v>
      </c>
      <c r="I146" s="56"/>
      <c r="J146" s="22"/>
      <c r="K146" s="56" t="s">
        <v>680</v>
      </c>
      <c r="L146" s="56"/>
      <c r="M146" s="34"/>
      <c r="N146" s="56"/>
      <c r="O146" s="56"/>
      <c r="P146" s="56"/>
      <c r="Q146" s="56"/>
      <c r="R146" s="54"/>
      <c r="S146" s="25" t="e">
        <v>#N/A</v>
      </c>
      <c r="T146" s="21" t="s">
        <v>1731</v>
      </c>
      <c r="U146" s="56"/>
      <c r="V146" s="229" t="e">
        <v>#N/A</v>
      </c>
      <c r="W146" s="229" t="e">
        <v>#N/A</v>
      </c>
      <c r="X146" s="70"/>
      <c r="Y146" s="56" t="s">
        <v>1060</v>
      </c>
      <c r="Z146" s="56"/>
      <c r="AA146" s="55"/>
      <c r="AB146" s="56"/>
      <c r="AC146" s="56"/>
      <c r="AD146" s="56"/>
      <c r="AE146" s="56"/>
      <c r="AF146" s="56"/>
      <c r="AG146" s="56"/>
    </row>
    <row r="147" spans="1:33" ht="14.25" hidden="1" customHeight="1">
      <c r="A147" s="259"/>
      <c r="B147" s="259"/>
      <c r="C147" s="260"/>
      <c r="D147" s="260"/>
      <c r="E147" s="56" t="s">
        <v>55</v>
      </c>
      <c r="F147" s="56" t="s">
        <v>1732</v>
      </c>
      <c r="G147" s="56" t="s">
        <v>329</v>
      </c>
      <c r="H147" s="56" t="s">
        <v>243</v>
      </c>
      <c r="I147" s="56"/>
      <c r="J147" s="22"/>
      <c r="K147" s="56" t="s">
        <v>680</v>
      </c>
      <c r="L147" s="56"/>
      <c r="M147" s="34"/>
      <c r="N147" s="56"/>
      <c r="O147" s="56"/>
      <c r="P147" s="56"/>
      <c r="Q147" s="56"/>
      <c r="R147" s="54"/>
      <c r="S147" s="25" t="e">
        <v>#N/A</v>
      </c>
      <c r="T147" s="21" t="s">
        <v>1733</v>
      </c>
      <c r="U147" s="56"/>
      <c r="V147" s="229" t="e">
        <v>#N/A</v>
      </c>
      <c r="W147" s="229" t="e">
        <v>#N/A</v>
      </c>
      <c r="X147" s="70"/>
      <c r="Y147" s="56" t="s">
        <v>1060</v>
      </c>
      <c r="Z147" s="56"/>
      <c r="AA147" s="55"/>
      <c r="AB147" s="56"/>
      <c r="AC147" s="56"/>
      <c r="AD147" s="56"/>
      <c r="AE147" s="56"/>
      <c r="AF147" s="56"/>
      <c r="AG147" s="56"/>
    </row>
    <row r="148" spans="1:33" ht="14.25" hidden="1" customHeight="1">
      <c r="A148" s="259"/>
      <c r="B148" s="259"/>
      <c r="C148" s="260"/>
      <c r="D148" s="260"/>
      <c r="E148" s="244" t="s">
        <v>55</v>
      </c>
      <c r="F148" s="244" t="s">
        <v>1734</v>
      </c>
      <c r="G148" s="244" t="s">
        <v>250</v>
      </c>
      <c r="H148" s="244" t="s">
        <v>243</v>
      </c>
      <c r="I148" s="244"/>
      <c r="J148" s="275"/>
      <c r="K148" s="244" t="s">
        <v>680</v>
      </c>
      <c r="L148" s="244"/>
      <c r="M148" s="247"/>
      <c r="N148" s="244"/>
      <c r="O148" s="244"/>
      <c r="P148" s="244"/>
      <c r="Q148" s="244"/>
      <c r="R148" s="269"/>
      <c r="S148" s="276" t="e">
        <v>#N/A</v>
      </c>
      <c r="T148" s="267" t="s">
        <v>1735</v>
      </c>
      <c r="U148" s="244"/>
      <c r="V148" s="229" t="e">
        <v>#N/A</v>
      </c>
      <c r="W148" s="229" t="e">
        <v>#N/A</v>
      </c>
      <c r="X148" s="268"/>
      <c r="Y148" s="244" t="s">
        <v>1060</v>
      </c>
      <c r="Z148" s="244"/>
      <c r="AA148" s="270"/>
      <c r="AB148" s="244"/>
      <c r="AC148" s="244"/>
      <c r="AD148" s="244"/>
      <c r="AE148" s="244"/>
      <c r="AF148" s="244"/>
      <c r="AG148" s="244"/>
    </row>
    <row r="149" spans="1:33" ht="14.25" customHeight="1">
      <c r="A149" s="259"/>
      <c r="B149" s="259"/>
      <c r="C149" s="260"/>
      <c r="D149" s="260"/>
      <c r="E149" s="56" t="s">
        <v>61</v>
      </c>
      <c r="F149" s="56" t="s">
        <v>153</v>
      </c>
      <c r="G149" s="56" t="s">
        <v>324</v>
      </c>
      <c r="H149" s="56" t="s">
        <v>243</v>
      </c>
      <c r="I149" s="56"/>
      <c r="J149" s="56">
        <v>55</v>
      </c>
      <c r="K149" s="56" t="s">
        <v>682</v>
      </c>
      <c r="L149" s="56" t="s">
        <v>1905</v>
      </c>
      <c r="M149" s="56" t="s">
        <v>325</v>
      </c>
      <c r="N149" s="56" t="s">
        <v>1736</v>
      </c>
      <c r="O149" s="244" t="s">
        <v>1737</v>
      </c>
      <c r="P149" s="244" t="s">
        <v>1738</v>
      </c>
      <c r="Q149" s="244"/>
      <c r="R149" s="277" t="s">
        <v>1346</v>
      </c>
      <c r="S149" s="276" t="s">
        <v>1739</v>
      </c>
      <c r="T149" s="244" t="s">
        <v>1740</v>
      </c>
      <c r="U149" s="244">
        <v>1</v>
      </c>
      <c r="V149" s="229" t="e">
        <v>#N/A</v>
      </c>
      <c r="W149" s="229" t="e">
        <v>#N/A</v>
      </c>
      <c r="X149" s="268">
        <v>19</v>
      </c>
      <c r="Y149" s="244"/>
      <c r="Z149" s="244" t="s">
        <v>1331</v>
      </c>
      <c r="AA149" s="270">
        <v>43475</v>
      </c>
      <c r="AB149" s="244" t="s">
        <v>1057</v>
      </c>
      <c r="AC149" s="268"/>
      <c r="AD149" s="268"/>
      <c r="AE149" s="268"/>
      <c r="AF149" s="268"/>
      <c r="AG149" s="268"/>
    </row>
    <row r="150" spans="1:33" ht="18.75" customHeight="1">
      <c r="A150" s="68"/>
      <c r="B150" s="68"/>
      <c r="C150" s="68"/>
      <c r="D150" s="68"/>
      <c r="E150" s="57" t="s">
        <v>55</v>
      </c>
      <c r="F150" s="57" t="s">
        <v>1741</v>
      </c>
      <c r="G150" s="57" t="s">
        <v>324</v>
      </c>
      <c r="H150" s="57" t="s">
        <v>243</v>
      </c>
      <c r="I150" s="57"/>
      <c r="J150" s="57"/>
      <c r="K150" s="57" t="s">
        <v>682</v>
      </c>
      <c r="L150" s="56" t="s">
        <v>1905</v>
      </c>
      <c r="M150" s="57" t="s">
        <v>1742</v>
      </c>
      <c r="N150" s="57"/>
      <c r="O150" s="68"/>
      <c r="P150" s="68"/>
      <c r="Q150" s="68"/>
      <c r="R150" s="68"/>
      <c r="S150" s="68" t="e">
        <v>#N/A</v>
      </c>
      <c r="T150" s="68" t="s">
        <v>1743</v>
      </c>
      <c r="U150" s="68"/>
      <c r="V150" s="68" t="e">
        <v>#N/A</v>
      </c>
      <c r="W150" s="68" t="e">
        <v>#N/A</v>
      </c>
      <c r="X150" s="454"/>
      <c r="Y150" s="454" t="s">
        <v>1060</v>
      </c>
      <c r="Z150" s="454"/>
      <c r="AA150" s="454"/>
      <c r="AB150" s="454"/>
      <c r="AC150" s="262"/>
      <c r="AD150" s="262"/>
      <c r="AE150" s="262"/>
      <c r="AF150" s="262"/>
      <c r="AG150" s="262"/>
    </row>
    <row r="151" spans="1:33" ht="14.25" hidden="1" customHeight="1">
      <c r="A151" s="259"/>
      <c r="B151" s="259"/>
      <c r="C151" s="260"/>
      <c r="D151" s="260"/>
      <c r="E151" s="244" t="s">
        <v>55</v>
      </c>
      <c r="F151" s="244" t="s">
        <v>1744</v>
      </c>
      <c r="G151" s="244" t="s">
        <v>329</v>
      </c>
      <c r="H151" s="244" t="s">
        <v>243</v>
      </c>
      <c r="I151" s="244"/>
      <c r="J151" s="275"/>
      <c r="K151" s="244" t="s">
        <v>680</v>
      </c>
      <c r="L151" s="56" t="s">
        <v>1905</v>
      </c>
      <c r="M151" s="247"/>
      <c r="N151" s="244"/>
      <c r="O151" s="244"/>
      <c r="P151" s="244"/>
      <c r="Q151" s="244"/>
      <c r="R151" s="269"/>
      <c r="S151" s="276" t="e">
        <v>#N/A</v>
      </c>
      <c r="T151" s="267" t="s">
        <v>1745</v>
      </c>
      <c r="U151" s="244"/>
      <c r="V151" s="229" t="e">
        <v>#N/A</v>
      </c>
      <c r="W151" s="229" t="e">
        <v>#N/A</v>
      </c>
      <c r="X151" s="268"/>
      <c r="Y151" s="244" t="s">
        <v>1060</v>
      </c>
      <c r="Z151" s="244"/>
      <c r="AA151" s="270"/>
      <c r="AB151" s="244"/>
      <c r="AC151" s="244"/>
      <c r="AD151" s="244"/>
      <c r="AE151" s="244"/>
      <c r="AF151" s="244"/>
      <c r="AG151" s="244"/>
    </row>
    <row r="152" spans="1:33" ht="14.25" customHeight="1">
      <c r="A152" s="262"/>
      <c r="B152" s="262"/>
      <c r="C152" s="262"/>
      <c r="D152" s="262"/>
      <c r="E152" s="57" t="s">
        <v>55</v>
      </c>
      <c r="F152" s="57" t="s">
        <v>1746</v>
      </c>
      <c r="G152" s="57" t="s">
        <v>247</v>
      </c>
      <c r="H152" s="57" t="s">
        <v>243</v>
      </c>
      <c r="I152" s="57"/>
      <c r="J152" s="57"/>
      <c r="K152" s="57" t="s">
        <v>682</v>
      </c>
      <c r="L152" s="56" t="s">
        <v>1905</v>
      </c>
      <c r="M152" s="57" t="s">
        <v>1747</v>
      </c>
      <c r="N152" s="57"/>
      <c r="O152" s="262"/>
      <c r="P152" s="262"/>
      <c r="Q152" s="262"/>
      <c r="R152" s="264"/>
      <c r="S152" s="273" t="e">
        <v>#N/A</v>
      </c>
      <c r="T152" s="272" t="s">
        <v>1748</v>
      </c>
      <c r="U152" s="262"/>
      <c r="V152" s="262" t="e">
        <v>#N/A</v>
      </c>
      <c r="W152" s="262" t="e">
        <v>#N/A</v>
      </c>
      <c r="X152" s="263"/>
      <c r="Y152" s="262" t="s">
        <v>1060</v>
      </c>
      <c r="Z152" s="262"/>
      <c r="AA152" s="265"/>
      <c r="AB152" s="262"/>
      <c r="AC152" s="262"/>
      <c r="AD152" s="262"/>
      <c r="AE152" s="262"/>
      <c r="AF152" s="262"/>
      <c r="AG152" s="262"/>
    </row>
    <row r="153" spans="1:33" ht="14.25" customHeight="1">
      <c r="A153" s="259"/>
      <c r="B153" s="259"/>
      <c r="C153" s="260"/>
      <c r="D153" s="260"/>
      <c r="E153" s="56" t="s">
        <v>59</v>
      </c>
      <c r="F153" s="56" t="s">
        <v>151</v>
      </c>
      <c r="G153" s="56" t="s">
        <v>247</v>
      </c>
      <c r="H153" s="56" t="s">
        <v>243</v>
      </c>
      <c r="I153" s="56"/>
      <c r="J153" s="56">
        <v>56</v>
      </c>
      <c r="K153" s="56" t="s">
        <v>682</v>
      </c>
      <c r="L153" s="56" t="s">
        <v>1905</v>
      </c>
      <c r="M153" s="56" t="s">
        <v>348</v>
      </c>
      <c r="N153" s="56" t="s">
        <v>1390</v>
      </c>
      <c r="O153" s="244" t="s">
        <v>1749</v>
      </c>
      <c r="P153" s="244" t="s">
        <v>1750</v>
      </c>
      <c r="Q153" s="244"/>
      <c r="R153" s="277" t="s">
        <v>1346</v>
      </c>
      <c r="S153" s="276" t="s">
        <v>1751</v>
      </c>
      <c r="T153" s="244" t="s">
        <v>1752</v>
      </c>
      <c r="U153" s="244">
        <v>1</v>
      </c>
      <c r="V153" s="229" t="e">
        <v>#N/A</v>
      </c>
      <c r="W153" s="229" t="e">
        <v>#N/A</v>
      </c>
      <c r="X153" s="268">
        <v>30</v>
      </c>
      <c r="Y153" s="244"/>
      <c r="Z153" s="244" t="s">
        <v>1331</v>
      </c>
      <c r="AA153" s="270">
        <v>43475</v>
      </c>
      <c r="AB153" s="244" t="s">
        <v>1057</v>
      </c>
      <c r="AC153" s="268"/>
      <c r="AD153" s="268"/>
      <c r="AE153" s="268"/>
      <c r="AF153" s="268"/>
      <c r="AG153" s="268"/>
    </row>
    <row r="154" spans="1:33" ht="14.25" customHeight="1">
      <c r="A154" s="259"/>
      <c r="B154" s="259"/>
      <c r="C154" s="260"/>
      <c r="D154" s="260"/>
      <c r="E154" s="56" t="s">
        <v>59</v>
      </c>
      <c r="F154" s="56" t="s">
        <v>349</v>
      </c>
      <c r="G154" s="56" t="s">
        <v>247</v>
      </c>
      <c r="H154" s="56" t="s">
        <v>243</v>
      </c>
      <c r="I154" s="56"/>
      <c r="J154" s="56">
        <v>57</v>
      </c>
      <c r="K154" s="56" t="s">
        <v>682</v>
      </c>
      <c r="L154" s="56" t="s">
        <v>1905</v>
      </c>
      <c r="M154" s="56" t="s">
        <v>350</v>
      </c>
      <c r="N154" s="56" t="s">
        <v>1390</v>
      </c>
      <c r="O154" s="244" t="s">
        <v>1753</v>
      </c>
      <c r="P154" s="244" t="s">
        <v>1754</v>
      </c>
      <c r="Q154" s="244"/>
      <c r="R154" s="277" t="s">
        <v>1346</v>
      </c>
      <c r="S154" s="276" t="s">
        <v>1755</v>
      </c>
      <c r="T154" s="244" t="s">
        <v>1756</v>
      </c>
      <c r="U154" s="244">
        <v>1</v>
      </c>
      <c r="V154" s="229" t="e">
        <v>#N/A</v>
      </c>
      <c r="W154" s="229" t="e">
        <v>#N/A</v>
      </c>
      <c r="X154" s="268">
        <v>31</v>
      </c>
      <c r="Y154" s="244"/>
      <c r="Z154" s="244" t="s">
        <v>1331</v>
      </c>
      <c r="AA154" s="270">
        <v>43475</v>
      </c>
      <c r="AB154" s="244" t="s">
        <v>1057</v>
      </c>
      <c r="AC154" s="268"/>
      <c r="AD154" s="268"/>
      <c r="AE154" s="268"/>
      <c r="AF154" s="268"/>
      <c r="AG154" s="268"/>
    </row>
    <row r="155" spans="1:33" ht="14.25" customHeight="1">
      <c r="A155" s="259"/>
      <c r="B155" s="259"/>
      <c r="C155" s="260"/>
      <c r="D155" s="260"/>
      <c r="E155" s="56" t="s">
        <v>55</v>
      </c>
      <c r="F155" s="56" t="s">
        <v>351</v>
      </c>
      <c r="G155" s="56" t="s">
        <v>247</v>
      </c>
      <c r="H155" s="56" t="s">
        <v>243</v>
      </c>
      <c r="I155" s="56"/>
      <c r="J155" s="56">
        <v>58</v>
      </c>
      <c r="K155" s="56" t="s">
        <v>682</v>
      </c>
      <c r="L155" s="56" t="s">
        <v>1905</v>
      </c>
      <c r="M155" s="56" t="s">
        <v>352</v>
      </c>
      <c r="N155" s="56" t="s">
        <v>1390</v>
      </c>
      <c r="O155" s="244" t="s">
        <v>1391</v>
      </c>
      <c r="P155" s="244" t="s">
        <v>1757</v>
      </c>
      <c r="Q155" s="244"/>
      <c r="R155" s="277" t="s">
        <v>1346</v>
      </c>
      <c r="S155" s="276" t="s">
        <v>1758</v>
      </c>
      <c r="T155" s="244" t="s">
        <v>1759</v>
      </c>
      <c r="U155" s="244">
        <v>1</v>
      </c>
      <c r="V155" s="229" t="e">
        <v>#N/A</v>
      </c>
      <c r="W155" s="229" t="e">
        <v>#N/A</v>
      </c>
      <c r="X155" s="268">
        <v>32</v>
      </c>
      <c r="Y155" s="244"/>
      <c r="Z155" s="244" t="s">
        <v>1331</v>
      </c>
      <c r="AA155" s="270">
        <v>43475</v>
      </c>
      <c r="AB155" s="244" t="s">
        <v>1057</v>
      </c>
      <c r="AC155" s="268"/>
      <c r="AD155" s="268"/>
      <c r="AE155" s="268"/>
      <c r="AF155" s="268"/>
      <c r="AG155" s="268"/>
    </row>
    <row r="156" spans="1:33" ht="14.25" hidden="1" customHeight="1">
      <c r="A156" s="259"/>
      <c r="B156" s="259"/>
      <c r="C156" s="260"/>
      <c r="D156" s="260"/>
      <c r="E156" s="244" t="s">
        <v>55</v>
      </c>
      <c r="F156" s="244" t="s">
        <v>1760</v>
      </c>
      <c r="G156" s="244" t="s">
        <v>247</v>
      </c>
      <c r="H156" s="244" t="s">
        <v>243</v>
      </c>
      <c r="I156" s="244"/>
      <c r="J156" s="275"/>
      <c r="K156" s="244" t="s">
        <v>680</v>
      </c>
      <c r="L156" s="244"/>
      <c r="M156" s="247"/>
      <c r="N156" s="244"/>
      <c r="O156" s="244"/>
      <c r="P156" s="244"/>
      <c r="Q156" s="244"/>
      <c r="R156" s="269"/>
      <c r="S156" s="276" t="e">
        <v>#N/A</v>
      </c>
      <c r="T156" s="267" t="s">
        <v>1761</v>
      </c>
      <c r="U156" s="244"/>
      <c r="V156" s="229" t="e">
        <v>#N/A</v>
      </c>
      <c r="W156" s="229" t="e">
        <v>#N/A</v>
      </c>
      <c r="X156" s="268"/>
      <c r="Y156" s="244" t="s">
        <v>1060</v>
      </c>
      <c r="Z156" s="244"/>
      <c r="AA156" s="270"/>
      <c r="AB156" s="244"/>
      <c r="AC156" s="244"/>
      <c r="AD156" s="244"/>
      <c r="AE156" s="244"/>
      <c r="AF156" s="244"/>
      <c r="AG156" s="244"/>
    </row>
    <row r="157" spans="1:33" ht="14.25" customHeight="1">
      <c r="A157" s="259"/>
      <c r="B157" s="259"/>
      <c r="C157" s="260"/>
      <c r="D157" s="260"/>
      <c r="E157" s="56" t="s">
        <v>59</v>
      </c>
      <c r="F157" s="56" t="s">
        <v>320</v>
      </c>
      <c r="G157" s="56" t="s">
        <v>264</v>
      </c>
      <c r="H157" s="56" t="s">
        <v>243</v>
      </c>
      <c r="I157" s="56"/>
      <c r="J157" s="56">
        <v>59</v>
      </c>
      <c r="K157" s="56" t="s">
        <v>682</v>
      </c>
      <c r="L157" s="56" t="s">
        <v>1905</v>
      </c>
      <c r="M157" s="56" t="s">
        <v>321</v>
      </c>
      <c r="N157" s="56" t="s">
        <v>1604</v>
      </c>
      <c r="O157" s="244" t="s">
        <v>1762</v>
      </c>
      <c r="P157" s="244" t="s">
        <v>1763</v>
      </c>
      <c r="Q157" s="244"/>
      <c r="R157" s="277" t="s">
        <v>1346</v>
      </c>
      <c r="S157" s="276"/>
      <c r="T157" s="244" t="s">
        <v>320</v>
      </c>
      <c r="U157" s="244"/>
      <c r="V157" s="229" t="e">
        <v>#N/A</v>
      </c>
      <c r="W157" s="229" t="e">
        <v>#N/A</v>
      </c>
      <c r="X157" s="268">
        <v>17</v>
      </c>
      <c r="Y157" s="244"/>
      <c r="Z157" s="244" t="s">
        <v>1331</v>
      </c>
      <c r="AA157" s="270">
        <v>43475</v>
      </c>
      <c r="AB157" s="244" t="s">
        <v>1057</v>
      </c>
      <c r="AC157" s="268"/>
      <c r="AD157" s="268"/>
      <c r="AE157" s="268"/>
      <c r="AF157" s="268"/>
      <c r="AG157" s="268"/>
    </row>
    <row r="158" spans="1:33" ht="14.25" customHeight="1">
      <c r="A158" s="259"/>
      <c r="B158" s="259"/>
      <c r="C158" s="260"/>
      <c r="D158" s="260"/>
      <c r="E158" s="56" t="s">
        <v>59</v>
      </c>
      <c r="F158" s="56" t="s">
        <v>355</v>
      </c>
      <c r="G158" s="56" t="s">
        <v>346</v>
      </c>
      <c r="H158" s="56" t="s">
        <v>243</v>
      </c>
      <c r="I158" s="56"/>
      <c r="J158" s="56">
        <v>3</v>
      </c>
      <c r="K158" s="56" t="s">
        <v>682</v>
      </c>
      <c r="L158" s="56" t="s">
        <v>1905</v>
      </c>
      <c r="M158" s="56" t="s">
        <v>356</v>
      </c>
      <c r="N158" s="56" t="s">
        <v>1663</v>
      </c>
      <c r="O158" s="244" t="s">
        <v>1764</v>
      </c>
      <c r="P158" s="244" t="s">
        <v>1376</v>
      </c>
      <c r="Q158" s="244"/>
      <c r="R158" s="277" t="s">
        <v>1346</v>
      </c>
      <c r="S158" s="276"/>
      <c r="T158" s="244" t="s">
        <v>1765</v>
      </c>
      <c r="U158" s="244">
        <v>1</v>
      </c>
      <c r="V158" s="229" t="e">
        <v>#N/A</v>
      </c>
      <c r="W158" s="229" t="e">
        <v>#N/A</v>
      </c>
      <c r="X158" s="268">
        <v>34</v>
      </c>
      <c r="Y158" s="244"/>
      <c r="Z158" s="244" t="s">
        <v>1331</v>
      </c>
      <c r="AA158" s="270">
        <v>43475</v>
      </c>
      <c r="AB158" s="244" t="s">
        <v>1057</v>
      </c>
      <c r="AC158" s="268"/>
      <c r="AD158" s="268"/>
      <c r="AE158" s="268"/>
      <c r="AF158" s="268"/>
      <c r="AG158" s="268"/>
    </row>
    <row r="159" spans="1:33" ht="14.25" customHeight="1">
      <c r="A159" s="62"/>
      <c r="B159" s="62"/>
      <c r="C159" s="63"/>
      <c r="D159" s="63"/>
      <c r="E159" s="56" t="s">
        <v>55</v>
      </c>
      <c r="F159" s="56" t="s">
        <v>434</v>
      </c>
      <c r="G159" s="56" t="s">
        <v>324</v>
      </c>
      <c r="H159" s="56" t="s">
        <v>243</v>
      </c>
      <c r="I159" s="56"/>
      <c r="J159" s="56"/>
      <c r="K159" s="56" t="s">
        <v>682</v>
      </c>
      <c r="L159" s="56" t="s">
        <v>1905</v>
      </c>
      <c r="M159" s="56" t="s">
        <v>435</v>
      </c>
      <c r="N159" s="56" t="s">
        <v>1593</v>
      </c>
      <c r="O159" s="56" t="s">
        <v>1766</v>
      </c>
      <c r="P159" s="56"/>
      <c r="Q159" s="56"/>
      <c r="R159" s="54"/>
      <c r="S159" s="25"/>
      <c r="T159" s="21" t="s">
        <v>1767</v>
      </c>
      <c r="U159" s="56"/>
      <c r="V159" s="64" t="e">
        <v>#N/A</v>
      </c>
      <c r="W159" s="64" t="e">
        <v>#N/A</v>
      </c>
      <c r="X159" s="70">
        <v>72</v>
      </c>
      <c r="Y159" s="56"/>
      <c r="Z159" s="56" t="s">
        <v>1331</v>
      </c>
      <c r="AA159" s="55">
        <v>43475</v>
      </c>
      <c r="AB159" s="56" t="s">
        <v>1057</v>
      </c>
      <c r="AC159" s="70"/>
      <c r="AD159" s="70"/>
      <c r="AE159" s="70"/>
      <c r="AF159" s="70"/>
      <c r="AG159" s="70"/>
    </row>
    <row r="160" spans="1:33" ht="15" customHeight="1">
      <c r="A160" s="244"/>
      <c r="B160" s="244"/>
      <c r="C160" s="244"/>
      <c r="D160" s="244"/>
      <c r="E160" s="56" t="s">
        <v>55</v>
      </c>
      <c r="F160" s="56" t="s">
        <v>491</v>
      </c>
      <c r="G160" s="56" t="s">
        <v>249</v>
      </c>
      <c r="H160" s="56" t="s">
        <v>243</v>
      </c>
      <c r="I160" s="56"/>
      <c r="J160" s="56"/>
      <c r="K160" s="56" t="s">
        <v>682</v>
      </c>
      <c r="L160" s="56" t="s">
        <v>1905</v>
      </c>
      <c r="M160" s="56" t="s">
        <v>492</v>
      </c>
      <c r="N160" s="56"/>
      <c r="O160" s="247" t="s">
        <v>1768</v>
      </c>
      <c r="P160" s="247" t="s">
        <v>1769</v>
      </c>
      <c r="Q160" s="247" t="s">
        <v>1770</v>
      </c>
      <c r="R160" s="269"/>
      <c r="S160" s="276">
        <v>1771</v>
      </c>
      <c r="T160" s="267" t="s">
        <v>1771</v>
      </c>
      <c r="U160" s="244">
        <v>1</v>
      </c>
      <c r="V160" s="244" t="e">
        <v>#N/A</v>
      </c>
      <c r="W160" s="244" t="e">
        <v>#N/A</v>
      </c>
      <c r="X160" s="268">
        <v>99</v>
      </c>
      <c r="Y160" s="244"/>
      <c r="Z160" s="278" t="s">
        <v>1353</v>
      </c>
      <c r="AA160" s="279">
        <v>43551</v>
      </c>
      <c r="AB160" s="278" t="s">
        <v>1772</v>
      </c>
      <c r="AC160" s="268"/>
      <c r="AD160" s="268"/>
      <c r="AE160" s="268"/>
      <c r="AF160" s="268"/>
      <c r="AG160" s="268"/>
    </row>
    <row r="161" spans="1:33" ht="37.5">
      <c r="A161" s="262"/>
      <c r="B161" s="262"/>
      <c r="C161" s="262"/>
      <c r="D161" s="262"/>
      <c r="E161" s="56" t="s">
        <v>55</v>
      </c>
      <c r="F161" s="56" t="s">
        <v>1773</v>
      </c>
      <c r="G161" s="56" t="s">
        <v>247</v>
      </c>
      <c r="H161" s="56" t="s">
        <v>243</v>
      </c>
      <c r="I161" s="56"/>
      <c r="J161" s="56"/>
      <c r="K161" s="56" t="s">
        <v>682</v>
      </c>
      <c r="L161" s="56" t="s">
        <v>1905</v>
      </c>
      <c r="M161" s="34" t="s">
        <v>1774</v>
      </c>
      <c r="N161" s="56" t="s">
        <v>1184</v>
      </c>
      <c r="O161" s="57" t="s">
        <v>1775</v>
      </c>
      <c r="P161" s="262"/>
      <c r="Q161" s="262"/>
      <c r="R161" s="264"/>
      <c r="S161" s="273" t="e">
        <v>#N/A</v>
      </c>
      <c r="T161" s="272" t="s">
        <v>1776</v>
      </c>
      <c r="U161" s="262">
        <v>1</v>
      </c>
      <c r="V161" s="262" t="e">
        <v>#N/A</v>
      </c>
      <c r="W161" s="262" t="e">
        <v>#N/A</v>
      </c>
      <c r="X161" s="263"/>
      <c r="Y161" s="262" t="s">
        <v>1060</v>
      </c>
      <c r="Z161" s="262"/>
      <c r="AA161" s="265"/>
      <c r="AB161" s="262"/>
      <c r="AC161" s="262"/>
      <c r="AD161" s="262"/>
      <c r="AE161" s="262"/>
      <c r="AF161" s="262"/>
      <c r="AG161" s="262"/>
    </row>
    <row r="162" spans="1:33" ht="14.25" customHeight="1">
      <c r="A162" s="244"/>
      <c r="B162" s="244"/>
      <c r="C162" s="244"/>
      <c r="D162" s="244"/>
      <c r="E162" s="56" t="s">
        <v>55</v>
      </c>
      <c r="F162" s="56" t="s">
        <v>493</v>
      </c>
      <c r="G162" s="56" t="s">
        <v>242</v>
      </c>
      <c r="H162" s="56" t="s">
        <v>243</v>
      </c>
      <c r="I162" s="56"/>
      <c r="J162" s="56">
        <v>74</v>
      </c>
      <c r="K162" s="56" t="s">
        <v>1777</v>
      </c>
      <c r="L162" s="56" t="s">
        <v>1905</v>
      </c>
      <c r="M162" s="56" t="s">
        <v>494</v>
      </c>
      <c r="N162" s="56"/>
      <c r="O162" s="247" t="s">
        <v>1778</v>
      </c>
      <c r="P162" s="247" t="s">
        <v>1779</v>
      </c>
      <c r="Q162" s="247" t="s">
        <v>1780</v>
      </c>
      <c r="R162" s="269"/>
      <c r="S162" s="276" t="s">
        <v>1781</v>
      </c>
      <c r="T162" s="244" t="s">
        <v>1782</v>
      </c>
      <c r="U162" s="244">
        <v>1</v>
      </c>
      <c r="V162" s="244" t="e">
        <v>#N/A</v>
      </c>
      <c r="W162" s="244" t="e">
        <v>#N/A</v>
      </c>
      <c r="X162" s="268">
        <v>100</v>
      </c>
      <c r="Y162" s="244"/>
      <c r="Z162" s="278" t="s">
        <v>1353</v>
      </c>
      <c r="AA162" s="279">
        <v>43551</v>
      </c>
      <c r="AB162" s="278" t="s">
        <v>1783</v>
      </c>
      <c r="AC162" s="268"/>
      <c r="AD162" s="268"/>
      <c r="AE162" s="268"/>
      <c r="AF162" s="268"/>
      <c r="AG162" s="268"/>
    </row>
    <row r="163" spans="1:33" ht="14.25" hidden="1" customHeight="1">
      <c r="A163" s="259"/>
      <c r="B163" s="259"/>
      <c r="C163" s="260"/>
      <c r="D163" s="260"/>
      <c r="E163" s="244" t="s">
        <v>55</v>
      </c>
      <c r="F163" s="244" t="s">
        <v>1784</v>
      </c>
      <c r="G163" s="244" t="s">
        <v>329</v>
      </c>
      <c r="H163" s="244" t="s">
        <v>243</v>
      </c>
      <c r="I163" s="244"/>
      <c r="J163" s="275"/>
      <c r="K163" s="244" t="s">
        <v>680</v>
      </c>
      <c r="L163" s="244"/>
      <c r="M163" s="247"/>
      <c r="N163" s="244"/>
      <c r="O163" s="244"/>
      <c r="P163" s="244"/>
      <c r="Q163" s="244"/>
      <c r="R163" s="269"/>
      <c r="S163" s="276" t="e">
        <v>#N/A</v>
      </c>
      <c r="T163" s="266" t="s">
        <v>1785</v>
      </c>
      <c r="U163" s="244"/>
      <c r="V163" s="229" t="e">
        <v>#N/A</v>
      </c>
      <c r="W163" s="229" t="e">
        <v>#N/A</v>
      </c>
      <c r="X163" s="268"/>
      <c r="Y163" s="244" t="s">
        <v>1060</v>
      </c>
      <c r="Z163" s="244"/>
      <c r="AA163" s="270"/>
      <c r="AB163" s="244"/>
      <c r="AC163" s="244"/>
      <c r="AD163" s="244"/>
      <c r="AE163" s="244"/>
      <c r="AF163" s="244"/>
      <c r="AG163" s="244"/>
    </row>
    <row r="164" spans="1:33" ht="14.25" customHeight="1">
      <c r="A164" s="259"/>
      <c r="B164" s="259"/>
      <c r="C164" s="260"/>
      <c r="D164" s="260"/>
      <c r="E164" s="56" t="s">
        <v>55</v>
      </c>
      <c r="F164" s="56" t="s">
        <v>312</v>
      </c>
      <c r="G164" s="56" t="s">
        <v>249</v>
      </c>
      <c r="H164" s="56" t="s">
        <v>243</v>
      </c>
      <c r="I164" s="56"/>
      <c r="J164" s="56"/>
      <c r="K164" s="56" t="s">
        <v>682</v>
      </c>
      <c r="L164" s="56" t="s">
        <v>1905</v>
      </c>
      <c r="M164" s="56" t="s">
        <v>313</v>
      </c>
      <c r="N164" s="56" t="s">
        <v>1736</v>
      </c>
      <c r="O164" s="244" t="s">
        <v>1786</v>
      </c>
      <c r="P164" s="244" t="s">
        <v>1787</v>
      </c>
      <c r="Q164" s="244" t="s">
        <v>1788</v>
      </c>
      <c r="R164" s="269"/>
      <c r="S164" s="276"/>
      <c r="T164" s="267" t="s">
        <v>1789</v>
      </c>
      <c r="U164" s="244"/>
      <c r="V164" s="229" t="e">
        <v>#N/A</v>
      </c>
      <c r="W164" s="229" t="e">
        <v>#N/A</v>
      </c>
      <c r="X164" s="268">
        <v>12</v>
      </c>
      <c r="Y164" s="244"/>
      <c r="Z164" s="244" t="s">
        <v>1331</v>
      </c>
      <c r="AA164" s="270">
        <v>43475</v>
      </c>
      <c r="AB164" s="244" t="s">
        <v>1057</v>
      </c>
      <c r="AC164" s="268"/>
      <c r="AD164" s="268"/>
      <c r="AE164" s="268"/>
      <c r="AF164" s="268"/>
      <c r="AG164" s="268"/>
    </row>
    <row r="165" spans="1:33" ht="14.25" customHeight="1">
      <c r="A165" s="259"/>
      <c r="B165" s="259"/>
      <c r="C165" s="260"/>
      <c r="D165" s="260"/>
      <c r="E165" s="56" t="s">
        <v>55</v>
      </c>
      <c r="F165" s="56" t="s">
        <v>436</v>
      </c>
      <c r="G165" s="56" t="s">
        <v>429</v>
      </c>
      <c r="H165" s="56" t="s">
        <v>243</v>
      </c>
      <c r="I165" s="56"/>
      <c r="J165" s="56"/>
      <c r="K165" s="56" t="s">
        <v>682</v>
      </c>
      <c r="L165" s="56" t="s">
        <v>1905</v>
      </c>
      <c r="M165" s="56" t="s">
        <v>437</v>
      </c>
      <c r="N165" s="56" t="s">
        <v>1593</v>
      </c>
      <c r="O165" s="244" t="s">
        <v>1790</v>
      </c>
      <c r="P165" s="244" t="s">
        <v>1608</v>
      </c>
      <c r="Q165" s="244"/>
      <c r="R165" s="269"/>
      <c r="S165" s="276" t="s">
        <v>682</v>
      </c>
      <c r="T165" s="266" t="s">
        <v>1791</v>
      </c>
      <c r="U165" s="244"/>
      <c r="V165" s="229" t="e">
        <v>#N/A</v>
      </c>
      <c r="W165" s="229" t="e">
        <v>#N/A</v>
      </c>
      <c r="X165" s="268">
        <v>73</v>
      </c>
      <c r="Y165" s="244"/>
      <c r="Z165" s="244" t="s">
        <v>1331</v>
      </c>
      <c r="AA165" s="270">
        <v>43475</v>
      </c>
      <c r="AB165" s="244" t="s">
        <v>1057</v>
      </c>
      <c r="AC165" s="280"/>
      <c r="AD165" s="280"/>
      <c r="AE165" s="280"/>
      <c r="AF165" s="280"/>
      <c r="AG165" s="280"/>
    </row>
    <row r="166" spans="1:33" ht="14.25" customHeight="1">
      <c r="A166" s="262"/>
      <c r="B166" s="262"/>
      <c r="C166" s="262"/>
      <c r="D166" s="262"/>
      <c r="E166" s="56" t="s">
        <v>59</v>
      </c>
      <c r="F166" s="56" t="s">
        <v>383</v>
      </c>
      <c r="G166" s="56" t="s">
        <v>255</v>
      </c>
      <c r="H166" s="56" t="s">
        <v>243</v>
      </c>
      <c r="I166" s="56"/>
      <c r="J166" s="56">
        <v>63</v>
      </c>
      <c r="K166" s="56" t="s">
        <v>682</v>
      </c>
      <c r="L166" s="56" t="s">
        <v>1905</v>
      </c>
      <c r="M166" s="56" t="s">
        <v>384</v>
      </c>
      <c r="N166" s="56" t="s">
        <v>1333</v>
      </c>
      <c r="O166" s="262" t="s">
        <v>1792</v>
      </c>
      <c r="P166" s="262" t="s">
        <v>1401</v>
      </c>
      <c r="Q166" s="262"/>
      <c r="R166" s="264"/>
      <c r="S166" s="273"/>
      <c r="T166" s="262" t="s">
        <v>1793</v>
      </c>
      <c r="U166" s="262"/>
      <c r="V166" s="262" t="e">
        <v>#N/A</v>
      </c>
      <c r="W166" s="262" t="e">
        <v>#N/A</v>
      </c>
      <c r="X166" s="263">
        <v>48</v>
      </c>
      <c r="Y166" s="262"/>
      <c r="Z166" s="262" t="s">
        <v>1794</v>
      </c>
      <c r="AA166" s="265">
        <v>43641</v>
      </c>
      <c r="AB166" s="262" t="s">
        <v>1795</v>
      </c>
      <c r="AC166" s="263"/>
      <c r="AD166" s="263"/>
      <c r="AE166" s="263"/>
      <c r="AF166" s="263"/>
      <c r="AG166" s="263"/>
    </row>
    <row r="167" spans="1:33" ht="14.25" hidden="1" customHeight="1">
      <c r="A167" s="244"/>
      <c r="B167" s="244"/>
      <c r="C167" s="244"/>
      <c r="D167" s="244"/>
      <c r="E167" s="244" t="s">
        <v>55</v>
      </c>
      <c r="F167" s="244" t="s">
        <v>1796</v>
      </c>
      <c r="G167" s="244" t="s">
        <v>429</v>
      </c>
      <c r="H167" s="244" t="s">
        <v>243</v>
      </c>
      <c r="I167" s="244"/>
      <c r="J167" s="275"/>
      <c r="K167" s="244" t="s">
        <v>680</v>
      </c>
      <c r="L167" s="244"/>
      <c r="M167" s="247"/>
      <c r="N167" s="244"/>
      <c r="O167" s="244"/>
      <c r="P167" s="244"/>
      <c r="Q167" s="244"/>
      <c r="R167" s="269"/>
      <c r="S167" s="276" t="e">
        <v>#N/A</v>
      </c>
      <c r="T167" s="266" t="s">
        <v>1797</v>
      </c>
      <c r="U167" s="244"/>
      <c r="V167" s="244" t="e">
        <v>#N/A</v>
      </c>
      <c r="W167" s="244" t="e">
        <v>#N/A</v>
      </c>
      <c r="X167" s="268"/>
      <c r="Y167" s="244" t="s">
        <v>1060</v>
      </c>
      <c r="Z167" s="244"/>
      <c r="AA167" s="270"/>
      <c r="AB167" s="244"/>
      <c r="AC167" s="244"/>
      <c r="AD167" s="244"/>
      <c r="AE167" s="244"/>
      <c r="AF167" s="244"/>
      <c r="AG167" s="244"/>
    </row>
    <row r="168" spans="1:33" ht="14.25" customHeight="1">
      <c r="A168" s="259"/>
      <c r="B168" s="259"/>
      <c r="C168" s="260"/>
      <c r="D168" s="260"/>
      <c r="E168" s="56" t="s">
        <v>59</v>
      </c>
      <c r="F168" s="56" t="s">
        <v>147</v>
      </c>
      <c r="G168" s="56" t="s">
        <v>247</v>
      </c>
      <c r="H168" s="56" t="s">
        <v>243</v>
      </c>
      <c r="I168" s="56"/>
      <c r="J168" s="56">
        <v>64</v>
      </c>
      <c r="K168" s="56" t="s">
        <v>682</v>
      </c>
      <c r="L168" s="56" t="s">
        <v>1905</v>
      </c>
      <c r="M168" s="56" t="s">
        <v>382</v>
      </c>
      <c r="N168" s="56" t="s">
        <v>1798</v>
      </c>
      <c r="O168" s="244" t="s">
        <v>1799</v>
      </c>
      <c r="P168" s="244" t="s">
        <v>1800</v>
      </c>
      <c r="Q168" s="244"/>
      <c r="R168" s="269"/>
      <c r="S168" s="276" t="s">
        <v>1801</v>
      </c>
      <c r="T168" s="244" t="s">
        <v>1802</v>
      </c>
      <c r="U168" s="244"/>
      <c r="V168" s="229" t="e">
        <v>#N/A</v>
      </c>
      <c r="W168" s="229" t="e">
        <v>#N/A</v>
      </c>
      <c r="X168" s="268">
        <v>47</v>
      </c>
      <c r="Y168" s="244"/>
      <c r="Z168" s="244" t="s">
        <v>1331</v>
      </c>
      <c r="AA168" s="270">
        <v>43475</v>
      </c>
      <c r="AB168" s="244" t="s">
        <v>1057</v>
      </c>
      <c r="AC168" s="280"/>
      <c r="AD168" s="280"/>
      <c r="AE168" s="280"/>
      <c r="AF168" s="280"/>
      <c r="AG168" s="280"/>
    </row>
    <row r="169" spans="1:33" ht="14.25" hidden="1" customHeight="1">
      <c r="A169" s="259"/>
      <c r="B169" s="259"/>
      <c r="C169" s="260"/>
      <c r="D169" s="260"/>
      <c r="E169" s="244" t="s">
        <v>53</v>
      </c>
      <c r="F169" s="244" t="s">
        <v>123</v>
      </c>
      <c r="G169" s="244" t="s">
        <v>535</v>
      </c>
      <c r="H169" s="244" t="s">
        <v>243</v>
      </c>
      <c r="I169" s="244"/>
      <c r="J169" s="244">
        <v>71</v>
      </c>
      <c r="K169" s="244" t="s">
        <v>680</v>
      </c>
      <c r="L169" s="244"/>
      <c r="M169" s="247"/>
      <c r="N169" s="244"/>
      <c r="O169" s="244"/>
      <c r="P169" s="244"/>
      <c r="Q169" s="244"/>
      <c r="R169" s="269"/>
      <c r="S169" s="276" t="e">
        <v>#N/A</v>
      </c>
      <c r="T169" s="244" t="s">
        <v>1190</v>
      </c>
      <c r="U169" s="244"/>
      <c r="V169" s="229" t="e">
        <v>#N/A</v>
      </c>
      <c r="W169" s="229" t="e">
        <v>#N/A</v>
      </c>
      <c r="X169" s="268"/>
      <c r="Y169" s="244" t="s">
        <v>1060</v>
      </c>
      <c r="Z169" s="244"/>
      <c r="AA169" s="270"/>
      <c r="AB169" s="244"/>
      <c r="AC169" s="268"/>
      <c r="AD169" s="268"/>
      <c r="AE169" s="268"/>
      <c r="AF169" s="268"/>
      <c r="AG169" s="268"/>
    </row>
    <row r="170" spans="1:33" ht="14.25" hidden="1" customHeight="1">
      <c r="A170" s="259"/>
      <c r="B170" s="259"/>
      <c r="C170" s="260"/>
      <c r="D170" s="260"/>
      <c r="E170" s="56" t="s">
        <v>63</v>
      </c>
      <c r="F170" s="56" t="s">
        <v>122</v>
      </c>
      <c r="G170" s="56" t="s">
        <v>1803</v>
      </c>
      <c r="H170" s="56" t="s">
        <v>903</v>
      </c>
      <c r="I170" s="56"/>
      <c r="J170" s="56">
        <v>35</v>
      </c>
      <c r="K170" s="56" t="s">
        <v>680</v>
      </c>
      <c r="L170" s="56"/>
      <c r="M170" s="34"/>
      <c r="N170" s="56"/>
      <c r="O170" s="56"/>
      <c r="P170" s="56"/>
      <c r="Q170" s="56"/>
      <c r="R170" s="54"/>
      <c r="S170" s="25" t="e">
        <v>#N/A</v>
      </c>
      <c r="T170" s="56" t="s">
        <v>1804</v>
      </c>
      <c r="U170" s="56"/>
      <c r="V170" s="229" t="e">
        <v>#N/A</v>
      </c>
      <c r="W170" s="229" t="e">
        <v>#N/A</v>
      </c>
      <c r="X170" s="70"/>
      <c r="Y170" s="56" t="s">
        <v>1060</v>
      </c>
      <c r="Z170" s="56"/>
      <c r="AA170" s="55"/>
      <c r="AB170" s="56"/>
      <c r="AC170" s="70"/>
      <c r="AD170" s="70"/>
      <c r="AE170" s="70"/>
      <c r="AF170" s="70"/>
      <c r="AG170" s="70"/>
    </row>
    <row r="171" spans="1:33" ht="14.25" customHeight="1">
      <c r="A171" s="259"/>
      <c r="B171" s="259"/>
      <c r="C171" s="260"/>
      <c r="D171" s="260"/>
      <c r="E171" s="56" t="s">
        <v>59</v>
      </c>
      <c r="F171" s="56" t="s">
        <v>316</v>
      </c>
      <c r="G171" s="56" t="s">
        <v>264</v>
      </c>
      <c r="H171" s="56" t="s">
        <v>243</v>
      </c>
      <c r="I171" s="56"/>
      <c r="J171" s="56">
        <v>65</v>
      </c>
      <c r="K171" s="56" t="s">
        <v>682</v>
      </c>
      <c r="L171" s="56" t="s">
        <v>1905</v>
      </c>
      <c r="M171" s="34" t="s">
        <v>317</v>
      </c>
      <c r="N171" s="56" t="s">
        <v>1604</v>
      </c>
      <c r="O171" s="56" t="s">
        <v>1805</v>
      </c>
      <c r="P171" s="56" t="s">
        <v>1806</v>
      </c>
      <c r="Q171" s="56"/>
      <c r="R171" s="249" t="s">
        <v>1346</v>
      </c>
      <c r="S171" s="25"/>
      <c r="T171" s="56" t="s">
        <v>1589</v>
      </c>
      <c r="U171" s="56"/>
      <c r="V171" s="229" t="e">
        <v>#N/A</v>
      </c>
      <c r="W171" s="229" t="e">
        <v>#N/A</v>
      </c>
      <c r="X171" s="70">
        <v>15</v>
      </c>
      <c r="Y171" s="56"/>
      <c r="Z171" s="56" t="s">
        <v>1331</v>
      </c>
      <c r="AA171" s="55">
        <v>43475</v>
      </c>
      <c r="AB171" s="56" t="s">
        <v>1057</v>
      </c>
      <c r="AC171" s="67"/>
      <c r="AD171" s="67"/>
      <c r="AE171" s="67"/>
      <c r="AF171" s="67"/>
      <c r="AG171" s="67"/>
    </row>
    <row r="172" spans="1:33" ht="14.25" customHeight="1">
      <c r="A172" s="259"/>
      <c r="B172" s="259"/>
      <c r="C172" s="260"/>
      <c r="D172" s="260"/>
      <c r="E172" s="56" t="s">
        <v>55</v>
      </c>
      <c r="F172" s="56" t="s">
        <v>378</v>
      </c>
      <c r="G172" s="56" t="s">
        <v>247</v>
      </c>
      <c r="H172" s="56" t="s">
        <v>243</v>
      </c>
      <c r="I172" s="56"/>
      <c r="J172" s="56">
        <v>66</v>
      </c>
      <c r="K172" s="56" t="s">
        <v>682</v>
      </c>
      <c r="L172" s="56" t="s">
        <v>1905</v>
      </c>
      <c r="M172" s="34" t="s">
        <v>379</v>
      </c>
      <c r="N172" s="56" t="s">
        <v>1604</v>
      </c>
      <c r="O172" s="56" t="s">
        <v>1807</v>
      </c>
      <c r="P172" s="56" t="s">
        <v>1808</v>
      </c>
      <c r="Q172" s="56"/>
      <c r="R172" s="54"/>
      <c r="S172" s="25"/>
      <c r="T172" s="56" t="s">
        <v>1809</v>
      </c>
      <c r="U172" s="56">
        <v>1</v>
      </c>
      <c r="V172" s="229" t="e">
        <v>#N/A</v>
      </c>
      <c r="W172" s="229" t="e">
        <v>#N/A</v>
      </c>
      <c r="X172" s="70">
        <v>45</v>
      </c>
      <c r="Y172" s="56"/>
      <c r="Z172" s="56" t="s">
        <v>1331</v>
      </c>
      <c r="AA172" s="55">
        <v>43475</v>
      </c>
      <c r="AB172" s="56" t="s">
        <v>1057</v>
      </c>
      <c r="AC172" s="67"/>
      <c r="AD172" s="67"/>
      <c r="AE172" s="67"/>
      <c r="AF172" s="67"/>
      <c r="AG172" s="67"/>
    </row>
    <row r="173" spans="1:33" ht="14.25" customHeight="1">
      <c r="A173" s="244"/>
      <c r="B173" s="244"/>
      <c r="C173" s="244"/>
      <c r="D173" s="244"/>
      <c r="E173" s="56" t="s">
        <v>55</v>
      </c>
      <c r="F173" s="56" t="s">
        <v>380</v>
      </c>
      <c r="G173" s="56" t="s">
        <v>324</v>
      </c>
      <c r="H173" s="56" t="s">
        <v>243</v>
      </c>
      <c r="I173" s="56"/>
      <c r="J173" s="56">
        <v>67</v>
      </c>
      <c r="K173" s="56" t="s">
        <v>682</v>
      </c>
      <c r="L173" s="56" t="s">
        <v>1905</v>
      </c>
      <c r="M173" s="34" t="s">
        <v>381</v>
      </c>
      <c r="N173" s="56" t="s">
        <v>1736</v>
      </c>
      <c r="O173" s="56" t="s">
        <v>1810</v>
      </c>
      <c r="P173" s="56" t="s">
        <v>1738</v>
      </c>
      <c r="Q173" s="56"/>
      <c r="R173" s="54"/>
      <c r="S173" s="25"/>
      <c r="T173" s="56" t="s">
        <v>1811</v>
      </c>
      <c r="U173" s="56"/>
      <c r="V173" s="244" t="e">
        <v>#N/A</v>
      </c>
      <c r="W173" s="244" t="e">
        <v>#N/A</v>
      </c>
      <c r="X173" s="70">
        <v>46</v>
      </c>
      <c r="Y173" s="56"/>
      <c r="Z173" s="56" t="s">
        <v>1331</v>
      </c>
      <c r="AA173" s="55">
        <v>43475</v>
      </c>
      <c r="AB173" s="56" t="s">
        <v>1057</v>
      </c>
      <c r="AC173" s="70"/>
      <c r="AD173" s="70"/>
      <c r="AE173" s="70"/>
      <c r="AF173" s="70"/>
      <c r="AG173" s="70"/>
    </row>
    <row r="174" spans="1:33" ht="14.25" customHeight="1">
      <c r="A174" s="544"/>
      <c r="B174" s="544"/>
      <c r="C174" s="544"/>
      <c r="D174" s="544"/>
      <c r="E174" s="56" t="s">
        <v>55</v>
      </c>
      <c r="F174" s="56" t="s">
        <v>1812</v>
      </c>
      <c r="G174" s="56" t="s">
        <v>247</v>
      </c>
      <c r="H174" s="56" t="s">
        <v>243</v>
      </c>
      <c r="I174" s="56"/>
      <c r="J174" s="56">
        <v>75</v>
      </c>
      <c r="K174" s="56" t="s">
        <v>682</v>
      </c>
      <c r="L174" s="56" t="s">
        <v>1905</v>
      </c>
      <c r="M174" s="34" t="s">
        <v>1813</v>
      </c>
      <c r="N174" s="56"/>
      <c r="O174" s="56"/>
      <c r="P174" s="56"/>
      <c r="Q174" s="56"/>
      <c r="R174" s="54"/>
      <c r="S174" s="25" t="e">
        <v>#N/A</v>
      </c>
      <c r="T174" s="56" t="s">
        <v>1814</v>
      </c>
      <c r="U174" s="56">
        <v>1</v>
      </c>
      <c r="V174" s="544" t="e">
        <v>#N/A</v>
      </c>
      <c r="W174" s="544" t="e">
        <v>#N/A</v>
      </c>
      <c r="X174" s="70"/>
      <c r="Y174" s="56" t="s">
        <v>1060</v>
      </c>
      <c r="Z174" s="56"/>
      <c r="AA174" s="55"/>
      <c r="AB174" s="56"/>
      <c r="AC174" s="70"/>
      <c r="AD174" s="70"/>
      <c r="AE174" s="70"/>
      <c r="AF174" s="70"/>
      <c r="AG174" s="70"/>
    </row>
    <row r="175" spans="1:33" ht="14.25" hidden="1" customHeight="1">
      <c r="A175" s="244"/>
      <c r="B175" s="244"/>
      <c r="C175" s="244"/>
      <c r="D175" s="244"/>
      <c r="E175" s="56" t="s">
        <v>55</v>
      </c>
      <c r="F175" s="56" t="s">
        <v>1815</v>
      </c>
      <c r="G175" s="56" t="s">
        <v>247</v>
      </c>
      <c r="H175" s="56" t="s">
        <v>243</v>
      </c>
      <c r="I175" s="56"/>
      <c r="J175" s="56">
        <v>76</v>
      </c>
      <c r="K175" s="56" t="s">
        <v>680</v>
      </c>
      <c r="L175" s="56"/>
      <c r="M175" s="34"/>
      <c r="N175" s="56"/>
      <c r="O175" s="56"/>
      <c r="P175" s="56"/>
      <c r="Q175" s="56"/>
      <c r="R175" s="54"/>
      <c r="S175" s="25" t="e">
        <v>#N/A</v>
      </c>
      <c r="T175" s="56" t="s">
        <v>1814</v>
      </c>
      <c r="U175" s="56">
        <v>1</v>
      </c>
      <c r="V175" s="244" t="e">
        <v>#N/A</v>
      </c>
      <c r="W175" s="244" t="e">
        <v>#N/A</v>
      </c>
      <c r="X175" s="70"/>
      <c r="Y175" s="56" t="s">
        <v>1060</v>
      </c>
      <c r="Z175" s="56"/>
      <c r="AA175" s="55"/>
      <c r="AB175" s="56"/>
      <c r="AC175" s="70"/>
      <c r="AD175" s="70"/>
      <c r="AE175" s="70"/>
      <c r="AF175" s="70"/>
      <c r="AG175" s="70"/>
    </row>
    <row r="176" spans="1:33" ht="14.25" hidden="1" customHeight="1">
      <c r="A176" s="244"/>
      <c r="B176" s="244"/>
      <c r="C176" s="244"/>
      <c r="D176" s="244"/>
      <c r="E176" s="56" t="s">
        <v>55</v>
      </c>
      <c r="F176" s="56" t="s">
        <v>1816</v>
      </c>
      <c r="G176" s="56" t="s">
        <v>247</v>
      </c>
      <c r="H176" s="56" t="s">
        <v>243</v>
      </c>
      <c r="I176" s="56"/>
      <c r="J176" s="56">
        <v>77</v>
      </c>
      <c r="K176" s="56" t="s">
        <v>680</v>
      </c>
      <c r="L176" s="56"/>
      <c r="M176" s="34"/>
      <c r="N176" s="56"/>
      <c r="O176" s="56"/>
      <c r="P176" s="56"/>
      <c r="Q176" s="56"/>
      <c r="R176" s="54"/>
      <c r="S176" s="25" t="e">
        <v>#N/A</v>
      </c>
      <c r="T176" s="56" t="s">
        <v>1814</v>
      </c>
      <c r="U176" s="56">
        <v>1</v>
      </c>
      <c r="V176" s="244" t="e">
        <v>#N/A</v>
      </c>
      <c r="W176" s="244" t="e">
        <v>#N/A</v>
      </c>
      <c r="X176" s="70"/>
      <c r="Y176" s="56" t="s">
        <v>1060</v>
      </c>
      <c r="Z176" s="56"/>
      <c r="AA176" s="55"/>
      <c r="AB176" s="56"/>
      <c r="AC176" s="70"/>
      <c r="AD176" s="70"/>
      <c r="AE176" s="70"/>
      <c r="AF176" s="70"/>
      <c r="AG176" s="70"/>
    </row>
    <row r="177" spans="1:33" ht="14.25" hidden="1" customHeight="1">
      <c r="A177" s="259"/>
      <c r="B177" s="259"/>
      <c r="C177" s="260"/>
      <c r="D177" s="260"/>
      <c r="E177" s="56" t="s">
        <v>55</v>
      </c>
      <c r="F177" s="56" t="s">
        <v>1817</v>
      </c>
      <c r="G177" s="56" t="s">
        <v>247</v>
      </c>
      <c r="H177" s="56" t="s">
        <v>243</v>
      </c>
      <c r="I177" s="56"/>
      <c r="J177" s="56">
        <v>77</v>
      </c>
      <c r="K177" s="56" t="s">
        <v>680</v>
      </c>
      <c r="L177" s="56"/>
      <c r="M177" s="34"/>
      <c r="N177" s="56"/>
      <c r="O177" s="56"/>
      <c r="P177" s="56"/>
      <c r="Q177" s="56"/>
      <c r="R177" s="54"/>
      <c r="S177" s="25" t="e">
        <v>#N/A</v>
      </c>
      <c r="T177" s="56" t="s">
        <v>1814</v>
      </c>
      <c r="U177" s="56">
        <v>1</v>
      </c>
      <c r="V177" s="229" t="e">
        <v>#N/A</v>
      </c>
      <c r="W177" s="229" t="e">
        <v>#N/A</v>
      </c>
      <c r="X177" s="70"/>
      <c r="Y177" s="56" t="s">
        <v>1060</v>
      </c>
      <c r="Z177" s="56"/>
      <c r="AA177" s="55"/>
      <c r="AB177" s="56"/>
      <c r="AC177" s="70"/>
      <c r="AD177" s="70"/>
      <c r="AE177" s="70"/>
      <c r="AF177" s="70"/>
      <c r="AG177" s="70"/>
    </row>
    <row r="178" spans="1:33" ht="14.25" hidden="1" customHeight="1">
      <c r="A178" s="259"/>
      <c r="B178" s="259"/>
      <c r="C178" s="260"/>
      <c r="D178" s="260"/>
      <c r="E178" s="56" t="s">
        <v>55</v>
      </c>
      <c r="F178" s="56" t="s">
        <v>1818</v>
      </c>
      <c r="G178" s="56" t="s">
        <v>247</v>
      </c>
      <c r="H178" s="56" t="s">
        <v>243</v>
      </c>
      <c r="I178" s="56"/>
      <c r="J178" s="56">
        <v>78</v>
      </c>
      <c r="K178" s="56" t="s">
        <v>680</v>
      </c>
      <c r="L178" s="56"/>
      <c r="M178" s="34"/>
      <c r="N178" s="56"/>
      <c r="O178" s="56"/>
      <c r="P178" s="56"/>
      <c r="Q178" s="56"/>
      <c r="R178" s="54"/>
      <c r="S178" s="25" t="e">
        <v>#N/A</v>
      </c>
      <c r="T178" s="56" t="s">
        <v>1814</v>
      </c>
      <c r="U178" s="56">
        <v>1</v>
      </c>
      <c r="V178" s="229" t="e">
        <v>#N/A</v>
      </c>
      <c r="W178" s="229" t="e">
        <v>#N/A</v>
      </c>
      <c r="X178" s="70"/>
      <c r="Y178" s="56" t="s">
        <v>1060</v>
      </c>
      <c r="Z178" s="56"/>
      <c r="AA178" s="55"/>
      <c r="AB178" s="56"/>
      <c r="AC178" s="70"/>
      <c r="AD178" s="70"/>
      <c r="AE178" s="70"/>
      <c r="AF178" s="70"/>
      <c r="AG178" s="70"/>
    </row>
    <row r="179" spans="1:33" ht="14.25" hidden="1" customHeight="1">
      <c r="A179" s="259"/>
      <c r="B179" s="259"/>
      <c r="C179" s="260"/>
      <c r="D179" s="260"/>
      <c r="E179" s="56" t="s">
        <v>55</v>
      </c>
      <c r="F179" s="56" t="s">
        <v>1819</v>
      </c>
      <c r="G179" s="56" t="s">
        <v>329</v>
      </c>
      <c r="H179" s="56" t="s">
        <v>243</v>
      </c>
      <c r="I179" s="56"/>
      <c r="J179" s="56">
        <v>88</v>
      </c>
      <c r="K179" s="56" t="s">
        <v>680</v>
      </c>
      <c r="L179" s="56"/>
      <c r="M179" s="34"/>
      <c r="N179" s="56"/>
      <c r="O179" s="56"/>
      <c r="P179" s="56"/>
      <c r="Q179" s="56"/>
      <c r="R179" s="54"/>
      <c r="S179" s="25" t="e">
        <v>#N/A</v>
      </c>
      <c r="T179" s="56" t="s">
        <v>1820</v>
      </c>
      <c r="U179" s="56">
        <v>1</v>
      </c>
      <c r="V179" s="229" t="e">
        <v>#N/A</v>
      </c>
      <c r="W179" s="229" t="e">
        <v>#N/A</v>
      </c>
      <c r="X179" s="70"/>
      <c r="Y179" s="56" t="s">
        <v>1060</v>
      </c>
      <c r="Z179" s="56"/>
      <c r="AA179" s="55"/>
      <c r="AB179" s="56"/>
      <c r="AC179" s="70"/>
      <c r="AD179" s="70"/>
      <c r="AE179" s="70"/>
      <c r="AF179" s="70"/>
      <c r="AG179" s="70"/>
    </row>
    <row r="180" spans="1:33" ht="14.25" customHeight="1">
      <c r="A180" s="259"/>
      <c r="B180" s="259"/>
      <c r="C180" s="260"/>
      <c r="D180" s="260"/>
      <c r="E180" s="56" t="s">
        <v>55</v>
      </c>
      <c r="F180" s="56" t="s">
        <v>370</v>
      </c>
      <c r="G180" s="56" t="s">
        <v>329</v>
      </c>
      <c r="H180" s="56" t="s">
        <v>243</v>
      </c>
      <c r="I180" s="56"/>
      <c r="J180" s="22"/>
      <c r="K180" s="56" t="s">
        <v>682</v>
      </c>
      <c r="L180" s="56" t="s">
        <v>1905</v>
      </c>
      <c r="M180" s="34" t="s">
        <v>371</v>
      </c>
      <c r="N180" s="56" t="s">
        <v>1370</v>
      </c>
      <c r="O180" s="56"/>
      <c r="P180" s="56" t="s">
        <v>1563</v>
      </c>
      <c r="Q180" s="56"/>
      <c r="R180" s="54"/>
      <c r="S180" s="25"/>
      <c r="T180" s="61" t="s">
        <v>1821</v>
      </c>
      <c r="U180" s="56"/>
      <c r="V180" s="229" t="e">
        <v>#N/A</v>
      </c>
      <c r="W180" s="229" t="e">
        <v>#N/A</v>
      </c>
      <c r="X180" s="70">
        <v>41</v>
      </c>
      <c r="Y180" s="56"/>
      <c r="Z180" s="56" t="s">
        <v>1331</v>
      </c>
      <c r="AA180" s="55">
        <v>43475</v>
      </c>
      <c r="AB180" s="56" t="s">
        <v>1057</v>
      </c>
      <c r="AC180" s="67"/>
      <c r="AD180" s="67"/>
      <c r="AE180" s="67"/>
      <c r="AF180" s="67"/>
      <c r="AG180" s="67"/>
    </row>
    <row r="181" spans="1:33" ht="14.25" customHeight="1">
      <c r="A181" s="259"/>
      <c r="B181" s="259"/>
      <c r="C181" s="260"/>
      <c r="D181" s="260"/>
      <c r="E181" s="56" t="s">
        <v>55</v>
      </c>
      <c r="F181" s="56" t="s">
        <v>366</v>
      </c>
      <c r="G181" s="56" t="s">
        <v>329</v>
      </c>
      <c r="H181" s="56" t="s">
        <v>243</v>
      </c>
      <c r="I181" s="56"/>
      <c r="J181" s="56">
        <v>90</v>
      </c>
      <c r="K181" s="56" t="s">
        <v>682</v>
      </c>
      <c r="L181" s="56" t="s">
        <v>1905</v>
      </c>
      <c r="M181" s="34" t="s">
        <v>367</v>
      </c>
      <c r="N181" s="56" t="s">
        <v>1395</v>
      </c>
      <c r="O181" s="56"/>
      <c r="P181" s="56" t="s">
        <v>1563</v>
      </c>
      <c r="Q181" s="56" t="s">
        <v>1398</v>
      </c>
      <c r="R181" s="54"/>
      <c r="S181" s="25"/>
      <c r="T181" s="56" t="s">
        <v>1822</v>
      </c>
      <c r="U181" s="56">
        <v>1</v>
      </c>
      <c r="V181" s="229" t="e">
        <v>#N/A</v>
      </c>
      <c r="W181" s="229" t="e">
        <v>#N/A</v>
      </c>
      <c r="X181" s="70">
        <v>39</v>
      </c>
      <c r="Y181" s="56"/>
      <c r="Z181" s="56" t="s">
        <v>1331</v>
      </c>
      <c r="AA181" s="55">
        <v>43475</v>
      </c>
      <c r="AB181" s="56" t="s">
        <v>1603</v>
      </c>
      <c r="AC181" s="69"/>
      <c r="AD181" s="69"/>
      <c r="AE181" s="69"/>
      <c r="AF181" s="69"/>
      <c r="AG181" s="69"/>
    </row>
    <row r="182" spans="1:33" ht="14.25" customHeight="1">
      <c r="A182" s="259"/>
      <c r="B182" s="259"/>
      <c r="C182" s="260"/>
      <c r="D182" s="260"/>
      <c r="E182" s="56" t="s">
        <v>55</v>
      </c>
      <c r="F182" s="56" t="s">
        <v>368</v>
      </c>
      <c r="G182" s="56" t="s">
        <v>329</v>
      </c>
      <c r="H182" s="56" t="s">
        <v>243</v>
      </c>
      <c r="I182" s="56"/>
      <c r="J182" s="56">
        <v>89</v>
      </c>
      <c r="K182" s="56" t="s">
        <v>682</v>
      </c>
      <c r="L182" s="56" t="s">
        <v>1905</v>
      </c>
      <c r="M182" s="34" t="s">
        <v>369</v>
      </c>
      <c r="N182" s="56" t="s">
        <v>1395</v>
      </c>
      <c r="O182" s="56"/>
      <c r="P182" s="56" t="s">
        <v>1563</v>
      </c>
      <c r="Q182" s="56" t="s">
        <v>1398</v>
      </c>
      <c r="R182" s="54"/>
      <c r="S182" s="25"/>
      <c r="T182" s="56" t="s">
        <v>1823</v>
      </c>
      <c r="U182" s="56">
        <v>1</v>
      </c>
      <c r="V182" s="229" t="e">
        <v>#N/A</v>
      </c>
      <c r="W182" s="229" t="e">
        <v>#N/A</v>
      </c>
      <c r="X182" s="70">
        <v>40</v>
      </c>
      <c r="Y182" s="56"/>
      <c r="Z182" s="56" t="s">
        <v>1331</v>
      </c>
      <c r="AA182" s="55">
        <v>43475</v>
      </c>
      <c r="AB182" s="56" t="s">
        <v>1057</v>
      </c>
      <c r="AC182" s="70"/>
      <c r="AD182" s="70"/>
      <c r="AE182" s="70"/>
      <c r="AF182" s="70"/>
      <c r="AG182" s="70"/>
    </row>
    <row r="183" spans="1:33" ht="14.25" customHeight="1">
      <c r="A183" s="70"/>
      <c r="B183" s="70"/>
      <c r="C183" s="70"/>
      <c r="D183" s="70"/>
      <c r="E183" s="70"/>
      <c r="F183" s="70"/>
      <c r="G183" s="70"/>
      <c r="H183" s="70"/>
      <c r="I183" s="70"/>
      <c r="J183" s="70"/>
      <c r="K183" s="70"/>
      <c r="L183" s="70"/>
      <c r="M183" s="5"/>
      <c r="N183" s="70"/>
      <c r="O183" s="70"/>
      <c r="P183" s="70"/>
      <c r="Q183" s="70"/>
      <c r="R183" s="70"/>
      <c r="S183" s="70"/>
      <c r="T183" s="70"/>
      <c r="U183" s="70"/>
      <c r="V183" s="70"/>
      <c r="W183" s="70"/>
      <c r="X183" s="70"/>
      <c r="Y183" s="70"/>
      <c r="Z183" s="70"/>
      <c r="AA183" s="20"/>
      <c r="AB183" s="70"/>
      <c r="AC183" s="70"/>
      <c r="AD183" s="70"/>
      <c r="AE183" s="70"/>
      <c r="AF183" s="70"/>
      <c r="AG183" s="70"/>
    </row>
    <row r="184" spans="1:33" ht="14.25" customHeight="1">
      <c r="A184" s="70"/>
      <c r="B184" s="70"/>
      <c r="C184" s="70"/>
      <c r="D184" s="70"/>
      <c r="E184" s="70"/>
      <c r="F184" s="70"/>
      <c r="G184" s="70"/>
      <c r="H184" s="70"/>
      <c r="I184" s="70"/>
      <c r="J184" s="70"/>
      <c r="K184" s="70"/>
      <c r="L184" s="70"/>
      <c r="M184" s="5"/>
      <c r="N184" s="70"/>
      <c r="O184" s="70"/>
      <c r="P184" s="70"/>
      <c r="Q184" s="70"/>
      <c r="R184" s="70"/>
      <c r="S184" s="70"/>
      <c r="T184" s="70"/>
      <c r="U184" s="70"/>
      <c r="V184" s="70"/>
      <c r="W184" s="70"/>
      <c r="X184" s="70"/>
      <c r="Y184" s="70"/>
      <c r="Z184" s="70"/>
      <c r="AA184" s="20"/>
      <c r="AB184" s="70"/>
      <c r="AC184" s="70"/>
      <c r="AD184" s="70"/>
      <c r="AE184" s="70"/>
      <c r="AF184" s="70"/>
      <c r="AG184" s="70"/>
    </row>
    <row r="185" spans="1:33" ht="14.25" customHeight="1">
      <c r="A185" s="70"/>
      <c r="B185" s="70"/>
      <c r="C185" s="70"/>
      <c r="D185" s="70"/>
      <c r="E185" s="70"/>
      <c r="F185" s="70"/>
      <c r="G185" s="70"/>
      <c r="H185" s="70"/>
      <c r="I185" s="70"/>
      <c r="J185" s="70"/>
      <c r="K185" s="70"/>
      <c r="L185" s="70"/>
      <c r="M185" s="5"/>
      <c r="N185" s="70"/>
      <c r="O185" s="70"/>
      <c r="P185" s="70"/>
      <c r="Q185" s="70"/>
      <c r="R185" s="70"/>
      <c r="S185" s="70"/>
      <c r="T185" s="70"/>
      <c r="U185" s="70"/>
      <c r="V185" s="70"/>
      <c r="W185" s="70"/>
      <c r="X185" s="70"/>
      <c r="Y185" s="70"/>
      <c r="Z185" s="70"/>
      <c r="AA185" s="20"/>
      <c r="AB185" s="70"/>
      <c r="AC185" s="70"/>
      <c r="AD185" s="70"/>
      <c r="AE185" s="70"/>
      <c r="AF185" s="70"/>
      <c r="AG185" s="70"/>
    </row>
    <row r="186" spans="1:33" ht="14.25" customHeight="1">
      <c r="A186" s="70"/>
      <c r="B186" s="70"/>
      <c r="C186" s="70"/>
      <c r="D186" s="70"/>
      <c r="E186" s="70"/>
      <c r="F186" s="70"/>
      <c r="G186" s="70"/>
      <c r="H186" s="70"/>
      <c r="I186" s="70"/>
      <c r="J186" s="70"/>
      <c r="K186" s="70"/>
      <c r="L186" s="70"/>
      <c r="M186" s="5"/>
      <c r="N186" s="70"/>
      <c r="O186" s="70">
        <v>55537021</v>
      </c>
      <c r="P186" s="70" t="s">
        <v>1824</v>
      </c>
      <c r="Q186" s="70"/>
      <c r="R186" s="70"/>
      <c r="S186" s="70"/>
      <c r="T186" s="70"/>
      <c r="U186" s="70"/>
      <c r="V186" s="70"/>
      <c r="W186" s="70"/>
      <c r="X186" s="70"/>
      <c r="Y186" s="70"/>
      <c r="Z186" s="70"/>
      <c r="AA186" s="20"/>
      <c r="AB186" s="70"/>
      <c r="AC186" s="70"/>
      <c r="AD186" s="70"/>
      <c r="AE186" s="70"/>
      <c r="AF186" s="70"/>
      <c r="AG186" s="70"/>
    </row>
  </sheetData>
  <autoFilter ref="A3:AG182" xr:uid="{00000000-0009-0000-0000-000009000000}">
    <filterColumn colId="10">
      <filters>
        <filter val="Y"/>
      </filters>
    </filterColumn>
  </autoFilter>
  <mergeCells count="1">
    <mergeCell ref="F1:H1"/>
  </mergeCells>
  <conditionalFormatting sqref="K4:K6 K17:K37 K70:K143 K147:K148 K151 K163:K165">
    <cfRule type="cellIs" dxfId="20" priority="2" operator="equal">
      <formula>1</formula>
    </cfRule>
  </conditionalFormatting>
  <conditionalFormatting sqref="K39:K68">
    <cfRule type="cellIs" dxfId="19" priority="1" operator="equal">
      <formula>1</formula>
    </cfRule>
  </conditionalFormatting>
  <conditionalFormatting sqref="K155 K157:K158 K170:K182">
    <cfRule type="cellIs" dxfId="18" priority="3" operator="equal">
      <formula>1</formula>
    </cfRule>
  </conditionalFormatting>
  <pageMargins left="0.7" right="0.7" top="0.75" bottom="0.75" header="0" footer="0"/>
  <pageSetup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filterMode="1">
    <outlinePr summaryBelow="0" summaryRight="0"/>
  </sheetPr>
  <dimension ref="A1:AB229"/>
  <sheetViews>
    <sheetView workbookViewId="0">
      <pane ySplit="3" topLeftCell="A219" activePane="bottomLeft" state="frozen"/>
      <selection pane="bottomLeft" activeCell="A222" sqref="A222"/>
    </sheetView>
  </sheetViews>
  <sheetFormatPr defaultColWidth="14.453125" defaultRowHeight="15" customHeight="1"/>
  <cols>
    <col min="1" max="4" width="10.7265625" hidden="1" customWidth="1"/>
    <col min="5" max="5" width="18.54296875" customWidth="1"/>
    <col min="6" max="6" width="36.7265625" customWidth="1"/>
    <col min="7" max="7" width="22.7265625" customWidth="1"/>
    <col min="8" max="8" width="8.7265625" customWidth="1"/>
    <col min="9" max="9" width="11.54296875" customWidth="1"/>
    <col min="10" max="10" width="5.26953125" customWidth="1"/>
    <col min="11" max="11" width="10.54296875" customWidth="1"/>
    <col min="12" max="12" width="57" style="129" customWidth="1"/>
    <col min="13" max="13" width="65" customWidth="1"/>
    <col min="14" max="14" width="11.453125" customWidth="1"/>
    <col min="15" max="15" width="51.1796875" customWidth="1"/>
    <col min="16" max="16" width="41.453125" customWidth="1"/>
    <col min="17" max="17" width="29.453125" customWidth="1"/>
    <col min="18" max="18" width="10.7265625" customWidth="1"/>
    <col min="19" max="19" width="33.453125" customWidth="1"/>
    <col min="20" max="20" width="44.1796875" customWidth="1"/>
    <col min="21" max="21" width="8.81640625" customWidth="1"/>
    <col min="22" max="22" width="17.7265625" customWidth="1"/>
    <col min="23" max="23" width="18.453125" customWidth="1"/>
    <col min="24" max="24" width="9.453125" customWidth="1"/>
    <col min="25" max="25" width="16.1796875" customWidth="1"/>
    <col min="26" max="26" width="30.453125" customWidth="1"/>
    <col min="27" max="27" width="10.7265625" customWidth="1"/>
    <col min="28" max="28" width="84" customWidth="1"/>
  </cols>
  <sheetData>
    <row r="1" spans="1:28" ht="15" customHeight="1">
      <c r="E1" t="s">
        <v>1912</v>
      </c>
      <c r="F1" s="129" t="s">
        <v>1913</v>
      </c>
    </row>
    <row r="2" spans="1:28" ht="37.5">
      <c r="A2" s="186"/>
      <c r="B2" s="186"/>
      <c r="C2" s="186"/>
      <c r="D2" s="186"/>
      <c r="E2" s="281" t="s">
        <v>1914</v>
      </c>
      <c r="F2" s="53" t="s">
        <v>1915</v>
      </c>
      <c r="G2" s="71" t="s">
        <v>1916</v>
      </c>
      <c r="H2" s="186"/>
      <c r="I2" s="186"/>
      <c r="J2" s="186"/>
      <c r="K2" s="282" t="s">
        <v>1038</v>
      </c>
      <c r="L2" s="207"/>
      <c r="M2" s="207"/>
      <c r="N2" s="207"/>
      <c r="O2" s="207"/>
      <c r="P2" s="207"/>
      <c r="Q2" s="207"/>
      <c r="R2" s="186"/>
      <c r="S2" s="186"/>
      <c r="T2" s="186"/>
      <c r="U2" s="186"/>
      <c r="V2" s="186"/>
      <c r="W2" s="186"/>
      <c r="X2" s="56"/>
      <c r="Y2" s="56"/>
      <c r="Z2" s="252" t="s">
        <v>1039</v>
      </c>
      <c r="AA2" s="253"/>
      <c r="AB2" s="254"/>
    </row>
    <row r="3" spans="1:28" ht="32.25" customHeight="1">
      <c r="A3" s="208" t="s">
        <v>1040</v>
      </c>
      <c r="B3" s="208" t="s">
        <v>1041</v>
      </c>
      <c r="C3" s="208" t="s">
        <v>1042</v>
      </c>
      <c r="D3" s="208" t="s">
        <v>1043</v>
      </c>
      <c r="E3" s="208" t="s">
        <v>224</v>
      </c>
      <c r="F3" s="208" t="s">
        <v>225</v>
      </c>
      <c r="G3" s="208"/>
      <c r="H3" s="208" t="s">
        <v>227</v>
      </c>
      <c r="I3" s="283" t="s">
        <v>1044</v>
      </c>
      <c r="J3" s="208" t="s">
        <v>1045</v>
      </c>
      <c r="K3" s="284" t="s">
        <v>1046</v>
      </c>
      <c r="L3" s="207" t="s">
        <v>100</v>
      </c>
      <c r="M3" s="285" t="s">
        <v>101</v>
      </c>
      <c r="N3" s="285" t="s">
        <v>102</v>
      </c>
      <c r="O3" s="285" t="s">
        <v>103</v>
      </c>
      <c r="P3" s="285" t="s">
        <v>104</v>
      </c>
      <c r="Q3" s="285" t="s">
        <v>105</v>
      </c>
      <c r="R3" s="283" t="s">
        <v>111</v>
      </c>
      <c r="S3" s="283" t="s">
        <v>112</v>
      </c>
      <c r="T3" s="283" t="s">
        <v>113</v>
      </c>
      <c r="U3" s="286"/>
      <c r="V3" s="287" t="s">
        <v>1047</v>
      </c>
      <c r="W3" s="288" t="s">
        <v>1048</v>
      </c>
      <c r="X3" s="226" t="s">
        <v>1049</v>
      </c>
      <c r="Y3" s="226" t="s">
        <v>1050</v>
      </c>
      <c r="Z3" s="226" t="s">
        <v>237</v>
      </c>
      <c r="AA3" s="227" t="s">
        <v>1</v>
      </c>
      <c r="AB3" s="255" t="s">
        <v>238</v>
      </c>
    </row>
    <row r="4" spans="1:28" ht="18.75" hidden="1" customHeight="1">
      <c r="A4" s="186"/>
      <c r="B4" s="186"/>
      <c r="C4" s="186"/>
      <c r="D4" s="186"/>
      <c r="E4" s="186" t="s">
        <v>53</v>
      </c>
      <c r="F4" s="186" t="s">
        <v>1010</v>
      </c>
      <c r="G4" s="186" t="s">
        <v>535</v>
      </c>
      <c r="H4" s="186" t="s">
        <v>243</v>
      </c>
      <c r="I4" s="186"/>
      <c r="J4" s="186">
        <v>131</v>
      </c>
      <c r="K4" s="79" t="s">
        <v>680</v>
      </c>
      <c r="L4" s="186"/>
      <c r="M4" s="186"/>
      <c r="N4" s="186"/>
      <c r="O4" s="186"/>
      <c r="P4" s="186"/>
      <c r="Q4" s="186"/>
      <c r="R4" s="186"/>
      <c r="S4" s="186"/>
      <c r="T4" s="186" t="s">
        <v>1190</v>
      </c>
      <c r="U4" s="186"/>
      <c r="V4" s="186"/>
      <c r="W4" s="186"/>
      <c r="Y4" t="s">
        <v>1917</v>
      </c>
    </row>
    <row r="5" spans="1:28" ht="18.75" customHeight="1">
      <c r="A5" s="186"/>
      <c r="B5" s="186"/>
      <c r="C5" s="186"/>
      <c r="D5" s="186"/>
      <c r="E5" s="186" t="s">
        <v>61</v>
      </c>
      <c r="F5" s="186" t="s">
        <v>118</v>
      </c>
      <c r="G5" s="186" t="s">
        <v>247</v>
      </c>
      <c r="H5" s="186" t="s">
        <v>243</v>
      </c>
      <c r="I5" s="186"/>
      <c r="J5" s="186">
        <v>-1</v>
      </c>
      <c r="K5" s="186" t="s">
        <v>682</v>
      </c>
      <c r="L5" s="186" t="s">
        <v>1918</v>
      </c>
      <c r="M5" s="186" t="s">
        <v>302</v>
      </c>
      <c r="N5" s="186" t="s">
        <v>1328</v>
      </c>
      <c r="O5" s="186" t="s">
        <v>1919</v>
      </c>
      <c r="P5" s="186" t="s">
        <v>1711</v>
      </c>
      <c r="Q5" s="186"/>
      <c r="R5" s="186"/>
      <c r="S5" s="186">
        <v>52100123</v>
      </c>
      <c r="T5" s="186" t="s">
        <v>1330</v>
      </c>
      <c r="U5" s="186"/>
      <c r="V5" s="186"/>
      <c r="W5" s="186"/>
      <c r="X5">
        <v>3</v>
      </c>
      <c r="Z5" s="129" t="s">
        <v>1920</v>
      </c>
      <c r="AA5" s="30">
        <v>43449</v>
      </c>
      <c r="AB5" t="s">
        <v>1057</v>
      </c>
    </row>
    <row r="6" spans="1:28" ht="18.75" customHeight="1">
      <c r="A6" s="186"/>
      <c r="B6" s="186"/>
      <c r="C6" s="186"/>
      <c r="D6" s="186"/>
      <c r="E6" s="186" t="s">
        <v>55</v>
      </c>
      <c r="F6" s="186" t="s">
        <v>625</v>
      </c>
      <c r="G6" s="186" t="s">
        <v>329</v>
      </c>
      <c r="H6" s="186" t="s">
        <v>243</v>
      </c>
      <c r="I6" s="186"/>
      <c r="J6" s="72">
        <v>201</v>
      </c>
      <c r="K6" s="186" t="s">
        <v>682</v>
      </c>
      <c r="L6" s="186" t="s">
        <v>1918</v>
      </c>
      <c r="M6" s="186" t="s">
        <v>626</v>
      </c>
      <c r="N6" s="186" t="s">
        <v>1921</v>
      </c>
      <c r="O6" s="186" t="s">
        <v>1922</v>
      </c>
      <c r="P6" s="186" t="s">
        <v>1923</v>
      </c>
      <c r="Q6" s="186"/>
      <c r="R6" s="186"/>
      <c r="S6" s="186"/>
      <c r="T6" s="90" t="s">
        <v>1924</v>
      </c>
      <c r="U6" s="90"/>
      <c r="V6" s="90"/>
      <c r="W6" s="90"/>
      <c r="X6">
        <v>94</v>
      </c>
      <c r="Z6" s="129" t="s">
        <v>1920</v>
      </c>
      <c r="AA6" s="30">
        <v>43449</v>
      </c>
      <c r="AB6" t="s">
        <v>1057</v>
      </c>
    </row>
    <row r="7" spans="1:28" ht="18.75" customHeight="1">
      <c r="A7" s="186"/>
      <c r="B7" s="186"/>
      <c r="C7" s="186"/>
      <c r="D7" s="186"/>
      <c r="E7" s="186" t="s">
        <v>55</v>
      </c>
      <c r="F7" s="186" t="s">
        <v>530</v>
      </c>
      <c r="G7" s="186" t="s">
        <v>255</v>
      </c>
      <c r="H7" s="186" t="s">
        <v>243</v>
      </c>
      <c r="I7" s="186"/>
      <c r="J7" s="72">
        <v>191</v>
      </c>
      <c r="K7" s="186" t="s">
        <v>682</v>
      </c>
      <c r="L7" s="186" t="s">
        <v>1918</v>
      </c>
      <c r="M7" s="186" t="s">
        <v>531</v>
      </c>
      <c r="N7" s="186" t="s">
        <v>1925</v>
      </c>
      <c r="O7" s="186" t="s">
        <v>1926</v>
      </c>
      <c r="P7" s="186" t="s">
        <v>1927</v>
      </c>
      <c r="Q7" s="186"/>
      <c r="R7" s="186"/>
      <c r="S7" s="186"/>
      <c r="T7" s="90" t="s">
        <v>1928</v>
      </c>
      <c r="U7" s="90"/>
      <c r="V7" s="90"/>
      <c r="W7" s="90"/>
      <c r="X7">
        <v>35</v>
      </c>
      <c r="Z7" s="129" t="s">
        <v>1920</v>
      </c>
      <c r="AA7" s="30">
        <v>43449</v>
      </c>
      <c r="AB7" t="s">
        <v>1929</v>
      </c>
    </row>
    <row r="8" spans="1:28" ht="18.75" customHeight="1">
      <c r="A8" s="186"/>
      <c r="B8" s="186"/>
      <c r="C8" s="186"/>
      <c r="D8" s="186"/>
      <c r="E8" s="186" t="s">
        <v>55</v>
      </c>
      <c r="F8" s="186" t="s">
        <v>527</v>
      </c>
      <c r="G8" s="186" t="s">
        <v>255</v>
      </c>
      <c r="H8" s="186" t="s">
        <v>243</v>
      </c>
      <c r="I8" s="186"/>
      <c r="J8" s="72">
        <v>190</v>
      </c>
      <c r="K8" s="186" t="s">
        <v>682</v>
      </c>
      <c r="L8" s="186" t="s">
        <v>1918</v>
      </c>
      <c r="M8" s="186" t="s">
        <v>529</v>
      </c>
      <c r="N8" s="186" t="s">
        <v>1925</v>
      </c>
      <c r="O8" s="186" t="s">
        <v>1930</v>
      </c>
      <c r="P8" s="186" t="s">
        <v>1931</v>
      </c>
      <c r="Q8" s="186"/>
      <c r="R8" s="186"/>
      <c r="S8" s="186"/>
      <c r="T8" s="90" t="s">
        <v>1932</v>
      </c>
      <c r="U8" s="90"/>
      <c r="V8" s="90"/>
      <c r="W8" s="90"/>
      <c r="X8">
        <v>34</v>
      </c>
      <c r="Z8" s="129" t="s">
        <v>1920</v>
      </c>
      <c r="AA8" s="30">
        <v>43449</v>
      </c>
      <c r="AB8" t="s">
        <v>1929</v>
      </c>
    </row>
    <row r="9" spans="1:28" ht="48.75" customHeight="1">
      <c r="A9" s="186"/>
      <c r="B9" s="186"/>
      <c r="C9" s="186"/>
      <c r="D9" s="186"/>
      <c r="E9" s="186" t="s">
        <v>55</v>
      </c>
      <c r="F9" s="186" t="s">
        <v>560</v>
      </c>
      <c r="G9" s="186" t="s">
        <v>255</v>
      </c>
      <c r="H9" s="186" t="s">
        <v>243</v>
      </c>
      <c r="I9" s="186"/>
      <c r="J9" s="186">
        <v>3</v>
      </c>
      <c r="K9" s="186" t="s">
        <v>682</v>
      </c>
      <c r="L9" s="186" t="s">
        <v>1918</v>
      </c>
      <c r="M9" s="186" t="s">
        <v>561</v>
      </c>
      <c r="N9" s="186" t="s">
        <v>1925</v>
      </c>
      <c r="O9" s="186" t="s">
        <v>1933</v>
      </c>
      <c r="P9" s="186" t="s">
        <v>1934</v>
      </c>
      <c r="Q9" s="186"/>
      <c r="R9" s="186"/>
      <c r="S9" s="186">
        <v>43532</v>
      </c>
      <c r="T9" s="186" t="s">
        <v>1935</v>
      </c>
      <c r="U9" s="186"/>
      <c r="V9" s="186"/>
      <c r="W9" s="186"/>
      <c r="X9">
        <v>55</v>
      </c>
      <c r="Z9" s="129" t="s">
        <v>1920</v>
      </c>
      <c r="AA9" s="30">
        <v>43449</v>
      </c>
      <c r="AB9" t="s">
        <v>1057</v>
      </c>
    </row>
    <row r="10" spans="1:28" ht="50.25" customHeight="1">
      <c r="A10" s="125"/>
      <c r="B10" s="125"/>
      <c r="C10" s="125"/>
      <c r="D10" s="125"/>
      <c r="E10" s="186" t="s">
        <v>55</v>
      </c>
      <c r="F10" s="186" t="s">
        <v>1343</v>
      </c>
      <c r="G10" s="186" t="s">
        <v>346</v>
      </c>
      <c r="H10" s="186" t="s">
        <v>243</v>
      </c>
      <c r="I10" s="186"/>
      <c r="J10" s="186">
        <v>164</v>
      </c>
      <c r="K10" s="79" t="s">
        <v>682</v>
      </c>
      <c r="L10" s="186" t="s">
        <v>1918</v>
      </c>
      <c r="M10" s="123" t="s">
        <v>1344</v>
      </c>
      <c r="N10" s="56" t="s">
        <v>1184</v>
      </c>
      <c r="O10" s="56" t="s">
        <v>1345</v>
      </c>
      <c r="P10" s="34"/>
      <c r="Q10" s="125"/>
      <c r="R10" s="281" t="s">
        <v>1346</v>
      </c>
      <c r="S10" s="73"/>
      <c r="T10" s="125" t="s">
        <v>1936</v>
      </c>
      <c r="U10" s="125"/>
      <c r="V10" s="125"/>
      <c r="W10" s="125"/>
      <c r="X10" s="128"/>
      <c r="Y10" s="128" t="s">
        <v>1917</v>
      </c>
      <c r="Z10" s="128"/>
      <c r="AA10" s="128"/>
      <c r="AB10" s="128"/>
    </row>
    <row r="11" spans="1:28" ht="18.75" customHeight="1">
      <c r="A11" s="186"/>
      <c r="B11" s="186"/>
      <c r="C11" s="186"/>
      <c r="D11" s="186"/>
      <c r="E11" s="186" t="s">
        <v>55</v>
      </c>
      <c r="F11" s="186" t="s">
        <v>489</v>
      </c>
      <c r="G11" s="186" t="s">
        <v>346</v>
      </c>
      <c r="H11" s="186" t="s">
        <v>243</v>
      </c>
      <c r="I11" s="186"/>
      <c r="J11" s="186">
        <v>4</v>
      </c>
      <c r="K11" s="79" t="s">
        <v>682</v>
      </c>
      <c r="L11" s="186" t="s">
        <v>1918</v>
      </c>
      <c r="M11" s="186" t="s">
        <v>490</v>
      </c>
      <c r="N11" s="56" t="s">
        <v>1937</v>
      </c>
      <c r="O11" s="186"/>
      <c r="P11" s="34" t="s">
        <v>1349</v>
      </c>
      <c r="Q11" s="56" t="s">
        <v>1350</v>
      </c>
      <c r="R11" s="289" t="s">
        <v>1346</v>
      </c>
      <c r="S11" s="74" t="s">
        <v>1351</v>
      </c>
      <c r="T11" s="186" t="s">
        <v>1936</v>
      </c>
      <c r="U11" s="186"/>
      <c r="V11" s="186"/>
      <c r="W11" s="186"/>
      <c r="X11">
        <v>121</v>
      </c>
      <c r="Y11" t="s">
        <v>1917</v>
      </c>
      <c r="Z11" s="5" t="s">
        <v>1353</v>
      </c>
      <c r="AA11" s="6">
        <v>43551</v>
      </c>
      <c r="AB11" s="5" t="s">
        <v>1938</v>
      </c>
    </row>
    <row r="12" spans="1:28" ht="18.75" customHeight="1">
      <c r="A12" s="186"/>
      <c r="B12" s="186"/>
      <c r="C12" s="186"/>
      <c r="D12" s="186"/>
      <c r="E12" s="186" t="s">
        <v>55</v>
      </c>
      <c r="F12" s="186" t="s">
        <v>486</v>
      </c>
      <c r="G12" s="186" t="s">
        <v>346</v>
      </c>
      <c r="H12" s="186" t="s">
        <v>243</v>
      </c>
      <c r="I12" s="186"/>
      <c r="J12" s="186">
        <v>165</v>
      </c>
      <c r="K12" s="79" t="s">
        <v>682</v>
      </c>
      <c r="L12" s="186" t="s">
        <v>1918</v>
      </c>
      <c r="M12" s="186" t="s">
        <v>488</v>
      </c>
      <c r="N12" s="186" t="s">
        <v>1937</v>
      </c>
      <c r="O12" s="186"/>
      <c r="P12" s="186" t="s">
        <v>1356</v>
      </c>
      <c r="Q12" s="186" t="s">
        <v>1357</v>
      </c>
      <c r="R12" s="289" t="s">
        <v>1346</v>
      </c>
      <c r="S12" s="608" t="s">
        <v>1358</v>
      </c>
      <c r="T12" s="186" t="s">
        <v>1936</v>
      </c>
      <c r="U12" s="186"/>
      <c r="V12" s="186"/>
      <c r="W12" s="186"/>
      <c r="X12" s="129">
        <v>120</v>
      </c>
      <c r="Y12" s="129"/>
      <c r="Z12" t="s">
        <v>1353</v>
      </c>
      <c r="AA12" s="30">
        <v>43551</v>
      </c>
      <c r="AB12" t="s">
        <v>1360</v>
      </c>
    </row>
    <row r="13" spans="1:28" ht="18.75" hidden="1" customHeight="1">
      <c r="A13" s="186"/>
      <c r="B13" s="186"/>
      <c r="C13" s="186"/>
      <c r="D13" s="186"/>
      <c r="E13" s="186" t="s">
        <v>55</v>
      </c>
      <c r="F13" s="186" t="s">
        <v>1939</v>
      </c>
      <c r="G13" s="186" t="s">
        <v>264</v>
      </c>
      <c r="H13" s="186" t="s">
        <v>243</v>
      </c>
      <c r="I13" s="186"/>
      <c r="J13" s="72">
        <v>205</v>
      </c>
      <c r="K13" s="79" t="s">
        <v>680</v>
      </c>
      <c r="L13" s="186"/>
      <c r="M13" s="186"/>
      <c r="N13" s="186"/>
      <c r="O13" s="186"/>
      <c r="P13" s="186"/>
      <c r="Q13" s="186"/>
      <c r="R13" s="186"/>
      <c r="S13" s="186"/>
      <c r="T13" s="90" t="s">
        <v>1940</v>
      </c>
      <c r="U13" s="90"/>
      <c r="V13" s="90"/>
      <c r="W13" s="90"/>
      <c r="Y13" t="s">
        <v>1917</v>
      </c>
    </row>
    <row r="14" spans="1:28" ht="18.75" hidden="1" customHeight="1">
      <c r="A14" s="186"/>
      <c r="B14" s="186"/>
      <c r="C14" s="186"/>
      <c r="D14" s="186"/>
      <c r="E14" s="186" t="s">
        <v>59</v>
      </c>
      <c r="F14" s="186" t="s">
        <v>1941</v>
      </c>
      <c r="G14" s="186" t="s">
        <v>242</v>
      </c>
      <c r="H14" s="186" t="s">
        <v>243</v>
      </c>
      <c r="I14" s="186"/>
      <c r="J14" s="186">
        <v>5</v>
      </c>
      <c r="K14" s="79" t="s">
        <v>680</v>
      </c>
      <c r="L14" s="186"/>
      <c r="M14" s="186"/>
      <c r="N14" s="186"/>
      <c r="O14" s="186"/>
      <c r="P14" s="186"/>
      <c r="Q14" s="186"/>
      <c r="R14" s="186"/>
      <c r="S14" s="186"/>
      <c r="T14" s="186" t="s">
        <v>1942</v>
      </c>
      <c r="U14" s="186"/>
      <c r="V14" s="186"/>
      <c r="W14" s="186"/>
      <c r="Y14" t="s">
        <v>1917</v>
      </c>
    </row>
    <row r="15" spans="1:28" ht="18.75" customHeight="1">
      <c r="A15" s="186"/>
      <c r="B15" s="186"/>
      <c r="C15" s="186"/>
      <c r="D15" s="186"/>
      <c r="E15" s="186" t="s">
        <v>55</v>
      </c>
      <c r="F15" s="186" t="s">
        <v>420</v>
      </c>
      <c r="G15" s="186" t="s">
        <v>329</v>
      </c>
      <c r="H15" s="186" t="s">
        <v>243</v>
      </c>
      <c r="I15" s="186"/>
      <c r="J15" s="186">
        <v>140</v>
      </c>
      <c r="K15" s="186" t="s">
        <v>682</v>
      </c>
      <c r="L15" s="186" t="s">
        <v>1918</v>
      </c>
      <c r="M15" s="186" t="s">
        <v>532</v>
      </c>
      <c r="N15" s="186" t="s">
        <v>1943</v>
      </c>
      <c r="O15" s="186" t="s">
        <v>1944</v>
      </c>
      <c r="P15" s="186" t="s">
        <v>1945</v>
      </c>
      <c r="Q15" s="186"/>
      <c r="R15" s="186"/>
      <c r="S15" s="186">
        <v>5.16</v>
      </c>
      <c r="T15" s="186" t="s">
        <v>1946</v>
      </c>
      <c r="U15" s="186"/>
      <c r="V15" s="186"/>
      <c r="W15" s="186"/>
      <c r="X15">
        <v>36</v>
      </c>
      <c r="Z15" s="129" t="s">
        <v>1920</v>
      </c>
      <c r="AA15" s="30">
        <v>43449</v>
      </c>
      <c r="AB15" t="s">
        <v>1057</v>
      </c>
    </row>
    <row r="16" spans="1:28" ht="18.75" customHeight="1">
      <c r="A16" s="186"/>
      <c r="B16" s="186"/>
      <c r="C16" s="186" t="s">
        <v>1093</v>
      </c>
      <c r="D16" s="186">
        <v>1</v>
      </c>
      <c r="E16" s="186" t="s">
        <v>61</v>
      </c>
      <c r="F16" s="186" t="s">
        <v>150</v>
      </c>
      <c r="G16" s="186" t="s">
        <v>247</v>
      </c>
      <c r="H16" s="186" t="s">
        <v>243</v>
      </c>
      <c r="I16" s="186"/>
      <c r="J16" s="186">
        <v>141</v>
      </c>
      <c r="K16" s="186" t="s">
        <v>682</v>
      </c>
      <c r="L16" s="186" t="s">
        <v>1918</v>
      </c>
      <c r="M16" s="186" t="s">
        <v>507</v>
      </c>
      <c r="N16" s="56" t="s">
        <v>1378</v>
      </c>
      <c r="O16" s="186"/>
      <c r="P16" s="186"/>
      <c r="Q16" s="186"/>
      <c r="R16" s="289" t="s">
        <v>1346</v>
      </c>
      <c r="S16" s="186" t="s">
        <v>1947</v>
      </c>
      <c r="T16" s="186" t="s">
        <v>1383</v>
      </c>
      <c r="U16" s="186"/>
      <c r="V16" s="186"/>
      <c r="W16" s="186"/>
      <c r="X16">
        <v>8</v>
      </c>
      <c r="Z16" s="129" t="s">
        <v>1920</v>
      </c>
      <c r="AA16" s="30">
        <v>43449</v>
      </c>
      <c r="AB16" t="s">
        <v>1057</v>
      </c>
    </row>
    <row r="17" spans="1:28" ht="18.75" customHeight="1">
      <c r="A17" s="186"/>
      <c r="B17" s="186"/>
      <c r="C17" s="186"/>
      <c r="D17" s="186"/>
      <c r="E17" s="186" t="s">
        <v>59</v>
      </c>
      <c r="F17" s="186" t="s">
        <v>308</v>
      </c>
      <c r="G17" s="186" t="s">
        <v>247</v>
      </c>
      <c r="H17" s="186" t="s">
        <v>243</v>
      </c>
      <c r="I17" s="186"/>
      <c r="J17" s="186">
        <v>142</v>
      </c>
      <c r="K17" s="186" t="s">
        <v>682</v>
      </c>
      <c r="L17" s="186" t="s">
        <v>1918</v>
      </c>
      <c r="M17" s="186" t="s">
        <v>508</v>
      </c>
      <c r="N17" s="56" t="s">
        <v>1378</v>
      </c>
      <c r="O17" s="186"/>
      <c r="P17" s="186"/>
      <c r="Q17" s="186"/>
      <c r="R17" s="289" t="s">
        <v>1346</v>
      </c>
      <c r="S17" s="186" t="s">
        <v>1948</v>
      </c>
      <c r="T17" s="186" t="s">
        <v>1389</v>
      </c>
      <c r="U17" s="186"/>
      <c r="V17" s="186"/>
      <c r="W17" s="186"/>
      <c r="X17">
        <v>9</v>
      </c>
      <c r="Z17" s="129" t="s">
        <v>1920</v>
      </c>
      <c r="AA17" s="30">
        <v>43449</v>
      </c>
      <c r="AB17" t="s">
        <v>1057</v>
      </c>
    </row>
    <row r="18" spans="1:28" ht="18.75" customHeight="1">
      <c r="A18" s="186"/>
      <c r="B18" s="186"/>
      <c r="C18" s="186"/>
      <c r="D18" s="186"/>
      <c r="E18" s="186" t="s">
        <v>59</v>
      </c>
      <c r="F18" s="186" t="s">
        <v>310</v>
      </c>
      <c r="G18" s="186" t="s">
        <v>247</v>
      </c>
      <c r="H18" s="186" t="s">
        <v>243</v>
      </c>
      <c r="I18" s="186"/>
      <c r="J18" s="186">
        <v>143</v>
      </c>
      <c r="K18" s="186" t="s">
        <v>682</v>
      </c>
      <c r="L18" s="186" t="s">
        <v>1918</v>
      </c>
      <c r="M18" s="186" t="s">
        <v>509</v>
      </c>
      <c r="N18" s="56" t="s">
        <v>1390</v>
      </c>
      <c r="O18" s="186"/>
      <c r="P18" s="186"/>
      <c r="Q18" s="186"/>
      <c r="R18" s="289" t="s">
        <v>1346</v>
      </c>
      <c r="S18" s="186" t="s">
        <v>1949</v>
      </c>
      <c r="T18" s="186" t="s">
        <v>1394</v>
      </c>
      <c r="U18" s="186"/>
      <c r="V18" s="186"/>
      <c r="W18" s="186"/>
      <c r="X18">
        <v>10</v>
      </c>
      <c r="Z18" s="129" t="s">
        <v>1920</v>
      </c>
      <c r="AA18" s="30">
        <v>43449</v>
      </c>
      <c r="AB18" t="s">
        <v>1057</v>
      </c>
    </row>
    <row r="19" spans="1:28" ht="18.75" customHeight="1">
      <c r="A19" s="480"/>
      <c r="B19" s="480"/>
      <c r="C19" s="480"/>
      <c r="D19" s="480"/>
      <c r="E19" s="186" t="s">
        <v>55</v>
      </c>
      <c r="F19" s="123" t="s">
        <v>390</v>
      </c>
      <c r="G19" s="123" t="s">
        <v>329</v>
      </c>
      <c r="H19" s="186" t="s">
        <v>243</v>
      </c>
      <c r="I19" s="186"/>
      <c r="J19" s="186"/>
      <c r="K19" s="79" t="s">
        <v>682</v>
      </c>
      <c r="L19" s="186" t="s">
        <v>1918</v>
      </c>
      <c r="M19" s="186" t="s">
        <v>1950</v>
      </c>
      <c r="N19" s="186"/>
      <c r="O19" s="186"/>
      <c r="P19" s="186"/>
      <c r="Q19" s="186"/>
      <c r="R19" s="186"/>
      <c r="S19" s="186"/>
      <c r="T19" s="123" t="s">
        <v>1399</v>
      </c>
      <c r="U19" s="123"/>
      <c r="V19" s="123"/>
      <c r="W19" s="123"/>
      <c r="Y19" t="s">
        <v>1917</v>
      </c>
    </row>
    <row r="20" spans="1:28" ht="18.75" hidden="1" customHeight="1">
      <c r="A20" s="186"/>
      <c r="B20" s="186"/>
      <c r="C20" s="186"/>
      <c r="D20" s="186"/>
      <c r="E20" s="186" t="s">
        <v>55</v>
      </c>
      <c r="F20" s="123" t="s">
        <v>388</v>
      </c>
      <c r="G20" s="123" t="s">
        <v>329</v>
      </c>
      <c r="H20" s="186" t="s">
        <v>243</v>
      </c>
      <c r="I20" s="186"/>
      <c r="J20" s="186"/>
      <c r="K20" s="79" t="s">
        <v>680</v>
      </c>
      <c r="L20" s="186"/>
      <c r="M20" s="186"/>
      <c r="N20" s="186"/>
      <c r="O20" s="186"/>
      <c r="P20" s="186"/>
      <c r="Q20" s="186"/>
      <c r="R20" s="186"/>
      <c r="S20" s="186"/>
      <c r="T20" s="123" t="s">
        <v>1951</v>
      </c>
      <c r="U20" s="123"/>
      <c r="V20" s="123"/>
      <c r="W20" s="123"/>
      <c r="Y20" t="s">
        <v>1917</v>
      </c>
    </row>
    <row r="21" spans="1:28" ht="18.75" hidden="1" customHeight="1">
      <c r="A21" s="186"/>
      <c r="B21" s="186"/>
      <c r="C21" s="186"/>
      <c r="D21" s="186"/>
      <c r="E21" s="186" t="s">
        <v>53</v>
      </c>
      <c r="F21" s="186" t="s">
        <v>1952</v>
      </c>
      <c r="G21" s="186" t="s">
        <v>255</v>
      </c>
      <c r="H21" s="186" t="s">
        <v>243</v>
      </c>
      <c r="I21" s="186"/>
      <c r="J21" s="186">
        <v>6</v>
      </c>
      <c r="K21" s="79" t="s">
        <v>680</v>
      </c>
      <c r="L21" s="186"/>
      <c r="M21" s="186"/>
      <c r="N21" s="186"/>
      <c r="O21" s="186"/>
      <c r="P21" s="186"/>
      <c r="Q21" s="186"/>
      <c r="R21" s="186"/>
      <c r="S21" s="186"/>
      <c r="T21" s="186" t="s">
        <v>1190</v>
      </c>
      <c r="U21" s="186"/>
      <c r="V21" s="186"/>
      <c r="W21" s="186"/>
      <c r="Y21" t="s">
        <v>1917</v>
      </c>
    </row>
    <row r="22" spans="1:28" ht="18.75" hidden="1" customHeight="1">
      <c r="A22" s="186"/>
      <c r="B22" s="186"/>
      <c r="C22" s="186"/>
      <c r="D22" s="186"/>
      <c r="E22" s="186" t="s">
        <v>53</v>
      </c>
      <c r="F22" s="186" t="s">
        <v>1953</v>
      </c>
      <c r="G22" s="186" t="s">
        <v>255</v>
      </c>
      <c r="H22" s="186" t="s">
        <v>243</v>
      </c>
      <c r="I22" s="186"/>
      <c r="J22" s="186">
        <v>7</v>
      </c>
      <c r="K22" s="79" t="s">
        <v>680</v>
      </c>
      <c r="L22" s="186"/>
      <c r="M22" s="186"/>
      <c r="N22" s="186"/>
      <c r="O22" s="186"/>
      <c r="P22" s="186"/>
      <c r="Q22" s="186"/>
      <c r="R22" s="186"/>
      <c r="S22" s="186"/>
      <c r="T22" s="186" t="s">
        <v>1190</v>
      </c>
      <c r="U22" s="186"/>
      <c r="V22" s="186"/>
      <c r="W22" s="186"/>
      <c r="Y22" t="s">
        <v>1917</v>
      </c>
    </row>
    <row r="23" spans="1:28" ht="18.75" hidden="1" customHeight="1">
      <c r="A23" s="186"/>
      <c r="B23" s="186"/>
      <c r="C23" s="186"/>
      <c r="D23" s="186"/>
      <c r="E23" s="186" t="s">
        <v>55</v>
      </c>
      <c r="F23" s="186" t="s">
        <v>1954</v>
      </c>
      <c r="G23" s="186" t="s">
        <v>346</v>
      </c>
      <c r="H23" s="186" t="s">
        <v>243</v>
      </c>
      <c r="I23" s="186"/>
      <c r="J23" s="186">
        <v>8</v>
      </c>
      <c r="K23" s="79" t="s">
        <v>680</v>
      </c>
      <c r="L23" s="186"/>
      <c r="M23" s="186"/>
      <c r="N23" s="186"/>
      <c r="O23" s="186"/>
      <c r="P23" s="186"/>
      <c r="Q23" s="186"/>
      <c r="R23" s="186"/>
      <c r="S23" s="186"/>
      <c r="T23" s="186" t="s">
        <v>1955</v>
      </c>
      <c r="U23" s="186"/>
      <c r="V23" s="186"/>
      <c r="W23" s="186"/>
      <c r="Y23" t="s">
        <v>1917</v>
      </c>
    </row>
    <row r="24" spans="1:28" ht="18.75" hidden="1" customHeight="1">
      <c r="A24" s="186"/>
      <c r="B24" s="186"/>
      <c r="C24" s="186"/>
      <c r="D24" s="186"/>
      <c r="E24" s="186" t="s">
        <v>53</v>
      </c>
      <c r="F24" s="186" t="s">
        <v>1406</v>
      </c>
      <c r="G24" s="186" t="s">
        <v>535</v>
      </c>
      <c r="H24" s="186" t="s">
        <v>243</v>
      </c>
      <c r="I24" s="186"/>
      <c r="J24" s="186">
        <v>132</v>
      </c>
      <c r="K24" s="79" t="s">
        <v>680</v>
      </c>
      <c r="L24" s="186"/>
      <c r="M24" s="186"/>
      <c r="N24" s="186"/>
      <c r="O24" s="186"/>
      <c r="P24" s="186"/>
      <c r="Q24" s="186"/>
      <c r="R24" s="186"/>
      <c r="S24" s="186"/>
      <c r="T24" s="186" t="s">
        <v>1190</v>
      </c>
      <c r="U24" s="186"/>
      <c r="V24" s="186"/>
      <c r="W24" s="186"/>
      <c r="Y24" t="s">
        <v>1917</v>
      </c>
    </row>
    <row r="25" spans="1:28" ht="18.75" hidden="1" customHeight="1">
      <c r="A25" s="186"/>
      <c r="B25" s="186"/>
      <c r="C25" s="186"/>
      <c r="D25" s="186"/>
      <c r="E25" s="186" t="s">
        <v>53</v>
      </c>
      <c r="F25" s="186" t="s">
        <v>1189</v>
      </c>
      <c r="G25" s="186" t="s">
        <v>249</v>
      </c>
      <c r="H25" s="186" t="s">
        <v>243</v>
      </c>
      <c r="I25" s="186"/>
      <c r="J25" s="186">
        <v>9</v>
      </c>
      <c r="K25" s="79" t="s">
        <v>680</v>
      </c>
      <c r="L25" s="186"/>
      <c r="M25" s="186"/>
      <c r="N25" s="186"/>
      <c r="O25" s="186"/>
      <c r="P25" s="186"/>
      <c r="Q25" s="186"/>
      <c r="R25" s="186"/>
      <c r="S25" s="186"/>
      <c r="T25" s="186" t="s">
        <v>1190</v>
      </c>
      <c r="U25" s="186"/>
      <c r="V25" s="186"/>
      <c r="W25" s="186"/>
      <c r="Y25" t="s">
        <v>1917</v>
      </c>
    </row>
    <row r="26" spans="1:28" ht="18.75" hidden="1" customHeight="1">
      <c r="A26" s="186"/>
      <c r="B26" s="186"/>
      <c r="C26" s="186"/>
      <c r="D26" s="186"/>
      <c r="E26" s="186" t="s">
        <v>53</v>
      </c>
      <c r="F26" s="186" t="s">
        <v>1191</v>
      </c>
      <c r="G26" s="186" t="s">
        <v>252</v>
      </c>
      <c r="H26" s="186" t="s">
        <v>243</v>
      </c>
      <c r="I26" s="186"/>
      <c r="J26" s="186">
        <v>10</v>
      </c>
      <c r="K26" s="79" t="s">
        <v>680</v>
      </c>
      <c r="L26" s="186"/>
      <c r="M26" s="186"/>
      <c r="N26" s="186"/>
      <c r="O26" s="186"/>
      <c r="P26" s="186"/>
      <c r="Q26" s="186"/>
      <c r="R26" s="186"/>
      <c r="S26" s="186"/>
      <c r="T26" s="186" t="s">
        <v>1190</v>
      </c>
      <c r="U26" s="186"/>
      <c r="V26" s="186"/>
      <c r="W26" s="186"/>
      <c r="Y26" t="s">
        <v>1917</v>
      </c>
    </row>
    <row r="27" spans="1:28" ht="18.75" hidden="1" customHeight="1">
      <c r="A27" s="186"/>
      <c r="B27" s="186"/>
      <c r="C27" s="186"/>
      <c r="D27" s="186"/>
      <c r="E27" s="186" t="s">
        <v>53</v>
      </c>
      <c r="F27" s="186" t="s">
        <v>1192</v>
      </c>
      <c r="G27" s="186" t="s">
        <v>242</v>
      </c>
      <c r="H27" s="186" t="s">
        <v>243</v>
      </c>
      <c r="I27" s="186"/>
      <c r="J27" s="186">
        <v>11</v>
      </c>
      <c r="K27" s="79" t="s">
        <v>680</v>
      </c>
      <c r="L27" s="186"/>
      <c r="M27" s="186"/>
      <c r="N27" s="186"/>
      <c r="O27" s="186"/>
      <c r="P27" s="186"/>
      <c r="Q27" s="186"/>
      <c r="R27" s="186"/>
      <c r="S27" s="186"/>
      <c r="T27" s="186" t="s">
        <v>1190</v>
      </c>
      <c r="U27" s="186"/>
      <c r="V27" s="186"/>
      <c r="W27" s="186"/>
      <c r="Y27" t="s">
        <v>1917</v>
      </c>
    </row>
    <row r="28" spans="1:28" ht="18.75" hidden="1" customHeight="1">
      <c r="A28" s="186"/>
      <c r="B28" s="186"/>
      <c r="C28" s="186"/>
      <c r="D28" s="186"/>
      <c r="E28" s="186" t="s">
        <v>53</v>
      </c>
      <c r="F28" s="186" t="s">
        <v>1193</v>
      </c>
      <c r="G28" s="186" t="s">
        <v>247</v>
      </c>
      <c r="H28" s="186" t="s">
        <v>243</v>
      </c>
      <c r="I28" s="186"/>
      <c r="J28" s="186">
        <v>12</v>
      </c>
      <c r="K28" s="79" t="s">
        <v>680</v>
      </c>
      <c r="L28" s="186"/>
      <c r="M28" s="186"/>
      <c r="N28" s="186"/>
      <c r="O28" s="186"/>
      <c r="P28" s="186"/>
      <c r="Q28" s="186"/>
      <c r="R28" s="186"/>
      <c r="S28" s="186"/>
      <c r="T28" s="186" t="s">
        <v>1190</v>
      </c>
      <c r="U28" s="186"/>
      <c r="V28" s="186"/>
      <c r="W28" s="186"/>
      <c r="Y28" t="s">
        <v>1917</v>
      </c>
    </row>
    <row r="29" spans="1:28" ht="18.75" hidden="1" customHeight="1">
      <c r="A29" s="186"/>
      <c r="B29" s="186"/>
      <c r="C29" s="186"/>
      <c r="D29" s="186"/>
      <c r="E29" s="186" t="s">
        <v>53</v>
      </c>
      <c r="F29" s="186" t="s">
        <v>1194</v>
      </c>
      <c r="G29" s="186" t="s">
        <v>252</v>
      </c>
      <c r="H29" s="186" t="s">
        <v>243</v>
      </c>
      <c r="I29" s="186"/>
      <c r="J29" s="186">
        <v>13</v>
      </c>
      <c r="K29" s="79" t="s">
        <v>680</v>
      </c>
      <c r="L29" s="186"/>
      <c r="M29" s="186"/>
      <c r="N29" s="186"/>
      <c r="O29" s="186"/>
      <c r="P29" s="186"/>
      <c r="Q29" s="186"/>
      <c r="R29" s="186"/>
      <c r="S29" s="186"/>
      <c r="T29" s="186" t="s">
        <v>1190</v>
      </c>
      <c r="U29" s="186"/>
      <c r="V29" s="186"/>
      <c r="W29" s="186"/>
      <c r="Y29" t="s">
        <v>1917</v>
      </c>
    </row>
    <row r="30" spans="1:28" ht="18.75" hidden="1" customHeight="1">
      <c r="A30" s="186"/>
      <c r="B30" s="186"/>
      <c r="C30" s="186"/>
      <c r="D30" s="186"/>
      <c r="E30" s="186" t="s">
        <v>53</v>
      </c>
      <c r="F30" s="186" t="s">
        <v>1195</v>
      </c>
      <c r="G30" s="186" t="s">
        <v>247</v>
      </c>
      <c r="H30" s="186" t="s">
        <v>243</v>
      </c>
      <c r="I30" s="186"/>
      <c r="J30" s="186">
        <v>14</v>
      </c>
      <c r="K30" s="79" t="s">
        <v>680</v>
      </c>
      <c r="L30" s="186"/>
      <c r="M30" s="186"/>
      <c r="N30" s="186"/>
      <c r="O30" s="186"/>
      <c r="P30" s="186"/>
      <c r="Q30" s="186"/>
      <c r="R30" s="186"/>
      <c r="S30" s="186"/>
      <c r="T30" s="186" t="s">
        <v>1190</v>
      </c>
      <c r="U30" s="186"/>
      <c r="V30" s="186"/>
      <c r="W30" s="186"/>
      <c r="Y30" t="s">
        <v>1917</v>
      </c>
    </row>
    <row r="31" spans="1:28" ht="18.75" hidden="1" customHeight="1">
      <c r="A31" s="186"/>
      <c r="B31" s="186"/>
      <c r="C31" s="186"/>
      <c r="D31" s="186"/>
      <c r="E31" s="186" t="s">
        <v>53</v>
      </c>
      <c r="F31" s="186" t="s">
        <v>1956</v>
      </c>
      <c r="G31" s="186" t="s">
        <v>252</v>
      </c>
      <c r="H31" s="186" t="s">
        <v>243</v>
      </c>
      <c r="I31" s="186"/>
      <c r="J31" s="186">
        <v>15</v>
      </c>
      <c r="K31" s="79" t="s">
        <v>680</v>
      </c>
      <c r="L31" s="186"/>
      <c r="M31" s="186"/>
      <c r="N31" s="186"/>
      <c r="O31" s="186"/>
      <c r="P31" s="186"/>
      <c r="Q31" s="186"/>
      <c r="R31" s="186"/>
      <c r="S31" s="186"/>
      <c r="T31" s="186" t="s">
        <v>1190</v>
      </c>
      <c r="U31" s="186"/>
      <c r="V31" s="186"/>
      <c r="W31" s="186"/>
      <c r="Y31" t="s">
        <v>1917</v>
      </c>
    </row>
    <row r="32" spans="1:28" ht="18.75" hidden="1" customHeight="1">
      <c r="A32" s="186"/>
      <c r="B32" s="186"/>
      <c r="C32" s="186"/>
      <c r="D32" s="186"/>
      <c r="E32" s="186" t="s">
        <v>53</v>
      </c>
      <c r="F32" s="186" t="s">
        <v>1957</v>
      </c>
      <c r="G32" s="186" t="s">
        <v>252</v>
      </c>
      <c r="H32" s="186" t="s">
        <v>243</v>
      </c>
      <c r="I32" s="186"/>
      <c r="J32" s="186">
        <v>16</v>
      </c>
      <c r="K32" s="79" t="s">
        <v>680</v>
      </c>
      <c r="L32" s="186"/>
      <c r="M32" s="186"/>
      <c r="N32" s="186"/>
      <c r="O32" s="186"/>
      <c r="P32" s="186"/>
      <c r="Q32" s="186"/>
      <c r="R32" s="186"/>
      <c r="S32" s="186"/>
      <c r="T32" s="186" t="s">
        <v>1190</v>
      </c>
      <c r="U32" s="186"/>
      <c r="V32" s="186"/>
      <c r="W32" s="186"/>
      <c r="Y32" t="s">
        <v>1917</v>
      </c>
    </row>
    <row r="33" spans="1:28" ht="18.75" hidden="1" customHeight="1">
      <c r="A33" s="186"/>
      <c r="B33" s="186"/>
      <c r="C33" s="186"/>
      <c r="D33" s="186"/>
      <c r="E33" s="186" t="s">
        <v>53</v>
      </c>
      <c r="F33" s="186" t="s">
        <v>1196</v>
      </c>
      <c r="G33" s="186" t="s">
        <v>535</v>
      </c>
      <c r="H33" s="186" t="s">
        <v>243</v>
      </c>
      <c r="I33" s="186"/>
      <c r="J33" s="186">
        <v>17</v>
      </c>
      <c r="K33" s="79" t="s">
        <v>680</v>
      </c>
      <c r="L33" s="186"/>
      <c r="M33" s="186"/>
      <c r="N33" s="186"/>
      <c r="O33" s="186"/>
      <c r="P33" s="186"/>
      <c r="Q33" s="186"/>
      <c r="R33" s="186"/>
      <c r="S33" s="186"/>
      <c r="T33" s="186" t="s">
        <v>1190</v>
      </c>
      <c r="U33" s="186"/>
      <c r="V33" s="186"/>
      <c r="W33" s="186"/>
      <c r="Y33" t="s">
        <v>1917</v>
      </c>
    </row>
    <row r="34" spans="1:28" ht="18.75" customHeight="1">
      <c r="A34" s="186"/>
      <c r="B34" s="186"/>
      <c r="C34" s="186"/>
      <c r="D34" s="186"/>
      <c r="E34" s="186" t="s">
        <v>55</v>
      </c>
      <c r="F34" s="186" t="s">
        <v>376</v>
      </c>
      <c r="G34" s="186" t="s">
        <v>247</v>
      </c>
      <c r="H34" s="186" t="s">
        <v>243</v>
      </c>
      <c r="I34" s="186"/>
      <c r="J34" s="186">
        <v>144</v>
      </c>
      <c r="K34" s="186" t="s">
        <v>682</v>
      </c>
      <c r="L34" s="186" t="s">
        <v>1918</v>
      </c>
      <c r="M34" s="186" t="s">
        <v>377</v>
      </c>
      <c r="N34" s="186" t="s">
        <v>1390</v>
      </c>
      <c r="O34" s="186" t="s">
        <v>1958</v>
      </c>
      <c r="P34" s="186" t="s">
        <v>1959</v>
      </c>
      <c r="Q34" s="186"/>
      <c r="R34" s="186"/>
      <c r="S34" s="186"/>
      <c r="T34" s="186" t="s">
        <v>1412</v>
      </c>
      <c r="U34" s="186"/>
      <c r="V34" s="186"/>
      <c r="W34" s="186"/>
      <c r="X34">
        <v>28</v>
      </c>
      <c r="Z34" s="129" t="s">
        <v>1920</v>
      </c>
      <c r="AA34" s="30">
        <v>43449</v>
      </c>
      <c r="AB34" t="s">
        <v>1057</v>
      </c>
    </row>
    <row r="35" spans="1:28" ht="18.75" hidden="1" customHeight="1">
      <c r="A35" s="186"/>
      <c r="B35" s="186"/>
      <c r="C35" s="186"/>
      <c r="D35" s="186"/>
      <c r="E35" s="186" t="s">
        <v>55</v>
      </c>
      <c r="F35" s="186" t="s">
        <v>1960</v>
      </c>
      <c r="G35" s="186" t="s">
        <v>346</v>
      </c>
      <c r="H35" s="186" t="s">
        <v>243</v>
      </c>
      <c r="I35" s="186"/>
      <c r="J35" s="186">
        <v>18</v>
      </c>
      <c r="K35" s="79" t="s">
        <v>680</v>
      </c>
      <c r="L35" s="186"/>
      <c r="M35" s="186"/>
      <c r="N35" s="186"/>
      <c r="O35" s="186"/>
      <c r="P35" s="186"/>
      <c r="Q35" s="186"/>
      <c r="R35" s="186"/>
      <c r="S35" s="186"/>
      <c r="T35" s="186" t="s">
        <v>1961</v>
      </c>
      <c r="U35" s="186"/>
      <c r="V35" s="186"/>
      <c r="W35" s="186"/>
      <c r="Y35" t="s">
        <v>1917</v>
      </c>
    </row>
    <row r="36" spans="1:28" ht="18.75" hidden="1" customHeight="1">
      <c r="A36" s="186"/>
      <c r="B36" s="186"/>
      <c r="C36" s="186"/>
      <c r="D36" s="186"/>
      <c r="E36" s="186" t="s">
        <v>55</v>
      </c>
      <c r="F36" s="186" t="s">
        <v>1962</v>
      </c>
      <c r="G36" s="186" t="s">
        <v>329</v>
      </c>
      <c r="H36" s="186" t="s">
        <v>243</v>
      </c>
      <c r="I36" s="186"/>
      <c r="J36" s="186">
        <v>19</v>
      </c>
      <c r="K36" s="79" t="s">
        <v>680</v>
      </c>
      <c r="L36" s="186"/>
      <c r="M36" s="186"/>
      <c r="N36" s="186"/>
      <c r="O36" s="186"/>
      <c r="P36" s="186"/>
      <c r="Q36" s="186"/>
      <c r="R36" s="186"/>
      <c r="S36" s="186"/>
      <c r="T36" s="186" t="s">
        <v>1963</v>
      </c>
      <c r="U36" s="186"/>
      <c r="V36" s="186"/>
      <c r="W36" s="186"/>
      <c r="Y36" t="s">
        <v>1917</v>
      </c>
    </row>
    <row r="37" spans="1:28" ht="18.75" customHeight="1">
      <c r="A37" s="186"/>
      <c r="B37" s="186"/>
      <c r="C37" s="186"/>
      <c r="D37" s="186"/>
      <c r="E37" s="125" t="s">
        <v>55</v>
      </c>
      <c r="F37" s="125" t="s">
        <v>673</v>
      </c>
      <c r="G37" s="186" t="s">
        <v>329</v>
      </c>
      <c r="H37" s="186" t="s">
        <v>243</v>
      </c>
      <c r="I37" s="186"/>
      <c r="J37" s="186">
        <v>20</v>
      </c>
      <c r="K37" s="186" t="s">
        <v>682</v>
      </c>
      <c r="L37" s="186" t="s">
        <v>1918</v>
      </c>
      <c r="M37" s="186" t="s">
        <v>674</v>
      </c>
      <c r="N37" s="186" t="s">
        <v>1943</v>
      </c>
      <c r="O37" s="186" t="s">
        <v>1964</v>
      </c>
      <c r="P37" s="186" t="s">
        <v>1965</v>
      </c>
      <c r="Q37" s="186" t="s">
        <v>1966</v>
      </c>
      <c r="R37" s="186"/>
      <c r="S37" s="186">
        <v>380.21</v>
      </c>
      <c r="T37" s="186" t="s">
        <v>1967</v>
      </c>
      <c r="U37" s="186"/>
      <c r="V37" s="186"/>
      <c r="W37" s="186"/>
      <c r="X37">
        <v>119</v>
      </c>
      <c r="Z37" s="129" t="s">
        <v>1920</v>
      </c>
      <c r="AA37" s="30">
        <v>43449</v>
      </c>
      <c r="AB37" t="s">
        <v>1929</v>
      </c>
    </row>
    <row r="38" spans="1:28" ht="18.75" customHeight="1">
      <c r="A38" s="186"/>
      <c r="B38" s="186"/>
      <c r="C38" s="186" t="s">
        <v>1968</v>
      </c>
      <c r="D38" s="186">
        <v>1</v>
      </c>
      <c r="E38" s="186" t="s">
        <v>61</v>
      </c>
      <c r="F38" s="186" t="s">
        <v>131</v>
      </c>
      <c r="G38" s="186" t="s">
        <v>329</v>
      </c>
      <c r="H38" s="186" t="s">
        <v>243</v>
      </c>
      <c r="I38" s="186"/>
      <c r="J38" s="186">
        <v>21</v>
      </c>
      <c r="K38" s="186" t="s">
        <v>682</v>
      </c>
      <c r="L38" s="186" t="s">
        <v>1918</v>
      </c>
      <c r="M38" s="186" t="s">
        <v>603</v>
      </c>
      <c r="N38" s="186" t="s">
        <v>1943</v>
      </c>
      <c r="O38" s="186" t="s">
        <v>1969</v>
      </c>
      <c r="P38" s="186" t="s">
        <v>1970</v>
      </c>
      <c r="Q38" s="186"/>
      <c r="R38" s="186"/>
      <c r="S38" s="186">
        <v>258</v>
      </c>
      <c r="T38" s="186" t="s">
        <v>1971</v>
      </c>
      <c r="U38" s="186"/>
      <c r="V38" s="186"/>
      <c r="W38" s="186"/>
      <c r="X38">
        <v>82</v>
      </c>
      <c r="Z38" s="129" t="s">
        <v>1920</v>
      </c>
      <c r="AA38" s="30">
        <v>43449</v>
      </c>
      <c r="AB38" t="s">
        <v>1057</v>
      </c>
    </row>
    <row r="39" spans="1:28" ht="18.75" hidden="1" customHeight="1">
      <c r="A39" s="186"/>
      <c r="B39" s="186"/>
      <c r="C39" s="186"/>
      <c r="D39" s="186"/>
      <c r="E39" s="186" t="s">
        <v>55</v>
      </c>
      <c r="F39" s="186" t="s">
        <v>1972</v>
      </c>
      <c r="G39" s="186" t="s">
        <v>329</v>
      </c>
      <c r="H39" s="186" t="s">
        <v>243</v>
      </c>
      <c r="I39" s="186"/>
      <c r="J39" s="186">
        <v>22</v>
      </c>
      <c r="K39" s="79" t="s">
        <v>680</v>
      </c>
      <c r="L39" s="186"/>
      <c r="M39" s="186"/>
      <c r="N39" s="186"/>
      <c r="O39" s="186"/>
      <c r="P39" s="186"/>
      <c r="Q39" s="186"/>
      <c r="R39" s="186"/>
      <c r="S39" s="186"/>
      <c r="T39" s="186" t="s">
        <v>1973</v>
      </c>
      <c r="U39" s="186"/>
      <c r="V39" s="186"/>
      <c r="W39" s="186"/>
      <c r="Y39" t="s">
        <v>1917</v>
      </c>
    </row>
    <row r="40" spans="1:28" ht="18.75" customHeight="1">
      <c r="A40" s="186"/>
      <c r="B40" s="186"/>
      <c r="C40" s="186"/>
      <c r="D40" s="186"/>
      <c r="E40" s="186" t="s">
        <v>59</v>
      </c>
      <c r="F40" s="186" t="s">
        <v>629</v>
      </c>
      <c r="G40" s="186" t="s">
        <v>329</v>
      </c>
      <c r="H40" s="186" t="s">
        <v>243</v>
      </c>
      <c r="I40" s="186"/>
      <c r="J40" s="186">
        <v>23</v>
      </c>
      <c r="K40" s="186" t="s">
        <v>682</v>
      </c>
      <c r="L40" s="186" t="s">
        <v>1918</v>
      </c>
      <c r="M40" s="186" t="s">
        <v>630</v>
      </c>
      <c r="N40" s="186" t="s">
        <v>1943</v>
      </c>
      <c r="O40" s="186" t="s">
        <v>1974</v>
      </c>
      <c r="P40" s="186" t="s">
        <v>1975</v>
      </c>
      <c r="Q40" s="186"/>
      <c r="R40" s="186"/>
      <c r="S40" s="186">
        <v>1</v>
      </c>
      <c r="T40" s="186" t="s">
        <v>1976</v>
      </c>
      <c r="U40" s="186"/>
      <c r="V40" s="186"/>
      <c r="W40" s="186"/>
      <c r="X40">
        <v>96</v>
      </c>
      <c r="Z40" s="129" t="s">
        <v>1920</v>
      </c>
      <c r="AA40" s="30">
        <v>43449</v>
      </c>
      <c r="AB40" t="s">
        <v>1057</v>
      </c>
    </row>
    <row r="41" spans="1:28" ht="18.75" customHeight="1">
      <c r="A41" s="186"/>
      <c r="B41" s="186"/>
      <c r="C41" s="186"/>
      <c r="D41" s="186"/>
      <c r="E41" s="125" t="s">
        <v>55</v>
      </c>
      <c r="F41" s="125" t="s">
        <v>593</v>
      </c>
      <c r="G41" s="186" t="s">
        <v>329</v>
      </c>
      <c r="H41" s="186" t="s">
        <v>243</v>
      </c>
      <c r="I41" s="186"/>
      <c r="J41" s="186">
        <v>25</v>
      </c>
      <c r="K41" s="186" t="s">
        <v>682</v>
      </c>
      <c r="L41" s="186" t="s">
        <v>1918</v>
      </c>
      <c r="M41" s="186" t="s">
        <v>594</v>
      </c>
      <c r="N41" s="186" t="s">
        <v>1943</v>
      </c>
      <c r="O41" s="186" t="s">
        <v>1977</v>
      </c>
      <c r="P41" s="186" t="s">
        <v>1978</v>
      </c>
      <c r="Q41" s="186"/>
      <c r="R41" s="186"/>
      <c r="S41" s="186">
        <v>258</v>
      </c>
      <c r="T41" s="186" t="s">
        <v>1979</v>
      </c>
      <c r="U41" s="186"/>
      <c r="V41" s="186"/>
      <c r="W41" s="186"/>
      <c r="X41">
        <v>76</v>
      </c>
      <c r="Z41" s="129" t="s">
        <v>1920</v>
      </c>
      <c r="AA41" s="30">
        <v>43449</v>
      </c>
      <c r="AB41" t="s">
        <v>1057</v>
      </c>
    </row>
    <row r="42" spans="1:28" ht="18.75" customHeight="1">
      <c r="A42" s="186"/>
      <c r="B42" s="186"/>
      <c r="C42" s="186"/>
      <c r="D42" s="186"/>
      <c r="E42" s="125" t="s">
        <v>55</v>
      </c>
      <c r="F42" s="125" t="s">
        <v>609</v>
      </c>
      <c r="G42" s="186" t="s">
        <v>329</v>
      </c>
      <c r="H42" s="186" t="s">
        <v>243</v>
      </c>
      <c r="I42" s="186"/>
      <c r="J42" s="72">
        <v>212</v>
      </c>
      <c r="K42" s="186" t="s">
        <v>682</v>
      </c>
      <c r="L42" s="186" t="s">
        <v>1918</v>
      </c>
      <c r="M42" s="75" t="s">
        <v>1980</v>
      </c>
      <c r="N42" s="186" t="s">
        <v>1943</v>
      </c>
      <c r="O42" s="186" t="s">
        <v>1981</v>
      </c>
      <c r="P42" s="186" t="s">
        <v>1982</v>
      </c>
      <c r="Q42" s="186" t="s">
        <v>1983</v>
      </c>
      <c r="R42" s="186"/>
      <c r="S42" s="186">
        <v>258</v>
      </c>
      <c r="T42" s="90" t="s">
        <v>1984</v>
      </c>
      <c r="U42" s="90"/>
      <c r="V42" s="90"/>
      <c r="W42" s="90"/>
      <c r="X42">
        <v>86</v>
      </c>
      <c r="Z42" s="129" t="s">
        <v>1521</v>
      </c>
      <c r="AA42" s="30">
        <v>43173</v>
      </c>
      <c r="AB42" t="s">
        <v>1985</v>
      </c>
    </row>
    <row r="43" spans="1:28" ht="18.75" customHeight="1">
      <c r="A43" s="186"/>
      <c r="B43" s="186"/>
      <c r="C43" s="186" t="s">
        <v>1986</v>
      </c>
      <c r="D43" s="186">
        <v>1</v>
      </c>
      <c r="E43" s="186" t="s">
        <v>61</v>
      </c>
      <c r="F43" s="186" t="s">
        <v>120</v>
      </c>
      <c r="G43" s="186" t="s">
        <v>250</v>
      </c>
      <c r="H43" s="186" t="s">
        <v>243</v>
      </c>
      <c r="I43" s="186"/>
      <c r="J43" s="186">
        <v>24</v>
      </c>
      <c r="K43" s="186" t="s">
        <v>682</v>
      </c>
      <c r="L43" s="186" t="s">
        <v>1918</v>
      </c>
      <c r="M43" s="186" t="s">
        <v>295</v>
      </c>
      <c r="N43" s="186" t="s">
        <v>1709</v>
      </c>
      <c r="O43" s="186" t="s">
        <v>1987</v>
      </c>
      <c r="P43" s="186" t="s">
        <v>1988</v>
      </c>
      <c r="Q43" s="186" t="s">
        <v>1201</v>
      </c>
      <c r="R43" s="186"/>
      <c r="S43" s="186" t="s">
        <v>1201</v>
      </c>
      <c r="T43" s="186" t="s">
        <v>1986</v>
      </c>
      <c r="U43" s="186"/>
      <c r="V43" s="186"/>
      <c r="W43" s="186"/>
      <c r="X43">
        <v>1</v>
      </c>
      <c r="Z43" s="129" t="s">
        <v>1920</v>
      </c>
      <c r="AA43" s="30">
        <v>43449</v>
      </c>
      <c r="AB43" t="s">
        <v>1057</v>
      </c>
    </row>
    <row r="44" spans="1:28" ht="18.75" customHeight="1">
      <c r="A44" s="186"/>
      <c r="B44" s="186"/>
      <c r="C44" s="186"/>
      <c r="D44" s="186"/>
      <c r="E44" s="186" t="s">
        <v>55</v>
      </c>
      <c r="F44" s="186" t="s">
        <v>611</v>
      </c>
      <c r="G44" s="186" t="s">
        <v>329</v>
      </c>
      <c r="H44" s="186" t="s">
        <v>243</v>
      </c>
      <c r="I44" s="186"/>
      <c r="J44" s="72">
        <v>200</v>
      </c>
      <c r="K44" s="186" t="s">
        <v>682</v>
      </c>
      <c r="L44" s="186" t="s">
        <v>1918</v>
      </c>
      <c r="M44" s="186" t="s">
        <v>612</v>
      </c>
      <c r="N44" s="186" t="s">
        <v>1943</v>
      </c>
      <c r="O44" s="186" t="s">
        <v>1989</v>
      </c>
      <c r="P44" s="186" t="s">
        <v>1990</v>
      </c>
      <c r="Q44" s="186" t="s">
        <v>1991</v>
      </c>
      <c r="R44" s="186"/>
      <c r="S44" s="186">
        <v>-258</v>
      </c>
      <c r="T44" s="90" t="s">
        <v>1992</v>
      </c>
      <c r="U44" s="90"/>
      <c r="V44" s="90"/>
      <c r="W44" s="90"/>
      <c r="X44">
        <v>87</v>
      </c>
      <c r="Z44" s="129" t="s">
        <v>1920</v>
      </c>
      <c r="AA44" s="30">
        <v>43449</v>
      </c>
      <c r="AB44" t="s">
        <v>1057</v>
      </c>
    </row>
    <row r="45" spans="1:28" ht="18.75" customHeight="1">
      <c r="A45" s="186"/>
      <c r="B45" s="186"/>
      <c r="C45" s="186"/>
      <c r="D45" s="186"/>
      <c r="E45" s="186" t="s">
        <v>55</v>
      </c>
      <c r="F45" s="186" t="s">
        <v>597</v>
      </c>
      <c r="G45" s="186" t="s">
        <v>329</v>
      </c>
      <c r="H45" s="186" t="s">
        <v>243</v>
      </c>
      <c r="I45" s="186"/>
      <c r="J45" s="72">
        <v>193</v>
      </c>
      <c r="K45" s="186" t="s">
        <v>682</v>
      </c>
      <c r="L45" s="186" t="s">
        <v>1918</v>
      </c>
      <c r="M45" s="186" t="s">
        <v>598</v>
      </c>
      <c r="N45" s="186" t="s">
        <v>1943</v>
      </c>
      <c r="O45" s="186" t="s">
        <v>1993</v>
      </c>
      <c r="P45" s="186" t="s">
        <v>1978</v>
      </c>
      <c r="Q45" s="186" t="s">
        <v>1994</v>
      </c>
      <c r="R45" s="186"/>
      <c r="S45" s="186">
        <v>258</v>
      </c>
      <c r="T45" s="90" t="s">
        <v>1995</v>
      </c>
      <c r="U45" s="90"/>
      <c r="V45" s="90"/>
      <c r="W45" s="90"/>
      <c r="X45">
        <v>78</v>
      </c>
      <c r="Z45" s="129" t="s">
        <v>1920</v>
      </c>
      <c r="AA45" s="30">
        <v>43449</v>
      </c>
      <c r="AB45" t="s">
        <v>1057</v>
      </c>
    </row>
    <row r="46" spans="1:28" ht="18.75" customHeight="1">
      <c r="A46" s="186"/>
      <c r="B46" s="186"/>
      <c r="C46" s="186"/>
      <c r="D46" s="186"/>
      <c r="E46" s="186" t="s">
        <v>55</v>
      </c>
      <c r="F46" s="186" t="s">
        <v>595</v>
      </c>
      <c r="G46" s="186" t="s">
        <v>329</v>
      </c>
      <c r="H46" s="186" t="s">
        <v>243</v>
      </c>
      <c r="I46" s="186"/>
      <c r="J46" s="72">
        <v>184</v>
      </c>
      <c r="K46" s="186" t="s">
        <v>682</v>
      </c>
      <c r="L46" s="186" t="s">
        <v>1918</v>
      </c>
      <c r="M46" s="186" t="s">
        <v>596</v>
      </c>
      <c r="N46" s="186" t="s">
        <v>1943</v>
      </c>
      <c r="O46" s="186" t="s">
        <v>1996</v>
      </c>
      <c r="P46" s="186" t="s">
        <v>1978</v>
      </c>
      <c r="Q46" s="186"/>
      <c r="R46" s="186"/>
      <c r="S46" s="186">
        <v>258</v>
      </c>
      <c r="T46" s="90" t="s">
        <v>1997</v>
      </c>
      <c r="U46" s="90"/>
      <c r="V46" s="90"/>
      <c r="W46" s="90"/>
      <c r="X46">
        <v>77</v>
      </c>
      <c r="Z46" s="129" t="s">
        <v>1920</v>
      </c>
      <c r="AA46" s="30">
        <v>43449</v>
      </c>
      <c r="AB46" t="s">
        <v>1057</v>
      </c>
    </row>
    <row r="47" spans="1:28" ht="18.75" customHeight="1">
      <c r="A47" s="186"/>
      <c r="B47" s="186"/>
      <c r="C47" s="186"/>
      <c r="D47" s="186"/>
      <c r="E47" s="186" t="s">
        <v>55</v>
      </c>
      <c r="F47" s="186" t="s">
        <v>641</v>
      </c>
      <c r="G47" s="186" t="s">
        <v>329</v>
      </c>
      <c r="H47" s="186" t="s">
        <v>243</v>
      </c>
      <c r="I47" s="186"/>
      <c r="J47" s="72">
        <v>172</v>
      </c>
      <c r="K47" s="186" t="s">
        <v>682</v>
      </c>
      <c r="L47" s="186" t="s">
        <v>1918</v>
      </c>
      <c r="M47" s="186" t="s">
        <v>642</v>
      </c>
      <c r="N47" s="186" t="s">
        <v>1943</v>
      </c>
      <c r="O47" s="186" t="s">
        <v>1998</v>
      </c>
      <c r="P47" s="186" t="s">
        <v>1999</v>
      </c>
      <c r="Q47" s="186" t="s">
        <v>2000</v>
      </c>
      <c r="R47" s="186"/>
      <c r="S47" s="186"/>
      <c r="T47" s="90" t="s">
        <v>2001</v>
      </c>
      <c r="U47" s="90"/>
      <c r="V47" s="90"/>
      <c r="W47" s="90"/>
      <c r="X47">
        <v>102</v>
      </c>
      <c r="Z47" s="129" t="s">
        <v>1920</v>
      </c>
      <c r="AA47" s="30">
        <v>43449</v>
      </c>
      <c r="AB47" t="s">
        <v>1929</v>
      </c>
    </row>
    <row r="48" spans="1:28" ht="18.75" customHeight="1">
      <c r="A48" s="186"/>
      <c r="B48" s="186"/>
      <c r="C48" s="186"/>
      <c r="D48" s="186"/>
      <c r="E48" s="186" t="s">
        <v>55</v>
      </c>
      <c r="F48" s="186" t="s">
        <v>645</v>
      </c>
      <c r="G48" s="186" t="s">
        <v>329</v>
      </c>
      <c r="H48" s="186" t="s">
        <v>243</v>
      </c>
      <c r="I48" s="186"/>
      <c r="J48" s="72">
        <v>202</v>
      </c>
      <c r="K48" s="186" t="s">
        <v>682</v>
      </c>
      <c r="L48" s="186" t="s">
        <v>1918</v>
      </c>
      <c r="M48" s="186" t="s">
        <v>646</v>
      </c>
      <c r="N48" s="186" t="s">
        <v>1943</v>
      </c>
      <c r="O48" s="186" t="s">
        <v>2002</v>
      </c>
      <c r="P48" s="186" t="s">
        <v>2003</v>
      </c>
      <c r="Q48" s="186"/>
      <c r="R48" s="186"/>
      <c r="S48" s="186"/>
      <c r="T48" s="90" t="s">
        <v>2004</v>
      </c>
      <c r="U48" s="90"/>
      <c r="V48" s="90"/>
      <c r="W48" s="90"/>
      <c r="X48">
        <v>104</v>
      </c>
      <c r="Z48" s="129" t="s">
        <v>1920</v>
      </c>
      <c r="AA48" s="30">
        <v>43449</v>
      </c>
      <c r="AB48" t="s">
        <v>1057</v>
      </c>
    </row>
    <row r="49" spans="1:28" ht="41.25" customHeight="1">
      <c r="A49" s="186"/>
      <c r="B49" s="186"/>
      <c r="C49" s="186"/>
      <c r="D49" s="186"/>
      <c r="E49" s="186" t="s">
        <v>55</v>
      </c>
      <c r="F49" s="186" t="s">
        <v>617</v>
      </c>
      <c r="G49" s="186" t="s">
        <v>329</v>
      </c>
      <c r="H49" s="186" t="s">
        <v>243</v>
      </c>
      <c r="I49" s="186"/>
      <c r="J49" s="72">
        <v>185</v>
      </c>
      <c r="K49" s="186" t="s">
        <v>682</v>
      </c>
      <c r="L49" s="186" t="s">
        <v>1918</v>
      </c>
      <c r="M49" s="186" t="s">
        <v>618</v>
      </c>
      <c r="N49" s="186" t="s">
        <v>1943</v>
      </c>
      <c r="O49" s="186" t="s">
        <v>2005</v>
      </c>
      <c r="P49" s="186" t="s">
        <v>2006</v>
      </c>
      <c r="Q49" s="186" t="s">
        <v>2007</v>
      </c>
      <c r="R49" s="186"/>
      <c r="S49" s="186">
        <v>258</v>
      </c>
      <c r="T49" s="90" t="s">
        <v>2008</v>
      </c>
      <c r="U49" s="90"/>
      <c r="V49" s="90"/>
      <c r="W49" s="90"/>
      <c r="X49">
        <v>90</v>
      </c>
      <c r="Z49" s="129" t="s">
        <v>1920</v>
      </c>
      <c r="AA49" s="30">
        <v>43449</v>
      </c>
      <c r="AB49" t="s">
        <v>1929</v>
      </c>
    </row>
    <row r="50" spans="1:28" ht="46.5" customHeight="1">
      <c r="A50" s="186"/>
      <c r="B50" s="186"/>
      <c r="C50" s="186"/>
      <c r="D50" s="186"/>
      <c r="E50" s="186" t="s">
        <v>55</v>
      </c>
      <c r="F50" s="186" t="s">
        <v>613</v>
      </c>
      <c r="G50" s="186" t="s">
        <v>329</v>
      </c>
      <c r="H50" s="186" t="s">
        <v>243</v>
      </c>
      <c r="I50" s="186"/>
      <c r="J50" s="72">
        <v>180</v>
      </c>
      <c r="K50" s="186" t="s">
        <v>682</v>
      </c>
      <c r="L50" s="186" t="s">
        <v>1918</v>
      </c>
      <c r="M50" s="186" t="s">
        <v>614</v>
      </c>
      <c r="N50" s="186" t="s">
        <v>1943</v>
      </c>
      <c r="O50" s="186" t="s">
        <v>2009</v>
      </c>
      <c r="P50" s="186" t="s">
        <v>1982</v>
      </c>
      <c r="Q50" s="186" t="s">
        <v>2010</v>
      </c>
      <c r="R50" s="186"/>
      <c r="S50" s="186">
        <v>258</v>
      </c>
      <c r="T50" s="90" t="s">
        <v>2011</v>
      </c>
      <c r="U50" s="90"/>
      <c r="V50" s="90"/>
      <c r="W50" s="90"/>
      <c r="X50">
        <v>88</v>
      </c>
      <c r="Z50" s="129" t="s">
        <v>1920</v>
      </c>
      <c r="AA50" s="30">
        <v>43449</v>
      </c>
      <c r="AB50" t="s">
        <v>1057</v>
      </c>
    </row>
    <row r="51" spans="1:28" ht="18.75" customHeight="1">
      <c r="A51" s="186"/>
      <c r="B51" s="186"/>
      <c r="C51" s="186"/>
      <c r="D51" s="186"/>
      <c r="E51" s="186" t="s">
        <v>59</v>
      </c>
      <c r="F51" s="186" t="s">
        <v>651</v>
      </c>
      <c r="G51" s="186" t="s">
        <v>329</v>
      </c>
      <c r="H51" s="186" t="s">
        <v>243</v>
      </c>
      <c r="I51" s="186"/>
      <c r="J51" s="186">
        <v>26</v>
      </c>
      <c r="K51" s="186" t="s">
        <v>682</v>
      </c>
      <c r="L51" s="186" t="s">
        <v>1918</v>
      </c>
      <c r="M51" s="186" t="s">
        <v>652</v>
      </c>
      <c r="N51" s="186" t="s">
        <v>1943</v>
      </c>
      <c r="O51" s="186" t="s">
        <v>2012</v>
      </c>
      <c r="P51" s="186" t="s">
        <v>2013</v>
      </c>
      <c r="Q51" s="186" t="s">
        <v>2014</v>
      </c>
      <c r="R51" s="186"/>
      <c r="S51" s="186"/>
      <c r="T51" s="186" t="s">
        <v>2015</v>
      </c>
      <c r="U51" s="186"/>
      <c r="V51" s="186"/>
      <c r="W51" s="186"/>
      <c r="X51">
        <v>107</v>
      </c>
      <c r="Z51" s="129" t="s">
        <v>1920</v>
      </c>
      <c r="AA51" s="30">
        <v>43449</v>
      </c>
      <c r="AB51" t="s">
        <v>1057</v>
      </c>
    </row>
    <row r="52" spans="1:28" ht="18.75" hidden="1" customHeight="1">
      <c r="A52" s="186"/>
      <c r="B52" s="186"/>
      <c r="C52" s="186"/>
      <c r="D52" s="186"/>
      <c r="E52" s="186" t="s">
        <v>55</v>
      </c>
      <c r="F52" s="186" t="s">
        <v>2016</v>
      </c>
      <c r="G52" s="186" t="s">
        <v>329</v>
      </c>
      <c r="H52" s="186" t="s">
        <v>243</v>
      </c>
      <c r="I52" s="186"/>
      <c r="J52" s="186">
        <v>27</v>
      </c>
      <c r="K52" s="79" t="s">
        <v>680</v>
      </c>
      <c r="L52" s="186"/>
      <c r="M52" s="186"/>
      <c r="N52" s="186"/>
      <c r="O52" s="186"/>
      <c r="P52" s="186"/>
      <c r="Q52" s="186"/>
      <c r="R52" s="186"/>
      <c r="S52" s="186"/>
      <c r="T52" s="186" t="s">
        <v>2017</v>
      </c>
      <c r="U52" s="186"/>
      <c r="V52" s="186"/>
      <c r="W52" s="186"/>
      <c r="Y52" t="s">
        <v>1917</v>
      </c>
    </row>
    <row r="53" spans="1:28" ht="18.75" customHeight="1">
      <c r="A53" s="186"/>
      <c r="B53" s="186"/>
      <c r="C53" s="186"/>
      <c r="D53" s="186"/>
      <c r="E53" s="186" t="s">
        <v>55</v>
      </c>
      <c r="F53" s="186" t="s">
        <v>653</v>
      </c>
      <c r="G53" s="186" t="s">
        <v>329</v>
      </c>
      <c r="H53" s="186" t="s">
        <v>243</v>
      </c>
      <c r="I53" s="186"/>
      <c r="J53" s="72">
        <v>210</v>
      </c>
      <c r="K53" s="186" t="s">
        <v>682</v>
      </c>
      <c r="L53" s="186" t="s">
        <v>1918</v>
      </c>
      <c r="M53" s="186" t="s">
        <v>654</v>
      </c>
      <c r="N53" s="186" t="s">
        <v>1943</v>
      </c>
      <c r="O53" s="186" t="s">
        <v>2012</v>
      </c>
      <c r="P53" s="186" t="s">
        <v>2013</v>
      </c>
      <c r="Q53" s="186" t="s">
        <v>2014</v>
      </c>
      <c r="R53" s="186"/>
      <c r="S53" s="186"/>
      <c r="T53" s="90" t="s">
        <v>2018</v>
      </c>
      <c r="U53" s="90"/>
      <c r="V53" s="90"/>
      <c r="W53" s="90"/>
      <c r="X53">
        <v>108</v>
      </c>
      <c r="Z53" s="129" t="s">
        <v>1920</v>
      </c>
      <c r="AA53" s="30">
        <v>43449</v>
      </c>
      <c r="AB53" t="s">
        <v>1057</v>
      </c>
    </row>
    <row r="54" spans="1:28" ht="18.75" customHeight="1">
      <c r="A54" s="186"/>
      <c r="B54" s="186"/>
      <c r="C54" s="186"/>
      <c r="D54" s="186"/>
      <c r="E54" s="186" t="s">
        <v>55</v>
      </c>
      <c r="F54" s="186" t="s">
        <v>659</v>
      </c>
      <c r="G54" s="186" t="s">
        <v>329</v>
      </c>
      <c r="H54" s="186" t="s">
        <v>243</v>
      </c>
      <c r="I54" s="186"/>
      <c r="J54" s="72">
        <v>211</v>
      </c>
      <c r="K54" s="186" t="s">
        <v>682</v>
      </c>
      <c r="L54" s="186" t="s">
        <v>1918</v>
      </c>
      <c r="M54" s="186" t="s">
        <v>660</v>
      </c>
      <c r="N54" s="186" t="s">
        <v>1943</v>
      </c>
      <c r="O54" s="186" t="s">
        <v>2019</v>
      </c>
      <c r="P54" s="186" t="s">
        <v>2020</v>
      </c>
      <c r="Q54" s="186"/>
      <c r="R54" s="186"/>
      <c r="S54" s="186"/>
      <c r="T54" s="90" t="s">
        <v>2021</v>
      </c>
      <c r="U54" s="90"/>
      <c r="V54" s="90"/>
      <c r="W54" s="90"/>
      <c r="X54">
        <v>111</v>
      </c>
      <c r="Z54" s="129" t="s">
        <v>1920</v>
      </c>
      <c r="AA54" s="30">
        <v>43449</v>
      </c>
      <c r="AB54" t="s">
        <v>1057</v>
      </c>
    </row>
    <row r="55" spans="1:28" ht="18.75" hidden="1" customHeight="1">
      <c r="A55" s="186"/>
      <c r="B55" s="186"/>
      <c r="C55" s="186"/>
      <c r="D55" s="186"/>
      <c r="E55" s="186" t="s">
        <v>55</v>
      </c>
      <c r="F55" s="186" t="s">
        <v>2022</v>
      </c>
      <c r="G55" s="186" t="s">
        <v>329</v>
      </c>
      <c r="H55" s="186" t="s">
        <v>243</v>
      </c>
      <c r="I55" s="186"/>
      <c r="J55" s="72">
        <v>178</v>
      </c>
      <c r="K55" s="79" t="s">
        <v>680</v>
      </c>
      <c r="L55" s="186"/>
      <c r="M55" s="186"/>
      <c r="N55" s="186"/>
      <c r="O55" s="186"/>
      <c r="P55" s="186"/>
      <c r="Q55" s="186"/>
      <c r="R55" s="186"/>
      <c r="S55" s="186"/>
      <c r="T55" s="90" t="s">
        <v>2023</v>
      </c>
      <c r="U55" s="90"/>
      <c r="V55" s="90"/>
      <c r="W55" s="90"/>
      <c r="Y55" t="s">
        <v>1917</v>
      </c>
    </row>
    <row r="56" spans="1:28" ht="18.75" customHeight="1">
      <c r="A56" s="186"/>
      <c r="B56" s="186"/>
      <c r="C56" s="186"/>
      <c r="D56" s="186"/>
      <c r="E56" s="186" t="s">
        <v>59</v>
      </c>
      <c r="F56" s="186" t="s">
        <v>132</v>
      </c>
      <c r="G56" s="186" t="s">
        <v>329</v>
      </c>
      <c r="H56" s="186" t="s">
        <v>243</v>
      </c>
      <c r="I56" s="186"/>
      <c r="J56" s="186">
        <v>28</v>
      </c>
      <c r="K56" s="186" t="s">
        <v>682</v>
      </c>
      <c r="L56" s="186" t="s">
        <v>1918</v>
      </c>
      <c r="M56" s="186" t="s">
        <v>604</v>
      </c>
      <c r="N56" s="186" t="s">
        <v>1943</v>
      </c>
      <c r="O56" s="186" t="s">
        <v>2009</v>
      </c>
      <c r="P56" s="186" t="s">
        <v>1982</v>
      </c>
      <c r="Q56" s="186" t="s">
        <v>2010</v>
      </c>
      <c r="R56" s="186"/>
      <c r="S56" s="186"/>
      <c r="T56" s="186" t="s">
        <v>2024</v>
      </c>
      <c r="U56" s="186"/>
      <c r="V56" s="186"/>
      <c r="W56" s="186"/>
      <c r="X56">
        <v>83</v>
      </c>
      <c r="Z56" s="129" t="s">
        <v>1920</v>
      </c>
      <c r="AA56" s="30">
        <v>43449</v>
      </c>
      <c r="AB56" t="s">
        <v>1057</v>
      </c>
    </row>
    <row r="57" spans="1:28" ht="18.75" customHeight="1">
      <c r="A57" s="186"/>
      <c r="B57" s="186"/>
      <c r="C57" s="186"/>
      <c r="D57" s="186"/>
      <c r="E57" s="186" t="s">
        <v>55</v>
      </c>
      <c r="F57" s="186" t="s">
        <v>605</v>
      </c>
      <c r="G57" s="186" t="s">
        <v>329</v>
      </c>
      <c r="H57" s="186" t="s">
        <v>243</v>
      </c>
      <c r="I57" s="186"/>
      <c r="J57" s="186">
        <v>29</v>
      </c>
      <c r="K57" s="186" t="s">
        <v>682</v>
      </c>
      <c r="L57" s="186" t="s">
        <v>1918</v>
      </c>
      <c r="M57" s="186" t="s">
        <v>606</v>
      </c>
      <c r="N57" s="186" t="s">
        <v>1943</v>
      </c>
      <c r="O57" s="186" t="s">
        <v>2009</v>
      </c>
      <c r="P57" s="186" t="s">
        <v>1982</v>
      </c>
      <c r="Q57" s="186" t="s">
        <v>2025</v>
      </c>
      <c r="R57" s="186"/>
      <c r="S57" s="186"/>
      <c r="T57" s="186" t="s">
        <v>2026</v>
      </c>
      <c r="U57" s="186"/>
      <c r="V57" s="186"/>
      <c r="W57" s="186"/>
      <c r="X57">
        <v>84</v>
      </c>
      <c r="Z57" s="129" t="s">
        <v>1920</v>
      </c>
      <c r="AA57" s="30">
        <v>43449</v>
      </c>
      <c r="AB57" t="s">
        <v>1057</v>
      </c>
    </row>
    <row r="58" spans="1:28" ht="18.75" customHeight="1">
      <c r="A58" s="186"/>
      <c r="B58" s="186"/>
      <c r="C58" s="186"/>
      <c r="D58" s="186"/>
      <c r="E58" s="186" t="s">
        <v>55</v>
      </c>
      <c r="F58" s="186" t="s">
        <v>607</v>
      </c>
      <c r="G58" s="186" t="s">
        <v>329</v>
      </c>
      <c r="H58" s="186" t="s">
        <v>243</v>
      </c>
      <c r="I58" s="186"/>
      <c r="J58" s="186">
        <v>30</v>
      </c>
      <c r="K58" s="186" t="s">
        <v>682</v>
      </c>
      <c r="L58" s="186" t="s">
        <v>1918</v>
      </c>
      <c r="M58" s="186" t="s">
        <v>608</v>
      </c>
      <c r="N58" s="186" t="s">
        <v>1943</v>
      </c>
      <c r="O58" s="186" t="s">
        <v>2009</v>
      </c>
      <c r="P58" s="186" t="s">
        <v>1982</v>
      </c>
      <c r="Q58" s="186" t="s">
        <v>2027</v>
      </c>
      <c r="R58" s="186"/>
      <c r="S58" s="186"/>
      <c r="T58" s="186" t="s">
        <v>2028</v>
      </c>
      <c r="U58" s="186"/>
      <c r="V58" s="186"/>
      <c r="W58" s="186"/>
      <c r="X58">
        <v>85</v>
      </c>
      <c r="Z58" s="129" t="s">
        <v>1920</v>
      </c>
      <c r="AA58" s="30">
        <v>43449</v>
      </c>
      <c r="AB58" t="s">
        <v>1057</v>
      </c>
    </row>
    <row r="59" spans="1:28" ht="18.75" customHeight="1">
      <c r="A59" s="125"/>
      <c r="B59" s="125"/>
      <c r="C59" s="125"/>
      <c r="D59" s="125"/>
      <c r="E59" s="125" t="s">
        <v>55</v>
      </c>
      <c r="F59" s="35" t="s">
        <v>2029</v>
      </c>
      <c r="G59" s="35" t="s">
        <v>329</v>
      </c>
      <c r="H59" s="125" t="s">
        <v>243</v>
      </c>
      <c r="I59" s="125"/>
      <c r="J59" s="125"/>
      <c r="K59" s="76" t="s">
        <v>682</v>
      </c>
      <c r="L59" s="125" t="s">
        <v>1918</v>
      </c>
      <c r="M59" s="125" t="s">
        <v>2030</v>
      </c>
      <c r="N59" s="186"/>
      <c r="O59" s="186"/>
      <c r="P59" s="186"/>
      <c r="Q59" s="125"/>
      <c r="R59" s="125"/>
      <c r="S59" s="125"/>
      <c r="T59" s="35" t="s">
        <v>2031</v>
      </c>
      <c r="U59" s="125"/>
      <c r="V59" s="125"/>
      <c r="W59" s="125"/>
      <c r="X59" s="128"/>
      <c r="Y59" s="128"/>
      <c r="Z59" s="128" t="s">
        <v>2032</v>
      </c>
      <c r="AA59" s="77">
        <v>43642</v>
      </c>
      <c r="AB59" s="42" t="s">
        <v>2033</v>
      </c>
    </row>
    <row r="60" spans="1:28" ht="18.75" customHeight="1">
      <c r="A60" s="186"/>
      <c r="B60" s="186"/>
      <c r="C60" s="186"/>
      <c r="D60" s="186"/>
      <c r="E60" s="186" t="s">
        <v>55</v>
      </c>
      <c r="F60" s="186" t="s">
        <v>633</v>
      </c>
      <c r="G60" s="186" t="s">
        <v>329</v>
      </c>
      <c r="H60" s="186" t="s">
        <v>243</v>
      </c>
      <c r="I60" s="186"/>
      <c r="J60" s="72">
        <v>196</v>
      </c>
      <c r="K60" s="186" t="s">
        <v>682</v>
      </c>
      <c r="L60" s="186" t="s">
        <v>1918</v>
      </c>
      <c r="M60" s="186" t="s">
        <v>634</v>
      </c>
      <c r="N60" s="186" t="s">
        <v>1943</v>
      </c>
      <c r="O60" s="186" t="s">
        <v>2034</v>
      </c>
      <c r="P60" s="186" t="s">
        <v>2035</v>
      </c>
      <c r="Q60" s="186" t="s">
        <v>2036</v>
      </c>
      <c r="R60" s="186"/>
      <c r="S60" s="186"/>
      <c r="T60" s="90" t="s">
        <v>2037</v>
      </c>
      <c r="U60" s="90"/>
      <c r="V60" s="90"/>
      <c r="W60" s="90"/>
      <c r="X60">
        <v>98</v>
      </c>
      <c r="Z60" s="129" t="s">
        <v>1920</v>
      </c>
      <c r="AA60" s="30">
        <v>43449</v>
      </c>
      <c r="AB60" t="s">
        <v>1057</v>
      </c>
    </row>
    <row r="61" spans="1:28" ht="18.75" customHeight="1">
      <c r="A61" s="186"/>
      <c r="B61" s="186"/>
      <c r="C61" s="186"/>
      <c r="D61" s="186"/>
      <c r="E61" s="186" t="s">
        <v>55</v>
      </c>
      <c r="F61" s="186" t="s">
        <v>637</v>
      </c>
      <c r="G61" s="186" t="s">
        <v>329</v>
      </c>
      <c r="H61" s="186" t="s">
        <v>243</v>
      </c>
      <c r="I61" s="186"/>
      <c r="J61" s="72">
        <v>197</v>
      </c>
      <c r="K61" s="186" t="s">
        <v>682</v>
      </c>
      <c r="L61" s="186" t="s">
        <v>1918</v>
      </c>
      <c r="M61" s="186" t="s">
        <v>638</v>
      </c>
      <c r="N61" s="186" t="s">
        <v>1943</v>
      </c>
      <c r="O61" s="186" t="s">
        <v>2034</v>
      </c>
      <c r="P61" s="186" t="s">
        <v>2035</v>
      </c>
      <c r="Q61" s="186" t="s">
        <v>2036</v>
      </c>
      <c r="R61" s="186"/>
      <c r="S61" s="186"/>
      <c r="T61" s="90" t="s">
        <v>2038</v>
      </c>
      <c r="U61" s="90"/>
      <c r="V61" s="90"/>
      <c r="W61" s="90"/>
      <c r="X61">
        <v>100</v>
      </c>
      <c r="Z61" s="129" t="s">
        <v>1920</v>
      </c>
      <c r="AA61" s="30">
        <v>43449</v>
      </c>
      <c r="AB61" t="s">
        <v>1057</v>
      </c>
    </row>
    <row r="62" spans="1:28" ht="18.75" hidden="1" customHeight="1">
      <c r="A62" s="186"/>
      <c r="B62" s="186"/>
      <c r="C62" s="186"/>
      <c r="D62" s="186"/>
      <c r="E62" s="186" t="s">
        <v>55</v>
      </c>
      <c r="F62" s="186" t="s">
        <v>2039</v>
      </c>
      <c r="G62" s="186" t="s">
        <v>329</v>
      </c>
      <c r="H62" s="186" t="s">
        <v>243</v>
      </c>
      <c r="I62" s="186"/>
      <c r="J62" s="72">
        <v>198</v>
      </c>
      <c r="K62" s="79" t="s">
        <v>680</v>
      </c>
      <c r="L62" s="186"/>
      <c r="M62" s="186"/>
      <c r="N62" s="186"/>
      <c r="O62" s="186"/>
      <c r="P62" s="186"/>
      <c r="Q62" s="186"/>
      <c r="R62" s="186"/>
      <c r="S62" s="186"/>
      <c r="T62" s="90" t="s">
        <v>2040</v>
      </c>
      <c r="U62" s="90"/>
      <c r="V62" s="90"/>
      <c r="W62" s="90"/>
      <c r="Y62" t="s">
        <v>1917</v>
      </c>
    </row>
    <row r="63" spans="1:28" ht="18.75" customHeight="1">
      <c r="A63" s="186"/>
      <c r="B63" s="186"/>
      <c r="C63" s="186"/>
      <c r="D63" s="186"/>
      <c r="E63" s="186" t="s">
        <v>55</v>
      </c>
      <c r="F63" s="186" t="s">
        <v>635</v>
      </c>
      <c r="G63" s="186" t="s">
        <v>329</v>
      </c>
      <c r="H63" s="186" t="s">
        <v>243</v>
      </c>
      <c r="I63" s="186"/>
      <c r="J63" s="72">
        <v>173</v>
      </c>
      <c r="K63" s="186" t="s">
        <v>682</v>
      </c>
      <c r="L63" s="186" t="s">
        <v>1918</v>
      </c>
      <c r="M63" s="186" t="s">
        <v>636</v>
      </c>
      <c r="N63" s="186" t="s">
        <v>1943</v>
      </c>
      <c r="O63" s="186" t="s">
        <v>2034</v>
      </c>
      <c r="P63" s="186" t="s">
        <v>2035</v>
      </c>
      <c r="Q63" s="186" t="s">
        <v>2036</v>
      </c>
      <c r="R63" s="186"/>
      <c r="S63" s="186"/>
      <c r="T63" s="90" t="s">
        <v>2041</v>
      </c>
      <c r="U63" s="90"/>
      <c r="V63" s="90"/>
      <c r="W63" s="90"/>
      <c r="X63">
        <v>99</v>
      </c>
      <c r="Z63" s="129" t="s">
        <v>1920</v>
      </c>
      <c r="AA63" s="30">
        <v>43449</v>
      </c>
      <c r="AB63" t="s">
        <v>1057</v>
      </c>
    </row>
    <row r="64" spans="1:28" ht="18.75" hidden="1" customHeight="1">
      <c r="A64" s="186"/>
      <c r="B64" s="186"/>
      <c r="C64" s="186"/>
      <c r="D64" s="186"/>
      <c r="E64" s="186" t="s">
        <v>55</v>
      </c>
      <c r="F64" s="186" t="s">
        <v>2042</v>
      </c>
      <c r="G64" s="186" t="s">
        <v>329</v>
      </c>
      <c r="H64" s="186" t="s">
        <v>243</v>
      </c>
      <c r="I64" s="186"/>
      <c r="J64" s="186">
        <v>31</v>
      </c>
      <c r="K64" s="79" t="s">
        <v>680</v>
      </c>
      <c r="L64" s="186"/>
      <c r="M64" s="186"/>
      <c r="N64" s="186"/>
      <c r="O64" s="186"/>
      <c r="P64" s="186"/>
      <c r="Q64" s="186"/>
      <c r="R64" s="186"/>
      <c r="S64" s="186"/>
      <c r="T64" s="186" t="s">
        <v>2043</v>
      </c>
      <c r="U64" s="186"/>
      <c r="V64" s="186"/>
      <c r="W64" s="186"/>
      <c r="Y64" t="s">
        <v>1917</v>
      </c>
    </row>
    <row r="65" spans="1:28" ht="18.75" customHeight="1">
      <c r="A65" s="186"/>
      <c r="B65" s="186"/>
      <c r="C65" s="186" t="s">
        <v>2044</v>
      </c>
      <c r="D65" s="186">
        <v>1</v>
      </c>
      <c r="E65" s="186" t="s">
        <v>61</v>
      </c>
      <c r="F65" s="186" t="s">
        <v>133</v>
      </c>
      <c r="G65" s="186" t="s">
        <v>329</v>
      </c>
      <c r="H65" s="186" t="s">
        <v>243</v>
      </c>
      <c r="I65" s="186"/>
      <c r="J65" s="186">
        <v>32</v>
      </c>
      <c r="K65" s="186" t="s">
        <v>682</v>
      </c>
      <c r="L65" s="186" t="s">
        <v>1918</v>
      </c>
      <c r="M65" s="186" t="s">
        <v>591</v>
      </c>
      <c r="N65" s="186" t="s">
        <v>1921</v>
      </c>
      <c r="O65" s="186" t="s">
        <v>2045</v>
      </c>
      <c r="P65" s="186" t="s">
        <v>2046</v>
      </c>
      <c r="Q65" s="186"/>
      <c r="R65" s="186"/>
      <c r="S65" s="186">
        <v>1</v>
      </c>
      <c r="T65" s="186" t="s">
        <v>1510</v>
      </c>
      <c r="U65" s="186"/>
      <c r="V65" s="186"/>
      <c r="W65" s="186"/>
      <c r="X65">
        <v>73</v>
      </c>
      <c r="Z65" s="129" t="s">
        <v>1920</v>
      </c>
      <c r="AA65" s="30">
        <v>43449</v>
      </c>
      <c r="AB65" t="s">
        <v>1057</v>
      </c>
    </row>
    <row r="66" spans="1:28" ht="18.75" customHeight="1">
      <c r="A66" s="186"/>
      <c r="B66" s="186"/>
      <c r="C66" s="186"/>
      <c r="D66" s="186"/>
      <c r="E66" s="186" t="s">
        <v>55</v>
      </c>
      <c r="F66" s="186" t="s">
        <v>623</v>
      </c>
      <c r="G66" s="186" t="s">
        <v>329</v>
      </c>
      <c r="H66" s="186" t="s">
        <v>243</v>
      </c>
      <c r="I66" s="186"/>
      <c r="J66" s="186">
        <v>33</v>
      </c>
      <c r="K66" s="186" t="s">
        <v>682</v>
      </c>
      <c r="L66" s="186" t="s">
        <v>1918</v>
      </c>
      <c r="M66" s="186" t="s">
        <v>624</v>
      </c>
      <c r="N66" s="186" t="s">
        <v>1943</v>
      </c>
      <c r="O66" s="186" t="s">
        <v>2047</v>
      </c>
      <c r="P66" s="186" t="s">
        <v>2048</v>
      </c>
      <c r="Q66" s="186" t="s">
        <v>2049</v>
      </c>
      <c r="R66" s="186"/>
      <c r="S66" s="186"/>
      <c r="T66" s="186" t="s">
        <v>2050</v>
      </c>
      <c r="U66" s="186"/>
      <c r="V66" s="186"/>
      <c r="W66" s="186"/>
      <c r="X66">
        <v>93</v>
      </c>
      <c r="Z66" s="129" t="s">
        <v>1920</v>
      </c>
      <c r="AA66" s="30">
        <v>43449</v>
      </c>
      <c r="AB66" t="s">
        <v>1057</v>
      </c>
    </row>
    <row r="67" spans="1:28" ht="18.75" customHeight="1">
      <c r="A67" s="186"/>
      <c r="B67" s="186"/>
      <c r="C67" s="186"/>
      <c r="D67" s="186"/>
      <c r="E67" s="186" t="s">
        <v>59</v>
      </c>
      <c r="F67" s="186" t="s">
        <v>669</v>
      </c>
      <c r="G67" s="186" t="s">
        <v>329</v>
      </c>
      <c r="H67" s="186" t="s">
        <v>243</v>
      </c>
      <c r="I67" s="186"/>
      <c r="J67" s="186">
        <v>34</v>
      </c>
      <c r="K67" s="186" t="s">
        <v>682</v>
      </c>
      <c r="L67" s="186" t="s">
        <v>1918</v>
      </c>
      <c r="M67" s="186" t="s">
        <v>670</v>
      </c>
      <c r="N67" s="186" t="s">
        <v>1943</v>
      </c>
      <c r="O67" s="186" t="s">
        <v>2051</v>
      </c>
      <c r="P67" s="186" t="s">
        <v>2052</v>
      </c>
      <c r="Q67" s="186" t="s">
        <v>2053</v>
      </c>
      <c r="R67" s="186"/>
      <c r="S67" s="186"/>
      <c r="T67" s="186" t="s">
        <v>2054</v>
      </c>
      <c r="U67" s="186"/>
      <c r="V67" s="186"/>
      <c r="W67" s="186"/>
      <c r="X67">
        <v>117</v>
      </c>
      <c r="Z67" s="129" t="s">
        <v>1920</v>
      </c>
      <c r="AA67" s="30">
        <v>43449</v>
      </c>
      <c r="AB67" t="s">
        <v>1057</v>
      </c>
    </row>
    <row r="68" spans="1:28" ht="18.75" customHeight="1">
      <c r="A68" s="186"/>
      <c r="B68" s="186"/>
      <c r="C68" s="186"/>
      <c r="D68" s="186"/>
      <c r="E68" s="186" t="s">
        <v>59</v>
      </c>
      <c r="F68" s="186" t="s">
        <v>665</v>
      </c>
      <c r="G68" s="186" t="s">
        <v>329</v>
      </c>
      <c r="H68" s="186" t="s">
        <v>243</v>
      </c>
      <c r="I68" s="186"/>
      <c r="J68" s="186">
        <v>35</v>
      </c>
      <c r="K68" s="186" t="s">
        <v>682</v>
      </c>
      <c r="L68" s="186" t="s">
        <v>1918</v>
      </c>
      <c r="M68" s="186" t="s">
        <v>666</v>
      </c>
      <c r="N68" s="186" t="s">
        <v>1943</v>
      </c>
      <c r="O68" s="186" t="s">
        <v>2055</v>
      </c>
      <c r="P68" s="186" t="s">
        <v>2056</v>
      </c>
      <c r="Q68" s="186" t="s">
        <v>2057</v>
      </c>
      <c r="R68" s="186"/>
      <c r="S68" s="186"/>
      <c r="T68" s="186" t="s">
        <v>2058</v>
      </c>
      <c r="U68" s="186"/>
      <c r="V68" s="186"/>
      <c r="W68" s="186"/>
      <c r="X68">
        <v>115</v>
      </c>
      <c r="Z68" s="129" t="s">
        <v>1920</v>
      </c>
      <c r="AA68" s="30">
        <v>43449</v>
      </c>
      <c r="AB68" t="s">
        <v>1057</v>
      </c>
    </row>
    <row r="69" spans="1:28" ht="18.75" customHeight="1">
      <c r="A69" s="186"/>
      <c r="B69" s="186"/>
      <c r="C69" s="186"/>
      <c r="D69" s="186"/>
      <c r="E69" s="186" t="s">
        <v>59</v>
      </c>
      <c r="F69" s="186" t="s">
        <v>134</v>
      </c>
      <c r="G69" s="186" t="s">
        <v>329</v>
      </c>
      <c r="H69" s="186" t="s">
        <v>243</v>
      </c>
      <c r="I69" s="186"/>
      <c r="J69" s="186">
        <v>36</v>
      </c>
      <c r="K69" s="186" t="s">
        <v>682</v>
      </c>
      <c r="L69" s="186" t="s">
        <v>1918</v>
      </c>
      <c r="M69" s="186" t="s">
        <v>663</v>
      </c>
      <c r="N69" s="186" t="s">
        <v>1943</v>
      </c>
      <c r="O69" s="186" t="s">
        <v>2059</v>
      </c>
      <c r="P69" s="186" t="s">
        <v>2060</v>
      </c>
      <c r="Q69" s="186" t="s">
        <v>2057</v>
      </c>
      <c r="R69" s="186"/>
      <c r="S69" s="186"/>
      <c r="T69" s="186" t="s">
        <v>2061</v>
      </c>
      <c r="U69" s="186"/>
      <c r="V69" s="186"/>
      <c r="W69" s="186"/>
      <c r="X69">
        <v>113</v>
      </c>
      <c r="Z69" s="129" t="s">
        <v>1920</v>
      </c>
      <c r="AA69" s="30">
        <v>43449</v>
      </c>
      <c r="AB69" t="s">
        <v>1057</v>
      </c>
    </row>
    <row r="70" spans="1:28" ht="18.75" hidden="1" customHeight="1">
      <c r="A70" s="186"/>
      <c r="B70" s="186"/>
      <c r="C70" s="186"/>
      <c r="D70" s="186"/>
      <c r="E70" s="186" t="s">
        <v>55</v>
      </c>
      <c r="F70" s="186" t="s">
        <v>2062</v>
      </c>
      <c r="G70" s="186" t="s">
        <v>329</v>
      </c>
      <c r="H70" s="186" t="s">
        <v>243</v>
      </c>
      <c r="I70" s="186"/>
      <c r="J70" s="186">
        <v>37</v>
      </c>
      <c r="K70" s="79" t="s">
        <v>680</v>
      </c>
      <c r="L70" s="186"/>
      <c r="M70" s="186"/>
      <c r="N70" s="186"/>
      <c r="O70" s="186"/>
      <c r="P70" s="186"/>
      <c r="Q70" s="186"/>
      <c r="R70" s="186"/>
      <c r="S70" s="186"/>
      <c r="T70" s="186" t="s">
        <v>2063</v>
      </c>
      <c r="U70" s="186"/>
      <c r="V70" s="186"/>
      <c r="W70" s="186"/>
      <c r="Y70" t="s">
        <v>1917</v>
      </c>
    </row>
    <row r="71" spans="1:28" ht="18.75" hidden="1" customHeight="1">
      <c r="A71" s="186"/>
      <c r="B71" s="186"/>
      <c r="C71" s="186"/>
      <c r="D71" s="186"/>
      <c r="E71" s="186" t="s">
        <v>55</v>
      </c>
      <c r="F71" s="186" t="s">
        <v>2064</v>
      </c>
      <c r="G71" s="186" t="s">
        <v>329</v>
      </c>
      <c r="H71" s="186" t="s">
        <v>243</v>
      </c>
      <c r="I71" s="186"/>
      <c r="J71" s="72">
        <v>206</v>
      </c>
      <c r="K71" s="79" t="s">
        <v>680</v>
      </c>
      <c r="L71" s="186"/>
      <c r="M71" s="186"/>
      <c r="N71" s="186"/>
      <c r="O71" s="186"/>
      <c r="P71" s="186"/>
      <c r="Q71" s="186"/>
      <c r="R71" s="186"/>
      <c r="S71" s="186"/>
      <c r="T71" s="90" t="s">
        <v>2065</v>
      </c>
      <c r="U71" s="90"/>
      <c r="V71" s="90"/>
      <c r="W71" s="90"/>
      <c r="Y71" t="s">
        <v>1917</v>
      </c>
    </row>
    <row r="72" spans="1:28" ht="18.75" hidden="1" customHeight="1">
      <c r="A72" s="186"/>
      <c r="B72" s="186"/>
      <c r="C72" s="186"/>
      <c r="D72" s="186"/>
      <c r="E72" s="186" t="s">
        <v>55</v>
      </c>
      <c r="F72" s="186" t="s">
        <v>2066</v>
      </c>
      <c r="G72" s="186" t="s">
        <v>329</v>
      </c>
      <c r="H72" s="186" t="s">
        <v>243</v>
      </c>
      <c r="I72" s="186"/>
      <c r="J72" s="72">
        <v>207</v>
      </c>
      <c r="K72" s="79" t="s">
        <v>680</v>
      </c>
      <c r="L72" s="186"/>
      <c r="M72" s="186"/>
      <c r="N72" s="186"/>
      <c r="O72" s="186"/>
      <c r="P72" s="186"/>
      <c r="Q72" s="186"/>
      <c r="R72" s="186"/>
      <c r="S72" s="186"/>
      <c r="T72" s="90" t="s">
        <v>2067</v>
      </c>
      <c r="U72" s="90"/>
      <c r="V72" s="90"/>
      <c r="W72" s="90"/>
      <c r="Y72" t="s">
        <v>1917</v>
      </c>
    </row>
    <row r="73" spans="1:28" ht="18.75" customHeight="1">
      <c r="A73" s="186"/>
      <c r="B73" s="186"/>
      <c r="C73" s="186"/>
      <c r="D73" s="186"/>
      <c r="E73" s="186" t="s">
        <v>55</v>
      </c>
      <c r="F73" s="186" t="s">
        <v>631</v>
      </c>
      <c r="G73" s="186" t="s">
        <v>329</v>
      </c>
      <c r="H73" s="186" t="s">
        <v>243</v>
      </c>
      <c r="I73" s="186"/>
      <c r="J73" s="186">
        <v>38</v>
      </c>
      <c r="K73" s="186" t="s">
        <v>682</v>
      </c>
      <c r="L73" s="186" t="s">
        <v>1918</v>
      </c>
      <c r="M73" s="186" t="s">
        <v>632</v>
      </c>
      <c r="N73" s="186" t="s">
        <v>1943</v>
      </c>
      <c r="O73" s="186" t="s">
        <v>2068</v>
      </c>
      <c r="P73" s="186" t="s">
        <v>2069</v>
      </c>
      <c r="Q73" s="186"/>
      <c r="R73" s="186"/>
      <c r="S73" s="186"/>
      <c r="T73" s="186" t="s">
        <v>2070</v>
      </c>
      <c r="U73" s="186"/>
      <c r="V73" s="186"/>
      <c r="W73" s="186"/>
      <c r="X73">
        <v>97</v>
      </c>
      <c r="Z73" s="129" t="s">
        <v>1920</v>
      </c>
      <c r="AA73" s="30">
        <v>43449</v>
      </c>
      <c r="AB73" t="s">
        <v>1057</v>
      </c>
    </row>
    <row r="74" spans="1:28" ht="18.75" customHeight="1">
      <c r="A74" s="186"/>
      <c r="B74" s="186"/>
      <c r="C74" s="186"/>
      <c r="D74" s="186"/>
      <c r="E74" s="186" t="s">
        <v>55</v>
      </c>
      <c r="F74" s="186" t="s">
        <v>667</v>
      </c>
      <c r="G74" s="186" t="s">
        <v>329</v>
      </c>
      <c r="H74" s="186" t="s">
        <v>243</v>
      </c>
      <c r="I74" s="186"/>
      <c r="J74" s="186">
        <v>39</v>
      </c>
      <c r="K74" s="186" t="s">
        <v>682</v>
      </c>
      <c r="L74" s="186" t="s">
        <v>1918</v>
      </c>
      <c r="M74" s="186" t="s">
        <v>668</v>
      </c>
      <c r="N74" s="186" t="s">
        <v>1943</v>
      </c>
      <c r="O74" s="186" t="s">
        <v>2071</v>
      </c>
      <c r="P74" s="186" t="s">
        <v>2056</v>
      </c>
      <c r="Q74" s="186" t="s">
        <v>2057</v>
      </c>
      <c r="R74" s="186"/>
      <c r="S74" s="186"/>
      <c r="T74" s="186" t="s">
        <v>2072</v>
      </c>
      <c r="U74" s="186"/>
      <c r="V74" s="186"/>
      <c r="W74" s="186"/>
      <c r="X74">
        <v>116</v>
      </c>
      <c r="Z74" s="129" t="s">
        <v>1920</v>
      </c>
      <c r="AA74" s="30">
        <v>43449</v>
      </c>
      <c r="AB74" t="s">
        <v>1057</v>
      </c>
    </row>
    <row r="75" spans="1:28" ht="18.75" customHeight="1">
      <c r="A75" s="186"/>
      <c r="B75" s="186"/>
      <c r="C75" s="186"/>
      <c r="D75" s="186"/>
      <c r="E75" s="186" t="s">
        <v>59</v>
      </c>
      <c r="F75" s="186" t="s">
        <v>657</v>
      </c>
      <c r="G75" s="186" t="s">
        <v>329</v>
      </c>
      <c r="H75" s="186" t="s">
        <v>243</v>
      </c>
      <c r="I75" s="186"/>
      <c r="J75" s="186">
        <v>40</v>
      </c>
      <c r="K75" s="186" t="s">
        <v>682</v>
      </c>
      <c r="L75" s="186" t="s">
        <v>1918</v>
      </c>
      <c r="M75" s="186" t="s">
        <v>658</v>
      </c>
      <c r="N75" s="186" t="s">
        <v>1943</v>
      </c>
      <c r="O75" s="186" t="s">
        <v>2073</v>
      </c>
      <c r="P75" s="186" t="s">
        <v>2020</v>
      </c>
      <c r="Q75" s="186"/>
      <c r="R75" s="186"/>
      <c r="S75" s="186"/>
      <c r="T75" s="186" t="s">
        <v>2074</v>
      </c>
      <c r="U75" s="186"/>
      <c r="V75" s="186"/>
      <c r="W75" s="186"/>
      <c r="X75">
        <v>110</v>
      </c>
      <c r="Z75" s="129" t="s">
        <v>1920</v>
      </c>
      <c r="AA75" s="30">
        <v>43449</v>
      </c>
      <c r="AB75" t="s">
        <v>1057</v>
      </c>
    </row>
    <row r="76" spans="1:28" ht="18.75" customHeight="1">
      <c r="A76" s="125"/>
      <c r="B76" s="125"/>
      <c r="C76" s="125"/>
      <c r="D76" s="125"/>
      <c r="E76" s="125" t="s">
        <v>55</v>
      </c>
      <c r="F76" s="35" t="s">
        <v>2075</v>
      </c>
      <c r="G76" s="35" t="s">
        <v>329</v>
      </c>
      <c r="H76" s="125" t="s">
        <v>243</v>
      </c>
      <c r="I76" s="125"/>
      <c r="J76" s="125"/>
      <c r="K76" s="76" t="s">
        <v>682</v>
      </c>
      <c r="L76" s="125" t="s">
        <v>1918</v>
      </c>
      <c r="M76" s="125" t="s">
        <v>2076</v>
      </c>
      <c r="N76" s="186"/>
      <c r="O76" s="186"/>
      <c r="P76" s="186"/>
      <c r="Q76" s="125"/>
      <c r="R76" s="125"/>
      <c r="S76" s="125"/>
      <c r="T76" s="35" t="s">
        <v>2077</v>
      </c>
      <c r="U76" s="125"/>
      <c r="V76" s="125"/>
      <c r="W76" s="125"/>
      <c r="X76" s="128"/>
      <c r="Y76" s="128"/>
      <c r="Z76" s="128" t="s">
        <v>2032</v>
      </c>
      <c r="AA76" s="77">
        <v>43642</v>
      </c>
      <c r="AB76" s="42" t="s">
        <v>2033</v>
      </c>
    </row>
    <row r="77" spans="1:28" ht="42" customHeight="1">
      <c r="A77" s="186"/>
      <c r="B77" s="186"/>
      <c r="C77" s="186"/>
      <c r="D77" s="186"/>
      <c r="E77" s="186" t="s">
        <v>59</v>
      </c>
      <c r="F77" s="186" t="s">
        <v>639</v>
      </c>
      <c r="G77" s="186" t="s">
        <v>329</v>
      </c>
      <c r="H77" s="186" t="s">
        <v>243</v>
      </c>
      <c r="I77" s="186"/>
      <c r="J77" s="186">
        <v>41</v>
      </c>
      <c r="K77" s="186" t="s">
        <v>682</v>
      </c>
      <c r="L77" s="186" t="s">
        <v>1918</v>
      </c>
      <c r="M77" s="186" t="s">
        <v>640</v>
      </c>
      <c r="N77" s="186" t="s">
        <v>1943</v>
      </c>
      <c r="O77" s="186" t="s">
        <v>2078</v>
      </c>
      <c r="P77" s="186" t="s">
        <v>2079</v>
      </c>
      <c r="Q77" s="186" t="s">
        <v>2080</v>
      </c>
      <c r="R77" s="186"/>
      <c r="S77" s="186"/>
      <c r="T77" s="186" t="s">
        <v>2081</v>
      </c>
      <c r="U77" s="186"/>
      <c r="V77" s="186"/>
      <c r="W77" s="186"/>
      <c r="X77">
        <v>101</v>
      </c>
      <c r="Z77" s="129" t="s">
        <v>1920</v>
      </c>
      <c r="AA77" s="30">
        <v>43449</v>
      </c>
      <c r="AB77" t="s">
        <v>1057</v>
      </c>
    </row>
    <row r="78" spans="1:28" ht="18.75" customHeight="1">
      <c r="A78" s="186"/>
      <c r="B78" s="186"/>
      <c r="C78" s="186"/>
      <c r="D78" s="186"/>
      <c r="E78" s="186" t="s">
        <v>55</v>
      </c>
      <c r="F78" s="186" t="s">
        <v>647</v>
      </c>
      <c r="G78" s="186" t="s">
        <v>329</v>
      </c>
      <c r="H78" s="186" t="s">
        <v>243</v>
      </c>
      <c r="I78" s="186"/>
      <c r="J78" s="72">
        <v>214</v>
      </c>
      <c r="K78" s="186" t="s">
        <v>682</v>
      </c>
      <c r="L78" s="186" t="s">
        <v>1918</v>
      </c>
      <c r="M78" s="186" t="s">
        <v>648</v>
      </c>
      <c r="N78" s="186" t="s">
        <v>1943</v>
      </c>
      <c r="O78" s="186" t="s">
        <v>2082</v>
      </c>
      <c r="P78" s="186" t="s">
        <v>2083</v>
      </c>
      <c r="Q78" s="186"/>
      <c r="R78" s="186"/>
      <c r="S78" s="186">
        <v>1</v>
      </c>
      <c r="T78" s="90" t="s">
        <v>2084</v>
      </c>
      <c r="U78" s="90"/>
      <c r="V78" s="90"/>
      <c r="W78" s="90"/>
      <c r="X78">
        <v>105</v>
      </c>
      <c r="Z78" s="129" t="s">
        <v>1920</v>
      </c>
      <c r="AA78" s="30">
        <v>43449</v>
      </c>
      <c r="AB78" t="s">
        <v>1057</v>
      </c>
    </row>
    <row r="79" spans="1:28" ht="18.75" customHeight="1">
      <c r="A79" s="186"/>
      <c r="B79" s="186"/>
      <c r="C79" s="186"/>
      <c r="D79" s="186"/>
      <c r="E79" s="186" t="s">
        <v>55</v>
      </c>
      <c r="F79" s="186" t="s">
        <v>649</v>
      </c>
      <c r="G79" s="186" t="s">
        <v>329</v>
      </c>
      <c r="H79" s="186" t="s">
        <v>243</v>
      </c>
      <c r="I79" s="186"/>
      <c r="J79" s="72">
        <v>213</v>
      </c>
      <c r="K79" s="186" t="s">
        <v>682</v>
      </c>
      <c r="L79" s="186" t="s">
        <v>1918</v>
      </c>
      <c r="M79" s="186" t="s">
        <v>650</v>
      </c>
      <c r="N79" s="186" t="s">
        <v>1943</v>
      </c>
      <c r="O79" s="186" t="s">
        <v>2085</v>
      </c>
      <c r="P79" s="186" t="s">
        <v>2086</v>
      </c>
      <c r="Q79" s="186"/>
      <c r="R79" s="186"/>
      <c r="S79" s="186"/>
      <c r="T79" s="90" t="s">
        <v>2087</v>
      </c>
      <c r="U79" s="90"/>
      <c r="V79" s="90"/>
      <c r="W79" s="90"/>
      <c r="X79">
        <v>106</v>
      </c>
      <c r="Z79" s="129" t="s">
        <v>1920</v>
      </c>
      <c r="AA79" s="30">
        <v>43449</v>
      </c>
      <c r="AB79" t="s">
        <v>1057</v>
      </c>
    </row>
    <row r="80" spans="1:28" ht="18.75" hidden="1" customHeight="1">
      <c r="A80" s="186"/>
      <c r="B80" s="186"/>
      <c r="C80" s="186"/>
      <c r="D80" s="186"/>
      <c r="E80" s="186" t="s">
        <v>55</v>
      </c>
      <c r="F80" s="186" t="s">
        <v>2088</v>
      </c>
      <c r="G80" s="186" t="s">
        <v>329</v>
      </c>
      <c r="H80" s="186" t="s">
        <v>243</v>
      </c>
      <c r="I80" s="186"/>
      <c r="J80" s="72">
        <v>199</v>
      </c>
      <c r="K80" s="79" t="s">
        <v>680</v>
      </c>
      <c r="L80" s="186"/>
      <c r="M80" s="186"/>
      <c r="N80" s="186"/>
      <c r="O80" s="186"/>
      <c r="P80" s="186"/>
      <c r="Q80" s="186"/>
      <c r="R80" s="186"/>
      <c r="S80" s="186"/>
      <c r="T80" s="90" t="s">
        <v>2089</v>
      </c>
      <c r="U80" s="90"/>
      <c r="V80" s="90"/>
      <c r="W80" s="90"/>
      <c r="Y80" t="s">
        <v>1917</v>
      </c>
    </row>
    <row r="81" spans="1:28" ht="18.75" hidden="1" customHeight="1">
      <c r="A81" s="186"/>
      <c r="B81" s="186"/>
      <c r="C81" s="186"/>
      <c r="D81" s="186"/>
      <c r="E81" s="186" t="s">
        <v>55</v>
      </c>
      <c r="F81" s="123" t="s">
        <v>2090</v>
      </c>
      <c r="G81" s="123" t="s">
        <v>346</v>
      </c>
      <c r="H81" s="186" t="s">
        <v>243</v>
      </c>
      <c r="I81" s="186"/>
      <c r="J81" s="186"/>
      <c r="K81" s="79" t="s">
        <v>680</v>
      </c>
      <c r="L81" s="186"/>
      <c r="M81" s="186"/>
      <c r="N81" s="186"/>
      <c r="O81" s="186"/>
      <c r="P81" s="186"/>
      <c r="Q81" s="186"/>
      <c r="R81" s="186"/>
      <c r="S81" s="186"/>
      <c r="T81" s="123" t="s">
        <v>2091</v>
      </c>
      <c r="U81" s="123"/>
      <c r="V81" s="123"/>
      <c r="W81" s="123"/>
      <c r="Y81" t="s">
        <v>1917</v>
      </c>
    </row>
    <row r="82" spans="1:28" ht="18.75" hidden="1" customHeight="1">
      <c r="A82" s="186"/>
      <c r="B82" s="186"/>
      <c r="C82" s="186"/>
      <c r="D82" s="186"/>
      <c r="E82" s="186" t="s">
        <v>55</v>
      </c>
      <c r="F82" s="123" t="s">
        <v>2092</v>
      </c>
      <c r="G82" s="123" t="s">
        <v>346</v>
      </c>
      <c r="H82" s="186" t="s">
        <v>243</v>
      </c>
      <c r="I82" s="186"/>
      <c r="J82" s="186"/>
      <c r="K82" s="79" t="s">
        <v>680</v>
      </c>
      <c r="L82" s="186"/>
      <c r="M82" s="186"/>
      <c r="N82" s="186"/>
      <c r="O82" s="186"/>
      <c r="P82" s="186"/>
      <c r="Q82" s="186"/>
      <c r="R82" s="186"/>
      <c r="S82" s="186"/>
      <c r="T82" s="123" t="s">
        <v>2093</v>
      </c>
      <c r="U82" s="123"/>
      <c r="V82" s="123"/>
      <c r="W82" s="123"/>
      <c r="Y82" t="s">
        <v>1917</v>
      </c>
    </row>
    <row r="83" spans="1:28" ht="18.75" customHeight="1">
      <c r="A83" s="186"/>
      <c r="B83" s="186"/>
      <c r="C83" s="186"/>
      <c r="D83" s="186"/>
      <c r="E83" s="186" t="s">
        <v>59</v>
      </c>
      <c r="F83" s="186" t="s">
        <v>586</v>
      </c>
      <c r="G83" s="186" t="s">
        <v>242</v>
      </c>
      <c r="H83" s="186" t="s">
        <v>243</v>
      </c>
      <c r="I83" s="186"/>
      <c r="J83" s="186">
        <v>42</v>
      </c>
      <c r="K83" s="186" t="s">
        <v>682</v>
      </c>
      <c r="L83" s="186" t="s">
        <v>1918</v>
      </c>
      <c r="M83" s="186" t="s">
        <v>587</v>
      </c>
      <c r="N83" s="186" t="s">
        <v>1390</v>
      </c>
      <c r="O83" s="186" t="s">
        <v>2094</v>
      </c>
      <c r="P83" s="186" t="s">
        <v>2095</v>
      </c>
      <c r="Q83" s="186"/>
      <c r="R83" s="186"/>
      <c r="S83" s="186"/>
      <c r="T83" s="186" t="s">
        <v>2096</v>
      </c>
      <c r="U83" s="186"/>
      <c r="V83" s="186"/>
      <c r="W83" s="186"/>
      <c r="X83">
        <v>69</v>
      </c>
      <c r="Z83" s="129" t="s">
        <v>1920</v>
      </c>
      <c r="AA83" s="30">
        <v>43449</v>
      </c>
      <c r="AB83" t="s">
        <v>1057</v>
      </c>
    </row>
    <row r="84" spans="1:28" ht="18.75" customHeight="1">
      <c r="A84" s="186"/>
      <c r="B84" s="186"/>
      <c r="C84" s="186"/>
      <c r="D84" s="186"/>
      <c r="E84" s="186" t="s">
        <v>55</v>
      </c>
      <c r="F84" s="186" t="s">
        <v>584</v>
      </c>
      <c r="G84" s="186" t="s">
        <v>242</v>
      </c>
      <c r="H84" s="186" t="s">
        <v>243</v>
      </c>
      <c r="I84" s="186"/>
      <c r="J84" s="186">
        <v>43</v>
      </c>
      <c r="K84" s="186" t="s">
        <v>682</v>
      </c>
      <c r="L84" s="186" t="s">
        <v>1918</v>
      </c>
      <c r="M84" s="75" t="s">
        <v>2097</v>
      </c>
      <c r="N84" s="186" t="s">
        <v>1390</v>
      </c>
      <c r="O84" s="186" t="s">
        <v>2098</v>
      </c>
      <c r="P84" s="186" t="s">
        <v>2099</v>
      </c>
      <c r="Q84" s="186"/>
      <c r="R84" s="186"/>
      <c r="S84" s="186"/>
      <c r="T84" s="186" t="s">
        <v>2100</v>
      </c>
      <c r="U84" s="186"/>
      <c r="V84" s="186"/>
      <c r="W84" s="186"/>
      <c r="X84">
        <v>68</v>
      </c>
      <c r="Z84" s="129" t="s">
        <v>1521</v>
      </c>
      <c r="AA84" s="30">
        <v>43173</v>
      </c>
      <c r="AB84" t="s">
        <v>1985</v>
      </c>
    </row>
    <row r="85" spans="1:28" ht="18.75" hidden="1" customHeight="1">
      <c r="A85" s="186"/>
      <c r="B85" s="186"/>
      <c r="C85" s="186"/>
      <c r="D85" s="186"/>
      <c r="E85" s="186" t="s">
        <v>55</v>
      </c>
      <c r="F85" s="186" t="s">
        <v>2101</v>
      </c>
      <c r="G85" s="186" t="s">
        <v>346</v>
      </c>
      <c r="H85" s="186" t="s">
        <v>243</v>
      </c>
      <c r="I85" s="186"/>
      <c r="J85" s="186">
        <v>44</v>
      </c>
      <c r="K85" s="79" t="s">
        <v>680</v>
      </c>
      <c r="L85" s="186"/>
      <c r="M85" s="186"/>
      <c r="N85" s="186"/>
      <c r="O85" s="186"/>
      <c r="P85" s="186"/>
      <c r="Q85" s="186"/>
      <c r="R85" s="186"/>
      <c r="S85" s="186"/>
      <c r="T85" s="186" t="s">
        <v>2102</v>
      </c>
      <c r="U85" s="186"/>
      <c r="V85" s="186"/>
      <c r="W85" s="186"/>
      <c r="Y85" t="s">
        <v>1917</v>
      </c>
    </row>
    <row r="86" spans="1:28" ht="18.75" hidden="1" customHeight="1">
      <c r="A86" s="186"/>
      <c r="B86" s="186"/>
      <c r="C86" s="186"/>
      <c r="D86" s="186"/>
      <c r="E86" s="186" t="s">
        <v>55</v>
      </c>
      <c r="F86" s="186" t="s">
        <v>2103</v>
      </c>
      <c r="G86" s="186" t="s">
        <v>242</v>
      </c>
      <c r="H86" s="186" t="s">
        <v>243</v>
      </c>
      <c r="I86" s="186"/>
      <c r="J86" s="186">
        <v>45</v>
      </c>
      <c r="K86" s="79" t="s">
        <v>680</v>
      </c>
      <c r="L86" s="186"/>
      <c r="M86" s="186"/>
      <c r="N86" s="186"/>
      <c r="O86" s="186"/>
      <c r="P86" s="186"/>
      <c r="Q86" s="186"/>
      <c r="R86" s="186"/>
      <c r="S86" s="186"/>
      <c r="T86" s="186" t="s">
        <v>2104</v>
      </c>
      <c r="U86" s="186"/>
      <c r="V86" s="186"/>
      <c r="W86" s="186"/>
      <c r="Y86" t="s">
        <v>1917</v>
      </c>
    </row>
    <row r="87" spans="1:28" ht="18.75" customHeight="1">
      <c r="A87" s="186"/>
      <c r="B87" s="186"/>
      <c r="C87" s="186"/>
      <c r="D87" s="186"/>
      <c r="E87" s="186" t="s">
        <v>59</v>
      </c>
      <c r="F87" s="186" t="s">
        <v>520</v>
      </c>
      <c r="G87" s="186" t="s">
        <v>252</v>
      </c>
      <c r="H87" s="186" t="s">
        <v>243</v>
      </c>
      <c r="I87" s="186"/>
      <c r="J87" s="186">
        <v>145</v>
      </c>
      <c r="K87" s="186" t="s">
        <v>682</v>
      </c>
      <c r="L87" s="186" t="s">
        <v>1918</v>
      </c>
      <c r="M87" s="186" t="s">
        <v>521</v>
      </c>
      <c r="N87" s="186" t="s">
        <v>1925</v>
      </c>
      <c r="O87" s="186" t="s">
        <v>2105</v>
      </c>
      <c r="P87" s="186" t="s">
        <v>2106</v>
      </c>
      <c r="Q87" s="186"/>
      <c r="R87" s="186"/>
      <c r="S87" s="186"/>
      <c r="T87" s="186" t="s">
        <v>1547</v>
      </c>
      <c r="U87" s="186"/>
      <c r="V87" s="186"/>
      <c r="W87" s="186"/>
      <c r="X87">
        <v>29</v>
      </c>
      <c r="Z87" s="129" t="s">
        <v>1920</v>
      </c>
      <c r="AA87" s="30">
        <v>43449</v>
      </c>
      <c r="AB87" t="s">
        <v>1057</v>
      </c>
    </row>
    <row r="88" spans="1:28" ht="18.75" customHeight="1">
      <c r="A88" s="186"/>
      <c r="B88" s="186"/>
      <c r="C88" s="186"/>
      <c r="D88" s="186"/>
      <c r="E88" s="186" t="s">
        <v>59</v>
      </c>
      <c r="F88" s="186" t="s">
        <v>522</v>
      </c>
      <c r="G88" s="186" t="s">
        <v>329</v>
      </c>
      <c r="H88" s="186" t="s">
        <v>243</v>
      </c>
      <c r="I88" s="186"/>
      <c r="J88" s="186">
        <v>146</v>
      </c>
      <c r="K88" s="186" t="s">
        <v>682</v>
      </c>
      <c r="L88" s="186" t="s">
        <v>1918</v>
      </c>
      <c r="M88" s="186" t="s">
        <v>523</v>
      </c>
      <c r="N88" s="186" t="s">
        <v>1921</v>
      </c>
      <c r="O88" s="186" t="s">
        <v>1549</v>
      </c>
      <c r="P88" s="186" t="s">
        <v>2107</v>
      </c>
      <c r="Q88" s="186"/>
      <c r="R88" s="186"/>
      <c r="S88" s="186"/>
      <c r="T88" s="186" t="s">
        <v>1549</v>
      </c>
      <c r="U88" s="186"/>
      <c r="V88" s="186"/>
      <c r="W88" s="186"/>
      <c r="X88">
        <v>30</v>
      </c>
      <c r="Z88" s="129" t="s">
        <v>1920</v>
      </c>
      <c r="AA88" s="30">
        <v>43449</v>
      </c>
      <c r="AB88" t="s">
        <v>1057</v>
      </c>
    </row>
    <row r="89" spans="1:28" ht="18.75" customHeight="1">
      <c r="A89" s="186"/>
      <c r="B89" s="186"/>
      <c r="C89" s="186"/>
      <c r="D89" s="186"/>
      <c r="E89" s="186" t="s">
        <v>55</v>
      </c>
      <c r="F89" s="186" t="s">
        <v>581</v>
      </c>
      <c r="G89" s="186" t="s">
        <v>250</v>
      </c>
      <c r="H89" s="186" t="s">
        <v>243</v>
      </c>
      <c r="I89" s="186"/>
      <c r="J89" s="186">
        <v>47</v>
      </c>
      <c r="K89" s="186" t="s">
        <v>682</v>
      </c>
      <c r="L89" s="186" t="s">
        <v>1918</v>
      </c>
      <c r="M89" s="186" t="s">
        <v>582</v>
      </c>
      <c r="N89" s="186" t="s">
        <v>1709</v>
      </c>
      <c r="O89" s="186" t="s">
        <v>2108</v>
      </c>
      <c r="P89" s="186" t="s">
        <v>2109</v>
      </c>
      <c r="Q89" s="186" t="s">
        <v>2110</v>
      </c>
      <c r="R89" s="186"/>
      <c r="S89" s="186" t="s">
        <v>1201</v>
      </c>
      <c r="T89" s="186" t="s">
        <v>2111</v>
      </c>
      <c r="U89" s="186"/>
      <c r="V89" s="186"/>
      <c r="W89" s="186"/>
      <c r="X89">
        <v>66</v>
      </c>
      <c r="Z89" s="129" t="s">
        <v>1920</v>
      </c>
      <c r="AA89" s="30">
        <v>43449</v>
      </c>
      <c r="AB89" t="s">
        <v>1057</v>
      </c>
    </row>
    <row r="90" spans="1:28" ht="18.75" hidden="1" customHeight="1">
      <c r="A90" s="186"/>
      <c r="B90" s="186"/>
      <c r="C90" s="186"/>
      <c r="D90" s="186"/>
      <c r="E90" s="186" t="s">
        <v>55</v>
      </c>
      <c r="F90" s="186" t="s">
        <v>2112</v>
      </c>
      <c r="G90" s="186" t="s">
        <v>995</v>
      </c>
      <c r="H90" s="186" t="s">
        <v>243</v>
      </c>
      <c r="I90" s="186"/>
      <c r="J90" s="186">
        <v>46</v>
      </c>
      <c r="K90" s="79" t="s">
        <v>680</v>
      </c>
      <c r="L90" s="186"/>
      <c r="M90" s="186"/>
      <c r="N90" s="186"/>
      <c r="O90" s="186"/>
      <c r="P90" s="186"/>
      <c r="Q90" s="186"/>
      <c r="R90" s="186"/>
      <c r="S90" s="186"/>
      <c r="T90" s="186" t="s">
        <v>2113</v>
      </c>
      <c r="U90" s="186"/>
      <c r="V90" s="186"/>
      <c r="W90" s="186"/>
      <c r="Y90" t="s">
        <v>1917</v>
      </c>
    </row>
    <row r="91" spans="1:28" ht="18.75" customHeight="1">
      <c r="A91" s="186"/>
      <c r="B91" s="186"/>
      <c r="C91" s="186"/>
      <c r="D91" s="186"/>
      <c r="E91" s="186" t="s">
        <v>55</v>
      </c>
      <c r="F91" s="186" t="s">
        <v>554</v>
      </c>
      <c r="G91" s="186" t="s">
        <v>247</v>
      </c>
      <c r="H91" s="186" t="s">
        <v>243</v>
      </c>
      <c r="I91" s="186"/>
      <c r="J91" s="186">
        <v>48</v>
      </c>
      <c r="K91" s="186" t="s">
        <v>682</v>
      </c>
      <c r="L91" s="186" t="s">
        <v>1918</v>
      </c>
      <c r="M91" s="186" t="s">
        <v>555</v>
      </c>
      <c r="N91" s="186" t="s">
        <v>1390</v>
      </c>
      <c r="O91" s="186" t="s">
        <v>2114</v>
      </c>
      <c r="P91" s="186" t="s">
        <v>2115</v>
      </c>
      <c r="Q91" s="186"/>
      <c r="R91" s="186"/>
      <c r="S91" s="186" t="s">
        <v>2116</v>
      </c>
      <c r="T91" s="186" t="s">
        <v>2117</v>
      </c>
      <c r="U91" s="186"/>
      <c r="V91" s="186"/>
      <c r="W91" s="186"/>
      <c r="X91">
        <v>51</v>
      </c>
      <c r="Z91" s="129" t="s">
        <v>1920</v>
      </c>
      <c r="AA91" s="30">
        <v>43449</v>
      </c>
      <c r="AB91" t="s">
        <v>1057</v>
      </c>
    </row>
    <row r="92" spans="1:28" ht="18.75" customHeight="1">
      <c r="A92" s="186"/>
      <c r="B92" s="186"/>
      <c r="C92" s="186"/>
      <c r="D92" s="186"/>
      <c r="E92" s="186" t="s">
        <v>55</v>
      </c>
      <c r="F92" s="186" t="s">
        <v>567</v>
      </c>
      <c r="G92" s="186" t="s">
        <v>255</v>
      </c>
      <c r="H92" s="186" t="s">
        <v>243</v>
      </c>
      <c r="I92" s="186"/>
      <c r="J92" s="186">
        <v>49</v>
      </c>
      <c r="K92" s="186" t="s">
        <v>682</v>
      </c>
      <c r="L92" s="186" t="s">
        <v>1918</v>
      </c>
      <c r="M92" s="186" t="s">
        <v>568</v>
      </c>
      <c r="N92" s="186" t="s">
        <v>1925</v>
      </c>
      <c r="O92" s="186" t="s">
        <v>2118</v>
      </c>
      <c r="P92" s="186" t="s">
        <v>2119</v>
      </c>
      <c r="Q92" s="186"/>
      <c r="R92" s="186"/>
      <c r="S92" s="186">
        <v>43532</v>
      </c>
      <c r="T92" s="186" t="s">
        <v>2118</v>
      </c>
      <c r="U92" s="186"/>
      <c r="V92" s="186"/>
      <c r="W92" s="186"/>
      <c r="X92">
        <v>59</v>
      </c>
      <c r="Z92" s="129" t="s">
        <v>1920</v>
      </c>
      <c r="AA92" s="30">
        <v>43449</v>
      </c>
      <c r="AB92" t="s">
        <v>1929</v>
      </c>
    </row>
    <row r="93" spans="1:28" ht="18.75" customHeight="1">
      <c r="A93" s="186"/>
      <c r="B93" s="186"/>
      <c r="C93" s="186"/>
      <c r="D93" s="186"/>
      <c r="E93" s="186" t="s">
        <v>59</v>
      </c>
      <c r="F93" s="186" t="s">
        <v>341</v>
      </c>
      <c r="G93" s="186" t="s">
        <v>247</v>
      </c>
      <c r="H93" s="186" t="s">
        <v>243</v>
      </c>
      <c r="I93" s="186"/>
      <c r="J93" s="186">
        <v>151</v>
      </c>
      <c r="K93" s="186" t="s">
        <v>682</v>
      </c>
      <c r="L93" s="186" t="s">
        <v>1918</v>
      </c>
      <c r="M93" s="186" t="s">
        <v>342</v>
      </c>
      <c r="N93" s="186" t="s">
        <v>1554</v>
      </c>
      <c r="O93" s="186" t="s">
        <v>2120</v>
      </c>
      <c r="P93" s="186" t="s">
        <v>2121</v>
      </c>
      <c r="Q93" s="186"/>
      <c r="R93" s="289" t="s">
        <v>1346</v>
      </c>
      <c r="S93" s="186" t="s">
        <v>1252</v>
      </c>
      <c r="T93" s="186" t="s">
        <v>2122</v>
      </c>
      <c r="U93" s="186"/>
      <c r="V93" s="186"/>
      <c r="W93" s="186"/>
      <c r="X93">
        <v>19</v>
      </c>
      <c r="Z93" s="129" t="s">
        <v>1920</v>
      </c>
      <c r="AA93" s="30">
        <v>43449</v>
      </c>
      <c r="AB93" t="s">
        <v>1057</v>
      </c>
    </row>
    <row r="94" spans="1:28" ht="18.75" customHeight="1">
      <c r="A94" s="186"/>
      <c r="B94" s="186"/>
      <c r="C94" s="186"/>
      <c r="D94" s="186"/>
      <c r="E94" s="186" t="s">
        <v>59</v>
      </c>
      <c r="F94" s="186" t="s">
        <v>343</v>
      </c>
      <c r="G94" s="186" t="s">
        <v>247</v>
      </c>
      <c r="H94" s="186" t="s">
        <v>243</v>
      </c>
      <c r="I94" s="186"/>
      <c r="J94" s="186">
        <v>152</v>
      </c>
      <c r="K94" s="186" t="s">
        <v>682</v>
      </c>
      <c r="L94" s="186" t="s">
        <v>1918</v>
      </c>
      <c r="M94" s="186" t="s">
        <v>344</v>
      </c>
      <c r="N94" s="186" t="s">
        <v>1554</v>
      </c>
      <c r="O94" s="186" t="s">
        <v>2123</v>
      </c>
      <c r="P94" s="186" t="s">
        <v>2124</v>
      </c>
      <c r="Q94" s="186"/>
      <c r="R94" s="289" t="s">
        <v>1346</v>
      </c>
      <c r="S94" s="186" t="s">
        <v>1252</v>
      </c>
      <c r="T94" s="186" t="s">
        <v>1560</v>
      </c>
      <c r="U94" s="186"/>
      <c r="V94" s="186"/>
      <c r="W94" s="186"/>
      <c r="X94">
        <v>20</v>
      </c>
      <c r="Z94" s="129" t="s">
        <v>1920</v>
      </c>
      <c r="AA94" s="30">
        <v>43449</v>
      </c>
      <c r="AB94" t="s">
        <v>1057</v>
      </c>
    </row>
    <row r="95" spans="1:28" ht="18.75" customHeight="1">
      <c r="A95" s="186"/>
      <c r="B95" s="186"/>
      <c r="C95" s="186"/>
      <c r="D95" s="186"/>
      <c r="E95" s="186" t="s">
        <v>59</v>
      </c>
      <c r="F95" s="186" t="s">
        <v>363</v>
      </c>
      <c r="G95" s="186" t="s">
        <v>364</v>
      </c>
      <c r="H95" s="186" t="s">
        <v>243</v>
      </c>
      <c r="I95" s="186"/>
      <c r="J95" s="186">
        <v>150</v>
      </c>
      <c r="K95" s="186" t="s">
        <v>682</v>
      </c>
      <c r="L95" s="186" t="s">
        <v>1918</v>
      </c>
      <c r="M95" s="186" t="s">
        <v>519</v>
      </c>
      <c r="N95" s="186" t="s">
        <v>1921</v>
      </c>
      <c r="O95" s="186" t="s">
        <v>2125</v>
      </c>
      <c r="P95" s="186" t="s">
        <v>2126</v>
      </c>
      <c r="Q95" s="186"/>
      <c r="R95" s="289" t="s">
        <v>1346</v>
      </c>
      <c r="S95" s="186">
        <v>2.17</v>
      </c>
      <c r="T95" s="186" t="s">
        <v>1564</v>
      </c>
      <c r="U95" s="186"/>
      <c r="V95" s="186"/>
      <c r="W95" s="186"/>
      <c r="X95">
        <v>27</v>
      </c>
      <c r="Z95" s="129" t="s">
        <v>1920</v>
      </c>
      <c r="AA95" s="30">
        <v>43449</v>
      </c>
      <c r="AB95" t="s">
        <v>1057</v>
      </c>
    </row>
    <row r="96" spans="1:28" ht="18.75" customHeight="1">
      <c r="A96" s="186"/>
      <c r="B96" s="186"/>
      <c r="C96" s="186" t="s">
        <v>1525</v>
      </c>
      <c r="D96" s="186">
        <v>1</v>
      </c>
      <c r="E96" s="186" t="s">
        <v>59</v>
      </c>
      <c r="F96" s="186" t="s">
        <v>318</v>
      </c>
      <c r="G96" s="186" t="s">
        <v>264</v>
      </c>
      <c r="H96" s="186" t="s">
        <v>243</v>
      </c>
      <c r="I96" s="186"/>
      <c r="J96" s="186">
        <v>158</v>
      </c>
      <c r="K96" s="186" t="s">
        <v>682</v>
      </c>
      <c r="L96" s="186" t="s">
        <v>1918</v>
      </c>
      <c r="M96" s="186" t="s">
        <v>511</v>
      </c>
      <c r="N96" s="186" t="s">
        <v>1604</v>
      </c>
      <c r="O96" s="186" t="s">
        <v>1525</v>
      </c>
      <c r="P96" s="186" t="s">
        <v>2127</v>
      </c>
      <c r="Q96" s="186" t="s">
        <v>2128</v>
      </c>
      <c r="R96" s="289" t="s">
        <v>1346</v>
      </c>
      <c r="S96" s="186">
        <v>261941306</v>
      </c>
      <c r="T96" s="186" t="s">
        <v>318</v>
      </c>
      <c r="U96" s="186"/>
      <c r="V96" s="186"/>
      <c r="W96" s="186"/>
      <c r="X96">
        <v>14</v>
      </c>
      <c r="Z96" s="129" t="s">
        <v>1920</v>
      </c>
      <c r="AA96" s="30">
        <v>43449</v>
      </c>
      <c r="AB96" t="s">
        <v>1057</v>
      </c>
    </row>
    <row r="97" spans="1:28" ht="18.75" customHeight="1">
      <c r="A97" s="186"/>
      <c r="B97" s="186"/>
      <c r="C97" s="186"/>
      <c r="D97" s="186"/>
      <c r="E97" s="186" t="s">
        <v>59</v>
      </c>
      <c r="F97" s="186" t="s">
        <v>499</v>
      </c>
      <c r="G97" s="186" t="s">
        <v>242</v>
      </c>
      <c r="H97" s="186" t="s">
        <v>243</v>
      </c>
      <c r="I97" s="186"/>
      <c r="J97" s="186">
        <v>51</v>
      </c>
      <c r="K97" s="186" t="s">
        <v>682</v>
      </c>
      <c r="L97" s="186" t="s">
        <v>1918</v>
      </c>
      <c r="M97" s="186" t="s">
        <v>500</v>
      </c>
      <c r="N97" s="186" t="s">
        <v>1390</v>
      </c>
      <c r="O97" s="186" t="s">
        <v>2129</v>
      </c>
      <c r="P97" s="186" t="s">
        <v>2130</v>
      </c>
      <c r="Q97" s="186"/>
      <c r="R97" s="186"/>
      <c r="S97" s="186" t="s">
        <v>2131</v>
      </c>
      <c r="T97" s="186" t="s">
        <v>2132</v>
      </c>
      <c r="U97" s="186"/>
      <c r="V97" s="186"/>
      <c r="W97" s="186"/>
      <c r="X97">
        <v>4</v>
      </c>
      <c r="Z97" s="129" t="s">
        <v>1920</v>
      </c>
      <c r="AA97" s="30">
        <v>43449</v>
      </c>
      <c r="AB97" t="s">
        <v>1057</v>
      </c>
    </row>
    <row r="98" spans="1:28" ht="18.75" customHeight="1">
      <c r="A98" s="186"/>
      <c r="B98" s="186"/>
      <c r="C98" s="186"/>
      <c r="D98" s="186"/>
      <c r="E98" s="186" t="s">
        <v>59</v>
      </c>
      <c r="F98" s="186" t="s">
        <v>501</v>
      </c>
      <c r="G98" s="186" t="s">
        <v>346</v>
      </c>
      <c r="H98" s="186" t="s">
        <v>243</v>
      </c>
      <c r="I98" s="186"/>
      <c r="J98" s="186">
        <v>52</v>
      </c>
      <c r="K98" s="186" t="s">
        <v>682</v>
      </c>
      <c r="L98" s="186" t="s">
        <v>1918</v>
      </c>
      <c r="M98" s="186" t="s">
        <v>502</v>
      </c>
      <c r="N98" s="186" t="s">
        <v>1390</v>
      </c>
      <c r="O98" s="186" t="s">
        <v>2133</v>
      </c>
      <c r="P98" s="186" t="s">
        <v>2134</v>
      </c>
      <c r="Q98" s="186"/>
      <c r="R98" s="186"/>
      <c r="S98" s="186" t="s">
        <v>2135</v>
      </c>
      <c r="T98" s="186" t="s">
        <v>2136</v>
      </c>
      <c r="U98" s="186"/>
      <c r="V98" s="186"/>
      <c r="W98" s="186"/>
      <c r="X98">
        <v>5</v>
      </c>
      <c r="Z98" s="129" t="s">
        <v>1920</v>
      </c>
      <c r="AA98" s="30">
        <v>43449</v>
      </c>
      <c r="AB98" t="s">
        <v>1057</v>
      </c>
    </row>
    <row r="99" spans="1:28" ht="18.75" customHeight="1">
      <c r="A99" s="186"/>
      <c r="B99" s="186"/>
      <c r="C99" s="186"/>
      <c r="D99" s="186"/>
      <c r="E99" s="186" t="s">
        <v>55</v>
      </c>
      <c r="F99" s="186" t="s">
        <v>675</v>
      </c>
      <c r="G99" s="186" t="s">
        <v>346</v>
      </c>
      <c r="H99" s="186" t="s">
        <v>243</v>
      </c>
      <c r="I99" s="186"/>
      <c r="J99" s="186">
        <v>53</v>
      </c>
      <c r="K99" s="186" t="s">
        <v>682</v>
      </c>
      <c r="L99" s="186" t="s">
        <v>1918</v>
      </c>
      <c r="M99" s="186" t="s">
        <v>504</v>
      </c>
      <c r="N99" s="186" t="s">
        <v>1390</v>
      </c>
      <c r="O99" s="186"/>
      <c r="P99" s="186"/>
      <c r="Q99" s="186">
        <v>0</v>
      </c>
      <c r="R99" s="186"/>
      <c r="S99" s="186" t="s">
        <v>2137</v>
      </c>
      <c r="T99" s="186" t="s">
        <v>2138</v>
      </c>
      <c r="U99" s="186"/>
      <c r="V99" s="186"/>
      <c r="W99" s="186"/>
      <c r="X99">
        <v>6</v>
      </c>
      <c r="Z99" s="129" t="s">
        <v>2139</v>
      </c>
      <c r="AA99" s="30">
        <v>43546</v>
      </c>
      <c r="AB99" t="s">
        <v>2140</v>
      </c>
    </row>
    <row r="100" spans="1:28" ht="18.75" hidden="1" customHeight="1">
      <c r="A100" s="186"/>
      <c r="B100" s="186"/>
      <c r="C100" s="186"/>
      <c r="D100" s="186"/>
      <c r="E100" s="186" t="s">
        <v>55</v>
      </c>
      <c r="F100" s="186" t="s">
        <v>2141</v>
      </c>
      <c r="G100" s="186" t="s">
        <v>249</v>
      </c>
      <c r="H100" s="186" t="s">
        <v>243</v>
      </c>
      <c r="I100" s="186"/>
      <c r="J100" s="72">
        <v>192</v>
      </c>
      <c r="K100" s="79" t="s">
        <v>680</v>
      </c>
      <c r="L100" s="186"/>
      <c r="M100" s="186"/>
      <c r="N100" s="186"/>
      <c r="O100" s="186"/>
      <c r="P100" s="186"/>
      <c r="Q100" s="186">
        <v>0</v>
      </c>
      <c r="R100" s="186"/>
      <c r="S100" s="186"/>
      <c r="T100" s="90" t="s">
        <v>2142</v>
      </c>
      <c r="U100" s="90"/>
      <c r="V100" s="90"/>
      <c r="W100" s="90"/>
      <c r="Y100" t="s">
        <v>1917</v>
      </c>
    </row>
    <row r="101" spans="1:28" ht="18.75" customHeight="1">
      <c r="A101" s="480"/>
      <c r="B101" s="480"/>
      <c r="C101" s="480"/>
      <c r="D101" s="480"/>
      <c r="E101" s="186" t="s">
        <v>59</v>
      </c>
      <c r="F101" s="186" t="s">
        <v>476</v>
      </c>
      <c r="G101" s="186" t="s">
        <v>242</v>
      </c>
      <c r="H101" s="186" t="s">
        <v>243</v>
      </c>
      <c r="I101" s="186"/>
      <c r="J101" s="186">
        <v>168</v>
      </c>
      <c r="K101" s="79" t="s">
        <v>682</v>
      </c>
      <c r="L101" s="186" t="s">
        <v>1918</v>
      </c>
      <c r="M101" s="186" t="s">
        <v>2143</v>
      </c>
      <c r="N101" s="186"/>
      <c r="O101" s="186"/>
      <c r="P101" s="186"/>
      <c r="Q101" s="186"/>
      <c r="R101" s="186"/>
      <c r="S101" s="186" t="s">
        <v>2144</v>
      </c>
      <c r="T101" s="186" t="s">
        <v>2145</v>
      </c>
      <c r="U101" s="186"/>
      <c r="V101" s="186"/>
      <c r="W101" s="186"/>
      <c r="Y101" t="s">
        <v>1612</v>
      </c>
    </row>
    <row r="102" spans="1:28" ht="18.75" hidden="1" customHeight="1">
      <c r="A102" s="186"/>
      <c r="B102" s="186"/>
      <c r="C102" s="186"/>
      <c r="D102" s="186"/>
      <c r="E102" s="186" t="s">
        <v>55</v>
      </c>
      <c r="F102" s="186" t="s">
        <v>2146</v>
      </c>
      <c r="G102" s="186" t="s">
        <v>329</v>
      </c>
      <c r="H102" s="186" t="s">
        <v>243</v>
      </c>
      <c r="I102" s="186"/>
      <c r="J102" s="186">
        <v>169</v>
      </c>
      <c r="K102" s="79" t="s">
        <v>680</v>
      </c>
      <c r="L102" s="186"/>
      <c r="M102" s="186"/>
      <c r="N102" s="186"/>
      <c r="O102" s="186"/>
      <c r="P102" s="186"/>
      <c r="Q102" s="186"/>
      <c r="R102" s="186"/>
      <c r="S102" s="186"/>
      <c r="T102" s="186" t="s">
        <v>2147</v>
      </c>
      <c r="U102" s="186"/>
      <c r="V102" s="186"/>
      <c r="W102" s="186"/>
      <c r="Y102" t="s">
        <v>1917</v>
      </c>
    </row>
    <row r="103" spans="1:28" ht="18.75" hidden="1" customHeight="1">
      <c r="A103" s="186"/>
      <c r="B103" s="186"/>
      <c r="C103" s="186"/>
      <c r="D103" s="186"/>
      <c r="E103" s="186" t="s">
        <v>55</v>
      </c>
      <c r="F103" s="186" t="s">
        <v>2148</v>
      </c>
      <c r="G103" s="186" t="s">
        <v>329</v>
      </c>
      <c r="H103" s="186" t="s">
        <v>243</v>
      </c>
      <c r="I103" s="186"/>
      <c r="J103" s="186">
        <v>54</v>
      </c>
      <c r="K103" s="79" t="s">
        <v>680</v>
      </c>
      <c r="L103" s="186"/>
      <c r="M103" s="186"/>
      <c r="N103" s="186"/>
      <c r="O103" s="186"/>
      <c r="P103" s="186"/>
      <c r="Q103" s="186"/>
      <c r="R103" s="186"/>
      <c r="S103" s="186"/>
      <c r="T103" s="186" t="s">
        <v>2149</v>
      </c>
      <c r="U103" s="186"/>
      <c r="V103" s="186"/>
      <c r="W103" s="186"/>
      <c r="Y103" t="s">
        <v>1917</v>
      </c>
    </row>
    <row r="104" spans="1:28" ht="18.75" customHeight="1">
      <c r="A104" s="186"/>
      <c r="B104" s="186"/>
      <c r="C104" s="186"/>
      <c r="D104" s="186"/>
      <c r="E104" s="186" t="s">
        <v>59</v>
      </c>
      <c r="F104" s="186" t="s">
        <v>550</v>
      </c>
      <c r="G104" s="186" t="s">
        <v>432</v>
      </c>
      <c r="H104" s="186" t="s">
        <v>243</v>
      </c>
      <c r="I104" s="186"/>
      <c r="J104" s="186">
        <v>55</v>
      </c>
      <c r="K104" s="186" t="s">
        <v>682</v>
      </c>
      <c r="L104" s="186" t="s">
        <v>1918</v>
      </c>
      <c r="M104" s="186" t="s">
        <v>551</v>
      </c>
      <c r="N104" s="186" t="s">
        <v>1593</v>
      </c>
      <c r="O104" s="186" t="s">
        <v>2150</v>
      </c>
      <c r="P104" s="186" t="s">
        <v>2151</v>
      </c>
      <c r="Q104" s="186"/>
      <c r="R104" s="186"/>
      <c r="S104" s="186" t="s">
        <v>680</v>
      </c>
      <c r="T104" s="186" t="s">
        <v>2152</v>
      </c>
      <c r="U104" s="186"/>
      <c r="V104" s="186"/>
      <c r="W104" s="186"/>
      <c r="X104">
        <v>48</v>
      </c>
      <c r="Z104" s="129" t="s">
        <v>1920</v>
      </c>
      <c r="AA104" s="30">
        <v>43449</v>
      </c>
      <c r="AB104" t="s">
        <v>1057</v>
      </c>
    </row>
    <row r="105" spans="1:28" ht="18.75" customHeight="1">
      <c r="A105" s="186"/>
      <c r="B105" s="186"/>
      <c r="C105" s="186"/>
      <c r="D105" s="186"/>
      <c r="E105" s="186" t="s">
        <v>55</v>
      </c>
      <c r="F105" s="186" t="s">
        <v>579</v>
      </c>
      <c r="G105" s="186" t="s">
        <v>329</v>
      </c>
      <c r="H105" s="186" t="s">
        <v>243</v>
      </c>
      <c r="I105" s="186"/>
      <c r="J105" s="72">
        <v>177</v>
      </c>
      <c r="K105" s="186" t="s">
        <v>682</v>
      </c>
      <c r="L105" s="186" t="s">
        <v>1918</v>
      </c>
      <c r="M105" s="186" t="s">
        <v>580</v>
      </c>
      <c r="N105" s="186" t="s">
        <v>1921</v>
      </c>
      <c r="O105" s="186" t="s">
        <v>2153</v>
      </c>
      <c r="P105" s="186" t="s">
        <v>2154</v>
      </c>
      <c r="Q105" s="186"/>
      <c r="R105" s="186"/>
      <c r="S105" s="186"/>
      <c r="T105" s="90" t="s">
        <v>2155</v>
      </c>
      <c r="U105" s="90"/>
      <c r="V105" s="90"/>
      <c r="W105" s="90"/>
      <c r="X105">
        <v>65</v>
      </c>
      <c r="Z105" s="129" t="s">
        <v>1920</v>
      </c>
      <c r="AA105" s="30">
        <v>43449</v>
      </c>
      <c r="AB105" t="s">
        <v>1057</v>
      </c>
    </row>
    <row r="106" spans="1:28" ht="18.75" customHeight="1">
      <c r="A106" s="186"/>
      <c r="B106" s="186"/>
      <c r="C106" s="186"/>
      <c r="D106" s="186"/>
      <c r="E106" s="186" t="s">
        <v>61</v>
      </c>
      <c r="F106" s="186" t="s">
        <v>126</v>
      </c>
      <c r="G106" s="186" t="s">
        <v>242</v>
      </c>
      <c r="H106" s="186" t="s">
        <v>243</v>
      </c>
      <c r="I106" s="186"/>
      <c r="J106" s="186">
        <v>155</v>
      </c>
      <c r="K106" s="186" t="s">
        <v>682</v>
      </c>
      <c r="L106" s="186" t="s">
        <v>1918</v>
      </c>
      <c r="M106" s="186" t="s">
        <v>314</v>
      </c>
      <c r="N106" s="186" t="s">
        <v>1580</v>
      </c>
      <c r="O106" s="186" t="s">
        <v>2156</v>
      </c>
      <c r="P106" s="186" t="s">
        <v>2157</v>
      </c>
      <c r="Q106" s="186"/>
      <c r="R106" s="186" t="s">
        <v>2158</v>
      </c>
      <c r="S106" s="186" t="s">
        <v>2159</v>
      </c>
      <c r="T106" s="186" t="s">
        <v>1584</v>
      </c>
      <c r="U106" s="186"/>
      <c r="V106" s="186"/>
      <c r="W106" s="186"/>
      <c r="X106">
        <v>11</v>
      </c>
      <c r="Z106" s="129" t="s">
        <v>1920</v>
      </c>
      <c r="AA106" s="30">
        <v>43449</v>
      </c>
      <c r="AB106" t="s">
        <v>1057</v>
      </c>
    </row>
    <row r="107" spans="1:28" ht="18.75" customHeight="1">
      <c r="A107" s="186"/>
      <c r="B107" s="186"/>
      <c r="C107" s="186"/>
      <c r="D107" s="186"/>
      <c r="E107" s="186" t="s">
        <v>55</v>
      </c>
      <c r="F107" s="186" t="s">
        <v>563</v>
      </c>
      <c r="G107" s="186" t="s">
        <v>346</v>
      </c>
      <c r="H107" s="186" t="s">
        <v>243</v>
      </c>
      <c r="I107" s="186"/>
      <c r="J107" s="186">
        <v>56</v>
      </c>
      <c r="K107" s="186" t="s">
        <v>682</v>
      </c>
      <c r="L107" s="186" t="s">
        <v>1918</v>
      </c>
      <c r="M107" s="75" t="s">
        <v>2160</v>
      </c>
      <c r="N107" s="186" t="s">
        <v>1925</v>
      </c>
      <c r="O107" s="186" t="s">
        <v>2161</v>
      </c>
      <c r="P107" s="186" t="s">
        <v>2162</v>
      </c>
      <c r="Q107" s="186" t="s">
        <v>2163</v>
      </c>
      <c r="R107" s="186"/>
      <c r="S107" s="90" t="s">
        <v>2164</v>
      </c>
      <c r="T107" s="186" t="s">
        <v>2165</v>
      </c>
      <c r="U107" s="186"/>
      <c r="V107" s="186"/>
      <c r="W107" s="186"/>
      <c r="X107">
        <v>57</v>
      </c>
      <c r="Z107" s="129" t="s">
        <v>1521</v>
      </c>
      <c r="AA107" s="30">
        <v>43173</v>
      </c>
      <c r="AB107" t="s">
        <v>1985</v>
      </c>
    </row>
    <row r="108" spans="1:28" ht="18.75" hidden="1" customHeight="1">
      <c r="A108" s="186"/>
      <c r="B108" s="186"/>
      <c r="C108" s="186"/>
      <c r="D108" s="186"/>
      <c r="E108" s="186" t="s">
        <v>55</v>
      </c>
      <c r="F108" s="186" t="s">
        <v>2166</v>
      </c>
      <c r="G108" s="186" t="s">
        <v>346</v>
      </c>
      <c r="H108" s="186" t="s">
        <v>243</v>
      </c>
      <c r="I108" s="186"/>
      <c r="J108" s="186">
        <v>57</v>
      </c>
      <c r="K108" s="79" t="s">
        <v>680</v>
      </c>
      <c r="L108" s="186"/>
      <c r="M108" s="186"/>
      <c r="N108" s="186"/>
      <c r="O108" s="186"/>
      <c r="P108" s="186"/>
      <c r="Q108" s="186"/>
      <c r="R108" s="186"/>
      <c r="S108" s="186"/>
      <c r="T108" s="186" t="s">
        <v>2167</v>
      </c>
      <c r="U108" s="186"/>
      <c r="V108" s="186"/>
      <c r="W108" s="186"/>
      <c r="Y108" t="s">
        <v>1917</v>
      </c>
    </row>
    <row r="109" spans="1:28" ht="18.75" customHeight="1">
      <c r="A109" s="480"/>
      <c r="B109" s="480"/>
      <c r="C109" s="480"/>
      <c r="D109" s="480"/>
      <c r="E109" s="186" t="s">
        <v>55</v>
      </c>
      <c r="F109" s="186" t="s">
        <v>2168</v>
      </c>
      <c r="G109" s="186" t="s">
        <v>346</v>
      </c>
      <c r="H109" s="186" t="s">
        <v>243</v>
      </c>
      <c r="I109" s="186"/>
      <c r="J109" s="186">
        <v>58</v>
      </c>
      <c r="K109" s="79" t="s">
        <v>682</v>
      </c>
      <c r="L109" s="186" t="s">
        <v>1918</v>
      </c>
      <c r="M109" s="186" t="s">
        <v>2169</v>
      </c>
      <c r="N109" s="186"/>
      <c r="O109" s="186"/>
      <c r="P109" s="186"/>
      <c r="Q109" s="186"/>
      <c r="R109" s="186"/>
      <c r="S109" s="186"/>
      <c r="T109" s="186" t="s">
        <v>2170</v>
      </c>
      <c r="U109" s="186"/>
      <c r="V109" s="186"/>
      <c r="W109" s="186"/>
      <c r="Y109" t="s">
        <v>1917</v>
      </c>
    </row>
    <row r="110" spans="1:28" ht="18.75" customHeight="1">
      <c r="A110" s="186"/>
      <c r="B110" s="186"/>
      <c r="C110" s="186"/>
      <c r="D110" s="186"/>
      <c r="E110" s="186" t="s">
        <v>59</v>
      </c>
      <c r="F110" s="186" t="s">
        <v>135</v>
      </c>
      <c r="G110" s="186" t="s">
        <v>346</v>
      </c>
      <c r="H110" s="186" t="s">
        <v>243</v>
      </c>
      <c r="I110" s="186"/>
      <c r="J110" s="186">
        <v>59</v>
      </c>
      <c r="K110" s="186" t="s">
        <v>682</v>
      </c>
      <c r="L110" s="186" t="s">
        <v>1918</v>
      </c>
      <c r="M110" s="186" t="s">
        <v>548</v>
      </c>
      <c r="N110" s="186" t="s">
        <v>1709</v>
      </c>
      <c r="O110" s="186" t="s">
        <v>2171</v>
      </c>
      <c r="P110" s="186"/>
      <c r="Q110" s="186"/>
      <c r="R110" s="186"/>
      <c r="S110" s="186" t="s">
        <v>2172</v>
      </c>
      <c r="T110" s="186" t="s">
        <v>2173</v>
      </c>
      <c r="U110" s="186"/>
      <c r="V110" s="186"/>
      <c r="W110" s="186"/>
      <c r="X110">
        <v>46</v>
      </c>
      <c r="Z110" s="129" t="s">
        <v>1920</v>
      </c>
      <c r="AA110" s="30">
        <v>43449</v>
      </c>
      <c r="AB110" t="s">
        <v>1057</v>
      </c>
    </row>
    <row r="111" spans="1:28" ht="18.75" customHeight="1">
      <c r="A111" s="186"/>
      <c r="B111" s="186"/>
      <c r="C111" s="186"/>
      <c r="D111" s="186"/>
      <c r="E111" s="186" t="s">
        <v>61</v>
      </c>
      <c r="F111" s="186" t="s">
        <v>136</v>
      </c>
      <c r="G111" s="186" t="s">
        <v>255</v>
      </c>
      <c r="H111" s="186" t="s">
        <v>243</v>
      </c>
      <c r="I111" s="186"/>
      <c r="J111" s="186">
        <v>60</v>
      </c>
      <c r="K111" s="186" t="s">
        <v>682</v>
      </c>
      <c r="L111" s="186" t="s">
        <v>1918</v>
      </c>
      <c r="M111" s="186" t="s">
        <v>562</v>
      </c>
      <c r="N111" s="186" t="s">
        <v>1925</v>
      </c>
      <c r="O111" s="186" t="s">
        <v>2174</v>
      </c>
      <c r="P111" s="186" t="s">
        <v>2175</v>
      </c>
      <c r="Q111" s="186"/>
      <c r="R111" s="186"/>
      <c r="S111" s="186">
        <v>43532</v>
      </c>
      <c r="T111" s="186" t="s">
        <v>2176</v>
      </c>
      <c r="U111" s="186"/>
      <c r="V111" s="186"/>
      <c r="W111" s="186"/>
      <c r="X111">
        <v>56</v>
      </c>
      <c r="Z111" s="129" t="s">
        <v>1920</v>
      </c>
      <c r="AA111" s="30">
        <v>43449</v>
      </c>
      <c r="AB111" t="s">
        <v>1057</v>
      </c>
    </row>
    <row r="112" spans="1:28" ht="18.75" customHeight="1">
      <c r="A112" s="186"/>
      <c r="B112" s="186"/>
      <c r="C112" s="186"/>
      <c r="D112" s="186"/>
      <c r="E112" s="186" t="s">
        <v>59</v>
      </c>
      <c r="F112" s="186" t="s">
        <v>149</v>
      </c>
      <c r="G112" s="186" t="s">
        <v>242</v>
      </c>
      <c r="H112" s="186" t="s">
        <v>243</v>
      </c>
      <c r="I112" s="186"/>
      <c r="J112" s="186">
        <v>139</v>
      </c>
      <c r="K112" s="186" t="s">
        <v>682</v>
      </c>
      <c r="L112" s="186" t="s">
        <v>1918</v>
      </c>
      <c r="M112" s="186" t="s">
        <v>549</v>
      </c>
      <c r="N112" s="186" t="s">
        <v>1390</v>
      </c>
      <c r="O112" s="186" t="s">
        <v>2177</v>
      </c>
      <c r="P112" s="186"/>
      <c r="Q112" s="186"/>
      <c r="R112" s="186"/>
      <c r="S112" s="186" t="s">
        <v>2178</v>
      </c>
      <c r="T112" s="186" t="s">
        <v>2179</v>
      </c>
      <c r="U112" s="186"/>
      <c r="V112" s="186"/>
      <c r="W112" s="186"/>
      <c r="X112">
        <v>47</v>
      </c>
      <c r="Z112" s="129" t="s">
        <v>1920</v>
      </c>
      <c r="AA112" s="30">
        <v>43449</v>
      </c>
      <c r="AB112" t="s">
        <v>1057</v>
      </c>
    </row>
    <row r="113" spans="1:28" ht="18.75" customHeight="1">
      <c r="A113" s="186"/>
      <c r="B113" s="186"/>
      <c r="C113" s="186"/>
      <c r="D113" s="186"/>
      <c r="E113" s="186" t="s">
        <v>55</v>
      </c>
      <c r="F113" s="186" t="s">
        <v>544</v>
      </c>
      <c r="G113" s="186" t="s">
        <v>346</v>
      </c>
      <c r="H113" s="186" t="s">
        <v>243</v>
      </c>
      <c r="I113" s="186"/>
      <c r="J113" s="72">
        <v>204</v>
      </c>
      <c r="K113" s="186" t="s">
        <v>682</v>
      </c>
      <c r="L113" s="186" t="s">
        <v>1918</v>
      </c>
      <c r="M113" s="186" t="s">
        <v>545</v>
      </c>
      <c r="N113" s="186" t="s">
        <v>1390</v>
      </c>
      <c r="O113" s="186" t="s">
        <v>2180</v>
      </c>
      <c r="P113" s="186" t="s">
        <v>2181</v>
      </c>
      <c r="Q113" s="186"/>
      <c r="R113" s="186"/>
      <c r="S113" s="186" t="s">
        <v>2182</v>
      </c>
      <c r="T113" s="78" t="s">
        <v>2183</v>
      </c>
      <c r="U113" s="78"/>
      <c r="V113" s="78"/>
      <c r="W113" s="78"/>
      <c r="X113">
        <v>44</v>
      </c>
      <c r="Z113" s="129" t="s">
        <v>1920</v>
      </c>
      <c r="AA113" s="30">
        <v>43449</v>
      </c>
      <c r="AB113" t="s">
        <v>1057</v>
      </c>
    </row>
    <row r="114" spans="1:28" ht="18.75" customHeight="1">
      <c r="A114" s="186"/>
      <c r="B114" s="186"/>
      <c r="C114" s="186" t="s">
        <v>226</v>
      </c>
      <c r="D114" s="186">
        <v>1</v>
      </c>
      <c r="E114" s="186" t="s">
        <v>61</v>
      </c>
      <c r="F114" s="186" t="s">
        <v>137</v>
      </c>
      <c r="G114" s="186" t="s">
        <v>346</v>
      </c>
      <c r="H114" s="186" t="s">
        <v>243</v>
      </c>
      <c r="I114" s="186"/>
      <c r="J114" s="186">
        <v>61</v>
      </c>
      <c r="K114" s="186" t="s">
        <v>682</v>
      </c>
      <c r="L114" s="186" t="s">
        <v>1918</v>
      </c>
      <c r="M114" s="186" t="s">
        <v>543</v>
      </c>
      <c r="N114" s="186" t="s">
        <v>1663</v>
      </c>
      <c r="O114" s="186" t="s">
        <v>2184</v>
      </c>
      <c r="P114" s="186" t="s">
        <v>2185</v>
      </c>
      <c r="Q114" s="186"/>
      <c r="R114" s="186"/>
      <c r="S114" s="186" t="s">
        <v>2186</v>
      </c>
      <c r="T114" s="186" t="s">
        <v>2187</v>
      </c>
      <c r="U114" s="186"/>
      <c r="V114" s="186"/>
      <c r="W114" s="186"/>
      <c r="X114">
        <v>43</v>
      </c>
      <c r="Z114" s="129" t="s">
        <v>1920</v>
      </c>
      <c r="AA114" s="30">
        <v>43449</v>
      </c>
      <c r="AB114" t="s">
        <v>1057</v>
      </c>
    </row>
    <row r="115" spans="1:28" ht="18.75" customHeight="1">
      <c r="A115" s="186"/>
      <c r="B115" s="186"/>
      <c r="C115" s="186"/>
      <c r="D115" s="186"/>
      <c r="E115" s="186" t="s">
        <v>55</v>
      </c>
      <c r="F115" s="186" t="s">
        <v>575</v>
      </c>
      <c r="G115" s="186" t="s">
        <v>255</v>
      </c>
      <c r="H115" s="186" t="s">
        <v>243</v>
      </c>
      <c r="I115" s="186"/>
      <c r="J115" s="72">
        <v>187</v>
      </c>
      <c r="K115" s="186" t="s">
        <v>682</v>
      </c>
      <c r="L115" s="186" t="s">
        <v>1918</v>
      </c>
      <c r="M115" s="186" t="s">
        <v>576</v>
      </c>
      <c r="N115" s="186" t="s">
        <v>1925</v>
      </c>
      <c r="O115" s="186" t="s">
        <v>2188</v>
      </c>
      <c r="P115" s="186" t="s">
        <v>2189</v>
      </c>
      <c r="Q115" s="186"/>
      <c r="R115" s="186"/>
      <c r="S115" s="186"/>
      <c r="T115" s="90" t="s">
        <v>2190</v>
      </c>
      <c r="U115" s="90"/>
      <c r="V115" s="90"/>
      <c r="W115" s="90"/>
      <c r="X115">
        <v>63</v>
      </c>
      <c r="Z115" s="129" t="s">
        <v>1920</v>
      </c>
      <c r="AA115" s="30">
        <v>43449</v>
      </c>
      <c r="AB115" t="s">
        <v>1057</v>
      </c>
    </row>
    <row r="116" spans="1:28" ht="18.75" customHeight="1">
      <c r="A116" s="186"/>
      <c r="B116" s="186"/>
      <c r="C116" s="186"/>
      <c r="D116" s="186"/>
      <c r="E116" s="186" t="s">
        <v>59</v>
      </c>
      <c r="F116" s="186" t="s">
        <v>569</v>
      </c>
      <c r="G116" s="186" t="s">
        <v>255</v>
      </c>
      <c r="H116" s="186" t="s">
        <v>243</v>
      </c>
      <c r="I116" s="186"/>
      <c r="J116" s="186">
        <v>62</v>
      </c>
      <c r="K116" s="186" t="s">
        <v>682</v>
      </c>
      <c r="L116" s="186" t="s">
        <v>1918</v>
      </c>
      <c r="M116" s="186" t="s">
        <v>570</v>
      </c>
      <c r="N116" s="186" t="s">
        <v>1925</v>
      </c>
      <c r="O116" s="186" t="s">
        <v>2191</v>
      </c>
      <c r="P116" s="186" t="s">
        <v>2119</v>
      </c>
      <c r="Q116" s="186"/>
      <c r="R116" s="186"/>
      <c r="S116" s="186">
        <v>43532</v>
      </c>
      <c r="T116" s="186" t="s">
        <v>2192</v>
      </c>
      <c r="U116" s="186"/>
      <c r="V116" s="186"/>
      <c r="W116" s="186"/>
      <c r="X116">
        <v>60</v>
      </c>
      <c r="Z116" s="129" t="s">
        <v>1920</v>
      </c>
      <c r="AA116" s="30">
        <v>43449</v>
      </c>
      <c r="AB116" t="s">
        <v>1057</v>
      </c>
    </row>
    <row r="117" spans="1:28" ht="18.75" customHeight="1">
      <c r="A117" s="186"/>
      <c r="B117" s="186"/>
      <c r="C117" s="186"/>
      <c r="D117" s="186"/>
      <c r="E117" s="186" t="s">
        <v>59</v>
      </c>
      <c r="F117" s="186" t="s">
        <v>138</v>
      </c>
      <c r="G117" s="186" t="s">
        <v>346</v>
      </c>
      <c r="H117" s="186" t="s">
        <v>243</v>
      </c>
      <c r="I117" s="186"/>
      <c r="J117" s="186">
        <v>63</v>
      </c>
      <c r="K117" s="186" t="s">
        <v>682</v>
      </c>
      <c r="L117" s="186" t="s">
        <v>1918</v>
      </c>
      <c r="M117" s="186" t="s">
        <v>504</v>
      </c>
      <c r="N117" s="186" t="s">
        <v>1390</v>
      </c>
      <c r="O117" s="186" t="s">
        <v>2193</v>
      </c>
      <c r="P117" s="186" t="s">
        <v>2194</v>
      </c>
      <c r="Q117" s="186"/>
      <c r="R117" s="186"/>
      <c r="S117" s="186" t="s">
        <v>2137</v>
      </c>
      <c r="T117" s="186" t="s">
        <v>2195</v>
      </c>
      <c r="U117" s="186"/>
      <c r="V117" s="186"/>
      <c r="W117" s="186"/>
      <c r="X117">
        <v>6</v>
      </c>
      <c r="Z117" s="129" t="s">
        <v>1920</v>
      </c>
      <c r="AA117" s="30">
        <v>43449</v>
      </c>
      <c r="AB117" t="s">
        <v>1057</v>
      </c>
    </row>
    <row r="118" spans="1:28" ht="18.75" customHeight="1">
      <c r="A118" s="186"/>
      <c r="B118" s="186"/>
      <c r="C118" s="186"/>
      <c r="D118" s="186"/>
      <c r="E118" s="186" t="s">
        <v>55</v>
      </c>
      <c r="F118" s="186" t="s">
        <v>558</v>
      </c>
      <c r="G118" s="186" t="s">
        <v>346</v>
      </c>
      <c r="H118" s="186" t="s">
        <v>243</v>
      </c>
      <c r="I118" s="186"/>
      <c r="J118" s="186">
        <v>66</v>
      </c>
      <c r="K118" s="186" t="s">
        <v>682</v>
      </c>
      <c r="L118" s="186" t="s">
        <v>1918</v>
      </c>
      <c r="M118" s="186" t="s">
        <v>559</v>
      </c>
      <c r="N118" s="186" t="s">
        <v>1390</v>
      </c>
      <c r="O118" s="186" t="s">
        <v>2196</v>
      </c>
      <c r="P118" s="186" t="s">
        <v>2197</v>
      </c>
      <c r="Q118" s="186"/>
      <c r="R118" s="186"/>
      <c r="S118" s="186" t="s">
        <v>2198</v>
      </c>
      <c r="T118" s="186" t="s">
        <v>2199</v>
      </c>
      <c r="U118" s="186"/>
      <c r="V118" s="186"/>
      <c r="W118" s="186"/>
      <c r="X118">
        <v>53</v>
      </c>
      <c r="Z118" s="129" t="s">
        <v>1920</v>
      </c>
      <c r="AA118" s="30">
        <v>43449</v>
      </c>
      <c r="AB118" t="s">
        <v>1057</v>
      </c>
    </row>
    <row r="119" spans="1:28" ht="18.75" hidden="1" customHeight="1">
      <c r="A119" s="186"/>
      <c r="B119" s="186"/>
      <c r="C119" s="186"/>
      <c r="D119" s="186"/>
      <c r="E119" s="186" t="s">
        <v>55</v>
      </c>
      <c r="F119" s="186" t="s">
        <v>2200</v>
      </c>
      <c r="G119" s="186" t="s">
        <v>346</v>
      </c>
      <c r="H119" s="186" t="s">
        <v>243</v>
      </c>
      <c r="I119" s="186"/>
      <c r="J119" s="186">
        <v>67</v>
      </c>
      <c r="K119" s="79" t="s">
        <v>680</v>
      </c>
      <c r="L119" s="186"/>
      <c r="M119" s="186"/>
      <c r="N119" s="186"/>
      <c r="O119" s="186"/>
      <c r="P119" s="186"/>
      <c r="Q119" s="186"/>
      <c r="R119" s="186"/>
      <c r="S119" s="186"/>
      <c r="T119" s="186" t="s">
        <v>2201</v>
      </c>
      <c r="U119" s="186"/>
      <c r="V119" s="186"/>
      <c r="W119" s="186"/>
      <c r="Y119" t="s">
        <v>1917</v>
      </c>
    </row>
    <row r="120" spans="1:28" ht="18.75" hidden="1" customHeight="1">
      <c r="A120" s="186"/>
      <c r="B120" s="186"/>
      <c r="C120" s="186"/>
      <c r="D120" s="186"/>
      <c r="E120" s="186" t="s">
        <v>55</v>
      </c>
      <c r="F120" s="186" t="s">
        <v>2202</v>
      </c>
      <c r="G120" s="186" t="s">
        <v>346</v>
      </c>
      <c r="H120" s="186" t="s">
        <v>243</v>
      </c>
      <c r="I120" s="186"/>
      <c r="J120" s="186">
        <v>68</v>
      </c>
      <c r="K120" s="79" t="s">
        <v>680</v>
      </c>
      <c r="L120" s="186"/>
      <c r="M120" s="186"/>
      <c r="N120" s="186"/>
      <c r="O120" s="186"/>
      <c r="P120" s="186"/>
      <c r="Q120" s="186"/>
      <c r="R120" s="186"/>
      <c r="S120" s="186"/>
      <c r="T120" s="186" t="s">
        <v>2203</v>
      </c>
      <c r="U120" s="186"/>
      <c r="V120" s="186"/>
      <c r="W120" s="186"/>
      <c r="Y120" t="s">
        <v>1917</v>
      </c>
    </row>
    <row r="121" spans="1:28" ht="18.75" hidden="1" customHeight="1">
      <c r="A121" s="186"/>
      <c r="B121" s="186"/>
      <c r="C121" s="186"/>
      <c r="D121" s="186"/>
      <c r="E121" s="186" t="s">
        <v>55</v>
      </c>
      <c r="F121" s="186" t="s">
        <v>2204</v>
      </c>
      <c r="G121" s="186" t="s">
        <v>346</v>
      </c>
      <c r="H121" s="186" t="s">
        <v>243</v>
      </c>
      <c r="I121" s="186"/>
      <c r="J121" s="186">
        <v>69</v>
      </c>
      <c r="K121" s="79" t="s">
        <v>680</v>
      </c>
      <c r="L121" s="186"/>
      <c r="M121" s="186"/>
      <c r="N121" s="186"/>
      <c r="O121" s="186"/>
      <c r="P121" s="186"/>
      <c r="Q121" s="186"/>
      <c r="R121" s="186"/>
      <c r="S121" s="186"/>
      <c r="T121" s="186" t="s">
        <v>2205</v>
      </c>
      <c r="U121" s="186"/>
      <c r="V121" s="186"/>
      <c r="W121" s="186"/>
      <c r="Y121" t="s">
        <v>1917</v>
      </c>
    </row>
    <row r="122" spans="1:28" ht="18.75" hidden="1" customHeight="1">
      <c r="A122" s="186"/>
      <c r="B122" s="186"/>
      <c r="C122" s="186"/>
      <c r="D122" s="186"/>
      <c r="E122" s="186" t="s">
        <v>55</v>
      </c>
      <c r="F122" s="186" t="s">
        <v>2206</v>
      </c>
      <c r="G122" s="186" t="s">
        <v>346</v>
      </c>
      <c r="H122" s="186" t="s">
        <v>243</v>
      </c>
      <c r="I122" s="186"/>
      <c r="J122" s="186">
        <v>70</v>
      </c>
      <c r="K122" s="79" t="s">
        <v>680</v>
      </c>
      <c r="L122" s="186"/>
      <c r="M122" s="186"/>
      <c r="N122" s="186"/>
      <c r="O122" s="186"/>
      <c r="P122" s="186"/>
      <c r="Q122" s="186"/>
      <c r="R122" s="186"/>
      <c r="S122" s="186"/>
      <c r="T122" s="186" t="s">
        <v>2207</v>
      </c>
      <c r="U122" s="186"/>
      <c r="V122" s="186"/>
      <c r="W122" s="186"/>
      <c r="Y122" t="s">
        <v>1917</v>
      </c>
    </row>
    <row r="123" spans="1:28" ht="15.75" customHeight="1">
      <c r="A123" s="186"/>
      <c r="B123" s="186"/>
      <c r="C123" s="186"/>
      <c r="D123" s="186"/>
      <c r="E123" s="186" t="s">
        <v>55</v>
      </c>
      <c r="F123" s="186" t="s">
        <v>556</v>
      </c>
      <c r="G123" s="186" t="s">
        <v>346</v>
      </c>
      <c r="H123" s="186" t="s">
        <v>243</v>
      </c>
      <c r="I123" s="186"/>
      <c r="J123" s="186">
        <v>71</v>
      </c>
      <c r="K123" s="186" t="s">
        <v>682</v>
      </c>
      <c r="L123" s="186" t="s">
        <v>1918</v>
      </c>
      <c r="M123" s="186" t="s">
        <v>557</v>
      </c>
      <c r="N123" s="186" t="s">
        <v>1593</v>
      </c>
      <c r="O123" s="186" t="s">
        <v>2208</v>
      </c>
      <c r="P123" s="186" t="s">
        <v>2209</v>
      </c>
      <c r="Q123" s="186"/>
      <c r="R123" s="186"/>
      <c r="S123" s="186"/>
      <c r="T123" s="186" t="s">
        <v>2210</v>
      </c>
      <c r="U123" s="186"/>
      <c r="V123" s="186"/>
      <c r="W123" s="186"/>
      <c r="X123">
        <v>52</v>
      </c>
      <c r="Z123" s="129" t="s">
        <v>1920</v>
      </c>
      <c r="AA123" s="30">
        <v>43449</v>
      </c>
      <c r="AB123" t="s">
        <v>1057</v>
      </c>
    </row>
    <row r="124" spans="1:28" ht="15.75" customHeight="1">
      <c r="A124" s="186"/>
      <c r="B124" s="186"/>
      <c r="C124" s="186"/>
      <c r="D124" s="186"/>
      <c r="E124" s="186" t="s">
        <v>61</v>
      </c>
      <c r="F124" s="186" t="s">
        <v>533</v>
      </c>
      <c r="G124" s="186" t="s">
        <v>242</v>
      </c>
      <c r="H124" s="186" t="s">
        <v>243</v>
      </c>
      <c r="I124" s="186"/>
      <c r="J124" s="186">
        <v>72</v>
      </c>
      <c r="K124" s="186" t="s">
        <v>682</v>
      </c>
      <c r="L124" s="186" t="s">
        <v>1918</v>
      </c>
      <c r="M124" s="186" t="s">
        <v>534</v>
      </c>
      <c r="N124" s="186" t="s">
        <v>1573</v>
      </c>
      <c r="O124" s="186" t="s">
        <v>2211</v>
      </c>
      <c r="P124" s="186" t="s">
        <v>2212</v>
      </c>
      <c r="Q124" s="186"/>
      <c r="R124" s="186"/>
      <c r="S124" s="186">
        <v>521001236117</v>
      </c>
      <c r="T124" s="186" t="s">
        <v>2213</v>
      </c>
      <c r="U124" s="186"/>
      <c r="V124" s="186"/>
      <c r="W124" s="186"/>
      <c r="X124">
        <v>37</v>
      </c>
      <c r="Z124" s="129" t="s">
        <v>1920</v>
      </c>
      <c r="AA124" s="30">
        <v>43449</v>
      </c>
      <c r="AB124" t="s">
        <v>1057</v>
      </c>
    </row>
    <row r="125" spans="1:28" ht="15.75" customHeight="1">
      <c r="A125" s="186"/>
      <c r="B125" s="186"/>
      <c r="C125" s="186"/>
      <c r="D125" s="186"/>
      <c r="E125" s="186" t="s">
        <v>59</v>
      </c>
      <c r="F125" s="186" t="s">
        <v>139</v>
      </c>
      <c r="G125" s="186" t="s">
        <v>535</v>
      </c>
      <c r="H125" s="186" t="s">
        <v>243</v>
      </c>
      <c r="I125" s="186"/>
      <c r="J125" s="186">
        <v>73</v>
      </c>
      <c r="K125" s="186" t="s">
        <v>682</v>
      </c>
      <c r="L125" s="186" t="s">
        <v>1918</v>
      </c>
      <c r="M125" s="186" t="s">
        <v>536</v>
      </c>
      <c r="N125" s="186" t="s">
        <v>1573</v>
      </c>
      <c r="O125" s="186" t="s">
        <v>2214</v>
      </c>
      <c r="P125" s="186" t="s">
        <v>2215</v>
      </c>
      <c r="Q125" s="186" t="s">
        <v>2216</v>
      </c>
      <c r="R125" s="186"/>
      <c r="S125" s="186"/>
      <c r="T125" s="186" t="s">
        <v>2217</v>
      </c>
      <c r="U125" s="186"/>
      <c r="V125" s="186"/>
      <c r="W125" s="186"/>
      <c r="X125">
        <v>38</v>
      </c>
      <c r="Z125" s="129" t="s">
        <v>1920</v>
      </c>
      <c r="AA125" s="30">
        <v>43449</v>
      </c>
      <c r="AB125" t="s">
        <v>1057</v>
      </c>
    </row>
    <row r="126" spans="1:28" ht="18.75" hidden="1" customHeight="1">
      <c r="A126" s="186"/>
      <c r="B126" s="186"/>
      <c r="C126" s="186"/>
      <c r="D126" s="186"/>
      <c r="E126" s="186" t="s">
        <v>55</v>
      </c>
      <c r="F126" s="186" t="s">
        <v>2218</v>
      </c>
      <c r="G126" s="186" t="s">
        <v>346</v>
      </c>
      <c r="H126" s="186" t="s">
        <v>243</v>
      </c>
      <c r="I126" s="186"/>
      <c r="J126" s="186">
        <v>74</v>
      </c>
      <c r="K126" s="79" t="s">
        <v>680</v>
      </c>
      <c r="L126" s="186"/>
      <c r="M126" s="186"/>
      <c r="N126" s="186"/>
      <c r="O126" s="186"/>
      <c r="P126" s="186"/>
      <c r="Q126" s="186"/>
      <c r="R126" s="186"/>
      <c r="S126" s="186"/>
      <c r="T126" s="186" t="s">
        <v>2219</v>
      </c>
      <c r="U126" s="186"/>
      <c r="V126" s="186"/>
      <c r="W126" s="186"/>
      <c r="Y126" t="s">
        <v>1917</v>
      </c>
    </row>
    <row r="127" spans="1:28" ht="18.75" hidden="1" customHeight="1">
      <c r="A127" s="186"/>
      <c r="B127" s="186"/>
      <c r="C127" s="186"/>
      <c r="D127" s="186"/>
      <c r="E127" s="186" t="s">
        <v>55</v>
      </c>
      <c r="F127" s="186" t="s">
        <v>2220</v>
      </c>
      <c r="G127" s="186" t="s">
        <v>250</v>
      </c>
      <c r="H127" s="186" t="s">
        <v>243</v>
      </c>
      <c r="I127" s="186"/>
      <c r="J127" s="186">
        <v>64</v>
      </c>
      <c r="K127" s="79" t="s">
        <v>680</v>
      </c>
      <c r="L127" s="186"/>
      <c r="M127" s="186"/>
      <c r="N127" s="186"/>
      <c r="O127" s="186"/>
      <c r="P127" s="186"/>
      <c r="Q127" s="186"/>
      <c r="R127" s="186"/>
      <c r="S127" s="186"/>
      <c r="T127" s="186" t="s">
        <v>2221</v>
      </c>
      <c r="U127" s="186"/>
      <c r="V127" s="186"/>
      <c r="W127" s="186"/>
      <c r="Y127" t="s">
        <v>1917</v>
      </c>
    </row>
    <row r="128" spans="1:28" ht="18.75" hidden="1" customHeight="1">
      <c r="A128" s="186"/>
      <c r="B128" s="186"/>
      <c r="C128" s="186"/>
      <c r="D128" s="186"/>
      <c r="E128" s="186" t="s">
        <v>55</v>
      </c>
      <c r="F128" s="186" t="s">
        <v>2222</v>
      </c>
      <c r="G128" s="186" t="s">
        <v>250</v>
      </c>
      <c r="H128" s="186" t="s">
        <v>243</v>
      </c>
      <c r="I128" s="186"/>
      <c r="J128" s="186">
        <v>65</v>
      </c>
      <c r="K128" s="79" t="s">
        <v>680</v>
      </c>
      <c r="L128" s="186"/>
      <c r="M128" s="186"/>
      <c r="N128" s="186"/>
      <c r="O128" s="186"/>
      <c r="P128" s="186"/>
      <c r="Q128" s="186"/>
      <c r="R128" s="186"/>
      <c r="S128" s="186"/>
      <c r="T128" s="186" t="s">
        <v>2223</v>
      </c>
      <c r="U128" s="186"/>
      <c r="V128" s="186"/>
      <c r="W128" s="186"/>
      <c r="Y128" t="s">
        <v>1917</v>
      </c>
    </row>
    <row r="129" spans="1:28" ht="18.75" customHeight="1">
      <c r="A129" s="186"/>
      <c r="B129" s="186"/>
      <c r="C129" s="186"/>
      <c r="D129" s="186"/>
      <c r="E129" s="186" t="s">
        <v>55</v>
      </c>
      <c r="F129" s="186" t="s">
        <v>2224</v>
      </c>
      <c r="G129" s="186" t="s">
        <v>346</v>
      </c>
      <c r="H129" s="186" t="s">
        <v>243</v>
      </c>
      <c r="I129" s="186"/>
      <c r="J129" s="186">
        <v>75</v>
      </c>
      <c r="K129" s="79" t="s">
        <v>682</v>
      </c>
      <c r="L129" s="186" t="s">
        <v>1918</v>
      </c>
      <c r="M129" s="186" t="s">
        <v>2225</v>
      </c>
      <c r="N129" s="186"/>
      <c r="O129" s="186"/>
      <c r="P129" s="186"/>
      <c r="Q129" s="186"/>
      <c r="R129" s="186"/>
      <c r="S129" s="186"/>
      <c r="T129" s="186" t="s">
        <v>2226</v>
      </c>
      <c r="U129" s="186"/>
      <c r="V129" s="186"/>
      <c r="W129" s="186"/>
      <c r="Y129" t="s">
        <v>1917</v>
      </c>
    </row>
    <row r="130" spans="1:28" ht="18.75" hidden="1" customHeight="1">
      <c r="A130" s="186"/>
      <c r="B130" s="186"/>
      <c r="C130" s="186"/>
      <c r="D130" s="186"/>
      <c r="E130" s="186" t="s">
        <v>53</v>
      </c>
      <c r="F130" s="186" t="s">
        <v>124</v>
      </c>
      <c r="G130" s="186" t="s">
        <v>535</v>
      </c>
      <c r="H130" s="186" t="s">
        <v>903</v>
      </c>
      <c r="I130" s="186"/>
      <c r="J130" s="186">
        <v>1</v>
      </c>
      <c r="K130" s="79" t="s">
        <v>680</v>
      </c>
      <c r="L130" s="186"/>
      <c r="M130" s="186"/>
      <c r="N130" s="186"/>
      <c r="O130" s="186"/>
      <c r="P130" s="186"/>
      <c r="Q130" s="186"/>
      <c r="R130" s="186"/>
      <c r="S130" s="186"/>
      <c r="T130" s="186" t="s">
        <v>1190</v>
      </c>
      <c r="U130" s="186"/>
      <c r="V130" s="186"/>
      <c r="W130" s="186"/>
      <c r="Y130" t="s">
        <v>1917</v>
      </c>
    </row>
    <row r="131" spans="1:28" ht="18.75" hidden="1" customHeight="1">
      <c r="A131" s="186"/>
      <c r="B131" s="186"/>
      <c r="C131" s="186"/>
      <c r="D131" s="186"/>
      <c r="E131" s="186" t="s">
        <v>55</v>
      </c>
      <c r="F131" s="186" t="s">
        <v>2227</v>
      </c>
      <c r="G131" s="186" t="s">
        <v>346</v>
      </c>
      <c r="H131" s="186" t="s">
        <v>243</v>
      </c>
      <c r="I131" s="186"/>
      <c r="J131" s="186">
        <v>76</v>
      </c>
      <c r="K131" s="79" t="s">
        <v>680</v>
      </c>
      <c r="L131" s="186"/>
      <c r="M131" s="186"/>
      <c r="N131" s="186"/>
      <c r="O131" s="186"/>
      <c r="P131" s="186"/>
      <c r="Q131" s="186"/>
      <c r="R131" s="186"/>
      <c r="S131" s="186"/>
      <c r="T131" s="186" t="s">
        <v>2228</v>
      </c>
      <c r="U131" s="186"/>
      <c r="V131" s="186"/>
      <c r="W131" s="186"/>
      <c r="Y131" t="s">
        <v>1917</v>
      </c>
    </row>
    <row r="132" spans="1:28" ht="18.75" customHeight="1">
      <c r="A132" s="186"/>
      <c r="B132" s="186"/>
      <c r="C132" s="186"/>
      <c r="D132" s="186"/>
      <c r="E132" s="186" t="s">
        <v>59</v>
      </c>
      <c r="F132" s="186" t="s">
        <v>361</v>
      </c>
      <c r="G132" s="186" t="s">
        <v>252</v>
      </c>
      <c r="H132" s="186" t="s">
        <v>243</v>
      </c>
      <c r="I132" s="186"/>
      <c r="J132" s="186">
        <v>161</v>
      </c>
      <c r="K132" s="186" t="s">
        <v>682</v>
      </c>
      <c r="L132" s="186" t="s">
        <v>1918</v>
      </c>
      <c r="M132" s="186" t="s">
        <v>518</v>
      </c>
      <c r="N132" s="186" t="s">
        <v>1925</v>
      </c>
      <c r="O132" s="186" t="s">
        <v>2229</v>
      </c>
      <c r="P132" s="186" t="s">
        <v>2230</v>
      </c>
      <c r="Q132" s="186"/>
      <c r="R132" s="289" t="s">
        <v>1346</v>
      </c>
      <c r="S132" s="186"/>
      <c r="T132" s="186" t="s">
        <v>2231</v>
      </c>
      <c r="U132" s="186"/>
      <c r="V132" s="186"/>
      <c r="W132" s="186"/>
      <c r="X132">
        <v>26</v>
      </c>
      <c r="Z132" s="129" t="s">
        <v>1920</v>
      </c>
      <c r="AA132" s="30">
        <v>43449</v>
      </c>
      <c r="AB132" t="s">
        <v>1057</v>
      </c>
    </row>
    <row r="133" spans="1:28" ht="18.75" customHeight="1">
      <c r="A133" s="186"/>
      <c r="B133" s="186"/>
      <c r="C133" s="186"/>
      <c r="D133" s="186"/>
      <c r="E133" s="186" t="s">
        <v>59</v>
      </c>
      <c r="F133" s="186" t="s">
        <v>322</v>
      </c>
      <c r="G133" s="186" t="s">
        <v>264</v>
      </c>
      <c r="H133" s="186" t="s">
        <v>243</v>
      </c>
      <c r="I133" s="186"/>
      <c r="J133" s="186">
        <v>159</v>
      </c>
      <c r="K133" s="186" t="s">
        <v>682</v>
      </c>
      <c r="L133" s="186" t="s">
        <v>1918</v>
      </c>
      <c r="M133" s="186" t="s">
        <v>513</v>
      </c>
      <c r="N133" s="186" t="s">
        <v>1604</v>
      </c>
      <c r="O133" s="186" t="s">
        <v>322</v>
      </c>
      <c r="P133" s="186" t="s">
        <v>2232</v>
      </c>
      <c r="Q133" s="186" t="s">
        <v>2233</v>
      </c>
      <c r="R133" s="289" t="s">
        <v>1346</v>
      </c>
      <c r="S133" s="186" t="s">
        <v>2234</v>
      </c>
      <c r="T133" s="186" t="s">
        <v>322</v>
      </c>
      <c r="U133" s="186"/>
      <c r="V133" s="186"/>
      <c r="W133" s="186"/>
      <c r="X133">
        <v>16</v>
      </c>
      <c r="Z133" s="129" t="s">
        <v>1920</v>
      </c>
      <c r="AA133" s="30">
        <v>43449</v>
      </c>
      <c r="AB133" t="s">
        <v>1057</v>
      </c>
    </row>
    <row r="134" spans="1:28" ht="18.75" hidden="1" customHeight="1">
      <c r="A134" s="186"/>
      <c r="B134" s="186"/>
      <c r="C134" s="186"/>
      <c r="D134" s="186"/>
      <c r="E134" s="186" t="s">
        <v>55</v>
      </c>
      <c r="F134" s="186" t="s">
        <v>2235</v>
      </c>
      <c r="G134" s="186" t="s">
        <v>329</v>
      </c>
      <c r="H134" s="186" t="s">
        <v>243</v>
      </c>
      <c r="I134" s="186"/>
      <c r="J134" s="186">
        <v>78</v>
      </c>
      <c r="K134" s="79" t="s">
        <v>680</v>
      </c>
      <c r="L134" s="186"/>
      <c r="M134" s="186"/>
      <c r="N134" s="186"/>
      <c r="O134" s="186"/>
      <c r="P134" s="186"/>
      <c r="Q134" s="186"/>
      <c r="R134" s="186"/>
      <c r="S134" s="186"/>
      <c r="T134" s="186" t="s">
        <v>2236</v>
      </c>
      <c r="U134" s="186"/>
      <c r="V134" s="186"/>
      <c r="W134" s="186"/>
      <c r="Y134" t="s">
        <v>1917</v>
      </c>
    </row>
    <row r="135" spans="1:28" ht="18.75" customHeight="1">
      <c r="A135" s="186"/>
      <c r="B135" s="186"/>
      <c r="C135" s="186"/>
      <c r="D135" s="186"/>
      <c r="E135" s="186" t="s">
        <v>55</v>
      </c>
      <c r="F135" s="186" t="s">
        <v>619</v>
      </c>
      <c r="G135" s="186" t="s">
        <v>329</v>
      </c>
      <c r="H135" s="186" t="s">
        <v>243</v>
      </c>
      <c r="I135" s="186"/>
      <c r="J135" s="186">
        <v>79</v>
      </c>
      <c r="K135" s="186" t="s">
        <v>682</v>
      </c>
      <c r="L135" s="186" t="s">
        <v>1918</v>
      </c>
      <c r="M135" s="186" t="s">
        <v>412</v>
      </c>
      <c r="N135" s="186" t="s">
        <v>1921</v>
      </c>
      <c r="O135" s="186" t="s">
        <v>2237</v>
      </c>
      <c r="P135" s="186" t="s">
        <v>2238</v>
      </c>
      <c r="Q135" s="186" t="s">
        <v>1034</v>
      </c>
      <c r="R135" s="186"/>
      <c r="S135" s="186">
        <v>258</v>
      </c>
      <c r="T135" s="186" t="s">
        <v>2239</v>
      </c>
      <c r="U135" s="186"/>
      <c r="V135" s="186"/>
      <c r="W135" s="186"/>
      <c r="X135">
        <v>91</v>
      </c>
      <c r="Z135" s="129" t="s">
        <v>1920</v>
      </c>
      <c r="AA135" s="30">
        <v>43449</v>
      </c>
      <c r="AB135" t="s">
        <v>1057</v>
      </c>
    </row>
    <row r="136" spans="1:28" ht="18.75" customHeight="1">
      <c r="A136" s="186"/>
      <c r="B136" s="186"/>
      <c r="C136" s="186"/>
      <c r="D136" s="186"/>
      <c r="E136" s="186" t="s">
        <v>61</v>
      </c>
      <c r="F136" s="186" t="s">
        <v>140</v>
      </c>
      <c r="G136" s="186" t="s">
        <v>329</v>
      </c>
      <c r="H136" s="186" t="s">
        <v>243</v>
      </c>
      <c r="I136" s="186"/>
      <c r="J136" s="186">
        <v>80</v>
      </c>
      <c r="K136" s="186" t="s">
        <v>682</v>
      </c>
      <c r="L136" s="186" t="s">
        <v>1918</v>
      </c>
      <c r="M136" s="186" t="s">
        <v>601</v>
      </c>
      <c r="N136" s="186" t="s">
        <v>1921</v>
      </c>
      <c r="O136" s="186" t="s">
        <v>2240</v>
      </c>
      <c r="P136" s="186" t="s">
        <v>2241</v>
      </c>
      <c r="Q136" s="186"/>
      <c r="R136" s="186"/>
      <c r="S136" s="186">
        <v>258</v>
      </c>
      <c r="T136" s="186" t="s">
        <v>2242</v>
      </c>
      <c r="U136" s="186"/>
      <c r="V136" s="186"/>
      <c r="W136" s="186"/>
      <c r="X136">
        <v>80</v>
      </c>
      <c r="Z136" s="129" t="s">
        <v>1920</v>
      </c>
      <c r="AA136" s="30">
        <v>43449</v>
      </c>
      <c r="AB136" t="s">
        <v>1057</v>
      </c>
    </row>
    <row r="137" spans="1:28" ht="18.75" hidden="1" customHeight="1">
      <c r="A137" s="186"/>
      <c r="B137" s="186"/>
      <c r="C137" s="186"/>
      <c r="D137" s="186"/>
      <c r="E137" s="186" t="s">
        <v>55</v>
      </c>
      <c r="F137" s="186" t="s">
        <v>2243</v>
      </c>
      <c r="G137" s="186" t="s">
        <v>329</v>
      </c>
      <c r="H137" s="186" t="s">
        <v>243</v>
      </c>
      <c r="I137" s="186"/>
      <c r="J137" s="186">
        <v>81</v>
      </c>
      <c r="K137" s="79" t="s">
        <v>680</v>
      </c>
      <c r="L137" s="186"/>
      <c r="M137" s="186"/>
      <c r="N137" s="186"/>
      <c r="O137" s="186"/>
      <c r="P137" s="186"/>
      <c r="Q137" s="186"/>
      <c r="R137" s="186"/>
      <c r="S137" s="186"/>
      <c r="T137" s="186" t="s">
        <v>2244</v>
      </c>
      <c r="U137" s="186"/>
      <c r="V137" s="186"/>
      <c r="W137" s="186"/>
      <c r="Y137" t="s">
        <v>1917</v>
      </c>
    </row>
    <row r="138" spans="1:28" ht="18.75" customHeight="1">
      <c r="A138" s="186"/>
      <c r="B138" s="186"/>
      <c r="C138" s="186"/>
      <c r="D138" s="186"/>
      <c r="E138" s="186" t="s">
        <v>55</v>
      </c>
      <c r="F138" s="186" t="s">
        <v>627</v>
      </c>
      <c r="G138" s="186" t="s">
        <v>329</v>
      </c>
      <c r="H138" s="186" t="s">
        <v>243</v>
      </c>
      <c r="I138" s="186"/>
      <c r="J138" s="186">
        <v>82</v>
      </c>
      <c r="K138" s="186" t="s">
        <v>682</v>
      </c>
      <c r="L138" s="186" t="s">
        <v>1918</v>
      </c>
      <c r="M138" s="186" t="s">
        <v>628</v>
      </c>
      <c r="N138" s="186" t="s">
        <v>1943</v>
      </c>
      <c r="O138" s="186" t="s">
        <v>2245</v>
      </c>
      <c r="P138" s="186" t="s">
        <v>2246</v>
      </c>
      <c r="Q138" s="186"/>
      <c r="R138" s="186"/>
      <c r="S138" s="186"/>
      <c r="T138" s="186" t="s">
        <v>2247</v>
      </c>
      <c r="U138" s="186"/>
      <c r="V138" s="186"/>
      <c r="W138" s="186"/>
      <c r="X138">
        <v>95</v>
      </c>
      <c r="Z138" s="129" t="s">
        <v>1920</v>
      </c>
      <c r="AA138" s="30">
        <v>43449</v>
      </c>
      <c r="AB138" t="s">
        <v>1057</v>
      </c>
    </row>
    <row r="139" spans="1:28" ht="18.75" customHeight="1">
      <c r="A139" s="186"/>
      <c r="B139" s="186"/>
      <c r="C139" s="186"/>
      <c r="D139" s="186"/>
      <c r="E139" s="186" t="s">
        <v>55</v>
      </c>
      <c r="F139" s="186" t="s">
        <v>592</v>
      </c>
      <c r="G139" s="186" t="s">
        <v>329</v>
      </c>
      <c r="H139" s="186" t="s">
        <v>243</v>
      </c>
      <c r="I139" s="186"/>
      <c r="J139" s="186">
        <v>84</v>
      </c>
      <c r="K139" s="186" t="s">
        <v>682</v>
      </c>
      <c r="L139" s="186" t="s">
        <v>1918</v>
      </c>
      <c r="M139" s="186" t="s">
        <v>399</v>
      </c>
      <c r="N139" s="186" t="s">
        <v>1943</v>
      </c>
      <c r="O139" s="186" t="s">
        <v>2248</v>
      </c>
      <c r="P139" s="186" t="s">
        <v>2249</v>
      </c>
      <c r="Q139" s="186"/>
      <c r="R139" s="186"/>
      <c r="S139" s="186">
        <v>258</v>
      </c>
      <c r="T139" s="186" t="s">
        <v>2250</v>
      </c>
      <c r="U139" s="186"/>
      <c r="V139" s="186"/>
      <c r="W139" s="186"/>
      <c r="X139">
        <v>75</v>
      </c>
      <c r="Z139" s="129" t="s">
        <v>1920</v>
      </c>
      <c r="AA139" s="30">
        <v>43449</v>
      </c>
      <c r="AB139" t="s">
        <v>1057</v>
      </c>
    </row>
    <row r="140" spans="1:28" ht="18.75" customHeight="1">
      <c r="A140" s="186"/>
      <c r="B140" s="186"/>
      <c r="C140" s="186"/>
      <c r="D140" s="186"/>
      <c r="E140" s="186" t="s">
        <v>61</v>
      </c>
      <c r="F140" s="186" t="s">
        <v>129</v>
      </c>
      <c r="G140" s="186" t="s">
        <v>250</v>
      </c>
      <c r="H140" s="186" t="s">
        <v>243</v>
      </c>
      <c r="I140" s="186"/>
      <c r="J140" s="186">
        <v>83</v>
      </c>
      <c r="K140" s="186" t="s">
        <v>682</v>
      </c>
      <c r="L140" s="186" t="s">
        <v>1918</v>
      </c>
      <c r="M140" s="186" t="s">
        <v>514</v>
      </c>
      <c r="N140" s="186" t="s">
        <v>1554</v>
      </c>
      <c r="O140" s="186" t="s">
        <v>2251</v>
      </c>
      <c r="P140" s="186" t="s">
        <v>2252</v>
      </c>
      <c r="Q140" s="186"/>
      <c r="R140" s="186"/>
      <c r="S140" s="186" t="s">
        <v>1201</v>
      </c>
      <c r="T140" s="186" t="s">
        <v>2253</v>
      </c>
      <c r="U140" s="186"/>
      <c r="V140" s="186"/>
      <c r="W140" s="186"/>
      <c r="X140">
        <v>18</v>
      </c>
      <c r="Z140" s="129" t="s">
        <v>1920</v>
      </c>
      <c r="AA140" s="30">
        <v>43449</v>
      </c>
      <c r="AB140" t="s">
        <v>1057</v>
      </c>
    </row>
    <row r="141" spans="1:28" ht="18.75" customHeight="1">
      <c r="A141" s="186"/>
      <c r="B141" s="186"/>
      <c r="C141" s="186"/>
      <c r="D141" s="186"/>
      <c r="E141" s="186" t="s">
        <v>55</v>
      </c>
      <c r="F141" s="186" t="s">
        <v>599</v>
      </c>
      <c r="G141" s="186" t="s">
        <v>329</v>
      </c>
      <c r="H141" s="186" t="s">
        <v>243</v>
      </c>
      <c r="I141" s="186"/>
      <c r="J141" s="72">
        <v>194</v>
      </c>
      <c r="K141" s="186" t="s">
        <v>682</v>
      </c>
      <c r="L141" s="186" t="s">
        <v>1918</v>
      </c>
      <c r="M141" s="186" t="s">
        <v>600</v>
      </c>
      <c r="N141" s="186" t="s">
        <v>1943</v>
      </c>
      <c r="O141" s="186" t="s">
        <v>2254</v>
      </c>
      <c r="P141" s="186" t="s">
        <v>2255</v>
      </c>
      <c r="Q141" s="186"/>
      <c r="R141" s="186"/>
      <c r="S141" s="186"/>
      <c r="T141" s="90" t="s">
        <v>2256</v>
      </c>
      <c r="U141" s="90"/>
      <c r="V141" s="90"/>
      <c r="W141" s="90"/>
      <c r="X141">
        <v>79</v>
      </c>
      <c r="Z141" s="129" t="s">
        <v>1920</v>
      </c>
      <c r="AA141" s="30">
        <v>43449</v>
      </c>
      <c r="AB141" t="s">
        <v>1057</v>
      </c>
    </row>
    <row r="142" spans="1:28" ht="18.75" customHeight="1">
      <c r="A142" s="186"/>
      <c r="B142" s="186"/>
      <c r="C142" s="186"/>
      <c r="D142" s="186"/>
      <c r="E142" s="186" t="s">
        <v>55</v>
      </c>
      <c r="F142" s="186" t="s">
        <v>671</v>
      </c>
      <c r="G142" s="186" t="s">
        <v>329</v>
      </c>
      <c r="H142" s="186" t="s">
        <v>243</v>
      </c>
      <c r="I142" s="186"/>
      <c r="J142" s="72">
        <v>203</v>
      </c>
      <c r="K142" s="186" t="s">
        <v>682</v>
      </c>
      <c r="L142" s="186" t="s">
        <v>1918</v>
      </c>
      <c r="M142" s="186" t="s">
        <v>672</v>
      </c>
      <c r="N142" s="186" t="s">
        <v>1943</v>
      </c>
      <c r="O142" s="186" t="s">
        <v>2257</v>
      </c>
      <c r="P142" s="186" t="s">
        <v>2258</v>
      </c>
      <c r="Q142" s="186"/>
      <c r="R142" s="186"/>
      <c r="S142" s="186"/>
      <c r="T142" s="90" t="s">
        <v>2259</v>
      </c>
      <c r="U142" s="90"/>
      <c r="V142" s="90"/>
      <c r="W142" s="90"/>
      <c r="X142">
        <v>118</v>
      </c>
      <c r="Z142" s="129" t="s">
        <v>1920</v>
      </c>
      <c r="AA142" s="30">
        <v>43449</v>
      </c>
      <c r="AB142" t="s">
        <v>1929</v>
      </c>
    </row>
    <row r="143" spans="1:28" ht="18.75" customHeight="1">
      <c r="A143" s="186"/>
      <c r="B143" s="186"/>
      <c r="C143" s="186"/>
      <c r="D143" s="186"/>
      <c r="E143" s="186" t="s">
        <v>55</v>
      </c>
      <c r="F143" s="186" t="s">
        <v>615</v>
      </c>
      <c r="G143" s="186" t="s">
        <v>329</v>
      </c>
      <c r="H143" s="186" t="s">
        <v>243</v>
      </c>
      <c r="I143" s="186"/>
      <c r="J143" s="72">
        <v>186</v>
      </c>
      <c r="K143" s="186" t="s">
        <v>682</v>
      </c>
      <c r="L143" s="186" t="s">
        <v>1918</v>
      </c>
      <c r="M143" s="186" t="s">
        <v>616</v>
      </c>
      <c r="N143" s="186" t="s">
        <v>1943</v>
      </c>
      <c r="O143" s="186" t="s">
        <v>2260</v>
      </c>
      <c r="P143" s="186" t="s">
        <v>2261</v>
      </c>
      <c r="Q143" s="186"/>
      <c r="R143" s="186"/>
      <c r="S143" s="186">
        <v>-258</v>
      </c>
      <c r="T143" s="90" t="s">
        <v>2262</v>
      </c>
      <c r="U143" s="90"/>
      <c r="V143" s="90"/>
      <c r="W143" s="90"/>
      <c r="X143">
        <v>89</v>
      </c>
      <c r="Z143" s="129" t="s">
        <v>1920</v>
      </c>
      <c r="AA143" s="30">
        <v>43449</v>
      </c>
      <c r="AB143" t="s">
        <v>1929</v>
      </c>
    </row>
    <row r="144" spans="1:28" ht="18.75" hidden="1" customHeight="1">
      <c r="A144" s="186"/>
      <c r="B144" s="186"/>
      <c r="C144" s="186"/>
      <c r="D144" s="186"/>
      <c r="E144" s="186" t="s">
        <v>55</v>
      </c>
      <c r="F144" s="186" t="s">
        <v>2263</v>
      </c>
      <c r="G144" s="186" t="s">
        <v>329</v>
      </c>
      <c r="H144" s="186" t="s">
        <v>243</v>
      </c>
      <c r="I144" s="186"/>
      <c r="J144" s="72">
        <v>181</v>
      </c>
      <c r="K144" s="79" t="s">
        <v>680</v>
      </c>
      <c r="L144" s="186"/>
      <c r="M144" s="186"/>
      <c r="N144" s="186"/>
      <c r="O144" s="186"/>
      <c r="P144" s="186"/>
      <c r="Q144" s="186"/>
      <c r="R144" s="186"/>
      <c r="S144" s="186"/>
      <c r="T144" s="90" t="s">
        <v>2264</v>
      </c>
      <c r="U144" s="90"/>
      <c r="V144" s="90"/>
      <c r="W144" s="90"/>
      <c r="Y144" t="s">
        <v>1917</v>
      </c>
    </row>
    <row r="145" spans="1:28" ht="18.75" customHeight="1">
      <c r="A145" s="186"/>
      <c r="B145" s="186"/>
      <c r="C145" s="186"/>
      <c r="D145" s="186"/>
      <c r="E145" s="186" t="s">
        <v>59</v>
      </c>
      <c r="F145" s="186" t="s">
        <v>655</v>
      </c>
      <c r="G145" s="186" t="s">
        <v>329</v>
      </c>
      <c r="H145" s="186" t="s">
        <v>243</v>
      </c>
      <c r="I145" s="186"/>
      <c r="J145" s="186">
        <v>85</v>
      </c>
      <c r="K145" s="186" t="s">
        <v>682</v>
      </c>
      <c r="L145" s="186" t="s">
        <v>1918</v>
      </c>
      <c r="M145" s="186" t="s">
        <v>656</v>
      </c>
      <c r="N145" s="186" t="s">
        <v>1943</v>
      </c>
      <c r="O145" s="186" t="s">
        <v>2265</v>
      </c>
      <c r="P145" s="186" t="s">
        <v>2266</v>
      </c>
      <c r="Q145" s="186"/>
      <c r="R145" s="186"/>
      <c r="S145" s="186"/>
      <c r="T145" s="186" t="s">
        <v>2267</v>
      </c>
      <c r="U145" s="186"/>
      <c r="V145" s="186"/>
      <c r="W145" s="186"/>
      <c r="X145">
        <v>109</v>
      </c>
      <c r="Z145" s="129" t="s">
        <v>1920</v>
      </c>
      <c r="AA145" s="30">
        <v>43449</v>
      </c>
      <c r="AB145" t="s">
        <v>1929</v>
      </c>
    </row>
    <row r="146" spans="1:28" ht="18.75" hidden="1" customHeight="1">
      <c r="A146" s="186"/>
      <c r="B146" s="186"/>
      <c r="C146" s="186"/>
      <c r="D146" s="186"/>
      <c r="E146" s="186" t="s">
        <v>55</v>
      </c>
      <c r="F146" s="186" t="s">
        <v>2268</v>
      </c>
      <c r="G146" s="186" t="s">
        <v>329</v>
      </c>
      <c r="H146" s="186" t="s">
        <v>243</v>
      </c>
      <c r="I146" s="186"/>
      <c r="J146" s="186">
        <v>86</v>
      </c>
      <c r="K146" s="79" t="s">
        <v>680</v>
      </c>
      <c r="L146" s="186"/>
      <c r="M146" s="186"/>
      <c r="N146" s="186"/>
      <c r="O146" s="186"/>
      <c r="P146" s="186"/>
      <c r="Q146" s="186"/>
      <c r="R146" s="186"/>
      <c r="S146" s="186"/>
      <c r="T146" s="186" t="s">
        <v>2269</v>
      </c>
      <c r="U146" s="186"/>
      <c r="V146" s="186"/>
      <c r="W146" s="186"/>
      <c r="Y146" t="s">
        <v>1917</v>
      </c>
    </row>
    <row r="147" spans="1:28" ht="18.75" hidden="1" customHeight="1">
      <c r="A147" s="186"/>
      <c r="B147" s="186"/>
      <c r="C147" s="186"/>
      <c r="D147" s="186"/>
      <c r="E147" s="186" t="s">
        <v>55</v>
      </c>
      <c r="F147" s="186" t="s">
        <v>2270</v>
      </c>
      <c r="G147" s="186" t="s">
        <v>329</v>
      </c>
      <c r="H147" s="186" t="s">
        <v>243</v>
      </c>
      <c r="I147" s="186"/>
      <c r="J147" s="72">
        <v>179</v>
      </c>
      <c r="K147" s="79" t="s">
        <v>680</v>
      </c>
      <c r="L147" s="186"/>
      <c r="M147" s="186"/>
      <c r="N147" s="186"/>
      <c r="O147" s="186"/>
      <c r="P147" s="186"/>
      <c r="Q147" s="186"/>
      <c r="R147" s="186"/>
      <c r="S147" s="186"/>
      <c r="T147" s="90" t="s">
        <v>2271</v>
      </c>
      <c r="U147" s="90"/>
      <c r="V147" s="90"/>
      <c r="W147" s="90"/>
      <c r="Y147" t="s">
        <v>1917</v>
      </c>
    </row>
    <row r="148" spans="1:28" ht="18.75" customHeight="1">
      <c r="A148" s="186"/>
      <c r="B148" s="186"/>
      <c r="C148" s="186"/>
      <c r="D148" s="186"/>
      <c r="E148" s="186" t="s">
        <v>59</v>
      </c>
      <c r="F148" s="186" t="s">
        <v>141</v>
      </c>
      <c r="G148" s="186" t="s">
        <v>329</v>
      </c>
      <c r="H148" s="186" t="s">
        <v>243</v>
      </c>
      <c r="I148" s="186"/>
      <c r="J148" s="186">
        <v>87</v>
      </c>
      <c r="K148" s="186" t="s">
        <v>682</v>
      </c>
      <c r="L148" s="186" t="s">
        <v>1918</v>
      </c>
      <c r="M148" s="186" t="s">
        <v>602</v>
      </c>
      <c r="N148" s="186" t="s">
        <v>2272</v>
      </c>
      <c r="O148" s="186" t="s">
        <v>2273</v>
      </c>
      <c r="P148" s="186" t="s">
        <v>2241</v>
      </c>
      <c r="Q148" s="186"/>
      <c r="R148" s="186"/>
      <c r="S148" s="186">
        <v>258</v>
      </c>
      <c r="T148" s="186" t="s">
        <v>2274</v>
      </c>
      <c r="U148" s="186"/>
      <c r="V148" s="186"/>
      <c r="W148" s="186"/>
      <c r="X148">
        <v>81</v>
      </c>
      <c r="Z148" s="129" t="s">
        <v>1920</v>
      </c>
      <c r="AA148" s="30">
        <v>43449</v>
      </c>
      <c r="AB148" t="s">
        <v>1929</v>
      </c>
    </row>
    <row r="149" spans="1:28" ht="18.75" hidden="1" customHeight="1">
      <c r="A149" s="186"/>
      <c r="B149" s="186"/>
      <c r="C149" s="186"/>
      <c r="D149" s="186"/>
      <c r="E149" s="186" t="s">
        <v>55</v>
      </c>
      <c r="F149" s="186" t="s">
        <v>2275</v>
      </c>
      <c r="G149" s="186" t="s">
        <v>329</v>
      </c>
      <c r="H149" s="186" t="s">
        <v>243</v>
      </c>
      <c r="I149" s="186"/>
      <c r="J149" s="186">
        <v>88</v>
      </c>
      <c r="K149" s="79" t="s">
        <v>680</v>
      </c>
      <c r="L149" s="186"/>
      <c r="M149" s="186"/>
      <c r="N149" s="186"/>
      <c r="O149" s="186"/>
      <c r="P149" s="186"/>
      <c r="Q149" s="186"/>
      <c r="R149" s="186"/>
      <c r="S149" s="186"/>
      <c r="T149" s="186" t="s">
        <v>2276</v>
      </c>
      <c r="U149" s="186"/>
      <c r="V149" s="186"/>
      <c r="W149" s="186"/>
      <c r="Y149" t="s">
        <v>1917</v>
      </c>
    </row>
    <row r="150" spans="1:28" ht="18.75" hidden="1" customHeight="1">
      <c r="A150" s="186"/>
      <c r="B150" s="186"/>
      <c r="C150" s="186"/>
      <c r="D150" s="186"/>
      <c r="E150" s="186" t="s">
        <v>55</v>
      </c>
      <c r="F150" s="186" t="s">
        <v>2277</v>
      </c>
      <c r="G150" s="186" t="s">
        <v>329</v>
      </c>
      <c r="H150" s="186" t="s">
        <v>243</v>
      </c>
      <c r="I150" s="186"/>
      <c r="J150" s="186">
        <v>89</v>
      </c>
      <c r="K150" s="79" t="s">
        <v>680</v>
      </c>
      <c r="L150" s="186"/>
      <c r="M150" s="186"/>
      <c r="N150" s="186"/>
      <c r="O150" s="186"/>
      <c r="P150" s="186"/>
      <c r="Q150" s="186"/>
      <c r="R150" s="186"/>
      <c r="S150" s="186"/>
      <c r="T150" s="186" t="s">
        <v>2278</v>
      </c>
      <c r="U150" s="186"/>
      <c r="V150" s="186"/>
      <c r="W150" s="186"/>
      <c r="Y150" t="s">
        <v>1917</v>
      </c>
    </row>
    <row r="151" spans="1:28" ht="18.75" hidden="1" customHeight="1">
      <c r="A151" s="186"/>
      <c r="B151" s="186"/>
      <c r="C151" s="186"/>
      <c r="D151" s="186"/>
      <c r="E151" s="186" t="s">
        <v>55</v>
      </c>
      <c r="F151" s="186" t="s">
        <v>2279</v>
      </c>
      <c r="G151" s="186" t="s">
        <v>329</v>
      </c>
      <c r="H151" s="186" t="s">
        <v>243</v>
      </c>
      <c r="I151" s="186"/>
      <c r="J151" s="186">
        <v>90</v>
      </c>
      <c r="K151" s="79" t="s">
        <v>680</v>
      </c>
      <c r="L151" s="186"/>
      <c r="M151" s="186"/>
      <c r="N151" s="186"/>
      <c r="O151" s="186"/>
      <c r="P151" s="186"/>
      <c r="Q151" s="186"/>
      <c r="R151" s="186"/>
      <c r="S151" s="186"/>
      <c r="T151" s="186" t="s">
        <v>2280</v>
      </c>
      <c r="U151" s="186"/>
      <c r="V151" s="186"/>
      <c r="W151" s="186"/>
      <c r="Y151" t="s">
        <v>1917</v>
      </c>
    </row>
    <row r="152" spans="1:28" ht="18.75" customHeight="1">
      <c r="A152" s="186"/>
      <c r="B152" s="186"/>
      <c r="C152" s="186"/>
      <c r="D152" s="186"/>
      <c r="E152" s="186" t="s">
        <v>61</v>
      </c>
      <c r="F152" s="186" t="s">
        <v>142</v>
      </c>
      <c r="G152" s="186" t="s">
        <v>329</v>
      </c>
      <c r="H152" s="186" t="s">
        <v>243</v>
      </c>
      <c r="I152" s="186"/>
      <c r="J152" s="186">
        <v>91</v>
      </c>
      <c r="K152" s="186" t="s">
        <v>682</v>
      </c>
      <c r="L152" s="186" t="s">
        <v>1918</v>
      </c>
      <c r="M152" s="186" t="s">
        <v>389</v>
      </c>
      <c r="N152" s="186" t="s">
        <v>1921</v>
      </c>
      <c r="O152" s="186" t="s">
        <v>2281</v>
      </c>
      <c r="P152" s="186" t="s">
        <v>2282</v>
      </c>
      <c r="Q152" s="186"/>
      <c r="R152" s="186"/>
      <c r="S152" s="186">
        <v>1</v>
      </c>
      <c r="T152" s="186" t="s">
        <v>2044</v>
      </c>
      <c r="U152" s="186"/>
      <c r="V152" s="186"/>
      <c r="W152" s="186"/>
      <c r="X152">
        <v>74</v>
      </c>
      <c r="Z152" s="129" t="s">
        <v>1920</v>
      </c>
      <c r="AA152" s="30">
        <v>43449</v>
      </c>
      <c r="AB152" t="s">
        <v>1057</v>
      </c>
    </row>
    <row r="153" spans="1:28" ht="18.75" customHeight="1">
      <c r="A153" s="186"/>
      <c r="B153" s="186"/>
      <c r="C153" s="186"/>
      <c r="D153" s="186"/>
      <c r="E153" s="186" t="s">
        <v>55</v>
      </c>
      <c r="F153" s="186" t="s">
        <v>620</v>
      </c>
      <c r="G153" s="186" t="s">
        <v>329</v>
      </c>
      <c r="H153" s="186" t="s">
        <v>243</v>
      </c>
      <c r="I153" s="186"/>
      <c r="J153" s="186">
        <v>92</v>
      </c>
      <c r="K153" s="186" t="s">
        <v>682</v>
      </c>
      <c r="L153" s="186" t="s">
        <v>1918</v>
      </c>
      <c r="M153" s="186" t="s">
        <v>622</v>
      </c>
      <c r="N153" s="186" t="s">
        <v>1921</v>
      </c>
      <c r="O153" s="186" t="s">
        <v>2283</v>
      </c>
      <c r="P153" s="186" t="s">
        <v>2284</v>
      </c>
      <c r="Q153" s="186"/>
      <c r="R153" s="186"/>
      <c r="S153" s="186"/>
      <c r="T153" s="186" t="s">
        <v>2285</v>
      </c>
      <c r="U153" s="186"/>
      <c r="V153" s="186"/>
      <c r="W153" s="186"/>
      <c r="X153">
        <v>92</v>
      </c>
      <c r="Z153" s="129" t="s">
        <v>1920</v>
      </c>
      <c r="AA153" s="30">
        <v>43449</v>
      </c>
      <c r="AB153" t="s">
        <v>1929</v>
      </c>
    </row>
    <row r="154" spans="1:28" ht="18.75" customHeight="1">
      <c r="A154" s="186"/>
      <c r="B154" s="186"/>
      <c r="C154" s="186"/>
      <c r="D154" s="186"/>
      <c r="E154" s="186" t="s">
        <v>59</v>
      </c>
      <c r="F154" s="186" t="s">
        <v>143</v>
      </c>
      <c r="G154" s="186" t="s">
        <v>329</v>
      </c>
      <c r="H154" s="186" t="s">
        <v>243</v>
      </c>
      <c r="I154" s="186"/>
      <c r="J154" s="186">
        <v>93</v>
      </c>
      <c r="K154" s="186" t="s">
        <v>682</v>
      </c>
      <c r="L154" s="186" t="s">
        <v>1918</v>
      </c>
      <c r="M154" s="186" t="s">
        <v>664</v>
      </c>
      <c r="N154" s="186" t="s">
        <v>2272</v>
      </c>
      <c r="O154" s="186" t="s">
        <v>2286</v>
      </c>
      <c r="P154" s="186" t="s">
        <v>2287</v>
      </c>
      <c r="Q154" s="186"/>
      <c r="R154" s="186"/>
      <c r="S154" s="186"/>
      <c r="T154" s="186" t="s">
        <v>2288</v>
      </c>
      <c r="U154" s="186"/>
      <c r="V154" s="186"/>
      <c r="W154" s="186"/>
      <c r="X154">
        <v>114</v>
      </c>
      <c r="Z154" s="129" t="s">
        <v>1920</v>
      </c>
      <c r="AA154" s="30">
        <v>43449</v>
      </c>
      <c r="AB154" t="s">
        <v>1057</v>
      </c>
    </row>
    <row r="155" spans="1:28" ht="18.75" hidden="1" customHeight="1">
      <c r="A155" s="186"/>
      <c r="B155" s="186"/>
      <c r="C155" s="186"/>
      <c r="D155" s="186"/>
      <c r="E155" s="186" t="s">
        <v>55</v>
      </c>
      <c r="F155" s="186" t="s">
        <v>2289</v>
      </c>
      <c r="G155" s="186" t="s">
        <v>329</v>
      </c>
      <c r="H155" s="186" t="s">
        <v>243</v>
      </c>
      <c r="I155" s="186"/>
      <c r="J155" s="186">
        <v>94</v>
      </c>
      <c r="K155" s="79" t="s">
        <v>680</v>
      </c>
      <c r="L155" s="186"/>
      <c r="M155" s="186"/>
      <c r="N155" s="186"/>
      <c r="O155" s="186"/>
      <c r="P155" s="186"/>
      <c r="Q155" s="186"/>
      <c r="R155" s="186"/>
      <c r="S155" s="186"/>
      <c r="T155" s="186" t="s">
        <v>2290</v>
      </c>
      <c r="U155" s="186"/>
      <c r="V155" s="186"/>
      <c r="W155" s="186"/>
      <c r="Y155" t="s">
        <v>1917</v>
      </c>
    </row>
    <row r="156" spans="1:28" ht="18.75" customHeight="1">
      <c r="A156" s="186"/>
      <c r="B156" s="186"/>
      <c r="C156" s="186"/>
      <c r="D156" s="186"/>
      <c r="E156" s="186" t="s">
        <v>59</v>
      </c>
      <c r="F156" s="186" t="s">
        <v>661</v>
      </c>
      <c r="G156" s="186" t="s">
        <v>329</v>
      </c>
      <c r="H156" s="186" t="s">
        <v>243</v>
      </c>
      <c r="I156" s="186"/>
      <c r="J156" s="186">
        <v>95</v>
      </c>
      <c r="K156" s="186" t="s">
        <v>682</v>
      </c>
      <c r="L156" s="186" t="s">
        <v>1918</v>
      </c>
      <c r="M156" s="186" t="s">
        <v>662</v>
      </c>
      <c r="N156" s="186" t="s">
        <v>2272</v>
      </c>
      <c r="O156" s="186" t="s">
        <v>2291</v>
      </c>
      <c r="P156" s="186" t="s">
        <v>2292</v>
      </c>
      <c r="Q156" s="186"/>
      <c r="R156" s="186"/>
      <c r="S156" s="186"/>
      <c r="T156" s="186" t="s">
        <v>2293</v>
      </c>
      <c r="U156" s="186"/>
      <c r="V156" s="186"/>
      <c r="W156" s="186"/>
      <c r="X156">
        <v>112</v>
      </c>
      <c r="Z156" s="129" t="s">
        <v>1920</v>
      </c>
      <c r="AA156" s="30">
        <v>43449</v>
      </c>
      <c r="AB156" t="s">
        <v>1057</v>
      </c>
    </row>
    <row r="157" spans="1:28" ht="18.75" hidden="1" customHeight="1">
      <c r="A157" s="186"/>
      <c r="B157" s="186"/>
      <c r="C157" s="186"/>
      <c r="D157" s="186"/>
      <c r="E157" s="186" t="s">
        <v>59</v>
      </c>
      <c r="F157" s="186" t="s">
        <v>2294</v>
      </c>
      <c r="G157" s="186" t="s">
        <v>329</v>
      </c>
      <c r="H157" s="186" t="s">
        <v>243</v>
      </c>
      <c r="I157" s="186"/>
      <c r="J157" s="186">
        <v>96</v>
      </c>
      <c r="K157" s="79" t="s">
        <v>680</v>
      </c>
      <c r="L157" s="186"/>
      <c r="M157" s="186"/>
      <c r="N157" s="186"/>
      <c r="O157" s="186"/>
      <c r="P157" s="186"/>
      <c r="Q157" s="186"/>
      <c r="R157" s="186"/>
      <c r="S157" s="186"/>
      <c r="T157" s="186" t="s">
        <v>2081</v>
      </c>
      <c r="U157" s="186"/>
      <c r="V157" s="186"/>
      <c r="W157" s="186"/>
      <c r="Y157" t="s">
        <v>1917</v>
      </c>
    </row>
    <row r="158" spans="1:28" ht="18.75" customHeight="1">
      <c r="A158" s="186"/>
      <c r="B158" s="186"/>
      <c r="C158" s="186"/>
      <c r="D158" s="186"/>
      <c r="E158" s="186" t="s">
        <v>59</v>
      </c>
      <c r="F158" s="186" t="s">
        <v>128</v>
      </c>
      <c r="G158" s="186" t="s">
        <v>432</v>
      </c>
      <c r="H158" s="186" t="s">
        <v>243</v>
      </c>
      <c r="I158" s="186"/>
      <c r="J158" s="186">
        <v>77</v>
      </c>
      <c r="K158" s="186" t="s">
        <v>682</v>
      </c>
      <c r="L158" s="186" t="s">
        <v>1918</v>
      </c>
      <c r="M158" s="186" t="s">
        <v>553</v>
      </c>
      <c r="N158" s="186" t="s">
        <v>1593</v>
      </c>
      <c r="O158" s="186" t="s">
        <v>2295</v>
      </c>
      <c r="P158" s="186"/>
      <c r="Q158" s="186"/>
      <c r="R158" s="186"/>
      <c r="S158" s="186"/>
      <c r="T158" s="186" t="s">
        <v>2296</v>
      </c>
      <c r="U158" s="186"/>
      <c r="V158" s="186"/>
      <c r="W158" s="186"/>
      <c r="X158">
        <v>50</v>
      </c>
      <c r="Z158" s="129" t="s">
        <v>1920</v>
      </c>
      <c r="AA158" s="30">
        <v>43449</v>
      </c>
      <c r="AB158" t="s">
        <v>1057</v>
      </c>
    </row>
    <row r="159" spans="1:28" ht="18.75" customHeight="1">
      <c r="A159" s="186"/>
      <c r="B159" s="186"/>
      <c r="C159" s="186"/>
      <c r="D159" s="186"/>
      <c r="E159" s="186" t="s">
        <v>55</v>
      </c>
      <c r="F159" t="s">
        <v>431</v>
      </c>
      <c r="G159" s="186" t="s">
        <v>247</v>
      </c>
      <c r="H159" s="186" t="s">
        <v>243</v>
      </c>
      <c r="I159" s="186"/>
      <c r="J159" s="186"/>
      <c r="K159" s="79" t="s">
        <v>682</v>
      </c>
      <c r="L159" s="186" t="s">
        <v>1918</v>
      </c>
      <c r="M159" s="186" t="s">
        <v>433</v>
      </c>
      <c r="N159" s="186"/>
      <c r="O159" s="186"/>
      <c r="P159" s="186"/>
      <c r="Q159" s="186"/>
      <c r="R159" s="186"/>
      <c r="S159" s="186"/>
      <c r="T159" s="186"/>
      <c r="U159" s="186"/>
      <c r="V159" s="186"/>
      <c r="W159" s="186"/>
    </row>
    <row r="160" spans="1:28" ht="18.75" customHeight="1">
      <c r="A160" s="186"/>
      <c r="B160" s="186"/>
      <c r="C160" s="186"/>
      <c r="D160" s="186"/>
      <c r="E160" s="186" t="s">
        <v>59</v>
      </c>
      <c r="F160" s="186" t="s">
        <v>498</v>
      </c>
      <c r="G160" s="186" t="s">
        <v>242</v>
      </c>
      <c r="H160" s="186" t="s">
        <v>243</v>
      </c>
      <c r="I160" s="186"/>
      <c r="J160" s="186">
        <v>97</v>
      </c>
      <c r="K160" s="186" t="s">
        <v>682</v>
      </c>
      <c r="L160" s="186" t="s">
        <v>1918</v>
      </c>
      <c r="M160" s="186" t="s">
        <v>301</v>
      </c>
      <c r="N160" s="186" t="s">
        <v>1390</v>
      </c>
      <c r="O160" s="186" t="s">
        <v>2297</v>
      </c>
      <c r="P160" s="186" t="s">
        <v>2298</v>
      </c>
      <c r="Q160" s="186"/>
      <c r="R160" s="186"/>
      <c r="S160" s="186"/>
      <c r="T160" s="186" t="s">
        <v>2299</v>
      </c>
      <c r="U160" s="186"/>
      <c r="V160" s="186"/>
      <c r="W160" s="186"/>
      <c r="X160">
        <v>2</v>
      </c>
      <c r="Z160" s="129" t="s">
        <v>1920</v>
      </c>
      <c r="AA160" s="30">
        <v>43449</v>
      </c>
      <c r="AB160" t="s">
        <v>1057</v>
      </c>
    </row>
    <row r="161" spans="1:28" ht="18.75" customHeight="1">
      <c r="A161" s="186"/>
      <c r="B161" s="186"/>
      <c r="C161" s="186"/>
      <c r="D161" s="186"/>
      <c r="E161" s="186" t="s">
        <v>59</v>
      </c>
      <c r="F161" s="186" t="s">
        <v>353</v>
      </c>
      <c r="G161" s="186" t="s">
        <v>346</v>
      </c>
      <c r="H161" s="186" t="s">
        <v>243</v>
      </c>
      <c r="I161" s="186"/>
      <c r="J161" s="186">
        <v>162</v>
      </c>
      <c r="K161" s="186" t="s">
        <v>682</v>
      </c>
      <c r="L161" s="186" t="s">
        <v>1918</v>
      </c>
      <c r="M161" s="186" t="s">
        <v>354</v>
      </c>
      <c r="N161" s="186" t="s">
        <v>1663</v>
      </c>
      <c r="O161" s="186" t="s">
        <v>2300</v>
      </c>
      <c r="P161" s="186" t="s">
        <v>2301</v>
      </c>
      <c r="Q161" s="186" t="s">
        <v>2302</v>
      </c>
      <c r="R161" s="289" t="s">
        <v>1346</v>
      </c>
      <c r="S161" s="186"/>
      <c r="T161" s="186" t="s">
        <v>1665</v>
      </c>
      <c r="U161" s="186"/>
      <c r="V161" s="186"/>
      <c r="W161" s="186"/>
      <c r="X161">
        <v>24</v>
      </c>
      <c r="Z161" s="129" t="s">
        <v>1920</v>
      </c>
      <c r="AA161" s="30">
        <v>43449</v>
      </c>
      <c r="AB161" t="s">
        <v>1057</v>
      </c>
    </row>
    <row r="162" spans="1:28" ht="18.75" customHeight="1">
      <c r="A162" s="186"/>
      <c r="B162" s="186"/>
      <c r="C162" s="186"/>
      <c r="D162" s="186"/>
      <c r="E162" s="186" t="s">
        <v>55</v>
      </c>
      <c r="F162" s="186" t="s">
        <v>537</v>
      </c>
      <c r="G162" s="186" t="s">
        <v>346</v>
      </c>
      <c r="H162" s="186" t="s">
        <v>243</v>
      </c>
      <c r="I162" s="186"/>
      <c r="J162" s="186">
        <v>98</v>
      </c>
      <c r="K162" s="186" t="s">
        <v>682</v>
      </c>
      <c r="L162" s="186" t="s">
        <v>1918</v>
      </c>
      <c r="M162" s="186" t="s">
        <v>538</v>
      </c>
      <c r="N162" s="186" t="s">
        <v>1573</v>
      </c>
      <c r="O162" s="186" t="s">
        <v>2303</v>
      </c>
      <c r="P162" s="186" t="s">
        <v>2304</v>
      </c>
      <c r="Q162" s="186" t="s">
        <v>2305</v>
      </c>
      <c r="R162" s="186"/>
      <c r="S162" s="186"/>
      <c r="T162" s="186" t="s">
        <v>2306</v>
      </c>
      <c r="U162" s="186"/>
      <c r="V162" s="186"/>
      <c r="W162" s="186"/>
      <c r="X162">
        <v>39</v>
      </c>
      <c r="Z162" s="129" t="s">
        <v>1920</v>
      </c>
      <c r="AA162" s="30">
        <v>43449</v>
      </c>
      <c r="AB162" t="s">
        <v>1057</v>
      </c>
    </row>
    <row r="163" spans="1:28" ht="18.75" hidden="1" customHeight="1">
      <c r="A163" s="186"/>
      <c r="B163" s="186"/>
      <c r="C163" s="186"/>
      <c r="D163" s="186"/>
      <c r="E163" s="186" t="s">
        <v>55</v>
      </c>
      <c r="F163" s="186" t="s">
        <v>2307</v>
      </c>
      <c r="G163" s="186" t="s">
        <v>249</v>
      </c>
      <c r="H163" s="186" t="s">
        <v>243</v>
      </c>
      <c r="I163" s="186"/>
      <c r="J163" s="72">
        <v>195</v>
      </c>
      <c r="K163" s="79" t="s">
        <v>680</v>
      </c>
      <c r="L163" s="186"/>
      <c r="M163" s="186" t="s">
        <v>2308</v>
      </c>
      <c r="N163" s="186"/>
      <c r="O163" s="186"/>
      <c r="P163" s="186"/>
      <c r="Q163" s="186"/>
      <c r="R163" s="186"/>
      <c r="S163" s="186"/>
      <c r="T163" s="90" t="s">
        <v>2309</v>
      </c>
      <c r="U163" s="90"/>
      <c r="V163" s="90"/>
      <c r="W163" s="90"/>
      <c r="Y163" t="s">
        <v>1917</v>
      </c>
    </row>
    <row r="164" spans="1:28" ht="18.75" hidden="1" customHeight="1">
      <c r="A164" s="186"/>
      <c r="B164" s="186"/>
      <c r="C164" s="186"/>
      <c r="D164" s="186"/>
      <c r="E164" s="186" t="s">
        <v>55</v>
      </c>
      <c r="F164" s="186" t="s">
        <v>2310</v>
      </c>
      <c r="G164" s="186" t="s">
        <v>329</v>
      </c>
      <c r="H164" s="186" t="s">
        <v>243</v>
      </c>
      <c r="I164" s="186"/>
      <c r="J164" s="72">
        <v>174</v>
      </c>
      <c r="K164" s="79" t="s">
        <v>680</v>
      </c>
      <c r="L164" s="186"/>
      <c r="M164" s="186"/>
      <c r="N164" s="186"/>
      <c r="O164" s="186"/>
      <c r="P164" s="186"/>
      <c r="Q164" s="186"/>
      <c r="R164" s="186"/>
      <c r="S164" s="186"/>
      <c r="T164" s="90" t="s">
        <v>2311</v>
      </c>
      <c r="U164" s="90"/>
      <c r="V164" s="90"/>
      <c r="W164" s="90"/>
      <c r="Y164" t="s">
        <v>1917</v>
      </c>
    </row>
    <row r="165" spans="1:28" ht="18.75" customHeight="1">
      <c r="A165" s="186"/>
      <c r="B165" s="186"/>
      <c r="C165" s="186"/>
      <c r="D165" s="186"/>
      <c r="E165" s="186" t="s">
        <v>55</v>
      </c>
      <c r="F165" s="186" t="s">
        <v>539</v>
      </c>
      <c r="G165" s="186" t="s">
        <v>242</v>
      </c>
      <c r="H165" s="186" t="s">
        <v>243</v>
      </c>
      <c r="I165" s="186"/>
      <c r="J165" s="186">
        <v>217</v>
      </c>
      <c r="K165" s="186" t="s">
        <v>682</v>
      </c>
      <c r="L165" s="186" t="s">
        <v>1918</v>
      </c>
      <c r="M165" s="186" t="s">
        <v>540</v>
      </c>
      <c r="N165" s="186" t="s">
        <v>1573</v>
      </c>
      <c r="O165" s="186" t="s">
        <v>2312</v>
      </c>
      <c r="P165" s="186" t="s">
        <v>2313</v>
      </c>
      <c r="Q165" s="186"/>
      <c r="R165" s="186"/>
      <c r="S165" s="186"/>
      <c r="T165" s="186" t="s">
        <v>2314</v>
      </c>
      <c r="U165" s="186"/>
      <c r="V165" s="186"/>
      <c r="W165" s="186"/>
      <c r="X165">
        <v>40</v>
      </c>
      <c r="Z165" s="129" t="s">
        <v>1920</v>
      </c>
      <c r="AA165" s="30">
        <v>43449</v>
      </c>
      <c r="AB165" t="s">
        <v>1929</v>
      </c>
    </row>
    <row r="166" spans="1:28" ht="18.75" customHeight="1">
      <c r="A166" s="186"/>
      <c r="B166" s="186"/>
      <c r="C166" s="186"/>
      <c r="D166" s="186"/>
      <c r="E166" s="186" t="s">
        <v>55</v>
      </c>
      <c r="F166" s="186" t="s">
        <v>541</v>
      </c>
      <c r="G166" s="186" t="s">
        <v>535</v>
      </c>
      <c r="H166" s="186" t="s">
        <v>243</v>
      </c>
      <c r="I166" s="186"/>
      <c r="J166" s="72">
        <v>171</v>
      </c>
      <c r="K166" s="186" t="s">
        <v>682</v>
      </c>
      <c r="L166" s="186" t="s">
        <v>1918</v>
      </c>
      <c r="M166" s="186" t="s">
        <v>542</v>
      </c>
      <c r="N166" s="186" t="s">
        <v>1573</v>
      </c>
      <c r="O166" s="186" t="s">
        <v>2312</v>
      </c>
      <c r="P166" s="186" t="s">
        <v>2215</v>
      </c>
      <c r="Q166" s="186"/>
      <c r="R166" s="186"/>
      <c r="S166" s="186"/>
      <c r="T166" s="90" t="s">
        <v>2315</v>
      </c>
      <c r="U166" s="90"/>
      <c r="V166" s="90"/>
      <c r="W166" s="90"/>
      <c r="X166">
        <v>41</v>
      </c>
      <c r="Z166" s="129" t="s">
        <v>1920</v>
      </c>
      <c r="AA166" s="30">
        <v>43449</v>
      </c>
      <c r="AB166" t="s">
        <v>1929</v>
      </c>
    </row>
    <row r="167" spans="1:28" ht="18.75" customHeight="1">
      <c r="A167" s="186"/>
      <c r="B167" s="186"/>
      <c r="C167" s="186"/>
      <c r="D167" s="186"/>
      <c r="E167" s="186" t="s">
        <v>55</v>
      </c>
      <c r="F167" s="186" t="s">
        <v>386</v>
      </c>
      <c r="G167" s="186" t="s">
        <v>329</v>
      </c>
      <c r="H167" s="186" t="s">
        <v>243</v>
      </c>
      <c r="I167" s="186"/>
      <c r="J167" s="72">
        <v>170</v>
      </c>
      <c r="K167" s="79" t="s">
        <v>682</v>
      </c>
      <c r="L167" s="186" t="s">
        <v>1918</v>
      </c>
      <c r="M167" s="186" t="s">
        <v>387</v>
      </c>
      <c r="N167" s="186" t="s">
        <v>2272</v>
      </c>
      <c r="O167" s="186" t="s">
        <v>2316</v>
      </c>
      <c r="P167" s="186" t="s">
        <v>2317</v>
      </c>
      <c r="Q167" s="186"/>
      <c r="R167" s="186"/>
      <c r="S167" s="186"/>
      <c r="T167" s="90" t="s">
        <v>2318</v>
      </c>
      <c r="U167" s="90"/>
      <c r="V167" s="90"/>
      <c r="W167" s="90"/>
      <c r="X167">
        <v>72</v>
      </c>
      <c r="Z167" s="129" t="s">
        <v>1920</v>
      </c>
      <c r="AA167" s="30">
        <v>43449</v>
      </c>
      <c r="AB167" t="s">
        <v>1057</v>
      </c>
    </row>
    <row r="168" spans="1:28" ht="18.75" customHeight="1">
      <c r="A168" s="186"/>
      <c r="B168" s="186"/>
      <c r="C168" s="186"/>
      <c r="D168" s="186"/>
      <c r="E168" s="186" t="s">
        <v>59</v>
      </c>
      <c r="F168" s="186" t="s">
        <v>573</v>
      </c>
      <c r="G168" s="186" t="s">
        <v>255</v>
      </c>
      <c r="H168" s="186" t="s">
        <v>243</v>
      </c>
      <c r="I168" s="186"/>
      <c r="J168" s="186">
        <v>99</v>
      </c>
      <c r="K168" s="186" t="s">
        <v>682</v>
      </c>
      <c r="L168" s="186" t="s">
        <v>1918</v>
      </c>
      <c r="M168" s="186" t="s">
        <v>574</v>
      </c>
      <c r="N168" s="186" t="s">
        <v>1925</v>
      </c>
      <c r="O168" s="186" t="s">
        <v>2319</v>
      </c>
      <c r="P168" s="186" t="s">
        <v>2320</v>
      </c>
      <c r="Q168" s="123" t="s">
        <v>2321</v>
      </c>
      <c r="R168" s="186"/>
      <c r="S168" s="186"/>
      <c r="T168" s="186" t="s">
        <v>2322</v>
      </c>
      <c r="U168" s="186"/>
      <c r="V168" s="186"/>
      <c r="W168" s="186"/>
      <c r="X168">
        <v>62</v>
      </c>
      <c r="Z168" s="129" t="s">
        <v>1100</v>
      </c>
      <c r="AA168" s="30">
        <v>43550</v>
      </c>
      <c r="AB168" t="s">
        <v>2323</v>
      </c>
    </row>
    <row r="169" spans="1:28" ht="18.75" customHeight="1">
      <c r="A169" s="186"/>
      <c r="B169" s="186"/>
      <c r="C169" s="186"/>
      <c r="D169" s="186"/>
      <c r="E169" s="186" t="s">
        <v>55</v>
      </c>
      <c r="F169" s="186" t="s">
        <v>577</v>
      </c>
      <c r="G169" s="186" t="s">
        <v>255</v>
      </c>
      <c r="H169" s="186" t="s">
        <v>243</v>
      </c>
      <c r="I169" s="186"/>
      <c r="J169" s="72">
        <v>188</v>
      </c>
      <c r="K169" s="79" t="s">
        <v>682</v>
      </c>
      <c r="L169" s="186" t="s">
        <v>1918</v>
      </c>
      <c r="M169" s="186" t="s">
        <v>578</v>
      </c>
      <c r="N169" s="186" t="s">
        <v>1925</v>
      </c>
      <c r="O169" s="186" t="s">
        <v>2324</v>
      </c>
      <c r="P169" s="186" t="s">
        <v>2119</v>
      </c>
      <c r="Q169" s="186" t="s">
        <v>2325</v>
      </c>
      <c r="R169" s="186"/>
      <c r="S169" s="186"/>
      <c r="T169" s="90" t="s">
        <v>2326</v>
      </c>
      <c r="U169" s="90"/>
      <c r="V169" s="90"/>
      <c r="W169" s="90"/>
      <c r="X169">
        <v>64</v>
      </c>
      <c r="Z169" s="129" t="s">
        <v>1920</v>
      </c>
      <c r="AA169" s="30">
        <v>43449</v>
      </c>
      <c r="AB169" t="s">
        <v>1057</v>
      </c>
    </row>
    <row r="170" spans="1:28" ht="18.75" hidden="1" customHeight="1">
      <c r="A170" s="186"/>
      <c r="B170" s="186"/>
      <c r="C170" s="186"/>
      <c r="D170" s="186"/>
      <c r="E170" s="186" t="s">
        <v>55</v>
      </c>
      <c r="F170" s="186" t="s">
        <v>164</v>
      </c>
      <c r="G170" s="186" t="s">
        <v>255</v>
      </c>
      <c r="H170" s="186" t="s">
        <v>243</v>
      </c>
      <c r="I170" s="186"/>
      <c r="J170" s="186">
        <v>100</v>
      </c>
      <c r="K170" s="79" t="s">
        <v>680</v>
      </c>
      <c r="L170" s="186"/>
      <c r="M170" s="186"/>
      <c r="N170" s="186"/>
      <c r="O170" s="186"/>
      <c r="P170" s="186"/>
      <c r="Q170" s="186"/>
      <c r="R170" s="186"/>
      <c r="S170" s="186"/>
      <c r="T170" s="186" t="s">
        <v>2327</v>
      </c>
      <c r="U170" s="186"/>
      <c r="V170" s="186"/>
      <c r="W170" s="186"/>
      <c r="Y170" t="s">
        <v>1917</v>
      </c>
    </row>
    <row r="171" spans="1:28" ht="18.75" hidden="1" customHeight="1">
      <c r="A171" s="186"/>
      <c r="B171" s="186"/>
      <c r="C171" s="186"/>
      <c r="D171" s="186"/>
      <c r="E171" s="186" t="s">
        <v>55</v>
      </c>
      <c r="F171" s="186" t="s">
        <v>2328</v>
      </c>
      <c r="G171" s="186" t="s">
        <v>995</v>
      </c>
      <c r="H171" s="186" t="s">
        <v>243</v>
      </c>
      <c r="I171" s="186"/>
      <c r="J171" s="186">
        <v>101</v>
      </c>
      <c r="K171" s="79" t="s">
        <v>680</v>
      </c>
      <c r="L171" s="186"/>
      <c r="M171" s="186"/>
      <c r="N171" s="186"/>
      <c r="O171" s="186"/>
      <c r="P171" s="186"/>
      <c r="Q171" s="186"/>
      <c r="R171" s="186"/>
      <c r="S171" s="186"/>
      <c r="T171" s="186" t="s">
        <v>2329</v>
      </c>
      <c r="U171" s="186"/>
      <c r="V171" s="186"/>
      <c r="W171" s="186"/>
      <c r="Y171" t="s">
        <v>1917</v>
      </c>
    </row>
    <row r="172" spans="1:28" ht="18.75" customHeight="1">
      <c r="A172" s="186"/>
      <c r="B172" s="186"/>
      <c r="C172" s="186"/>
      <c r="D172" s="186"/>
      <c r="E172" s="186" t="s">
        <v>55</v>
      </c>
      <c r="F172" s="186" t="s">
        <v>565</v>
      </c>
      <c r="G172" s="186" t="s">
        <v>255</v>
      </c>
      <c r="H172" s="186" t="s">
        <v>243</v>
      </c>
      <c r="I172" s="186"/>
      <c r="J172" s="72">
        <v>189</v>
      </c>
      <c r="K172" s="79" t="s">
        <v>682</v>
      </c>
      <c r="L172" s="186" t="s">
        <v>1918</v>
      </c>
      <c r="M172" s="186" t="s">
        <v>566</v>
      </c>
      <c r="N172" s="186" t="s">
        <v>1925</v>
      </c>
      <c r="O172" s="186" t="s">
        <v>2330</v>
      </c>
      <c r="P172" s="186" t="s">
        <v>2331</v>
      </c>
      <c r="Q172" s="186"/>
      <c r="R172" s="186"/>
      <c r="S172" s="186"/>
      <c r="T172" s="90" t="s">
        <v>2332</v>
      </c>
      <c r="U172" s="90"/>
      <c r="V172" s="90"/>
      <c r="W172" s="90"/>
      <c r="X172">
        <v>58</v>
      </c>
      <c r="Z172" s="129" t="s">
        <v>1920</v>
      </c>
      <c r="AA172" s="30">
        <v>43449</v>
      </c>
      <c r="AB172" t="s">
        <v>1057</v>
      </c>
    </row>
    <row r="173" spans="1:28" ht="18.75" customHeight="1">
      <c r="A173" s="186"/>
      <c r="B173" s="186"/>
      <c r="C173" s="186" t="s">
        <v>1548</v>
      </c>
      <c r="D173" s="186">
        <v>1</v>
      </c>
      <c r="E173" s="186" t="s">
        <v>61</v>
      </c>
      <c r="F173" s="186" t="s">
        <v>152</v>
      </c>
      <c r="G173" s="186" t="s">
        <v>247</v>
      </c>
      <c r="H173" s="186" t="s">
        <v>243</v>
      </c>
      <c r="I173" s="186"/>
      <c r="J173" s="186">
        <v>154</v>
      </c>
      <c r="K173" s="186" t="s">
        <v>682</v>
      </c>
      <c r="L173" s="186" t="s">
        <v>1918</v>
      </c>
      <c r="M173" s="186" t="s">
        <v>315</v>
      </c>
      <c r="N173" s="186" t="s">
        <v>1604</v>
      </c>
      <c r="O173" s="186" t="s">
        <v>2333</v>
      </c>
      <c r="P173" s="186" t="s">
        <v>2334</v>
      </c>
      <c r="Q173" s="186"/>
      <c r="R173" s="289" t="s">
        <v>1346</v>
      </c>
      <c r="S173" s="186"/>
      <c r="T173" s="186" t="s">
        <v>1686</v>
      </c>
      <c r="U173" s="186"/>
      <c r="V173" s="186"/>
      <c r="W173" s="186"/>
      <c r="X173">
        <v>12</v>
      </c>
      <c r="Z173" s="129" t="s">
        <v>1920</v>
      </c>
      <c r="AA173" s="30">
        <v>43449</v>
      </c>
      <c r="AB173" t="s">
        <v>1057</v>
      </c>
    </row>
    <row r="174" spans="1:28" ht="18.75" customHeight="1">
      <c r="A174" s="186"/>
      <c r="B174" s="186"/>
      <c r="C174" s="186" t="s">
        <v>1691</v>
      </c>
      <c r="D174" s="186">
        <v>1</v>
      </c>
      <c r="E174" s="186" t="s">
        <v>61</v>
      </c>
      <c r="F174" s="186" t="s">
        <v>144</v>
      </c>
      <c r="G174" s="186" t="s">
        <v>329</v>
      </c>
      <c r="H174" s="186" t="s">
        <v>243</v>
      </c>
      <c r="I174" s="186"/>
      <c r="J174" s="186">
        <v>102</v>
      </c>
      <c r="K174" s="186" t="s">
        <v>682</v>
      </c>
      <c r="L174" s="186" t="s">
        <v>1918</v>
      </c>
      <c r="M174" s="186" t="s">
        <v>385</v>
      </c>
      <c r="N174" s="186" t="s">
        <v>2335</v>
      </c>
      <c r="O174" s="186" t="s">
        <v>2336</v>
      </c>
      <c r="P174" s="186" t="s">
        <v>2337</v>
      </c>
      <c r="Q174" s="186"/>
      <c r="R174" s="186"/>
      <c r="S174" s="186"/>
      <c r="T174" s="186" t="s">
        <v>2338</v>
      </c>
      <c r="U174" s="186"/>
      <c r="V174" s="186"/>
      <c r="W174" s="186"/>
      <c r="X174">
        <v>71</v>
      </c>
      <c r="Z174" s="129" t="s">
        <v>1920</v>
      </c>
      <c r="AA174" s="30">
        <v>43449</v>
      </c>
      <c r="AB174" t="s">
        <v>1057</v>
      </c>
    </row>
    <row r="175" spans="1:28" ht="18.75" hidden="1" customHeight="1">
      <c r="A175" s="186"/>
      <c r="B175" s="186"/>
      <c r="C175" s="186"/>
      <c r="D175" s="186"/>
      <c r="E175" s="186" t="s">
        <v>63</v>
      </c>
      <c r="F175" s="186" t="s">
        <v>2339</v>
      </c>
      <c r="G175" s="186" t="s">
        <v>995</v>
      </c>
      <c r="H175" s="186" t="s">
        <v>243</v>
      </c>
      <c r="I175" s="186"/>
      <c r="J175" s="186">
        <v>138</v>
      </c>
      <c r="K175" s="79" t="s">
        <v>680</v>
      </c>
      <c r="L175" s="186"/>
      <c r="M175" s="186"/>
      <c r="N175" s="186"/>
      <c r="O175" s="186"/>
      <c r="P175" s="186"/>
      <c r="Q175" s="186"/>
      <c r="R175" s="186"/>
      <c r="S175" s="186"/>
      <c r="T175" s="186" t="s">
        <v>1190</v>
      </c>
      <c r="U175" s="186"/>
      <c r="V175" s="186"/>
      <c r="W175" s="186"/>
      <c r="Y175" t="s">
        <v>1917</v>
      </c>
    </row>
    <row r="176" spans="1:28" ht="48" hidden="1" customHeight="1">
      <c r="A176" s="186"/>
      <c r="B176" s="186"/>
      <c r="C176" s="186"/>
      <c r="D176" s="186"/>
      <c r="E176" s="186" t="s">
        <v>55</v>
      </c>
      <c r="F176" s="186" t="s">
        <v>1695</v>
      </c>
      <c r="G176" s="186" t="s">
        <v>247</v>
      </c>
      <c r="H176" s="186" t="s">
        <v>243</v>
      </c>
      <c r="I176" s="186"/>
      <c r="J176" s="186">
        <v>163</v>
      </c>
      <c r="K176" s="79" t="s">
        <v>680</v>
      </c>
      <c r="L176" s="186"/>
      <c r="M176" s="186"/>
      <c r="N176" s="186"/>
      <c r="O176" s="186"/>
      <c r="P176" s="186"/>
      <c r="Q176" s="186"/>
      <c r="R176" s="186"/>
      <c r="S176" s="186"/>
      <c r="T176" s="186" t="s">
        <v>1696</v>
      </c>
      <c r="U176" s="186"/>
      <c r="V176" s="186"/>
      <c r="W176" s="186"/>
      <c r="Y176" t="s">
        <v>1917</v>
      </c>
    </row>
    <row r="177" spans="1:28" ht="18.75" customHeight="1">
      <c r="A177" s="186"/>
      <c r="B177" s="186"/>
      <c r="C177" s="186"/>
      <c r="D177" s="186"/>
      <c r="E177" s="186" t="s">
        <v>55</v>
      </c>
      <c r="F177" s="186" t="s">
        <v>571</v>
      </c>
      <c r="G177" s="186" t="s">
        <v>346</v>
      </c>
      <c r="H177" s="186" t="s">
        <v>243</v>
      </c>
      <c r="I177" s="186"/>
      <c r="J177" s="186">
        <v>105</v>
      </c>
      <c r="K177" s="79" t="s">
        <v>682</v>
      </c>
      <c r="L177" s="186" t="s">
        <v>1918</v>
      </c>
      <c r="M177" s="186" t="s">
        <v>572</v>
      </c>
      <c r="N177" s="186" t="s">
        <v>1925</v>
      </c>
      <c r="O177" s="186" t="s">
        <v>2340</v>
      </c>
      <c r="P177" s="186" t="s">
        <v>2341</v>
      </c>
      <c r="Q177" s="186"/>
      <c r="R177" s="186"/>
      <c r="S177" s="186"/>
      <c r="T177" s="186" t="s">
        <v>2342</v>
      </c>
      <c r="U177" s="186"/>
      <c r="V177" s="186"/>
      <c r="W177" s="186"/>
      <c r="X177">
        <v>61</v>
      </c>
      <c r="Z177" s="129" t="s">
        <v>1920</v>
      </c>
      <c r="AA177" s="30">
        <v>43449</v>
      </c>
      <c r="AB177" t="s">
        <v>1057</v>
      </c>
    </row>
    <row r="178" spans="1:28" ht="18.75" customHeight="1">
      <c r="A178" s="186"/>
      <c r="B178" s="186"/>
      <c r="C178" s="186"/>
      <c r="D178" s="186"/>
      <c r="E178" s="186" t="s">
        <v>55</v>
      </c>
      <c r="F178" s="186" t="s">
        <v>546</v>
      </c>
      <c r="G178" s="186" t="s">
        <v>346</v>
      </c>
      <c r="H178" s="186" t="s">
        <v>243</v>
      </c>
      <c r="I178" s="186"/>
      <c r="J178" s="186">
        <v>106</v>
      </c>
      <c r="K178" s="79" t="s">
        <v>682</v>
      </c>
      <c r="L178" s="186" t="s">
        <v>1918</v>
      </c>
      <c r="M178" s="186" t="s">
        <v>547</v>
      </c>
      <c r="N178" s="186" t="s">
        <v>1663</v>
      </c>
      <c r="O178" s="186" t="s">
        <v>2343</v>
      </c>
      <c r="P178" s="186" t="s">
        <v>2344</v>
      </c>
      <c r="Q178" s="186"/>
      <c r="R178" s="186"/>
      <c r="S178" s="186"/>
      <c r="T178" s="186" t="s">
        <v>2345</v>
      </c>
      <c r="U178" s="186"/>
      <c r="V178" s="186"/>
      <c r="W178" s="186"/>
      <c r="X178">
        <v>45</v>
      </c>
      <c r="Z178" s="129" t="s">
        <v>1920</v>
      </c>
      <c r="AA178" s="30">
        <v>43449</v>
      </c>
      <c r="AB178" t="s">
        <v>1057</v>
      </c>
    </row>
    <row r="179" spans="1:28" ht="18.75" hidden="1" customHeight="1">
      <c r="A179" s="186"/>
      <c r="B179" s="186"/>
      <c r="C179" s="186"/>
      <c r="D179" s="186"/>
      <c r="E179" s="186" t="s">
        <v>55</v>
      </c>
      <c r="F179" s="186" t="s">
        <v>2346</v>
      </c>
      <c r="G179" s="186" t="s">
        <v>346</v>
      </c>
      <c r="H179" s="186" t="s">
        <v>243</v>
      </c>
      <c r="I179" s="186"/>
      <c r="J179" s="186">
        <v>107</v>
      </c>
      <c r="K179" s="79" t="s">
        <v>680</v>
      </c>
      <c r="L179" s="186"/>
      <c r="M179" s="186"/>
      <c r="N179" s="186"/>
      <c r="O179" s="186"/>
      <c r="P179" s="186"/>
      <c r="Q179" s="186"/>
      <c r="R179" s="186"/>
      <c r="S179" s="186"/>
      <c r="T179" s="186" t="s">
        <v>2347</v>
      </c>
      <c r="U179" s="186"/>
      <c r="V179" s="186"/>
      <c r="W179" s="186"/>
      <c r="Y179" t="s">
        <v>1917</v>
      </c>
    </row>
    <row r="180" spans="1:28" ht="18.75" customHeight="1">
      <c r="A180" s="186"/>
      <c r="B180" s="186"/>
      <c r="C180" s="186" t="s">
        <v>47</v>
      </c>
      <c r="D180" s="186">
        <v>1</v>
      </c>
      <c r="E180" s="186" t="s">
        <v>61</v>
      </c>
      <c r="F180" s="186" t="s">
        <v>153</v>
      </c>
      <c r="G180" s="186" t="s">
        <v>324</v>
      </c>
      <c r="H180" s="186" t="s">
        <v>243</v>
      </c>
      <c r="I180" s="186"/>
      <c r="J180" s="186">
        <v>156</v>
      </c>
      <c r="K180" s="186" t="s">
        <v>682</v>
      </c>
      <c r="L180" s="186" t="s">
        <v>1918</v>
      </c>
      <c r="M180" s="186" t="s">
        <v>325</v>
      </c>
      <c r="N180" s="186" t="s">
        <v>1736</v>
      </c>
      <c r="O180" s="186" t="s">
        <v>2348</v>
      </c>
      <c r="P180" s="186" t="s">
        <v>2349</v>
      </c>
      <c r="Q180" s="186"/>
      <c r="R180" s="289" t="s">
        <v>1346</v>
      </c>
      <c r="S180" s="186"/>
      <c r="T180" s="186" t="s">
        <v>1740</v>
      </c>
      <c r="U180" s="186"/>
      <c r="V180" s="186"/>
      <c r="W180" s="186"/>
      <c r="X180">
        <v>17</v>
      </c>
      <c r="Z180" s="129" t="s">
        <v>1920</v>
      </c>
      <c r="AA180" s="30">
        <v>43449</v>
      </c>
      <c r="AB180" t="s">
        <v>1057</v>
      </c>
    </row>
    <row r="181" spans="1:28" ht="18.75" hidden="1" customHeight="1">
      <c r="A181" s="186"/>
      <c r="B181" s="186"/>
      <c r="C181" s="186"/>
      <c r="D181" s="186"/>
      <c r="E181" s="186" t="s">
        <v>55</v>
      </c>
      <c r="F181" s="186" t="s">
        <v>2350</v>
      </c>
      <c r="G181" s="186" t="s">
        <v>329</v>
      </c>
      <c r="H181" s="186" t="s">
        <v>243</v>
      </c>
      <c r="I181" s="186"/>
      <c r="J181" s="72">
        <v>209</v>
      </c>
      <c r="K181" s="79" t="s">
        <v>680</v>
      </c>
      <c r="L181" s="186"/>
      <c r="M181" s="186"/>
      <c r="N181" s="186"/>
      <c r="O181" s="186"/>
      <c r="P181" s="186"/>
      <c r="Q181" s="186"/>
      <c r="R181" s="186"/>
      <c r="S181" s="186"/>
      <c r="T181" s="90" t="s">
        <v>2351</v>
      </c>
      <c r="U181" s="90"/>
      <c r="V181" s="90"/>
      <c r="W181" s="90"/>
      <c r="Y181" t="s">
        <v>1917</v>
      </c>
    </row>
    <row r="182" spans="1:28" ht="18.75" hidden="1" customHeight="1">
      <c r="A182" s="186"/>
      <c r="B182" s="186"/>
      <c r="C182" s="186"/>
      <c r="D182" s="186"/>
      <c r="E182" s="186" t="s">
        <v>53</v>
      </c>
      <c r="F182" s="186" t="s">
        <v>2352</v>
      </c>
      <c r="G182" s="186" t="s">
        <v>535</v>
      </c>
      <c r="H182" s="186" t="s">
        <v>243</v>
      </c>
      <c r="I182" s="186"/>
      <c r="J182" s="186">
        <v>134</v>
      </c>
      <c r="K182" s="79" t="s">
        <v>680</v>
      </c>
      <c r="L182" s="186"/>
      <c r="M182" s="186"/>
      <c r="N182" s="186"/>
      <c r="O182" s="186"/>
      <c r="P182" s="186"/>
      <c r="Q182" s="186"/>
      <c r="R182" s="186"/>
      <c r="S182" s="186"/>
      <c r="T182" s="186" t="s">
        <v>1190</v>
      </c>
      <c r="U182" s="186"/>
      <c r="V182" s="186"/>
      <c r="W182" s="186"/>
      <c r="Y182" t="s">
        <v>1917</v>
      </c>
    </row>
    <row r="183" spans="1:28" ht="18.75" hidden="1" customHeight="1">
      <c r="A183" s="186"/>
      <c r="B183" s="186"/>
      <c r="C183" s="186"/>
      <c r="D183" s="186"/>
      <c r="E183" s="186" t="s">
        <v>55</v>
      </c>
      <c r="F183" s="186" t="s">
        <v>2353</v>
      </c>
      <c r="G183" s="186" t="s">
        <v>329</v>
      </c>
      <c r="H183" s="186" t="s">
        <v>243</v>
      </c>
      <c r="I183" s="186"/>
      <c r="J183" s="72">
        <v>208</v>
      </c>
      <c r="K183" s="79" t="s">
        <v>680</v>
      </c>
      <c r="L183" s="186"/>
      <c r="M183" s="186"/>
      <c r="N183" s="186"/>
      <c r="O183" s="186"/>
      <c r="P183" s="186"/>
      <c r="Q183" s="186"/>
      <c r="R183" s="186"/>
      <c r="S183" s="186"/>
      <c r="T183" s="90" t="s">
        <v>2354</v>
      </c>
      <c r="U183" s="90"/>
      <c r="V183" s="90"/>
      <c r="W183" s="90"/>
      <c r="Y183" t="s">
        <v>1917</v>
      </c>
    </row>
    <row r="184" spans="1:28" ht="18.75" hidden="1" customHeight="1">
      <c r="A184" s="186"/>
      <c r="B184" s="186"/>
      <c r="C184" s="186"/>
      <c r="D184" s="186"/>
      <c r="E184" s="186" t="s">
        <v>55</v>
      </c>
      <c r="F184" s="186" t="s">
        <v>2355</v>
      </c>
      <c r="G184" s="186" t="s">
        <v>432</v>
      </c>
      <c r="H184" s="186" t="s">
        <v>243</v>
      </c>
      <c r="I184" s="186"/>
      <c r="J184" s="186">
        <v>108</v>
      </c>
      <c r="K184" s="79" t="s">
        <v>680</v>
      </c>
      <c r="L184" s="186"/>
      <c r="M184" s="186"/>
      <c r="N184" s="186"/>
      <c r="O184" s="186"/>
      <c r="P184" s="186"/>
      <c r="Q184" s="186"/>
      <c r="R184" s="186"/>
      <c r="S184" s="186"/>
      <c r="T184" s="186" t="s">
        <v>2356</v>
      </c>
      <c r="U184" s="186"/>
      <c r="V184" s="186"/>
      <c r="W184" s="186"/>
      <c r="Y184" t="s">
        <v>1917</v>
      </c>
    </row>
    <row r="185" spans="1:28" ht="18.75" customHeight="1">
      <c r="A185" s="186"/>
      <c r="B185" s="186"/>
      <c r="C185" s="186" t="s">
        <v>1552</v>
      </c>
      <c r="D185" s="186">
        <v>1</v>
      </c>
      <c r="E185" s="186" t="s">
        <v>59</v>
      </c>
      <c r="F185" s="186" t="s">
        <v>151</v>
      </c>
      <c r="G185" s="186" t="s">
        <v>247</v>
      </c>
      <c r="H185" s="186" t="s">
        <v>243</v>
      </c>
      <c r="I185" s="186"/>
      <c r="J185" s="186">
        <v>147</v>
      </c>
      <c r="K185" s="186" t="s">
        <v>682</v>
      </c>
      <c r="L185" s="186" t="s">
        <v>1918</v>
      </c>
      <c r="M185" s="186" t="s">
        <v>515</v>
      </c>
      <c r="N185" s="186" t="s">
        <v>1390</v>
      </c>
      <c r="O185" s="186" t="s">
        <v>2357</v>
      </c>
      <c r="P185" s="186" t="s">
        <v>2358</v>
      </c>
      <c r="Q185" s="186"/>
      <c r="R185" s="289" t="s">
        <v>1346</v>
      </c>
      <c r="S185" s="186"/>
      <c r="T185" s="186" t="s">
        <v>1752</v>
      </c>
      <c r="U185" s="186"/>
      <c r="V185" s="186"/>
      <c r="W185" s="186"/>
      <c r="X185">
        <v>21</v>
      </c>
      <c r="Z185" s="129" t="s">
        <v>1920</v>
      </c>
      <c r="AA185" s="30">
        <v>43449</v>
      </c>
      <c r="AB185" t="s">
        <v>1057</v>
      </c>
    </row>
    <row r="186" spans="1:28" ht="18.75" customHeight="1">
      <c r="A186" s="186"/>
      <c r="B186" s="186"/>
      <c r="C186" s="186"/>
      <c r="D186" s="186"/>
      <c r="E186" s="186" t="s">
        <v>59</v>
      </c>
      <c r="F186" s="186" t="s">
        <v>349</v>
      </c>
      <c r="G186" s="186" t="s">
        <v>247</v>
      </c>
      <c r="H186" s="186" t="s">
        <v>243</v>
      </c>
      <c r="I186" s="186"/>
      <c r="J186" s="186">
        <v>148</v>
      </c>
      <c r="K186" s="186" t="s">
        <v>682</v>
      </c>
      <c r="L186" s="186" t="s">
        <v>1918</v>
      </c>
      <c r="M186" s="186" t="s">
        <v>516</v>
      </c>
      <c r="N186" s="186" t="s">
        <v>1390</v>
      </c>
      <c r="O186" s="186" t="s">
        <v>2359</v>
      </c>
      <c r="P186" s="186" t="s">
        <v>2358</v>
      </c>
      <c r="Q186" s="186"/>
      <c r="R186" s="289" t="s">
        <v>1346</v>
      </c>
      <c r="S186" s="186"/>
      <c r="T186" s="186" t="s">
        <v>1756</v>
      </c>
      <c r="U186" s="186"/>
      <c r="V186" s="186"/>
      <c r="W186" s="186"/>
      <c r="X186">
        <v>22</v>
      </c>
      <c r="Z186" s="129" t="s">
        <v>1920</v>
      </c>
      <c r="AA186" s="30">
        <v>43449</v>
      </c>
      <c r="AB186" t="s">
        <v>1057</v>
      </c>
    </row>
    <row r="187" spans="1:28" ht="39.75" customHeight="1">
      <c r="A187" s="186"/>
      <c r="B187" s="186"/>
      <c r="C187" s="186"/>
      <c r="D187" s="186"/>
      <c r="E187" s="186" t="s">
        <v>59</v>
      </c>
      <c r="F187" s="186" t="s">
        <v>351</v>
      </c>
      <c r="G187" s="186" t="s">
        <v>247</v>
      </c>
      <c r="H187" s="186" t="s">
        <v>243</v>
      </c>
      <c r="I187" s="186"/>
      <c r="J187" s="186">
        <v>149</v>
      </c>
      <c r="K187" s="186" t="s">
        <v>682</v>
      </c>
      <c r="L187" s="186" t="s">
        <v>1918</v>
      </c>
      <c r="M187" s="186" t="s">
        <v>517</v>
      </c>
      <c r="N187" s="186" t="s">
        <v>1390</v>
      </c>
      <c r="O187" s="186" t="s">
        <v>2360</v>
      </c>
      <c r="P187" s="186" t="s">
        <v>2358</v>
      </c>
      <c r="Q187" s="186"/>
      <c r="R187" s="289" t="s">
        <v>1346</v>
      </c>
      <c r="S187" s="186"/>
      <c r="T187" s="186" t="s">
        <v>2361</v>
      </c>
      <c r="U187" s="186"/>
      <c r="V187" s="186"/>
      <c r="W187" s="186"/>
      <c r="X187">
        <v>23</v>
      </c>
      <c r="Z187" s="129" t="s">
        <v>1920</v>
      </c>
      <c r="AA187" s="30">
        <v>43449</v>
      </c>
      <c r="AB187" t="s">
        <v>1057</v>
      </c>
    </row>
    <row r="188" spans="1:28" ht="18.75" customHeight="1">
      <c r="A188" s="186"/>
      <c r="B188" s="186"/>
      <c r="C188" s="186" t="s">
        <v>1569</v>
      </c>
      <c r="D188" s="186">
        <v>1</v>
      </c>
      <c r="E188" s="186" t="s">
        <v>59</v>
      </c>
      <c r="F188" s="186" t="s">
        <v>320</v>
      </c>
      <c r="G188" s="186" t="s">
        <v>264</v>
      </c>
      <c r="H188" s="186" t="s">
        <v>243</v>
      </c>
      <c r="I188" s="186"/>
      <c r="J188" s="186">
        <v>160</v>
      </c>
      <c r="K188" s="186" t="s">
        <v>682</v>
      </c>
      <c r="L188" s="186" t="s">
        <v>1918</v>
      </c>
      <c r="M188" s="75" t="s">
        <v>2362</v>
      </c>
      <c r="N188" s="186" t="s">
        <v>1604</v>
      </c>
      <c r="O188" s="186" t="s">
        <v>1569</v>
      </c>
      <c r="P188" s="186" t="s">
        <v>2363</v>
      </c>
      <c r="Q188" s="186" t="s">
        <v>2364</v>
      </c>
      <c r="R188" s="289" t="s">
        <v>1346</v>
      </c>
      <c r="S188" s="186"/>
      <c r="T188" s="186" t="s">
        <v>320</v>
      </c>
      <c r="U188" s="186"/>
      <c r="V188" s="186"/>
      <c r="W188" s="186"/>
      <c r="X188">
        <v>15</v>
      </c>
      <c r="Z188" s="129" t="s">
        <v>1521</v>
      </c>
      <c r="AA188" s="30">
        <v>43173</v>
      </c>
      <c r="AB188" t="s">
        <v>1985</v>
      </c>
    </row>
    <row r="189" spans="1:28" ht="18.75" hidden="1" customHeight="1">
      <c r="A189" s="186"/>
      <c r="B189" s="186"/>
      <c r="C189" s="186"/>
      <c r="D189" s="186"/>
      <c r="E189" s="129" t="s">
        <v>55</v>
      </c>
      <c r="F189" s="129" t="s">
        <v>2365</v>
      </c>
      <c r="G189" s="186" t="s">
        <v>329</v>
      </c>
      <c r="H189" s="129" t="s">
        <v>243</v>
      </c>
      <c r="I189" s="186"/>
      <c r="J189" s="186"/>
      <c r="K189" s="79" t="s">
        <v>680</v>
      </c>
      <c r="L189" s="186"/>
      <c r="M189" s="186"/>
      <c r="N189" s="186"/>
      <c r="O189" s="186"/>
      <c r="P189" s="186"/>
      <c r="Q189" s="186"/>
      <c r="R189" s="186"/>
      <c r="S189" s="186"/>
      <c r="U189" s="186"/>
      <c r="V189" s="186"/>
      <c r="W189" s="186"/>
    </row>
    <row r="190" spans="1:28" ht="18.75" customHeight="1">
      <c r="A190" s="186"/>
      <c r="B190" s="186"/>
      <c r="C190" s="186"/>
      <c r="D190" s="186"/>
      <c r="E190" s="186" t="s">
        <v>59</v>
      </c>
      <c r="F190" s="186" t="s">
        <v>145</v>
      </c>
      <c r="G190" s="186" t="s">
        <v>250</v>
      </c>
      <c r="H190" s="186" t="s">
        <v>243</v>
      </c>
      <c r="I190" s="186"/>
      <c r="J190" s="186">
        <v>110</v>
      </c>
      <c r="K190" s="186" t="s">
        <v>682</v>
      </c>
      <c r="L190" s="186" t="s">
        <v>1918</v>
      </c>
      <c r="M190" s="186" t="s">
        <v>583</v>
      </c>
      <c r="N190" s="186" t="s">
        <v>1709</v>
      </c>
      <c r="O190" s="186" t="s">
        <v>2366</v>
      </c>
      <c r="P190" s="186" t="s">
        <v>2367</v>
      </c>
      <c r="Q190" s="186"/>
      <c r="R190" s="186"/>
      <c r="S190" s="186"/>
      <c r="T190" s="186" t="s">
        <v>2368</v>
      </c>
      <c r="U190" s="186"/>
      <c r="V190" s="186"/>
      <c r="W190" s="186"/>
      <c r="X190">
        <v>67</v>
      </c>
      <c r="Z190" s="129" t="s">
        <v>1920</v>
      </c>
      <c r="AA190" s="30">
        <v>43449</v>
      </c>
      <c r="AB190" t="s">
        <v>1057</v>
      </c>
    </row>
    <row r="191" spans="1:28" ht="18.75" customHeight="1">
      <c r="A191" s="186"/>
      <c r="B191" s="186"/>
      <c r="C191" s="186"/>
      <c r="D191" s="186"/>
      <c r="E191" s="186" t="s">
        <v>59</v>
      </c>
      <c r="F191" s="186" t="s">
        <v>643</v>
      </c>
      <c r="G191" s="186" t="s">
        <v>329</v>
      </c>
      <c r="H191" s="186" t="s">
        <v>243</v>
      </c>
      <c r="I191" s="186"/>
      <c r="J191" s="186">
        <v>111</v>
      </c>
      <c r="K191" s="186" t="s">
        <v>682</v>
      </c>
      <c r="L191" s="186" t="s">
        <v>1918</v>
      </c>
      <c r="M191" s="186" t="s">
        <v>644</v>
      </c>
      <c r="N191" s="186" t="s">
        <v>1921</v>
      </c>
      <c r="O191" s="186" t="s">
        <v>2369</v>
      </c>
      <c r="P191" s="186" t="s">
        <v>2282</v>
      </c>
      <c r="Q191" s="186" t="s">
        <v>2370</v>
      </c>
      <c r="R191" s="186"/>
      <c r="S191" s="186"/>
      <c r="T191" s="186" t="s">
        <v>2371</v>
      </c>
      <c r="U191" s="186"/>
      <c r="V191" s="186"/>
      <c r="W191" s="186"/>
      <c r="X191">
        <v>103</v>
      </c>
      <c r="Z191" s="129" t="s">
        <v>1920</v>
      </c>
      <c r="AA191" s="30">
        <v>43449</v>
      </c>
      <c r="AB191" t="s">
        <v>1057</v>
      </c>
    </row>
    <row r="192" spans="1:28" ht="18.75" hidden="1" customHeight="1">
      <c r="A192" s="186"/>
      <c r="B192" s="186"/>
      <c r="C192" s="186"/>
      <c r="D192" s="186"/>
      <c r="E192" s="186" t="s">
        <v>55</v>
      </c>
      <c r="F192" s="186" t="s">
        <v>2372</v>
      </c>
      <c r="G192" s="186" t="s">
        <v>250</v>
      </c>
      <c r="H192" s="186" t="s">
        <v>243</v>
      </c>
      <c r="I192" s="186"/>
      <c r="J192" s="186">
        <v>2</v>
      </c>
      <c r="K192" s="79" t="s">
        <v>680</v>
      </c>
      <c r="L192" s="186"/>
      <c r="M192" s="186"/>
      <c r="N192" s="186"/>
      <c r="O192" s="186"/>
      <c r="P192" s="186"/>
      <c r="Q192" s="186"/>
      <c r="R192" s="186"/>
      <c r="S192" s="186"/>
      <c r="T192" s="186" t="s">
        <v>2373</v>
      </c>
      <c r="U192" s="186"/>
      <c r="V192" s="186"/>
      <c r="W192" s="186"/>
      <c r="Y192" t="s">
        <v>1917</v>
      </c>
    </row>
    <row r="193" spans="1:28" ht="18.75" customHeight="1">
      <c r="A193" s="186"/>
      <c r="B193" s="186"/>
      <c r="C193" s="186"/>
      <c r="D193" s="186"/>
      <c r="E193" s="186" t="s">
        <v>55</v>
      </c>
      <c r="F193" s="186" t="s">
        <v>355</v>
      </c>
      <c r="G193" s="186" t="s">
        <v>346</v>
      </c>
      <c r="H193" s="186" t="s">
        <v>243</v>
      </c>
      <c r="I193" s="186"/>
      <c r="J193" s="186">
        <v>153</v>
      </c>
      <c r="K193" s="79" t="s">
        <v>682</v>
      </c>
      <c r="L193" s="186" t="s">
        <v>1918</v>
      </c>
      <c r="M193" s="186" t="s">
        <v>356</v>
      </c>
      <c r="N193" s="186" t="s">
        <v>1663</v>
      </c>
      <c r="O193" s="186" t="s">
        <v>1765</v>
      </c>
      <c r="P193" s="186" t="s">
        <v>2374</v>
      </c>
      <c r="Q193" s="186"/>
      <c r="R193" s="289" t="s">
        <v>1346</v>
      </c>
      <c r="S193" s="186"/>
      <c r="T193" s="186" t="s">
        <v>1765</v>
      </c>
      <c r="U193" s="186"/>
      <c r="V193" s="186"/>
      <c r="W193" s="186"/>
      <c r="X193">
        <v>25</v>
      </c>
      <c r="Z193" s="129" t="s">
        <v>1920</v>
      </c>
      <c r="AA193" s="30">
        <v>43449</v>
      </c>
      <c r="AB193" t="s">
        <v>1057</v>
      </c>
    </row>
    <row r="194" spans="1:28" ht="18.75" hidden="1" customHeight="1">
      <c r="A194" s="186"/>
      <c r="B194" s="186"/>
      <c r="C194" s="186"/>
      <c r="D194" s="186"/>
      <c r="E194" s="186" t="s">
        <v>55</v>
      </c>
      <c r="F194" s="186" t="s">
        <v>2375</v>
      </c>
      <c r="G194" s="186" t="s">
        <v>329</v>
      </c>
      <c r="H194" s="186" t="s">
        <v>243</v>
      </c>
      <c r="I194" s="186"/>
      <c r="J194" s="186">
        <v>112</v>
      </c>
      <c r="K194" s="79" t="s">
        <v>680</v>
      </c>
      <c r="L194" s="186"/>
      <c r="M194" s="186"/>
      <c r="N194" s="186"/>
      <c r="O194" s="186"/>
      <c r="P194" s="186"/>
      <c r="Q194" s="186"/>
      <c r="R194" s="186"/>
      <c r="S194" s="186"/>
      <c r="T194" s="186" t="s">
        <v>2376</v>
      </c>
      <c r="U194" s="186"/>
      <c r="V194" s="186"/>
      <c r="W194" s="186"/>
      <c r="Y194" t="s">
        <v>1917</v>
      </c>
    </row>
    <row r="195" spans="1:28" ht="18.75" customHeight="1">
      <c r="A195" s="186"/>
      <c r="B195" s="186"/>
      <c r="C195" s="186"/>
      <c r="D195" s="186"/>
      <c r="E195" s="186" t="s">
        <v>59</v>
      </c>
      <c r="F195" s="186" t="s">
        <v>146</v>
      </c>
      <c r="G195" s="186" t="s">
        <v>432</v>
      </c>
      <c r="H195" s="186" t="s">
        <v>243</v>
      </c>
      <c r="I195" s="186"/>
      <c r="J195" s="186">
        <v>113</v>
      </c>
      <c r="K195" s="186" t="s">
        <v>682</v>
      </c>
      <c r="L195" s="186" t="s">
        <v>1918</v>
      </c>
      <c r="M195" s="186" t="s">
        <v>552</v>
      </c>
      <c r="N195" s="186" t="s">
        <v>1593</v>
      </c>
      <c r="O195" s="186" t="s">
        <v>2377</v>
      </c>
      <c r="P195" s="186" t="s">
        <v>2378</v>
      </c>
      <c r="Q195" s="186" t="s">
        <v>2379</v>
      </c>
      <c r="R195" s="186"/>
      <c r="S195" s="186"/>
      <c r="T195" s="186" t="s">
        <v>2380</v>
      </c>
      <c r="U195" s="186"/>
      <c r="V195" s="186"/>
      <c r="W195" s="186"/>
      <c r="X195">
        <v>49</v>
      </c>
      <c r="Z195" s="129" t="s">
        <v>1920</v>
      </c>
      <c r="AA195" s="30">
        <v>43449</v>
      </c>
      <c r="AB195" t="s">
        <v>1057</v>
      </c>
    </row>
    <row r="196" spans="1:28" ht="18.75" hidden="1" customHeight="1">
      <c r="A196" s="186"/>
      <c r="B196" s="186"/>
      <c r="C196" s="186"/>
      <c r="D196" s="186"/>
      <c r="E196" s="186" t="s">
        <v>55</v>
      </c>
      <c r="F196" s="186" t="s">
        <v>434</v>
      </c>
      <c r="G196" s="186" t="s">
        <v>247</v>
      </c>
      <c r="H196" s="186" t="s">
        <v>243</v>
      </c>
      <c r="I196" s="186"/>
      <c r="J196" s="186">
        <v>217</v>
      </c>
      <c r="K196" s="79" t="s">
        <v>680</v>
      </c>
      <c r="L196" s="186"/>
      <c r="M196" s="186"/>
      <c r="N196" s="186"/>
      <c r="O196" s="186"/>
      <c r="P196" s="186"/>
      <c r="Q196" s="186"/>
      <c r="R196" s="186"/>
      <c r="S196" s="186"/>
      <c r="T196" s="90" t="s">
        <v>1767</v>
      </c>
      <c r="U196" s="90"/>
      <c r="V196" s="90"/>
      <c r="W196" s="90"/>
      <c r="Y196" t="s">
        <v>1917</v>
      </c>
    </row>
    <row r="197" spans="1:28" ht="18.75" hidden="1" customHeight="1">
      <c r="A197" s="186"/>
      <c r="B197" s="186"/>
      <c r="C197" s="186"/>
      <c r="D197" s="186"/>
      <c r="E197" s="186" t="s">
        <v>53</v>
      </c>
      <c r="F197" s="186" t="s">
        <v>1288</v>
      </c>
      <c r="G197" s="186" t="s">
        <v>535</v>
      </c>
      <c r="H197" s="186" t="s">
        <v>243</v>
      </c>
      <c r="I197" s="186"/>
      <c r="J197" s="186">
        <v>133</v>
      </c>
      <c r="K197" s="79" t="s">
        <v>680</v>
      </c>
      <c r="L197" s="186"/>
      <c r="M197" s="186"/>
      <c r="N197" s="186"/>
      <c r="O197" s="186"/>
      <c r="P197" s="186"/>
      <c r="Q197" s="186"/>
      <c r="R197" s="186"/>
      <c r="S197" s="186"/>
      <c r="T197" s="186" t="s">
        <v>1190</v>
      </c>
      <c r="U197" s="186"/>
      <c r="V197" s="186"/>
      <c r="W197" s="186"/>
      <c r="Y197" t="s">
        <v>1917</v>
      </c>
    </row>
    <row r="198" spans="1:28" ht="18.75" hidden="1" customHeight="1">
      <c r="A198" s="186"/>
      <c r="B198" s="186"/>
      <c r="C198" s="186"/>
      <c r="D198" s="186"/>
      <c r="E198" s="186" t="s">
        <v>53</v>
      </c>
      <c r="F198" s="186" t="s">
        <v>1289</v>
      </c>
      <c r="G198" s="186" t="s">
        <v>324</v>
      </c>
      <c r="H198" s="186" t="s">
        <v>243</v>
      </c>
      <c r="I198" s="186"/>
      <c r="J198" s="186">
        <v>114</v>
      </c>
      <c r="K198" s="79" t="s">
        <v>680</v>
      </c>
      <c r="L198" s="186"/>
      <c r="M198" s="186"/>
      <c r="N198" s="186"/>
      <c r="O198" s="186"/>
      <c r="P198" s="186"/>
      <c r="Q198" s="186"/>
      <c r="R198" s="186"/>
      <c r="S198" s="186"/>
      <c r="T198" s="186" t="s">
        <v>1190</v>
      </c>
      <c r="U198" s="186"/>
      <c r="V198" s="186"/>
      <c r="W198" s="186"/>
      <c r="Y198" t="s">
        <v>1917</v>
      </c>
    </row>
    <row r="199" spans="1:28" ht="18.75" hidden="1" customHeight="1">
      <c r="A199" s="186"/>
      <c r="B199" s="186"/>
      <c r="C199" s="186"/>
      <c r="D199" s="186"/>
      <c r="E199" s="186" t="s">
        <v>53</v>
      </c>
      <c r="F199" s="186" t="s">
        <v>1290</v>
      </c>
      <c r="G199" s="186" t="s">
        <v>432</v>
      </c>
      <c r="H199" s="186" t="s">
        <v>243</v>
      </c>
      <c r="I199" s="186"/>
      <c r="J199" s="186">
        <v>103</v>
      </c>
      <c r="K199" s="79" t="s">
        <v>680</v>
      </c>
      <c r="L199" s="186"/>
      <c r="M199" s="186"/>
      <c r="N199" s="186"/>
      <c r="O199" s="186"/>
      <c r="P199" s="186"/>
      <c r="Q199" s="186"/>
      <c r="R199" s="186"/>
      <c r="S199" s="186"/>
      <c r="T199" s="186" t="s">
        <v>1190</v>
      </c>
      <c r="U199" s="186"/>
      <c r="V199" s="186"/>
      <c r="W199" s="186"/>
      <c r="Y199" t="s">
        <v>1917</v>
      </c>
    </row>
    <row r="200" spans="1:28" ht="18.75" hidden="1" customHeight="1">
      <c r="A200" s="186"/>
      <c r="B200" s="186"/>
      <c r="C200" s="186"/>
      <c r="D200" s="186"/>
      <c r="E200" s="186" t="s">
        <v>53</v>
      </c>
      <c r="F200" s="186" t="s">
        <v>1291</v>
      </c>
      <c r="G200" s="186" t="s">
        <v>247</v>
      </c>
      <c r="H200" s="186" t="s">
        <v>243</v>
      </c>
      <c r="I200" s="186"/>
      <c r="J200" s="186">
        <v>104</v>
      </c>
      <c r="K200" s="79" t="s">
        <v>680</v>
      </c>
      <c r="L200" s="186"/>
      <c r="M200" s="186"/>
      <c r="N200" s="186"/>
      <c r="O200" s="186"/>
      <c r="P200" s="186"/>
      <c r="Q200" s="186"/>
      <c r="R200" s="186"/>
      <c r="S200" s="186"/>
      <c r="T200" s="186" t="s">
        <v>1190</v>
      </c>
      <c r="U200" s="186"/>
      <c r="V200" s="186"/>
      <c r="W200" s="186"/>
      <c r="Y200" t="s">
        <v>1917</v>
      </c>
    </row>
    <row r="201" spans="1:28" ht="18.75" hidden="1" customHeight="1">
      <c r="A201" s="186"/>
      <c r="B201" s="186"/>
      <c r="C201" s="186"/>
      <c r="D201" s="186"/>
      <c r="E201" s="186" t="s">
        <v>53</v>
      </c>
      <c r="F201" s="186" t="s">
        <v>1292</v>
      </c>
      <c r="G201" s="186" t="s">
        <v>535</v>
      </c>
      <c r="H201" s="186" t="s">
        <v>243</v>
      </c>
      <c r="I201" s="186"/>
      <c r="J201" s="186">
        <v>109</v>
      </c>
      <c r="K201" s="79" t="s">
        <v>680</v>
      </c>
      <c r="L201" s="186"/>
      <c r="M201" s="186"/>
      <c r="N201" s="186"/>
      <c r="O201" s="186"/>
      <c r="P201" s="186"/>
      <c r="Q201" s="186"/>
      <c r="R201" s="186"/>
      <c r="S201" s="186"/>
      <c r="T201" s="186" t="s">
        <v>1190</v>
      </c>
      <c r="U201" s="186"/>
      <c r="V201" s="186"/>
      <c r="W201" s="186"/>
      <c r="Y201" t="s">
        <v>1917</v>
      </c>
    </row>
    <row r="202" spans="1:28" ht="18.75" hidden="1" customHeight="1">
      <c r="A202" s="186"/>
      <c r="B202" s="186"/>
      <c r="C202" s="186"/>
      <c r="D202" s="186"/>
      <c r="E202" s="186" t="s">
        <v>53</v>
      </c>
      <c r="F202" s="186" t="s">
        <v>1293</v>
      </c>
      <c r="G202" s="186" t="s">
        <v>432</v>
      </c>
      <c r="H202" s="186" t="s">
        <v>243</v>
      </c>
      <c r="I202" s="186"/>
      <c r="J202" s="186">
        <v>115</v>
      </c>
      <c r="K202" s="79" t="s">
        <v>680</v>
      </c>
      <c r="L202" s="186"/>
      <c r="M202" s="186"/>
      <c r="N202" s="186"/>
      <c r="O202" s="186"/>
      <c r="P202" s="186"/>
      <c r="Q202" s="186"/>
      <c r="R202" s="186"/>
      <c r="S202" s="186"/>
      <c r="T202" s="186" t="s">
        <v>1190</v>
      </c>
      <c r="U202" s="186"/>
      <c r="V202" s="186"/>
      <c r="W202" s="186"/>
      <c r="Y202" t="s">
        <v>1917</v>
      </c>
    </row>
    <row r="203" spans="1:28" ht="18.75" customHeight="1">
      <c r="A203" s="186"/>
      <c r="B203" s="186"/>
      <c r="C203" s="186"/>
      <c r="D203" s="186"/>
      <c r="E203" s="186" t="s">
        <v>59</v>
      </c>
      <c r="F203" s="186" t="s">
        <v>491</v>
      </c>
      <c r="G203" s="186" t="s">
        <v>346</v>
      </c>
      <c r="H203" s="186" t="s">
        <v>243</v>
      </c>
      <c r="I203" s="186"/>
      <c r="J203" s="186">
        <v>116</v>
      </c>
      <c r="K203" s="79" t="s">
        <v>682</v>
      </c>
      <c r="L203" s="186" t="s">
        <v>1918</v>
      </c>
      <c r="M203" s="123" t="s">
        <v>492</v>
      </c>
      <c r="N203" s="56" t="s">
        <v>1937</v>
      </c>
      <c r="O203" s="123" t="s">
        <v>1768</v>
      </c>
      <c r="P203" s="123" t="s">
        <v>1769</v>
      </c>
      <c r="Q203" s="123" t="s">
        <v>1770</v>
      </c>
      <c r="R203" s="122"/>
      <c r="S203" s="79">
        <v>1771</v>
      </c>
      <c r="T203" s="186" t="s">
        <v>2381</v>
      </c>
      <c r="U203" s="186"/>
      <c r="V203" s="186"/>
      <c r="W203" s="186"/>
      <c r="X203">
        <v>122</v>
      </c>
      <c r="Y203" t="s">
        <v>1917</v>
      </c>
      <c r="Z203" s="5" t="s">
        <v>1353</v>
      </c>
      <c r="AA203" s="6">
        <v>43551</v>
      </c>
      <c r="AB203" s="5" t="s">
        <v>1772</v>
      </c>
    </row>
    <row r="204" spans="1:28" ht="40.5" customHeight="1">
      <c r="A204" s="125"/>
      <c r="B204" s="125"/>
      <c r="C204" s="125"/>
      <c r="D204" s="125"/>
      <c r="E204" s="186" t="s">
        <v>55</v>
      </c>
      <c r="F204" s="186" t="s">
        <v>1773</v>
      </c>
      <c r="G204" s="186" t="s">
        <v>247</v>
      </c>
      <c r="H204" s="186" t="s">
        <v>243</v>
      </c>
      <c r="I204" s="186"/>
      <c r="J204" s="72">
        <v>182</v>
      </c>
      <c r="K204" s="79" t="s">
        <v>682</v>
      </c>
      <c r="L204" s="186" t="s">
        <v>1918</v>
      </c>
      <c r="M204" s="123" t="s">
        <v>1774</v>
      </c>
      <c r="N204" s="56" t="s">
        <v>1184</v>
      </c>
      <c r="O204" s="56" t="s">
        <v>1775</v>
      </c>
      <c r="P204" s="186"/>
      <c r="Q204" s="186"/>
      <c r="R204" s="125"/>
      <c r="S204" s="125"/>
      <c r="T204" s="126" t="s">
        <v>1776</v>
      </c>
      <c r="U204" s="126"/>
      <c r="V204" s="126"/>
      <c r="W204" s="126"/>
      <c r="X204" s="128"/>
      <c r="Y204" s="128" t="s">
        <v>1917</v>
      </c>
      <c r="Z204" s="452"/>
      <c r="AA204" s="77"/>
      <c r="AB204" s="128"/>
    </row>
    <row r="205" spans="1:28" ht="18.75" customHeight="1">
      <c r="A205" s="186"/>
      <c r="B205" s="186"/>
      <c r="C205" s="186"/>
      <c r="D205" s="186"/>
      <c r="E205" s="186" t="s">
        <v>59</v>
      </c>
      <c r="F205" s="186" t="s">
        <v>493</v>
      </c>
      <c r="G205" s="186" t="s">
        <v>242</v>
      </c>
      <c r="H205" s="186" t="s">
        <v>243</v>
      </c>
      <c r="I205" s="186"/>
      <c r="J205" s="186">
        <v>117</v>
      </c>
      <c r="K205" s="79" t="s">
        <v>682</v>
      </c>
      <c r="L205" s="186" t="s">
        <v>1918</v>
      </c>
      <c r="M205" s="123" t="s">
        <v>494</v>
      </c>
      <c r="N205" s="56" t="s">
        <v>2382</v>
      </c>
      <c r="O205" s="123" t="s">
        <v>1778</v>
      </c>
      <c r="P205" s="123" t="s">
        <v>1779</v>
      </c>
      <c r="Q205" s="123" t="s">
        <v>1780</v>
      </c>
      <c r="R205" s="186"/>
      <c r="S205" s="79" t="s">
        <v>1781</v>
      </c>
      <c r="T205" s="186" t="s">
        <v>2383</v>
      </c>
      <c r="U205" s="186"/>
      <c r="V205" s="186"/>
      <c r="W205" s="186"/>
      <c r="X205">
        <v>123</v>
      </c>
      <c r="Y205" t="s">
        <v>1917</v>
      </c>
      <c r="Z205" s="5" t="s">
        <v>1353</v>
      </c>
      <c r="AA205" s="6">
        <v>43551</v>
      </c>
      <c r="AB205" s="5" t="s">
        <v>1783</v>
      </c>
    </row>
    <row r="206" spans="1:28" ht="18.75" hidden="1" customHeight="1">
      <c r="A206" s="186"/>
      <c r="B206" s="186"/>
      <c r="C206" s="186"/>
      <c r="D206" s="186"/>
      <c r="E206" s="186" t="s">
        <v>55</v>
      </c>
      <c r="F206" s="186" t="s">
        <v>2384</v>
      </c>
      <c r="G206" s="186" t="s">
        <v>346</v>
      </c>
      <c r="H206" s="186" t="s">
        <v>243</v>
      </c>
      <c r="I206" s="186"/>
      <c r="J206" s="186">
        <v>118</v>
      </c>
      <c r="K206" s="79" t="s">
        <v>680</v>
      </c>
      <c r="L206" s="186"/>
      <c r="M206" s="186"/>
      <c r="N206" s="186"/>
      <c r="O206" s="186"/>
      <c r="P206" s="186"/>
      <c r="Q206" s="186"/>
      <c r="R206" s="186"/>
      <c r="S206" s="186"/>
      <c r="T206" s="186" t="s">
        <v>2385</v>
      </c>
      <c r="U206" s="186"/>
      <c r="V206" s="186"/>
      <c r="W206" s="186"/>
      <c r="Y206" t="s">
        <v>1917</v>
      </c>
    </row>
    <row r="207" spans="1:28" ht="18.75" hidden="1" customHeight="1">
      <c r="A207" s="186"/>
      <c r="B207" s="186"/>
      <c r="C207" s="186"/>
      <c r="D207" s="186"/>
      <c r="E207" s="186" t="s">
        <v>55</v>
      </c>
      <c r="F207" s="186" t="s">
        <v>2386</v>
      </c>
      <c r="G207" s="186" t="s">
        <v>242</v>
      </c>
      <c r="H207" s="186" t="s">
        <v>243</v>
      </c>
      <c r="I207" s="186"/>
      <c r="J207" s="186">
        <v>119</v>
      </c>
      <c r="K207" s="79" t="s">
        <v>680</v>
      </c>
      <c r="L207" s="186"/>
      <c r="M207" s="186"/>
      <c r="N207" s="186"/>
      <c r="O207" s="186"/>
      <c r="P207" s="186"/>
      <c r="Q207" s="186"/>
      <c r="R207" s="186"/>
      <c r="S207" s="186"/>
      <c r="T207" s="186" t="s">
        <v>2387</v>
      </c>
      <c r="U207" s="186"/>
      <c r="V207" s="186"/>
      <c r="W207" s="186"/>
      <c r="Y207" t="s">
        <v>1917</v>
      </c>
    </row>
    <row r="208" spans="1:28" ht="18.75" hidden="1" customHeight="1">
      <c r="A208" s="186"/>
      <c r="B208" s="186"/>
      <c r="C208" s="186"/>
      <c r="D208" s="186"/>
      <c r="E208" s="186" t="s">
        <v>55</v>
      </c>
      <c r="F208" s="186" t="s">
        <v>2388</v>
      </c>
      <c r="G208" s="186" t="s">
        <v>432</v>
      </c>
      <c r="H208" s="186" t="s">
        <v>243</v>
      </c>
      <c r="I208" s="186"/>
      <c r="J208" s="186">
        <v>120</v>
      </c>
      <c r="K208" s="79" t="s">
        <v>680</v>
      </c>
      <c r="L208" s="186"/>
      <c r="M208" s="186"/>
      <c r="N208" s="186"/>
      <c r="O208" s="186"/>
      <c r="P208" s="186"/>
      <c r="Q208" s="186"/>
      <c r="R208" s="186"/>
      <c r="S208" s="186"/>
      <c r="T208" s="186" t="s">
        <v>2389</v>
      </c>
      <c r="U208" s="186"/>
      <c r="V208" s="186"/>
      <c r="W208" s="186"/>
      <c r="Y208" t="s">
        <v>1917</v>
      </c>
    </row>
    <row r="209" spans="1:28" ht="18.75" customHeight="1">
      <c r="A209" s="186"/>
      <c r="B209" s="186"/>
      <c r="C209" s="186"/>
      <c r="D209" s="186"/>
      <c r="E209" s="186" t="s">
        <v>59</v>
      </c>
      <c r="F209" s="186" t="s">
        <v>147</v>
      </c>
      <c r="G209" s="186" t="s">
        <v>242</v>
      </c>
      <c r="H209" s="186" t="s">
        <v>243</v>
      </c>
      <c r="I209" s="186"/>
      <c r="J209" s="186">
        <v>122</v>
      </c>
      <c r="K209" s="186" t="s">
        <v>682</v>
      </c>
      <c r="L209" s="186" t="s">
        <v>1918</v>
      </c>
      <c r="M209" s="186" t="s">
        <v>382</v>
      </c>
      <c r="N209" s="186" t="s">
        <v>1573</v>
      </c>
      <c r="O209" s="186" t="s">
        <v>2390</v>
      </c>
      <c r="P209" s="186" t="s">
        <v>2391</v>
      </c>
      <c r="Q209" s="186"/>
      <c r="R209" s="186"/>
      <c r="S209" s="186"/>
      <c r="T209" s="186" t="s">
        <v>2392</v>
      </c>
      <c r="U209" s="186"/>
      <c r="V209" s="186"/>
      <c r="W209" s="186"/>
      <c r="X209">
        <v>42</v>
      </c>
      <c r="Z209" s="129" t="s">
        <v>1920</v>
      </c>
      <c r="AA209" s="30">
        <v>43449</v>
      </c>
      <c r="AB209" t="s">
        <v>1057</v>
      </c>
    </row>
    <row r="210" spans="1:28" ht="18.75" customHeight="1">
      <c r="A210" s="186"/>
      <c r="B210" s="186"/>
      <c r="C210" s="186"/>
      <c r="D210" s="186"/>
      <c r="E210" s="186" t="s">
        <v>59</v>
      </c>
      <c r="F210" s="186" t="s">
        <v>588</v>
      </c>
      <c r="G210" s="186" t="s">
        <v>589</v>
      </c>
      <c r="H210" s="186" t="s">
        <v>243</v>
      </c>
      <c r="I210" s="186"/>
      <c r="J210" s="186">
        <v>121</v>
      </c>
      <c r="K210" s="186" t="s">
        <v>682</v>
      </c>
      <c r="L210" s="186" t="s">
        <v>1918</v>
      </c>
      <c r="M210" s="186" t="s">
        <v>590</v>
      </c>
      <c r="N210" s="186" t="s">
        <v>2393</v>
      </c>
      <c r="O210" s="186" t="s">
        <v>2394</v>
      </c>
      <c r="P210" s="186" t="s">
        <v>2395</v>
      </c>
      <c r="Q210" s="186"/>
      <c r="R210" s="186"/>
      <c r="S210" s="186"/>
      <c r="T210" s="186" t="s">
        <v>110</v>
      </c>
      <c r="U210" s="186"/>
      <c r="V210" s="186"/>
      <c r="W210" s="186"/>
      <c r="X210">
        <v>70</v>
      </c>
      <c r="Z210" s="129" t="s">
        <v>1920</v>
      </c>
      <c r="AA210" s="30">
        <v>43449</v>
      </c>
      <c r="AB210" t="s">
        <v>1057</v>
      </c>
    </row>
    <row r="211" spans="1:28" ht="18.75" hidden="1" customHeight="1">
      <c r="A211" s="186"/>
      <c r="B211" s="186"/>
      <c r="C211" s="186"/>
      <c r="D211" s="186"/>
      <c r="E211" s="186" t="s">
        <v>53</v>
      </c>
      <c r="F211" s="186" t="s">
        <v>123</v>
      </c>
      <c r="G211" s="186" t="s">
        <v>535</v>
      </c>
      <c r="H211" s="186" t="s">
        <v>243</v>
      </c>
      <c r="I211" s="186"/>
      <c r="J211" s="186">
        <v>135</v>
      </c>
      <c r="K211" s="79" t="s">
        <v>680</v>
      </c>
      <c r="L211" s="186"/>
      <c r="M211" s="186"/>
      <c r="N211" s="186"/>
      <c r="O211" s="186"/>
      <c r="P211" s="186"/>
      <c r="Q211" s="186"/>
      <c r="R211" s="186"/>
      <c r="S211" s="186"/>
      <c r="T211" s="186" t="s">
        <v>1190</v>
      </c>
      <c r="U211" s="186"/>
      <c r="V211" s="186"/>
      <c r="W211" s="186"/>
      <c r="Y211" t="s">
        <v>1917</v>
      </c>
    </row>
    <row r="212" spans="1:28" ht="18.75" hidden="1" customHeight="1">
      <c r="A212" s="186"/>
      <c r="B212" s="186"/>
      <c r="C212" s="186"/>
      <c r="D212" s="119"/>
      <c r="E212" s="186" t="s">
        <v>63</v>
      </c>
      <c r="F212" s="186" t="s">
        <v>122</v>
      </c>
      <c r="G212" s="186" t="s">
        <v>2396</v>
      </c>
      <c r="H212" s="186"/>
      <c r="I212" s="186"/>
      <c r="J212" s="186">
        <v>35</v>
      </c>
      <c r="K212" s="79" t="s">
        <v>680</v>
      </c>
      <c r="L212" s="186"/>
      <c r="M212" s="186"/>
      <c r="N212" s="186"/>
      <c r="O212" s="186"/>
      <c r="P212" s="186"/>
      <c r="Q212" s="186"/>
      <c r="R212" s="186"/>
      <c r="S212" s="186"/>
      <c r="T212" s="186" t="s">
        <v>1190</v>
      </c>
      <c r="U212" s="186"/>
      <c r="V212" s="186"/>
      <c r="W212" s="186"/>
      <c r="Y212" t="s">
        <v>1917</v>
      </c>
    </row>
    <row r="213" spans="1:28" ht="18.75" customHeight="1">
      <c r="A213" s="125"/>
      <c r="B213" s="125"/>
      <c r="C213" s="125"/>
      <c r="D213" s="125"/>
      <c r="E213" s="186" t="s">
        <v>55</v>
      </c>
      <c r="F213" s="186" t="s">
        <v>2397</v>
      </c>
      <c r="G213" s="186" t="s">
        <v>324</v>
      </c>
      <c r="H213" s="186" t="s">
        <v>243</v>
      </c>
      <c r="I213" s="186"/>
      <c r="J213" s="186">
        <v>137</v>
      </c>
      <c r="K213" s="79" t="s">
        <v>682</v>
      </c>
      <c r="L213" s="186" t="s">
        <v>1918</v>
      </c>
      <c r="M213" s="186" t="s">
        <v>1742</v>
      </c>
      <c r="N213" s="186"/>
      <c r="O213" s="186"/>
      <c r="P213" s="186"/>
      <c r="Q213" s="186"/>
      <c r="R213" s="125"/>
      <c r="S213" s="125"/>
      <c r="T213" s="125" t="s">
        <v>2398</v>
      </c>
      <c r="U213" s="125"/>
      <c r="V213" s="125"/>
      <c r="W213" s="125"/>
      <c r="X213" s="128"/>
      <c r="Y213" s="128" t="s">
        <v>1917</v>
      </c>
      <c r="Z213" s="128"/>
      <c r="AA213" s="128"/>
      <c r="AB213" s="128"/>
    </row>
    <row r="214" spans="1:28" ht="18.75" customHeight="1">
      <c r="A214" s="186"/>
      <c r="B214" s="186"/>
      <c r="C214" s="186" t="s">
        <v>1589</v>
      </c>
      <c r="D214" s="186">
        <v>1</v>
      </c>
      <c r="E214" s="186" t="s">
        <v>59</v>
      </c>
      <c r="F214" s="186" t="s">
        <v>316</v>
      </c>
      <c r="G214" s="186" t="s">
        <v>264</v>
      </c>
      <c r="H214" s="186" t="s">
        <v>243</v>
      </c>
      <c r="I214" s="186"/>
      <c r="J214" s="186">
        <v>157</v>
      </c>
      <c r="K214" s="186" t="s">
        <v>682</v>
      </c>
      <c r="L214" s="186" t="s">
        <v>1918</v>
      </c>
      <c r="M214" s="186" t="s">
        <v>510</v>
      </c>
      <c r="N214" s="186" t="s">
        <v>1604</v>
      </c>
      <c r="O214" s="186" t="s">
        <v>1589</v>
      </c>
      <c r="P214" s="186" t="s">
        <v>2363</v>
      </c>
      <c r="Q214" s="186" t="s">
        <v>2399</v>
      </c>
      <c r="R214" s="289" t="s">
        <v>1346</v>
      </c>
      <c r="S214" s="186"/>
      <c r="T214" s="186" t="s">
        <v>1589</v>
      </c>
      <c r="U214" s="186"/>
      <c r="V214" s="186"/>
      <c r="W214" s="186"/>
      <c r="X214">
        <v>13</v>
      </c>
      <c r="Z214" s="129" t="s">
        <v>1920</v>
      </c>
      <c r="AA214" s="30">
        <v>43449</v>
      </c>
      <c r="AB214" t="s">
        <v>1057</v>
      </c>
    </row>
    <row r="215" spans="1:28" ht="15.75" customHeight="1">
      <c r="A215" s="186"/>
      <c r="B215" s="186"/>
      <c r="C215" s="186" t="s">
        <v>2400</v>
      </c>
      <c r="D215" s="186">
        <v>1</v>
      </c>
      <c r="E215" s="186" t="s">
        <v>61</v>
      </c>
      <c r="F215" s="186" t="s">
        <v>148</v>
      </c>
      <c r="G215" s="186" t="s">
        <v>255</v>
      </c>
      <c r="H215" s="186" t="s">
        <v>243</v>
      </c>
      <c r="I215" s="186"/>
      <c r="J215" s="186">
        <v>123</v>
      </c>
      <c r="K215" s="186" t="s">
        <v>682</v>
      </c>
      <c r="L215" s="186" t="s">
        <v>1918</v>
      </c>
      <c r="M215" s="186" t="s">
        <v>384</v>
      </c>
      <c r="N215" s="186" t="s">
        <v>1925</v>
      </c>
      <c r="O215" s="186" t="s">
        <v>2400</v>
      </c>
      <c r="P215" s="186" t="s">
        <v>2401</v>
      </c>
      <c r="Q215" s="186"/>
      <c r="R215" s="186"/>
      <c r="S215" s="186"/>
      <c r="T215" s="186" t="s">
        <v>2400</v>
      </c>
      <c r="U215" s="186"/>
      <c r="V215" s="186"/>
      <c r="W215" s="186"/>
      <c r="X215">
        <v>54</v>
      </c>
      <c r="Z215" s="129" t="s">
        <v>1920</v>
      </c>
      <c r="AA215" s="30">
        <v>43449</v>
      </c>
      <c r="AB215" t="s">
        <v>1057</v>
      </c>
    </row>
    <row r="216" spans="1:28" ht="18.75" hidden="1" customHeight="1">
      <c r="A216" s="186"/>
      <c r="B216" s="186"/>
      <c r="C216" s="186"/>
      <c r="D216" s="186"/>
      <c r="E216" s="186" t="s">
        <v>55</v>
      </c>
      <c r="F216" s="186" t="s">
        <v>2402</v>
      </c>
      <c r="G216" s="186" t="s">
        <v>255</v>
      </c>
      <c r="H216" s="186" t="s">
        <v>243</v>
      </c>
      <c r="I216" s="186"/>
      <c r="J216" s="186">
        <v>124</v>
      </c>
      <c r="K216" s="79" t="s">
        <v>680</v>
      </c>
      <c r="L216" s="186"/>
      <c r="M216" s="186"/>
      <c r="N216" s="186"/>
      <c r="O216" s="186"/>
      <c r="P216" s="186"/>
      <c r="Q216" s="186"/>
      <c r="R216" s="186"/>
      <c r="S216" s="186"/>
      <c r="T216" s="186" t="s">
        <v>2400</v>
      </c>
      <c r="U216" s="186"/>
      <c r="V216" s="186"/>
      <c r="W216" s="186"/>
      <c r="Y216" t="s">
        <v>1917</v>
      </c>
    </row>
    <row r="217" spans="1:28" ht="18.75" hidden="1" customHeight="1">
      <c r="A217" s="186"/>
      <c r="B217" s="186"/>
      <c r="C217" s="186"/>
      <c r="D217" s="186"/>
      <c r="E217" s="186" t="s">
        <v>55</v>
      </c>
      <c r="F217" s="186" t="s">
        <v>2403</v>
      </c>
      <c r="G217" s="186" t="s">
        <v>242</v>
      </c>
      <c r="H217" s="186" t="s">
        <v>243</v>
      </c>
      <c r="I217" s="186"/>
      <c r="J217" s="186">
        <v>126</v>
      </c>
      <c r="K217" s="79" t="s">
        <v>680</v>
      </c>
      <c r="L217" s="186"/>
      <c r="M217" s="186"/>
      <c r="N217" s="186"/>
      <c r="O217" s="186"/>
      <c r="P217" s="186"/>
      <c r="Q217" s="186"/>
      <c r="R217" s="186"/>
      <c r="S217" s="186"/>
      <c r="T217" s="186" t="s">
        <v>2404</v>
      </c>
      <c r="U217" s="186"/>
      <c r="V217" s="186"/>
      <c r="W217" s="186"/>
      <c r="Y217" t="s">
        <v>1917</v>
      </c>
    </row>
    <row r="218" spans="1:28" ht="18.75" hidden="1" customHeight="1">
      <c r="A218" s="186"/>
      <c r="B218" s="186"/>
      <c r="C218" s="186"/>
      <c r="D218" s="186"/>
      <c r="E218" s="186" t="s">
        <v>55</v>
      </c>
      <c r="F218" s="186" t="s">
        <v>2405</v>
      </c>
      <c r="G218" s="186" t="s">
        <v>329</v>
      </c>
      <c r="H218" s="186" t="s">
        <v>243</v>
      </c>
      <c r="I218" s="186"/>
      <c r="J218" s="186">
        <v>125</v>
      </c>
      <c r="K218" s="79" t="s">
        <v>680</v>
      </c>
      <c r="L218" s="186"/>
      <c r="M218" s="186"/>
      <c r="N218" s="186"/>
      <c r="O218" s="186"/>
      <c r="P218" s="186"/>
      <c r="Q218" s="186"/>
      <c r="R218" s="186"/>
      <c r="S218" s="186"/>
      <c r="T218" s="186" t="s">
        <v>2406</v>
      </c>
      <c r="U218" s="186"/>
      <c r="V218" s="186"/>
      <c r="W218" s="186"/>
      <c r="Y218" t="s">
        <v>1917</v>
      </c>
    </row>
    <row r="219" spans="1:28" ht="18.75" customHeight="1">
      <c r="A219" s="186"/>
      <c r="B219" s="186"/>
      <c r="C219" s="186"/>
      <c r="D219" s="186"/>
      <c r="E219" s="186" t="s">
        <v>55</v>
      </c>
      <c r="F219" s="186" t="s">
        <v>2407</v>
      </c>
      <c r="G219" s="186" t="s">
        <v>247</v>
      </c>
      <c r="H219" s="186" t="s">
        <v>243</v>
      </c>
      <c r="I219" s="186"/>
      <c r="J219" s="72">
        <v>175</v>
      </c>
      <c r="K219" s="567" t="s">
        <v>682</v>
      </c>
      <c r="L219" s="186" t="s">
        <v>1918</v>
      </c>
      <c r="M219" s="186" t="s">
        <v>2408</v>
      </c>
      <c r="N219" s="186"/>
      <c r="O219" s="186"/>
      <c r="P219" s="186"/>
      <c r="Q219" s="186"/>
      <c r="R219" s="186"/>
      <c r="S219" s="186"/>
      <c r="T219" s="90" t="s">
        <v>2409</v>
      </c>
      <c r="U219" s="90"/>
      <c r="V219" s="90"/>
      <c r="W219" s="90"/>
      <c r="Y219" t="s">
        <v>1917</v>
      </c>
    </row>
    <row r="220" spans="1:28" ht="18.75" hidden="1" customHeight="1">
      <c r="A220" s="186"/>
      <c r="B220" s="186"/>
      <c r="C220" s="186"/>
      <c r="D220" s="186"/>
      <c r="E220" s="186" t="s">
        <v>55</v>
      </c>
      <c r="F220" s="186" t="s">
        <v>2410</v>
      </c>
      <c r="G220" s="186" t="s">
        <v>346</v>
      </c>
      <c r="H220" s="186" t="s">
        <v>243</v>
      </c>
      <c r="I220" s="186"/>
      <c r="J220" s="72">
        <v>176</v>
      </c>
      <c r="K220" s="79" t="s">
        <v>680</v>
      </c>
      <c r="L220" s="186"/>
      <c r="M220" s="186"/>
      <c r="N220" s="186"/>
      <c r="O220" s="186"/>
      <c r="P220" s="186"/>
      <c r="Q220" s="186"/>
      <c r="R220" s="186"/>
      <c r="S220" s="186"/>
      <c r="T220" s="90" t="s">
        <v>2411</v>
      </c>
      <c r="U220" s="90"/>
      <c r="V220" s="90"/>
      <c r="W220" s="90"/>
      <c r="Y220" t="s">
        <v>1917</v>
      </c>
    </row>
    <row r="221" spans="1:28" ht="18.75" customHeight="1">
      <c r="A221" s="186"/>
      <c r="B221" s="186"/>
      <c r="C221" s="186"/>
      <c r="D221" s="186"/>
      <c r="E221" s="186" t="s">
        <v>55</v>
      </c>
      <c r="F221" s="186" t="s">
        <v>505</v>
      </c>
      <c r="G221" s="186" t="s">
        <v>247</v>
      </c>
      <c r="H221" s="186" t="s">
        <v>243</v>
      </c>
      <c r="I221" s="186"/>
      <c r="J221" s="72">
        <v>183</v>
      </c>
      <c r="K221" s="79" t="s">
        <v>682</v>
      </c>
      <c r="L221" s="186" t="s">
        <v>1918</v>
      </c>
      <c r="M221" s="186" t="s">
        <v>506</v>
      </c>
      <c r="N221" s="186" t="s">
        <v>1328</v>
      </c>
      <c r="O221" s="186" t="s">
        <v>2412</v>
      </c>
      <c r="P221" s="186" t="s">
        <v>2413</v>
      </c>
      <c r="Q221" s="186" t="s">
        <v>2302</v>
      </c>
      <c r="R221" s="186"/>
      <c r="S221" s="186"/>
      <c r="T221" s="90" t="s">
        <v>2414</v>
      </c>
      <c r="U221" s="90"/>
      <c r="V221" s="90"/>
      <c r="W221" s="90"/>
      <c r="X221">
        <v>7</v>
      </c>
      <c r="Z221" s="129" t="s">
        <v>1920</v>
      </c>
      <c r="AA221" s="30">
        <v>43449</v>
      </c>
      <c r="AB221" t="s">
        <v>1057</v>
      </c>
    </row>
    <row r="222" spans="1:28" ht="232.5" customHeight="1">
      <c r="A222" s="186"/>
      <c r="B222" s="186"/>
      <c r="C222" s="186"/>
      <c r="D222" s="186"/>
      <c r="E222" s="186" t="s">
        <v>55</v>
      </c>
      <c r="F222" s="186" t="s">
        <v>677</v>
      </c>
      <c r="G222" s="186" t="s">
        <v>247</v>
      </c>
      <c r="H222" s="186" t="s">
        <v>243</v>
      </c>
      <c r="I222" s="186"/>
      <c r="J222" s="72">
        <v>215</v>
      </c>
      <c r="K222" s="79" t="s">
        <v>682</v>
      </c>
      <c r="L222" s="186" t="s">
        <v>1918</v>
      </c>
      <c r="M222" s="123" t="s">
        <v>2415</v>
      </c>
      <c r="N222" s="186" t="s">
        <v>1709</v>
      </c>
      <c r="O222" s="186"/>
      <c r="P222" s="186"/>
      <c r="Q222" s="186"/>
      <c r="R222" s="186"/>
      <c r="S222" s="186"/>
      <c r="T222" s="90" t="s">
        <v>2416</v>
      </c>
      <c r="U222" s="90"/>
      <c r="V222" s="90"/>
      <c r="W222" s="90"/>
      <c r="X222">
        <v>46</v>
      </c>
      <c r="Z222" s="129" t="s">
        <v>2139</v>
      </c>
      <c r="AA222" s="30">
        <v>43546</v>
      </c>
      <c r="AB222" t="s">
        <v>2417</v>
      </c>
    </row>
    <row r="223" spans="1:28" ht="27" hidden="1" customHeight="1">
      <c r="A223" s="186"/>
      <c r="B223" s="186"/>
      <c r="C223" s="186"/>
      <c r="D223" s="186"/>
      <c r="E223" s="186" t="s">
        <v>55</v>
      </c>
      <c r="F223" s="186" t="s">
        <v>2418</v>
      </c>
      <c r="G223" s="186" t="s">
        <v>247</v>
      </c>
      <c r="H223" s="186" t="s">
        <v>243</v>
      </c>
      <c r="I223" s="186"/>
      <c r="J223" s="72">
        <v>216</v>
      </c>
      <c r="K223" s="79" t="s">
        <v>680</v>
      </c>
      <c r="L223" s="186"/>
      <c r="M223" s="186"/>
      <c r="N223" s="186"/>
      <c r="O223" s="186"/>
      <c r="P223" s="186"/>
      <c r="Q223" s="186"/>
      <c r="R223" s="186"/>
      <c r="S223" s="186"/>
      <c r="T223" s="90" t="s">
        <v>2419</v>
      </c>
      <c r="U223" s="90"/>
      <c r="V223" s="90"/>
      <c r="W223" s="90"/>
      <c r="Y223" t="s">
        <v>1917</v>
      </c>
    </row>
    <row r="224" spans="1:28" ht="18.75" customHeight="1">
      <c r="A224" s="186"/>
      <c r="B224" s="186"/>
      <c r="C224" s="186"/>
      <c r="D224" s="186"/>
      <c r="E224" s="186" t="s">
        <v>59</v>
      </c>
      <c r="F224" s="186" t="s">
        <v>378</v>
      </c>
      <c r="G224" s="186" t="s">
        <v>247</v>
      </c>
      <c r="H224" s="186" t="s">
        <v>243</v>
      </c>
      <c r="I224" s="186"/>
      <c r="J224" s="186">
        <v>166</v>
      </c>
      <c r="K224" s="186" t="s">
        <v>682</v>
      </c>
      <c r="L224" s="186" t="s">
        <v>1918</v>
      </c>
      <c r="M224" s="186" t="s">
        <v>526</v>
      </c>
      <c r="N224" s="186" t="s">
        <v>1604</v>
      </c>
      <c r="O224" s="186" t="s">
        <v>2420</v>
      </c>
      <c r="P224" s="186" t="s">
        <v>2421</v>
      </c>
      <c r="Q224" s="186" t="s">
        <v>2399</v>
      </c>
      <c r="R224" s="289" t="s">
        <v>1346</v>
      </c>
      <c r="S224" s="186"/>
      <c r="T224" s="186" t="s">
        <v>2422</v>
      </c>
      <c r="U224" s="186"/>
      <c r="V224" s="186"/>
      <c r="W224" s="186"/>
      <c r="X224">
        <v>32</v>
      </c>
      <c r="Z224" s="129" t="s">
        <v>1920</v>
      </c>
      <c r="AA224" s="30">
        <v>43449</v>
      </c>
      <c r="AB224" t="s">
        <v>1057</v>
      </c>
    </row>
    <row r="225" spans="1:28" ht="18.75" customHeight="1">
      <c r="A225" s="186"/>
      <c r="B225" s="186"/>
      <c r="C225" s="186"/>
      <c r="D225" s="186"/>
      <c r="E225" s="186" t="s">
        <v>59</v>
      </c>
      <c r="F225" s="186" t="s">
        <v>380</v>
      </c>
      <c r="G225" s="186" t="s">
        <v>324</v>
      </c>
      <c r="H225" s="186" t="s">
        <v>243</v>
      </c>
      <c r="I225" s="186"/>
      <c r="J225" s="186">
        <v>167</v>
      </c>
      <c r="K225" s="186" t="s">
        <v>682</v>
      </c>
      <c r="L225" s="186" t="s">
        <v>1918</v>
      </c>
      <c r="M225" s="186" t="s">
        <v>381</v>
      </c>
      <c r="N225" s="186" t="s">
        <v>1736</v>
      </c>
      <c r="O225" s="186" t="s">
        <v>2423</v>
      </c>
      <c r="P225" s="186" t="s">
        <v>2424</v>
      </c>
      <c r="Q225" s="186"/>
      <c r="R225" s="289" t="s">
        <v>1346</v>
      </c>
      <c r="S225" s="186"/>
      <c r="T225" s="186" t="s">
        <v>1811</v>
      </c>
      <c r="U225" s="186"/>
      <c r="V225" s="186"/>
      <c r="W225" s="186"/>
      <c r="X225">
        <v>33</v>
      </c>
      <c r="Z225" s="129" t="s">
        <v>1920</v>
      </c>
      <c r="AA225" s="30">
        <v>43449</v>
      </c>
      <c r="AB225" t="s">
        <v>1057</v>
      </c>
    </row>
    <row r="226" spans="1:28" ht="18.75" hidden="1" customHeight="1">
      <c r="A226" s="186"/>
      <c r="B226" s="186"/>
      <c r="C226" s="186"/>
      <c r="D226" s="186"/>
      <c r="E226" s="186" t="s">
        <v>59</v>
      </c>
      <c r="F226" s="186" t="s">
        <v>2425</v>
      </c>
      <c r="G226" s="186" t="s">
        <v>346</v>
      </c>
      <c r="H226" s="186" t="s">
        <v>243</v>
      </c>
      <c r="I226" s="186"/>
      <c r="J226" s="186">
        <v>127</v>
      </c>
      <c r="K226" s="79" t="s">
        <v>680</v>
      </c>
      <c r="L226" s="186"/>
      <c r="M226" s="186"/>
      <c r="N226" s="186"/>
      <c r="O226" s="186"/>
      <c r="P226" s="186"/>
      <c r="Q226" s="186"/>
      <c r="R226" s="186"/>
      <c r="S226" s="186"/>
      <c r="T226" s="186" t="s">
        <v>2426</v>
      </c>
      <c r="U226" s="186"/>
      <c r="V226" s="186"/>
      <c r="W226" s="186"/>
      <c r="Y226" t="s">
        <v>1917</v>
      </c>
    </row>
    <row r="227" spans="1:28" ht="18.75" hidden="1" customHeight="1">
      <c r="A227" s="134"/>
      <c r="B227" s="134"/>
      <c r="C227" s="134"/>
      <c r="D227" s="134"/>
      <c r="E227" s="186" t="s">
        <v>53</v>
      </c>
      <c r="F227" s="186" t="s">
        <v>2427</v>
      </c>
      <c r="G227" s="186" t="s">
        <v>535</v>
      </c>
      <c r="H227" s="186" t="s">
        <v>243</v>
      </c>
      <c r="I227" s="186"/>
      <c r="J227" s="186">
        <v>130</v>
      </c>
      <c r="K227" s="186" t="s">
        <v>680</v>
      </c>
      <c r="L227" s="186"/>
      <c r="M227" s="186"/>
      <c r="N227" s="186"/>
      <c r="O227" s="186"/>
      <c r="P227" s="134"/>
      <c r="Q227" s="134"/>
      <c r="R227" s="134"/>
      <c r="S227" s="134"/>
      <c r="T227" s="134" t="s">
        <v>1190</v>
      </c>
      <c r="U227" s="134"/>
      <c r="V227" s="134"/>
      <c r="W227" s="134"/>
      <c r="X227" s="193"/>
      <c r="Y227" s="193" t="s">
        <v>1917</v>
      </c>
      <c r="Z227" s="193"/>
      <c r="AA227" s="193"/>
      <c r="AB227" s="193"/>
    </row>
    <row r="228" spans="1:28" ht="18.75" customHeight="1">
      <c r="A228" s="134"/>
      <c r="B228" s="134"/>
      <c r="C228" s="134"/>
      <c r="D228" s="134"/>
      <c r="E228" s="186" t="s">
        <v>55</v>
      </c>
      <c r="F228" s="186" t="s">
        <v>524</v>
      </c>
      <c r="G228" s="186" t="s">
        <v>429</v>
      </c>
      <c r="H228" s="186" t="s">
        <v>243</v>
      </c>
      <c r="I228" s="186"/>
      <c r="J228" s="186">
        <v>128</v>
      </c>
      <c r="K228" s="186" t="s">
        <v>682</v>
      </c>
      <c r="L228" s="186" t="s">
        <v>1918</v>
      </c>
      <c r="M228" s="186" t="s">
        <v>525</v>
      </c>
      <c r="N228" s="186" t="s">
        <v>1593</v>
      </c>
      <c r="O228" s="186" t="s">
        <v>2428</v>
      </c>
      <c r="P228" s="134" t="s">
        <v>2429</v>
      </c>
      <c r="Q228" s="134"/>
      <c r="R228" s="134"/>
      <c r="S228" s="134"/>
      <c r="T228" s="134" t="s">
        <v>2430</v>
      </c>
      <c r="U228" s="134"/>
      <c r="V228" s="134"/>
      <c r="W228" s="134"/>
      <c r="X228" s="193">
        <v>31</v>
      </c>
      <c r="Y228" s="193"/>
      <c r="Z228" s="290" t="s">
        <v>1920</v>
      </c>
      <c r="AA228" s="291">
        <v>43449</v>
      </c>
      <c r="AB228" s="193" t="s">
        <v>1057</v>
      </c>
    </row>
    <row r="229" spans="1:28" ht="18.75" hidden="1" customHeight="1">
      <c r="A229" s="186"/>
      <c r="B229" s="186"/>
      <c r="C229" s="186"/>
      <c r="D229" s="186"/>
      <c r="E229" s="186" t="s">
        <v>55</v>
      </c>
      <c r="F229" s="186" t="s">
        <v>2431</v>
      </c>
      <c r="G229" s="186" t="s">
        <v>346</v>
      </c>
      <c r="H229" s="186" t="s">
        <v>243</v>
      </c>
      <c r="I229" s="186"/>
      <c r="J229" s="186">
        <v>129</v>
      </c>
      <c r="K229" s="186" t="s">
        <v>680</v>
      </c>
      <c r="L229" s="186"/>
      <c r="M229" s="186"/>
      <c r="N229" s="186"/>
      <c r="O229" s="186"/>
      <c r="P229" s="186"/>
      <c r="Q229" s="186"/>
      <c r="R229" s="186"/>
      <c r="S229" s="186"/>
      <c r="T229" s="186" t="s">
        <v>2432</v>
      </c>
      <c r="U229" s="186"/>
      <c r="V229" s="186"/>
      <c r="W229" s="186"/>
      <c r="Y229" t="s">
        <v>1917</v>
      </c>
    </row>
  </sheetData>
  <autoFilter ref="A3:AB229" xr:uid="{00000000-0009-0000-0000-00000A000000}">
    <filterColumn colId="10">
      <filters>
        <filter val="Y"/>
      </filters>
    </filterColumn>
  </autoFilter>
  <pageMargins left="0.7" right="0.7" top="0.75" bottom="0.75" header="0" footer="0"/>
  <pageSetup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rgb="FFFF0000"/>
    <outlinePr summaryBelow="0" summaryRight="0"/>
  </sheetPr>
  <dimension ref="A1:AB229"/>
  <sheetViews>
    <sheetView workbookViewId="0">
      <pane xSplit="6" topLeftCell="G1" activePane="topRight" state="frozen"/>
      <selection pane="topRight" activeCell="E56" sqref="E56"/>
    </sheetView>
  </sheetViews>
  <sheetFormatPr defaultColWidth="14.453125" defaultRowHeight="15" customHeight="1"/>
  <cols>
    <col min="1" max="4" width="10.7265625" hidden="1" customWidth="1"/>
    <col min="5" max="5" width="16.54296875" customWidth="1"/>
    <col min="6" max="6" width="36.7265625" customWidth="1"/>
    <col min="7" max="7" width="22.7265625" customWidth="1"/>
    <col min="8" max="8" width="8.7265625" customWidth="1"/>
    <col min="9" max="9" width="11.54296875" customWidth="1"/>
    <col min="10" max="10" width="5.26953125" customWidth="1"/>
    <col min="11" max="11" width="17.54296875" customWidth="1"/>
    <col min="12" max="12" width="31.7265625" customWidth="1"/>
    <col min="13" max="13" width="39.1796875" customWidth="1"/>
    <col min="14" max="14" width="11.453125" customWidth="1"/>
    <col min="15" max="15" width="51.1796875" customWidth="1"/>
    <col min="16" max="16" width="41.453125" customWidth="1"/>
    <col min="17" max="17" width="29.453125" customWidth="1"/>
    <col min="18" max="18" width="10.7265625" customWidth="1"/>
    <col min="19" max="19" width="33.453125" customWidth="1"/>
    <col min="20" max="20" width="44.1796875" customWidth="1"/>
    <col min="21" max="21" width="8.81640625" customWidth="1"/>
    <col min="22" max="22" width="17.7265625" customWidth="1"/>
    <col min="23" max="23" width="18.453125" customWidth="1"/>
    <col min="24" max="24" width="9.453125" customWidth="1"/>
    <col min="25" max="25" width="16.1796875" customWidth="1"/>
    <col min="26" max="26" width="30.453125" customWidth="1"/>
    <col min="27" max="27" width="10.7265625" customWidth="1"/>
    <col min="28" max="28" width="84" customWidth="1"/>
  </cols>
  <sheetData>
    <row r="1" spans="1:28" ht="18">
      <c r="A1" s="186"/>
      <c r="B1" s="186"/>
      <c r="C1" s="186"/>
      <c r="D1" s="186"/>
      <c r="E1" s="81"/>
      <c r="F1" s="82" t="s">
        <v>2433</v>
      </c>
      <c r="G1" s="186"/>
      <c r="H1" s="186"/>
      <c r="I1" s="186"/>
      <c r="J1" s="186"/>
      <c r="K1" s="83"/>
      <c r="L1" s="84"/>
      <c r="M1" s="84"/>
      <c r="N1" s="84"/>
      <c r="O1" s="84"/>
      <c r="P1" s="84"/>
      <c r="Q1" s="84"/>
      <c r="R1" s="186"/>
      <c r="S1" s="186"/>
      <c r="T1" s="186"/>
      <c r="U1" s="186"/>
      <c r="V1" s="186"/>
      <c r="W1" s="186"/>
      <c r="X1" s="56"/>
      <c r="Y1" s="56"/>
      <c r="Z1" s="85"/>
      <c r="AA1" s="86"/>
      <c r="AB1" s="87"/>
    </row>
    <row r="2" spans="1:28" ht="18">
      <c r="A2" s="186"/>
      <c r="B2" s="186"/>
      <c r="C2" s="186"/>
      <c r="D2" s="186"/>
      <c r="E2" s="81"/>
      <c r="F2" s="82"/>
      <c r="G2" s="186"/>
      <c r="H2" s="186"/>
      <c r="I2" s="186"/>
      <c r="J2" s="186"/>
      <c r="K2" s="282" t="s">
        <v>1038</v>
      </c>
      <c r="L2" s="207"/>
      <c r="M2" s="207"/>
      <c r="N2" s="207"/>
      <c r="O2" s="207"/>
      <c r="P2" s="207"/>
      <c r="Q2" s="207"/>
      <c r="R2" s="186"/>
      <c r="S2" s="186"/>
      <c r="T2" s="186"/>
      <c r="U2" s="186"/>
      <c r="V2" s="186"/>
      <c r="W2" s="186"/>
      <c r="X2" s="56"/>
      <c r="Y2" s="56"/>
      <c r="Z2" s="252" t="s">
        <v>1039</v>
      </c>
      <c r="AA2" s="253"/>
      <c r="AB2" s="254"/>
    </row>
    <row r="3" spans="1:28" ht="32.25" customHeight="1">
      <c r="A3" s="208" t="s">
        <v>1040</v>
      </c>
      <c r="B3" s="208" t="s">
        <v>1041</v>
      </c>
      <c r="C3" s="208" t="s">
        <v>1042</v>
      </c>
      <c r="D3" s="208" t="s">
        <v>1043</v>
      </c>
      <c r="E3" s="208" t="s">
        <v>224</v>
      </c>
      <c r="F3" s="208" t="s">
        <v>225</v>
      </c>
      <c r="G3" s="208"/>
      <c r="H3" s="208" t="s">
        <v>227</v>
      </c>
      <c r="I3" s="283" t="s">
        <v>1044</v>
      </c>
      <c r="J3" s="208" t="s">
        <v>1045</v>
      </c>
      <c r="K3" s="284" t="s">
        <v>1046</v>
      </c>
      <c r="L3" s="285" t="s">
        <v>100</v>
      </c>
      <c r="M3" s="285" t="s">
        <v>101</v>
      </c>
      <c r="N3" s="285" t="s">
        <v>102</v>
      </c>
      <c r="O3" s="285" t="s">
        <v>103</v>
      </c>
      <c r="P3" s="285" t="s">
        <v>104</v>
      </c>
      <c r="Q3" s="285" t="s">
        <v>105</v>
      </c>
      <c r="R3" s="283" t="s">
        <v>111</v>
      </c>
      <c r="S3" s="283" t="s">
        <v>112</v>
      </c>
      <c r="T3" s="283" t="s">
        <v>113</v>
      </c>
      <c r="U3" s="286"/>
      <c r="V3" s="287" t="s">
        <v>1047</v>
      </c>
      <c r="W3" s="288" t="s">
        <v>1048</v>
      </c>
      <c r="X3" s="226" t="s">
        <v>1049</v>
      </c>
      <c r="Y3" s="226" t="s">
        <v>1050</v>
      </c>
      <c r="Z3" s="226" t="s">
        <v>237</v>
      </c>
      <c r="AA3" s="227" t="s">
        <v>1</v>
      </c>
      <c r="AB3" s="255" t="s">
        <v>238</v>
      </c>
    </row>
    <row r="4" spans="1:28" ht="18.75" customHeight="1">
      <c r="A4" s="186"/>
      <c r="B4" s="186"/>
      <c r="C4" s="186"/>
      <c r="D4" s="186"/>
      <c r="E4" s="186" t="s">
        <v>53</v>
      </c>
      <c r="F4" s="186" t="s">
        <v>1010</v>
      </c>
      <c r="G4" s="186" t="s">
        <v>535</v>
      </c>
      <c r="H4" s="186" t="s">
        <v>243</v>
      </c>
      <c r="I4" s="186"/>
      <c r="J4" s="186">
        <v>131</v>
      </c>
      <c r="K4" s="79" t="s">
        <v>680</v>
      </c>
      <c r="L4" s="186"/>
      <c r="M4" s="186"/>
      <c r="N4" s="186"/>
      <c r="O4" s="186"/>
      <c r="P4" s="186"/>
      <c r="Q4" s="186"/>
      <c r="R4" s="186"/>
      <c r="S4" s="186"/>
      <c r="T4" s="186" t="s">
        <v>1190</v>
      </c>
      <c r="U4" s="186"/>
      <c r="V4" s="186"/>
      <c r="W4" s="186"/>
      <c r="Y4" t="s">
        <v>1917</v>
      </c>
    </row>
    <row r="5" spans="1:28" ht="18.75" customHeight="1">
      <c r="A5" s="186"/>
      <c r="B5" s="186"/>
      <c r="C5" s="186"/>
      <c r="D5" s="186"/>
      <c r="E5" s="186" t="s">
        <v>61</v>
      </c>
      <c r="F5" s="186" t="s">
        <v>118</v>
      </c>
      <c r="G5" s="186" t="s">
        <v>247</v>
      </c>
      <c r="H5" s="186" t="s">
        <v>243</v>
      </c>
      <c r="I5" s="186"/>
      <c r="J5" s="186">
        <v>-1</v>
      </c>
      <c r="K5" s="79" t="s">
        <v>680</v>
      </c>
      <c r="L5" s="186"/>
      <c r="M5" s="186"/>
      <c r="N5" s="186"/>
      <c r="O5" s="186"/>
      <c r="P5" s="186"/>
      <c r="Q5" s="186"/>
      <c r="R5" s="186"/>
      <c r="S5" s="186">
        <v>52100123</v>
      </c>
      <c r="T5" s="186" t="s">
        <v>1330</v>
      </c>
      <c r="U5" s="186"/>
      <c r="V5" s="186"/>
      <c r="W5" s="186"/>
      <c r="X5">
        <v>3</v>
      </c>
      <c r="Z5" s="129" t="s">
        <v>1920</v>
      </c>
      <c r="AA5" s="30">
        <v>43449</v>
      </c>
      <c r="AB5" t="s">
        <v>1057</v>
      </c>
    </row>
    <row r="6" spans="1:28" ht="18.75" customHeight="1">
      <c r="A6" s="186"/>
      <c r="B6" s="186"/>
      <c r="C6" s="186"/>
      <c r="D6" s="186"/>
      <c r="E6" s="186" t="s">
        <v>55</v>
      </c>
      <c r="F6" s="186" t="s">
        <v>625</v>
      </c>
      <c r="G6" s="186" t="s">
        <v>329</v>
      </c>
      <c r="H6" s="186" t="s">
        <v>243</v>
      </c>
      <c r="I6" s="186"/>
      <c r="J6" s="72">
        <v>201</v>
      </c>
      <c r="K6" s="79" t="s">
        <v>680</v>
      </c>
      <c r="L6" s="186"/>
      <c r="M6" s="186"/>
      <c r="N6" s="186"/>
      <c r="O6" s="186"/>
      <c r="P6" s="186"/>
      <c r="Q6" s="186"/>
      <c r="R6" s="186"/>
      <c r="S6" s="186"/>
      <c r="T6" s="90" t="s">
        <v>1924</v>
      </c>
      <c r="U6" s="90"/>
      <c r="V6" s="90"/>
      <c r="W6" s="90"/>
      <c r="X6">
        <v>94</v>
      </c>
      <c r="Z6" s="129" t="s">
        <v>1920</v>
      </c>
      <c r="AA6" s="30">
        <v>43449</v>
      </c>
      <c r="AB6" t="s">
        <v>1057</v>
      </c>
    </row>
    <row r="7" spans="1:28" ht="18.75" customHeight="1">
      <c r="A7" s="186"/>
      <c r="B7" s="186"/>
      <c r="C7" s="186"/>
      <c r="D7" s="186"/>
      <c r="E7" s="186" t="s">
        <v>55</v>
      </c>
      <c r="F7" s="186" t="s">
        <v>530</v>
      </c>
      <c r="G7" s="186" t="s">
        <v>255</v>
      </c>
      <c r="H7" s="186" t="s">
        <v>243</v>
      </c>
      <c r="I7" s="186"/>
      <c r="J7" s="72">
        <v>191</v>
      </c>
      <c r="K7" s="79" t="s">
        <v>680</v>
      </c>
      <c r="L7" s="186"/>
      <c r="M7" s="186"/>
      <c r="N7" s="186"/>
      <c r="O7" s="186"/>
      <c r="P7" s="186"/>
      <c r="Q7" s="186"/>
      <c r="R7" s="186"/>
      <c r="S7" s="186"/>
      <c r="T7" s="90" t="s">
        <v>1928</v>
      </c>
      <c r="U7" s="90"/>
      <c r="V7" s="90"/>
      <c r="W7" s="90"/>
      <c r="X7">
        <v>35</v>
      </c>
      <c r="Z7" s="129" t="s">
        <v>1920</v>
      </c>
      <c r="AA7" s="30">
        <v>43449</v>
      </c>
      <c r="AB7" t="s">
        <v>1929</v>
      </c>
    </row>
    <row r="8" spans="1:28" ht="18.75" customHeight="1">
      <c r="A8" s="186"/>
      <c r="B8" s="186"/>
      <c r="C8" s="186"/>
      <c r="D8" s="186"/>
      <c r="E8" s="186" t="s">
        <v>55</v>
      </c>
      <c r="F8" s="186" t="s">
        <v>527</v>
      </c>
      <c r="G8" s="186" t="s">
        <v>255</v>
      </c>
      <c r="H8" s="186" t="s">
        <v>243</v>
      </c>
      <c r="I8" s="186"/>
      <c r="J8" s="72">
        <v>190</v>
      </c>
      <c r="K8" s="79" t="s">
        <v>680</v>
      </c>
      <c r="L8" s="186"/>
      <c r="M8" s="186"/>
      <c r="N8" s="186"/>
      <c r="O8" s="186"/>
      <c r="P8" s="186"/>
      <c r="Q8" s="186"/>
      <c r="R8" s="186"/>
      <c r="S8" s="186"/>
      <c r="T8" s="90" t="s">
        <v>1932</v>
      </c>
      <c r="U8" s="90"/>
      <c r="V8" s="90"/>
      <c r="W8" s="90"/>
      <c r="X8">
        <v>34</v>
      </c>
      <c r="Z8" s="129" t="s">
        <v>1920</v>
      </c>
      <c r="AA8" s="30">
        <v>43449</v>
      </c>
      <c r="AB8" t="s">
        <v>1929</v>
      </c>
    </row>
    <row r="9" spans="1:28" ht="48.75" customHeight="1">
      <c r="A9" s="186"/>
      <c r="B9" s="186"/>
      <c r="C9" s="186"/>
      <c r="D9" s="186"/>
      <c r="E9" s="186" t="s">
        <v>55</v>
      </c>
      <c r="F9" s="186" t="s">
        <v>560</v>
      </c>
      <c r="G9" s="186" t="s">
        <v>255</v>
      </c>
      <c r="H9" s="186" t="s">
        <v>243</v>
      </c>
      <c r="I9" s="186"/>
      <c r="J9" s="186">
        <v>3</v>
      </c>
      <c r="K9" s="79" t="s">
        <v>680</v>
      </c>
      <c r="L9" s="186"/>
      <c r="M9" s="186"/>
      <c r="N9" s="186"/>
      <c r="O9" s="186"/>
      <c r="P9" s="186"/>
      <c r="Q9" s="186"/>
      <c r="R9" s="186"/>
      <c r="S9" s="186">
        <v>43532</v>
      </c>
      <c r="T9" s="186" t="s">
        <v>1935</v>
      </c>
      <c r="U9" s="186"/>
      <c r="V9" s="186"/>
      <c r="W9" s="186"/>
      <c r="X9">
        <v>55</v>
      </c>
      <c r="Z9" s="129" t="s">
        <v>1920</v>
      </c>
      <c r="AA9" s="30">
        <v>43449</v>
      </c>
      <c r="AB9" t="s">
        <v>1057</v>
      </c>
    </row>
    <row r="10" spans="1:28" ht="12.5">
      <c r="A10" s="125"/>
      <c r="B10" s="125"/>
      <c r="C10" s="125"/>
      <c r="D10" s="125"/>
      <c r="E10" s="186" t="s">
        <v>55</v>
      </c>
      <c r="F10" s="186" t="s">
        <v>1343</v>
      </c>
      <c r="G10" s="186" t="s">
        <v>346</v>
      </c>
      <c r="H10" s="186" t="s">
        <v>243</v>
      </c>
      <c r="I10" s="186"/>
      <c r="J10" s="186">
        <v>164</v>
      </c>
      <c r="K10" s="79" t="s">
        <v>680</v>
      </c>
      <c r="L10" s="56"/>
      <c r="M10" s="34"/>
      <c r="N10" s="56"/>
      <c r="O10" s="56"/>
      <c r="P10" s="34"/>
      <c r="Q10" s="186"/>
      <c r="R10" s="289" t="s">
        <v>1346</v>
      </c>
      <c r="S10" s="78"/>
      <c r="T10" s="186" t="s">
        <v>1936</v>
      </c>
      <c r="U10" s="186"/>
      <c r="V10" s="186"/>
      <c r="W10" s="186"/>
      <c r="Y10" t="s">
        <v>1917</v>
      </c>
    </row>
    <row r="11" spans="1:28" ht="18.75" customHeight="1">
      <c r="A11" s="186"/>
      <c r="B11" s="186"/>
      <c r="C11" s="186"/>
      <c r="D11" s="186"/>
      <c r="E11" s="186" t="s">
        <v>55</v>
      </c>
      <c r="F11" s="186" t="s">
        <v>489</v>
      </c>
      <c r="G11" s="186" t="s">
        <v>346</v>
      </c>
      <c r="H11" s="186" t="s">
        <v>243</v>
      </c>
      <c r="I11" s="186"/>
      <c r="J11" s="186">
        <v>4</v>
      </c>
      <c r="K11" s="79" t="s">
        <v>680</v>
      </c>
      <c r="L11" s="56"/>
      <c r="M11" s="56"/>
      <c r="N11" s="56"/>
      <c r="O11" s="186"/>
      <c r="P11" s="34"/>
      <c r="Q11" s="56"/>
      <c r="R11" s="289" t="s">
        <v>1346</v>
      </c>
      <c r="S11" s="74" t="s">
        <v>1351</v>
      </c>
      <c r="T11" s="186" t="s">
        <v>1936</v>
      </c>
      <c r="U11" s="186"/>
      <c r="V11" s="186"/>
      <c r="W11" s="186"/>
      <c r="X11">
        <v>121</v>
      </c>
      <c r="Y11" t="s">
        <v>1917</v>
      </c>
      <c r="Z11" s="5" t="s">
        <v>1353</v>
      </c>
      <c r="AA11" s="6">
        <v>43551</v>
      </c>
      <c r="AB11" s="5" t="s">
        <v>1938</v>
      </c>
    </row>
    <row r="12" spans="1:28" ht="18.75" customHeight="1">
      <c r="A12" s="186"/>
      <c r="B12" s="186"/>
      <c r="C12" s="186"/>
      <c r="D12" s="186"/>
      <c r="E12" s="56" t="s">
        <v>55</v>
      </c>
      <c r="F12" s="56" t="s">
        <v>486</v>
      </c>
      <c r="G12" s="186" t="s">
        <v>346</v>
      </c>
      <c r="H12" s="186" t="s">
        <v>243</v>
      </c>
      <c r="I12" s="186"/>
      <c r="J12" s="186">
        <v>165</v>
      </c>
      <c r="K12" s="79" t="s">
        <v>680</v>
      </c>
      <c r="L12" s="56"/>
      <c r="M12" s="56"/>
      <c r="N12" s="56"/>
      <c r="O12" s="56"/>
      <c r="P12" s="56"/>
      <c r="Q12" s="56"/>
      <c r="R12" s="249" t="s">
        <v>1346</v>
      </c>
      <c r="S12" s="59" t="s">
        <v>1358</v>
      </c>
      <c r="T12" s="56" t="s">
        <v>1936</v>
      </c>
      <c r="U12" s="186"/>
      <c r="V12" s="186"/>
      <c r="W12" s="186"/>
      <c r="X12" s="129">
        <v>120</v>
      </c>
      <c r="Y12" s="129"/>
      <c r="Z12" s="5" t="s">
        <v>1353</v>
      </c>
      <c r="AA12" s="6">
        <v>43551</v>
      </c>
      <c r="AB12" s="5" t="s">
        <v>1360</v>
      </c>
    </row>
    <row r="13" spans="1:28" ht="18.75" customHeight="1">
      <c r="A13" s="186"/>
      <c r="B13" s="186"/>
      <c r="C13" s="186"/>
      <c r="D13" s="186"/>
      <c r="E13" s="186" t="s">
        <v>55</v>
      </c>
      <c r="F13" s="186" t="s">
        <v>1939</v>
      </c>
      <c r="G13" s="186" t="s">
        <v>264</v>
      </c>
      <c r="H13" s="186" t="s">
        <v>243</v>
      </c>
      <c r="I13" s="186"/>
      <c r="J13" s="72">
        <v>205</v>
      </c>
      <c r="K13" s="79" t="s">
        <v>680</v>
      </c>
      <c r="L13" s="186"/>
      <c r="M13" s="186"/>
      <c r="N13" s="186"/>
      <c r="O13" s="186"/>
      <c r="P13" s="186"/>
      <c r="Q13" s="186"/>
      <c r="R13" s="186"/>
      <c r="S13" s="186"/>
      <c r="T13" s="90" t="s">
        <v>1940</v>
      </c>
      <c r="U13" s="90"/>
      <c r="V13" s="90"/>
      <c r="W13" s="90"/>
      <c r="Y13" t="s">
        <v>1917</v>
      </c>
    </row>
    <row r="14" spans="1:28" ht="18.75" customHeight="1">
      <c r="A14" s="186"/>
      <c r="B14" s="186"/>
      <c r="C14" s="186"/>
      <c r="D14" s="186"/>
      <c r="E14" s="186" t="s">
        <v>59</v>
      </c>
      <c r="F14" s="186" t="s">
        <v>1941</v>
      </c>
      <c r="G14" s="186" t="s">
        <v>242</v>
      </c>
      <c r="H14" s="186" t="s">
        <v>243</v>
      </c>
      <c r="I14" s="186"/>
      <c r="J14" s="186">
        <v>5</v>
      </c>
      <c r="K14" s="79" t="s">
        <v>680</v>
      </c>
      <c r="L14" s="186"/>
      <c r="M14" s="186"/>
      <c r="N14" s="186"/>
      <c r="O14" s="186"/>
      <c r="P14" s="186"/>
      <c r="Q14" s="186"/>
      <c r="R14" s="186"/>
      <c r="S14" s="186"/>
      <c r="T14" s="186" t="s">
        <v>1942</v>
      </c>
      <c r="U14" s="186"/>
      <c r="V14" s="186"/>
      <c r="W14" s="186"/>
      <c r="Y14" t="s">
        <v>1917</v>
      </c>
    </row>
    <row r="15" spans="1:28" ht="18.75" customHeight="1">
      <c r="A15" s="186"/>
      <c r="B15" s="186"/>
      <c r="C15" s="186"/>
      <c r="D15" s="186"/>
      <c r="E15" s="186" t="s">
        <v>55</v>
      </c>
      <c r="F15" s="186" t="s">
        <v>420</v>
      </c>
      <c r="G15" s="186" t="s">
        <v>329</v>
      </c>
      <c r="H15" s="186" t="s">
        <v>243</v>
      </c>
      <c r="I15" s="186"/>
      <c r="J15" s="186">
        <v>140</v>
      </c>
      <c r="K15" s="79" t="s">
        <v>680</v>
      </c>
      <c r="L15" s="186"/>
      <c r="M15" s="186"/>
      <c r="N15" s="186"/>
      <c r="O15" s="186"/>
      <c r="P15" s="186"/>
      <c r="Q15" s="186"/>
      <c r="R15" s="186"/>
      <c r="S15" s="186">
        <v>5.16</v>
      </c>
      <c r="T15" s="186" t="s">
        <v>1946</v>
      </c>
      <c r="U15" s="186"/>
      <c r="V15" s="186"/>
      <c r="W15" s="186"/>
      <c r="X15">
        <v>36</v>
      </c>
      <c r="Z15" s="129" t="s">
        <v>1920</v>
      </c>
      <c r="AA15" s="30">
        <v>43449</v>
      </c>
      <c r="AB15" t="s">
        <v>1057</v>
      </c>
    </row>
    <row r="16" spans="1:28" ht="18.75" customHeight="1">
      <c r="A16" s="186"/>
      <c r="B16" s="186"/>
      <c r="C16" s="186" t="s">
        <v>1093</v>
      </c>
      <c r="D16" s="186">
        <v>1</v>
      </c>
      <c r="E16" s="186" t="s">
        <v>61</v>
      </c>
      <c r="F16" s="186" t="s">
        <v>150</v>
      </c>
      <c r="G16" s="186" t="s">
        <v>247</v>
      </c>
      <c r="H16" s="186" t="s">
        <v>243</v>
      </c>
      <c r="I16" s="186"/>
      <c r="J16" s="186">
        <v>141</v>
      </c>
      <c r="K16" s="79" t="s">
        <v>680</v>
      </c>
      <c r="L16" s="186"/>
      <c r="M16" s="186"/>
      <c r="N16" s="56"/>
      <c r="O16" s="186"/>
      <c r="P16" s="186"/>
      <c r="Q16" s="186"/>
      <c r="R16" s="289" t="s">
        <v>1346</v>
      </c>
      <c r="S16" s="186" t="s">
        <v>1947</v>
      </c>
      <c r="T16" s="186" t="s">
        <v>1383</v>
      </c>
      <c r="U16" s="186"/>
      <c r="V16" s="186"/>
      <c r="W16" s="186"/>
      <c r="X16">
        <v>8</v>
      </c>
      <c r="Z16" s="129" t="s">
        <v>1920</v>
      </c>
      <c r="AA16" s="30">
        <v>43449</v>
      </c>
      <c r="AB16" t="s">
        <v>1057</v>
      </c>
    </row>
    <row r="17" spans="1:28" ht="18.75" customHeight="1">
      <c r="A17" s="186"/>
      <c r="B17" s="186"/>
      <c r="C17" s="186"/>
      <c r="D17" s="186"/>
      <c r="E17" s="186" t="s">
        <v>59</v>
      </c>
      <c r="F17" s="186" t="s">
        <v>308</v>
      </c>
      <c r="G17" s="186" t="s">
        <v>247</v>
      </c>
      <c r="H17" s="186" t="s">
        <v>243</v>
      </c>
      <c r="I17" s="186"/>
      <c r="J17" s="186">
        <v>142</v>
      </c>
      <c r="K17" s="79" t="s">
        <v>680</v>
      </c>
      <c r="L17" s="186"/>
      <c r="M17" s="186"/>
      <c r="N17" s="56"/>
      <c r="O17" s="186"/>
      <c r="P17" s="186"/>
      <c r="Q17" s="186"/>
      <c r="R17" s="289" t="s">
        <v>1346</v>
      </c>
      <c r="S17" s="186" t="s">
        <v>1948</v>
      </c>
      <c r="T17" s="186" t="s">
        <v>1389</v>
      </c>
      <c r="U17" s="186"/>
      <c r="V17" s="186"/>
      <c r="W17" s="186"/>
      <c r="X17">
        <v>9</v>
      </c>
      <c r="Z17" s="129" t="s">
        <v>1920</v>
      </c>
      <c r="AA17" s="30">
        <v>43449</v>
      </c>
      <c r="AB17" t="s">
        <v>1057</v>
      </c>
    </row>
    <row r="18" spans="1:28" ht="18.75" customHeight="1">
      <c r="A18" s="186"/>
      <c r="B18" s="186"/>
      <c r="C18" s="186"/>
      <c r="D18" s="186"/>
      <c r="E18" s="186" t="s">
        <v>59</v>
      </c>
      <c r="F18" s="186" t="s">
        <v>310</v>
      </c>
      <c r="G18" s="186" t="s">
        <v>247</v>
      </c>
      <c r="H18" s="186" t="s">
        <v>243</v>
      </c>
      <c r="I18" s="186"/>
      <c r="J18" s="186">
        <v>143</v>
      </c>
      <c r="K18" s="79" t="s">
        <v>680</v>
      </c>
      <c r="L18" s="186"/>
      <c r="M18" s="186"/>
      <c r="N18" s="56"/>
      <c r="O18" s="186"/>
      <c r="P18" s="186"/>
      <c r="Q18" s="186"/>
      <c r="R18" s="289" t="s">
        <v>1346</v>
      </c>
      <c r="S18" s="186" t="s">
        <v>1949</v>
      </c>
      <c r="T18" s="186" t="s">
        <v>1394</v>
      </c>
      <c r="U18" s="186"/>
      <c r="V18" s="186"/>
      <c r="W18" s="186"/>
      <c r="X18">
        <v>10</v>
      </c>
      <c r="Z18" s="129" t="s">
        <v>1920</v>
      </c>
      <c r="AA18" s="30">
        <v>43449</v>
      </c>
      <c r="AB18" t="s">
        <v>1057</v>
      </c>
    </row>
    <row r="19" spans="1:28" ht="18.75" customHeight="1">
      <c r="A19" s="186"/>
      <c r="B19" s="186"/>
      <c r="C19" s="186"/>
      <c r="D19" s="186"/>
      <c r="E19" s="186" t="s">
        <v>55</v>
      </c>
      <c r="F19" s="123" t="s">
        <v>390</v>
      </c>
      <c r="G19" s="123" t="s">
        <v>329</v>
      </c>
      <c r="H19" s="186" t="s">
        <v>243</v>
      </c>
      <c r="I19" s="186"/>
      <c r="J19" s="186"/>
      <c r="K19" s="79" t="s">
        <v>680</v>
      </c>
      <c r="L19" s="186"/>
      <c r="M19" s="186"/>
      <c r="N19" s="186"/>
      <c r="O19" s="186"/>
      <c r="P19" s="186"/>
      <c r="Q19" s="186"/>
      <c r="R19" s="186"/>
      <c r="S19" s="186"/>
      <c r="T19" s="123" t="s">
        <v>1399</v>
      </c>
      <c r="U19" s="123"/>
      <c r="V19" s="123"/>
      <c r="W19" s="123"/>
      <c r="Y19" t="s">
        <v>1917</v>
      </c>
    </row>
    <row r="20" spans="1:28" ht="18.75" customHeight="1">
      <c r="A20" s="186"/>
      <c r="B20" s="186"/>
      <c r="C20" s="186"/>
      <c r="D20" s="186"/>
      <c r="E20" s="186" t="s">
        <v>55</v>
      </c>
      <c r="F20" s="123" t="s">
        <v>388</v>
      </c>
      <c r="G20" s="123" t="s">
        <v>329</v>
      </c>
      <c r="H20" s="186" t="s">
        <v>243</v>
      </c>
      <c r="I20" s="186"/>
      <c r="J20" s="186"/>
      <c r="K20" s="79" t="s">
        <v>680</v>
      </c>
      <c r="L20" s="186"/>
      <c r="M20" s="186"/>
      <c r="N20" s="186"/>
      <c r="O20" s="186"/>
      <c r="P20" s="186"/>
      <c r="Q20" s="186"/>
      <c r="R20" s="186"/>
      <c r="S20" s="186"/>
      <c r="T20" s="123" t="s">
        <v>1951</v>
      </c>
      <c r="U20" s="123"/>
      <c r="V20" s="123"/>
      <c r="W20" s="123"/>
      <c r="Y20" t="s">
        <v>1917</v>
      </c>
    </row>
    <row r="21" spans="1:28" ht="18.75" customHeight="1">
      <c r="A21" s="186"/>
      <c r="B21" s="186"/>
      <c r="C21" s="186"/>
      <c r="D21" s="186"/>
      <c r="E21" s="186" t="s">
        <v>53</v>
      </c>
      <c r="F21" s="186" t="s">
        <v>1952</v>
      </c>
      <c r="G21" s="186" t="s">
        <v>255</v>
      </c>
      <c r="H21" s="186" t="s">
        <v>243</v>
      </c>
      <c r="I21" s="186"/>
      <c r="J21" s="186">
        <v>6</v>
      </c>
      <c r="K21" s="79" t="s">
        <v>680</v>
      </c>
      <c r="L21" s="186"/>
      <c r="M21" s="186"/>
      <c r="N21" s="186"/>
      <c r="O21" s="186"/>
      <c r="P21" s="186"/>
      <c r="Q21" s="186"/>
      <c r="R21" s="186"/>
      <c r="S21" s="186"/>
      <c r="T21" s="186" t="s">
        <v>1190</v>
      </c>
      <c r="U21" s="186"/>
      <c r="V21" s="186"/>
      <c r="W21" s="186"/>
      <c r="Y21" t="s">
        <v>1917</v>
      </c>
    </row>
    <row r="22" spans="1:28" ht="18.75" customHeight="1">
      <c r="A22" s="186"/>
      <c r="B22" s="186"/>
      <c r="C22" s="186"/>
      <c r="D22" s="186"/>
      <c r="E22" s="186" t="s">
        <v>53</v>
      </c>
      <c r="F22" s="186" t="s">
        <v>1953</v>
      </c>
      <c r="G22" s="186" t="s">
        <v>255</v>
      </c>
      <c r="H22" s="186" t="s">
        <v>243</v>
      </c>
      <c r="I22" s="186"/>
      <c r="J22" s="186">
        <v>7</v>
      </c>
      <c r="K22" s="79" t="s">
        <v>680</v>
      </c>
      <c r="L22" s="186"/>
      <c r="M22" s="186"/>
      <c r="N22" s="186"/>
      <c r="O22" s="186"/>
      <c r="P22" s="186"/>
      <c r="Q22" s="186"/>
      <c r="R22" s="186"/>
      <c r="S22" s="186"/>
      <c r="T22" s="186" t="s">
        <v>1190</v>
      </c>
      <c r="U22" s="186"/>
      <c r="V22" s="186"/>
      <c r="W22" s="186"/>
      <c r="Y22" t="s">
        <v>1917</v>
      </c>
    </row>
    <row r="23" spans="1:28" ht="18.75" customHeight="1">
      <c r="A23" s="186"/>
      <c r="B23" s="186"/>
      <c r="C23" s="186"/>
      <c r="D23" s="186"/>
      <c r="E23" s="186" t="s">
        <v>55</v>
      </c>
      <c r="F23" s="186" t="s">
        <v>1954</v>
      </c>
      <c r="G23" s="186" t="s">
        <v>346</v>
      </c>
      <c r="H23" s="186" t="s">
        <v>243</v>
      </c>
      <c r="I23" s="186"/>
      <c r="J23" s="186">
        <v>8</v>
      </c>
      <c r="K23" s="79" t="s">
        <v>680</v>
      </c>
      <c r="L23" s="186"/>
      <c r="M23" s="186"/>
      <c r="N23" s="186"/>
      <c r="O23" s="186"/>
      <c r="P23" s="186"/>
      <c r="Q23" s="186"/>
      <c r="R23" s="186"/>
      <c r="S23" s="186"/>
      <c r="T23" s="186" t="s">
        <v>1955</v>
      </c>
      <c r="U23" s="186"/>
      <c r="V23" s="186"/>
      <c r="W23" s="186"/>
      <c r="Y23" t="s">
        <v>1917</v>
      </c>
    </row>
    <row r="24" spans="1:28" ht="18.75" customHeight="1">
      <c r="A24" s="186"/>
      <c r="B24" s="186"/>
      <c r="C24" s="186"/>
      <c r="D24" s="186"/>
      <c r="E24" s="186" t="s">
        <v>53</v>
      </c>
      <c r="F24" s="186" t="s">
        <v>1406</v>
      </c>
      <c r="G24" s="186" t="s">
        <v>535</v>
      </c>
      <c r="H24" s="186" t="s">
        <v>243</v>
      </c>
      <c r="I24" s="186"/>
      <c r="J24" s="186">
        <v>132</v>
      </c>
      <c r="K24" s="79" t="s">
        <v>680</v>
      </c>
      <c r="L24" s="186"/>
      <c r="M24" s="186"/>
      <c r="N24" s="186"/>
      <c r="O24" s="186"/>
      <c r="P24" s="186"/>
      <c r="Q24" s="186"/>
      <c r="R24" s="186"/>
      <c r="S24" s="186"/>
      <c r="T24" s="186" t="s">
        <v>1190</v>
      </c>
      <c r="U24" s="186"/>
      <c r="V24" s="186"/>
      <c r="W24" s="186"/>
      <c r="Y24" t="s">
        <v>1917</v>
      </c>
    </row>
    <row r="25" spans="1:28" ht="18.75" customHeight="1">
      <c r="A25" s="186"/>
      <c r="B25" s="186"/>
      <c r="C25" s="186"/>
      <c r="D25" s="186"/>
      <c r="E25" s="186" t="s">
        <v>53</v>
      </c>
      <c r="F25" s="186" t="s">
        <v>1189</v>
      </c>
      <c r="G25" s="186" t="s">
        <v>249</v>
      </c>
      <c r="H25" s="186" t="s">
        <v>243</v>
      </c>
      <c r="I25" s="186"/>
      <c r="J25" s="186">
        <v>9</v>
      </c>
      <c r="K25" s="79" t="s">
        <v>680</v>
      </c>
      <c r="L25" s="186"/>
      <c r="M25" s="186"/>
      <c r="N25" s="186"/>
      <c r="O25" s="186"/>
      <c r="P25" s="186"/>
      <c r="Q25" s="186"/>
      <c r="R25" s="186"/>
      <c r="S25" s="186"/>
      <c r="T25" s="186" t="s">
        <v>1190</v>
      </c>
      <c r="U25" s="186"/>
      <c r="V25" s="186"/>
      <c r="W25" s="186"/>
      <c r="Y25" t="s">
        <v>1917</v>
      </c>
    </row>
    <row r="26" spans="1:28" ht="18.75" customHeight="1">
      <c r="A26" s="186"/>
      <c r="B26" s="186"/>
      <c r="C26" s="186"/>
      <c r="D26" s="186"/>
      <c r="E26" s="186" t="s">
        <v>53</v>
      </c>
      <c r="F26" s="186" t="s">
        <v>1191</v>
      </c>
      <c r="G26" s="186" t="s">
        <v>252</v>
      </c>
      <c r="H26" s="186" t="s">
        <v>243</v>
      </c>
      <c r="I26" s="186"/>
      <c r="J26" s="186">
        <v>10</v>
      </c>
      <c r="K26" s="79" t="s">
        <v>680</v>
      </c>
      <c r="L26" s="186"/>
      <c r="M26" s="186"/>
      <c r="N26" s="186"/>
      <c r="O26" s="186"/>
      <c r="P26" s="186"/>
      <c r="Q26" s="186"/>
      <c r="R26" s="186"/>
      <c r="S26" s="186"/>
      <c r="T26" s="186" t="s">
        <v>1190</v>
      </c>
      <c r="U26" s="186"/>
      <c r="V26" s="186"/>
      <c r="W26" s="186"/>
      <c r="Y26" t="s">
        <v>1917</v>
      </c>
    </row>
    <row r="27" spans="1:28" ht="18.75" customHeight="1">
      <c r="A27" s="186"/>
      <c r="B27" s="186"/>
      <c r="C27" s="186"/>
      <c r="D27" s="186"/>
      <c r="E27" s="186" t="s">
        <v>53</v>
      </c>
      <c r="F27" s="186" t="s">
        <v>1192</v>
      </c>
      <c r="G27" s="186" t="s">
        <v>242</v>
      </c>
      <c r="H27" s="186" t="s">
        <v>243</v>
      </c>
      <c r="I27" s="186"/>
      <c r="J27" s="186">
        <v>11</v>
      </c>
      <c r="K27" s="79" t="s">
        <v>680</v>
      </c>
      <c r="L27" s="186"/>
      <c r="M27" s="186"/>
      <c r="N27" s="186"/>
      <c r="O27" s="186"/>
      <c r="P27" s="186"/>
      <c r="Q27" s="186"/>
      <c r="R27" s="186"/>
      <c r="S27" s="186"/>
      <c r="T27" s="186" t="s">
        <v>1190</v>
      </c>
      <c r="U27" s="186"/>
      <c r="V27" s="186"/>
      <c r="W27" s="186"/>
      <c r="Y27" t="s">
        <v>1917</v>
      </c>
    </row>
    <row r="28" spans="1:28" ht="18.75" customHeight="1">
      <c r="A28" s="186"/>
      <c r="B28" s="186"/>
      <c r="C28" s="186"/>
      <c r="D28" s="186"/>
      <c r="E28" s="186" t="s">
        <v>53</v>
      </c>
      <c r="F28" s="186" t="s">
        <v>1193</v>
      </c>
      <c r="G28" s="186" t="s">
        <v>247</v>
      </c>
      <c r="H28" s="186" t="s">
        <v>243</v>
      </c>
      <c r="I28" s="186"/>
      <c r="J28" s="186">
        <v>12</v>
      </c>
      <c r="K28" s="79" t="s">
        <v>680</v>
      </c>
      <c r="L28" s="186"/>
      <c r="M28" s="186"/>
      <c r="N28" s="186"/>
      <c r="O28" s="186"/>
      <c r="P28" s="186"/>
      <c r="Q28" s="186"/>
      <c r="R28" s="186"/>
      <c r="S28" s="186"/>
      <c r="T28" s="186" t="s">
        <v>1190</v>
      </c>
      <c r="U28" s="186"/>
      <c r="V28" s="186"/>
      <c r="W28" s="186"/>
      <c r="Y28" t="s">
        <v>1917</v>
      </c>
    </row>
    <row r="29" spans="1:28" ht="18.75" customHeight="1">
      <c r="A29" s="186"/>
      <c r="B29" s="186"/>
      <c r="C29" s="186"/>
      <c r="D29" s="186"/>
      <c r="E29" s="186" t="s">
        <v>53</v>
      </c>
      <c r="F29" s="186" t="s">
        <v>1194</v>
      </c>
      <c r="G29" s="186" t="s">
        <v>252</v>
      </c>
      <c r="H29" s="186" t="s">
        <v>243</v>
      </c>
      <c r="I29" s="186"/>
      <c r="J29" s="186">
        <v>13</v>
      </c>
      <c r="K29" s="79" t="s">
        <v>680</v>
      </c>
      <c r="L29" s="186"/>
      <c r="M29" s="186"/>
      <c r="N29" s="186"/>
      <c r="O29" s="186"/>
      <c r="P29" s="186"/>
      <c r="Q29" s="186"/>
      <c r="R29" s="186"/>
      <c r="S29" s="186"/>
      <c r="T29" s="186" t="s">
        <v>1190</v>
      </c>
      <c r="U29" s="186"/>
      <c r="V29" s="186"/>
      <c r="W29" s="186"/>
      <c r="Y29" t="s">
        <v>1917</v>
      </c>
    </row>
    <row r="30" spans="1:28" ht="18.75" customHeight="1">
      <c r="A30" s="186"/>
      <c r="B30" s="186"/>
      <c r="C30" s="186"/>
      <c r="D30" s="186"/>
      <c r="E30" s="186" t="s">
        <v>53</v>
      </c>
      <c r="F30" s="186" t="s">
        <v>1195</v>
      </c>
      <c r="G30" s="186" t="s">
        <v>247</v>
      </c>
      <c r="H30" s="186" t="s">
        <v>243</v>
      </c>
      <c r="I30" s="186"/>
      <c r="J30" s="186">
        <v>14</v>
      </c>
      <c r="K30" s="79" t="s">
        <v>680</v>
      </c>
      <c r="L30" s="186"/>
      <c r="M30" s="186"/>
      <c r="N30" s="186"/>
      <c r="O30" s="186"/>
      <c r="P30" s="186"/>
      <c r="Q30" s="186"/>
      <c r="R30" s="186"/>
      <c r="S30" s="186"/>
      <c r="T30" s="186" t="s">
        <v>1190</v>
      </c>
      <c r="U30" s="186"/>
      <c r="V30" s="186"/>
      <c r="W30" s="186"/>
      <c r="Y30" t="s">
        <v>1917</v>
      </c>
    </row>
    <row r="31" spans="1:28" ht="18.75" customHeight="1">
      <c r="A31" s="186"/>
      <c r="B31" s="186"/>
      <c r="C31" s="186"/>
      <c r="D31" s="186"/>
      <c r="E31" s="186" t="s">
        <v>53</v>
      </c>
      <c r="F31" s="186" t="s">
        <v>1956</v>
      </c>
      <c r="G31" s="186" t="s">
        <v>252</v>
      </c>
      <c r="H31" s="186" t="s">
        <v>243</v>
      </c>
      <c r="I31" s="186"/>
      <c r="J31" s="186">
        <v>15</v>
      </c>
      <c r="K31" s="79" t="s">
        <v>680</v>
      </c>
      <c r="L31" s="186"/>
      <c r="M31" s="186"/>
      <c r="N31" s="186"/>
      <c r="O31" s="186"/>
      <c r="P31" s="186"/>
      <c r="Q31" s="186"/>
      <c r="R31" s="186"/>
      <c r="S31" s="186"/>
      <c r="T31" s="186" t="s">
        <v>1190</v>
      </c>
      <c r="U31" s="186"/>
      <c r="V31" s="186"/>
      <c r="W31" s="186"/>
      <c r="Y31" t="s">
        <v>1917</v>
      </c>
    </row>
    <row r="32" spans="1:28" ht="18.75" customHeight="1">
      <c r="A32" s="186"/>
      <c r="B32" s="186"/>
      <c r="C32" s="186"/>
      <c r="D32" s="186"/>
      <c r="E32" s="186" t="s">
        <v>53</v>
      </c>
      <c r="F32" s="186" t="s">
        <v>1957</v>
      </c>
      <c r="G32" s="186" t="s">
        <v>252</v>
      </c>
      <c r="H32" s="186" t="s">
        <v>243</v>
      </c>
      <c r="I32" s="186"/>
      <c r="J32" s="186">
        <v>16</v>
      </c>
      <c r="K32" s="79" t="s">
        <v>680</v>
      </c>
      <c r="L32" s="186"/>
      <c r="M32" s="186"/>
      <c r="N32" s="186"/>
      <c r="O32" s="186"/>
      <c r="P32" s="186"/>
      <c r="Q32" s="186"/>
      <c r="R32" s="186"/>
      <c r="S32" s="186"/>
      <c r="T32" s="186" t="s">
        <v>1190</v>
      </c>
      <c r="U32" s="186"/>
      <c r="V32" s="186"/>
      <c r="W32" s="186"/>
      <c r="Y32" t="s">
        <v>1917</v>
      </c>
    </row>
    <row r="33" spans="1:28" ht="18.75" customHeight="1">
      <c r="A33" s="186"/>
      <c r="B33" s="186"/>
      <c r="C33" s="186"/>
      <c r="D33" s="186"/>
      <c r="E33" s="186" t="s">
        <v>53</v>
      </c>
      <c r="F33" s="186" t="s">
        <v>1196</v>
      </c>
      <c r="G33" s="186" t="s">
        <v>535</v>
      </c>
      <c r="H33" s="186" t="s">
        <v>243</v>
      </c>
      <c r="I33" s="186"/>
      <c r="J33" s="186">
        <v>17</v>
      </c>
      <c r="K33" s="79" t="s">
        <v>680</v>
      </c>
      <c r="L33" s="186"/>
      <c r="M33" s="186"/>
      <c r="N33" s="186"/>
      <c r="O33" s="186"/>
      <c r="P33" s="186"/>
      <c r="Q33" s="186"/>
      <c r="R33" s="186"/>
      <c r="S33" s="186"/>
      <c r="T33" s="186" t="s">
        <v>1190</v>
      </c>
      <c r="U33" s="186"/>
      <c r="V33" s="186"/>
      <c r="W33" s="186"/>
      <c r="Y33" t="s">
        <v>1917</v>
      </c>
    </row>
    <row r="34" spans="1:28" ht="18.75" customHeight="1">
      <c r="A34" s="186"/>
      <c r="B34" s="186"/>
      <c r="C34" s="186"/>
      <c r="D34" s="186"/>
      <c r="E34" s="186" t="s">
        <v>55</v>
      </c>
      <c r="F34" s="186" t="s">
        <v>376</v>
      </c>
      <c r="G34" s="186" t="s">
        <v>247</v>
      </c>
      <c r="H34" s="186" t="s">
        <v>243</v>
      </c>
      <c r="I34" s="186"/>
      <c r="J34" s="186">
        <v>144</v>
      </c>
      <c r="K34" s="79" t="s">
        <v>680</v>
      </c>
      <c r="L34" s="186"/>
      <c r="M34" s="186"/>
      <c r="N34" s="186"/>
      <c r="O34" s="186"/>
      <c r="P34" s="186"/>
      <c r="Q34" s="186"/>
      <c r="R34" s="186"/>
      <c r="S34" s="186"/>
      <c r="T34" s="186" t="s">
        <v>1412</v>
      </c>
      <c r="U34" s="186"/>
      <c r="V34" s="186"/>
      <c r="W34" s="186"/>
      <c r="X34">
        <v>28</v>
      </c>
      <c r="Z34" s="129" t="s">
        <v>1920</v>
      </c>
      <c r="AA34" s="30">
        <v>43449</v>
      </c>
      <c r="AB34" t="s">
        <v>1057</v>
      </c>
    </row>
    <row r="35" spans="1:28" ht="18.75" customHeight="1">
      <c r="A35" s="186"/>
      <c r="B35" s="186"/>
      <c r="C35" s="186"/>
      <c r="D35" s="186"/>
      <c r="E35" s="186" t="s">
        <v>55</v>
      </c>
      <c r="F35" s="186" t="s">
        <v>1960</v>
      </c>
      <c r="G35" s="186" t="s">
        <v>346</v>
      </c>
      <c r="H35" s="186" t="s">
        <v>243</v>
      </c>
      <c r="I35" s="186"/>
      <c r="J35" s="186">
        <v>18</v>
      </c>
      <c r="K35" s="79" t="s">
        <v>680</v>
      </c>
      <c r="L35" s="186"/>
      <c r="M35" s="186"/>
      <c r="N35" s="186"/>
      <c r="O35" s="186"/>
      <c r="P35" s="186"/>
      <c r="Q35" s="186"/>
      <c r="R35" s="186"/>
      <c r="S35" s="186"/>
      <c r="T35" s="186" t="s">
        <v>1961</v>
      </c>
      <c r="U35" s="186"/>
      <c r="V35" s="186"/>
      <c r="W35" s="186"/>
      <c r="Y35" t="s">
        <v>1917</v>
      </c>
    </row>
    <row r="36" spans="1:28" ht="18.75" customHeight="1">
      <c r="A36" s="186"/>
      <c r="B36" s="186"/>
      <c r="C36" s="186"/>
      <c r="D36" s="186"/>
      <c r="E36" s="186" t="s">
        <v>55</v>
      </c>
      <c r="F36" s="186" t="s">
        <v>1962</v>
      </c>
      <c r="G36" s="186" t="s">
        <v>329</v>
      </c>
      <c r="H36" s="186" t="s">
        <v>243</v>
      </c>
      <c r="I36" s="186"/>
      <c r="J36" s="186">
        <v>19</v>
      </c>
      <c r="K36" s="79" t="s">
        <v>680</v>
      </c>
      <c r="L36" s="186"/>
      <c r="M36" s="186"/>
      <c r="N36" s="186"/>
      <c r="O36" s="186"/>
      <c r="P36" s="186"/>
      <c r="Q36" s="186"/>
      <c r="R36" s="186"/>
      <c r="S36" s="186"/>
      <c r="T36" s="186" t="s">
        <v>1963</v>
      </c>
      <c r="U36" s="186"/>
      <c r="V36" s="186"/>
      <c r="W36" s="186"/>
      <c r="Y36" t="s">
        <v>1917</v>
      </c>
    </row>
    <row r="37" spans="1:28" ht="18.75" customHeight="1">
      <c r="A37" s="186"/>
      <c r="B37" s="186"/>
      <c r="C37" s="186"/>
      <c r="D37" s="186"/>
      <c r="E37" s="125" t="s">
        <v>55</v>
      </c>
      <c r="F37" s="125" t="s">
        <v>673</v>
      </c>
      <c r="G37" s="186" t="s">
        <v>329</v>
      </c>
      <c r="H37" s="186" t="s">
        <v>243</v>
      </c>
      <c r="I37" s="186"/>
      <c r="J37" s="186">
        <v>20</v>
      </c>
      <c r="K37" s="79" t="s">
        <v>680</v>
      </c>
      <c r="L37" s="186"/>
      <c r="M37" s="186"/>
      <c r="N37" s="186"/>
      <c r="O37" s="186"/>
      <c r="P37" s="186"/>
      <c r="Q37" s="186"/>
      <c r="R37" s="186"/>
      <c r="S37" s="186">
        <v>380.21</v>
      </c>
      <c r="T37" s="186" t="s">
        <v>1967</v>
      </c>
      <c r="U37" s="186"/>
      <c r="V37" s="186"/>
      <c r="W37" s="186"/>
      <c r="X37">
        <v>119</v>
      </c>
      <c r="Z37" s="129" t="s">
        <v>1920</v>
      </c>
      <c r="AA37" s="30">
        <v>43449</v>
      </c>
      <c r="AB37" t="s">
        <v>1929</v>
      </c>
    </row>
    <row r="38" spans="1:28" ht="18.75" customHeight="1">
      <c r="A38" s="186"/>
      <c r="B38" s="186"/>
      <c r="C38" s="186" t="s">
        <v>1968</v>
      </c>
      <c r="D38" s="186">
        <v>1</v>
      </c>
      <c r="E38" s="186" t="s">
        <v>61</v>
      </c>
      <c r="F38" s="186" t="s">
        <v>131</v>
      </c>
      <c r="G38" s="186" t="s">
        <v>329</v>
      </c>
      <c r="H38" s="186" t="s">
        <v>243</v>
      </c>
      <c r="I38" s="186"/>
      <c r="J38" s="186">
        <v>21</v>
      </c>
      <c r="K38" s="79" t="s">
        <v>680</v>
      </c>
      <c r="L38" s="186"/>
      <c r="M38" s="186"/>
      <c r="N38" s="186"/>
      <c r="O38" s="186"/>
      <c r="P38" s="186"/>
      <c r="Q38" s="186"/>
      <c r="R38" s="186"/>
      <c r="S38" s="186">
        <v>258</v>
      </c>
      <c r="T38" s="186" t="s">
        <v>1971</v>
      </c>
      <c r="U38" s="186"/>
      <c r="V38" s="186"/>
      <c r="W38" s="186"/>
      <c r="X38">
        <v>82</v>
      </c>
      <c r="Z38" s="129" t="s">
        <v>1920</v>
      </c>
      <c r="AA38" s="30">
        <v>43449</v>
      </c>
      <c r="AB38" t="s">
        <v>1057</v>
      </c>
    </row>
    <row r="39" spans="1:28" ht="18.75" customHeight="1">
      <c r="A39" s="186"/>
      <c r="B39" s="186"/>
      <c r="C39" s="186"/>
      <c r="D39" s="186"/>
      <c r="E39" s="186" t="s">
        <v>55</v>
      </c>
      <c r="F39" s="186" t="s">
        <v>1972</v>
      </c>
      <c r="G39" s="186" t="s">
        <v>329</v>
      </c>
      <c r="H39" s="186" t="s">
        <v>243</v>
      </c>
      <c r="I39" s="186"/>
      <c r="J39" s="186">
        <v>22</v>
      </c>
      <c r="K39" s="79" t="s">
        <v>680</v>
      </c>
      <c r="L39" s="186"/>
      <c r="M39" s="186"/>
      <c r="N39" s="186"/>
      <c r="O39" s="186"/>
      <c r="P39" s="186"/>
      <c r="Q39" s="186"/>
      <c r="R39" s="186"/>
      <c r="S39" s="186"/>
      <c r="T39" s="186" t="s">
        <v>1973</v>
      </c>
      <c r="U39" s="186"/>
      <c r="V39" s="186"/>
      <c r="W39" s="186"/>
      <c r="Y39" t="s">
        <v>1917</v>
      </c>
    </row>
    <row r="40" spans="1:28" ht="18.75" customHeight="1">
      <c r="A40" s="186"/>
      <c r="B40" s="186"/>
      <c r="C40" s="186"/>
      <c r="D40" s="186"/>
      <c r="E40" s="186" t="s">
        <v>59</v>
      </c>
      <c r="F40" s="186" t="s">
        <v>629</v>
      </c>
      <c r="G40" s="186" t="s">
        <v>329</v>
      </c>
      <c r="H40" s="186" t="s">
        <v>243</v>
      </c>
      <c r="I40" s="186"/>
      <c r="J40" s="186">
        <v>23</v>
      </c>
      <c r="K40" s="79" t="s">
        <v>680</v>
      </c>
      <c r="L40" s="186"/>
      <c r="M40" s="186"/>
      <c r="N40" s="186"/>
      <c r="O40" s="186"/>
      <c r="P40" s="186"/>
      <c r="Q40" s="186"/>
      <c r="R40" s="186"/>
      <c r="S40" s="186">
        <v>1</v>
      </c>
      <c r="T40" s="186" t="s">
        <v>1976</v>
      </c>
      <c r="U40" s="186"/>
      <c r="V40" s="186"/>
      <c r="W40" s="186"/>
      <c r="X40">
        <v>96</v>
      </c>
      <c r="Z40" s="129" t="s">
        <v>1920</v>
      </c>
      <c r="AA40" s="30">
        <v>43449</v>
      </c>
      <c r="AB40" t="s">
        <v>1057</v>
      </c>
    </row>
    <row r="41" spans="1:28" ht="18.75" customHeight="1">
      <c r="A41" s="186"/>
      <c r="B41" s="186"/>
      <c r="C41" s="186"/>
      <c r="D41" s="186"/>
      <c r="E41" s="125" t="s">
        <v>55</v>
      </c>
      <c r="F41" s="125" t="s">
        <v>593</v>
      </c>
      <c r="G41" s="186" t="s">
        <v>329</v>
      </c>
      <c r="H41" s="186" t="s">
        <v>243</v>
      </c>
      <c r="I41" s="186"/>
      <c r="J41" s="186">
        <v>25</v>
      </c>
      <c r="K41" s="79" t="s">
        <v>680</v>
      </c>
      <c r="L41" s="186"/>
      <c r="M41" s="186"/>
      <c r="N41" s="186"/>
      <c r="O41" s="186"/>
      <c r="P41" s="186"/>
      <c r="Q41" s="186"/>
      <c r="R41" s="186"/>
      <c r="S41" s="186">
        <v>258</v>
      </c>
      <c r="T41" s="186" t="s">
        <v>1979</v>
      </c>
      <c r="U41" s="186"/>
      <c r="V41" s="186"/>
      <c r="W41" s="186"/>
      <c r="X41">
        <v>76</v>
      </c>
      <c r="Z41" s="129" t="s">
        <v>1920</v>
      </c>
      <c r="AA41" s="30">
        <v>43449</v>
      </c>
      <c r="AB41" t="s">
        <v>1057</v>
      </c>
    </row>
    <row r="42" spans="1:28" ht="18.75" customHeight="1">
      <c r="A42" s="186"/>
      <c r="B42" s="186"/>
      <c r="C42" s="186"/>
      <c r="D42" s="186"/>
      <c r="E42" s="125" t="s">
        <v>55</v>
      </c>
      <c r="F42" s="125" t="s">
        <v>609</v>
      </c>
      <c r="G42" s="186" t="s">
        <v>329</v>
      </c>
      <c r="H42" s="186" t="s">
        <v>243</v>
      </c>
      <c r="I42" s="186"/>
      <c r="J42" s="72">
        <v>212</v>
      </c>
      <c r="K42" s="79" t="s">
        <v>680</v>
      </c>
      <c r="L42" s="186"/>
      <c r="M42" s="75"/>
      <c r="N42" s="186"/>
      <c r="O42" s="186"/>
      <c r="P42" s="186"/>
      <c r="Q42" s="186"/>
      <c r="R42" s="186"/>
      <c r="S42" s="186">
        <v>258</v>
      </c>
      <c r="T42" s="90" t="s">
        <v>1984</v>
      </c>
      <c r="U42" s="90"/>
      <c r="V42" s="90"/>
      <c r="W42" s="90"/>
      <c r="X42">
        <v>86</v>
      </c>
      <c r="Z42" s="129" t="s">
        <v>1521</v>
      </c>
      <c r="AA42" s="30">
        <v>43173</v>
      </c>
      <c r="AB42" t="s">
        <v>1985</v>
      </c>
    </row>
    <row r="43" spans="1:28" ht="18.75" customHeight="1">
      <c r="A43" s="186"/>
      <c r="B43" s="186"/>
      <c r="C43" s="186" t="s">
        <v>1986</v>
      </c>
      <c r="D43" s="186">
        <v>1</v>
      </c>
      <c r="E43" s="186" t="s">
        <v>61</v>
      </c>
      <c r="F43" s="186" t="s">
        <v>120</v>
      </c>
      <c r="G43" s="186" t="s">
        <v>250</v>
      </c>
      <c r="H43" s="186" t="s">
        <v>243</v>
      </c>
      <c r="I43" s="186"/>
      <c r="J43" s="186">
        <v>24</v>
      </c>
      <c r="K43" s="79" t="s">
        <v>680</v>
      </c>
      <c r="L43" s="186"/>
      <c r="M43" s="186"/>
      <c r="N43" s="186"/>
      <c r="O43" s="186"/>
      <c r="P43" s="186"/>
      <c r="Q43" s="186"/>
      <c r="R43" s="186"/>
      <c r="S43" s="186" t="s">
        <v>1201</v>
      </c>
      <c r="T43" s="186" t="s">
        <v>1986</v>
      </c>
      <c r="U43" s="186"/>
      <c r="V43" s="186"/>
      <c r="W43" s="186"/>
      <c r="X43">
        <v>1</v>
      </c>
      <c r="Z43" s="129" t="s">
        <v>1920</v>
      </c>
      <c r="AA43" s="30">
        <v>43449</v>
      </c>
      <c r="AB43" t="s">
        <v>1057</v>
      </c>
    </row>
    <row r="44" spans="1:28" ht="18.75" customHeight="1">
      <c r="A44" s="186"/>
      <c r="B44" s="186"/>
      <c r="C44" s="186"/>
      <c r="D44" s="186"/>
      <c r="E44" s="186" t="s">
        <v>55</v>
      </c>
      <c r="F44" s="186" t="s">
        <v>611</v>
      </c>
      <c r="G44" s="186" t="s">
        <v>329</v>
      </c>
      <c r="H44" s="186" t="s">
        <v>243</v>
      </c>
      <c r="I44" s="186"/>
      <c r="J44" s="72">
        <v>200</v>
      </c>
      <c r="K44" s="79" t="s">
        <v>680</v>
      </c>
      <c r="L44" s="186"/>
      <c r="M44" s="186"/>
      <c r="N44" s="186"/>
      <c r="O44" s="186"/>
      <c r="P44" s="186"/>
      <c r="Q44" s="186"/>
      <c r="R44" s="186"/>
      <c r="S44" s="186">
        <v>-258</v>
      </c>
      <c r="T44" s="90" t="s">
        <v>1992</v>
      </c>
      <c r="U44" s="90"/>
      <c r="V44" s="90"/>
      <c r="W44" s="90"/>
      <c r="X44">
        <v>87</v>
      </c>
      <c r="Z44" s="129" t="s">
        <v>1920</v>
      </c>
      <c r="AA44" s="30">
        <v>43449</v>
      </c>
      <c r="AB44" t="s">
        <v>1057</v>
      </c>
    </row>
    <row r="45" spans="1:28" ht="18.75" customHeight="1">
      <c r="A45" s="186"/>
      <c r="B45" s="186"/>
      <c r="C45" s="186"/>
      <c r="D45" s="186"/>
      <c r="E45" s="186" t="s">
        <v>55</v>
      </c>
      <c r="F45" s="186" t="s">
        <v>597</v>
      </c>
      <c r="G45" s="186" t="s">
        <v>329</v>
      </c>
      <c r="H45" s="186" t="s">
        <v>243</v>
      </c>
      <c r="I45" s="186"/>
      <c r="J45" s="72">
        <v>193</v>
      </c>
      <c r="K45" s="79" t="s">
        <v>680</v>
      </c>
      <c r="L45" s="186"/>
      <c r="M45" s="186"/>
      <c r="N45" s="186"/>
      <c r="O45" s="186"/>
      <c r="P45" s="186"/>
      <c r="Q45" s="186"/>
      <c r="R45" s="186"/>
      <c r="S45" s="186">
        <v>258</v>
      </c>
      <c r="T45" s="90" t="s">
        <v>1995</v>
      </c>
      <c r="U45" s="90"/>
      <c r="V45" s="90"/>
      <c r="W45" s="90"/>
      <c r="X45">
        <v>78</v>
      </c>
      <c r="Z45" s="129" t="s">
        <v>1920</v>
      </c>
      <c r="AA45" s="30">
        <v>43449</v>
      </c>
      <c r="AB45" t="s">
        <v>1057</v>
      </c>
    </row>
    <row r="46" spans="1:28" ht="18.75" customHeight="1">
      <c r="A46" s="186"/>
      <c r="B46" s="186"/>
      <c r="C46" s="186"/>
      <c r="D46" s="186"/>
      <c r="E46" s="186" t="s">
        <v>55</v>
      </c>
      <c r="F46" s="186" t="s">
        <v>595</v>
      </c>
      <c r="G46" s="186" t="s">
        <v>329</v>
      </c>
      <c r="H46" s="186" t="s">
        <v>243</v>
      </c>
      <c r="I46" s="186"/>
      <c r="J46" s="72">
        <v>184</v>
      </c>
      <c r="K46" s="79" t="s">
        <v>680</v>
      </c>
      <c r="L46" s="186"/>
      <c r="M46" s="186"/>
      <c r="N46" s="186"/>
      <c r="O46" s="186"/>
      <c r="P46" s="186"/>
      <c r="Q46" s="186"/>
      <c r="R46" s="186"/>
      <c r="S46" s="186">
        <v>258</v>
      </c>
      <c r="T46" s="90" t="s">
        <v>1997</v>
      </c>
      <c r="U46" s="90"/>
      <c r="V46" s="90"/>
      <c r="W46" s="90"/>
      <c r="X46">
        <v>77</v>
      </c>
      <c r="Z46" s="129" t="s">
        <v>1920</v>
      </c>
      <c r="AA46" s="30">
        <v>43449</v>
      </c>
      <c r="AB46" t="s">
        <v>1057</v>
      </c>
    </row>
    <row r="47" spans="1:28" ht="18.75" customHeight="1">
      <c r="A47" s="186"/>
      <c r="B47" s="186"/>
      <c r="C47" s="186"/>
      <c r="D47" s="186"/>
      <c r="E47" s="186" t="s">
        <v>55</v>
      </c>
      <c r="F47" s="186" t="s">
        <v>641</v>
      </c>
      <c r="G47" s="186" t="s">
        <v>329</v>
      </c>
      <c r="H47" s="186" t="s">
        <v>243</v>
      </c>
      <c r="I47" s="186"/>
      <c r="J47" s="72">
        <v>172</v>
      </c>
      <c r="K47" s="79" t="s">
        <v>680</v>
      </c>
      <c r="L47" s="186"/>
      <c r="M47" s="186"/>
      <c r="N47" s="186"/>
      <c r="O47" s="186"/>
      <c r="P47" s="186"/>
      <c r="Q47" s="186"/>
      <c r="R47" s="186"/>
      <c r="S47" s="186"/>
      <c r="T47" s="90" t="s">
        <v>2001</v>
      </c>
      <c r="U47" s="90"/>
      <c r="V47" s="90"/>
      <c r="W47" s="90"/>
      <c r="X47">
        <v>102</v>
      </c>
      <c r="Z47" s="129" t="s">
        <v>1920</v>
      </c>
      <c r="AA47" s="30">
        <v>43449</v>
      </c>
      <c r="AB47" t="s">
        <v>1929</v>
      </c>
    </row>
    <row r="48" spans="1:28" ht="18.75" customHeight="1">
      <c r="A48" s="186"/>
      <c r="B48" s="186"/>
      <c r="C48" s="186"/>
      <c r="D48" s="186"/>
      <c r="E48" s="186" t="s">
        <v>55</v>
      </c>
      <c r="F48" s="186" t="s">
        <v>645</v>
      </c>
      <c r="G48" s="186" t="s">
        <v>329</v>
      </c>
      <c r="H48" s="186" t="s">
        <v>243</v>
      </c>
      <c r="I48" s="186"/>
      <c r="J48" s="72">
        <v>202</v>
      </c>
      <c r="K48" s="79" t="s">
        <v>680</v>
      </c>
      <c r="L48" s="186"/>
      <c r="M48" s="186"/>
      <c r="N48" s="186"/>
      <c r="O48" s="186"/>
      <c r="P48" s="186"/>
      <c r="Q48" s="186"/>
      <c r="R48" s="186"/>
      <c r="S48" s="186"/>
      <c r="T48" s="90" t="s">
        <v>2004</v>
      </c>
      <c r="U48" s="90"/>
      <c r="V48" s="90"/>
      <c r="W48" s="90"/>
      <c r="X48">
        <v>104</v>
      </c>
      <c r="Z48" s="129" t="s">
        <v>1920</v>
      </c>
      <c r="AA48" s="30">
        <v>43449</v>
      </c>
      <c r="AB48" t="s">
        <v>1057</v>
      </c>
    </row>
    <row r="49" spans="1:28" ht="41.25" customHeight="1">
      <c r="A49" s="186"/>
      <c r="B49" s="186"/>
      <c r="C49" s="186"/>
      <c r="D49" s="186"/>
      <c r="E49" s="186" t="s">
        <v>55</v>
      </c>
      <c r="F49" s="186" t="s">
        <v>617</v>
      </c>
      <c r="G49" s="186" t="s">
        <v>329</v>
      </c>
      <c r="H49" s="186" t="s">
        <v>243</v>
      </c>
      <c r="I49" s="186"/>
      <c r="J49" s="72">
        <v>185</v>
      </c>
      <c r="K49" s="79" t="s">
        <v>680</v>
      </c>
      <c r="L49" s="186"/>
      <c r="M49" s="186"/>
      <c r="N49" s="186"/>
      <c r="O49" s="186"/>
      <c r="P49" s="186"/>
      <c r="Q49" s="186"/>
      <c r="R49" s="186"/>
      <c r="S49" s="186">
        <v>258</v>
      </c>
      <c r="T49" s="90" t="s">
        <v>2008</v>
      </c>
      <c r="U49" s="90"/>
      <c r="V49" s="90"/>
      <c r="W49" s="90"/>
      <c r="X49">
        <v>90</v>
      </c>
      <c r="Z49" s="129" t="s">
        <v>1920</v>
      </c>
      <c r="AA49" s="30">
        <v>43449</v>
      </c>
      <c r="AB49" t="s">
        <v>1929</v>
      </c>
    </row>
    <row r="50" spans="1:28" ht="46.5" customHeight="1">
      <c r="A50" s="186"/>
      <c r="B50" s="186"/>
      <c r="C50" s="186"/>
      <c r="D50" s="186"/>
      <c r="E50" s="186" t="s">
        <v>55</v>
      </c>
      <c r="F50" s="186" t="s">
        <v>613</v>
      </c>
      <c r="G50" s="186" t="s">
        <v>329</v>
      </c>
      <c r="H50" s="186" t="s">
        <v>243</v>
      </c>
      <c r="I50" s="186"/>
      <c r="J50" s="72">
        <v>180</v>
      </c>
      <c r="K50" s="79" t="s">
        <v>680</v>
      </c>
      <c r="L50" s="186"/>
      <c r="M50" s="186"/>
      <c r="N50" s="186"/>
      <c r="O50" s="186"/>
      <c r="P50" s="186"/>
      <c r="Q50" s="186"/>
      <c r="R50" s="186"/>
      <c r="S50" s="186">
        <v>258</v>
      </c>
      <c r="T50" s="90" t="s">
        <v>2011</v>
      </c>
      <c r="U50" s="90"/>
      <c r="V50" s="90"/>
      <c r="W50" s="90"/>
      <c r="X50">
        <v>88</v>
      </c>
      <c r="Z50" s="129" t="s">
        <v>1920</v>
      </c>
      <c r="AA50" s="30">
        <v>43449</v>
      </c>
      <c r="AB50" t="s">
        <v>1057</v>
      </c>
    </row>
    <row r="51" spans="1:28" ht="18.75" customHeight="1">
      <c r="A51" s="186"/>
      <c r="B51" s="186"/>
      <c r="C51" s="186"/>
      <c r="D51" s="186"/>
      <c r="E51" s="186" t="s">
        <v>59</v>
      </c>
      <c r="F51" s="186" t="s">
        <v>651</v>
      </c>
      <c r="G51" s="186" t="s">
        <v>329</v>
      </c>
      <c r="H51" s="186" t="s">
        <v>243</v>
      </c>
      <c r="I51" s="186"/>
      <c r="J51" s="186">
        <v>26</v>
      </c>
      <c r="K51" s="79" t="s">
        <v>680</v>
      </c>
      <c r="L51" s="186"/>
      <c r="M51" s="186"/>
      <c r="N51" s="186"/>
      <c r="O51" s="186"/>
      <c r="P51" s="186"/>
      <c r="Q51" s="186"/>
      <c r="R51" s="186"/>
      <c r="S51" s="186"/>
      <c r="T51" s="186" t="s">
        <v>2015</v>
      </c>
      <c r="U51" s="186"/>
      <c r="V51" s="186"/>
      <c r="W51" s="186"/>
      <c r="X51">
        <v>107</v>
      </c>
      <c r="Z51" s="129" t="s">
        <v>1920</v>
      </c>
      <c r="AA51" s="30">
        <v>43449</v>
      </c>
      <c r="AB51" t="s">
        <v>1057</v>
      </c>
    </row>
    <row r="52" spans="1:28" ht="18.75" customHeight="1">
      <c r="A52" s="186"/>
      <c r="B52" s="186"/>
      <c r="C52" s="186"/>
      <c r="D52" s="186"/>
      <c r="E52" s="186" t="s">
        <v>55</v>
      </c>
      <c r="F52" s="186" t="s">
        <v>2016</v>
      </c>
      <c r="G52" s="186" t="s">
        <v>329</v>
      </c>
      <c r="H52" s="186" t="s">
        <v>243</v>
      </c>
      <c r="I52" s="186"/>
      <c r="J52" s="186">
        <v>27</v>
      </c>
      <c r="K52" s="79" t="s">
        <v>680</v>
      </c>
      <c r="L52" s="186"/>
      <c r="M52" s="186"/>
      <c r="N52" s="186"/>
      <c r="O52" s="186"/>
      <c r="P52" s="186"/>
      <c r="Q52" s="186"/>
      <c r="R52" s="186"/>
      <c r="S52" s="186"/>
      <c r="T52" s="186" t="s">
        <v>2017</v>
      </c>
      <c r="U52" s="186"/>
      <c r="V52" s="186"/>
      <c r="W52" s="186"/>
      <c r="Y52" t="s">
        <v>1917</v>
      </c>
    </row>
    <row r="53" spans="1:28" ht="18.75" customHeight="1">
      <c r="A53" s="186"/>
      <c r="B53" s="186"/>
      <c r="C53" s="186"/>
      <c r="D53" s="186"/>
      <c r="E53" s="186" t="s">
        <v>55</v>
      </c>
      <c r="F53" s="186" t="s">
        <v>653</v>
      </c>
      <c r="G53" s="186" t="s">
        <v>329</v>
      </c>
      <c r="H53" s="186" t="s">
        <v>243</v>
      </c>
      <c r="I53" s="186"/>
      <c r="J53" s="72">
        <v>210</v>
      </c>
      <c r="K53" s="79" t="s">
        <v>680</v>
      </c>
      <c r="L53" s="186"/>
      <c r="M53" s="186"/>
      <c r="N53" s="186"/>
      <c r="O53" s="186"/>
      <c r="P53" s="186"/>
      <c r="Q53" s="186"/>
      <c r="R53" s="186"/>
      <c r="S53" s="186"/>
      <c r="T53" s="90" t="s">
        <v>2018</v>
      </c>
      <c r="U53" s="90"/>
      <c r="V53" s="90"/>
      <c r="W53" s="90"/>
      <c r="X53">
        <v>108</v>
      </c>
      <c r="Z53" s="129" t="s">
        <v>1920</v>
      </c>
      <c r="AA53" s="30">
        <v>43449</v>
      </c>
      <c r="AB53" t="s">
        <v>1057</v>
      </c>
    </row>
    <row r="54" spans="1:28" ht="18.75" customHeight="1">
      <c r="A54" s="186"/>
      <c r="B54" s="186"/>
      <c r="C54" s="186"/>
      <c r="D54" s="186"/>
      <c r="E54" s="186" t="s">
        <v>55</v>
      </c>
      <c r="F54" s="186" t="s">
        <v>659</v>
      </c>
      <c r="G54" s="186" t="s">
        <v>329</v>
      </c>
      <c r="H54" s="186" t="s">
        <v>243</v>
      </c>
      <c r="I54" s="186"/>
      <c r="J54" s="72">
        <v>211</v>
      </c>
      <c r="K54" s="79" t="s">
        <v>680</v>
      </c>
      <c r="L54" s="186"/>
      <c r="M54" s="186"/>
      <c r="N54" s="186"/>
      <c r="O54" s="186"/>
      <c r="P54" s="186"/>
      <c r="Q54" s="186"/>
      <c r="R54" s="186"/>
      <c r="S54" s="186"/>
      <c r="T54" s="90" t="s">
        <v>2021</v>
      </c>
      <c r="U54" s="90"/>
      <c r="V54" s="90"/>
      <c r="W54" s="90"/>
      <c r="X54">
        <v>111</v>
      </c>
      <c r="Z54" s="129" t="s">
        <v>1920</v>
      </c>
      <c r="AA54" s="30">
        <v>43449</v>
      </c>
      <c r="AB54" t="s">
        <v>1057</v>
      </c>
    </row>
    <row r="55" spans="1:28" ht="18.75" customHeight="1">
      <c r="A55" s="186"/>
      <c r="B55" s="186"/>
      <c r="C55" s="186"/>
      <c r="D55" s="186"/>
      <c r="E55" s="186" t="s">
        <v>55</v>
      </c>
      <c r="F55" s="186" t="s">
        <v>2022</v>
      </c>
      <c r="G55" s="186" t="s">
        <v>329</v>
      </c>
      <c r="H55" s="186" t="s">
        <v>243</v>
      </c>
      <c r="I55" s="186"/>
      <c r="J55" s="72">
        <v>178</v>
      </c>
      <c r="K55" s="79" t="s">
        <v>680</v>
      </c>
      <c r="L55" s="186"/>
      <c r="M55" s="186"/>
      <c r="N55" s="186"/>
      <c r="O55" s="186"/>
      <c r="P55" s="186"/>
      <c r="Q55" s="186"/>
      <c r="R55" s="186"/>
      <c r="S55" s="186"/>
      <c r="T55" s="90" t="s">
        <v>2023</v>
      </c>
      <c r="U55" s="90"/>
      <c r="V55" s="90"/>
      <c r="W55" s="90"/>
      <c r="Y55" t="s">
        <v>1917</v>
      </c>
    </row>
    <row r="56" spans="1:28" ht="18.75" customHeight="1">
      <c r="A56" s="186"/>
      <c r="B56" s="186"/>
      <c r="C56" s="186"/>
      <c r="D56" s="186"/>
      <c r="E56" s="186" t="s">
        <v>59</v>
      </c>
      <c r="F56" s="186" t="s">
        <v>132</v>
      </c>
      <c r="G56" s="186" t="s">
        <v>329</v>
      </c>
      <c r="H56" s="186" t="s">
        <v>243</v>
      </c>
      <c r="I56" s="186"/>
      <c r="J56" s="186">
        <v>28</v>
      </c>
      <c r="K56" s="79" t="s">
        <v>680</v>
      </c>
      <c r="L56" s="186"/>
      <c r="M56" s="186"/>
      <c r="N56" s="186"/>
      <c r="O56" s="186"/>
      <c r="P56" s="186"/>
      <c r="Q56" s="186"/>
      <c r="R56" s="186"/>
      <c r="S56" s="186"/>
      <c r="T56" s="186" t="s">
        <v>2024</v>
      </c>
      <c r="U56" s="186"/>
      <c r="V56" s="186"/>
      <c r="W56" s="186"/>
      <c r="X56">
        <v>83</v>
      </c>
      <c r="Z56" s="129" t="s">
        <v>1920</v>
      </c>
      <c r="AA56" s="30">
        <v>43449</v>
      </c>
      <c r="AB56" t="s">
        <v>1057</v>
      </c>
    </row>
    <row r="57" spans="1:28" ht="18.75" customHeight="1">
      <c r="A57" s="186"/>
      <c r="B57" s="186"/>
      <c r="C57" s="186"/>
      <c r="D57" s="186"/>
      <c r="E57" s="186" t="s">
        <v>55</v>
      </c>
      <c r="F57" s="186" t="s">
        <v>605</v>
      </c>
      <c r="G57" s="186" t="s">
        <v>329</v>
      </c>
      <c r="H57" s="186" t="s">
        <v>243</v>
      </c>
      <c r="I57" s="186"/>
      <c r="J57" s="186">
        <v>29</v>
      </c>
      <c r="K57" s="79" t="s">
        <v>680</v>
      </c>
      <c r="L57" s="186"/>
      <c r="M57" s="186"/>
      <c r="N57" s="186"/>
      <c r="O57" s="186"/>
      <c r="P57" s="186"/>
      <c r="Q57" s="186"/>
      <c r="R57" s="186"/>
      <c r="S57" s="186"/>
      <c r="T57" s="186" t="s">
        <v>2026</v>
      </c>
      <c r="U57" s="186"/>
      <c r="V57" s="186"/>
      <c r="W57" s="186"/>
      <c r="X57">
        <v>84</v>
      </c>
      <c r="Z57" s="129" t="s">
        <v>1920</v>
      </c>
      <c r="AA57" s="30">
        <v>43449</v>
      </c>
      <c r="AB57" t="s">
        <v>1057</v>
      </c>
    </row>
    <row r="58" spans="1:28" ht="18.75" customHeight="1">
      <c r="A58" s="186"/>
      <c r="B58" s="186"/>
      <c r="C58" s="186"/>
      <c r="D58" s="186"/>
      <c r="E58" s="186" t="s">
        <v>55</v>
      </c>
      <c r="F58" s="186" t="s">
        <v>607</v>
      </c>
      <c r="G58" s="186" t="s">
        <v>329</v>
      </c>
      <c r="H58" s="186" t="s">
        <v>243</v>
      </c>
      <c r="I58" s="186"/>
      <c r="J58" s="186">
        <v>30</v>
      </c>
      <c r="K58" s="79" t="s">
        <v>680</v>
      </c>
      <c r="L58" s="186"/>
      <c r="M58" s="186"/>
      <c r="N58" s="186"/>
      <c r="O58" s="186"/>
      <c r="P58" s="186"/>
      <c r="Q58" s="186"/>
      <c r="R58" s="186"/>
      <c r="S58" s="186"/>
      <c r="T58" s="186" t="s">
        <v>2028</v>
      </c>
      <c r="U58" s="186"/>
      <c r="V58" s="186"/>
      <c r="W58" s="186"/>
      <c r="X58">
        <v>85</v>
      </c>
      <c r="Z58" s="129" t="s">
        <v>1920</v>
      </c>
      <c r="AA58" s="30">
        <v>43449</v>
      </c>
      <c r="AB58" t="s">
        <v>1057</v>
      </c>
    </row>
    <row r="59" spans="1:28" ht="18.75" customHeight="1">
      <c r="A59" s="125"/>
      <c r="B59" s="125"/>
      <c r="C59" s="125"/>
      <c r="D59" s="125"/>
      <c r="E59" s="186" t="s">
        <v>55</v>
      </c>
      <c r="F59" s="123" t="s">
        <v>2029</v>
      </c>
      <c r="G59" s="123" t="s">
        <v>329</v>
      </c>
      <c r="H59" s="186" t="s">
        <v>243</v>
      </c>
      <c r="I59" s="186"/>
      <c r="J59" s="186"/>
      <c r="K59" s="79" t="s">
        <v>680</v>
      </c>
      <c r="L59" s="186"/>
      <c r="M59" s="186"/>
      <c r="N59" s="186"/>
      <c r="O59" s="186"/>
      <c r="P59" s="186"/>
      <c r="Q59" s="186"/>
      <c r="R59" s="186"/>
      <c r="S59" s="186"/>
      <c r="T59" s="35" t="s">
        <v>2031</v>
      </c>
      <c r="U59" s="125"/>
      <c r="V59" s="125"/>
      <c r="W59" s="125"/>
      <c r="X59" s="128"/>
      <c r="Y59" s="128"/>
      <c r="Z59" s="128" t="s">
        <v>2032</v>
      </c>
      <c r="AA59" s="77">
        <v>43642</v>
      </c>
      <c r="AB59" s="42" t="s">
        <v>2033</v>
      </c>
    </row>
    <row r="60" spans="1:28" ht="18.75" customHeight="1">
      <c r="A60" s="186"/>
      <c r="B60" s="186"/>
      <c r="C60" s="186"/>
      <c r="D60" s="186"/>
      <c r="E60" s="186" t="s">
        <v>55</v>
      </c>
      <c r="F60" s="186" t="s">
        <v>633</v>
      </c>
      <c r="G60" s="186" t="s">
        <v>329</v>
      </c>
      <c r="H60" s="186" t="s">
        <v>243</v>
      </c>
      <c r="I60" s="186"/>
      <c r="J60" s="72">
        <v>196</v>
      </c>
      <c r="K60" s="79" t="s">
        <v>680</v>
      </c>
      <c r="L60" s="186"/>
      <c r="M60" s="186"/>
      <c r="N60" s="186"/>
      <c r="O60" s="186"/>
      <c r="P60" s="186"/>
      <c r="Q60" s="186"/>
      <c r="R60" s="186"/>
      <c r="S60" s="186"/>
      <c r="T60" s="90" t="s">
        <v>2037</v>
      </c>
      <c r="U60" s="90"/>
      <c r="V60" s="90"/>
      <c r="W60" s="90"/>
      <c r="X60">
        <v>98</v>
      </c>
      <c r="Z60" s="129" t="s">
        <v>1920</v>
      </c>
      <c r="AA60" s="30">
        <v>43449</v>
      </c>
      <c r="AB60" t="s">
        <v>1057</v>
      </c>
    </row>
    <row r="61" spans="1:28" ht="18.75" customHeight="1">
      <c r="A61" s="186"/>
      <c r="B61" s="186"/>
      <c r="C61" s="186"/>
      <c r="D61" s="186"/>
      <c r="E61" s="186" t="s">
        <v>55</v>
      </c>
      <c r="F61" s="186" t="s">
        <v>637</v>
      </c>
      <c r="G61" s="186" t="s">
        <v>329</v>
      </c>
      <c r="H61" s="186" t="s">
        <v>243</v>
      </c>
      <c r="I61" s="186"/>
      <c r="J61" s="72">
        <v>197</v>
      </c>
      <c r="K61" s="79" t="s">
        <v>680</v>
      </c>
      <c r="L61" s="186"/>
      <c r="M61" s="186"/>
      <c r="N61" s="186"/>
      <c r="O61" s="186"/>
      <c r="P61" s="186"/>
      <c r="Q61" s="186"/>
      <c r="R61" s="186"/>
      <c r="S61" s="186"/>
      <c r="T61" s="90" t="s">
        <v>2038</v>
      </c>
      <c r="U61" s="90"/>
      <c r="V61" s="90"/>
      <c r="W61" s="90"/>
      <c r="X61">
        <v>100</v>
      </c>
      <c r="Z61" s="129" t="s">
        <v>1920</v>
      </c>
      <c r="AA61" s="30">
        <v>43449</v>
      </c>
      <c r="AB61" t="s">
        <v>1057</v>
      </c>
    </row>
    <row r="62" spans="1:28" ht="18.75" customHeight="1">
      <c r="A62" s="186"/>
      <c r="B62" s="186"/>
      <c r="C62" s="186"/>
      <c r="D62" s="186"/>
      <c r="E62" s="186" t="s">
        <v>55</v>
      </c>
      <c r="F62" s="186" t="s">
        <v>2039</v>
      </c>
      <c r="G62" s="186" t="s">
        <v>329</v>
      </c>
      <c r="H62" s="186" t="s">
        <v>243</v>
      </c>
      <c r="I62" s="186"/>
      <c r="J62" s="72">
        <v>198</v>
      </c>
      <c r="K62" s="79" t="s">
        <v>680</v>
      </c>
      <c r="L62" s="186"/>
      <c r="M62" s="186"/>
      <c r="N62" s="186"/>
      <c r="O62" s="186"/>
      <c r="P62" s="186"/>
      <c r="Q62" s="186"/>
      <c r="R62" s="186"/>
      <c r="S62" s="186"/>
      <c r="T62" s="90" t="s">
        <v>2040</v>
      </c>
      <c r="U62" s="90"/>
      <c r="V62" s="90"/>
      <c r="W62" s="90"/>
      <c r="Y62" t="s">
        <v>1917</v>
      </c>
    </row>
    <row r="63" spans="1:28" ht="18.75" customHeight="1">
      <c r="A63" s="186"/>
      <c r="B63" s="186"/>
      <c r="C63" s="186"/>
      <c r="D63" s="186"/>
      <c r="E63" s="186" t="s">
        <v>55</v>
      </c>
      <c r="F63" s="186" t="s">
        <v>635</v>
      </c>
      <c r="G63" s="186" t="s">
        <v>329</v>
      </c>
      <c r="H63" s="186" t="s">
        <v>243</v>
      </c>
      <c r="I63" s="186"/>
      <c r="J63" s="72">
        <v>173</v>
      </c>
      <c r="K63" s="79" t="s">
        <v>680</v>
      </c>
      <c r="L63" s="186"/>
      <c r="M63" s="186"/>
      <c r="N63" s="186"/>
      <c r="O63" s="186"/>
      <c r="P63" s="186"/>
      <c r="Q63" s="186"/>
      <c r="R63" s="186"/>
      <c r="S63" s="186"/>
      <c r="T63" s="90" t="s">
        <v>2041</v>
      </c>
      <c r="U63" s="90"/>
      <c r="V63" s="90"/>
      <c r="W63" s="90"/>
      <c r="X63">
        <v>99</v>
      </c>
      <c r="Z63" s="129" t="s">
        <v>1920</v>
      </c>
      <c r="AA63" s="30">
        <v>43449</v>
      </c>
      <c r="AB63" t="s">
        <v>1057</v>
      </c>
    </row>
    <row r="64" spans="1:28" ht="18.75" customHeight="1">
      <c r="A64" s="186"/>
      <c r="B64" s="186"/>
      <c r="C64" s="186"/>
      <c r="D64" s="186"/>
      <c r="E64" s="186" t="s">
        <v>55</v>
      </c>
      <c r="F64" s="186" t="s">
        <v>2042</v>
      </c>
      <c r="G64" s="186" t="s">
        <v>329</v>
      </c>
      <c r="H64" s="186" t="s">
        <v>243</v>
      </c>
      <c r="I64" s="186"/>
      <c r="J64" s="186">
        <v>31</v>
      </c>
      <c r="K64" s="79" t="s">
        <v>680</v>
      </c>
      <c r="L64" s="186"/>
      <c r="M64" s="186"/>
      <c r="N64" s="186"/>
      <c r="O64" s="186"/>
      <c r="P64" s="186"/>
      <c r="Q64" s="186"/>
      <c r="R64" s="186"/>
      <c r="S64" s="186"/>
      <c r="T64" s="186" t="s">
        <v>2043</v>
      </c>
      <c r="U64" s="186"/>
      <c r="V64" s="186"/>
      <c r="W64" s="186"/>
      <c r="Y64" t="s">
        <v>1917</v>
      </c>
    </row>
    <row r="65" spans="1:28" ht="18.75" customHeight="1">
      <c r="A65" s="186"/>
      <c r="B65" s="186"/>
      <c r="C65" s="186" t="s">
        <v>2044</v>
      </c>
      <c r="D65" s="186">
        <v>1</v>
      </c>
      <c r="E65" s="186" t="s">
        <v>61</v>
      </c>
      <c r="F65" s="186" t="s">
        <v>133</v>
      </c>
      <c r="G65" s="186" t="s">
        <v>329</v>
      </c>
      <c r="H65" s="186" t="s">
        <v>243</v>
      </c>
      <c r="I65" s="186"/>
      <c r="J65" s="186">
        <v>32</v>
      </c>
      <c r="K65" s="79" t="s">
        <v>680</v>
      </c>
      <c r="L65" s="186"/>
      <c r="M65" s="186"/>
      <c r="N65" s="186"/>
      <c r="O65" s="186"/>
      <c r="P65" s="186"/>
      <c r="Q65" s="186"/>
      <c r="R65" s="186"/>
      <c r="S65" s="186">
        <v>1</v>
      </c>
      <c r="T65" s="186" t="s">
        <v>1510</v>
      </c>
      <c r="U65" s="186"/>
      <c r="V65" s="186"/>
      <c r="W65" s="186"/>
      <c r="X65">
        <v>73</v>
      </c>
      <c r="Z65" s="129" t="s">
        <v>1920</v>
      </c>
      <c r="AA65" s="30">
        <v>43449</v>
      </c>
      <c r="AB65" t="s">
        <v>1057</v>
      </c>
    </row>
    <row r="66" spans="1:28" ht="18.75" customHeight="1">
      <c r="A66" s="186"/>
      <c r="B66" s="186"/>
      <c r="C66" s="186"/>
      <c r="D66" s="186"/>
      <c r="E66" s="186" t="s">
        <v>55</v>
      </c>
      <c r="F66" s="186" t="s">
        <v>623</v>
      </c>
      <c r="G66" s="186" t="s">
        <v>329</v>
      </c>
      <c r="H66" s="186" t="s">
        <v>243</v>
      </c>
      <c r="I66" s="186"/>
      <c r="J66" s="186">
        <v>33</v>
      </c>
      <c r="K66" s="79" t="s">
        <v>680</v>
      </c>
      <c r="L66" s="186"/>
      <c r="M66" s="186"/>
      <c r="N66" s="186"/>
      <c r="O66" s="186"/>
      <c r="P66" s="186"/>
      <c r="Q66" s="186"/>
      <c r="R66" s="186"/>
      <c r="S66" s="186"/>
      <c r="T66" s="186" t="s">
        <v>2050</v>
      </c>
      <c r="U66" s="186"/>
      <c r="V66" s="186"/>
      <c r="W66" s="186"/>
      <c r="X66">
        <v>93</v>
      </c>
      <c r="Z66" s="129" t="s">
        <v>1920</v>
      </c>
      <c r="AA66" s="30">
        <v>43449</v>
      </c>
      <c r="AB66" t="s">
        <v>1057</v>
      </c>
    </row>
    <row r="67" spans="1:28" ht="18.75" customHeight="1">
      <c r="A67" s="186"/>
      <c r="B67" s="186"/>
      <c r="C67" s="186"/>
      <c r="D67" s="186"/>
      <c r="E67" s="186" t="s">
        <v>59</v>
      </c>
      <c r="F67" s="186" t="s">
        <v>669</v>
      </c>
      <c r="G67" s="186" t="s">
        <v>329</v>
      </c>
      <c r="H67" s="186" t="s">
        <v>243</v>
      </c>
      <c r="I67" s="186"/>
      <c r="J67" s="186">
        <v>34</v>
      </c>
      <c r="K67" s="79" t="s">
        <v>680</v>
      </c>
      <c r="L67" s="186"/>
      <c r="M67" s="186"/>
      <c r="N67" s="186"/>
      <c r="O67" s="186"/>
      <c r="P67" s="186"/>
      <c r="Q67" s="186"/>
      <c r="R67" s="186"/>
      <c r="S67" s="186"/>
      <c r="T67" s="186" t="s">
        <v>2054</v>
      </c>
      <c r="U67" s="186"/>
      <c r="V67" s="186"/>
      <c r="W67" s="186"/>
      <c r="X67">
        <v>117</v>
      </c>
      <c r="Z67" s="129" t="s">
        <v>1920</v>
      </c>
      <c r="AA67" s="30">
        <v>43449</v>
      </c>
      <c r="AB67" t="s">
        <v>1057</v>
      </c>
    </row>
    <row r="68" spans="1:28" ht="18.75" customHeight="1">
      <c r="A68" s="186"/>
      <c r="B68" s="186"/>
      <c r="C68" s="186"/>
      <c r="D68" s="186"/>
      <c r="E68" s="186" t="s">
        <v>59</v>
      </c>
      <c r="F68" s="186" t="s">
        <v>665</v>
      </c>
      <c r="G68" s="186" t="s">
        <v>329</v>
      </c>
      <c r="H68" s="186" t="s">
        <v>243</v>
      </c>
      <c r="I68" s="186"/>
      <c r="J68" s="186">
        <v>35</v>
      </c>
      <c r="K68" s="79" t="s">
        <v>680</v>
      </c>
      <c r="L68" s="186"/>
      <c r="M68" s="186"/>
      <c r="N68" s="186"/>
      <c r="O68" s="186"/>
      <c r="P68" s="186"/>
      <c r="Q68" s="186"/>
      <c r="R68" s="186"/>
      <c r="S68" s="186"/>
      <c r="T68" s="186" t="s">
        <v>2058</v>
      </c>
      <c r="U68" s="186"/>
      <c r="V68" s="186"/>
      <c r="W68" s="186"/>
      <c r="X68">
        <v>115</v>
      </c>
      <c r="Z68" s="129" t="s">
        <v>1920</v>
      </c>
      <c r="AA68" s="30">
        <v>43449</v>
      </c>
      <c r="AB68" t="s">
        <v>1057</v>
      </c>
    </row>
    <row r="69" spans="1:28" ht="18.75" customHeight="1">
      <c r="A69" s="186"/>
      <c r="B69" s="186"/>
      <c r="C69" s="186"/>
      <c r="D69" s="186"/>
      <c r="E69" s="186" t="s">
        <v>59</v>
      </c>
      <c r="F69" s="186" t="s">
        <v>134</v>
      </c>
      <c r="G69" s="186" t="s">
        <v>329</v>
      </c>
      <c r="H69" s="186" t="s">
        <v>243</v>
      </c>
      <c r="I69" s="186"/>
      <c r="J69" s="186">
        <v>36</v>
      </c>
      <c r="K69" s="79" t="s">
        <v>680</v>
      </c>
      <c r="L69" s="186"/>
      <c r="M69" s="186"/>
      <c r="N69" s="186"/>
      <c r="O69" s="186"/>
      <c r="P69" s="186"/>
      <c r="Q69" s="186"/>
      <c r="R69" s="186"/>
      <c r="S69" s="186"/>
      <c r="T69" s="186" t="s">
        <v>2061</v>
      </c>
      <c r="U69" s="186"/>
      <c r="V69" s="186"/>
      <c r="W69" s="186"/>
      <c r="X69">
        <v>113</v>
      </c>
      <c r="Z69" s="129" t="s">
        <v>1920</v>
      </c>
      <c r="AA69" s="30">
        <v>43449</v>
      </c>
      <c r="AB69" t="s">
        <v>1057</v>
      </c>
    </row>
    <row r="70" spans="1:28" ht="18.75" customHeight="1">
      <c r="A70" s="186"/>
      <c r="B70" s="186"/>
      <c r="C70" s="186"/>
      <c r="D70" s="186"/>
      <c r="E70" s="186" t="s">
        <v>55</v>
      </c>
      <c r="F70" s="186" t="s">
        <v>2062</v>
      </c>
      <c r="G70" s="186" t="s">
        <v>329</v>
      </c>
      <c r="H70" s="186" t="s">
        <v>243</v>
      </c>
      <c r="I70" s="186"/>
      <c r="J70" s="186">
        <v>37</v>
      </c>
      <c r="K70" s="79" t="s">
        <v>680</v>
      </c>
      <c r="L70" s="186"/>
      <c r="M70" s="186"/>
      <c r="N70" s="186"/>
      <c r="O70" s="186"/>
      <c r="P70" s="186"/>
      <c r="Q70" s="186"/>
      <c r="R70" s="186"/>
      <c r="S70" s="186"/>
      <c r="T70" s="186" t="s">
        <v>2063</v>
      </c>
      <c r="U70" s="186"/>
      <c r="V70" s="186"/>
      <c r="W70" s="186"/>
      <c r="Y70" t="s">
        <v>1917</v>
      </c>
    </row>
    <row r="71" spans="1:28" ht="18.75" customHeight="1">
      <c r="A71" s="186"/>
      <c r="B71" s="186"/>
      <c r="C71" s="186"/>
      <c r="D71" s="186"/>
      <c r="E71" s="186" t="s">
        <v>55</v>
      </c>
      <c r="F71" s="186" t="s">
        <v>2064</v>
      </c>
      <c r="G71" s="186" t="s">
        <v>329</v>
      </c>
      <c r="H71" s="186" t="s">
        <v>243</v>
      </c>
      <c r="I71" s="186"/>
      <c r="J71" s="72">
        <v>206</v>
      </c>
      <c r="K71" s="79" t="s">
        <v>680</v>
      </c>
      <c r="L71" s="186"/>
      <c r="M71" s="186"/>
      <c r="N71" s="186"/>
      <c r="O71" s="186"/>
      <c r="P71" s="186"/>
      <c r="Q71" s="186"/>
      <c r="R71" s="186"/>
      <c r="S71" s="186"/>
      <c r="T71" s="90" t="s">
        <v>2065</v>
      </c>
      <c r="U71" s="90"/>
      <c r="V71" s="90"/>
      <c r="W71" s="90"/>
      <c r="Y71" t="s">
        <v>1917</v>
      </c>
    </row>
    <row r="72" spans="1:28" ht="18.75" customHeight="1">
      <c r="A72" s="186"/>
      <c r="B72" s="186"/>
      <c r="C72" s="186"/>
      <c r="D72" s="186"/>
      <c r="E72" s="186" t="s">
        <v>55</v>
      </c>
      <c r="F72" s="186" t="s">
        <v>2066</v>
      </c>
      <c r="G72" s="186" t="s">
        <v>329</v>
      </c>
      <c r="H72" s="186" t="s">
        <v>243</v>
      </c>
      <c r="I72" s="186"/>
      <c r="J72" s="72">
        <v>207</v>
      </c>
      <c r="K72" s="79" t="s">
        <v>680</v>
      </c>
      <c r="L72" s="186"/>
      <c r="M72" s="186"/>
      <c r="N72" s="186"/>
      <c r="O72" s="186"/>
      <c r="P72" s="186"/>
      <c r="Q72" s="186"/>
      <c r="R72" s="186"/>
      <c r="S72" s="186"/>
      <c r="T72" s="90" t="s">
        <v>2067</v>
      </c>
      <c r="U72" s="90"/>
      <c r="V72" s="90"/>
      <c r="W72" s="90"/>
      <c r="Y72" t="s">
        <v>1917</v>
      </c>
    </row>
    <row r="73" spans="1:28" ht="18.75" customHeight="1">
      <c r="A73" s="186"/>
      <c r="B73" s="186"/>
      <c r="C73" s="186"/>
      <c r="D73" s="186"/>
      <c r="E73" s="186" t="s">
        <v>55</v>
      </c>
      <c r="F73" s="186" t="s">
        <v>631</v>
      </c>
      <c r="G73" s="186" t="s">
        <v>329</v>
      </c>
      <c r="H73" s="186" t="s">
        <v>243</v>
      </c>
      <c r="I73" s="186"/>
      <c r="J73" s="186">
        <v>38</v>
      </c>
      <c r="K73" s="79" t="s">
        <v>680</v>
      </c>
      <c r="L73" s="186"/>
      <c r="M73" s="186"/>
      <c r="N73" s="186"/>
      <c r="O73" s="186"/>
      <c r="P73" s="186"/>
      <c r="Q73" s="186"/>
      <c r="R73" s="186"/>
      <c r="S73" s="186"/>
      <c r="T73" s="186" t="s">
        <v>2070</v>
      </c>
      <c r="U73" s="186"/>
      <c r="V73" s="186"/>
      <c r="W73" s="186"/>
      <c r="X73">
        <v>97</v>
      </c>
      <c r="Z73" s="129" t="s">
        <v>1920</v>
      </c>
      <c r="AA73" s="30">
        <v>43449</v>
      </c>
      <c r="AB73" t="s">
        <v>1057</v>
      </c>
    </row>
    <row r="74" spans="1:28" ht="18.75" customHeight="1">
      <c r="A74" s="186"/>
      <c r="B74" s="186"/>
      <c r="C74" s="186"/>
      <c r="D74" s="186"/>
      <c r="E74" s="186" t="s">
        <v>55</v>
      </c>
      <c r="F74" s="186" t="s">
        <v>667</v>
      </c>
      <c r="G74" s="186" t="s">
        <v>329</v>
      </c>
      <c r="H74" s="186" t="s">
        <v>243</v>
      </c>
      <c r="I74" s="186"/>
      <c r="J74" s="186">
        <v>39</v>
      </c>
      <c r="K74" s="79" t="s">
        <v>680</v>
      </c>
      <c r="L74" s="186"/>
      <c r="M74" s="186"/>
      <c r="N74" s="186"/>
      <c r="O74" s="186"/>
      <c r="P74" s="186"/>
      <c r="Q74" s="186"/>
      <c r="R74" s="186"/>
      <c r="S74" s="186"/>
      <c r="T74" s="186" t="s">
        <v>2072</v>
      </c>
      <c r="U74" s="186"/>
      <c r="V74" s="186"/>
      <c r="W74" s="186"/>
      <c r="X74">
        <v>116</v>
      </c>
      <c r="Z74" s="129" t="s">
        <v>1920</v>
      </c>
      <c r="AA74" s="30">
        <v>43449</v>
      </c>
      <c r="AB74" t="s">
        <v>1057</v>
      </c>
    </row>
    <row r="75" spans="1:28" ht="18.75" customHeight="1">
      <c r="A75" s="186"/>
      <c r="B75" s="186"/>
      <c r="C75" s="186"/>
      <c r="D75" s="186"/>
      <c r="E75" s="186" t="s">
        <v>59</v>
      </c>
      <c r="F75" s="186" t="s">
        <v>657</v>
      </c>
      <c r="G75" s="186" t="s">
        <v>329</v>
      </c>
      <c r="H75" s="186" t="s">
        <v>243</v>
      </c>
      <c r="I75" s="186"/>
      <c r="J75" s="186">
        <v>40</v>
      </c>
      <c r="K75" s="79" t="s">
        <v>680</v>
      </c>
      <c r="L75" s="186"/>
      <c r="M75" s="186"/>
      <c r="N75" s="186"/>
      <c r="O75" s="186"/>
      <c r="P75" s="186"/>
      <c r="Q75" s="186"/>
      <c r="R75" s="186"/>
      <c r="S75" s="186"/>
      <c r="T75" s="186" t="s">
        <v>2074</v>
      </c>
      <c r="U75" s="186"/>
      <c r="V75" s="186"/>
      <c r="W75" s="186"/>
      <c r="X75">
        <v>110</v>
      </c>
      <c r="Z75" s="129" t="s">
        <v>1920</v>
      </c>
      <c r="AA75" s="30">
        <v>43449</v>
      </c>
      <c r="AB75" t="s">
        <v>1057</v>
      </c>
    </row>
    <row r="76" spans="1:28" ht="18.75" customHeight="1">
      <c r="A76" s="125"/>
      <c r="B76" s="125"/>
      <c r="C76" s="125"/>
      <c r="D76" s="125"/>
      <c r="E76" s="186" t="s">
        <v>55</v>
      </c>
      <c r="F76" s="123" t="s">
        <v>2075</v>
      </c>
      <c r="G76" s="123" t="s">
        <v>329</v>
      </c>
      <c r="H76" s="186" t="s">
        <v>243</v>
      </c>
      <c r="I76" s="186"/>
      <c r="J76" s="186"/>
      <c r="K76" s="79" t="s">
        <v>680</v>
      </c>
      <c r="L76" s="186"/>
      <c r="M76" s="186"/>
      <c r="N76" s="186"/>
      <c r="O76" s="186"/>
      <c r="P76" s="186"/>
      <c r="Q76" s="186"/>
      <c r="R76" s="186"/>
      <c r="S76" s="186"/>
      <c r="T76" s="123" t="s">
        <v>2077</v>
      </c>
      <c r="U76" s="186"/>
      <c r="V76" s="186"/>
      <c r="W76" s="186"/>
      <c r="Z76" t="s">
        <v>2032</v>
      </c>
      <c r="AA76" s="30">
        <v>43642</v>
      </c>
      <c r="AB76" s="34" t="s">
        <v>2033</v>
      </c>
    </row>
    <row r="77" spans="1:28" ht="42" customHeight="1">
      <c r="A77" s="186"/>
      <c r="B77" s="186"/>
      <c r="C77" s="186"/>
      <c r="D77" s="186"/>
      <c r="E77" s="186" t="s">
        <v>59</v>
      </c>
      <c r="F77" s="186" t="s">
        <v>639</v>
      </c>
      <c r="G77" s="186" t="s">
        <v>329</v>
      </c>
      <c r="H77" s="186" t="s">
        <v>243</v>
      </c>
      <c r="I77" s="186"/>
      <c r="J77" s="186">
        <v>41</v>
      </c>
      <c r="K77" s="79" t="s">
        <v>680</v>
      </c>
      <c r="L77" s="186"/>
      <c r="M77" s="186"/>
      <c r="N77" s="186"/>
      <c r="O77" s="186"/>
      <c r="P77" s="186"/>
      <c r="Q77" s="186"/>
      <c r="R77" s="186"/>
      <c r="S77" s="186"/>
      <c r="T77" s="186" t="s">
        <v>2081</v>
      </c>
      <c r="U77" s="186"/>
      <c r="V77" s="186"/>
      <c r="W77" s="186"/>
      <c r="X77">
        <v>101</v>
      </c>
      <c r="Z77" s="129" t="s">
        <v>1920</v>
      </c>
      <c r="AA77" s="30">
        <v>43449</v>
      </c>
      <c r="AB77" t="s">
        <v>1057</v>
      </c>
    </row>
    <row r="78" spans="1:28" ht="18.75" customHeight="1">
      <c r="A78" s="186"/>
      <c r="B78" s="186"/>
      <c r="C78" s="186"/>
      <c r="D78" s="186"/>
      <c r="E78" s="186" t="s">
        <v>55</v>
      </c>
      <c r="F78" s="186" t="s">
        <v>647</v>
      </c>
      <c r="G78" s="186" t="s">
        <v>329</v>
      </c>
      <c r="H78" s="186" t="s">
        <v>243</v>
      </c>
      <c r="I78" s="186"/>
      <c r="J78" s="72">
        <v>214</v>
      </c>
      <c r="K78" s="79" t="s">
        <v>680</v>
      </c>
      <c r="L78" s="186"/>
      <c r="M78" s="186"/>
      <c r="N78" s="186"/>
      <c r="O78" s="186"/>
      <c r="P78" s="186"/>
      <c r="Q78" s="186"/>
      <c r="R78" s="186"/>
      <c r="S78" s="186">
        <v>1</v>
      </c>
      <c r="T78" s="90" t="s">
        <v>2084</v>
      </c>
      <c r="U78" s="90"/>
      <c r="V78" s="90"/>
      <c r="W78" s="90"/>
      <c r="X78">
        <v>105</v>
      </c>
      <c r="Z78" s="129" t="s">
        <v>1920</v>
      </c>
      <c r="AA78" s="30">
        <v>43449</v>
      </c>
      <c r="AB78" t="s">
        <v>1057</v>
      </c>
    </row>
    <row r="79" spans="1:28" ht="18.75" customHeight="1">
      <c r="A79" s="186"/>
      <c r="B79" s="186"/>
      <c r="C79" s="186"/>
      <c r="D79" s="186"/>
      <c r="E79" s="186" t="s">
        <v>55</v>
      </c>
      <c r="F79" s="186" t="s">
        <v>649</v>
      </c>
      <c r="G79" s="186" t="s">
        <v>329</v>
      </c>
      <c r="H79" s="186" t="s">
        <v>243</v>
      </c>
      <c r="I79" s="186"/>
      <c r="J79" s="72">
        <v>213</v>
      </c>
      <c r="K79" s="79" t="s">
        <v>680</v>
      </c>
      <c r="L79" s="186"/>
      <c r="M79" s="186"/>
      <c r="N79" s="186"/>
      <c r="O79" s="186"/>
      <c r="P79" s="186"/>
      <c r="Q79" s="186"/>
      <c r="R79" s="186"/>
      <c r="S79" s="186"/>
      <c r="T79" s="90" t="s">
        <v>2087</v>
      </c>
      <c r="U79" s="90"/>
      <c r="V79" s="90"/>
      <c r="W79" s="90"/>
      <c r="X79">
        <v>106</v>
      </c>
      <c r="Z79" s="129" t="s">
        <v>1920</v>
      </c>
      <c r="AA79" s="30">
        <v>43449</v>
      </c>
      <c r="AB79" t="s">
        <v>1057</v>
      </c>
    </row>
    <row r="80" spans="1:28" ht="18.75" customHeight="1">
      <c r="A80" s="186"/>
      <c r="B80" s="186"/>
      <c r="C80" s="186"/>
      <c r="D80" s="186"/>
      <c r="E80" s="186" t="s">
        <v>55</v>
      </c>
      <c r="F80" s="186" t="s">
        <v>2088</v>
      </c>
      <c r="G80" s="186" t="s">
        <v>329</v>
      </c>
      <c r="H80" s="186" t="s">
        <v>243</v>
      </c>
      <c r="I80" s="186"/>
      <c r="J80" s="72">
        <v>199</v>
      </c>
      <c r="K80" s="79" t="s">
        <v>680</v>
      </c>
      <c r="L80" s="186"/>
      <c r="M80" s="186"/>
      <c r="N80" s="186"/>
      <c r="O80" s="186"/>
      <c r="P80" s="186"/>
      <c r="Q80" s="186"/>
      <c r="R80" s="186"/>
      <c r="S80" s="186"/>
      <c r="T80" s="90" t="s">
        <v>2089</v>
      </c>
      <c r="U80" s="90"/>
      <c r="V80" s="90"/>
      <c r="W80" s="90"/>
      <c r="Y80" t="s">
        <v>1917</v>
      </c>
    </row>
    <row r="81" spans="1:28" ht="18.75" customHeight="1">
      <c r="A81" s="186"/>
      <c r="B81" s="186"/>
      <c r="C81" s="186"/>
      <c r="D81" s="186"/>
      <c r="E81" s="186" t="s">
        <v>55</v>
      </c>
      <c r="F81" s="123" t="s">
        <v>2090</v>
      </c>
      <c r="G81" s="123" t="s">
        <v>346</v>
      </c>
      <c r="H81" s="186" t="s">
        <v>243</v>
      </c>
      <c r="I81" s="186"/>
      <c r="J81" s="186"/>
      <c r="K81" s="79" t="s">
        <v>680</v>
      </c>
      <c r="L81" s="186"/>
      <c r="M81" s="186"/>
      <c r="N81" s="186"/>
      <c r="O81" s="186"/>
      <c r="P81" s="186"/>
      <c r="Q81" s="186"/>
      <c r="R81" s="186"/>
      <c r="S81" s="186"/>
      <c r="T81" s="123" t="s">
        <v>2091</v>
      </c>
      <c r="U81" s="123"/>
      <c r="V81" s="123"/>
      <c r="W81" s="123"/>
      <c r="Y81" t="s">
        <v>1917</v>
      </c>
    </row>
    <row r="82" spans="1:28" ht="18.75" customHeight="1">
      <c r="A82" s="186"/>
      <c r="B82" s="186"/>
      <c r="C82" s="186"/>
      <c r="D82" s="186"/>
      <c r="E82" s="186" t="s">
        <v>55</v>
      </c>
      <c r="F82" s="123" t="s">
        <v>2092</v>
      </c>
      <c r="G82" s="123" t="s">
        <v>346</v>
      </c>
      <c r="H82" s="186" t="s">
        <v>243</v>
      </c>
      <c r="I82" s="186"/>
      <c r="J82" s="186"/>
      <c r="K82" s="79" t="s">
        <v>680</v>
      </c>
      <c r="L82" s="186"/>
      <c r="M82" s="186"/>
      <c r="N82" s="186"/>
      <c r="O82" s="186"/>
      <c r="P82" s="186"/>
      <c r="Q82" s="186"/>
      <c r="R82" s="186"/>
      <c r="S82" s="186"/>
      <c r="T82" s="123" t="s">
        <v>2093</v>
      </c>
      <c r="U82" s="123"/>
      <c r="V82" s="123"/>
      <c r="W82" s="123"/>
      <c r="Y82" t="s">
        <v>1917</v>
      </c>
    </row>
    <row r="83" spans="1:28" ht="18.75" customHeight="1">
      <c r="A83" s="186"/>
      <c r="B83" s="186"/>
      <c r="C83" s="186"/>
      <c r="D83" s="186"/>
      <c r="E83" s="186" t="s">
        <v>59</v>
      </c>
      <c r="F83" s="186" t="s">
        <v>586</v>
      </c>
      <c r="G83" s="186" t="s">
        <v>242</v>
      </c>
      <c r="H83" s="186" t="s">
        <v>243</v>
      </c>
      <c r="I83" s="186"/>
      <c r="J83" s="186">
        <v>42</v>
      </c>
      <c r="K83" s="79" t="s">
        <v>680</v>
      </c>
      <c r="L83" s="186"/>
      <c r="M83" s="186"/>
      <c r="N83" s="186"/>
      <c r="O83" s="186"/>
      <c r="P83" s="186"/>
      <c r="Q83" s="186"/>
      <c r="R83" s="186"/>
      <c r="S83" s="186"/>
      <c r="T83" s="186" t="s">
        <v>2096</v>
      </c>
      <c r="U83" s="186"/>
      <c r="V83" s="186"/>
      <c r="W83" s="186"/>
      <c r="X83">
        <v>69</v>
      </c>
      <c r="Z83" s="129" t="s">
        <v>1920</v>
      </c>
      <c r="AA83" s="30">
        <v>43449</v>
      </c>
      <c r="AB83" t="s">
        <v>1057</v>
      </c>
    </row>
    <row r="84" spans="1:28" ht="18.75" customHeight="1">
      <c r="A84" s="186"/>
      <c r="B84" s="186"/>
      <c r="C84" s="186"/>
      <c r="D84" s="186"/>
      <c r="E84" s="186" t="s">
        <v>55</v>
      </c>
      <c r="F84" s="186" t="s">
        <v>584</v>
      </c>
      <c r="G84" s="186" t="s">
        <v>242</v>
      </c>
      <c r="H84" s="186" t="s">
        <v>243</v>
      </c>
      <c r="I84" s="186"/>
      <c r="J84" s="186">
        <v>43</v>
      </c>
      <c r="K84" s="79" t="s">
        <v>680</v>
      </c>
      <c r="L84" s="186"/>
      <c r="M84" s="75"/>
      <c r="N84" s="186"/>
      <c r="O84" s="186"/>
      <c r="P84" s="186"/>
      <c r="Q84" s="186"/>
      <c r="R84" s="186"/>
      <c r="S84" s="186"/>
      <c r="T84" s="186" t="s">
        <v>2100</v>
      </c>
      <c r="U84" s="186"/>
      <c r="V84" s="186"/>
      <c r="W84" s="186"/>
      <c r="X84">
        <v>68</v>
      </c>
      <c r="Z84" s="129" t="s">
        <v>1521</v>
      </c>
      <c r="AA84" s="30">
        <v>43173</v>
      </c>
      <c r="AB84" t="s">
        <v>1985</v>
      </c>
    </row>
    <row r="85" spans="1:28" ht="18.75" customHeight="1">
      <c r="A85" s="186"/>
      <c r="B85" s="186"/>
      <c r="C85" s="186"/>
      <c r="D85" s="186"/>
      <c r="E85" s="186" t="s">
        <v>55</v>
      </c>
      <c r="F85" s="186" t="s">
        <v>2101</v>
      </c>
      <c r="G85" s="186" t="s">
        <v>346</v>
      </c>
      <c r="H85" s="186" t="s">
        <v>243</v>
      </c>
      <c r="I85" s="186"/>
      <c r="J85" s="186">
        <v>44</v>
      </c>
      <c r="K85" s="79" t="s">
        <v>680</v>
      </c>
      <c r="L85" s="186"/>
      <c r="M85" s="186"/>
      <c r="N85" s="186"/>
      <c r="O85" s="186"/>
      <c r="P85" s="186"/>
      <c r="Q85" s="186"/>
      <c r="R85" s="186"/>
      <c r="S85" s="186"/>
      <c r="T85" s="186" t="s">
        <v>2102</v>
      </c>
      <c r="U85" s="186"/>
      <c r="V85" s="186"/>
      <c r="W85" s="186"/>
      <c r="Y85" t="s">
        <v>1917</v>
      </c>
    </row>
    <row r="86" spans="1:28" ht="18.75" customHeight="1">
      <c r="A86" s="186"/>
      <c r="B86" s="186"/>
      <c r="C86" s="186"/>
      <c r="D86" s="186"/>
      <c r="E86" s="186" t="s">
        <v>55</v>
      </c>
      <c r="F86" s="186" t="s">
        <v>2103</v>
      </c>
      <c r="G86" s="186" t="s">
        <v>242</v>
      </c>
      <c r="H86" s="186" t="s">
        <v>243</v>
      </c>
      <c r="I86" s="186"/>
      <c r="J86" s="186">
        <v>45</v>
      </c>
      <c r="K86" s="79" t="s">
        <v>680</v>
      </c>
      <c r="L86" s="186"/>
      <c r="M86" s="186"/>
      <c r="N86" s="186"/>
      <c r="O86" s="186"/>
      <c r="P86" s="186"/>
      <c r="Q86" s="186"/>
      <c r="R86" s="186"/>
      <c r="S86" s="186"/>
      <c r="T86" s="186" t="s">
        <v>2104</v>
      </c>
      <c r="U86" s="186"/>
      <c r="V86" s="186"/>
      <c r="W86" s="186"/>
      <c r="Y86" t="s">
        <v>1917</v>
      </c>
    </row>
    <row r="87" spans="1:28" ht="18.75" customHeight="1">
      <c r="A87" s="186"/>
      <c r="B87" s="186"/>
      <c r="C87" s="186"/>
      <c r="D87" s="186"/>
      <c r="E87" s="186" t="s">
        <v>59</v>
      </c>
      <c r="F87" s="186" t="s">
        <v>520</v>
      </c>
      <c r="G87" s="186" t="s">
        <v>252</v>
      </c>
      <c r="H87" s="186" t="s">
        <v>243</v>
      </c>
      <c r="I87" s="186"/>
      <c r="J87" s="186">
        <v>145</v>
      </c>
      <c r="K87" s="79" t="s">
        <v>680</v>
      </c>
      <c r="L87" s="186"/>
      <c r="M87" s="186"/>
      <c r="N87" s="186"/>
      <c r="O87" s="186"/>
      <c r="P87" s="186"/>
      <c r="Q87" s="186"/>
      <c r="R87" s="186"/>
      <c r="S87" s="186"/>
      <c r="T87" s="186" t="s">
        <v>1547</v>
      </c>
      <c r="U87" s="186"/>
      <c r="V87" s="186"/>
      <c r="W87" s="186"/>
      <c r="X87">
        <v>29</v>
      </c>
      <c r="Z87" s="129" t="s">
        <v>1920</v>
      </c>
      <c r="AA87" s="30">
        <v>43449</v>
      </c>
      <c r="AB87" t="s">
        <v>1057</v>
      </c>
    </row>
    <row r="88" spans="1:28" ht="18.75" customHeight="1">
      <c r="A88" s="186"/>
      <c r="B88" s="186"/>
      <c r="C88" s="186"/>
      <c r="D88" s="186"/>
      <c r="E88" s="186" t="s">
        <v>59</v>
      </c>
      <c r="F88" s="186" t="s">
        <v>522</v>
      </c>
      <c r="G88" s="186" t="s">
        <v>329</v>
      </c>
      <c r="H88" s="186" t="s">
        <v>243</v>
      </c>
      <c r="I88" s="186"/>
      <c r="J88" s="186">
        <v>146</v>
      </c>
      <c r="K88" s="79" t="s">
        <v>680</v>
      </c>
      <c r="L88" s="186"/>
      <c r="M88" s="186"/>
      <c r="N88" s="186"/>
      <c r="O88" s="186"/>
      <c r="P88" s="186"/>
      <c r="Q88" s="186"/>
      <c r="R88" s="186"/>
      <c r="S88" s="186"/>
      <c r="T88" s="186" t="s">
        <v>1549</v>
      </c>
      <c r="U88" s="186"/>
      <c r="V88" s="186"/>
      <c r="W88" s="186"/>
      <c r="X88">
        <v>30</v>
      </c>
      <c r="Z88" s="129" t="s">
        <v>1920</v>
      </c>
      <c r="AA88" s="30">
        <v>43449</v>
      </c>
      <c r="AB88" t="s">
        <v>1057</v>
      </c>
    </row>
    <row r="89" spans="1:28" ht="18.75" customHeight="1">
      <c r="A89" s="186"/>
      <c r="B89" s="186"/>
      <c r="C89" s="186"/>
      <c r="D89" s="186"/>
      <c r="E89" s="186" t="s">
        <v>55</v>
      </c>
      <c r="F89" s="186" t="s">
        <v>581</v>
      </c>
      <c r="G89" s="186" t="s">
        <v>250</v>
      </c>
      <c r="H89" s="186" t="s">
        <v>243</v>
      </c>
      <c r="I89" s="186"/>
      <c r="J89" s="186">
        <v>47</v>
      </c>
      <c r="K89" s="79" t="s">
        <v>680</v>
      </c>
      <c r="L89" s="186"/>
      <c r="M89" s="186"/>
      <c r="N89" s="186"/>
      <c r="O89" s="186"/>
      <c r="P89" s="186"/>
      <c r="Q89" s="186"/>
      <c r="R89" s="186"/>
      <c r="S89" s="186" t="s">
        <v>1201</v>
      </c>
      <c r="T89" s="186" t="s">
        <v>2111</v>
      </c>
      <c r="U89" s="186"/>
      <c r="V89" s="186"/>
      <c r="W89" s="186"/>
      <c r="X89">
        <v>66</v>
      </c>
      <c r="Z89" s="129" t="s">
        <v>1920</v>
      </c>
      <c r="AA89" s="30">
        <v>43449</v>
      </c>
      <c r="AB89" t="s">
        <v>1057</v>
      </c>
    </row>
    <row r="90" spans="1:28" ht="18.75" customHeight="1">
      <c r="A90" s="186"/>
      <c r="B90" s="186"/>
      <c r="C90" s="186"/>
      <c r="D90" s="186"/>
      <c r="E90" s="186" t="s">
        <v>55</v>
      </c>
      <c r="F90" s="186" t="s">
        <v>2112</v>
      </c>
      <c r="G90" s="186" t="s">
        <v>995</v>
      </c>
      <c r="H90" s="186" t="s">
        <v>243</v>
      </c>
      <c r="I90" s="186"/>
      <c r="J90" s="186">
        <v>46</v>
      </c>
      <c r="K90" s="79" t="s">
        <v>680</v>
      </c>
      <c r="L90" s="186"/>
      <c r="M90" s="186"/>
      <c r="N90" s="186"/>
      <c r="O90" s="186"/>
      <c r="P90" s="186"/>
      <c r="Q90" s="186"/>
      <c r="R90" s="186"/>
      <c r="S90" s="186"/>
      <c r="T90" s="186" t="s">
        <v>2113</v>
      </c>
      <c r="U90" s="186"/>
      <c r="V90" s="186"/>
      <c r="W90" s="186"/>
      <c r="Y90" t="s">
        <v>1917</v>
      </c>
    </row>
    <row r="91" spans="1:28" ht="18.75" customHeight="1">
      <c r="A91" s="186"/>
      <c r="B91" s="186"/>
      <c r="C91" s="186"/>
      <c r="D91" s="186"/>
      <c r="E91" s="186" t="s">
        <v>55</v>
      </c>
      <c r="F91" s="186" t="s">
        <v>554</v>
      </c>
      <c r="G91" s="186" t="s">
        <v>247</v>
      </c>
      <c r="H91" s="186" t="s">
        <v>243</v>
      </c>
      <c r="I91" s="186"/>
      <c r="J91" s="186">
        <v>48</v>
      </c>
      <c r="K91" s="79" t="s">
        <v>680</v>
      </c>
      <c r="L91" s="186"/>
      <c r="M91" s="186"/>
      <c r="N91" s="186"/>
      <c r="O91" s="186"/>
      <c r="P91" s="186"/>
      <c r="Q91" s="186"/>
      <c r="R91" s="186"/>
      <c r="S91" s="186" t="s">
        <v>2116</v>
      </c>
      <c r="T91" s="186" t="s">
        <v>2117</v>
      </c>
      <c r="U91" s="186"/>
      <c r="V91" s="186"/>
      <c r="W91" s="186"/>
      <c r="X91">
        <v>51</v>
      </c>
      <c r="Z91" s="129" t="s">
        <v>1920</v>
      </c>
      <c r="AA91" s="30">
        <v>43449</v>
      </c>
      <c r="AB91" t="s">
        <v>1057</v>
      </c>
    </row>
    <row r="92" spans="1:28" ht="18.75" customHeight="1">
      <c r="A92" s="186"/>
      <c r="B92" s="186"/>
      <c r="C92" s="186"/>
      <c r="D92" s="186"/>
      <c r="E92" s="186" t="s">
        <v>55</v>
      </c>
      <c r="F92" s="186" t="s">
        <v>567</v>
      </c>
      <c r="G92" s="186" t="s">
        <v>255</v>
      </c>
      <c r="H92" s="186" t="s">
        <v>243</v>
      </c>
      <c r="I92" s="186"/>
      <c r="J92" s="186">
        <v>49</v>
      </c>
      <c r="K92" s="79" t="s">
        <v>680</v>
      </c>
      <c r="L92" s="186"/>
      <c r="M92" s="186"/>
      <c r="N92" s="186"/>
      <c r="O92" s="186"/>
      <c r="P92" s="186"/>
      <c r="Q92" s="186"/>
      <c r="R92" s="186"/>
      <c r="S92" s="186">
        <v>43532</v>
      </c>
      <c r="T92" s="186" t="s">
        <v>2118</v>
      </c>
      <c r="U92" s="186"/>
      <c r="V92" s="186"/>
      <c r="W92" s="186"/>
      <c r="X92">
        <v>59</v>
      </c>
      <c r="Z92" s="129" t="s">
        <v>1920</v>
      </c>
      <c r="AA92" s="30">
        <v>43449</v>
      </c>
      <c r="AB92" t="s">
        <v>1929</v>
      </c>
    </row>
    <row r="93" spans="1:28" ht="18.75" customHeight="1">
      <c r="A93" s="186"/>
      <c r="B93" s="186"/>
      <c r="C93" s="186"/>
      <c r="D93" s="186"/>
      <c r="E93" s="186" t="s">
        <v>59</v>
      </c>
      <c r="F93" s="186" t="s">
        <v>341</v>
      </c>
      <c r="G93" s="186" t="s">
        <v>247</v>
      </c>
      <c r="H93" s="186" t="s">
        <v>243</v>
      </c>
      <c r="I93" s="186"/>
      <c r="J93" s="186">
        <v>151</v>
      </c>
      <c r="K93" s="79" t="s">
        <v>680</v>
      </c>
      <c r="L93" s="186"/>
      <c r="M93" s="186"/>
      <c r="N93" s="186"/>
      <c r="O93" s="186"/>
      <c r="P93" s="186"/>
      <c r="Q93" s="186"/>
      <c r="R93" s="289" t="s">
        <v>1346</v>
      </c>
      <c r="S93" s="186" t="s">
        <v>1252</v>
      </c>
      <c r="T93" s="186" t="s">
        <v>2122</v>
      </c>
      <c r="U93" s="186"/>
      <c r="V93" s="186"/>
      <c r="W93" s="186"/>
      <c r="X93">
        <v>19</v>
      </c>
      <c r="Z93" s="129" t="s">
        <v>1920</v>
      </c>
      <c r="AA93" s="30">
        <v>43449</v>
      </c>
      <c r="AB93" t="s">
        <v>1057</v>
      </c>
    </row>
    <row r="94" spans="1:28" ht="18.75" customHeight="1">
      <c r="A94" s="186"/>
      <c r="B94" s="186"/>
      <c r="C94" s="186"/>
      <c r="D94" s="186"/>
      <c r="E94" s="186" t="s">
        <v>59</v>
      </c>
      <c r="F94" s="186" t="s">
        <v>343</v>
      </c>
      <c r="G94" s="186" t="s">
        <v>247</v>
      </c>
      <c r="H94" s="186" t="s">
        <v>243</v>
      </c>
      <c r="I94" s="186"/>
      <c r="J94" s="186">
        <v>152</v>
      </c>
      <c r="K94" s="79" t="s">
        <v>680</v>
      </c>
      <c r="L94" s="186"/>
      <c r="M94" s="186"/>
      <c r="N94" s="186"/>
      <c r="O94" s="186"/>
      <c r="P94" s="186"/>
      <c r="Q94" s="186"/>
      <c r="R94" s="289" t="s">
        <v>1346</v>
      </c>
      <c r="S94" s="186" t="s">
        <v>1252</v>
      </c>
      <c r="T94" s="186" t="s">
        <v>1560</v>
      </c>
      <c r="U94" s="186"/>
      <c r="V94" s="186"/>
      <c r="W94" s="186"/>
      <c r="X94">
        <v>20</v>
      </c>
      <c r="Z94" s="129" t="s">
        <v>1920</v>
      </c>
      <c r="AA94" s="30">
        <v>43449</v>
      </c>
      <c r="AB94" t="s">
        <v>1057</v>
      </c>
    </row>
    <row r="95" spans="1:28" ht="18.75" customHeight="1">
      <c r="A95" s="186"/>
      <c r="B95" s="186"/>
      <c r="C95" s="186"/>
      <c r="D95" s="186"/>
      <c r="E95" s="186" t="s">
        <v>59</v>
      </c>
      <c r="F95" s="186" t="s">
        <v>363</v>
      </c>
      <c r="G95" s="186" t="s">
        <v>364</v>
      </c>
      <c r="H95" s="186" t="s">
        <v>243</v>
      </c>
      <c r="I95" s="186"/>
      <c r="J95" s="186">
        <v>150</v>
      </c>
      <c r="K95" s="79" t="s">
        <v>680</v>
      </c>
      <c r="L95" s="186"/>
      <c r="M95" s="186"/>
      <c r="N95" s="186"/>
      <c r="O95" s="186"/>
      <c r="P95" s="186"/>
      <c r="Q95" s="186"/>
      <c r="R95" s="289" t="s">
        <v>1346</v>
      </c>
      <c r="S95" s="186">
        <v>2.17</v>
      </c>
      <c r="T95" s="186" t="s">
        <v>1564</v>
      </c>
      <c r="U95" s="186"/>
      <c r="V95" s="186"/>
      <c r="W95" s="186"/>
      <c r="X95">
        <v>27</v>
      </c>
      <c r="Z95" s="129" t="s">
        <v>1920</v>
      </c>
      <c r="AA95" s="30">
        <v>43449</v>
      </c>
      <c r="AB95" t="s">
        <v>1057</v>
      </c>
    </row>
    <row r="96" spans="1:28" ht="18.75" customHeight="1">
      <c r="A96" s="186"/>
      <c r="B96" s="186"/>
      <c r="C96" s="186" t="s">
        <v>1525</v>
      </c>
      <c r="D96" s="186">
        <v>1</v>
      </c>
      <c r="E96" s="186" t="s">
        <v>59</v>
      </c>
      <c r="F96" s="186" t="s">
        <v>318</v>
      </c>
      <c r="G96" s="186" t="s">
        <v>264</v>
      </c>
      <c r="H96" s="186" t="s">
        <v>243</v>
      </c>
      <c r="I96" s="186"/>
      <c r="J96" s="186">
        <v>158</v>
      </c>
      <c r="K96" s="79" t="s">
        <v>680</v>
      </c>
      <c r="L96" s="186"/>
      <c r="M96" s="186"/>
      <c r="N96" s="186"/>
      <c r="O96" s="186"/>
      <c r="P96" s="186"/>
      <c r="Q96" s="186"/>
      <c r="R96" s="289" t="s">
        <v>1346</v>
      </c>
      <c r="S96" s="186">
        <v>261941306</v>
      </c>
      <c r="T96" s="186" t="s">
        <v>318</v>
      </c>
      <c r="U96" s="186"/>
      <c r="V96" s="186"/>
      <c r="W96" s="186"/>
      <c r="X96">
        <v>14</v>
      </c>
      <c r="Z96" s="129" t="s">
        <v>1920</v>
      </c>
      <c r="AA96" s="30">
        <v>43449</v>
      </c>
      <c r="AB96" t="s">
        <v>1057</v>
      </c>
    </row>
    <row r="97" spans="1:28" ht="18.75" customHeight="1">
      <c r="A97" s="186"/>
      <c r="B97" s="186"/>
      <c r="C97" s="186"/>
      <c r="D97" s="186"/>
      <c r="E97" s="186" t="s">
        <v>59</v>
      </c>
      <c r="F97" s="186" t="s">
        <v>499</v>
      </c>
      <c r="G97" s="186" t="s">
        <v>242</v>
      </c>
      <c r="H97" s="186" t="s">
        <v>243</v>
      </c>
      <c r="I97" s="186"/>
      <c r="J97" s="186">
        <v>51</v>
      </c>
      <c r="K97" s="79" t="s">
        <v>680</v>
      </c>
      <c r="L97" s="186"/>
      <c r="M97" s="186"/>
      <c r="N97" s="186"/>
      <c r="O97" s="186"/>
      <c r="P97" s="186"/>
      <c r="Q97" s="186"/>
      <c r="R97" s="186"/>
      <c r="S97" s="186" t="s">
        <v>2131</v>
      </c>
      <c r="T97" s="186" t="s">
        <v>2132</v>
      </c>
      <c r="U97" s="186"/>
      <c r="V97" s="186"/>
      <c r="W97" s="186"/>
      <c r="X97">
        <v>4</v>
      </c>
      <c r="Z97" s="129" t="s">
        <v>1920</v>
      </c>
      <c r="AA97" s="30">
        <v>43449</v>
      </c>
      <c r="AB97" t="s">
        <v>1057</v>
      </c>
    </row>
    <row r="98" spans="1:28" ht="18.75" customHeight="1">
      <c r="A98" s="186"/>
      <c r="B98" s="186"/>
      <c r="C98" s="186"/>
      <c r="D98" s="186"/>
      <c r="E98" s="186" t="s">
        <v>59</v>
      </c>
      <c r="F98" s="186" t="s">
        <v>501</v>
      </c>
      <c r="G98" s="186" t="s">
        <v>346</v>
      </c>
      <c r="H98" s="186" t="s">
        <v>243</v>
      </c>
      <c r="I98" s="186"/>
      <c r="J98" s="186">
        <v>52</v>
      </c>
      <c r="K98" s="79" t="s">
        <v>680</v>
      </c>
      <c r="L98" s="186"/>
      <c r="M98" s="186"/>
      <c r="N98" s="186"/>
      <c r="O98" s="186"/>
      <c r="P98" s="186"/>
      <c r="Q98" s="186"/>
      <c r="R98" s="186"/>
      <c r="S98" s="186" t="s">
        <v>2135</v>
      </c>
      <c r="T98" s="186" t="s">
        <v>2136</v>
      </c>
      <c r="U98" s="186"/>
      <c r="V98" s="186"/>
      <c r="W98" s="186"/>
      <c r="X98">
        <v>5</v>
      </c>
      <c r="Z98" s="129" t="s">
        <v>1920</v>
      </c>
      <c r="AA98" s="30">
        <v>43449</v>
      </c>
      <c r="AB98" t="s">
        <v>1057</v>
      </c>
    </row>
    <row r="99" spans="1:28" ht="18.75" customHeight="1">
      <c r="A99" s="186"/>
      <c r="B99" s="186"/>
      <c r="C99" s="186"/>
      <c r="D99" s="186"/>
      <c r="E99" s="186" t="s">
        <v>55</v>
      </c>
      <c r="F99" s="186" t="s">
        <v>675</v>
      </c>
      <c r="G99" s="186" t="s">
        <v>346</v>
      </c>
      <c r="H99" s="186" t="s">
        <v>243</v>
      </c>
      <c r="I99" s="186"/>
      <c r="J99" s="186">
        <v>53</v>
      </c>
      <c r="K99" s="79" t="s">
        <v>680</v>
      </c>
      <c r="L99" s="186"/>
      <c r="M99" s="186"/>
      <c r="N99" s="186"/>
      <c r="O99" s="186"/>
      <c r="P99" s="186"/>
      <c r="Q99" s="186"/>
      <c r="R99" s="186"/>
      <c r="S99" s="186" t="s">
        <v>2137</v>
      </c>
      <c r="T99" s="186" t="s">
        <v>2138</v>
      </c>
      <c r="U99" s="186"/>
      <c r="V99" s="186"/>
      <c r="W99" s="186"/>
      <c r="X99">
        <v>6</v>
      </c>
      <c r="Z99" s="129" t="s">
        <v>2139</v>
      </c>
      <c r="AA99" s="30">
        <v>43546</v>
      </c>
      <c r="AB99" t="s">
        <v>2140</v>
      </c>
    </row>
    <row r="100" spans="1:28" ht="18.75" customHeight="1">
      <c r="A100" s="186"/>
      <c r="B100" s="186"/>
      <c r="C100" s="186"/>
      <c r="D100" s="186"/>
      <c r="E100" s="186" t="s">
        <v>55</v>
      </c>
      <c r="F100" s="186" t="s">
        <v>2141</v>
      </c>
      <c r="G100" s="186" t="s">
        <v>249</v>
      </c>
      <c r="H100" s="186" t="s">
        <v>243</v>
      </c>
      <c r="I100" s="186"/>
      <c r="J100" s="72">
        <v>192</v>
      </c>
      <c r="K100" s="79" t="s">
        <v>680</v>
      </c>
      <c r="L100" s="186"/>
      <c r="M100" s="186"/>
      <c r="N100" s="186"/>
      <c r="O100" s="186"/>
      <c r="P100" s="186"/>
      <c r="Q100" s="186"/>
      <c r="R100" s="186"/>
      <c r="S100" s="186"/>
      <c r="T100" s="90" t="s">
        <v>2142</v>
      </c>
      <c r="U100" s="90"/>
      <c r="V100" s="90"/>
      <c r="W100" s="90"/>
      <c r="Y100" t="s">
        <v>1917</v>
      </c>
    </row>
    <row r="101" spans="1:28" ht="18.75" customHeight="1">
      <c r="A101" s="186"/>
      <c r="B101" s="186"/>
      <c r="C101" s="186"/>
      <c r="D101" s="186"/>
      <c r="E101" s="186" t="s">
        <v>59</v>
      </c>
      <c r="F101" s="186" t="s">
        <v>476</v>
      </c>
      <c r="G101" s="186" t="s">
        <v>242</v>
      </c>
      <c r="H101" s="186" t="s">
        <v>243</v>
      </c>
      <c r="I101" s="186"/>
      <c r="J101" s="186">
        <v>168</v>
      </c>
      <c r="K101" s="79" t="s">
        <v>680</v>
      </c>
      <c r="L101" s="186"/>
      <c r="M101" s="186"/>
      <c r="N101" s="186"/>
      <c r="O101" s="186"/>
      <c r="P101" s="186"/>
      <c r="Q101" s="186"/>
      <c r="R101" s="186"/>
      <c r="S101" s="186" t="s">
        <v>2144</v>
      </c>
      <c r="T101" s="186" t="s">
        <v>2145</v>
      </c>
      <c r="U101" s="186"/>
      <c r="V101" s="186"/>
      <c r="W101" s="186"/>
      <c r="Y101" t="s">
        <v>1612</v>
      </c>
    </row>
    <row r="102" spans="1:28" ht="18.75" customHeight="1">
      <c r="A102" s="186"/>
      <c r="B102" s="186"/>
      <c r="C102" s="186"/>
      <c r="D102" s="186"/>
      <c r="E102" s="186" t="s">
        <v>55</v>
      </c>
      <c r="F102" s="186" t="s">
        <v>2146</v>
      </c>
      <c r="G102" s="186" t="s">
        <v>329</v>
      </c>
      <c r="H102" s="186" t="s">
        <v>243</v>
      </c>
      <c r="I102" s="186"/>
      <c r="J102" s="186">
        <v>169</v>
      </c>
      <c r="K102" s="79" t="s">
        <v>680</v>
      </c>
      <c r="L102" s="186"/>
      <c r="M102" s="186"/>
      <c r="N102" s="186"/>
      <c r="O102" s="186"/>
      <c r="P102" s="186"/>
      <c r="Q102" s="186"/>
      <c r="R102" s="186"/>
      <c r="S102" s="186"/>
      <c r="T102" s="186" t="s">
        <v>2147</v>
      </c>
      <c r="U102" s="186"/>
      <c r="V102" s="186"/>
      <c r="W102" s="186"/>
      <c r="Y102" t="s">
        <v>1917</v>
      </c>
    </row>
    <row r="103" spans="1:28" ht="18.75" customHeight="1">
      <c r="A103" s="186"/>
      <c r="B103" s="186"/>
      <c r="C103" s="186"/>
      <c r="D103" s="186"/>
      <c r="E103" s="186" t="s">
        <v>55</v>
      </c>
      <c r="F103" s="186" t="s">
        <v>2148</v>
      </c>
      <c r="G103" s="186" t="s">
        <v>329</v>
      </c>
      <c r="H103" s="186" t="s">
        <v>243</v>
      </c>
      <c r="I103" s="186"/>
      <c r="J103" s="186">
        <v>54</v>
      </c>
      <c r="K103" s="79" t="s">
        <v>680</v>
      </c>
      <c r="L103" s="186"/>
      <c r="M103" s="186"/>
      <c r="N103" s="186"/>
      <c r="O103" s="186"/>
      <c r="P103" s="186"/>
      <c r="Q103" s="186"/>
      <c r="R103" s="186"/>
      <c r="S103" s="186"/>
      <c r="T103" s="186" t="s">
        <v>2149</v>
      </c>
      <c r="U103" s="186"/>
      <c r="V103" s="186"/>
      <c r="W103" s="186"/>
      <c r="Y103" t="s">
        <v>1917</v>
      </c>
    </row>
    <row r="104" spans="1:28" ht="18.75" customHeight="1">
      <c r="A104" s="186"/>
      <c r="B104" s="186"/>
      <c r="C104" s="186"/>
      <c r="D104" s="186"/>
      <c r="E104" s="186" t="s">
        <v>59</v>
      </c>
      <c r="F104" s="186" t="s">
        <v>550</v>
      </c>
      <c r="G104" s="186" t="s">
        <v>432</v>
      </c>
      <c r="H104" s="186" t="s">
        <v>243</v>
      </c>
      <c r="I104" s="186"/>
      <c r="J104" s="186">
        <v>55</v>
      </c>
      <c r="K104" s="79" t="s">
        <v>680</v>
      </c>
      <c r="L104" s="186"/>
      <c r="M104" s="186"/>
      <c r="N104" s="186"/>
      <c r="O104" s="186"/>
      <c r="P104" s="186"/>
      <c r="Q104" s="186"/>
      <c r="R104" s="186"/>
      <c r="S104" s="186" t="s">
        <v>680</v>
      </c>
      <c r="T104" s="186" t="s">
        <v>2152</v>
      </c>
      <c r="U104" s="186"/>
      <c r="V104" s="186"/>
      <c r="W104" s="186"/>
      <c r="X104">
        <v>48</v>
      </c>
      <c r="Z104" s="129" t="s">
        <v>1920</v>
      </c>
      <c r="AA104" s="30">
        <v>43449</v>
      </c>
      <c r="AB104" t="s">
        <v>1057</v>
      </c>
    </row>
    <row r="105" spans="1:28" ht="18.75" customHeight="1">
      <c r="A105" s="186"/>
      <c r="B105" s="186"/>
      <c r="C105" s="186"/>
      <c r="D105" s="186"/>
      <c r="E105" s="186" t="s">
        <v>55</v>
      </c>
      <c r="F105" s="186" t="s">
        <v>579</v>
      </c>
      <c r="G105" s="186" t="s">
        <v>329</v>
      </c>
      <c r="H105" s="186" t="s">
        <v>243</v>
      </c>
      <c r="I105" s="186"/>
      <c r="J105" s="72">
        <v>177</v>
      </c>
      <c r="K105" s="79" t="s">
        <v>680</v>
      </c>
      <c r="L105" s="186"/>
      <c r="M105" s="186"/>
      <c r="N105" s="186"/>
      <c r="O105" s="186"/>
      <c r="P105" s="186"/>
      <c r="Q105" s="186"/>
      <c r="R105" s="186"/>
      <c r="S105" s="186"/>
      <c r="T105" s="90" t="s">
        <v>2155</v>
      </c>
      <c r="U105" s="90"/>
      <c r="V105" s="90"/>
      <c r="W105" s="90"/>
      <c r="X105">
        <v>65</v>
      </c>
      <c r="Z105" s="129" t="s">
        <v>1920</v>
      </c>
      <c r="AA105" s="30">
        <v>43449</v>
      </c>
      <c r="AB105" t="s">
        <v>1057</v>
      </c>
    </row>
    <row r="106" spans="1:28" ht="18.75" customHeight="1">
      <c r="A106" s="186"/>
      <c r="B106" s="186"/>
      <c r="C106" s="186"/>
      <c r="D106" s="186"/>
      <c r="E106" s="186" t="s">
        <v>61</v>
      </c>
      <c r="F106" s="186" t="s">
        <v>126</v>
      </c>
      <c r="G106" s="186" t="s">
        <v>242</v>
      </c>
      <c r="H106" s="186" t="s">
        <v>243</v>
      </c>
      <c r="I106" s="186"/>
      <c r="J106" s="186">
        <v>155</v>
      </c>
      <c r="K106" s="79" t="s">
        <v>680</v>
      </c>
      <c r="L106" s="186"/>
      <c r="M106" s="186"/>
      <c r="N106" s="186"/>
      <c r="O106" s="186"/>
      <c r="P106" s="186"/>
      <c r="Q106" s="186"/>
      <c r="R106" s="186" t="s">
        <v>2158</v>
      </c>
      <c r="S106" s="186" t="s">
        <v>2159</v>
      </c>
      <c r="T106" s="186" t="s">
        <v>1584</v>
      </c>
      <c r="U106" s="186"/>
      <c r="V106" s="186"/>
      <c r="W106" s="186"/>
      <c r="X106">
        <v>11</v>
      </c>
      <c r="Z106" s="129" t="s">
        <v>1920</v>
      </c>
      <c r="AA106" s="30">
        <v>43449</v>
      </c>
      <c r="AB106" t="s">
        <v>1057</v>
      </c>
    </row>
    <row r="107" spans="1:28" ht="18.75" customHeight="1">
      <c r="A107" s="186"/>
      <c r="B107" s="186"/>
      <c r="C107" s="186"/>
      <c r="D107" s="186"/>
      <c r="E107" s="186" t="s">
        <v>55</v>
      </c>
      <c r="F107" s="186" t="s">
        <v>563</v>
      </c>
      <c r="G107" s="186" t="s">
        <v>346</v>
      </c>
      <c r="H107" s="186" t="s">
        <v>243</v>
      </c>
      <c r="I107" s="186"/>
      <c r="J107" s="186">
        <v>56</v>
      </c>
      <c r="K107" s="79" t="s">
        <v>680</v>
      </c>
      <c r="L107" s="186"/>
      <c r="M107" s="75"/>
      <c r="N107" s="186"/>
      <c r="O107" s="186"/>
      <c r="P107" s="186"/>
      <c r="Q107" s="186"/>
      <c r="R107" s="186"/>
      <c r="S107" s="90" t="s">
        <v>2164</v>
      </c>
      <c r="T107" s="186" t="s">
        <v>2165</v>
      </c>
      <c r="U107" s="186"/>
      <c r="V107" s="186"/>
      <c r="W107" s="186"/>
      <c r="X107">
        <v>57</v>
      </c>
      <c r="Z107" s="129" t="s">
        <v>1521</v>
      </c>
      <c r="AA107" s="30">
        <v>43173</v>
      </c>
      <c r="AB107" t="s">
        <v>1985</v>
      </c>
    </row>
    <row r="108" spans="1:28" ht="18.75" customHeight="1">
      <c r="A108" s="186"/>
      <c r="B108" s="186"/>
      <c r="C108" s="186"/>
      <c r="D108" s="186"/>
      <c r="E108" s="186" t="s">
        <v>55</v>
      </c>
      <c r="F108" s="186" t="s">
        <v>2166</v>
      </c>
      <c r="G108" s="186" t="s">
        <v>346</v>
      </c>
      <c r="H108" s="186" t="s">
        <v>243</v>
      </c>
      <c r="I108" s="186"/>
      <c r="J108" s="186">
        <v>57</v>
      </c>
      <c r="K108" s="79" t="s">
        <v>680</v>
      </c>
      <c r="L108" s="186"/>
      <c r="M108" s="186"/>
      <c r="N108" s="186"/>
      <c r="O108" s="186"/>
      <c r="P108" s="186"/>
      <c r="Q108" s="186"/>
      <c r="R108" s="186"/>
      <c r="S108" s="186"/>
      <c r="T108" s="186" t="s">
        <v>2167</v>
      </c>
      <c r="U108" s="186"/>
      <c r="V108" s="186"/>
      <c r="W108" s="186"/>
      <c r="Y108" t="s">
        <v>1917</v>
      </c>
    </row>
    <row r="109" spans="1:28" ht="18.75" customHeight="1">
      <c r="A109" s="186"/>
      <c r="B109" s="186"/>
      <c r="C109" s="186"/>
      <c r="D109" s="186"/>
      <c r="E109" s="186" t="s">
        <v>55</v>
      </c>
      <c r="F109" s="186" t="s">
        <v>2168</v>
      </c>
      <c r="G109" s="186" t="s">
        <v>346</v>
      </c>
      <c r="H109" s="186" t="s">
        <v>243</v>
      </c>
      <c r="I109" s="186"/>
      <c r="J109" s="186">
        <v>58</v>
      </c>
      <c r="K109" s="79" t="s">
        <v>680</v>
      </c>
      <c r="L109" s="186"/>
      <c r="M109" s="186"/>
      <c r="N109" s="186"/>
      <c r="O109" s="186"/>
      <c r="P109" s="186"/>
      <c r="Q109" s="186"/>
      <c r="R109" s="186"/>
      <c r="S109" s="186"/>
      <c r="T109" s="186" t="s">
        <v>2170</v>
      </c>
      <c r="U109" s="186"/>
      <c r="V109" s="186"/>
      <c r="W109" s="186"/>
      <c r="Y109" t="s">
        <v>1917</v>
      </c>
    </row>
    <row r="110" spans="1:28" ht="18.75" customHeight="1">
      <c r="A110" s="186"/>
      <c r="B110" s="186"/>
      <c r="C110" s="186"/>
      <c r="D110" s="186"/>
      <c r="E110" s="186" t="s">
        <v>59</v>
      </c>
      <c r="F110" s="186" t="s">
        <v>135</v>
      </c>
      <c r="G110" s="186" t="s">
        <v>346</v>
      </c>
      <c r="H110" s="186" t="s">
        <v>243</v>
      </c>
      <c r="I110" s="186"/>
      <c r="J110" s="186">
        <v>59</v>
      </c>
      <c r="K110" s="79" t="s">
        <v>680</v>
      </c>
      <c r="L110" s="186"/>
      <c r="M110" s="186"/>
      <c r="N110" s="186"/>
      <c r="O110" s="186"/>
      <c r="P110" s="186"/>
      <c r="Q110" s="186"/>
      <c r="R110" s="186"/>
      <c r="S110" s="186" t="s">
        <v>2172</v>
      </c>
      <c r="T110" s="186" t="s">
        <v>2173</v>
      </c>
      <c r="U110" s="186"/>
      <c r="V110" s="186"/>
      <c r="W110" s="186"/>
      <c r="X110">
        <v>46</v>
      </c>
      <c r="Z110" s="129" t="s">
        <v>1920</v>
      </c>
      <c r="AA110" s="30">
        <v>43449</v>
      </c>
      <c r="AB110" t="s">
        <v>1057</v>
      </c>
    </row>
    <row r="111" spans="1:28" ht="18.75" customHeight="1">
      <c r="A111" s="186"/>
      <c r="B111" s="186"/>
      <c r="C111" s="186"/>
      <c r="D111" s="186"/>
      <c r="E111" s="186" t="s">
        <v>61</v>
      </c>
      <c r="F111" s="186" t="s">
        <v>136</v>
      </c>
      <c r="G111" s="186" t="s">
        <v>255</v>
      </c>
      <c r="H111" s="186" t="s">
        <v>243</v>
      </c>
      <c r="I111" s="186"/>
      <c r="J111" s="186">
        <v>60</v>
      </c>
      <c r="K111" s="79" t="s">
        <v>680</v>
      </c>
      <c r="L111" s="186"/>
      <c r="M111" s="186"/>
      <c r="N111" s="186"/>
      <c r="O111" s="186"/>
      <c r="P111" s="186"/>
      <c r="Q111" s="186"/>
      <c r="R111" s="186"/>
      <c r="S111" s="186">
        <v>43532</v>
      </c>
      <c r="T111" s="186" t="s">
        <v>2176</v>
      </c>
      <c r="U111" s="186"/>
      <c r="V111" s="186"/>
      <c r="W111" s="186"/>
      <c r="X111">
        <v>56</v>
      </c>
      <c r="Z111" s="129" t="s">
        <v>1920</v>
      </c>
      <c r="AA111" s="30">
        <v>43449</v>
      </c>
      <c r="AB111" t="s">
        <v>1057</v>
      </c>
    </row>
    <row r="112" spans="1:28" ht="18.75" customHeight="1">
      <c r="A112" s="186"/>
      <c r="B112" s="186"/>
      <c r="C112" s="186"/>
      <c r="D112" s="186"/>
      <c r="E112" s="186" t="s">
        <v>59</v>
      </c>
      <c r="F112" s="186" t="s">
        <v>149</v>
      </c>
      <c r="G112" s="186" t="s">
        <v>242</v>
      </c>
      <c r="H112" s="186" t="s">
        <v>243</v>
      </c>
      <c r="I112" s="186"/>
      <c r="J112" s="186">
        <v>139</v>
      </c>
      <c r="K112" s="79" t="s">
        <v>680</v>
      </c>
      <c r="L112" s="186"/>
      <c r="M112" s="186"/>
      <c r="N112" s="186"/>
      <c r="O112" s="186"/>
      <c r="P112" s="186"/>
      <c r="Q112" s="186"/>
      <c r="R112" s="186"/>
      <c r="S112" s="186" t="s">
        <v>2178</v>
      </c>
      <c r="T112" s="186" t="s">
        <v>2179</v>
      </c>
      <c r="U112" s="186"/>
      <c r="V112" s="186"/>
      <c r="W112" s="186"/>
      <c r="X112">
        <v>47</v>
      </c>
      <c r="Z112" s="129" t="s">
        <v>1920</v>
      </c>
      <c r="AA112" s="30">
        <v>43449</v>
      </c>
      <c r="AB112" t="s">
        <v>1057</v>
      </c>
    </row>
    <row r="113" spans="1:28" ht="18.75" customHeight="1">
      <c r="A113" s="186"/>
      <c r="B113" s="186"/>
      <c r="C113" s="186"/>
      <c r="D113" s="186"/>
      <c r="E113" s="186" t="s">
        <v>55</v>
      </c>
      <c r="F113" s="186" t="s">
        <v>544</v>
      </c>
      <c r="G113" s="186" t="s">
        <v>346</v>
      </c>
      <c r="H113" s="186" t="s">
        <v>243</v>
      </c>
      <c r="I113" s="186"/>
      <c r="J113" s="72">
        <v>204</v>
      </c>
      <c r="K113" s="79" t="s">
        <v>680</v>
      </c>
      <c r="L113" s="186"/>
      <c r="M113" s="186"/>
      <c r="N113" s="186"/>
      <c r="O113" s="186"/>
      <c r="P113" s="186"/>
      <c r="Q113" s="186"/>
      <c r="R113" s="186"/>
      <c r="S113" s="186" t="s">
        <v>2182</v>
      </c>
      <c r="T113" s="78" t="s">
        <v>2183</v>
      </c>
      <c r="U113" s="78"/>
      <c r="V113" s="78"/>
      <c r="W113" s="78"/>
      <c r="X113">
        <v>44</v>
      </c>
      <c r="Z113" s="129" t="s">
        <v>1920</v>
      </c>
      <c r="AA113" s="30">
        <v>43449</v>
      </c>
      <c r="AB113" t="s">
        <v>1057</v>
      </c>
    </row>
    <row r="114" spans="1:28" ht="18.75" customHeight="1">
      <c r="A114" s="186"/>
      <c r="B114" s="186"/>
      <c r="C114" s="186" t="s">
        <v>226</v>
      </c>
      <c r="D114" s="186">
        <v>1</v>
      </c>
      <c r="E114" s="186" t="s">
        <v>61</v>
      </c>
      <c r="F114" s="186" t="s">
        <v>137</v>
      </c>
      <c r="G114" s="186" t="s">
        <v>346</v>
      </c>
      <c r="H114" s="186" t="s">
        <v>243</v>
      </c>
      <c r="I114" s="186"/>
      <c r="J114" s="186">
        <v>61</v>
      </c>
      <c r="K114" s="79" t="s">
        <v>680</v>
      </c>
      <c r="L114" s="186"/>
      <c r="M114" s="186"/>
      <c r="N114" s="186"/>
      <c r="O114" s="186"/>
      <c r="P114" s="186"/>
      <c r="Q114" s="186"/>
      <c r="R114" s="186"/>
      <c r="S114" s="186" t="s">
        <v>2186</v>
      </c>
      <c r="T114" s="186" t="s">
        <v>2187</v>
      </c>
      <c r="U114" s="186"/>
      <c r="V114" s="186"/>
      <c r="W114" s="186"/>
      <c r="X114">
        <v>43</v>
      </c>
      <c r="Z114" s="129" t="s">
        <v>1920</v>
      </c>
      <c r="AA114" s="30">
        <v>43449</v>
      </c>
      <c r="AB114" t="s">
        <v>1057</v>
      </c>
    </row>
    <row r="115" spans="1:28" ht="18.75" customHeight="1">
      <c r="A115" s="186"/>
      <c r="B115" s="186"/>
      <c r="C115" s="186"/>
      <c r="D115" s="186"/>
      <c r="E115" s="186" t="s">
        <v>55</v>
      </c>
      <c r="F115" s="186" t="s">
        <v>575</v>
      </c>
      <c r="G115" s="186" t="s">
        <v>255</v>
      </c>
      <c r="H115" s="186" t="s">
        <v>243</v>
      </c>
      <c r="I115" s="186"/>
      <c r="J115" s="72">
        <v>187</v>
      </c>
      <c r="K115" s="79" t="s">
        <v>680</v>
      </c>
      <c r="L115" s="186"/>
      <c r="M115" s="186"/>
      <c r="N115" s="186"/>
      <c r="O115" s="186"/>
      <c r="P115" s="186"/>
      <c r="Q115" s="186"/>
      <c r="R115" s="186"/>
      <c r="S115" s="186"/>
      <c r="T115" s="90" t="s">
        <v>2190</v>
      </c>
      <c r="U115" s="90"/>
      <c r="V115" s="90"/>
      <c r="W115" s="90"/>
      <c r="X115">
        <v>63</v>
      </c>
      <c r="Z115" s="129" t="s">
        <v>1920</v>
      </c>
      <c r="AA115" s="30">
        <v>43449</v>
      </c>
      <c r="AB115" t="s">
        <v>1057</v>
      </c>
    </row>
    <row r="116" spans="1:28" ht="18.75" customHeight="1">
      <c r="A116" s="186"/>
      <c r="B116" s="186"/>
      <c r="C116" s="186"/>
      <c r="D116" s="186"/>
      <c r="E116" s="186" t="s">
        <v>59</v>
      </c>
      <c r="F116" s="186" t="s">
        <v>569</v>
      </c>
      <c r="G116" s="186" t="s">
        <v>255</v>
      </c>
      <c r="H116" s="186" t="s">
        <v>243</v>
      </c>
      <c r="I116" s="186"/>
      <c r="J116" s="186">
        <v>62</v>
      </c>
      <c r="K116" s="79" t="s">
        <v>680</v>
      </c>
      <c r="L116" s="186"/>
      <c r="M116" s="186"/>
      <c r="N116" s="186"/>
      <c r="O116" s="186"/>
      <c r="P116" s="186"/>
      <c r="Q116" s="186"/>
      <c r="R116" s="186"/>
      <c r="S116" s="186">
        <v>43532</v>
      </c>
      <c r="T116" s="186" t="s">
        <v>2192</v>
      </c>
      <c r="U116" s="186"/>
      <c r="V116" s="186"/>
      <c r="W116" s="186"/>
      <c r="X116">
        <v>60</v>
      </c>
      <c r="Z116" s="129" t="s">
        <v>1920</v>
      </c>
      <c r="AA116" s="30">
        <v>43449</v>
      </c>
      <c r="AB116" t="s">
        <v>1057</v>
      </c>
    </row>
    <row r="117" spans="1:28" ht="18.75" customHeight="1">
      <c r="A117" s="186"/>
      <c r="B117" s="186"/>
      <c r="C117" s="186"/>
      <c r="D117" s="186"/>
      <c r="E117" s="186" t="s">
        <v>59</v>
      </c>
      <c r="F117" s="186" t="s">
        <v>138</v>
      </c>
      <c r="G117" s="186" t="s">
        <v>346</v>
      </c>
      <c r="H117" s="186" t="s">
        <v>243</v>
      </c>
      <c r="I117" s="186"/>
      <c r="J117" s="186">
        <v>63</v>
      </c>
      <c r="K117" s="79" t="s">
        <v>680</v>
      </c>
      <c r="L117" s="186"/>
      <c r="M117" s="186"/>
      <c r="N117" s="186"/>
      <c r="O117" s="186"/>
      <c r="P117" s="186"/>
      <c r="Q117" s="186"/>
      <c r="R117" s="186"/>
      <c r="S117" s="186" t="s">
        <v>2137</v>
      </c>
      <c r="T117" s="186" t="s">
        <v>2195</v>
      </c>
      <c r="U117" s="186"/>
      <c r="V117" s="186"/>
      <c r="W117" s="186"/>
      <c r="X117">
        <v>6</v>
      </c>
      <c r="Z117" s="129" t="s">
        <v>1920</v>
      </c>
      <c r="AA117" s="30">
        <v>43449</v>
      </c>
      <c r="AB117" t="s">
        <v>1057</v>
      </c>
    </row>
    <row r="118" spans="1:28" ht="18.75" customHeight="1">
      <c r="A118" s="186"/>
      <c r="B118" s="186"/>
      <c r="C118" s="186"/>
      <c r="D118" s="186"/>
      <c r="E118" s="186" t="s">
        <v>55</v>
      </c>
      <c r="F118" s="186" t="s">
        <v>558</v>
      </c>
      <c r="G118" s="186" t="s">
        <v>346</v>
      </c>
      <c r="H118" s="186" t="s">
        <v>243</v>
      </c>
      <c r="I118" s="186"/>
      <c r="J118" s="186">
        <v>66</v>
      </c>
      <c r="K118" s="79" t="s">
        <v>680</v>
      </c>
      <c r="L118" s="186"/>
      <c r="M118" s="186"/>
      <c r="N118" s="186"/>
      <c r="O118" s="186"/>
      <c r="P118" s="186"/>
      <c r="Q118" s="186"/>
      <c r="R118" s="186"/>
      <c r="S118" s="186" t="s">
        <v>2198</v>
      </c>
      <c r="T118" s="186" t="s">
        <v>2199</v>
      </c>
      <c r="U118" s="186"/>
      <c r="V118" s="186"/>
      <c r="W118" s="186"/>
      <c r="X118">
        <v>53</v>
      </c>
      <c r="Z118" s="129" t="s">
        <v>1920</v>
      </c>
      <c r="AA118" s="30">
        <v>43449</v>
      </c>
      <c r="AB118" t="s">
        <v>1057</v>
      </c>
    </row>
    <row r="119" spans="1:28" ht="18.75" customHeight="1">
      <c r="A119" s="186"/>
      <c r="B119" s="186"/>
      <c r="C119" s="186"/>
      <c r="D119" s="186"/>
      <c r="E119" s="186" t="s">
        <v>55</v>
      </c>
      <c r="F119" s="186" t="s">
        <v>2200</v>
      </c>
      <c r="G119" s="186" t="s">
        <v>346</v>
      </c>
      <c r="H119" s="186" t="s">
        <v>243</v>
      </c>
      <c r="I119" s="186"/>
      <c r="J119" s="186">
        <v>67</v>
      </c>
      <c r="K119" s="79" t="s">
        <v>680</v>
      </c>
      <c r="L119" s="186"/>
      <c r="M119" s="186"/>
      <c r="N119" s="186"/>
      <c r="O119" s="186"/>
      <c r="P119" s="186"/>
      <c r="Q119" s="186"/>
      <c r="R119" s="186"/>
      <c r="S119" s="186"/>
      <c r="T119" s="186" t="s">
        <v>2201</v>
      </c>
      <c r="U119" s="186"/>
      <c r="V119" s="186"/>
      <c r="W119" s="186"/>
      <c r="Y119" t="s">
        <v>1917</v>
      </c>
    </row>
    <row r="120" spans="1:28" ht="18.75" customHeight="1">
      <c r="A120" s="186"/>
      <c r="B120" s="186"/>
      <c r="C120" s="186"/>
      <c r="D120" s="186"/>
      <c r="E120" s="186" t="s">
        <v>55</v>
      </c>
      <c r="F120" s="186" t="s">
        <v>2202</v>
      </c>
      <c r="G120" s="186" t="s">
        <v>346</v>
      </c>
      <c r="H120" s="186" t="s">
        <v>243</v>
      </c>
      <c r="I120" s="186"/>
      <c r="J120" s="186">
        <v>68</v>
      </c>
      <c r="K120" s="79" t="s">
        <v>680</v>
      </c>
      <c r="L120" s="186"/>
      <c r="M120" s="186"/>
      <c r="N120" s="186"/>
      <c r="O120" s="186"/>
      <c r="P120" s="186"/>
      <c r="Q120" s="186"/>
      <c r="R120" s="186"/>
      <c r="S120" s="186"/>
      <c r="T120" s="186" t="s">
        <v>2203</v>
      </c>
      <c r="U120" s="186"/>
      <c r="V120" s="186"/>
      <c r="W120" s="186"/>
      <c r="Y120" t="s">
        <v>1917</v>
      </c>
    </row>
    <row r="121" spans="1:28" ht="18.75" customHeight="1">
      <c r="A121" s="186"/>
      <c r="B121" s="186"/>
      <c r="C121" s="186"/>
      <c r="D121" s="186"/>
      <c r="E121" s="186" t="s">
        <v>55</v>
      </c>
      <c r="F121" s="186" t="s">
        <v>2204</v>
      </c>
      <c r="G121" s="186" t="s">
        <v>346</v>
      </c>
      <c r="H121" s="186" t="s">
        <v>243</v>
      </c>
      <c r="I121" s="186"/>
      <c r="J121" s="186">
        <v>69</v>
      </c>
      <c r="K121" s="79" t="s">
        <v>680</v>
      </c>
      <c r="L121" s="186"/>
      <c r="M121" s="186"/>
      <c r="N121" s="186"/>
      <c r="O121" s="186"/>
      <c r="P121" s="186"/>
      <c r="Q121" s="186"/>
      <c r="R121" s="186"/>
      <c r="S121" s="186"/>
      <c r="T121" s="186" t="s">
        <v>2205</v>
      </c>
      <c r="U121" s="186"/>
      <c r="V121" s="186"/>
      <c r="W121" s="186"/>
      <c r="Y121" t="s">
        <v>1917</v>
      </c>
    </row>
    <row r="122" spans="1:28" ht="18.75" customHeight="1">
      <c r="A122" s="186"/>
      <c r="B122" s="186"/>
      <c r="C122" s="186"/>
      <c r="D122" s="186"/>
      <c r="E122" s="186" t="s">
        <v>55</v>
      </c>
      <c r="F122" s="186" t="s">
        <v>2206</v>
      </c>
      <c r="G122" s="186" t="s">
        <v>346</v>
      </c>
      <c r="H122" s="186" t="s">
        <v>243</v>
      </c>
      <c r="I122" s="186"/>
      <c r="J122" s="186">
        <v>70</v>
      </c>
      <c r="K122" s="79" t="s">
        <v>680</v>
      </c>
      <c r="L122" s="186"/>
      <c r="M122" s="186"/>
      <c r="N122" s="186"/>
      <c r="O122" s="186"/>
      <c r="P122" s="186"/>
      <c r="Q122" s="186"/>
      <c r="R122" s="186"/>
      <c r="S122" s="186"/>
      <c r="T122" s="186" t="s">
        <v>2207</v>
      </c>
      <c r="U122" s="186"/>
      <c r="V122" s="186"/>
      <c r="W122" s="186"/>
      <c r="Y122" t="s">
        <v>1917</v>
      </c>
    </row>
    <row r="123" spans="1:28" ht="15.75" customHeight="1">
      <c r="A123" s="186"/>
      <c r="B123" s="186"/>
      <c r="C123" s="186"/>
      <c r="D123" s="186"/>
      <c r="E123" s="186" t="s">
        <v>55</v>
      </c>
      <c r="F123" s="186" t="s">
        <v>556</v>
      </c>
      <c r="G123" s="186" t="s">
        <v>346</v>
      </c>
      <c r="H123" s="186" t="s">
        <v>243</v>
      </c>
      <c r="I123" s="186"/>
      <c r="J123" s="186">
        <v>71</v>
      </c>
      <c r="K123" s="79" t="s">
        <v>680</v>
      </c>
      <c r="L123" s="186"/>
      <c r="M123" s="186"/>
      <c r="N123" s="186"/>
      <c r="O123" s="186"/>
      <c r="P123" s="186"/>
      <c r="Q123" s="186"/>
      <c r="R123" s="186"/>
      <c r="S123" s="186"/>
      <c r="T123" s="186" t="s">
        <v>2210</v>
      </c>
      <c r="U123" s="186"/>
      <c r="V123" s="186"/>
      <c r="W123" s="186"/>
      <c r="X123">
        <v>52</v>
      </c>
      <c r="Z123" s="129" t="s">
        <v>1920</v>
      </c>
      <c r="AA123" s="30">
        <v>43449</v>
      </c>
      <c r="AB123" t="s">
        <v>1057</v>
      </c>
    </row>
    <row r="124" spans="1:28" ht="15.75" customHeight="1">
      <c r="A124" s="186"/>
      <c r="B124" s="186"/>
      <c r="C124" s="186"/>
      <c r="D124" s="186"/>
      <c r="E124" s="186" t="s">
        <v>61</v>
      </c>
      <c r="F124" s="186" t="s">
        <v>533</v>
      </c>
      <c r="G124" s="186" t="s">
        <v>242</v>
      </c>
      <c r="H124" s="186" t="s">
        <v>243</v>
      </c>
      <c r="I124" s="186"/>
      <c r="J124" s="186">
        <v>72</v>
      </c>
      <c r="K124" s="79" t="s">
        <v>680</v>
      </c>
      <c r="L124" s="186"/>
      <c r="M124" s="186"/>
      <c r="N124" s="186"/>
      <c r="O124" s="186"/>
      <c r="P124" s="186"/>
      <c r="Q124" s="186"/>
      <c r="R124" s="186"/>
      <c r="S124" s="186">
        <v>521001236117</v>
      </c>
      <c r="T124" s="186" t="s">
        <v>2213</v>
      </c>
      <c r="U124" s="186"/>
      <c r="V124" s="186"/>
      <c r="W124" s="186"/>
      <c r="X124">
        <v>37</v>
      </c>
      <c r="Z124" s="129" t="s">
        <v>1920</v>
      </c>
      <c r="AA124" s="30">
        <v>43449</v>
      </c>
      <c r="AB124" t="s">
        <v>1057</v>
      </c>
    </row>
    <row r="125" spans="1:28" ht="15.75" customHeight="1">
      <c r="A125" s="186"/>
      <c r="B125" s="186"/>
      <c r="C125" s="186"/>
      <c r="D125" s="186"/>
      <c r="E125" s="186" t="s">
        <v>59</v>
      </c>
      <c r="F125" s="186" t="s">
        <v>139</v>
      </c>
      <c r="G125" s="186" t="s">
        <v>535</v>
      </c>
      <c r="H125" s="186" t="s">
        <v>243</v>
      </c>
      <c r="I125" s="186"/>
      <c r="J125" s="186">
        <v>73</v>
      </c>
      <c r="K125" s="79" t="s">
        <v>680</v>
      </c>
      <c r="L125" s="186"/>
      <c r="M125" s="186"/>
      <c r="N125" s="186"/>
      <c r="O125" s="186"/>
      <c r="P125" s="186"/>
      <c r="Q125" s="186"/>
      <c r="R125" s="186"/>
      <c r="S125" s="186"/>
      <c r="T125" s="186" t="s">
        <v>2217</v>
      </c>
      <c r="U125" s="186"/>
      <c r="V125" s="186"/>
      <c r="W125" s="186"/>
      <c r="X125">
        <v>38</v>
      </c>
      <c r="Z125" s="129" t="s">
        <v>1920</v>
      </c>
      <c r="AA125" s="30">
        <v>43449</v>
      </c>
      <c r="AB125" t="s">
        <v>1057</v>
      </c>
    </row>
    <row r="126" spans="1:28" ht="18.75" customHeight="1">
      <c r="A126" s="186"/>
      <c r="B126" s="186"/>
      <c r="C126" s="186"/>
      <c r="D126" s="186"/>
      <c r="E126" s="186" t="s">
        <v>55</v>
      </c>
      <c r="F126" s="186" t="s">
        <v>2218</v>
      </c>
      <c r="G126" s="186" t="s">
        <v>346</v>
      </c>
      <c r="H126" s="186" t="s">
        <v>243</v>
      </c>
      <c r="I126" s="186"/>
      <c r="J126" s="186">
        <v>74</v>
      </c>
      <c r="K126" s="79" t="s">
        <v>680</v>
      </c>
      <c r="L126" s="186"/>
      <c r="M126" s="186"/>
      <c r="N126" s="186"/>
      <c r="O126" s="186"/>
      <c r="P126" s="186"/>
      <c r="Q126" s="186"/>
      <c r="R126" s="186"/>
      <c r="S126" s="186"/>
      <c r="T126" s="186" t="s">
        <v>2219</v>
      </c>
      <c r="U126" s="186"/>
      <c r="V126" s="186"/>
      <c r="W126" s="186"/>
      <c r="Y126" t="s">
        <v>1917</v>
      </c>
    </row>
    <row r="127" spans="1:28" ht="18.75" customHeight="1">
      <c r="A127" s="186"/>
      <c r="B127" s="186"/>
      <c r="C127" s="186"/>
      <c r="D127" s="186"/>
      <c r="E127" s="186" t="s">
        <v>55</v>
      </c>
      <c r="F127" s="186" t="s">
        <v>2220</v>
      </c>
      <c r="G127" s="186" t="s">
        <v>250</v>
      </c>
      <c r="H127" s="186" t="s">
        <v>243</v>
      </c>
      <c r="I127" s="186"/>
      <c r="J127" s="186">
        <v>64</v>
      </c>
      <c r="K127" s="79" t="s">
        <v>680</v>
      </c>
      <c r="L127" s="186"/>
      <c r="M127" s="186"/>
      <c r="N127" s="186"/>
      <c r="O127" s="186"/>
      <c r="P127" s="186"/>
      <c r="Q127" s="186"/>
      <c r="R127" s="186"/>
      <c r="S127" s="186"/>
      <c r="T127" s="186" t="s">
        <v>2221</v>
      </c>
      <c r="U127" s="186"/>
      <c r="V127" s="186"/>
      <c r="W127" s="186"/>
      <c r="Y127" t="s">
        <v>1917</v>
      </c>
    </row>
    <row r="128" spans="1:28" ht="18.75" customHeight="1">
      <c r="A128" s="186"/>
      <c r="B128" s="186"/>
      <c r="C128" s="186"/>
      <c r="D128" s="186"/>
      <c r="E128" s="186" t="s">
        <v>55</v>
      </c>
      <c r="F128" s="186" t="s">
        <v>2222</v>
      </c>
      <c r="G128" s="186" t="s">
        <v>250</v>
      </c>
      <c r="H128" s="186" t="s">
        <v>243</v>
      </c>
      <c r="I128" s="186"/>
      <c r="J128" s="186">
        <v>65</v>
      </c>
      <c r="K128" s="79" t="s">
        <v>680</v>
      </c>
      <c r="L128" s="186"/>
      <c r="M128" s="186"/>
      <c r="N128" s="186"/>
      <c r="O128" s="186"/>
      <c r="P128" s="186"/>
      <c r="Q128" s="186"/>
      <c r="R128" s="186"/>
      <c r="S128" s="186"/>
      <c r="T128" s="186" t="s">
        <v>2223</v>
      </c>
      <c r="U128" s="186"/>
      <c r="V128" s="186"/>
      <c r="W128" s="186"/>
      <c r="Y128" t="s">
        <v>1917</v>
      </c>
    </row>
    <row r="129" spans="1:28" ht="18.75" customHeight="1">
      <c r="A129" s="186"/>
      <c r="B129" s="186"/>
      <c r="C129" s="186"/>
      <c r="D129" s="186"/>
      <c r="E129" s="186" t="s">
        <v>55</v>
      </c>
      <c r="F129" s="186" t="s">
        <v>2224</v>
      </c>
      <c r="G129" s="186" t="s">
        <v>346</v>
      </c>
      <c r="H129" s="186" t="s">
        <v>243</v>
      </c>
      <c r="I129" s="186"/>
      <c r="J129" s="186">
        <v>75</v>
      </c>
      <c r="K129" s="79" t="s">
        <v>680</v>
      </c>
      <c r="L129" s="186"/>
      <c r="M129" s="186"/>
      <c r="N129" s="186"/>
      <c r="O129" s="186"/>
      <c r="P129" s="186"/>
      <c r="Q129" s="186"/>
      <c r="R129" s="186"/>
      <c r="S129" s="186"/>
      <c r="T129" s="186" t="s">
        <v>2226</v>
      </c>
      <c r="U129" s="186"/>
      <c r="V129" s="186"/>
      <c r="W129" s="186"/>
      <c r="Y129" t="s">
        <v>1917</v>
      </c>
    </row>
    <row r="130" spans="1:28" ht="18.75" customHeight="1">
      <c r="A130" s="186"/>
      <c r="B130" s="186"/>
      <c r="C130" s="186"/>
      <c r="D130" s="186"/>
      <c r="E130" s="186" t="s">
        <v>53</v>
      </c>
      <c r="F130" s="186" t="s">
        <v>124</v>
      </c>
      <c r="G130" s="186" t="s">
        <v>535</v>
      </c>
      <c r="H130" s="186" t="s">
        <v>903</v>
      </c>
      <c r="I130" s="186"/>
      <c r="J130" s="186">
        <v>1</v>
      </c>
      <c r="K130" s="79" t="s">
        <v>680</v>
      </c>
      <c r="L130" s="186"/>
      <c r="M130" s="186"/>
      <c r="N130" s="186"/>
      <c r="O130" s="186"/>
      <c r="P130" s="186"/>
      <c r="Q130" s="186"/>
      <c r="R130" s="186"/>
      <c r="S130" s="186"/>
      <c r="T130" s="186" t="s">
        <v>1190</v>
      </c>
      <c r="U130" s="186"/>
      <c r="V130" s="186"/>
      <c r="W130" s="186"/>
      <c r="Y130" t="s">
        <v>1917</v>
      </c>
    </row>
    <row r="131" spans="1:28" ht="18.75" customHeight="1">
      <c r="A131" s="186"/>
      <c r="B131" s="186"/>
      <c r="C131" s="186"/>
      <c r="D131" s="186"/>
      <c r="E131" s="186" t="s">
        <v>55</v>
      </c>
      <c r="F131" s="186" t="s">
        <v>2227</v>
      </c>
      <c r="G131" s="186" t="s">
        <v>346</v>
      </c>
      <c r="H131" s="186" t="s">
        <v>243</v>
      </c>
      <c r="I131" s="186"/>
      <c r="J131" s="186">
        <v>76</v>
      </c>
      <c r="K131" s="79" t="s">
        <v>680</v>
      </c>
      <c r="L131" s="186"/>
      <c r="M131" s="186"/>
      <c r="N131" s="186"/>
      <c r="O131" s="186"/>
      <c r="P131" s="186"/>
      <c r="Q131" s="186"/>
      <c r="R131" s="186"/>
      <c r="S131" s="186"/>
      <c r="T131" s="186" t="s">
        <v>2228</v>
      </c>
      <c r="U131" s="186"/>
      <c r="V131" s="186"/>
      <c r="W131" s="186"/>
      <c r="Y131" t="s">
        <v>1917</v>
      </c>
    </row>
    <row r="132" spans="1:28" ht="18.75" customHeight="1">
      <c r="A132" s="186"/>
      <c r="B132" s="186"/>
      <c r="C132" s="186"/>
      <c r="D132" s="186"/>
      <c r="E132" s="186" t="s">
        <v>59</v>
      </c>
      <c r="F132" s="186" t="s">
        <v>361</v>
      </c>
      <c r="G132" s="186" t="s">
        <v>252</v>
      </c>
      <c r="H132" s="186" t="s">
        <v>243</v>
      </c>
      <c r="I132" s="186"/>
      <c r="J132" s="186">
        <v>161</v>
      </c>
      <c r="K132" s="79" t="s">
        <v>680</v>
      </c>
      <c r="L132" s="186"/>
      <c r="M132" s="186"/>
      <c r="N132" s="186"/>
      <c r="O132" s="186"/>
      <c r="P132" s="186"/>
      <c r="Q132" s="186"/>
      <c r="R132" s="289" t="s">
        <v>1346</v>
      </c>
      <c r="S132" s="186"/>
      <c r="T132" s="186" t="s">
        <v>2231</v>
      </c>
      <c r="U132" s="186"/>
      <c r="V132" s="186"/>
      <c r="W132" s="186"/>
      <c r="X132">
        <v>26</v>
      </c>
      <c r="Z132" s="129" t="s">
        <v>1920</v>
      </c>
      <c r="AA132" s="30">
        <v>43449</v>
      </c>
      <c r="AB132" t="s">
        <v>1057</v>
      </c>
    </row>
    <row r="133" spans="1:28" ht="18.75" customHeight="1">
      <c r="A133" s="186"/>
      <c r="B133" s="186"/>
      <c r="C133" s="186"/>
      <c r="D133" s="186"/>
      <c r="E133" s="186" t="s">
        <v>59</v>
      </c>
      <c r="F133" s="186" t="s">
        <v>322</v>
      </c>
      <c r="G133" s="186" t="s">
        <v>264</v>
      </c>
      <c r="H133" s="186" t="s">
        <v>243</v>
      </c>
      <c r="I133" s="186"/>
      <c r="J133" s="186">
        <v>159</v>
      </c>
      <c r="K133" s="79" t="s">
        <v>680</v>
      </c>
      <c r="L133" s="186"/>
      <c r="M133" s="186"/>
      <c r="N133" s="186"/>
      <c r="O133" s="186"/>
      <c r="P133" s="186"/>
      <c r="Q133" s="186"/>
      <c r="R133" s="289" t="s">
        <v>1346</v>
      </c>
      <c r="S133" s="186" t="s">
        <v>2234</v>
      </c>
      <c r="T133" s="186" t="s">
        <v>322</v>
      </c>
      <c r="U133" s="186"/>
      <c r="V133" s="186"/>
      <c r="W133" s="186"/>
      <c r="X133">
        <v>16</v>
      </c>
      <c r="Z133" s="129" t="s">
        <v>1920</v>
      </c>
      <c r="AA133" s="30">
        <v>43449</v>
      </c>
      <c r="AB133" t="s">
        <v>1057</v>
      </c>
    </row>
    <row r="134" spans="1:28" ht="18.75" customHeight="1">
      <c r="A134" s="186"/>
      <c r="B134" s="186"/>
      <c r="C134" s="186"/>
      <c r="D134" s="186"/>
      <c r="E134" s="186" t="s">
        <v>55</v>
      </c>
      <c r="F134" s="186" t="s">
        <v>2235</v>
      </c>
      <c r="G134" s="186" t="s">
        <v>329</v>
      </c>
      <c r="H134" s="186" t="s">
        <v>243</v>
      </c>
      <c r="I134" s="186"/>
      <c r="J134" s="186">
        <v>78</v>
      </c>
      <c r="K134" s="79" t="s">
        <v>680</v>
      </c>
      <c r="L134" s="186"/>
      <c r="M134" s="186"/>
      <c r="N134" s="186"/>
      <c r="O134" s="186"/>
      <c r="P134" s="186"/>
      <c r="Q134" s="186"/>
      <c r="R134" s="186"/>
      <c r="S134" s="186"/>
      <c r="T134" s="186" t="s">
        <v>2236</v>
      </c>
      <c r="U134" s="186"/>
      <c r="V134" s="186"/>
      <c r="W134" s="186"/>
      <c r="Y134" t="s">
        <v>1917</v>
      </c>
    </row>
    <row r="135" spans="1:28" ht="18.75" customHeight="1">
      <c r="A135" s="186"/>
      <c r="B135" s="186"/>
      <c r="C135" s="186"/>
      <c r="D135" s="186"/>
      <c r="E135" s="186" t="s">
        <v>55</v>
      </c>
      <c r="F135" s="186" t="s">
        <v>619</v>
      </c>
      <c r="G135" s="186" t="s">
        <v>329</v>
      </c>
      <c r="H135" s="186" t="s">
        <v>243</v>
      </c>
      <c r="I135" s="186"/>
      <c r="J135" s="186">
        <v>79</v>
      </c>
      <c r="K135" s="79" t="s">
        <v>680</v>
      </c>
      <c r="L135" s="186"/>
      <c r="M135" s="186"/>
      <c r="N135" s="186"/>
      <c r="O135" s="186"/>
      <c r="P135" s="186"/>
      <c r="Q135" s="186"/>
      <c r="R135" s="186"/>
      <c r="S135" s="186">
        <v>258</v>
      </c>
      <c r="T135" s="186" t="s">
        <v>2239</v>
      </c>
      <c r="U135" s="186"/>
      <c r="V135" s="186"/>
      <c r="W135" s="186"/>
      <c r="X135">
        <v>91</v>
      </c>
      <c r="Z135" s="129" t="s">
        <v>1920</v>
      </c>
      <c r="AA135" s="30">
        <v>43449</v>
      </c>
      <c r="AB135" t="s">
        <v>1057</v>
      </c>
    </row>
    <row r="136" spans="1:28" ht="18.75" customHeight="1">
      <c r="A136" s="186"/>
      <c r="B136" s="186"/>
      <c r="C136" s="186"/>
      <c r="D136" s="186"/>
      <c r="E136" s="186" t="s">
        <v>61</v>
      </c>
      <c r="F136" s="186" t="s">
        <v>140</v>
      </c>
      <c r="G136" s="186" t="s">
        <v>329</v>
      </c>
      <c r="H136" s="186" t="s">
        <v>243</v>
      </c>
      <c r="I136" s="186"/>
      <c r="J136" s="186">
        <v>80</v>
      </c>
      <c r="K136" s="79" t="s">
        <v>680</v>
      </c>
      <c r="L136" s="186"/>
      <c r="M136" s="186"/>
      <c r="N136" s="186"/>
      <c r="O136" s="186"/>
      <c r="P136" s="186"/>
      <c r="Q136" s="186"/>
      <c r="R136" s="186"/>
      <c r="S136" s="186">
        <v>258</v>
      </c>
      <c r="T136" s="186" t="s">
        <v>2242</v>
      </c>
      <c r="U136" s="186"/>
      <c r="V136" s="186"/>
      <c r="W136" s="186"/>
      <c r="X136">
        <v>80</v>
      </c>
      <c r="Z136" s="129" t="s">
        <v>1920</v>
      </c>
      <c r="AA136" s="30">
        <v>43449</v>
      </c>
      <c r="AB136" t="s">
        <v>1057</v>
      </c>
    </row>
    <row r="137" spans="1:28" ht="18.75" customHeight="1">
      <c r="A137" s="186"/>
      <c r="B137" s="186"/>
      <c r="C137" s="186"/>
      <c r="D137" s="186"/>
      <c r="E137" s="186" t="s">
        <v>55</v>
      </c>
      <c r="F137" s="186" t="s">
        <v>2243</v>
      </c>
      <c r="G137" s="186" t="s">
        <v>329</v>
      </c>
      <c r="H137" s="186" t="s">
        <v>243</v>
      </c>
      <c r="I137" s="186"/>
      <c r="J137" s="186">
        <v>81</v>
      </c>
      <c r="K137" s="79" t="s">
        <v>680</v>
      </c>
      <c r="L137" s="186"/>
      <c r="M137" s="186"/>
      <c r="N137" s="186"/>
      <c r="O137" s="186"/>
      <c r="P137" s="186"/>
      <c r="Q137" s="186"/>
      <c r="R137" s="186"/>
      <c r="S137" s="186"/>
      <c r="T137" s="186" t="s">
        <v>2244</v>
      </c>
      <c r="U137" s="186"/>
      <c r="V137" s="186"/>
      <c r="W137" s="186"/>
      <c r="Y137" t="s">
        <v>1917</v>
      </c>
    </row>
    <row r="138" spans="1:28" ht="18.75" customHeight="1">
      <c r="A138" s="186"/>
      <c r="B138" s="186"/>
      <c r="C138" s="186"/>
      <c r="D138" s="186"/>
      <c r="E138" s="186" t="s">
        <v>55</v>
      </c>
      <c r="F138" s="186" t="s">
        <v>627</v>
      </c>
      <c r="G138" s="186" t="s">
        <v>329</v>
      </c>
      <c r="H138" s="186" t="s">
        <v>243</v>
      </c>
      <c r="I138" s="186"/>
      <c r="J138" s="186">
        <v>82</v>
      </c>
      <c r="K138" s="79" t="s">
        <v>680</v>
      </c>
      <c r="L138" s="186"/>
      <c r="M138" s="186"/>
      <c r="N138" s="186"/>
      <c r="O138" s="186"/>
      <c r="P138" s="186"/>
      <c r="Q138" s="186"/>
      <c r="R138" s="186"/>
      <c r="S138" s="186"/>
      <c r="T138" s="186" t="s">
        <v>2247</v>
      </c>
      <c r="U138" s="186"/>
      <c r="V138" s="186"/>
      <c r="W138" s="186"/>
      <c r="X138">
        <v>95</v>
      </c>
      <c r="Z138" s="129" t="s">
        <v>1920</v>
      </c>
      <c r="AA138" s="30">
        <v>43449</v>
      </c>
      <c r="AB138" t="s">
        <v>1057</v>
      </c>
    </row>
    <row r="139" spans="1:28" ht="18.75" customHeight="1">
      <c r="A139" s="186"/>
      <c r="B139" s="186"/>
      <c r="C139" s="186"/>
      <c r="D139" s="186"/>
      <c r="E139" s="186" t="s">
        <v>55</v>
      </c>
      <c r="F139" s="186" t="s">
        <v>592</v>
      </c>
      <c r="G139" s="186" t="s">
        <v>329</v>
      </c>
      <c r="H139" s="186" t="s">
        <v>243</v>
      </c>
      <c r="I139" s="186"/>
      <c r="J139" s="186">
        <v>84</v>
      </c>
      <c r="K139" s="79" t="s">
        <v>680</v>
      </c>
      <c r="L139" s="186"/>
      <c r="M139" s="186"/>
      <c r="N139" s="186"/>
      <c r="O139" s="186"/>
      <c r="P139" s="186"/>
      <c r="Q139" s="186"/>
      <c r="R139" s="186"/>
      <c r="S139" s="186">
        <v>258</v>
      </c>
      <c r="T139" s="186" t="s">
        <v>2250</v>
      </c>
      <c r="U139" s="186"/>
      <c r="V139" s="186"/>
      <c r="W139" s="186"/>
      <c r="X139">
        <v>75</v>
      </c>
      <c r="Z139" s="129" t="s">
        <v>1920</v>
      </c>
      <c r="AA139" s="30">
        <v>43449</v>
      </c>
      <c r="AB139" t="s">
        <v>1057</v>
      </c>
    </row>
    <row r="140" spans="1:28" ht="18.75" customHeight="1">
      <c r="A140" s="186"/>
      <c r="B140" s="186"/>
      <c r="C140" s="186"/>
      <c r="D140" s="186"/>
      <c r="E140" s="186" t="s">
        <v>61</v>
      </c>
      <c r="F140" s="186" t="s">
        <v>129</v>
      </c>
      <c r="G140" s="186" t="s">
        <v>250</v>
      </c>
      <c r="H140" s="186" t="s">
        <v>243</v>
      </c>
      <c r="I140" s="186"/>
      <c r="J140" s="186">
        <v>83</v>
      </c>
      <c r="K140" s="79" t="s">
        <v>680</v>
      </c>
      <c r="L140" s="186"/>
      <c r="M140" s="186"/>
      <c r="N140" s="186"/>
      <c r="O140" s="186"/>
      <c r="P140" s="186"/>
      <c r="Q140" s="186"/>
      <c r="R140" s="186"/>
      <c r="S140" s="186" t="s">
        <v>1201</v>
      </c>
      <c r="T140" s="186" t="s">
        <v>2253</v>
      </c>
      <c r="U140" s="186"/>
      <c r="V140" s="186"/>
      <c r="W140" s="186"/>
      <c r="X140">
        <v>18</v>
      </c>
      <c r="Z140" s="129" t="s">
        <v>1920</v>
      </c>
      <c r="AA140" s="30">
        <v>43449</v>
      </c>
      <c r="AB140" t="s">
        <v>1057</v>
      </c>
    </row>
    <row r="141" spans="1:28" ht="18.75" customHeight="1">
      <c r="A141" s="186"/>
      <c r="B141" s="186"/>
      <c r="C141" s="186"/>
      <c r="D141" s="186"/>
      <c r="E141" s="186" t="s">
        <v>55</v>
      </c>
      <c r="F141" s="186" t="s">
        <v>599</v>
      </c>
      <c r="G141" s="186" t="s">
        <v>329</v>
      </c>
      <c r="H141" s="186" t="s">
        <v>243</v>
      </c>
      <c r="I141" s="186"/>
      <c r="J141" s="72">
        <v>194</v>
      </c>
      <c r="K141" s="79" t="s">
        <v>680</v>
      </c>
      <c r="L141" s="186"/>
      <c r="M141" s="186"/>
      <c r="N141" s="186"/>
      <c r="O141" s="186"/>
      <c r="P141" s="186"/>
      <c r="Q141" s="186"/>
      <c r="R141" s="186"/>
      <c r="S141" s="186"/>
      <c r="T141" s="90" t="s">
        <v>2256</v>
      </c>
      <c r="U141" s="90"/>
      <c r="V141" s="90"/>
      <c r="W141" s="90"/>
      <c r="X141">
        <v>79</v>
      </c>
      <c r="Z141" s="129" t="s">
        <v>1920</v>
      </c>
      <c r="AA141" s="30">
        <v>43449</v>
      </c>
      <c r="AB141" t="s">
        <v>1057</v>
      </c>
    </row>
    <row r="142" spans="1:28" ht="18.75" customHeight="1">
      <c r="A142" s="186"/>
      <c r="B142" s="186"/>
      <c r="C142" s="186"/>
      <c r="D142" s="186"/>
      <c r="E142" s="186" t="s">
        <v>55</v>
      </c>
      <c r="F142" s="186" t="s">
        <v>671</v>
      </c>
      <c r="G142" s="186" t="s">
        <v>329</v>
      </c>
      <c r="H142" s="186" t="s">
        <v>243</v>
      </c>
      <c r="I142" s="186"/>
      <c r="J142" s="72">
        <v>203</v>
      </c>
      <c r="K142" s="79" t="s">
        <v>680</v>
      </c>
      <c r="L142" s="186"/>
      <c r="M142" s="186"/>
      <c r="N142" s="186"/>
      <c r="O142" s="186"/>
      <c r="P142" s="186"/>
      <c r="Q142" s="186"/>
      <c r="R142" s="186"/>
      <c r="S142" s="186"/>
      <c r="T142" s="90" t="s">
        <v>2259</v>
      </c>
      <c r="U142" s="90"/>
      <c r="V142" s="90"/>
      <c r="W142" s="90"/>
      <c r="X142">
        <v>118</v>
      </c>
      <c r="Z142" s="129" t="s">
        <v>1920</v>
      </c>
      <c r="AA142" s="30">
        <v>43449</v>
      </c>
      <c r="AB142" t="s">
        <v>1929</v>
      </c>
    </row>
    <row r="143" spans="1:28" ht="18.75" customHeight="1">
      <c r="A143" s="186"/>
      <c r="B143" s="186"/>
      <c r="C143" s="186"/>
      <c r="D143" s="186"/>
      <c r="E143" s="186" t="s">
        <v>55</v>
      </c>
      <c r="F143" s="186" t="s">
        <v>615</v>
      </c>
      <c r="G143" s="186" t="s">
        <v>329</v>
      </c>
      <c r="H143" s="186" t="s">
        <v>243</v>
      </c>
      <c r="I143" s="186"/>
      <c r="J143" s="72">
        <v>186</v>
      </c>
      <c r="K143" s="79" t="s">
        <v>680</v>
      </c>
      <c r="L143" s="186"/>
      <c r="M143" s="186"/>
      <c r="N143" s="186"/>
      <c r="O143" s="186"/>
      <c r="P143" s="186"/>
      <c r="Q143" s="186"/>
      <c r="R143" s="186"/>
      <c r="S143" s="186">
        <v>-258</v>
      </c>
      <c r="T143" s="90" t="s">
        <v>2262</v>
      </c>
      <c r="U143" s="90"/>
      <c r="V143" s="90"/>
      <c r="W143" s="90"/>
      <c r="X143">
        <v>89</v>
      </c>
      <c r="Z143" s="129" t="s">
        <v>1920</v>
      </c>
      <c r="AA143" s="30">
        <v>43449</v>
      </c>
      <c r="AB143" t="s">
        <v>1929</v>
      </c>
    </row>
    <row r="144" spans="1:28" ht="18.75" customHeight="1">
      <c r="A144" s="186"/>
      <c r="B144" s="186"/>
      <c r="C144" s="186"/>
      <c r="D144" s="186"/>
      <c r="E144" s="186" t="s">
        <v>55</v>
      </c>
      <c r="F144" s="186" t="s">
        <v>2263</v>
      </c>
      <c r="G144" s="186" t="s">
        <v>329</v>
      </c>
      <c r="H144" s="186" t="s">
        <v>243</v>
      </c>
      <c r="I144" s="186"/>
      <c r="J144" s="72">
        <v>181</v>
      </c>
      <c r="K144" s="79" t="s">
        <v>680</v>
      </c>
      <c r="L144" s="186"/>
      <c r="M144" s="186"/>
      <c r="N144" s="186"/>
      <c r="O144" s="186"/>
      <c r="P144" s="186"/>
      <c r="Q144" s="186"/>
      <c r="R144" s="186"/>
      <c r="S144" s="186"/>
      <c r="T144" s="90" t="s">
        <v>2264</v>
      </c>
      <c r="U144" s="90"/>
      <c r="V144" s="90"/>
      <c r="W144" s="90"/>
      <c r="Y144" t="s">
        <v>1917</v>
      </c>
    </row>
    <row r="145" spans="1:28" ht="18.75" customHeight="1">
      <c r="A145" s="186"/>
      <c r="B145" s="186"/>
      <c r="C145" s="186"/>
      <c r="D145" s="186"/>
      <c r="E145" s="186" t="s">
        <v>59</v>
      </c>
      <c r="F145" s="186" t="s">
        <v>655</v>
      </c>
      <c r="G145" s="186" t="s">
        <v>329</v>
      </c>
      <c r="H145" s="186" t="s">
        <v>243</v>
      </c>
      <c r="I145" s="186"/>
      <c r="J145" s="186">
        <v>85</v>
      </c>
      <c r="K145" s="79" t="s">
        <v>680</v>
      </c>
      <c r="L145" s="186"/>
      <c r="M145" s="186"/>
      <c r="N145" s="186"/>
      <c r="O145" s="186"/>
      <c r="P145" s="186"/>
      <c r="Q145" s="186"/>
      <c r="R145" s="186"/>
      <c r="S145" s="186"/>
      <c r="T145" s="186" t="s">
        <v>2267</v>
      </c>
      <c r="U145" s="186"/>
      <c r="V145" s="186"/>
      <c r="W145" s="186"/>
      <c r="X145">
        <v>109</v>
      </c>
      <c r="Z145" s="129" t="s">
        <v>1920</v>
      </c>
      <c r="AA145" s="30">
        <v>43449</v>
      </c>
      <c r="AB145" t="s">
        <v>1929</v>
      </c>
    </row>
    <row r="146" spans="1:28" ht="18.75" customHeight="1">
      <c r="A146" s="186"/>
      <c r="B146" s="186"/>
      <c r="C146" s="186"/>
      <c r="D146" s="186"/>
      <c r="E146" s="186" t="s">
        <v>55</v>
      </c>
      <c r="F146" s="186" t="s">
        <v>2268</v>
      </c>
      <c r="G146" s="186" t="s">
        <v>329</v>
      </c>
      <c r="H146" s="186" t="s">
        <v>243</v>
      </c>
      <c r="I146" s="186"/>
      <c r="J146" s="186">
        <v>86</v>
      </c>
      <c r="K146" s="79" t="s">
        <v>680</v>
      </c>
      <c r="L146" s="186"/>
      <c r="M146" s="186"/>
      <c r="N146" s="186"/>
      <c r="O146" s="186"/>
      <c r="P146" s="186"/>
      <c r="Q146" s="186"/>
      <c r="R146" s="186"/>
      <c r="S146" s="186"/>
      <c r="T146" s="186" t="s">
        <v>2269</v>
      </c>
      <c r="U146" s="186"/>
      <c r="V146" s="186"/>
      <c r="W146" s="186"/>
      <c r="Y146" t="s">
        <v>1917</v>
      </c>
    </row>
    <row r="147" spans="1:28" ht="18.75" customHeight="1">
      <c r="A147" s="186"/>
      <c r="B147" s="186"/>
      <c r="C147" s="186"/>
      <c r="D147" s="186"/>
      <c r="E147" s="186" t="s">
        <v>55</v>
      </c>
      <c r="F147" s="186" t="s">
        <v>2270</v>
      </c>
      <c r="G147" s="186" t="s">
        <v>329</v>
      </c>
      <c r="H147" s="186" t="s">
        <v>243</v>
      </c>
      <c r="I147" s="186"/>
      <c r="J147" s="72">
        <v>179</v>
      </c>
      <c r="K147" s="79" t="s">
        <v>680</v>
      </c>
      <c r="L147" s="186"/>
      <c r="M147" s="186"/>
      <c r="N147" s="186"/>
      <c r="O147" s="186"/>
      <c r="P147" s="186"/>
      <c r="Q147" s="186"/>
      <c r="R147" s="186"/>
      <c r="S147" s="186"/>
      <c r="T147" s="90" t="s">
        <v>2271</v>
      </c>
      <c r="U147" s="90"/>
      <c r="V147" s="90"/>
      <c r="W147" s="90"/>
      <c r="Y147" t="s">
        <v>1917</v>
      </c>
    </row>
    <row r="148" spans="1:28" ht="18.75" customHeight="1">
      <c r="A148" s="186"/>
      <c r="B148" s="186"/>
      <c r="C148" s="186"/>
      <c r="D148" s="186"/>
      <c r="E148" s="186" t="s">
        <v>59</v>
      </c>
      <c r="F148" s="186" t="s">
        <v>141</v>
      </c>
      <c r="G148" s="186" t="s">
        <v>329</v>
      </c>
      <c r="H148" s="186" t="s">
        <v>243</v>
      </c>
      <c r="I148" s="186"/>
      <c r="J148" s="186">
        <v>87</v>
      </c>
      <c r="K148" s="79" t="s">
        <v>680</v>
      </c>
      <c r="L148" s="186"/>
      <c r="M148" s="186"/>
      <c r="N148" s="186"/>
      <c r="O148" s="186"/>
      <c r="P148" s="186"/>
      <c r="Q148" s="186"/>
      <c r="R148" s="186"/>
      <c r="S148" s="186">
        <v>258</v>
      </c>
      <c r="T148" s="186" t="s">
        <v>2274</v>
      </c>
      <c r="U148" s="186"/>
      <c r="V148" s="186"/>
      <c r="W148" s="186"/>
      <c r="X148">
        <v>81</v>
      </c>
      <c r="Z148" s="129" t="s">
        <v>1920</v>
      </c>
      <c r="AA148" s="30">
        <v>43449</v>
      </c>
      <c r="AB148" t="s">
        <v>1929</v>
      </c>
    </row>
    <row r="149" spans="1:28" ht="18.75" customHeight="1">
      <c r="A149" s="186"/>
      <c r="B149" s="186"/>
      <c r="C149" s="186"/>
      <c r="D149" s="186"/>
      <c r="E149" s="186" t="s">
        <v>55</v>
      </c>
      <c r="F149" s="186" t="s">
        <v>2275</v>
      </c>
      <c r="G149" s="186" t="s">
        <v>329</v>
      </c>
      <c r="H149" s="186" t="s">
        <v>243</v>
      </c>
      <c r="I149" s="186"/>
      <c r="J149" s="186">
        <v>88</v>
      </c>
      <c r="K149" s="79" t="s">
        <v>680</v>
      </c>
      <c r="L149" s="186"/>
      <c r="M149" s="186"/>
      <c r="N149" s="186"/>
      <c r="O149" s="186"/>
      <c r="P149" s="186"/>
      <c r="Q149" s="186"/>
      <c r="R149" s="186"/>
      <c r="S149" s="186"/>
      <c r="T149" s="186" t="s">
        <v>2276</v>
      </c>
      <c r="U149" s="186"/>
      <c r="V149" s="186"/>
      <c r="W149" s="186"/>
      <c r="Y149" t="s">
        <v>1917</v>
      </c>
    </row>
    <row r="150" spans="1:28" ht="18.75" customHeight="1">
      <c r="A150" s="186"/>
      <c r="B150" s="186"/>
      <c r="C150" s="186"/>
      <c r="D150" s="186"/>
      <c r="E150" s="186" t="s">
        <v>55</v>
      </c>
      <c r="F150" s="186" t="s">
        <v>2277</v>
      </c>
      <c r="G150" s="186" t="s">
        <v>329</v>
      </c>
      <c r="H150" s="186" t="s">
        <v>243</v>
      </c>
      <c r="I150" s="186"/>
      <c r="J150" s="186">
        <v>89</v>
      </c>
      <c r="K150" s="79" t="s">
        <v>680</v>
      </c>
      <c r="L150" s="186"/>
      <c r="M150" s="186"/>
      <c r="N150" s="186"/>
      <c r="O150" s="186"/>
      <c r="P150" s="186"/>
      <c r="Q150" s="186"/>
      <c r="R150" s="186"/>
      <c r="S150" s="186"/>
      <c r="T150" s="186" t="s">
        <v>2278</v>
      </c>
      <c r="U150" s="186"/>
      <c r="V150" s="186"/>
      <c r="W150" s="186"/>
      <c r="Y150" t="s">
        <v>1917</v>
      </c>
    </row>
    <row r="151" spans="1:28" ht="18.75" customHeight="1">
      <c r="A151" s="186"/>
      <c r="B151" s="186"/>
      <c r="C151" s="186"/>
      <c r="D151" s="186"/>
      <c r="E151" s="186" t="s">
        <v>55</v>
      </c>
      <c r="F151" s="186" t="s">
        <v>2279</v>
      </c>
      <c r="G151" s="186" t="s">
        <v>329</v>
      </c>
      <c r="H151" s="186" t="s">
        <v>243</v>
      </c>
      <c r="I151" s="186"/>
      <c r="J151" s="186">
        <v>90</v>
      </c>
      <c r="K151" s="79" t="s">
        <v>680</v>
      </c>
      <c r="L151" s="186"/>
      <c r="M151" s="186"/>
      <c r="N151" s="186"/>
      <c r="O151" s="186"/>
      <c r="P151" s="186"/>
      <c r="Q151" s="186"/>
      <c r="R151" s="186"/>
      <c r="S151" s="186"/>
      <c r="T151" s="186" t="s">
        <v>2280</v>
      </c>
      <c r="U151" s="186"/>
      <c r="V151" s="186"/>
      <c r="W151" s="186"/>
      <c r="Y151" t="s">
        <v>1917</v>
      </c>
    </row>
    <row r="152" spans="1:28" ht="18.75" customHeight="1">
      <c r="A152" s="186"/>
      <c r="B152" s="186"/>
      <c r="C152" s="186"/>
      <c r="D152" s="186"/>
      <c r="E152" s="186" t="s">
        <v>61</v>
      </c>
      <c r="F152" s="186" t="s">
        <v>142</v>
      </c>
      <c r="G152" s="186" t="s">
        <v>329</v>
      </c>
      <c r="H152" s="186" t="s">
        <v>243</v>
      </c>
      <c r="I152" s="186"/>
      <c r="J152" s="186">
        <v>91</v>
      </c>
      <c r="K152" s="79" t="s">
        <v>680</v>
      </c>
      <c r="L152" s="186"/>
      <c r="M152" s="186"/>
      <c r="N152" s="186"/>
      <c r="O152" s="186"/>
      <c r="P152" s="186"/>
      <c r="Q152" s="186"/>
      <c r="R152" s="186"/>
      <c r="S152" s="186">
        <v>1</v>
      </c>
      <c r="T152" s="186" t="s">
        <v>2044</v>
      </c>
      <c r="U152" s="186"/>
      <c r="V152" s="186"/>
      <c r="W152" s="186"/>
      <c r="X152">
        <v>74</v>
      </c>
      <c r="Z152" s="129" t="s">
        <v>1920</v>
      </c>
      <c r="AA152" s="30">
        <v>43449</v>
      </c>
      <c r="AB152" t="s">
        <v>1057</v>
      </c>
    </row>
    <row r="153" spans="1:28" ht="18.75" customHeight="1">
      <c r="A153" s="186"/>
      <c r="B153" s="186"/>
      <c r="C153" s="186"/>
      <c r="D153" s="186"/>
      <c r="E153" s="186" t="s">
        <v>55</v>
      </c>
      <c r="F153" s="186" t="s">
        <v>620</v>
      </c>
      <c r="G153" s="186" t="s">
        <v>329</v>
      </c>
      <c r="H153" s="186" t="s">
        <v>243</v>
      </c>
      <c r="I153" s="186"/>
      <c r="J153" s="186">
        <v>92</v>
      </c>
      <c r="K153" s="79" t="s">
        <v>680</v>
      </c>
      <c r="L153" s="186"/>
      <c r="M153" s="186"/>
      <c r="N153" s="186"/>
      <c r="O153" s="186"/>
      <c r="P153" s="186"/>
      <c r="Q153" s="186"/>
      <c r="R153" s="186"/>
      <c r="S153" s="186"/>
      <c r="T153" s="186" t="s">
        <v>2285</v>
      </c>
      <c r="U153" s="186"/>
      <c r="V153" s="186"/>
      <c r="W153" s="186"/>
      <c r="X153">
        <v>92</v>
      </c>
      <c r="Z153" s="129" t="s">
        <v>1920</v>
      </c>
      <c r="AA153" s="30">
        <v>43449</v>
      </c>
      <c r="AB153" t="s">
        <v>1929</v>
      </c>
    </row>
    <row r="154" spans="1:28" ht="18.75" customHeight="1">
      <c r="A154" s="186"/>
      <c r="B154" s="186"/>
      <c r="C154" s="186"/>
      <c r="D154" s="186"/>
      <c r="E154" s="186" t="s">
        <v>59</v>
      </c>
      <c r="F154" s="186" t="s">
        <v>143</v>
      </c>
      <c r="G154" s="186" t="s">
        <v>329</v>
      </c>
      <c r="H154" s="186" t="s">
        <v>243</v>
      </c>
      <c r="I154" s="186"/>
      <c r="J154" s="186">
        <v>93</v>
      </c>
      <c r="K154" s="79" t="s">
        <v>680</v>
      </c>
      <c r="L154" s="186"/>
      <c r="M154" s="186"/>
      <c r="N154" s="186"/>
      <c r="O154" s="186"/>
      <c r="P154" s="186"/>
      <c r="Q154" s="186"/>
      <c r="R154" s="186"/>
      <c r="S154" s="186"/>
      <c r="T154" s="186" t="s">
        <v>2288</v>
      </c>
      <c r="U154" s="186"/>
      <c r="V154" s="186"/>
      <c r="W154" s="186"/>
      <c r="X154">
        <v>114</v>
      </c>
      <c r="Z154" s="129" t="s">
        <v>1920</v>
      </c>
      <c r="AA154" s="30">
        <v>43449</v>
      </c>
      <c r="AB154" t="s">
        <v>1057</v>
      </c>
    </row>
    <row r="155" spans="1:28" ht="18.75" customHeight="1">
      <c r="A155" s="186"/>
      <c r="B155" s="186"/>
      <c r="C155" s="186"/>
      <c r="D155" s="186"/>
      <c r="E155" s="186" t="s">
        <v>55</v>
      </c>
      <c r="F155" s="186" t="s">
        <v>2289</v>
      </c>
      <c r="G155" s="186" t="s">
        <v>329</v>
      </c>
      <c r="H155" s="186" t="s">
        <v>243</v>
      </c>
      <c r="I155" s="186"/>
      <c r="J155" s="186">
        <v>94</v>
      </c>
      <c r="K155" s="79" t="s">
        <v>680</v>
      </c>
      <c r="L155" s="186"/>
      <c r="M155" s="186"/>
      <c r="N155" s="186"/>
      <c r="O155" s="186"/>
      <c r="P155" s="186"/>
      <c r="Q155" s="186"/>
      <c r="R155" s="186"/>
      <c r="S155" s="186"/>
      <c r="T155" s="186" t="s">
        <v>2290</v>
      </c>
      <c r="U155" s="186"/>
      <c r="V155" s="186"/>
      <c r="W155" s="186"/>
      <c r="Y155" t="s">
        <v>1917</v>
      </c>
    </row>
    <row r="156" spans="1:28" ht="18.75" customHeight="1">
      <c r="A156" s="186"/>
      <c r="B156" s="186"/>
      <c r="C156" s="186"/>
      <c r="D156" s="186"/>
      <c r="E156" s="186" t="s">
        <v>59</v>
      </c>
      <c r="F156" s="186" t="s">
        <v>661</v>
      </c>
      <c r="G156" s="186" t="s">
        <v>329</v>
      </c>
      <c r="H156" s="186" t="s">
        <v>243</v>
      </c>
      <c r="I156" s="186"/>
      <c r="J156" s="186">
        <v>95</v>
      </c>
      <c r="K156" s="79" t="s">
        <v>680</v>
      </c>
      <c r="L156" s="186"/>
      <c r="M156" s="186"/>
      <c r="N156" s="186"/>
      <c r="O156" s="186"/>
      <c r="P156" s="186"/>
      <c r="Q156" s="186"/>
      <c r="R156" s="186"/>
      <c r="S156" s="186"/>
      <c r="T156" s="186" t="s">
        <v>2293</v>
      </c>
      <c r="U156" s="186"/>
      <c r="V156" s="186"/>
      <c r="W156" s="186"/>
      <c r="X156">
        <v>112</v>
      </c>
      <c r="Z156" s="129" t="s">
        <v>1920</v>
      </c>
      <c r="AA156" s="30">
        <v>43449</v>
      </c>
      <c r="AB156" t="s">
        <v>1057</v>
      </c>
    </row>
    <row r="157" spans="1:28" ht="18.75" customHeight="1">
      <c r="A157" s="186"/>
      <c r="B157" s="186"/>
      <c r="C157" s="186"/>
      <c r="D157" s="186"/>
      <c r="E157" s="186" t="s">
        <v>59</v>
      </c>
      <c r="F157" s="186" t="s">
        <v>2294</v>
      </c>
      <c r="G157" s="186" t="s">
        <v>329</v>
      </c>
      <c r="H157" s="186" t="s">
        <v>243</v>
      </c>
      <c r="I157" s="186"/>
      <c r="J157" s="186">
        <v>96</v>
      </c>
      <c r="K157" s="79" t="s">
        <v>680</v>
      </c>
      <c r="L157" s="186"/>
      <c r="M157" s="186"/>
      <c r="N157" s="186"/>
      <c r="O157" s="186"/>
      <c r="P157" s="186"/>
      <c r="Q157" s="186"/>
      <c r="R157" s="186"/>
      <c r="S157" s="186"/>
      <c r="T157" s="186" t="s">
        <v>2081</v>
      </c>
      <c r="U157" s="186"/>
      <c r="V157" s="186"/>
      <c r="W157" s="186"/>
      <c r="Y157" t="s">
        <v>1917</v>
      </c>
    </row>
    <row r="158" spans="1:28" ht="18.75" customHeight="1">
      <c r="A158" s="186"/>
      <c r="B158" s="186"/>
      <c r="C158" s="186"/>
      <c r="D158" s="186"/>
      <c r="E158" s="186" t="s">
        <v>59</v>
      </c>
      <c r="F158" s="186" t="s">
        <v>128</v>
      </c>
      <c r="G158" s="186" t="s">
        <v>432</v>
      </c>
      <c r="H158" s="186" t="s">
        <v>243</v>
      </c>
      <c r="I158" s="186"/>
      <c r="J158" s="186">
        <v>77</v>
      </c>
      <c r="K158" s="79" t="s">
        <v>680</v>
      </c>
      <c r="L158" s="186"/>
      <c r="M158" s="186"/>
      <c r="N158" s="186"/>
      <c r="O158" s="186"/>
      <c r="P158" s="186"/>
      <c r="Q158" s="186"/>
      <c r="R158" s="186"/>
      <c r="S158" s="186"/>
      <c r="T158" s="186" t="s">
        <v>2296</v>
      </c>
      <c r="U158" s="186"/>
      <c r="V158" s="186"/>
      <c r="W158" s="186"/>
      <c r="X158">
        <v>50</v>
      </c>
      <c r="Z158" s="129" t="s">
        <v>1920</v>
      </c>
      <c r="AA158" s="30">
        <v>43449</v>
      </c>
      <c r="AB158" t="s">
        <v>1057</v>
      </c>
    </row>
    <row r="159" spans="1:28" ht="18.75" customHeight="1">
      <c r="A159" s="125"/>
      <c r="B159" s="125"/>
      <c r="C159" s="125"/>
      <c r="D159" s="125"/>
      <c r="E159" s="186" t="s">
        <v>55</v>
      </c>
      <c r="F159" t="s">
        <v>431</v>
      </c>
      <c r="G159" s="186" t="s">
        <v>247</v>
      </c>
      <c r="H159" s="186" t="s">
        <v>243</v>
      </c>
      <c r="I159" s="186"/>
      <c r="J159" s="186"/>
      <c r="K159" s="79" t="s">
        <v>680</v>
      </c>
      <c r="L159" s="186"/>
      <c r="M159" s="186"/>
      <c r="N159" s="186"/>
      <c r="O159" s="186"/>
      <c r="P159" s="186"/>
      <c r="Q159" s="186"/>
      <c r="R159" s="186"/>
      <c r="S159" s="186"/>
      <c r="T159" s="186"/>
      <c r="U159" s="186"/>
      <c r="V159" s="186"/>
      <c r="W159" s="186"/>
      <c r="AA159" s="128"/>
      <c r="AB159" s="128"/>
    </row>
    <row r="160" spans="1:28" ht="18.75" customHeight="1">
      <c r="A160" s="186"/>
      <c r="B160" s="186"/>
      <c r="C160" s="186"/>
      <c r="D160" s="186"/>
      <c r="E160" s="186" t="s">
        <v>59</v>
      </c>
      <c r="F160" s="186" t="s">
        <v>498</v>
      </c>
      <c r="G160" s="186" t="s">
        <v>242</v>
      </c>
      <c r="H160" s="186" t="s">
        <v>243</v>
      </c>
      <c r="I160" s="186"/>
      <c r="J160" s="186">
        <v>97</v>
      </c>
      <c r="K160" s="79" t="s">
        <v>680</v>
      </c>
      <c r="L160" s="186"/>
      <c r="M160" s="186"/>
      <c r="N160" s="186"/>
      <c r="O160" s="186"/>
      <c r="P160" s="186"/>
      <c r="Q160" s="186"/>
      <c r="R160" s="186"/>
      <c r="S160" s="186"/>
      <c r="T160" s="186" t="s">
        <v>2299</v>
      </c>
      <c r="U160" s="186"/>
      <c r="V160" s="186"/>
      <c r="W160" s="186"/>
      <c r="X160">
        <v>2</v>
      </c>
      <c r="Z160" s="129" t="s">
        <v>1920</v>
      </c>
      <c r="AA160" s="30">
        <v>43449</v>
      </c>
      <c r="AB160" t="s">
        <v>1057</v>
      </c>
    </row>
    <row r="161" spans="1:28" ht="18.75" customHeight="1">
      <c r="A161" s="186"/>
      <c r="B161" s="186"/>
      <c r="C161" s="186"/>
      <c r="D161" s="186"/>
      <c r="E161" s="186" t="s">
        <v>59</v>
      </c>
      <c r="F161" s="186" t="s">
        <v>353</v>
      </c>
      <c r="G161" s="186" t="s">
        <v>346</v>
      </c>
      <c r="H161" s="186" t="s">
        <v>243</v>
      </c>
      <c r="I161" s="186"/>
      <c r="J161" s="186">
        <v>162</v>
      </c>
      <c r="K161" s="79" t="s">
        <v>680</v>
      </c>
      <c r="L161" s="186"/>
      <c r="M161" s="186"/>
      <c r="N161" s="186"/>
      <c r="O161" s="186"/>
      <c r="P161" s="186"/>
      <c r="Q161" s="186"/>
      <c r="R161" s="289" t="s">
        <v>1346</v>
      </c>
      <c r="S161" s="186"/>
      <c r="T161" s="186" t="s">
        <v>1665</v>
      </c>
      <c r="U161" s="186"/>
      <c r="V161" s="186"/>
      <c r="W161" s="186"/>
      <c r="X161">
        <v>24</v>
      </c>
      <c r="Z161" s="129" t="s">
        <v>1920</v>
      </c>
      <c r="AA161" s="30">
        <v>43449</v>
      </c>
      <c r="AB161" t="s">
        <v>1057</v>
      </c>
    </row>
    <row r="162" spans="1:28" ht="18.75" customHeight="1">
      <c r="A162" s="186"/>
      <c r="B162" s="186"/>
      <c r="C162" s="186"/>
      <c r="D162" s="186"/>
      <c r="E162" s="186" t="s">
        <v>55</v>
      </c>
      <c r="F162" s="186" t="s">
        <v>537</v>
      </c>
      <c r="G162" s="186" t="s">
        <v>346</v>
      </c>
      <c r="H162" s="186" t="s">
        <v>243</v>
      </c>
      <c r="I162" s="186"/>
      <c r="J162" s="186">
        <v>98</v>
      </c>
      <c r="K162" s="79" t="s">
        <v>680</v>
      </c>
      <c r="L162" s="186"/>
      <c r="M162" s="186"/>
      <c r="N162" s="186"/>
      <c r="O162" s="186"/>
      <c r="P162" s="186"/>
      <c r="Q162" s="186"/>
      <c r="R162" s="186"/>
      <c r="S162" s="186"/>
      <c r="T162" s="186" t="s">
        <v>2306</v>
      </c>
      <c r="U162" s="186"/>
      <c r="V162" s="186"/>
      <c r="W162" s="186"/>
      <c r="X162">
        <v>39</v>
      </c>
      <c r="Z162" s="129" t="s">
        <v>1920</v>
      </c>
      <c r="AA162" s="30">
        <v>43449</v>
      </c>
      <c r="AB162" t="s">
        <v>1057</v>
      </c>
    </row>
    <row r="163" spans="1:28" ht="18.75" customHeight="1">
      <c r="A163" s="186"/>
      <c r="B163" s="186"/>
      <c r="C163" s="186"/>
      <c r="D163" s="186"/>
      <c r="E163" s="186" t="s">
        <v>55</v>
      </c>
      <c r="F163" s="186" t="s">
        <v>2307</v>
      </c>
      <c r="G163" s="186" t="s">
        <v>249</v>
      </c>
      <c r="H163" s="186" t="s">
        <v>243</v>
      </c>
      <c r="I163" s="186"/>
      <c r="J163" s="72">
        <v>195</v>
      </c>
      <c r="K163" s="79" t="s">
        <v>680</v>
      </c>
      <c r="L163" s="186"/>
      <c r="M163" s="186"/>
      <c r="N163" s="186"/>
      <c r="O163" s="186"/>
      <c r="P163" s="186"/>
      <c r="Q163" s="186"/>
      <c r="R163" s="186"/>
      <c r="S163" s="186"/>
      <c r="T163" s="90" t="s">
        <v>2309</v>
      </c>
      <c r="U163" s="90"/>
      <c r="V163" s="90"/>
      <c r="W163" s="90"/>
      <c r="Y163" t="s">
        <v>1917</v>
      </c>
    </row>
    <row r="164" spans="1:28" ht="18.75" customHeight="1">
      <c r="A164" s="186"/>
      <c r="B164" s="186"/>
      <c r="C164" s="186"/>
      <c r="D164" s="186"/>
      <c r="E164" s="186" t="s">
        <v>55</v>
      </c>
      <c r="F164" s="186" t="s">
        <v>2310</v>
      </c>
      <c r="G164" s="186" t="s">
        <v>329</v>
      </c>
      <c r="H164" s="186" t="s">
        <v>243</v>
      </c>
      <c r="I164" s="186"/>
      <c r="J164" s="72">
        <v>174</v>
      </c>
      <c r="K164" s="79" t="s">
        <v>680</v>
      </c>
      <c r="L164" s="186"/>
      <c r="M164" s="186"/>
      <c r="N164" s="186"/>
      <c r="O164" s="186"/>
      <c r="P164" s="186"/>
      <c r="Q164" s="186"/>
      <c r="R164" s="186"/>
      <c r="S164" s="186"/>
      <c r="T164" s="90" t="s">
        <v>2311</v>
      </c>
      <c r="U164" s="90"/>
      <c r="V164" s="90"/>
      <c r="W164" s="90"/>
      <c r="Y164" t="s">
        <v>1917</v>
      </c>
    </row>
    <row r="165" spans="1:28" ht="18.75" customHeight="1">
      <c r="A165" s="186"/>
      <c r="B165" s="186"/>
      <c r="C165" s="186"/>
      <c r="D165" s="186"/>
      <c r="E165" s="186" t="s">
        <v>55</v>
      </c>
      <c r="F165" s="186" t="s">
        <v>539</v>
      </c>
      <c r="G165" s="186" t="s">
        <v>242</v>
      </c>
      <c r="H165" s="186" t="s">
        <v>243</v>
      </c>
      <c r="I165" s="186"/>
      <c r="J165" s="186">
        <v>217</v>
      </c>
      <c r="K165" s="79" t="s">
        <v>680</v>
      </c>
      <c r="L165" s="186"/>
      <c r="M165" s="186"/>
      <c r="N165" s="186"/>
      <c r="O165" s="186"/>
      <c r="P165" s="186"/>
      <c r="Q165" s="186"/>
      <c r="R165" s="186"/>
      <c r="S165" s="186"/>
      <c r="T165" s="186" t="s">
        <v>2314</v>
      </c>
      <c r="U165" s="186"/>
      <c r="V165" s="186"/>
      <c r="W165" s="186"/>
      <c r="X165">
        <v>40</v>
      </c>
      <c r="Z165" s="129" t="s">
        <v>1920</v>
      </c>
      <c r="AA165" s="30">
        <v>43449</v>
      </c>
      <c r="AB165" t="s">
        <v>1929</v>
      </c>
    </row>
    <row r="166" spans="1:28" ht="18.75" customHeight="1">
      <c r="A166" s="186"/>
      <c r="B166" s="186"/>
      <c r="C166" s="186"/>
      <c r="D166" s="186"/>
      <c r="E166" s="186" t="s">
        <v>55</v>
      </c>
      <c r="F166" s="186" t="s">
        <v>541</v>
      </c>
      <c r="G166" s="186" t="s">
        <v>535</v>
      </c>
      <c r="H166" s="186" t="s">
        <v>243</v>
      </c>
      <c r="I166" s="186"/>
      <c r="J166" s="72">
        <v>171</v>
      </c>
      <c r="K166" s="79" t="s">
        <v>680</v>
      </c>
      <c r="L166" s="186"/>
      <c r="M166" s="186"/>
      <c r="N166" s="186"/>
      <c r="O166" s="186"/>
      <c r="P166" s="186"/>
      <c r="Q166" s="186"/>
      <c r="R166" s="186"/>
      <c r="S166" s="186"/>
      <c r="T166" s="90" t="s">
        <v>2315</v>
      </c>
      <c r="U166" s="90"/>
      <c r="V166" s="90"/>
      <c r="W166" s="90"/>
      <c r="X166">
        <v>41</v>
      </c>
      <c r="Z166" s="129" t="s">
        <v>1920</v>
      </c>
      <c r="AA166" s="30">
        <v>43449</v>
      </c>
      <c r="AB166" t="s">
        <v>1929</v>
      </c>
    </row>
    <row r="167" spans="1:28" ht="18.75" customHeight="1">
      <c r="A167" s="186"/>
      <c r="B167" s="186"/>
      <c r="C167" s="186"/>
      <c r="D167" s="186"/>
      <c r="E167" s="186" t="s">
        <v>55</v>
      </c>
      <c r="F167" s="186" t="s">
        <v>386</v>
      </c>
      <c r="G167" s="186" t="s">
        <v>329</v>
      </c>
      <c r="H167" s="186" t="s">
        <v>243</v>
      </c>
      <c r="I167" s="186"/>
      <c r="J167" s="72">
        <v>170</v>
      </c>
      <c r="K167" s="79" t="s">
        <v>680</v>
      </c>
      <c r="L167" s="186"/>
      <c r="M167" s="186"/>
      <c r="N167" s="186"/>
      <c r="O167" s="186"/>
      <c r="P167" s="186"/>
      <c r="Q167" s="186"/>
      <c r="R167" s="186"/>
      <c r="S167" s="186"/>
      <c r="T167" s="90" t="s">
        <v>2318</v>
      </c>
      <c r="U167" s="90"/>
      <c r="V167" s="90"/>
      <c r="W167" s="90"/>
      <c r="X167">
        <v>72</v>
      </c>
      <c r="Z167" s="129" t="s">
        <v>1920</v>
      </c>
      <c r="AA167" s="30">
        <v>43449</v>
      </c>
      <c r="AB167" t="s">
        <v>1057</v>
      </c>
    </row>
    <row r="168" spans="1:28" ht="18.75" customHeight="1">
      <c r="A168" s="186"/>
      <c r="B168" s="186"/>
      <c r="C168" s="186"/>
      <c r="D168" s="186"/>
      <c r="E168" s="186" t="s">
        <v>59</v>
      </c>
      <c r="F168" s="186" t="s">
        <v>573</v>
      </c>
      <c r="G168" s="186" t="s">
        <v>255</v>
      </c>
      <c r="H168" s="186" t="s">
        <v>243</v>
      </c>
      <c r="I168" s="186"/>
      <c r="J168" s="186">
        <v>99</v>
      </c>
      <c r="K168" s="79" t="s">
        <v>680</v>
      </c>
      <c r="L168" s="186"/>
      <c r="M168" s="186"/>
      <c r="N168" s="186"/>
      <c r="O168" s="186"/>
      <c r="P168" s="186"/>
      <c r="Q168" s="123"/>
      <c r="R168" s="186"/>
      <c r="S168" s="186"/>
      <c r="T168" s="186" t="s">
        <v>2322</v>
      </c>
      <c r="U168" s="186"/>
      <c r="V168" s="186"/>
      <c r="W168" s="186"/>
      <c r="X168">
        <v>62</v>
      </c>
      <c r="Z168" s="129" t="s">
        <v>1100</v>
      </c>
      <c r="AA168" s="30">
        <v>43550</v>
      </c>
      <c r="AB168" t="s">
        <v>2323</v>
      </c>
    </row>
    <row r="169" spans="1:28" ht="18.75" customHeight="1">
      <c r="A169" s="186"/>
      <c r="B169" s="186"/>
      <c r="C169" s="186"/>
      <c r="D169" s="186"/>
      <c r="E169" s="186" t="s">
        <v>55</v>
      </c>
      <c r="F169" s="186" t="s">
        <v>577</v>
      </c>
      <c r="G169" s="186" t="s">
        <v>255</v>
      </c>
      <c r="H169" s="186" t="s">
        <v>243</v>
      </c>
      <c r="I169" s="186"/>
      <c r="J169" s="72">
        <v>188</v>
      </c>
      <c r="K169" s="79" t="s">
        <v>680</v>
      </c>
      <c r="L169" s="186"/>
      <c r="M169" s="186"/>
      <c r="N169" s="186"/>
      <c r="O169" s="186"/>
      <c r="P169" s="186"/>
      <c r="Q169" s="186"/>
      <c r="R169" s="186"/>
      <c r="S169" s="186"/>
      <c r="T169" s="90" t="s">
        <v>2326</v>
      </c>
      <c r="U169" s="90"/>
      <c r="V169" s="90"/>
      <c r="W169" s="90"/>
      <c r="X169">
        <v>64</v>
      </c>
      <c r="Z169" s="129" t="s">
        <v>1920</v>
      </c>
      <c r="AA169" s="30">
        <v>43449</v>
      </c>
      <c r="AB169" t="s">
        <v>1057</v>
      </c>
    </row>
    <row r="170" spans="1:28" ht="18.75" customHeight="1">
      <c r="A170" s="186"/>
      <c r="B170" s="186"/>
      <c r="C170" s="186"/>
      <c r="D170" s="186"/>
      <c r="E170" s="186" t="s">
        <v>55</v>
      </c>
      <c r="F170" s="186" t="s">
        <v>164</v>
      </c>
      <c r="G170" s="186" t="s">
        <v>255</v>
      </c>
      <c r="H170" s="186" t="s">
        <v>243</v>
      </c>
      <c r="I170" s="186"/>
      <c r="J170" s="186">
        <v>100</v>
      </c>
      <c r="K170" s="79" t="s">
        <v>680</v>
      </c>
      <c r="L170" s="186"/>
      <c r="M170" s="186"/>
      <c r="N170" s="186"/>
      <c r="O170" s="186"/>
      <c r="P170" s="186"/>
      <c r="Q170" s="186"/>
      <c r="R170" s="186"/>
      <c r="S170" s="186"/>
      <c r="T170" s="186" t="s">
        <v>2327</v>
      </c>
      <c r="U170" s="186"/>
      <c r="V170" s="186"/>
      <c r="W170" s="186"/>
      <c r="Y170" t="s">
        <v>1917</v>
      </c>
    </row>
    <row r="171" spans="1:28" ht="18.75" customHeight="1">
      <c r="A171" s="186"/>
      <c r="B171" s="186"/>
      <c r="C171" s="186"/>
      <c r="D171" s="186"/>
      <c r="E171" s="186" t="s">
        <v>55</v>
      </c>
      <c r="F171" s="186" t="s">
        <v>2328</v>
      </c>
      <c r="G171" s="186" t="s">
        <v>995</v>
      </c>
      <c r="H171" s="186" t="s">
        <v>243</v>
      </c>
      <c r="I171" s="186"/>
      <c r="J171" s="186">
        <v>101</v>
      </c>
      <c r="K171" s="79" t="s">
        <v>680</v>
      </c>
      <c r="L171" s="186"/>
      <c r="M171" s="186"/>
      <c r="N171" s="186"/>
      <c r="O171" s="186"/>
      <c r="P171" s="186"/>
      <c r="Q171" s="186"/>
      <c r="R171" s="186"/>
      <c r="S171" s="186"/>
      <c r="T171" s="186" t="s">
        <v>2329</v>
      </c>
      <c r="U171" s="186"/>
      <c r="V171" s="186"/>
      <c r="W171" s="186"/>
      <c r="Y171" t="s">
        <v>1917</v>
      </c>
    </row>
    <row r="172" spans="1:28" ht="18.75" customHeight="1">
      <c r="A172" s="186"/>
      <c r="B172" s="186"/>
      <c r="C172" s="186"/>
      <c r="D172" s="186"/>
      <c r="E172" s="186" t="s">
        <v>55</v>
      </c>
      <c r="F172" s="186" t="s">
        <v>565</v>
      </c>
      <c r="G172" s="186" t="s">
        <v>255</v>
      </c>
      <c r="H172" s="186" t="s">
        <v>243</v>
      </c>
      <c r="I172" s="186"/>
      <c r="J172" s="72">
        <v>189</v>
      </c>
      <c r="K172" s="79" t="s">
        <v>680</v>
      </c>
      <c r="L172" s="186"/>
      <c r="M172" s="186"/>
      <c r="N172" s="186"/>
      <c r="O172" s="186"/>
      <c r="P172" s="186"/>
      <c r="Q172" s="186"/>
      <c r="R172" s="186"/>
      <c r="S172" s="186"/>
      <c r="T172" s="90" t="s">
        <v>2332</v>
      </c>
      <c r="U172" s="90"/>
      <c r="V172" s="90"/>
      <c r="W172" s="90"/>
      <c r="X172">
        <v>58</v>
      </c>
      <c r="Z172" s="129" t="s">
        <v>1920</v>
      </c>
      <c r="AA172" s="30">
        <v>43449</v>
      </c>
      <c r="AB172" t="s">
        <v>1057</v>
      </c>
    </row>
    <row r="173" spans="1:28" ht="18.75" customHeight="1">
      <c r="A173" s="186"/>
      <c r="B173" s="186"/>
      <c r="C173" s="186" t="s">
        <v>1548</v>
      </c>
      <c r="D173" s="186">
        <v>1</v>
      </c>
      <c r="E173" s="186" t="s">
        <v>61</v>
      </c>
      <c r="F173" s="186" t="s">
        <v>152</v>
      </c>
      <c r="G173" s="186" t="s">
        <v>247</v>
      </c>
      <c r="H173" s="186" t="s">
        <v>243</v>
      </c>
      <c r="I173" s="186"/>
      <c r="J173" s="186">
        <v>154</v>
      </c>
      <c r="K173" s="79" t="s">
        <v>680</v>
      </c>
      <c r="L173" s="186"/>
      <c r="M173" s="186"/>
      <c r="N173" s="186"/>
      <c r="O173" s="186"/>
      <c r="P173" s="186"/>
      <c r="Q173" s="186"/>
      <c r="R173" s="289" t="s">
        <v>1346</v>
      </c>
      <c r="S173" s="186"/>
      <c r="T173" s="186" t="s">
        <v>1686</v>
      </c>
      <c r="U173" s="186"/>
      <c r="V173" s="186"/>
      <c r="W173" s="186"/>
      <c r="X173">
        <v>12</v>
      </c>
      <c r="Z173" s="129" t="s">
        <v>1920</v>
      </c>
      <c r="AA173" s="30">
        <v>43449</v>
      </c>
      <c r="AB173" t="s">
        <v>1057</v>
      </c>
    </row>
    <row r="174" spans="1:28" ht="18.75" customHeight="1">
      <c r="A174" s="186"/>
      <c r="B174" s="186"/>
      <c r="C174" s="186" t="s">
        <v>1691</v>
      </c>
      <c r="D174" s="186">
        <v>1</v>
      </c>
      <c r="E174" s="186" t="s">
        <v>61</v>
      </c>
      <c r="F174" s="186" t="s">
        <v>144</v>
      </c>
      <c r="G174" s="186" t="s">
        <v>329</v>
      </c>
      <c r="H174" s="186" t="s">
        <v>243</v>
      </c>
      <c r="I174" s="186"/>
      <c r="J174" s="186">
        <v>102</v>
      </c>
      <c r="K174" s="79" t="s">
        <v>680</v>
      </c>
      <c r="L174" s="186"/>
      <c r="M174" s="186"/>
      <c r="N174" s="186"/>
      <c r="O174" s="186"/>
      <c r="P174" s="186"/>
      <c r="Q174" s="186"/>
      <c r="R174" s="186"/>
      <c r="S174" s="186"/>
      <c r="T174" s="186" t="s">
        <v>2338</v>
      </c>
      <c r="U174" s="186"/>
      <c r="V174" s="186"/>
      <c r="W174" s="186"/>
      <c r="X174">
        <v>71</v>
      </c>
      <c r="Z174" s="129" t="s">
        <v>1920</v>
      </c>
      <c r="AA174" s="30">
        <v>43449</v>
      </c>
      <c r="AB174" t="s">
        <v>1057</v>
      </c>
    </row>
    <row r="175" spans="1:28" ht="18.75" customHeight="1">
      <c r="A175" s="186"/>
      <c r="B175" s="186"/>
      <c r="C175" s="186"/>
      <c r="D175" s="186"/>
      <c r="E175" s="186" t="s">
        <v>63</v>
      </c>
      <c r="F175" s="186" t="s">
        <v>2339</v>
      </c>
      <c r="G175" s="186" t="s">
        <v>995</v>
      </c>
      <c r="H175" s="186" t="s">
        <v>243</v>
      </c>
      <c r="I175" s="186"/>
      <c r="J175" s="186">
        <v>138</v>
      </c>
      <c r="K175" s="79" t="s">
        <v>680</v>
      </c>
      <c r="L175" s="186"/>
      <c r="M175" s="186"/>
      <c r="N175" s="186"/>
      <c r="O175" s="186"/>
      <c r="P175" s="186"/>
      <c r="Q175" s="186"/>
      <c r="R175" s="186"/>
      <c r="S175" s="186"/>
      <c r="T175" s="186" t="s">
        <v>1190</v>
      </c>
      <c r="U175" s="186"/>
      <c r="V175" s="186"/>
      <c r="W175" s="186"/>
      <c r="Y175" t="s">
        <v>1917</v>
      </c>
    </row>
    <row r="176" spans="1:28" ht="48" customHeight="1">
      <c r="A176" s="186"/>
      <c r="B176" s="186"/>
      <c r="C176" s="186"/>
      <c r="D176" s="186"/>
      <c r="E176" s="186" t="s">
        <v>55</v>
      </c>
      <c r="F176" s="186" t="s">
        <v>1695</v>
      </c>
      <c r="G176" s="186" t="s">
        <v>247</v>
      </c>
      <c r="H176" s="186" t="s">
        <v>243</v>
      </c>
      <c r="I176" s="186"/>
      <c r="J176" s="186">
        <v>163</v>
      </c>
      <c r="K176" s="79" t="s">
        <v>680</v>
      </c>
      <c r="L176" s="186"/>
      <c r="M176" s="186"/>
      <c r="N176" s="186"/>
      <c r="O176" s="186"/>
      <c r="P176" s="186"/>
      <c r="Q176" s="186"/>
      <c r="R176" s="186"/>
      <c r="S176" s="186"/>
      <c r="T176" s="186" t="s">
        <v>1696</v>
      </c>
      <c r="U176" s="186"/>
      <c r="V176" s="186"/>
      <c r="W176" s="186"/>
      <c r="Y176" t="s">
        <v>1917</v>
      </c>
    </row>
    <row r="177" spans="1:28" ht="18.75" customHeight="1">
      <c r="A177" s="186"/>
      <c r="B177" s="186"/>
      <c r="C177" s="186"/>
      <c r="D177" s="186"/>
      <c r="E177" s="186" t="s">
        <v>55</v>
      </c>
      <c r="F177" s="186" t="s">
        <v>571</v>
      </c>
      <c r="G177" s="186" t="s">
        <v>346</v>
      </c>
      <c r="H177" s="186" t="s">
        <v>243</v>
      </c>
      <c r="I177" s="186"/>
      <c r="J177" s="186">
        <v>105</v>
      </c>
      <c r="K177" s="79" t="s">
        <v>680</v>
      </c>
      <c r="L177" s="186"/>
      <c r="M177" s="186"/>
      <c r="N177" s="186"/>
      <c r="O177" s="186"/>
      <c r="P177" s="186"/>
      <c r="Q177" s="186"/>
      <c r="R177" s="186"/>
      <c r="S177" s="186"/>
      <c r="T177" s="186" t="s">
        <v>2342</v>
      </c>
      <c r="U177" s="186"/>
      <c r="V177" s="186"/>
      <c r="W177" s="186"/>
      <c r="X177">
        <v>61</v>
      </c>
      <c r="Z177" s="129" t="s">
        <v>1920</v>
      </c>
      <c r="AA177" s="30">
        <v>43449</v>
      </c>
      <c r="AB177" t="s">
        <v>1057</v>
      </c>
    </row>
    <row r="178" spans="1:28" ht="18.75" customHeight="1">
      <c r="A178" s="186"/>
      <c r="B178" s="186"/>
      <c r="C178" s="186"/>
      <c r="D178" s="186"/>
      <c r="E178" s="186" t="s">
        <v>55</v>
      </c>
      <c r="F178" s="186" t="s">
        <v>546</v>
      </c>
      <c r="G178" s="186" t="s">
        <v>346</v>
      </c>
      <c r="H178" s="186" t="s">
        <v>243</v>
      </c>
      <c r="I178" s="186"/>
      <c r="J178" s="186">
        <v>106</v>
      </c>
      <c r="K178" s="79" t="s">
        <v>680</v>
      </c>
      <c r="L178" s="186"/>
      <c r="M178" s="186"/>
      <c r="N178" s="186"/>
      <c r="O178" s="186"/>
      <c r="P178" s="186"/>
      <c r="Q178" s="186"/>
      <c r="R178" s="186"/>
      <c r="S178" s="186"/>
      <c r="T178" s="186" t="s">
        <v>2345</v>
      </c>
      <c r="U178" s="186"/>
      <c r="V178" s="186"/>
      <c r="W178" s="186"/>
      <c r="X178">
        <v>45</v>
      </c>
      <c r="Z178" s="129" t="s">
        <v>1920</v>
      </c>
      <c r="AA178" s="30">
        <v>43449</v>
      </c>
      <c r="AB178" t="s">
        <v>1057</v>
      </c>
    </row>
    <row r="179" spans="1:28" ht="18.75" customHeight="1">
      <c r="A179" s="186"/>
      <c r="B179" s="186"/>
      <c r="C179" s="186"/>
      <c r="D179" s="186"/>
      <c r="E179" s="186" t="s">
        <v>55</v>
      </c>
      <c r="F179" s="186" t="s">
        <v>2346</v>
      </c>
      <c r="G179" s="186" t="s">
        <v>346</v>
      </c>
      <c r="H179" s="186" t="s">
        <v>243</v>
      </c>
      <c r="I179" s="186"/>
      <c r="J179" s="186">
        <v>107</v>
      </c>
      <c r="K179" s="79" t="s">
        <v>680</v>
      </c>
      <c r="L179" s="186"/>
      <c r="M179" s="186"/>
      <c r="N179" s="186"/>
      <c r="O179" s="186"/>
      <c r="P179" s="186"/>
      <c r="Q179" s="186"/>
      <c r="R179" s="186"/>
      <c r="S179" s="186"/>
      <c r="T179" s="186" t="s">
        <v>2347</v>
      </c>
      <c r="U179" s="186"/>
      <c r="V179" s="186"/>
      <c r="W179" s="186"/>
      <c r="Y179" t="s">
        <v>1917</v>
      </c>
    </row>
    <row r="180" spans="1:28" ht="18.75" customHeight="1">
      <c r="A180" s="186"/>
      <c r="B180" s="186"/>
      <c r="C180" s="186" t="s">
        <v>47</v>
      </c>
      <c r="D180" s="186">
        <v>1</v>
      </c>
      <c r="E180" s="186" t="s">
        <v>61</v>
      </c>
      <c r="F180" s="186" t="s">
        <v>153</v>
      </c>
      <c r="G180" s="186" t="s">
        <v>324</v>
      </c>
      <c r="H180" s="186" t="s">
        <v>243</v>
      </c>
      <c r="I180" s="186"/>
      <c r="J180" s="186">
        <v>156</v>
      </c>
      <c r="K180" s="79" t="s">
        <v>680</v>
      </c>
      <c r="L180" s="186"/>
      <c r="M180" s="186"/>
      <c r="N180" s="186"/>
      <c r="O180" s="186"/>
      <c r="P180" s="186"/>
      <c r="Q180" s="186"/>
      <c r="R180" s="289" t="s">
        <v>1346</v>
      </c>
      <c r="S180" s="186"/>
      <c r="T180" s="186" t="s">
        <v>1740</v>
      </c>
      <c r="U180" s="186"/>
      <c r="V180" s="186"/>
      <c r="W180" s="186"/>
      <c r="X180">
        <v>17</v>
      </c>
      <c r="Z180" s="129" t="s">
        <v>1920</v>
      </c>
      <c r="AA180" s="30">
        <v>43449</v>
      </c>
      <c r="AB180" t="s">
        <v>1057</v>
      </c>
    </row>
    <row r="181" spans="1:28" ht="18.75" customHeight="1">
      <c r="A181" s="186"/>
      <c r="B181" s="186"/>
      <c r="C181" s="186"/>
      <c r="D181" s="186"/>
      <c r="E181" s="186" t="s">
        <v>55</v>
      </c>
      <c r="F181" s="186" t="s">
        <v>2350</v>
      </c>
      <c r="G181" s="186" t="s">
        <v>329</v>
      </c>
      <c r="H181" s="186" t="s">
        <v>243</v>
      </c>
      <c r="I181" s="186"/>
      <c r="J181" s="72">
        <v>209</v>
      </c>
      <c r="K181" s="79" t="s">
        <v>680</v>
      </c>
      <c r="L181" s="186"/>
      <c r="M181" s="186"/>
      <c r="N181" s="186"/>
      <c r="O181" s="186"/>
      <c r="P181" s="186"/>
      <c r="Q181" s="186"/>
      <c r="R181" s="186"/>
      <c r="S181" s="186"/>
      <c r="T181" s="90" t="s">
        <v>2351</v>
      </c>
      <c r="U181" s="90"/>
      <c r="V181" s="90"/>
      <c r="W181" s="90"/>
      <c r="Y181" t="s">
        <v>1917</v>
      </c>
    </row>
    <row r="182" spans="1:28" ht="18.75" customHeight="1">
      <c r="A182" s="186"/>
      <c r="B182" s="186"/>
      <c r="C182" s="186"/>
      <c r="D182" s="186"/>
      <c r="E182" s="186" t="s">
        <v>53</v>
      </c>
      <c r="F182" s="186" t="s">
        <v>2352</v>
      </c>
      <c r="G182" s="186" t="s">
        <v>535</v>
      </c>
      <c r="H182" s="186" t="s">
        <v>243</v>
      </c>
      <c r="I182" s="186"/>
      <c r="J182" s="186">
        <v>134</v>
      </c>
      <c r="K182" s="79" t="s">
        <v>680</v>
      </c>
      <c r="L182" s="186"/>
      <c r="M182" s="186"/>
      <c r="N182" s="186"/>
      <c r="O182" s="186"/>
      <c r="P182" s="186"/>
      <c r="Q182" s="186"/>
      <c r="R182" s="186"/>
      <c r="S182" s="186"/>
      <c r="T182" s="186" t="s">
        <v>1190</v>
      </c>
      <c r="U182" s="186"/>
      <c r="V182" s="186"/>
      <c r="W182" s="186"/>
      <c r="Y182" t="s">
        <v>1917</v>
      </c>
    </row>
    <row r="183" spans="1:28" ht="18.75" customHeight="1">
      <c r="A183" s="186"/>
      <c r="B183" s="186"/>
      <c r="C183" s="186"/>
      <c r="D183" s="186"/>
      <c r="E183" s="186" t="s">
        <v>55</v>
      </c>
      <c r="F183" s="186" t="s">
        <v>2353</v>
      </c>
      <c r="G183" s="186" t="s">
        <v>329</v>
      </c>
      <c r="H183" s="186" t="s">
        <v>243</v>
      </c>
      <c r="I183" s="186"/>
      <c r="J183" s="72">
        <v>208</v>
      </c>
      <c r="K183" s="79" t="s">
        <v>680</v>
      </c>
      <c r="L183" s="186"/>
      <c r="M183" s="186"/>
      <c r="N183" s="186"/>
      <c r="O183" s="186"/>
      <c r="P183" s="186"/>
      <c r="Q183" s="186"/>
      <c r="R183" s="186"/>
      <c r="S183" s="186"/>
      <c r="T183" s="90" t="s">
        <v>2354</v>
      </c>
      <c r="U183" s="90"/>
      <c r="V183" s="90"/>
      <c r="W183" s="90"/>
      <c r="Y183" t="s">
        <v>1917</v>
      </c>
    </row>
    <row r="184" spans="1:28" ht="18.75" customHeight="1">
      <c r="A184" s="186"/>
      <c r="B184" s="186"/>
      <c r="C184" s="186"/>
      <c r="D184" s="186"/>
      <c r="E184" s="186" t="s">
        <v>55</v>
      </c>
      <c r="F184" s="186" t="s">
        <v>2355</v>
      </c>
      <c r="G184" s="186" t="s">
        <v>432</v>
      </c>
      <c r="H184" s="186" t="s">
        <v>243</v>
      </c>
      <c r="I184" s="186"/>
      <c r="J184" s="186">
        <v>108</v>
      </c>
      <c r="K184" s="79" t="s">
        <v>680</v>
      </c>
      <c r="L184" s="186"/>
      <c r="M184" s="186"/>
      <c r="N184" s="186"/>
      <c r="O184" s="186"/>
      <c r="P184" s="186"/>
      <c r="Q184" s="186"/>
      <c r="R184" s="186"/>
      <c r="S184" s="186"/>
      <c r="T184" s="186" t="s">
        <v>2356</v>
      </c>
      <c r="U184" s="186"/>
      <c r="V184" s="186"/>
      <c r="W184" s="186"/>
      <c r="Y184" t="s">
        <v>1917</v>
      </c>
    </row>
    <row r="185" spans="1:28" ht="18.75" customHeight="1">
      <c r="A185" s="186"/>
      <c r="B185" s="186"/>
      <c r="C185" s="186" t="s">
        <v>1552</v>
      </c>
      <c r="D185" s="186">
        <v>1</v>
      </c>
      <c r="E185" s="186" t="s">
        <v>59</v>
      </c>
      <c r="F185" s="186" t="s">
        <v>151</v>
      </c>
      <c r="G185" s="186" t="s">
        <v>247</v>
      </c>
      <c r="H185" s="186" t="s">
        <v>243</v>
      </c>
      <c r="I185" s="186"/>
      <c r="J185" s="186">
        <v>147</v>
      </c>
      <c r="K185" s="79" t="s">
        <v>680</v>
      </c>
      <c r="L185" s="186"/>
      <c r="M185" s="186"/>
      <c r="N185" s="186"/>
      <c r="O185" s="186"/>
      <c r="P185" s="186"/>
      <c r="Q185" s="186"/>
      <c r="R185" s="289" t="s">
        <v>1346</v>
      </c>
      <c r="S185" s="186"/>
      <c r="T185" s="186" t="s">
        <v>1752</v>
      </c>
      <c r="U185" s="186"/>
      <c r="V185" s="186"/>
      <c r="W185" s="186"/>
      <c r="X185">
        <v>21</v>
      </c>
      <c r="Z185" s="129" t="s">
        <v>1920</v>
      </c>
      <c r="AA185" s="30">
        <v>43449</v>
      </c>
      <c r="AB185" t="s">
        <v>1057</v>
      </c>
    </row>
    <row r="186" spans="1:28" ht="18.75" customHeight="1">
      <c r="A186" s="186"/>
      <c r="B186" s="186"/>
      <c r="C186" s="186"/>
      <c r="D186" s="186"/>
      <c r="E186" s="186" t="s">
        <v>59</v>
      </c>
      <c r="F186" s="186" t="s">
        <v>349</v>
      </c>
      <c r="G186" s="186" t="s">
        <v>247</v>
      </c>
      <c r="H186" s="186" t="s">
        <v>243</v>
      </c>
      <c r="I186" s="186"/>
      <c r="J186" s="186">
        <v>148</v>
      </c>
      <c r="K186" s="79" t="s">
        <v>680</v>
      </c>
      <c r="L186" s="186"/>
      <c r="M186" s="186"/>
      <c r="N186" s="186"/>
      <c r="O186" s="186"/>
      <c r="P186" s="186"/>
      <c r="Q186" s="186"/>
      <c r="R186" s="289" t="s">
        <v>1346</v>
      </c>
      <c r="S186" s="186"/>
      <c r="T186" s="186" t="s">
        <v>1756</v>
      </c>
      <c r="U186" s="186"/>
      <c r="V186" s="186"/>
      <c r="W186" s="186"/>
      <c r="X186">
        <v>22</v>
      </c>
      <c r="Z186" s="129" t="s">
        <v>1920</v>
      </c>
      <c r="AA186" s="30">
        <v>43449</v>
      </c>
      <c r="AB186" t="s">
        <v>1057</v>
      </c>
    </row>
    <row r="187" spans="1:28" ht="39.75" customHeight="1">
      <c r="A187" s="186"/>
      <c r="B187" s="186"/>
      <c r="C187" s="186"/>
      <c r="D187" s="186"/>
      <c r="E187" s="186" t="s">
        <v>59</v>
      </c>
      <c r="F187" s="186" t="s">
        <v>351</v>
      </c>
      <c r="G187" s="186" t="s">
        <v>247</v>
      </c>
      <c r="H187" s="186" t="s">
        <v>243</v>
      </c>
      <c r="I187" s="186"/>
      <c r="J187" s="186">
        <v>149</v>
      </c>
      <c r="K187" s="79" t="s">
        <v>680</v>
      </c>
      <c r="L187" s="186"/>
      <c r="M187" s="186"/>
      <c r="N187" s="186"/>
      <c r="O187" s="186"/>
      <c r="P187" s="186"/>
      <c r="Q187" s="186"/>
      <c r="R187" s="289" t="s">
        <v>1346</v>
      </c>
      <c r="S187" s="186"/>
      <c r="T187" s="186" t="s">
        <v>2361</v>
      </c>
      <c r="U187" s="186"/>
      <c r="V187" s="186"/>
      <c r="W187" s="186"/>
      <c r="X187">
        <v>23</v>
      </c>
      <c r="Z187" s="129" t="s">
        <v>1920</v>
      </c>
      <c r="AA187" s="30">
        <v>43449</v>
      </c>
      <c r="AB187" t="s">
        <v>1057</v>
      </c>
    </row>
    <row r="188" spans="1:28" ht="18.75" customHeight="1">
      <c r="A188" s="186"/>
      <c r="B188" s="186"/>
      <c r="C188" s="186" t="s">
        <v>1569</v>
      </c>
      <c r="D188" s="186">
        <v>1</v>
      </c>
      <c r="E188" s="186" t="s">
        <v>59</v>
      </c>
      <c r="F188" s="186" t="s">
        <v>320</v>
      </c>
      <c r="G188" s="186" t="s">
        <v>264</v>
      </c>
      <c r="H188" s="186" t="s">
        <v>243</v>
      </c>
      <c r="I188" s="186"/>
      <c r="J188" s="186">
        <v>160</v>
      </c>
      <c r="K188" s="79" t="s">
        <v>680</v>
      </c>
      <c r="L188" s="186"/>
      <c r="M188" s="75"/>
      <c r="N188" s="186"/>
      <c r="O188" s="186"/>
      <c r="P188" s="186"/>
      <c r="Q188" s="186"/>
      <c r="R188" s="289" t="s">
        <v>1346</v>
      </c>
      <c r="S188" s="186"/>
      <c r="T188" s="186" t="s">
        <v>320</v>
      </c>
      <c r="U188" s="186"/>
      <c r="V188" s="186"/>
      <c r="W188" s="186"/>
      <c r="X188">
        <v>15</v>
      </c>
      <c r="Z188" s="129" t="s">
        <v>1521</v>
      </c>
      <c r="AA188" s="30">
        <v>43173</v>
      </c>
      <c r="AB188" t="s">
        <v>1985</v>
      </c>
    </row>
    <row r="189" spans="1:28" ht="18.75" customHeight="1">
      <c r="A189" s="186"/>
      <c r="B189" s="186"/>
      <c r="C189" s="186"/>
      <c r="D189" s="186"/>
      <c r="E189" s="129" t="s">
        <v>55</v>
      </c>
      <c r="F189" s="129" t="s">
        <v>2365</v>
      </c>
      <c r="G189" s="186" t="s">
        <v>329</v>
      </c>
      <c r="H189" s="129" t="s">
        <v>243</v>
      </c>
      <c r="I189" s="186"/>
      <c r="J189" s="186"/>
      <c r="K189" s="79" t="s">
        <v>680</v>
      </c>
      <c r="L189" s="186"/>
      <c r="M189" s="186"/>
      <c r="N189" s="186"/>
      <c r="O189" s="186"/>
      <c r="P189" s="186"/>
      <c r="Q189" s="186"/>
      <c r="R189" s="186"/>
      <c r="S189" s="186"/>
      <c r="U189" s="186"/>
      <c r="V189" s="186"/>
      <c r="W189" s="186"/>
    </row>
    <row r="190" spans="1:28" ht="18.75" customHeight="1">
      <c r="A190" s="186"/>
      <c r="B190" s="186"/>
      <c r="C190" s="186"/>
      <c r="D190" s="186"/>
      <c r="E190" s="186" t="s">
        <v>59</v>
      </c>
      <c r="F190" s="186" t="s">
        <v>145</v>
      </c>
      <c r="G190" s="186" t="s">
        <v>250</v>
      </c>
      <c r="H190" s="186" t="s">
        <v>243</v>
      </c>
      <c r="I190" s="186"/>
      <c r="J190" s="186">
        <v>110</v>
      </c>
      <c r="K190" s="79" t="s">
        <v>680</v>
      </c>
      <c r="L190" s="186"/>
      <c r="M190" s="186"/>
      <c r="N190" s="186"/>
      <c r="O190" s="186"/>
      <c r="P190" s="186"/>
      <c r="Q190" s="186"/>
      <c r="R190" s="186"/>
      <c r="S190" s="186"/>
      <c r="T190" s="186" t="s">
        <v>2368</v>
      </c>
      <c r="U190" s="186"/>
      <c r="V190" s="186"/>
      <c r="W190" s="186"/>
      <c r="X190">
        <v>67</v>
      </c>
      <c r="Z190" s="129" t="s">
        <v>1920</v>
      </c>
      <c r="AA190" s="30">
        <v>43449</v>
      </c>
      <c r="AB190" t="s">
        <v>1057</v>
      </c>
    </row>
    <row r="191" spans="1:28" ht="18.75" customHeight="1">
      <c r="A191" s="186"/>
      <c r="B191" s="186"/>
      <c r="C191" s="186"/>
      <c r="D191" s="186"/>
      <c r="E191" s="186" t="s">
        <v>59</v>
      </c>
      <c r="F191" s="186" t="s">
        <v>643</v>
      </c>
      <c r="G191" s="186" t="s">
        <v>329</v>
      </c>
      <c r="H191" s="186" t="s">
        <v>243</v>
      </c>
      <c r="I191" s="186"/>
      <c r="J191" s="186">
        <v>111</v>
      </c>
      <c r="K191" s="79" t="s">
        <v>680</v>
      </c>
      <c r="L191" s="186"/>
      <c r="M191" s="186"/>
      <c r="N191" s="186"/>
      <c r="O191" s="186"/>
      <c r="P191" s="186"/>
      <c r="Q191" s="186"/>
      <c r="R191" s="186"/>
      <c r="S191" s="186"/>
      <c r="T191" s="186" t="s">
        <v>2371</v>
      </c>
      <c r="U191" s="186"/>
      <c r="V191" s="186"/>
      <c r="W191" s="186"/>
      <c r="X191">
        <v>103</v>
      </c>
      <c r="Z191" s="129" t="s">
        <v>1920</v>
      </c>
      <c r="AA191" s="30">
        <v>43449</v>
      </c>
      <c r="AB191" t="s">
        <v>1057</v>
      </c>
    </row>
    <row r="192" spans="1:28" ht="18.75" customHeight="1">
      <c r="A192" s="186"/>
      <c r="B192" s="186"/>
      <c r="C192" s="186"/>
      <c r="D192" s="186"/>
      <c r="E192" s="186" t="s">
        <v>55</v>
      </c>
      <c r="F192" s="186" t="s">
        <v>2372</v>
      </c>
      <c r="G192" s="186" t="s">
        <v>250</v>
      </c>
      <c r="H192" s="186" t="s">
        <v>243</v>
      </c>
      <c r="I192" s="186"/>
      <c r="J192" s="186">
        <v>2</v>
      </c>
      <c r="K192" s="79" t="s">
        <v>680</v>
      </c>
      <c r="L192" s="186"/>
      <c r="M192" s="186"/>
      <c r="N192" s="186"/>
      <c r="O192" s="186"/>
      <c r="P192" s="186"/>
      <c r="Q192" s="186"/>
      <c r="R192" s="186"/>
      <c r="S192" s="186"/>
      <c r="T192" s="186" t="s">
        <v>2373</v>
      </c>
      <c r="U192" s="186"/>
      <c r="V192" s="186"/>
      <c r="W192" s="186"/>
      <c r="Y192" t="s">
        <v>1917</v>
      </c>
    </row>
    <row r="193" spans="1:28" ht="18.75" customHeight="1">
      <c r="A193" s="186"/>
      <c r="B193" s="186"/>
      <c r="C193" s="186"/>
      <c r="D193" s="186"/>
      <c r="E193" s="186" t="s">
        <v>55</v>
      </c>
      <c r="F193" s="186" t="s">
        <v>355</v>
      </c>
      <c r="G193" s="186" t="s">
        <v>346</v>
      </c>
      <c r="H193" s="186" t="s">
        <v>243</v>
      </c>
      <c r="I193" s="186"/>
      <c r="J193" s="186">
        <v>153</v>
      </c>
      <c r="K193" s="79" t="s">
        <v>680</v>
      </c>
      <c r="L193" s="186"/>
      <c r="M193" s="186"/>
      <c r="N193" s="186"/>
      <c r="O193" s="186"/>
      <c r="P193" s="186"/>
      <c r="Q193" s="186"/>
      <c r="R193" s="289" t="s">
        <v>1346</v>
      </c>
      <c r="S193" s="186"/>
      <c r="T193" s="186" t="s">
        <v>1765</v>
      </c>
      <c r="U193" s="186"/>
      <c r="V193" s="186"/>
      <c r="W193" s="186"/>
      <c r="X193">
        <v>25</v>
      </c>
      <c r="Z193" s="129" t="s">
        <v>1920</v>
      </c>
      <c r="AA193" s="30">
        <v>43449</v>
      </c>
      <c r="AB193" t="s">
        <v>1057</v>
      </c>
    </row>
    <row r="194" spans="1:28" ht="18.75" customHeight="1">
      <c r="A194" s="186"/>
      <c r="B194" s="186"/>
      <c r="C194" s="186"/>
      <c r="D194" s="186"/>
      <c r="E194" s="186" t="s">
        <v>55</v>
      </c>
      <c r="F194" s="186" t="s">
        <v>2375</v>
      </c>
      <c r="G194" s="186" t="s">
        <v>329</v>
      </c>
      <c r="H194" s="186" t="s">
        <v>243</v>
      </c>
      <c r="I194" s="186"/>
      <c r="J194" s="186">
        <v>112</v>
      </c>
      <c r="K194" s="79" t="s">
        <v>680</v>
      </c>
      <c r="L194" s="186"/>
      <c r="M194" s="186"/>
      <c r="N194" s="186"/>
      <c r="O194" s="186"/>
      <c r="P194" s="186"/>
      <c r="Q194" s="186"/>
      <c r="R194" s="186"/>
      <c r="S194" s="186"/>
      <c r="T194" s="186" t="s">
        <v>2376</v>
      </c>
      <c r="U194" s="186"/>
      <c r="V194" s="186"/>
      <c r="W194" s="186"/>
      <c r="Y194" t="s">
        <v>1917</v>
      </c>
    </row>
    <row r="195" spans="1:28" ht="18.75" customHeight="1">
      <c r="A195" s="186"/>
      <c r="B195" s="186"/>
      <c r="C195" s="186"/>
      <c r="D195" s="186"/>
      <c r="E195" s="186" t="s">
        <v>59</v>
      </c>
      <c r="F195" s="186" t="s">
        <v>146</v>
      </c>
      <c r="G195" s="186" t="s">
        <v>432</v>
      </c>
      <c r="H195" s="186" t="s">
        <v>243</v>
      </c>
      <c r="I195" s="186"/>
      <c r="J195" s="186">
        <v>113</v>
      </c>
      <c r="K195" s="79" t="s">
        <v>680</v>
      </c>
      <c r="L195" s="186"/>
      <c r="M195" s="186"/>
      <c r="N195" s="186"/>
      <c r="O195" s="186"/>
      <c r="P195" s="186"/>
      <c r="Q195" s="186"/>
      <c r="R195" s="186"/>
      <c r="S195" s="186"/>
      <c r="T195" s="186" t="s">
        <v>2380</v>
      </c>
      <c r="U195" s="186"/>
      <c r="V195" s="186"/>
      <c r="W195" s="186"/>
      <c r="X195">
        <v>49</v>
      </c>
      <c r="Z195" s="129" t="s">
        <v>1920</v>
      </c>
      <c r="AA195" s="30">
        <v>43449</v>
      </c>
      <c r="AB195" t="s">
        <v>1057</v>
      </c>
    </row>
    <row r="196" spans="1:28" ht="18.75" customHeight="1">
      <c r="A196" s="186"/>
      <c r="B196" s="186"/>
      <c r="C196" s="186"/>
      <c r="D196" s="186"/>
      <c r="E196" s="186" t="s">
        <v>55</v>
      </c>
      <c r="F196" s="186" t="s">
        <v>434</v>
      </c>
      <c r="G196" s="186" t="s">
        <v>247</v>
      </c>
      <c r="H196" s="186" t="s">
        <v>243</v>
      </c>
      <c r="I196" s="186"/>
      <c r="J196" s="186">
        <v>217</v>
      </c>
      <c r="K196" s="79" t="s">
        <v>680</v>
      </c>
      <c r="L196" s="186"/>
      <c r="M196" s="186"/>
      <c r="N196" s="186"/>
      <c r="O196" s="186"/>
      <c r="P196" s="186"/>
      <c r="Q196" s="186"/>
      <c r="R196" s="186"/>
      <c r="S196" s="186"/>
      <c r="T196" s="90" t="s">
        <v>1767</v>
      </c>
      <c r="U196" s="90"/>
      <c r="V196" s="90"/>
      <c r="W196" s="90"/>
      <c r="Y196" t="s">
        <v>1917</v>
      </c>
    </row>
    <row r="197" spans="1:28" ht="18.75" customHeight="1">
      <c r="A197" s="186"/>
      <c r="B197" s="186"/>
      <c r="C197" s="186"/>
      <c r="D197" s="186"/>
      <c r="E197" s="186" t="s">
        <v>53</v>
      </c>
      <c r="F197" s="186" t="s">
        <v>1288</v>
      </c>
      <c r="G197" s="186" t="s">
        <v>535</v>
      </c>
      <c r="H197" s="186" t="s">
        <v>243</v>
      </c>
      <c r="I197" s="186"/>
      <c r="J197" s="186">
        <v>133</v>
      </c>
      <c r="K197" s="79" t="s">
        <v>680</v>
      </c>
      <c r="L197" s="186"/>
      <c r="M197" s="186"/>
      <c r="N197" s="186"/>
      <c r="O197" s="186"/>
      <c r="P197" s="186"/>
      <c r="Q197" s="186"/>
      <c r="R197" s="186"/>
      <c r="S197" s="186"/>
      <c r="T197" s="186" t="s">
        <v>1190</v>
      </c>
      <c r="U197" s="186"/>
      <c r="V197" s="186"/>
      <c r="W197" s="186"/>
      <c r="Y197" t="s">
        <v>1917</v>
      </c>
    </row>
    <row r="198" spans="1:28" ht="18.75" customHeight="1">
      <c r="A198" s="186"/>
      <c r="B198" s="186"/>
      <c r="C198" s="186"/>
      <c r="D198" s="186"/>
      <c r="E198" s="186" t="s">
        <v>53</v>
      </c>
      <c r="F198" s="186" t="s">
        <v>1289</v>
      </c>
      <c r="G198" s="186" t="s">
        <v>324</v>
      </c>
      <c r="H198" s="186" t="s">
        <v>243</v>
      </c>
      <c r="I198" s="186"/>
      <c r="J198" s="186">
        <v>114</v>
      </c>
      <c r="K198" s="79" t="s">
        <v>680</v>
      </c>
      <c r="L198" s="186"/>
      <c r="M198" s="186"/>
      <c r="N198" s="186"/>
      <c r="O198" s="186"/>
      <c r="P198" s="186"/>
      <c r="Q198" s="186"/>
      <c r="R198" s="186"/>
      <c r="S198" s="186"/>
      <c r="T198" s="186" t="s">
        <v>1190</v>
      </c>
      <c r="U198" s="186"/>
      <c r="V198" s="186"/>
      <c r="W198" s="186"/>
      <c r="Y198" t="s">
        <v>1917</v>
      </c>
    </row>
    <row r="199" spans="1:28" ht="18.75" customHeight="1">
      <c r="A199" s="186"/>
      <c r="B199" s="186"/>
      <c r="C199" s="186"/>
      <c r="D199" s="186"/>
      <c r="E199" s="186" t="s">
        <v>53</v>
      </c>
      <c r="F199" s="186" t="s">
        <v>1290</v>
      </c>
      <c r="G199" s="186" t="s">
        <v>432</v>
      </c>
      <c r="H199" s="186" t="s">
        <v>243</v>
      </c>
      <c r="I199" s="186"/>
      <c r="J199" s="186">
        <v>103</v>
      </c>
      <c r="K199" s="79" t="s">
        <v>680</v>
      </c>
      <c r="L199" s="186"/>
      <c r="M199" s="186"/>
      <c r="N199" s="186"/>
      <c r="O199" s="186"/>
      <c r="P199" s="186"/>
      <c r="Q199" s="186"/>
      <c r="R199" s="186"/>
      <c r="S199" s="186"/>
      <c r="T199" s="186" t="s">
        <v>1190</v>
      </c>
      <c r="U199" s="186"/>
      <c r="V199" s="186"/>
      <c r="W199" s="186"/>
      <c r="Y199" t="s">
        <v>1917</v>
      </c>
    </row>
    <row r="200" spans="1:28" ht="18.75" customHeight="1">
      <c r="A200" s="186"/>
      <c r="B200" s="186"/>
      <c r="C200" s="186"/>
      <c r="D200" s="186"/>
      <c r="E200" s="186" t="s">
        <v>53</v>
      </c>
      <c r="F200" s="186" t="s">
        <v>1291</v>
      </c>
      <c r="G200" s="186" t="s">
        <v>247</v>
      </c>
      <c r="H200" s="186" t="s">
        <v>243</v>
      </c>
      <c r="I200" s="186"/>
      <c r="J200" s="186">
        <v>104</v>
      </c>
      <c r="K200" s="79" t="s">
        <v>680</v>
      </c>
      <c r="L200" s="186"/>
      <c r="M200" s="186"/>
      <c r="N200" s="186"/>
      <c r="O200" s="186"/>
      <c r="P200" s="186"/>
      <c r="Q200" s="186"/>
      <c r="R200" s="186"/>
      <c r="S200" s="186"/>
      <c r="T200" s="186" t="s">
        <v>1190</v>
      </c>
      <c r="U200" s="186"/>
      <c r="V200" s="186"/>
      <c r="W200" s="186"/>
      <c r="Y200" t="s">
        <v>1917</v>
      </c>
    </row>
    <row r="201" spans="1:28" ht="18.75" customHeight="1">
      <c r="A201" s="186"/>
      <c r="B201" s="186"/>
      <c r="C201" s="186"/>
      <c r="D201" s="186"/>
      <c r="E201" s="186" t="s">
        <v>53</v>
      </c>
      <c r="F201" s="186" t="s">
        <v>1292</v>
      </c>
      <c r="G201" s="186" t="s">
        <v>535</v>
      </c>
      <c r="H201" s="186" t="s">
        <v>243</v>
      </c>
      <c r="I201" s="186"/>
      <c r="J201" s="186">
        <v>109</v>
      </c>
      <c r="K201" s="79" t="s">
        <v>680</v>
      </c>
      <c r="L201" s="186"/>
      <c r="M201" s="186"/>
      <c r="N201" s="186"/>
      <c r="O201" s="186"/>
      <c r="P201" s="186"/>
      <c r="Q201" s="186"/>
      <c r="R201" s="186"/>
      <c r="S201" s="186"/>
      <c r="T201" s="186" t="s">
        <v>1190</v>
      </c>
      <c r="U201" s="186"/>
      <c r="V201" s="186"/>
      <c r="W201" s="186"/>
      <c r="Y201" t="s">
        <v>1917</v>
      </c>
    </row>
    <row r="202" spans="1:28" ht="18.75" customHeight="1">
      <c r="A202" s="186"/>
      <c r="B202" s="186"/>
      <c r="C202" s="186"/>
      <c r="D202" s="186"/>
      <c r="E202" s="186" t="s">
        <v>53</v>
      </c>
      <c r="F202" s="186" t="s">
        <v>1293</v>
      </c>
      <c r="G202" s="186" t="s">
        <v>432</v>
      </c>
      <c r="H202" s="186" t="s">
        <v>243</v>
      </c>
      <c r="I202" s="186"/>
      <c r="J202" s="186">
        <v>115</v>
      </c>
      <c r="K202" s="79" t="s">
        <v>680</v>
      </c>
      <c r="L202" s="186"/>
      <c r="M202" s="186"/>
      <c r="N202" s="186"/>
      <c r="O202" s="186"/>
      <c r="P202" s="186"/>
      <c r="Q202" s="186"/>
      <c r="R202" s="186"/>
      <c r="S202" s="186"/>
      <c r="T202" s="186" t="s">
        <v>1190</v>
      </c>
      <c r="U202" s="186"/>
      <c r="V202" s="186"/>
      <c r="W202" s="186"/>
      <c r="Y202" t="s">
        <v>1917</v>
      </c>
    </row>
    <row r="203" spans="1:28" ht="18.75" customHeight="1">
      <c r="A203" s="186"/>
      <c r="B203" s="186"/>
      <c r="C203" s="186"/>
      <c r="D203" s="186"/>
      <c r="E203" s="186" t="s">
        <v>59</v>
      </c>
      <c r="F203" s="186" t="s">
        <v>491</v>
      </c>
      <c r="G203" s="186" t="s">
        <v>346</v>
      </c>
      <c r="H203" s="186" t="s">
        <v>243</v>
      </c>
      <c r="I203" s="186"/>
      <c r="J203" s="186">
        <v>116</v>
      </c>
      <c r="K203" s="79" t="s">
        <v>680</v>
      </c>
      <c r="L203" s="56"/>
      <c r="M203" s="123"/>
      <c r="N203" s="56"/>
      <c r="O203" s="123"/>
      <c r="P203" s="123"/>
      <c r="Q203" s="123"/>
      <c r="R203" s="122"/>
      <c r="S203" s="79">
        <v>1771</v>
      </c>
      <c r="T203" s="186" t="s">
        <v>2381</v>
      </c>
      <c r="U203" s="186"/>
      <c r="V203" s="186"/>
      <c r="W203" s="186"/>
      <c r="X203">
        <v>122</v>
      </c>
      <c r="Y203" t="s">
        <v>1917</v>
      </c>
      <c r="Z203" s="5" t="s">
        <v>1353</v>
      </c>
      <c r="AA203" s="6">
        <v>43551</v>
      </c>
      <c r="AB203" s="5" t="s">
        <v>1772</v>
      </c>
    </row>
    <row r="204" spans="1:28" ht="40.5" customHeight="1">
      <c r="A204" s="125"/>
      <c r="B204" s="125"/>
      <c r="C204" s="125"/>
      <c r="D204" s="125"/>
      <c r="E204" s="125" t="s">
        <v>55</v>
      </c>
      <c r="F204" s="125" t="s">
        <v>1773</v>
      </c>
      <c r="G204" s="125" t="s">
        <v>247</v>
      </c>
      <c r="H204" s="125" t="s">
        <v>243</v>
      </c>
      <c r="I204" s="125"/>
      <c r="J204" s="80">
        <v>182</v>
      </c>
      <c r="K204" s="79" t="s">
        <v>680</v>
      </c>
      <c r="L204" s="186"/>
      <c r="M204" s="42"/>
      <c r="N204" s="56"/>
      <c r="O204" s="57"/>
      <c r="P204" s="125"/>
      <c r="Q204" s="125"/>
      <c r="R204" s="125"/>
      <c r="S204" s="125"/>
      <c r="T204" s="126" t="s">
        <v>1776</v>
      </c>
      <c r="U204" s="126"/>
      <c r="V204" s="126"/>
      <c r="W204" s="126"/>
      <c r="X204" s="128"/>
      <c r="Y204" s="128" t="s">
        <v>1917</v>
      </c>
      <c r="Z204" s="452"/>
      <c r="AA204" s="77"/>
      <c r="AB204" s="128"/>
    </row>
    <row r="205" spans="1:28" ht="18.75" customHeight="1">
      <c r="A205" s="186"/>
      <c r="B205" s="186"/>
      <c r="C205" s="186"/>
      <c r="D205" s="186"/>
      <c r="E205" s="186" t="s">
        <v>59</v>
      </c>
      <c r="F205" s="186" t="s">
        <v>493</v>
      </c>
      <c r="G205" s="186" t="s">
        <v>242</v>
      </c>
      <c r="H205" s="186" t="s">
        <v>243</v>
      </c>
      <c r="I205" s="186"/>
      <c r="J205" s="186">
        <v>117</v>
      </c>
      <c r="K205" s="79" t="s">
        <v>680</v>
      </c>
      <c r="L205" s="56"/>
      <c r="M205" s="123"/>
      <c r="N205" s="56"/>
      <c r="O205" s="123"/>
      <c r="P205" s="123"/>
      <c r="Q205" s="123"/>
      <c r="R205" s="186"/>
      <c r="S205" s="79" t="s">
        <v>1781</v>
      </c>
      <c r="T205" s="186" t="s">
        <v>2383</v>
      </c>
      <c r="U205" s="186"/>
      <c r="V205" s="186"/>
      <c r="W205" s="186"/>
      <c r="X205">
        <v>123</v>
      </c>
      <c r="Y205" t="s">
        <v>1917</v>
      </c>
      <c r="Z205" s="5" t="s">
        <v>1353</v>
      </c>
      <c r="AA205" s="6">
        <v>43551</v>
      </c>
      <c r="AB205" s="5" t="s">
        <v>1783</v>
      </c>
    </row>
    <row r="206" spans="1:28" ht="18.75" customHeight="1">
      <c r="A206" s="186"/>
      <c r="B206" s="186"/>
      <c r="C206" s="186"/>
      <c r="D206" s="186"/>
      <c r="E206" s="186" t="s">
        <v>55</v>
      </c>
      <c r="F206" s="186" t="s">
        <v>2384</v>
      </c>
      <c r="G206" s="186" t="s">
        <v>346</v>
      </c>
      <c r="H206" s="186" t="s">
        <v>243</v>
      </c>
      <c r="I206" s="186"/>
      <c r="J206" s="186">
        <v>118</v>
      </c>
      <c r="K206" s="79" t="s">
        <v>680</v>
      </c>
      <c r="L206" s="186"/>
      <c r="M206" s="186"/>
      <c r="N206" s="186"/>
      <c r="O206" s="186"/>
      <c r="P206" s="186"/>
      <c r="Q206" s="186"/>
      <c r="R206" s="186"/>
      <c r="S206" s="186"/>
      <c r="T206" s="186" t="s">
        <v>2385</v>
      </c>
      <c r="U206" s="186"/>
      <c r="V206" s="186"/>
      <c r="W206" s="186"/>
      <c r="Y206" t="s">
        <v>1917</v>
      </c>
    </row>
    <row r="207" spans="1:28" ht="18.75" customHeight="1">
      <c r="A207" s="186"/>
      <c r="B207" s="186"/>
      <c r="C207" s="186"/>
      <c r="D207" s="186"/>
      <c r="E207" s="186" t="s">
        <v>55</v>
      </c>
      <c r="F207" s="186" t="s">
        <v>2386</v>
      </c>
      <c r="G207" s="186" t="s">
        <v>242</v>
      </c>
      <c r="H207" s="186" t="s">
        <v>243</v>
      </c>
      <c r="I207" s="186"/>
      <c r="J207" s="186">
        <v>119</v>
      </c>
      <c r="K207" s="79" t="s">
        <v>680</v>
      </c>
      <c r="L207" s="186"/>
      <c r="M207" s="186"/>
      <c r="N207" s="186"/>
      <c r="O207" s="186"/>
      <c r="P207" s="186"/>
      <c r="Q207" s="186"/>
      <c r="R207" s="186"/>
      <c r="S207" s="186"/>
      <c r="T207" s="186" t="s">
        <v>2387</v>
      </c>
      <c r="U207" s="186"/>
      <c r="V207" s="186"/>
      <c r="W207" s="186"/>
      <c r="Y207" t="s">
        <v>1917</v>
      </c>
    </row>
    <row r="208" spans="1:28" ht="18.75" customHeight="1">
      <c r="A208" s="186"/>
      <c r="B208" s="186"/>
      <c r="C208" s="186"/>
      <c r="D208" s="186"/>
      <c r="E208" s="186" t="s">
        <v>55</v>
      </c>
      <c r="F208" s="186" t="s">
        <v>2388</v>
      </c>
      <c r="G208" s="186" t="s">
        <v>432</v>
      </c>
      <c r="H208" s="186" t="s">
        <v>243</v>
      </c>
      <c r="I208" s="186"/>
      <c r="J208" s="186">
        <v>120</v>
      </c>
      <c r="K208" s="79" t="s">
        <v>680</v>
      </c>
      <c r="L208" s="186"/>
      <c r="M208" s="186"/>
      <c r="N208" s="186"/>
      <c r="O208" s="186"/>
      <c r="P208" s="186"/>
      <c r="Q208" s="186"/>
      <c r="R208" s="186"/>
      <c r="S208" s="186"/>
      <c r="T208" s="186" t="s">
        <v>2389</v>
      </c>
      <c r="U208" s="186"/>
      <c r="V208" s="186"/>
      <c r="W208" s="186"/>
      <c r="Y208" t="s">
        <v>1917</v>
      </c>
    </row>
    <row r="209" spans="1:28" ht="18.75" customHeight="1">
      <c r="A209" s="186"/>
      <c r="B209" s="186"/>
      <c r="C209" s="186"/>
      <c r="D209" s="186"/>
      <c r="E209" s="186" t="s">
        <v>59</v>
      </c>
      <c r="F209" s="186" t="s">
        <v>147</v>
      </c>
      <c r="G209" s="186" t="s">
        <v>242</v>
      </c>
      <c r="H209" s="186" t="s">
        <v>243</v>
      </c>
      <c r="I209" s="186"/>
      <c r="J209" s="186">
        <v>122</v>
      </c>
      <c r="K209" s="79" t="s">
        <v>680</v>
      </c>
      <c r="L209" s="186"/>
      <c r="M209" s="186"/>
      <c r="N209" s="186"/>
      <c r="O209" s="186"/>
      <c r="P209" s="186"/>
      <c r="Q209" s="186"/>
      <c r="R209" s="186"/>
      <c r="S209" s="186"/>
      <c r="T209" s="186" t="s">
        <v>2392</v>
      </c>
      <c r="U209" s="186"/>
      <c r="V209" s="186"/>
      <c r="W209" s="186"/>
      <c r="X209">
        <v>42</v>
      </c>
      <c r="Z209" s="129" t="s">
        <v>1920</v>
      </c>
      <c r="AA209" s="30">
        <v>43449</v>
      </c>
      <c r="AB209" t="s">
        <v>1057</v>
      </c>
    </row>
    <row r="210" spans="1:28" ht="18.75" customHeight="1">
      <c r="A210" s="186"/>
      <c r="B210" s="186"/>
      <c r="C210" s="186"/>
      <c r="D210" s="186"/>
      <c r="E210" s="186" t="s">
        <v>59</v>
      </c>
      <c r="F210" s="186" t="s">
        <v>588</v>
      </c>
      <c r="G210" s="186" t="s">
        <v>589</v>
      </c>
      <c r="H210" s="186" t="s">
        <v>243</v>
      </c>
      <c r="I210" s="186"/>
      <c r="J210" s="186">
        <v>121</v>
      </c>
      <c r="K210" s="79" t="s">
        <v>680</v>
      </c>
      <c r="L210" s="186"/>
      <c r="M210" s="186"/>
      <c r="N210" s="186"/>
      <c r="O210" s="186"/>
      <c r="P210" s="186"/>
      <c r="Q210" s="186"/>
      <c r="R210" s="186"/>
      <c r="S210" s="186"/>
      <c r="T210" s="186" t="s">
        <v>110</v>
      </c>
      <c r="U210" s="186"/>
      <c r="V210" s="186"/>
      <c r="W210" s="186"/>
      <c r="X210">
        <v>70</v>
      </c>
      <c r="Z210" s="129" t="s">
        <v>1920</v>
      </c>
      <c r="AA210" s="30">
        <v>43449</v>
      </c>
      <c r="AB210" t="s">
        <v>1057</v>
      </c>
    </row>
    <row r="211" spans="1:28" ht="18.75" customHeight="1">
      <c r="A211" s="186"/>
      <c r="B211" s="186"/>
      <c r="C211" s="186"/>
      <c r="D211" s="186"/>
      <c r="E211" s="186" t="s">
        <v>53</v>
      </c>
      <c r="F211" s="186" t="s">
        <v>123</v>
      </c>
      <c r="G211" s="186" t="s">
        <v>535</v>
      </c>
      <c r="H211" s="186" t="s">
        <v>243</v>
      </c>
      <c r="I211" s="186"/>
      <c r="J211" s="186">
        <v>135</v>
      </c>
      <c r="K211" s="79" t="s">
        <v>680</v>
      </c>
      <c r="L211" s="186"/>
      <c r="M211" s="186"/>
      <c r="N211" s="186"/>
      <c r="O211" s="186"/>
      <c r="P211" s="186"/>
      <c r="Q211" s="186"/>
      <c r="R211" s="186"/>
      <c r="S211" s="186"/>
      <c r="T211" s="186" t="s">
        <v>1190</v>
      </c>
      <c r="U211" s="186"/>
      <c r="V211" s="186"/>
      <c r="W211" s="186"/>
      <c r="Y211" t="s">
        <v>1917</v>
      </c>
    </row>
    <row r="212" spans="1:28" ht="18.75" customHeight="1">
      <c r="A212" s="186"/>
      <c r="B212" s="186"/>
      <c r="C212" s="186"/>
      <c r="D212" s="119"/>
      <c r="E212" s="186" t="s">
        <v>63</v>
      </c>
      <c r="F212" s="186" t="s">
        <v>122</v>
      </c>
      <c r="G212" s="186" t="s">
        <v>2396</v>
      </c>
      <c r="H212" s="186"/>
      <c r="I212" s="186"/>
      <c r="J212" s="186">
        <v>35</v>
      </c>
      <c r="K212" s="79" t="s">
        <v>680</v>
      </c>
      <c r="L212" s="186"/>
      <c r="M212" s="186"/>
      <c r="N212" s="186"/>
      <c r="O212" s="186"/>
      <c r="P212" s="186"/>
      <c r="Q212" s="186"/>
      <c r="R212" s="186"/>
      <c r="S212" s="186"/>
      <c r="T212" s="186" t="s">
        <v>1190</v>
      </c>
      <c r="U212" s="186"/>
      <c r="V212" s="186"/>
      <c r="W212" s="186"/>
      <c r="Y212" t="s">
        <v>1917</v>
      </c>
    </row>
    <row r="213" spans="1:28" ht="18.75" customHeight="1">
      <c r="A213" s="125"/>
      <c r="B213" s="125"/>
      <c r="C213" s="125"/>
      <c r="D213" s="125"/>
      <c r="E213" s="125" t="s">
        <v>55</v>
      </c>
      <c r="F213" s="125" t="s">
        <v>2397</v>
      </c>
      <c r="G213" s="125" t="s">
        <v>324</v>
      </c>
      <c r="H213" s="125" t="s">
        <v>243</v>
      </c>
      <c r="I213" s="125"/>
      <c r="J213" s="125">
        <v>137</v>
      </c>
      <c r="K213" s="79" t="s">
        <v>680</v>
      </c>
      <c r="L213" s="125"/>
      <c r="M213" s="125"/>
      <c r="N213" s="186"/>
      <c r="O213" s="125"/>
      <c r="P213" s="125"/>
      <c r="Q213" s="125"/>
      <c r="R213" s="125"/>
      <c r="S213" s="125"/>
      <c r="T213" s="125" t="s">
        <v>2398</v>
      </c>
      <c r="U213" s="125"/>
      <c r="V213" s="125"/>
      <c r="W213" s="125"/>
      <c r="X213" s="128"/>
      <c r="Y213" s="128" t="s">
        <v>1917</v>
      </c>
      <c r="Z213" s="128"/>
      <c r="AA213" s="128"/>
      <c r="AB213" s="128"/>
    </row>
    <row r="214" spans="1:28" ht="18.75" customHeight="1">
      <c r="A214" s="186"/>
      <c r="B214" s="186"/>
      <c r="C214" s="186" t="s">
        <v>1589</v>
      </c>
      <c r="D214" s="186">
        <v>1</v>
      </c>
      <c r="E214" s="186" t="s">
        <v>59</v>
      </c>
      <c r="F214" s="186" t="s">
        <v>316</v>
      </c>
      <c r="G214" s="186" t="s">
        <v>264</v>
      </c>
      <c r="H214" s="186" t="s">
        <v>243</v>
      </c>
      <c r="I214" s="186"/>
      <c r="J214" s="186">
        <v>157</v>
      </c>
      <c r="K214" s="79" t="s">
        <v>680</v>
      </c>
      <c r="L214" s="186"/>
      <c r="M214" s="186"/>
      <c r="N214" s="186"/>
      <c r="O214" s="186"/>
      <c r="P214" s="186"/>
      <c r="Q214" s="186"/>
      <c r="R214" s="289" t="s">
        <v>1346</v>
      </c>
      <c r="S214" s="186"/>
      <c r="T214" s="186" t="s">
        <v>1589</v>
      </c>
      <c r="U214" s="186"/>
      <c r="V214" s="186"/>
      <c r="W214" s="186"/>
      <c r="X214">
        <v>13</v>
      </c>
      <c r="Z214" s="129" t="s">
        <v>1920</v>
      </c>
      <c r="AA214" s="30">
        <v>43449</v>
      </c>
      <c r="AB214" t="s">
        <v>1057</v>
      </c>
    </row>
    <row r="215" spans="1:28" ht="15.75" customHeight="1">
      <c r="A215" s="186"/>
      <c r="B215" s="186"/>
      <c r="C215" s="186" t="s">
        <v>2400</v>
      </c>
      <c r="D215" s="186">
        <v>1</v>
      </c>
      <c r="E215" s="186" t="s">
        <v>61</v>
      </c>
      <c r="F215" s="186" t="s">
        <v>148</v>
      </c>
      <c r="G215" s="186" t="s">
        <v>255</v>
      </c>
      <c r="H215" s="186" t="s">
        <v>243</v>
      </c>
      <c r="I215" s="186"/>
      <c r="J215" s="186">
        <v>123</v>
      </c>
      <c r="K215" s="79" t="s">
        <v>680</v>
      </c>
      <c r="L215" s="186"/>
      <c r="M215" s="186"/>
      <c r="N215" s="186"/>
      <c r="O215" s="186"/>
      <c r="P215" s="186"/>
      <c r="Q215" s="186"/>
      <c r="R215" s="186"/>
      <c r="S215" s="186"/>
      <c r="T215" s="186" t="s">
        <v>2400</v>
      </c>
      <c r="U215" s="186"/>
      <c r="V215" s="186"/>
      <c r="W215" s="186"/>
      <c r="X215">
        <v>54</v>
      </c>
      <c r="Z215" s="129" t="s">
        <v>1920</v>
      </c>
      <c r="AA215" s="30">
        <v>43449</v>
      </c>
      <c r="AB215" t="s">
        <v>1057</v>
      </c>
    </row>
    <row r="216" spans="1:28" ht="18.75" customHeight="1">
      <c r="A216" s="186"/>
      <c r="B216" s="186"/>
      <c r="C216" s="186"/>
      <c r="D216" s="186"/>
      <c r="E216" s="186" t="s">
        <v>55</v>
      </c>
      <c r="F216" s="186" t="s">
        <v>2402</v>
      </c>
      <c r="G216" s="186" t="s">
        <v>255</v>
      </c>
      <c r="H216" s="186" t="s">
        <v>243</v>
      </c>
      <c r="I216" s="186"/>
      <c r="J216" s="186">
        <v>124</v>
      </c>
      <c r="K216" s="79" t="s">
        <v>680</v>
      </c>
      <c r="L216" s="186"/>
      <c r="M216" s="186"/>
      <c r="N216" s="186"/>
      <c r="O216" s="186"/>
      <c r="P216" s="186"/>
      <c r="Q216" s="186"/>
      <c r="R216" s="186"/>
      <c r="S216" s="186"/>
      <c r="T216" s="186" t="s">
        <v>2400</v>
      </c>
      <c r="U216" s="186"/>
      <c r="V216" s="186"/>
      <c r="W216" s="186"/>
      <c r="Y216" t="s">
        <v>1917</v>
      </c>
    </row>
    <row r="217" spans="1:28" ht="18.75" customHeight="1">
      <c r="A217" s="186"/>
      <c r="B217" s="186"/>
      <c r="C217" s="186"/>
      <c r="D217" s="186"/>
      <c r="E217" s="186" t="s">
        <v>55</v>
      </c>
      <c r="F217" s="186" t="s">
        <v>2403</v>
      </c>
      <c r="G217" s="186" t="s">
        <v>242</v>
      </c>
      <c r="H217" s="186" t="s">
        <v>243</v>
      </c>
      <c r="I217" s="186"/>
      <c r="J217" s="186">
        <v>126</v>
      </c>
      <c r="K217" s="79" t="s">
        <v>680</v>
      </c>
      <c r="L217" s="186"/>
      <c r="M217" s="186"/>
      <c r="N217" s="186"/>
      <c r="O217" s="186"/>
      <c r="P217" s="186"/>
      <c r="Q217" s="186"/>
      <c r="R217" s="186"/>
      <c r="S217" s="186"/>
      <c r="T217" s="186" t="s">
        <v>2404</v>
      </c>
      <c r="U217" s="186"/>
      <c r="V217" s="186"/>
      <c r="W217" s="186"/>
      <c r="Y217" t="s">
        <v>1917</v>
      </c>
    </row>
    <row r="218" spans="1:28" ht="18.75" customHeight="1">
      <c r="A218" s="186"/>
      <c r="B218" s="186"/>
      <c r="C218" s="186"/>
      <c r="D218" s="186"/>
      <c r="E218" s="186" t="s">
        <v>55</v>
      </c>
      <c r="F218" s="186" t="s">
        <v>2405</v>
      </c>
      <c r="G218" s="186" t="s">
        <v>329</v>
      </c>
      <c r="H218" s="186" t="s">
        <v>243</v>
      </c>
      <c r="I218" s="186"/>
      <c r="J218" s="186">
        <v>125</v>
      </c>
      <c r="K218" s="79" t="s">
        <v>680</v>
      </c>
      <c r="L218" s="186"/>
      <c r="M218" s="186"/>
      <c r="N218" s="186"/>
      <c r="O218" s="186"/>
      <c r="P218" s="186"/>
      <c r="Q218" s="186"/>
      <c r="R218" s="186"/>
      <c r="S218" s="186"/>
      <c r="T218" s="186" t="s">
        <v>2406</v>
      </c>
      <c r="U218" s="186"/>
      <c r="V218" s="186"/>
      <c r="W218" s="186"/>
      <c r="Y218" t="s">
        <v>1917</v>
      </c>
    </row>
    <row r="219" spans="1:28" ht="18.75" customHeight="1">
      <c r="A219" s="186"/>
      <c r="B219" s="186"/>
      <c r="C219" s="186"/>
      <c r="D219" s="186"/>
      <c r="E219" s="186" t="s">
        <v>55</v>
      </c>
      <c r="F219" s="186" t="s">
        <v>2407</v>
      </c>
      <c r="G219" s="186" t="s">
        <v>247</v>
      </c>
      <c r="H219" s="186" t="s">
        <v>243</v>
      </c>
      <c r="I219" s="186"/>
      <c r="J219" s="72">
        <v>175</v>
      </c>
      <c r="K219" s="79" t="s">
        <v>680</v>
      </c>
      <c r="L219" s="186"/>
      <c r="M219" s="186"/>
      <c r="N219" s="186"/>
      <c r="O219" s="186"/>
      <c r="P219" s="186"/>
      <c r="Q219" s="186"/>
      <c r="R219" s="186"/>
      <c r="S219" s="186"/>
      <c r="T219" s="90" t="s">
        <v>2409</v>
      </c>
      <c r="U219" s="90"/>
      <c r="V219" s="90"/>
      <c r="W219" s="90"/>
      <c r="Y219" t="s">
        <v>1917</v>
      </c>
    </row>
    <row r="220" spans="1:28" ht="18.75" customHeight="1">
      <c r="A220" s="186"/>
      <c r="B220" s="186"/>
      <c r="C220" s="186"/>
      <c r="D220" s="186"/>
      <c r="E220" s="186" t="s">
        <v>55</v>
      </c>
      <c r="F220" s="186" t="s">
        <v>2410</v>
      </c>
      <c r="G220" s="186" t="s">
        <v>346</v>
      </c>
      <c r="H220" s="186" t="s">
        <v>243</v>
      </c>
      <c r="I220" s="186"/>
      <c r="J220" s="72">
        <v>176</v>
      </c>
      <c r="K220" s="79" t="s">
        <v>680</v>
      </c>
      <c r="L220" s="186"/>
      <c r="M220" s="186"/>
      <c r="N220" s="186"/>
      <c r="O220" s="186"/>
      <c r="P220" s="186"/>
      <c r="Q220" s="186"/>
      <c r="R220" s="186"/>
      <c r="S220" s="186"/>
      <c r="T220" s="90" t="s">
        <v>2411</v>
      </c>
      <c r="U220" s="90"/>
      <c r="V220" s="90"/>
      <c r="W220" s="90"/>
      <c r="Y220" t="s">
        <v>1917</v>
      </c>
    </row>
    <row r="221" spans="1:28" ht="18.75" customHeight="1">
      <c r="A221" s="186"/>
      <c r="B221" s="186"/>
      <c r="C221" s="186"/>
      <c r="D221" s="186"/>
      <c r="E221" s="186" t="s">
        <v>55</v>
      </c>
      <c r="F221" s="186" t="s">
        <v>505</v>
      </c>
      <c r="G221" s="186" t="s">
        <v>247</v>
      </c>
      <c r="H221" s="186" t="s">
        <v>243</v>
      </c>
      <c r="I221" s="186"/>
      <c r="J221" s="72">
        <v>183</v>
      </c>
      <c r="K221" s="79" t="s">
        <v>680</v>
      </c>
      <c r="L221" s="186"/>
      <c r="M221" s="186"/>
      <c r="N221" s="186"/>
      <c r="O221" s="186"/>
      <c r="P221" s="186"/>
      <c r="Q221" s="186"/>
      <c r="R221" s="186"/>
      <c r="S221" s="186"/>
      <c r="T221" s="90" t="s">
        <v>2414</v>
      </c>
      <c r="U221" s="90"/>
      <c r="V221" s="90"/>
      <c r="W221" s="90"/>
      <c r="X221">
        <v>7</v>
      </c>
      <c r="Z221" s="129" t="s">
        <v>1920</v>
      </c>
      <c r="AA221" s="30">
        <v>43449</v>
      </c>
      <c r="AB221" t="s">
        <v>1057</v>
      </c>
    </row>
    <row r="222" spans="1:28" ht="18.75" customHeight="1">
      <c r="A222" s="186"/>
      <c r="B222" s="186"/>
      <c r="C222" s="186"/>
      <c r="D222" s="186"/>
      <c r="E222" s="186" t="s">
        <v>55</v>
      </c>
      <c r="F222" s="186" t="s">
        <v>677</v>
      </c>
      <c r="G222" s="186" t="s">
        <v>247</v>
      </c>
      <c r="H222" s="186" t="s">
        <v>243</v>
      </c>
      <c r="I222" s="186"/>
      <c r="J222" s="72">
        <v>215</v>
      </c>
      <c r="K222" s="79" t="s">
        <v>680</v>
      </c>
      <c r="L222" s="186"/>
      <c r="M222" s="186"/>
      <c r="N222" s="186"/>
      <c r="O222" s="186"/>
      <c r="P222" s="186"/>
      <c r="Q222" s="186"/>
      <c r="R222" s="186"/>
      <c r="S222" s="186"/>
      <c r="T222" s="90" t="s">
        <v>2416</v>
      </c>
      <c r="U222" s="90"/>
      <c r="V222" s="90"/>
      <c r="W222" s="90"/>
      <c r="X222">
        <v>46</v>
      </c>
      <c r="Z222" s="129" t="s">
        <v>2139</v>
      </c>
      <c r="AA222" s="30">
        <v>43546</v>
      </c>
      <c r="AB222" t="s">
        <v>2417</v>
      </c>
    </row>
    <row r="223" spans="1:28" ht="18.75" customHeight="1">
      <c r="A223" s="186"/>
      <c r="B223" s="186"/>
      <c r="C223" s="186"/>
      <c r="D223" s="186"/>
      <c r="E223" s="186" t="s">
        <v>55</v>
      </c>
      <c r="F223" s="186" t="s">
        <v>2418</v>
      </c>
      <c r="G223" s="186" t="s">
        <v>247</v>
      </c>
      <c r="H223" s="186" t="s">
        <v>243</v>
      </c>
      <c r="I223" s="186"/>
      <c r="J223" s="72">
        <v>216</v>
      </c>
      <c r="K223" s="79" t="s">
        <v>680</v>
      </c>
      <c r="L223" s="186"/>
      <c r="M223" s="186"/>
      <c r="N223" s="186"/>
      <c r="O223" s="186"/>
      <c r="P223" s="186"/>
      <c r="Q223" s="186"/>
      <c r="R223" s="186"/>
      <c r="S223" s="186"/>
      <c r="T223" s="90" t="s">
        <v>2419</v>
      </c>
      <c r="U223" s="90"/>
      <c r="V223" s="90"/>
      <c r="W223" s="90"/>
      <c r="Y223" t="s">
        <v>1917</v>
      </c>
    </row>
    <row r="224" spans="1:28" ht="18.75" customHeight="1">
      <c r="A224" s="186"/>
      <c r="B224" s="186"/>
      <c r="C224" s="186"/>
      <c r="D224" s="186"/>
      <c r="E224" s="186" t="s">
        <v>59</v>
      </c>
      <c r="F224" s="186" t="s">
        <v>378</v>
      </c>
      <c r="G224" s="186" t="s">
        <v>247</v>
      </c>
      <c r="H224" s="186" t="s">
        <v>243</v>
      </c>
      <c r="I224" s="186"/>
      <c r="J224" s="186">
        <v>166</v>
      </c>
      <c r="K224" s="79" t="s">
        <v>680</v>
      </c>
      <c r="L224" s="186"/>
      <c r="M224" s="186"/>
      <c r="N224" s="186"/>
      <c r="O224" s="186"/>
      <c r="P224" s="186"/>
      <c r="Q224" s="186"/>
      <c r="R224" s="289" t="s">
        <v>1346</v>
      </c>
      <c r="S224" s="186"/>
      <c r="T224" s="186" t="s">
        <v>2422</v>
      </c>
      <c r="U224" s="186"/>
      <c r="V224" s="186"/>
      <c r="W224" s="186"/>
      <c r="X224">
        <v>32</v>
      </c>
      <c r="Z224" s="129" t="s">
        <v>1920</v>
      </c>
      <c r="AA224" s="30">
        <v>43449</v>
      </c>
      <c r="AB224" t="s">
        <v>1057</v>
      </c>
    </row>
    <row r="225" spans="1:28" ht="18.75" customHeight="1">
      <c r="A225" s="186"/>
      <c r="B225" s="186"/>
      <c r="C225" s="186"/>
      <c r="D225" s="186"/>
      <c r="E225" s="186" t="s">
        <v>59</v>
      </c>
      <c r="F225" s="186" t="s">
        <v>380</v>
      </c>
      <c r="G225" s="186" t="s">
        <v>324</v>
      </c>
      <c r="H225" s="186" t="s">
        <v>243</v>
      </c>
      <c r="I225" s="186"/>
      <c r="J225" s="186">
        <v>167</v>
      </c>
      <c r="K225" s="79" t="s">
        <v>680</v>
      </c>
      <c r="L225" s="186"/>
      <c r="M225" s="186"/>
      <c r="N225" s="186"/>
      <c r="O225" s="186"/>
      <c r="P225" s="186"/>
      <c r="Q225" s="186"/>
      <c r="R225" s="289" t="s">
        <v>1346</v>
      </c>
      <c r="S225" s="186"/>
      <c r="T225" s="186" t="s">
        <v>1811</v>
      </c>
      <c r="U225" s="186"/>
      <c r="V225" s="186"/>
      <c r="W225" s="186"/>
      <c r="X225">
        <v>33</v>
      </c>
      <c r="Z225" s="129" t="s">
        <v>1920</v>
      </c>
      <c r="AA225" s="30">
        <v>43449</v>
      </c>
      <c r="AB225" t="s">
        <v>1057</v>
      </c>
    </row>
    <row r="226" spans="1:28" ht="18.75" customHeight="1">
      <c r="A226" s="186"/>
      <c r="B226" s="186"/>
      <c r="C226" s="186"/>
      <c r="D226" s="186"/>
      <c r="E226" s="186" t="s">
        <v>59</v>
      </c>
      <c r="F226" s="186" t="s">
        <v>2425</v>
      </c>
      <c r="G226" s="186" t="s">
        <v>346</v>
      </c>
      <c r="H226" s="186" t="s">
        <v>243</v>
      </c>
      <c r="I226" s="186"/>
      <c r="J226" s="186">
        <v>127</v>
      </c>
      <c r="K226" s="79" t="s">
        <v>680</v>
      </c>
      <c r="L226" s="186"/>
      <c r="M226" s="186"/>
      <c r="N226" s="186"/>
      <c r="O226" s="186"/>
      <c r="P226" s="186"/>
      <c r="Q226" s="186"/>
      <c r="R226" s="186"/>
      <c r="S226" s="186"/>
      <c r="T226" s="186" t="s">
        <v>2426</v>
      </c>
      <c r="U226" s="186"/>
      <c r="V226" s="186"/>
      <c r="W226" s="186"/>
      <c r="Y226" t="s">
        <v>1917</v>
      </c>
    </row>
    <row r="227" spans="1:28" ht="18.75" customHeight="1">
      <c r="A227" s="134"/>
      <c r="B227" s="134"/>
      <c r="C227" s="134"/>
      <c r="D227" s="134"/>
      <c r="E227" s="186" t="s">
        <v>53</v>
      </c>
      <c r="F227" s="186" t="s">
        <v>2427</v>
      </c>
      <c r="G227" s="186" t="s">
        <v>535</v>
      </c>
      <c r="H227" s="186" t="s">
        <v>243</v>
      </c>
      <c r="I227" s="186"/>
      <c r="J227" s="186">
        <v>130</v>
      </c>
      <c r="K227" s="79" t="s">
        <v>680</v>
      </c>
      <c r="L227" s="186"/>
      <c r="M227" s="186"/>
      <c r="N227" s="186"/>
      <c r="O227" s="186"/>
      <c r="P227" s="134"/>
      <c r="Q227" s="134"/>
      <c r="R227" s="134"/>
      <c r="S227" s="134"/>
      <c r="T227" s="134" t="s">
        <v>1190</v>
      </c>
      <c r="U227" s="134"/>
      <c r="V227" s="134"/>
      <c r="W227" s="134"/>
      <c r="X227" s="193"/>
      <c r="Y227" s="193" t="s">
        <v>1917</v>
      </c>
      <c r="Z227" s="193"/>
      <c r="AA227" s="193"/>
      <c r="AB227" s="193"/>
    </row>
    <row r="228" spans="1:28" ht="18.75" customHeight="1">
      <c r="A228" s="134"/>
      <c r="B228" s="134"/>
      <c r="C228" s="134"/>
      <c r="D228" s="134"/>
      <c r="E228" s="186" t="s">
        <v>55</v>
      </c>
      <c r="F228" s="186" t="s">
        <v>524</v>
      </c>
      <c r="G228" s="186" t="s">
        <v>429</v>
      </c>
      <c r="H228" s="186" t="s">
        <v>243</v>
      </c>
      <c r="I228" s="186"/>
      <c r="J228" s="186">
        <v>128</v>
      </c>
      <c r="K228" s="79" t="s">
        <v>680</v>
      </c>
      <c r="L228" s="186"/>
      <c r="M228" s="186"/>
      <c r="N228" s="186"/>
      <c r="O228" s="186"/>
      <c r="P228" s="134"/>
      <c r="Q228" s="134"/>
      <c r="R228" s="134"/>
      <c r="S228" s="134"/>
      <c r="T228" s="134" t="s">
        <v>2430</v>
      </c>
      <c r="U228" s="134"/>
      <c r="V228" s="134"/>
      <c r="W228" s="134"/>
      <c r="X228" s="193">
        <v>31</v>
      </c>
      <c r="Y228" s="193"/>
      <c r="Z228" s="290" t="s">
        <v>1920</v>
      </c>
      <c r="AA228" s="291">
        <v>43449</v>
      </c>
      <c r="AB228" s="193" t="s">
        <v>1057</v>
      </c>
    </row>
    <row r="229" spans="1:28" ht="18.75" customHeight="1">
      <c r="A229" s="186"/>
      <c r="B229" s="186"/>
      <c r="C229" s="186"/>
      <c r="D229" s="186"/>
      <c r="E229" s="186" t="s">
        <v>55</v>
      </c>
      <c r="F229" s="186" t="s">
        <v>2431</v>
      </c>
      <c r="G229" s="186" t="s">
        <v>346</v>
      </c>
      <c r="H229" s="186" t="s">
        <v>243</v>
      </c>
      <c r="I229" s="186"/>
      <c r="J229" s="186">
        <v>129</v>
      </c>
      <c r="K229" s="79" t="s">
        <v>680</v>
      </c>
      <c r="L229" s="186"/>
      <c r="M229" s="186"/>
      <c r="N229" s="186"/>
      <c r="O229" s="186"/>
      <c r="P229" s="186"/>
      <c r="Q229" s="186"/>
      <c r="R229" s="186"/>
      <c r="S229" s="186"/>
      <c r="T229" s="186" t="s">
        <v>2432</v>
      </c>
      <c r="U229" s="186"/>
      <c r="V229" s="186"/>
      <c r="W229" s="186"/>
      <c r="Y229" t="s">
        <v>1917</v>
      </c>
    </row>
  </sheetData>
  <autoFilter ref="A3:AB226" xr:uid="{00000000-0009-0000-0000-00000B000000}">
    <sortState xmlns:xlrd2="http://schemas.microsoft.com/office/spreadsheetml/2017/richdata2" ref="A3:AB226">
      <sortCondition descending="1" ref="E3:E226"/>
      <sortCondition ref="F3:F226"/>
      <sortCondition descending="1" ref="M3:M226"/>
      <sortCondition ref="G3:G226"/>
    </sortState>
  </autoFilter>
  <pageMargins left="0.7" right="0.7" top="0.75" bottom="0.75" header="0" footer="0"/>
  <pageSetup orientation="portrai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filterMode="1">
    <outlinePr summaryBelow="0" summaryRight="0"/>
  </sheetPr>
  <dimension ref="A1:Z103"/>
  <sheetViews>
    <sheetView workbookViewId="0">
      <pane xSplit="7" ySplit="2" topLeftCell="K8" activePane="bottomRight" state="frozen"/>
      <selection pane="topRight" activeCell="H1" sqref="H1"/>
      <selection pane="bottomLeft" activeCell="A3" sqref="A3"/>
      <selection pane="bottomRight" activeCell="K107" sqref="K107"/>
    </sheetView>
  </sheetViews>
  <sheetFormatPr defaultColWidth="14.453125" defaultRowHeight="15" customHeight="1"/>
  <cols>
    <col min="1" max="4" width="10.7265625" hidden="1" customWidth="1"/>
    <col min="5" max="5" width="14.81640625" customWidth="1"/>
    <col min="6" max="6" width="29.1796875" customWidth="1"/>
    <col min="7" max="7" width="24.7265625" customWidth="1"/>
    <col min="8" max="9" width="10.7265625" customWidth="1"/>
    <col min="10" max="10" width="7.81640625" customWidth="1"/>
    <col min="11" max="11" width="46.81640625" customWidth="1"/>
    <col min="12" max="12" width="56.54296875" customWidth="1"/>
    <col min="13" max="15" width="22.1796875" customWidth="1"/>
    <col min="16" max="16" width="20.453125" customWidth="1"/>
    <col min="17" max="17" width="38" customWidth="1"/>
    <col min="18" max="18" width="26.453125" customWidth="1"/>
    <col min="19" max="19" width="21.7265625" customWidth="1"/>
    <col min="20" max="26" width="17.26953125" customWidth="1"/>
  </cols>
  <sheetData>
    <row r="1" spans="1:26" ht="18.75" customHeight="1">
      <c r="A1" s="186"/>
      <c r="B1" s="186"/>
      <c r="C1" s="186"/>
      <c r="D1" s="186"/>
      <c r="E1" s="289" t="s">
        <v>1322</v>
      </c>
      <c r="F1" s="186"/>
      <c r="G1" s="186"/>
      <c r="H1" s="186"/>
      <c r="I1" s="186"/>
      <c r="J1" s="186"/>
      <c r="K1" s="207" t="s">
        <v>1038</v>
      </c>
      <c r="L1" s="207"/>
      <c r="M1" s="207"/>
      <c r="N1" s="207"/>
      <c r="O1" s="207"/>
      <c r="P1" s="207"/>
      <c r="Q1" s="186"/>
      <c r="R1" s="186"/>
      <c r="S1" s="186"/>
    </row>
    <row r="2" spans="1:26" ht="18.75" customHeight="1">
      <c r="A2" s="208" t="s">
        <v>1040</v>
      </c>
      <c r="B2" s="208" t="s">
        <v>1041</v>
      </c>
      <c r="C2" s="208" t="s">
        <v>1042</v>
      </c>
      <c r="D2" s="208" t="s">
        <v>1043</v>
      </c>
      <c r="E2" s="208" t="s">
        <v>224</v>
      </c>
      <c r="F2" s="208" t="s">
        <v>225</v>
      </c>
      <c r="G2" s="208" t="s">
        <v>226</v>
      </c>
      <c r="H2" s="208" t="s">
        <v>227</v>
      </c>
      <c r="I2" s="208" t="s">
        <v>1044</v>
      </c>
      <c r="J2" s="208" t="s">
        <v>1045</v>
      </c>
      <c r="K2" s="207" t="s">
        <v>100</v>
      </c>
      <c r="L2" s="207" t="s">
        <v>101</v>
      </c>
      <c r="M2" s="207" t="s">
        <v>102</v>
      </c>
      <c r="N2" s="207" t="s">
        <v>103</v>
      </c>
      <c r="O2" s="207" t="s">
        <v>104</v>
      </c>
      <c r="P2" s="207" t="s">
        <v>105</v>
      </c>
      <c r="Q2" s="208" t="s">
        <v>111</v>
      </c>
      <c r="R2" s="208" t="s">
        <v>112</v>
      </c>
      <c r="S2" s="208" t="s">
        <v>113</v>
      </c>
    </row>
    <row r="3" spans="1:26" ht="12.5" hidden="1">
      <c r="A3" s="213"/>
      <c r="B3" s="213"/>
      <c r="C3" s="210"/>
      <c r="D3" s="210"/>
      <c r="E3" s="186" t="s">
        <v>55</v>
      </c>
      <c r="F3" s="186" t="s">
        <v>2434</v>
      </c>
      <c r="G3" s="186" t="s">
        <v>429</v>
      </c>
      <c r="H3" s="186" t="s">
        <v>243</v>
      </c>
      <c r="I3" s="186"/>
      <c r="J3" s="186">
        <v>2</v>
      </c>
      <c r="K3" s="186"/>
      <c r="L3" s="186"/>
      <c r="M3" s="90"/>
      <c r="N3" s="90"/>
      <c r="O3" s="90"/>
      <c r="P3" s="186"/>
      <c r="Q3" s="186"/>
      <c r="R3" s="122"/>
      <c r="S3" s="186" t="s">
        <v>2435</v>
      </c>
    </row>
    <row r="4" spans="1:26" ht="31.5" hidden="1" customHeight="1">
      <c r="A4" s="88"/>
      <c r="B4" s="88"/>
      <c r="C4" s="89"/>
      <c r="D4" s="89"/>
      <c r="E4" s="186" t="s">
        <v>55</v>
      </c>
      <c r="F4" s="186" t="s">
        <v>936</v>
      </c>
      <c r="G4" s="186" t="s">
        <v>247</v>
      </c>
      <c r="H4" s="186" t="s">
        <v>243</v>
      </c>
      <c r="I4" s="186"/>
      <c r="J4" s="186">
        <v>3</v>
      </c>
      <c r="K4" s="186"/>
      <c r="L4" s="186"/>
      <c r="M4" s="90"/>
      <c r="N4" s="90"/>
      <c r="O4" s="90"/>
      <c r="P4" s="186"/>
      <c r="Q4" s="186"/>
      <c r="R4" s="122"/>
      <c r="S4" s="186" t="s">
        <v>2436</v>
      </c>
    </row>
    <row r="5" spans="1:26" ht="31.5" hidden="1" customHeight="1">
      <c r="A5" s="90"/>
      <c r="B5" s="90"/>
      <c r="C5" s="90"/>
      <c r="D5" s="90"/>
      <c r="E5" s="90" t="s">
        <v>59</v>
      </c>
      <c r="F5" s="90" t="s">
        <v>987</v>
      </c>
      <c r="G5" s="90" t="s">
        <v>247</v>
      </c>
      <c r="H5" s="90" t="s">
        <v>243</v>
      </c>
      <c r="I5" s="90"/>
      <c r="J5" s="90">
        <v>4</v>
      </c>
      <c r="K5" s="90"/>
      <c r="L5" s="90"/>
      <c r="M5" s="90"/>
      <c r="N5" s="90"/>
      <c r="O5" s="90"/>
      <c r="P5" s="90"/>
      <c r="Q5" s="90"/>
      <c r="R5" s="90"/>
      <c r="S5" s="90" t="s">
        <v>2437</v>
      </c>
      <c r="T5" s="90"/>
      <c r="U5" s="90"/>
      <c r="V5" s="90"/>
      <c r="W5" s="90"/>
      <c r="X5" s="90"/>
      <c r="Y5" s="90"/>
      <c r="Z5" s="90"/>
    </row>
    <row r="6" spans="1:26" ht="31.5" hidden="1" customHeight="1">
      <c r="A6" s="88"/>
      <c r="B6" s="88"/>
      <c r="C6" s="89"/>
      <c r="D6" s="89"/>
      <c r="E6" s="186" t="s">
        <v>55</v>
      </c>
      <c r="F6" s="186" t="s">
        <v>989</v>
      </c>
      <c r="G6" s="186" t="s">
        <v>247</v>
      </c>
      <c r="H6" s="186" t="s">
        <v>243</v>
      </c>
      <c r="I6" s="186"/>
      <c r="J6" s="186">
        <v>5</v>
      </c>
      <c r="K6" s="186"/>
      <c r="L6" s="186"/>
      <c r="M6" s="90"/>
      <c r="N6" s="90"/>
      <c r="O6" s="90"/>
      <c r="P6" s="186"/>
      <c r="Q6" s="186"/>
      <c r="R6" s="122"/>
      <c r="S6" s="186" t="s">
        <v>2436</v>
      </c>
    </row>
    <row r="7" spans="1:26" ht="31.5" hidden="1" customHeight="1">
      <c r="A7" s="125"/>
      <c r="B7" s="125"/>
      <c r="C7" s="125"/>
      <c r="D7" s="125"/>
      <c r="E7" s="125" t="s">
        <v>59</v>
      </c>
      <c r="F7" s="125" t="s">
        <v>2438</v>
      </c>
      <c r="G7" s="125" t="s">
        <v>247</v>
      </c>
      <c r="H7" s="125" t="s">
        <v>243</v>
      </c>
      <c r="I7" s="125"/>
      <c r="J7" s="125">
        <v>6</v>
      </c>
      <c r="K7" s="462"/>
      <c r="L7" s="125"/>
      <c r="M7" s="126"/>
      <c r="N7" s="126"/>
      <c r="O7" s="126"/>
      <c r="P7" s="125"/>
      <c r="Q7" s="125"/>
      <c r="R7" s="40"/>
      <c r="S7" s="125" t="s">
        <v>2439</v>
      </c>
      <c r="T7" s="453"/>
      <c r="U7" s="453"/>
      <c r="V7" s="453"/>
      <c r="W7" s="453"/>
      <c r="X7" s="453"/>
      <c r="Y7" s="453"/>
      <c r="Z7" s="453"/>
    </row>
    <row r="8" spans="1:26" ht="72.75" customHeight="1">
      <c r="A8" s="125"/>
      <c r="B8" s="125"/>
      <c r="C8" s="125"/>
      <c r="D8" s="125"/>
      <c r="E8" s="186" t="s">
        <v>55</v>
      </c>
      <c r="F8" s="186" t="s">
        <v>2440</v>
      </c>
      <c r="G8" s="186" t="s">
        <v>247</v>
      </c>
      <c r="H8" s="186" t="s">
        <v>243</v>
      </c>
      <c r="I8" s="186"/>
      <c r="J8" s="186">
        <v>7</v>
      </c>
      <c r="K8" s="441" t="s">
        <v>2441</v>
      </c>
      <c r="L8" s="123" t="s">
        <v>2442</v>
      </c>
      <c r="M8" s="90"/>
      <c r="N8" s="90"/>
      <c r="O8" s="90"/>
      <c r="P8" s="186"/>
      <c r="Q8" s="186"/>
      <c r="R8" s="122"/>
      <c r="S8" s="186" t="s">
        <v>2436</v>
      </c>
      <c r="T8" s="441"/>
      <c r="U8" s="441"/>
      <c r="V8" s="441"/>
      <c r="W8" s="441"/>
      <c r="X8" s="441"/>
      <c r="Y8" s="441"/>
      <c r="Z8" s="441"/>
    </row>
    <row r="9" spans="1:26" ht="31.5" hidden="1" customHeight="1">
      <c r="A9" s="88"/>
      <c r="B9" s="88"/>
      <c r="C9" s="89"/>
      <c r="D9" s="89"/>
      <c r="E9" s="186" t="s">
        <v>55</v>
      </c>
      <c r="F9" s="186" t="s">
        <v>2443</v>
      </c>
      <c r="G9" s="186" t="s">
        <v>247</v>
      </c>
      <c r="H9" s="186" t="s">
        <v>243</v>
      </c>
      <c r="I9" s="186"/>
      <c r="J9" s="186">
        <v>8</v>
      </c>
      <c r="K9" s="186"/>
      <c r="L9" s="186"/>
      <c r="M9" s="90"/>
      <c r="N9" s="90"/>
      <c r="O9" s="90"/>
      <c r="P9" s="186"/>
      <c r="Q9" s="186"/>
      <c r="R9" s="122"/>
      <c r="S9" s="186" t="s">
        <v>2436</v>
      </c>
    </row>
    <row r="10" spans="1:26" ht="12.5" hidden="1">
      <c r="A10" s="88"/>
      <c r="B10" s="88"/>
      <c r="C10" s="89"/>
      <c r="D10" s="89"/>
      <c r="E10" s="186" t="s">
        <v>55</v>
      </c>
      <c r="F10" s="186" t="s">
        <v>2444</v>
      </c>
      <c r="G10" s="186" t="s">
        <v>247</v>
      </c>
      <c r="H10" s="186" t="s">
        <v>243</v>
      </c>
      <c r="I10" s="186"/>
      <c r="J10" s="186">
        <v>9</v>
      </c>
      <c r="K10" s="186"/>
      <c r="L10" s="186"/>
      <c r="M10" s="90"/>
      <c r="N10" s="90"/>
      <c r="O10" s="90"/>
      <c r="P10" s="186"/>
      <c r="Q10" s="186"/>
      <c r="R10" s="122"/>
      <c r="S10" s="186" t="s">
        <v>2436</v>
      </c>
    </row>
    <row r="11" spans="1:26" ht="12.5" hidden="1">
      <c r="A11" s="88"/>
      <c r="B11" s="88"/>
      <c r="C11" s="89"/>
      <c r="D11" s="89"/>
      <c r="E11" s="186" t="s">
        <v>55</v>
      </c>
      <c r="F11" s="186" t="s">
        <v>2445</v>
      </c>
      <c r="G11" s="186" t="s">
        <v>247</v>
      </c>
      <c r="H11" s="186" t="s">
        <v>243</v>
      </c>
      <c r="I11" s="186"/>
      <c r="J11" s="186">
        <v>10</v>
      </c>
      <c r="K11" s="186"/>
      <c r="L11" s="186"/>
      <c r="M11" s="90"/>
      <c r="N11" s="90"/>
      <c r="O11" s="90"/>
      <c r="P11" s="186"/>
      <c r="Q11" s="186"/>
      <c r="R11" s="122"/>
      <c r="S11" s="186" t="s">
        <v>2436</v>
      </c>
    </row>
    <row r="12" spans="1:26" ht="12.5" hidden="1">
      <c r="A12" s="88"/>
      <c r="B12" s="88"/>
      <c r="C12" s="89"/>
      <c r="D12" s="89"/>
      <c r="E12" s="90" t="s">
        <v>59</v>
      </c>
      <c r="F12" s="186" t="s">
        <v>150</v>
      </c>
      <c r="G12" s="186" t="s">
        <v>247</v>
      </c>
      <c r="H12" s="186" t="s">
        <v>243</v>
      </c>
      <c r="I12" s="186"/>
      <c r="J12" s="186">
        <v>11</v>
      </c>
      <c r="K12" s="186"/>
      <c r="L12" s="186"/>
      <c r="M12" s="90"/>
      <c r="N12" s="90"/>
      <c r="O12" s="90"/>
      <c r="P12" s="186"/>
      <c r="Q12" s="186"/>
      <c r="R12" s="122"/>
      <c r="S12" s="186" t="s">
        <v>2446</v>
      </c>
    </row>
    <row r="13" spans="1:26" ht="12.5" hidden="1">
      <c r="A13" s="213"/>
      <c r="B13" s="213"/>
      <c r="C13" s="210"/>
      <c r="D13" s="210"/>
      <c r="E13" s="186" t="s">
        <v>59</v>
      </c>
      <c r="F13" s="186" t="s">
        <v>308</v>
      </c>
      <c r="G13" s="186" t="s">
        <v>247</v>
      </c>
      <c r="H13" s="186" t="s">
        <v>243</v>
      </c>
      <c r="I13" s="186"/>
      <c r="J13" s="186">
        <v>12</v>
      </c>
      <c r="K13" s="186"/>
      <c r="L13" s="186"/>
      <c r="M13" s="90"/>
      <c r="N13" s="90"/>
      <c r="O13" s="90"/>
      <c r="P13" s="186"/>
      <c r="Q13" s="186"/>
      <c r="R13" s="122"/>
      <c r="S13" s="186" t="s">
        <v>2447</v>
      </c>
    </row>
    <row r="14" spans="1:26" ht="18.75" hidden="1" customHeight="1">
      <c r="A14" s="213"/>
      <c r="B14" s="213"/>
      <c r="C14" s="210"/>
      <c r="D14" s="210"/>
      <c r="E14" s="186" t="s">
        <v>55</v>
      </c>
      <c r="F14" s="186" t="s">
        <v>310</v>
      </c>
      <c r="G14" s="186" t="s">
        <v>247</v>
      </c>
      <c r="H14" s="186" t="s">
        <v>243</v>
      </c>
      <c r="I14" s="186"/>
      <c r="J14" s="186">
        <v>13</v>
      </c>
      <c r="K14" s="186"/>
      <c r="L14" s="186"/>
      <c r="M14" s="90"/>
      <c r="N14" s="90"/>
      <c r="O14" s="90"/>
      <c r="P14" s="186"/>
      <c r="Q14" s="186"/>
      <c r="R14" s="122"/>
      <c r="S14" s="186" t="s">
        <v>2448</v>
      </c>
    </row>
    <row r="15" spans="1:26" ht="18.75" hidden="1" customHeight="1">
      <c r="A15" s="213"/>
      <c r="B15" s="213"/>
      <c r="C15" s="210"/>
      <c r="D15" s="210"/>
      <c r="E15" s="186" t="s">
        <v>53</v>
      </c>
      <c r="F15" s="186" t="s">
        <v>1189</v>
      </c>
      <c r="G15" s="186" t="s">
        <v>249</v>
      </c>
      <c r="H15" s="186" t="s">
        <v>243</v>
      </c>
      <c r="I15" s="186"/>
      <c r="J15" s="186">
        <v>14</v>
      </c>
      <c r="K15" s="186"/>
      <c r="L15" s="186"/>
      <c r="M15" s="90"/>
      <c r="N15" s="90"/>
      <c r="O15" s="90"/>
      <c r="P15" s="186"/>
      <c r="Q15" s="186"/>
      <c r="R15" s="122"/>
      <c r="S15" s="186" t="s">
        <v>1190</v>
      </c>
    </row>
    <row r="16" spans="1:26" ht="18.75" hidden="1" customHeight="1">
      <c r="A16" s="213"/>
      <c r="B16" s="213"/>
      <c r="C16" s="210"/>
      <c r="D16" s="210"/>
      <c r="E16" s="186" t="s">
        <v>53</v>
      </c>
      <c r="F16" s="186" t="s">
        <v>1191</v>
      </c>
      <c r="G16" s="186" t="s">
        <v>252</v>
      </c>
      <c r="H16" s="186" t="s">
        <v>243</v>
      </c>
      <c r="I16" s="186"/>
      <c r="J16" s="186">
        <v>15</v>
      </c>
      <c r="K16" s="186"/>
      <c r="L16" s="186"/>
      <c r="M16" s="90"/>
      <c r="N16" s="90"/>
      <c r="O16" s="90"/>
      <c r="P16" s="186"/>
      <c r="Q16" s="186"/>
      <c r="R16" s="122"/>
      <c r="S16" s="186" t="s">
        <v>1190</v>
      </c>
    </row>
    <row r="17" spans="1:26" ht="18.75" hidden="1" customHeight="1">
      <c r="A17" s="213"/>
      <c r="B17" s="213"/>
      <c r="C17" s="210"/>
      <c r="D17" s="210"/>
      <c r="E17" s="186" t="s">
        <v>53</v>
      </c>
      <c r="F17" s="186" t="s">
        <v>1192</v>
      </c>
      <c r="G17" s="186" t="s">
        <v>242</v>
      </c>
      <c r="H17" s="186" t="s">
        <v>243</v>
      </c>
      <c r="I17" s="186"/>
      <c r="J17" s="186">
        <v>16</v>
      </c>
      <c r="K17" s="186"/>
      <c r="L17" s="186"/>
      <c r="M17" s="90"/>
      <c r="N17" s="90"/>
      <c r="O17" s="90"/>
      <c r="P17" s="186"/>
      <c r="Q17" s="186"/>
      <c r="R17" s="122"/>
      <c r="S17" s="186" t="s">
        <v>1190</v>
      </c>
    </row>
    <row r="18" spans="1:26" ht="18.75" hidden="1" customHeight="1">
      <c r="A18" s="213"/>
      <c r="B18" s="213"/>
      <c r="C18" s="210"/>
      <c r="D18" s="210"/>
      <c r="E18" s="186" t="s">
        <v>53</v>
      </c>
      <c r="F18" s="186" t="s">
        <v>1193</v>
      </c>
      <c r="G18" s="186" t="s">
        <v>247</v>
      </c>
      <c r="H18" s="186" t="s">
        <v>243</v>
      </c>
      <c r="I18" s="186"/>
      <c r="J18" s="186">
        <v>17</v>
      </c>
      <c r="K18" s="186"/>
      <c r="L18" s="186"/>
      <c r="M18" s="90"/>
      <c r="N18" s="90"/>
      <c r="O18" s="90"/>
      <c r="P18" s="186"/>
      <c r="Q18" s="186"/>
      <c r="R18" s="122"/>
      <c r="S18" s="186" t="s">
        <v>1190</v>
      </c>
    </row>
    <row r="19" spans="1:26" ht="18.75" hidden="1" customHeight="1">
      <c r="A19" s="213"/>
      <c r="B19" s="213"/>
      <c r="C19" s="210"/>
      <c r="D19" s="210"/>
      <c r="E19" s="186" t="s">
        <v>53</v>
      </c>
      <c r="F19" s="186" t="s">
        <v>1194</v>
      </c>
      <c r="G19" s="186" t="s">
        <v>252</v>
      </c>
      <c r="H19" s="186" t="s">
        <v>243</v>
      </c>
      <c r="I19" s="186"/>
      <c r="J19" s="186">
        <v>18</v>
      </c>
      <c r="K19" s="186"/>
      <c r="L19" s="186"/>
      <c r="M19" s="90"/>
      <c r="N19" s="90"/>
      <c r="O19" s="90"/>
      <c r="P19" s="186"/>
      <c r="Q19" s="186"/>
      <c r="R19" s="122"/>
      <c r="S19" s="186" t="s">
        <v>1190</v>
      </c>
    </row>
    <row r="20" spans="1:26" ht="18.75" hidden="1" customHeight="1">
      <c r="A20" s="213"/>
      <c r="B20" s="213"/>
      <c r="C20" s="210"/>
      <c r="D20" s="210"/>
      <c r="E20" s="186" t="s">
        <v>53</v>
      </c>
      <c r="F20" s="186" t="s">
        <v>1195</v>
      </c>
      <c r="G20" s="186" t="s">
        <v>247</v>
      </c>
      <c r="H20" s="186" t="s">
        <v>243</v>
      </c>
      <c r="I20" s="186"/>
      <c r="J20" s="186">
        <v>19</v>
      </c>
      <c r="K20" s="186"/>
      <c r="L20" s="186"/>
      <c r="M20" s="90"/>
      <c r="N20" s="90"/>
      <c r="O20" s="90"/>
      <c r="P20" s="186"/>
      <c r="Q20" s="186"/>
      <c r="R20" s="122"/>
      <c r="S20" s="186" t="s">
        <v>1190</v>
      </c>
    </row>
    <row r="21" spans="1:26" ht="18.75" hidden="1" customHeight="1">
      <c r="A21" s="292"/>
      <c r="B21" s="292"/>
      <c r="C21" s="292"/>
      <c r="D21" s="292"/>
      <c r="E21" s="125" t="s">
        <v>53</v>
      </c>
      <c r="F21" s="125" t="s">
        <v>1956</v>
      </c>
      <c r="G21" s="125" t="s">
        <v>252</v>
      </c>
      <c r="H21" s="125" t="s">
        <v>243</v>
      </c>
      <c r="I21" s="125"/>
      <c r="J21" s="125">
        <v>20</v>
      </c>
      <c r="K21" s="125"/>
      <c r="L21" s="125"/>
      <c r="M21" s="126"/>
      <c r="N21" s="126"/>
      <c r="O21" s="126"/>
      <c r="P21" s="125"/>
      <c r="Q21" s="125"/>
      <c r="R21" s="40"/>
      <c r="S21" s="125" t="s">
        <v>1190</v>
      </c>
      <c r="T21" s="453"/>
      <c r="U21" s="453"/>
      <c r="V21" s="453"/>
      <c r="W21" s="453"/>
      <c r="X21" s="453"/>
      <c r="Y21" s="453"/>
      <c r="Z21" s="453"/>
    </row>
    <row r="22" spans="1:26" ht="18.75" hidden="1" customHeight="1">
      <c r="A22" s="292"/>
      <c r="B22" s="292"/>
      <c r="C22" s="292"/>
      <c r="D22" s="292"/>
      <c r="E22" s="125" t="s">
        <v>53</v>
      </c>
      <c r="F22" s="125" t="s">
        <v>1957</v>
      </c>
      <c r="G22" s="125" t="s">
        <v>252</v>
      </c>
      <c r="H22" s="125" t="s">
        <v>243</v>
      </c>
      <c r="I22" s="125"/>
      <c r="J22" s="125">
        <v>21</v>
      </c>
      <c r="K22" s="125"/>
      <c r="L22" s="125"/>
      <c r="M22" s="126"/>
      <c r="N22" s="126"/>
      <c r="O22" s="126"/>
      <c r="P22" s="125"/>
      <c r="Q22" s="125"/>
      <c r="R22" s="40"/>
      <c r="S22" s="125" t="s">
        <v>1190</v>
      </c>
      <c r="T22" s="453"/>
      <c r="U22" s="453"/>
      <c r="V22" s="453"/>
      <c r="W22" s="453"/>
      <c r="X22" s="453"/>
      <c r="Y22" s="453"/>
      <c r="Z22" s="453"/>
    </row>
    <row r="23" spans="1:26" ht="18.75" hidden="1" customHeight="1">
      <c r="A23" s="213"/>
      <c r="B23" s="213"/>
      <c r="C23" s="210"/>
      <c r="D23" s="210"/>
      <c r="E23" s="186" t="s">
        <v>53</v>
      </c>
      <c r="F23" s="186" t="s">
        <v>1196</v>
      </c>
      <c r="G23" s="186" t="s">
        <v>535</v>
      </c>
      <c r="H23" s="186" t="s">
        <v>903</v>
      </c>
      <c r="I23" s="186"/>
      <c r="J23" s="186">
        <v>22</v>
      </c>
      <c r="K23" s="186"/>
      <c r="L23" s="186"/>
      <c r="M23" s="90"/>
      <c r="N23" s="90"/>
      <c r="O23" s="90"/>
      <c r="P23" s="186"/>
      <c r="Q23" s="186"/>
      <c r="R23" s="122"/>
      <c r="S23" s="186" t="s">
        <v>1190</v>
      </c>
    </row>
    <row r="24" spans="1:26" ht="18.75" hidden="1" customHeight="1">
      <c r="A24" s="213"/>
      <c r="B24" s="213"/>
      <c r="C24" s="210"/>
      <c r="D24" s="210"/>
      <c r="E24" s="186" t="s">
        <v>55</v>
      </c>
      <c r="F24" s="186" t="s">
        <v>2449</v>
      </c>
      <c r="G24" s="186" t="s">
        <v>324</v>
      </c>
      <c r="H24" s="186" t="s">
        <v>243</v>
      </c>
      <c r="I24" s="186"/>
      <c r="J24" s="186">
        <v>23</v>
      </c>
      <c r="K24" s="186"/>
      <c r="L24" s="186"/>
      <c r="M24" s="90"/>
      <c r="N24" s="90"/>
      <c r="O24" s="90"/>
      <c r="P24" s="186"/>
      <c r="Q24" s="186"/>
      <c r="R24" s="122"/>
      <c r="S24" s="186" t="s">
        <v>2450</v>
      </c>
    </row>
    <row r="25" spans="1:26" ht="18.75" hidden="1" customHeight="1">
      <c r="A25" s="213"/>
      <c r="B25" s="213"/>
      <c r="C25" s="210"/>
      <c r="D25" s="210"/>
      <c r="E25" s="186" t="s">
        <v>59</v>
      </c>
      <c r="F25" s="186" t="s">
        <v>341</v>
      </c>
      <c r="G25" s="186" t="s">
        <v>247</v>
      </c>
      <c r="H25" s="186" t="s">
        <v>243</v>
      </c>
      <c r="I25" s="186"/>
      <c r="J25" s="186">
        <v>24</v>
      </c>
      <c r="K25" s="186"/>
      <c r="L25" s="186"/>
      <c r="M25" s="90"/>
      <c r="N25" s="90"/>
      <c r="O25" s="90"/>
      <c r="P25" s="186"/>
      <c r="Q25" s="186"/>
      <c r="R25" s="122"/>
      <c r="S25" s="186" t="s">
        <v>2451</v>
      </c>
    </row>
    <row r="26" spans="1:26" ht="18.75" hidden="1" customHeight="1">
      <c r="A26" s="213"/>
      <c r="B26" s="213"/>
      <c r="C26" s="210"/>
      <c r="D26" s="210"/>
      <c r="E26" s="186" t="s">
        <v>59</v>
      </c>
      <c r="F26" s="186" t="s">
        <v>343</v>
      </c>
      <c r="G26" s="186" t="s">
        <v>247</v>
      </c>
      <c r="H26" s="186" t="s">
        <v>243</v>
      </c>
      <c r="I26" s="186"/>
      <c r="J26" s="186">
        <v>25</v>
      </c>
      <c r="K26" s="186"/>
      <c r="L26" s="186"/>
      <c r="M26" s="90"/>
      <c r="N26" s="90"/>
      <c r="O26" s="90"/>
      <c r="P26" s="186"/>
      <c r="Q26" s="186"/>
      <c r="R26" s="122"/>
      <c r="S26" s="186" t="s">
        <v>1560</v>
      </c>
    </row>
    <row r="27" spans="1:26" ht="18.75" hidden="1" customHeight="1">
      <c r="A27" s="213"/>
      <c r="B27" s="213"/>
      <c r="C27" s="210"/>
      <c r="D27" s="210"/>
      <c r="E27" s="186" t="s">
        <v>59</v>
      </c>
      <c r="F27" s="186" t="s">
        <v>2452</v>
      </c>
      <c r="G27" s="186" t="s">
        <v>247</v>
      </c>
      <c r="H27" s="186" t="s">
        <v>243</v>
      </c>
      <c r="I27" s="186"/>
      <c r="J27" s="186">
        <v>26</v>
      </c>
      <c r="K27" s="186"/>
      <c r="L27" s="186"/>
      <c r="M27" s="90"/>
      <c r="N27" s="90"/>
      <c r="O27" s="90"/>
      <c r="P27" s="186"/>
      <c r="Q27" s="186"/>
      <c r="R27" s="122"/>
      <c r="S27" s="186" t="s">
        <v>2453</v>
      </c>
    </row>
    <row r="28" spans="1:26" ht="18.75" hidden="1" customHeight="1">
      <c r="A28" s="213"/>
      <c r="B28" s="213"/>
      <c r="C28" s="210"/>
      <c r="D28" s="210"/>
      <c r="E28" s="186" t="s">
        <v>59</v>
      </c>
      <c r="F28" s="186" t="s">
        <v>318</v>
      </c>
      <c r="G28" s="186" t="s">
        <v>264</v>
      </c>
      <c r="H28" s="186" t="s">
        <v>243</v>
      </c>
      <c r="I28" s="186"/>
      <c r="J28" s="186">
        <v>27</v>
      </c>
      <c r="K28" s="186"/>
      <c r="L28" s="186"/>
      <c r="M28" s="90"/>
      <c r="N28" s="90"/>
      <c r="O28" s="90"/>
      <c r="P28" s="186"/>
      <c r="Q28" s="186"/>
      <c r="R28" s="122"/>
      <c r="S28" s="186" t="s">
        <v>318</v>
      </c>
    </row>
    <row r="29" spans="1:26" ht="18.75" hidden="1" customHeight="1">
      <c r="A29" s="213"/>
      <c r="B29" s="213"/>
      <c r="C29" s="210"/>
      <c r="D29" s="210"/>
      <c r="E29" s="186" t="s">
        <v>55</v>
      </c>
      <c r="F29" s="186" t="s">
        <v>2454</v>
      </c>
      <c r="G29" s="186" t="s">
        <v>264</v>
      </c>
      <c r="H29" s="186" t="s">
        <v>243</v>
      </c>
      <c r="I29" s="186"/>
      <c r="J29" s="186">
        <v>28</v>
      </c>
      <c r="K29" s="186"/>
      <c r="L29" s="186"/>
      <c r="M29" s="90"/>
      <c r="N29" s="90"/>
      <c r="O29" s="90"/>
      <c r="P29" s="186"/>
      <c r="Q29" s="186"/>
      <c r="R29" s="122"/>
      <c r="S29" s="186" t="s">
        <v>2455</v>
      </c>
    </row>
    <row r="30" spans="1:26" ht="18.75" hidden="1" customHeight="1">
      <c r="A30" s="213"/>
      <c r="B30" s="213"/>
      <c r="C30" s="210"/>
      <c r="D30" s="210"/>
      <c r="E30" s="186" t="s">
        <v>55</v>
      </c>
      <c r="F30" s="186" t="s">
        <v>2456</v>
      </c>
      <c r="G30" s="186" t="s">
        <v>255</v>
      </c>
      <c r="H30" s="186" t="s">
        <v>243</v>
      </c>
      <c r="I30" s="186"/>
      <c r="J30" s="186">
        <v>29</v>
      </c>
      <c r="K30" s="186"/>
      <c r="L30" s="186"/>
      <c r="M30" s="90"/>
      <c r="N30" s="90"/>
      <c r="O30" s="90"/>
      <c r="P30" s="186"/>
      <c r="Q30" s="186"/>
      <c r="R30" s="122"/>
      <c r="S30" s="186" t="s">
        <v>2457</v>
      </c>
    </row>
    <row r="31" spans="1:26" ht="18.75" hidden="1" customHeight="1">
      <c r="A31" s="213"/>
      <c r="B31" s="213"/>
      <c r="C31" s="210"/>
      <c r="D31" s="210"/>
      <c r="E31" s="186" t="s">
        <v>55</v>
      </c>
      <c r="F31" s="186" t="s">
        <v>2458</v>
      </c>
      <c r="G31" s="186" t="s">
        <v>255</v>
      </c>
      <c r="H31" s="186" t="s">
        <v>243</v>
      </c>
      <c r="I31" s="186"/>
      <c r="J31" s="186">
        <v>30</v>
      </c>
      <c r="K31" s="186"/>
      <c r="L31" s="186"/>
      <c r="M31" s="90"/>
      <c r="N31" s="90"/>
      <c r="O31" s="90"/>
      <c r="P31" s="186"/>
      <c r="Q31" s="186"/>
      <c r="R31" s="122"/>
      <c r="S31" s="186" t="s">
        <v>2459</v>
      </c>
    </row>
    <row r="32" spans="1:26" ht="36.75" customHeight="1">
      <c r="A32" s="248"/>
      <c r="B32" s="248"/>
      <c r="C32" s="248"/>
      <c r="D32" s="248"/>
      <c r="E32" s="90" t="s">
        <v>61</v>
      </c>
      <c r="F32" s="90" t="s">
        <v>126</v>
      </c>
      <c r="G32" s="90" t="s">
        <v>242</v>
      </c>
      <c r="H32" s="90" t="s">
        <v>243</v>
      </c>
      <c r="I32" s="90"/>
      <c r="J32" s="90">
        <v>31</v>
      </c>
      <c r="K32" s="441" t="s">
        <v>2460</v>
      </c>
      <c r="L32" s="90" t="s">
        <v>2461</v>
      </c>
      <c r="M32" s="90"/>
      <c r="N32" s="121"/>
      <c r="O32" s="90"/>
      <c r="P32" s="90"/>
      <c r="Q32" s="90"/>
      <c r="R32" s="90"/>
      <c r="S32" s="90" t="s">
        <v>2462</v>
      </c>
      <c r="T32" s="90"/>
      <c r="U32" s="90"/>
      <c r="V32" s="90"/>
      <c r="W32" s="90"/>
      <c r="X32" s="90"/>
      <c r="Y32" s="90"/>
      <c r="Z32" s="90"/>
    </row>
    <row r="33" spans="1:26" ht="18.75" hidden="1" customHeight="1">
      <c r="A33" s="213"/>
      <c r="B33" s="213"/>
      <c r="C33" s="210"/>
      <c r="D33" s="210"/>
      <c r="E33" s="186" t="s">
        <v>59</v>
      </c>
      <c r="F33" s="186" t="s">
        <v>2463</v>
      </c>
      <c r="G33" s="186" t="s">
        <v>242</v>
      </c>
      <c r="H33" s="186" t="s">
        <v>243</v>
      </c>
      <c r="I33" s="186"/>
      <c r="J33" s="186">
        <v>32</v>
      </c>
      <c r="K33" s="186"/>
      <c r="L33" s="186"/>
      <c r="M33" s="90"/>
      <c r="N33" s="90"/>
      <c r="O33" s="90"/>
      <c r="P33" s="186"/>
      <c r="Q33" s="186"/>
      <c r="R33" s="122"/>
      <c r="S33" s="186" t="s">
        <v>2464</v>
      </c>
    </row>
    <row r="34" spans="1:26" ht="18.75" hidden="1" customHeight="1">
      <c r="A34" s="213"/>
      <c r="B34" s="213"/>
      <c r="C34" s="210"/>
      <c r="D34" s="210"/>
      <c r="E34" s="186" t="s">
        <v>55</v>
      </c>
      <c r="F34" s="186" t="s">
        <v>2465</v>
      </c>
      <c r="G34" s="186" t="s">
        <v>255</v>
      </c>
      <c r="H34" s="186" t="s">
        <v>243</v>
      </c>
      <c r="I34" s="186"/>
      <c r="J34" s="186">
        <v>33</v>
      </c>
      <c r="K34" s="186"/>
      <c r="L34" s="186"/>
      <c r="M34" s="90"/>
      <c r="N34" s="90"/>
      <c r="O34" s="90"/>
      <c r="P34" s="186"/>
      <c r="Q34" s="186"/>
      <c r="R34" s="122"/>
      <c r="S34" s="186" t="s">
        <v>2466</v>
      </c>
    </row>
    <row r="35" spans="1:26" ht="18.75" hidden="1" customHeight="1">
      <c r="A35" s="213"/>
      <c r="B35" s="213"/>
      <c r="C35" s="210"/>
      <c r="D35" s="210"/>
      <c r="E35" s="186" t="s">
        <v>59</v>
      </c>
      <c r="F35" s="186" t="s">
        <v>2467</v>
      </c>
      <c r="G35" s="186" t="s">
        <v>2468</v>
      </c>
      <c r="H35" s="186" t="s">
        <v>243</v>
      </c>
      <c r="I35" s="186"/>
      <c r="J35" s="186">
        <v>34</v>
      </c>
      <c r="K35" s="186"/>
      <c r="L35" s="186"/>
      <c r="M35" s="90"/>
      <c r="N35" s="90"/>
      <c r="O35" s="90"/>
      <c r="P35" s="186"/>
      <c r="Q35" s="186"/>
      <c r="R35" s="122"/>
      <c r="S35" s="186" t="s">
        <v>2469</v>
      </c>
    </row>
    <row r="36" spans="1:26" ht="18.75" hidden="1" customHeight="1">
      <c r="A36" s="213"/>
      <c r="B36" s="213"/>
      <c r="C36" s="210"/>
      <c r="D36" s="210"/>
      <c r="E36" s="186" t="s">
        <v>53</v>
      </c>
      <c r="F36" s="186" t="s">
        <v>124</v>
      </c>
      <c r="G36" s="186" t="s">
        <v>535</v>
      </c>
      <c r="H36" s="186" t="s">
        <v>903</v>
      </c>
      <c r="I36" s="186"/>
      <c r="J36" s="186">
        <v>1</v>
      </c>
      <c r="K36" s="186"/>
      <c r="L36" s="186"/>
      <c r="M36" s="90"/>
      <c r="N36" s="90"/>
      <c r="O36" s="90"/>
      <c r="P36" s="186"/>
      <c r="Q36" s="186"/>
      <c r="R36" s="122"/>
      <c r="S36" s="186" t="s">
        <v>1190</v>
      </c>
    </row>
    <row r="37" spans="1:26" ht="18.75" hidden="1" customHeight="1">
      <c r="A37" s="213"/>
      <c r="B37" s="213"/>
      <c r="C37" s="210"/>
      <c r="D37" s="210"/>
      <c r="E37" s="186" t="s">
        <v>59</v>
      </c>
      <c r="F37" s="186" t="s">
        <v>2470</v>
      </c>
      <c r="G37" s="186" t="s">
        <v>2471</v>
      </c>
      <c r="H37" s="186"/>
      <c r="I37" s="186"/>
      <c r="J37" s="186"/>
      <c r="K37" s="186"/>
      <c r="L37" s="186"/>
      <c r="M37" s="90"/>
      <c r="N37" s="90"/>
      <c r="O37" s="90"/>
      <c r="P37" s="186"/>
      <c r="Q37" s="122"/>
      <c r="R37" s="123"/>
      <c r="S37" t="s">
        <v>2472</v>
      </c>
    </row>
    <row r="38" spans="1:26" ht="18.75" hidden="1" customHeight="1">
      <c r="A38" s="213"/>
      <c r="B38" s="213"/>
      <c r="C38" s="210"/>
      <c r="D38" s="210"/>
      <c r="E38" s="186" t="s">
        <v>59</v>
      </c>
      <c r="F38" s="186" t="s">
        <v>322</v>
      </c>
      <c r="G38" s="186" t="s">
        <v>264</v>
      </c>
      <c r="H38" s="186" t="s">
        <v>243</v>
      </c>
      <c r="I38" s="186"/>
      <c r="J38" s="186">
        <v>35</v>
      </c>
      <c r="K38" s="186"/>
      <c r="L38" s="186"/>
      <c r="M38" s="90"/>
      <c r="N38" s="90"/>
      <c r="O38" s="90"/>
      <c r="P38" s="186"/>
      <c r="Q38" s="186"/>
      <c r="R38" s="122"/>
      <c r="S38" s="186" t="s">
        <v>322</v>
      </c>
    </row>
    <row r="39" spans="1:26" ht="18.75" hidden="1" customHeight="1">
      <c r="A39" s="213"/>
      <c r="B39" s="213"/>
      <c r="C39" s="210"/>
      <c r="D39" s="210"/>
      <c r="E39" s="186" t="s">
        <v>55</v>
      </c>
      <c r="F39" s="186" t="s">
        <v>2473</v>
      </c>
      <c r="G39" s="186" t="s">
        <v>252</v>
      </c>
      <c r="H39" s="186" t="s">
        <v>243</v>
      </c>
      <c r="I39" s="186"/>
      <c r="J39" s="186">
        <v>36</v>
      </c>
      <c r="K39" s="186"/>
      <c r="L39" s="186"/>
      <c r="M39" s="90"/>
      <c r="N39" s="90"/>
      <c r="O39" s="90"/>
      <c r="P39" s="186"/>
      <c r="Q39" s="186"/>
      <c r="R39" s="122"/>
      <c r="S39" s="186" t="s">
        <v>2474</v>
      </c>
    </row>
    <row r="40" spans="1:26" ht="18.75" hidden="1" customHeight="1">
      <c r="A40" s="213"/>
      <c r="B40" s="213"/>
      <c r="C40" s="210"/>
      <c r="D40" s="210"/>
      <c r="E40" s="186" t="s">
        <v>55</v>
      </c>
      <c r="F40" s="186" t="s">
        <v>2475</v>
      </c>
      <c r="G40" s="186" t="s">
        <v>2476</v>
      </c>
      <c r="H40" s="186" t="s">
        <v>243</v>
      </c>
      <c r="I40" s="186"/>
      <c r="J40" s="186">
        <v>37</v>
      </c>
      <c r="K40" s="186"/>
      <c r="L40" s="186"/>
      <c r="M40" s="90"/>
      <c r="N40" s="90"/>
      <c r="O40" s="90"/>
      <c r="P40" s="186"/>
      <c r="Q40" s="186"/>
      <c r="R40" s="122"/>
      <c r="S40" s="186" t="s">
        <v>2477</v>
      </c>
    </row>
    <row r="41" spans="1:26" ht="18.75" hidden="1" customHeight="1">
      <c r="A41" s="213"/>
      <c r="B41" s="213"/>
      <c r="C41" s="210"/>
      <c r="D41" s="210"/>
      <c r="E41" s="186" t="s">
        <v>59</v>
      </c>
      <c r="F41" s="186" t="s">
        <v>2478</v>
      </c>
      <c r="G41" s="186" t="s">
        <v>2479</v>
      </c>
      <c r="H41" s="186"/>
      <c r="I41" s="186"/>
      <c r="J41" s="186"/>
      <c r="K41" s="186"/>
      <c r="L41" s="186"/>
      <c r="M41" s="90"/>
      <c r="N41" s="90"/>
      <c r="O41" s="90"/>
      <c r="P41" s="186"/>
      <c r="Q41" s="122"/>
      <c r="R41" s="123"/>
      <c r="S41" t="s">
        <v>2480</v>
      </c>
    </row>
    <row r="42" spans="1:26" ht="18.75" hidden="1" customHeight="1">
      <c r="A42" s="248"/>
      <c r="B42" s="248"/>
      <c r="C42" s="248"/>
      <c r="D42" s="248"/>
      <c r="E42" s="90" t="s">
        <v>59</v>
      </c>
      <c r="F42" s="90" t="s">
        <v>155</v>
      </c>
      <c r="G42" s="90" t="s">
        <v>429</v>
      </c>
      <c r="H42" s="90" t="s">
        <v>243</v>
      </c>
      <c r="I42" s="90"/>
      <c r="J42" s="90">
        <v>38</v>
      </c>
      <c r="K42" s="90"/>
      <c r="L42" s="90"/>
      <c r="M42" s="90"/>
      <c r="N42" s="90"/>
      <c r="O42" s="90"/>
      <c r="P42" s="90"/>
      <c r="Q42" s="90"/>
      <c r="R42" s="90"/>
      <c r="S42" s="90" t="s">
        <v>2481</v>
      </c>
      <c r="T42" s="90"/>
      <c r="U42" s="90"/>
      <c r="V42" s="90"/>
      <c r="W42" s="90"/>
      <c r="X42" s="90"/>
      <c r="Y42" s="90"/>
      <c r="Z42" s="90"/>
    </row>
    <row r="43" spans="1:26" ht="18.75" hidden="1" customHeight="1">
      <c r="A43" s="213"/>
      <c r="B43" s="213"/>
      <c r="C43" s="210"/>
      <c r="D43" s="210"/>
      <c r="E43" s="186" t="s">
        <v>59</v>
      </c>
      <c r="F43" s="186" t="s">
        <v>2482</v>
      </c>
      <c r="G43" s="186" t="s">
        <v>1855</v>
      </c>
      <c r="H43" s="186"/>
      <c r="I43" s="186"/>
      <c r="J43" s="186"/>
      <c r="K43" s="186"/>
      <c r="L43" s="186"/>
      <c r="M43" s="90"/>
      <c r="N43" s="90"/>
      <c r="O43" s="90"/>
      <c r="P43" s="186"/>
      <c r="Q43" s="122"/>
      <c r="R43" s="123"/>
      <c r="S43" t="s">
        <v>2483</v>
      </c>
    </row>
    <row r="44" spans="1:26" ht="18.75" hidden="1" customHeight="1">
      <c r="A44" s="213"/>
      <c r="B44" s="213"/>
      <c r="C44" s="210"/>
      <c r="D44" s="210"/>
      <c r="E44" s="186" t="s">
        <v>59</v>
      </c>
      <c r="F44" s="186" t="s">
        <v>353</v>
      </c>
      <c r="G44" s="186" t="s">
        <v>2484</v>
      </c>
      <c r="H44" s="186" t="s">
        <v>243</v>
      </c>
      <c r="I44" s="186"/>
      <c r="J44" s="186">
        <v>68</v>
      </c>
      <c r="K44" s="186"/>
      <c r="L44" s="186"/>
      <c r="M44" s="90"/>
      <c r="N44" s="90"/>
      <c r="O44" s="90"/>
      <c r="P44" s="186"/>
      <c r="Q44" s="122"/>
      <c r="R44" s="123"/>
      <c r="S44" s="186" t="s">
        <v>2300</v>
      </c>
    </row>
    <row r="45" spans="1:26" ht="18.75" hidden="1" customHeight="1">
      <c r="A45" s="213"/>
      <c r="B45" s="213"/>
      <c r="C45" s="210"/>
      <c r="D45" s="210"/>
      <c r="E45" s="186" t="s">
        <v>55</v>
      </c>
      <c r="F45" s="186" t="s">
        <v>2485</v>
      </c>
      <c r="G45" s="186" t="s">
        <v>264</v>
      </c>
      <c r="H45" s="186" t="s">
        <v>243</v>
      </c>
      <c r="I45" s="186"/>
      <c r="J45" s="186">
        <v>39</v>
      </c>
      <c r="K45" s="186"/>
      <c r="L45" s="186"/>
      <c r="M45" s="90"/>
      <c r="N45" s="90"/>
      <c r="O45" s="90"/>
      <c r="P45" s="186"/>
      <c r="Q45" s="186"/>
      <c r="R45" s="122"/>
      <c r="S45" s="186" t="s">
        <v>2486</v>
      </c>
    </row>
    <row r="46" spans="1:26" ht="18.75" hidden="1" customHeight="1">
      <c r="A46" s="213"/>
      <c r="B46" s="213"/>
      <c r="C46" s="210"/>
      <c r="D46" s="210"/>
      <c r="E46" s="186" t="s">
        <v>55</v>
      </c>
      <c r="F46" s="186" t="s">
        <v>2487</v>
      </c>
      <c r="G46" s="186" t="s">
        <v>995</v>
      </c>
      <c r="H46" s="186" t="s">
        <v>243</v>
      </c>
      <c r="I46" s="186"/>
      <c r="J46" s="186">
        <v>40</v>
      </c>
      <c r="K46" s="186"/>
      <c r="L46" s="186"/>
      <c r="M46" s="90"/>
      <c r="N46" s="90"/>
      <c r="O46" s="90"/>
      <c r="P46" s="186"/>
      <c r="Q46" s="186"/>
      <c r="R46" s="122"/>
      <c r="S46" s="186" t="s">
        <v>2488</v>
      </c>
    </row>
    <row r="47" spans="1:26" ht="18.75" hidden="1" customHeight="1">
      <c r="A47" s="213"/>
      <c r="B47" s="213"/>
      <c r="C47" s="210"/>
      <c r="D47" s="210"/>
      <c r="E47" s="186" t="s">
        <v>59</v>
      </c>
      <c r="F47" s="186" t="s">
        <v>2489</v>
      </c>
      <c r="G47" s="186" t="s">
        <v>1855</v>
      </c>
      <c r="H47" s="186"/>
      <c r="I47" s="186"/>
      <c r="J47" s="186"/>
      <c r="K47" s="186"/>
      <c r="L47" s="186"/>
      <c r="M47" s="90"/>
      <c r="N47" s="90"/>
      <c r="O47" s="90"/>
      <c r="P47" s="186"/>
      <c r="Q47" s="122"/>
      <c r="R47" s="123"/>
      <c r="S47" t="s">
        <v>2490</v>
      </c>
    </row>
    <row r="48" spans="1:26" ht="18.75" hidden="1" customHeight="1">
      <c r="A48" s="213"/>
      <c r="B48" s="213"/>
      <c r="C48" s="210"/>
      <c r="D48" s="210"/>
      <c r="E48" s="186" t="s">
        <v>55</v>
      </c>
      <c r="F48" s="186" t="s">
        <v>2491</v>
      </c>
      <c r="G48" s="186" t="s">
        <v>432</v>
      </c>
      <c r="H48" s="186" t="s">
        <v>243</v>
      </c>
      <c r="I48" s="186"/>
      <c r="J48" s="186">
        <v>41</v>
      </c>
      <c r="K48" s="186"/>
      <c r="L48" s="186"/>
      <c r="M48" s="90"/>
      <c r="N48" s="90"/>
      <c r="O48" s="90"/>
      <c r="P48" s="186"/>
      <c r="Q48" s="186"/>
      <c r="R48" s="122"/>
      <c r="S48" s="186" t="s">
        <v>2492</v>
      </c>
    </row>
    <row r="49" spans="1:26" ht="18.75" hidden="1" customHeight="1">
      <c r="A49" s="248"/>
      <c r="B49" s="248"/>
      <c r="C49" s="248"/>
      <c r="D49" s="248"/>
      <c r="E49" s="90" t="s">
        <v>59</v>
      </c>
      <c r="F49" s="90" t="s">
        <v>156</v>
      </c>
      <c r="G49" s="90" t="s">
        <v>429</v>
      </c>
      <c r="H49" s="90" t="s">
        <v>243</v>
      </c>
      <c r="I49" s="90"/>
      <c r="J49" s="90">
        <v>42</v>
      </c>
      <c r="K49" s="90"/>
      <c r="L49" s="90"/>
      <c r="M49" s="90"/>
      <c r="N49" s="90"/>
      <c r="O49" s="90"/>
      <c r="P49" s="90"/>
      <c r="Q49" s="90"/>
      <c r="R49" s="90"/>
      <c r="S49" s="90" t="s">
        <v>2493</v>
      </c>
      <c r="T49" s="90"/>
      <c r="U49" s="90"/>
      <c r="V49" s="90"/>
      <c r="W49" s="90"/>
      <c r="X49" s="90"/>
      <c r="Y49" s="90"/>
      <c r="Z49" s="90"/>
    </row>
    <row r="50" spans="1:26" ht="18.75" hidden="1" customHeight="1">
      <c r="A50" s="213"/>
      <c r="B50" s="213"/>
      <c r="C50" s="210"/>
      <c r="D50" s="210"/>
      <c r="E50" s="186" t="s">
        <v>59</v>
      </c>
      <c r="F50" s="186" t="s">
        <v>2494</v>
      </c>
      <c r="G50" s="186" t="s">
        <v>329</v>
      </c>
      <c r="H50" s="186" t="s">
        <v>243</v>
      </c>
      <c r="I50" s="186"/>
      <c r="J50" s="186">
        <v>43</v>
      </c>
      <c r="K50" s="186"/>
      <c r="L50" s="186"/>
      <c r="M50" s="90"/>
      <c r="N50" s="90"/>
      <c r="O50" s="90"/>
      <c r="P50" s="186"/>
      <c r="Q50" s="186"/>
      <c r="R50" s="122"/>
      <c r="S50" s="186" t="s">
        <v>2495</v>
      </c>
    </row>
    <row r="51" spans="1:26" ht="18.75" hidden="1" customHeight="1">
      <c r="A51" s="213"/>
      <c r="B51" s="213"/>
      <c r="C51" s="210"/>
      <c r="D51" s="210"/>
      <c r="E51" s="186" t="s">
        <v>59</v>
      </c>
      <c r="F51" s="186" t="s">
        <v>2496</v>
      </c>
      <c r="G51" s="186" t="s">
        <v>2479</v>
      </c>
      <c r="H51" s="186"/>
      <c r="I51" s="186"/>
      <c r="J51" s="186"/>
      <c r="K51" s="186"/>
      <c r="L51" s="186"/>
      <c r="M51" s="90"/>
      <c r="N51" s="90"/>
      <c r="O51" s="90"/>
      <c r="P51" s="186"/>
      <c r="Q51" s="122"/>
      <c r="R51" s="123"/>
      <c r="S51" t="s">
        <v>2497</v>
      </c>
    </row>
    <row r="52" spans="1:26" ht="36.75" customHeight="1">
      <c r="A52" s="248"/>
      <c r="B52" s="248"/>
      <c r="C52" s="248"/>
      <c r="D52" s="248"/>
      <c r="E52" s="90" t="s">
        <v>61</v>
      </c>
      <c r="F52" s="90" t="s">
        <v>152</v>
      </c>
      <c r="G52" s="90" t="s">
        <v>247</v>
      </c>
      <c r="H52" s="90" t="s">
        <v>243</v>
      </c>
      <c r="I52" s="90"/>
      <c r="J52" s="90">
        <v>44</v>
      </c>
      <c r="K52" s="441" t="s">
        <v>2460</v>
      </c>
      <c r="L52" s="90" t="s">
        <v>865</v>
      </c>
      <c r="M52" s="90"/>
      <c r="N52" s="90"/>
      <c r="O52" s="90"/>
      <c r="P52" s="90"/>
      <c r="Q52" s="90"/>
      <c r="R52" s="90"/>
      <c r="S52" s="90" t="s">
        <v>2498</v>
      </c>
      <c r="T52" s="90"/>
      <c r="U52" s="90"/>
      <c r="V52" s="90"/>
      <c r="W52" s="90"/>
      <c r="X52" s="90"/>
      <c r="Y52" s="90"/>
      <c r="Z52" s="90"/>
    </row>
    <row r="53" spans="1:26" ht="18.75" hidden="1" customHeight="1">
      <c r="A53" s="213"/>
      <c r="B53" s="213"/>
      <c r="C53" s="210"/>
      <c r="D53" s="210"/>
      <c r="E53" s="186" t="s">
        <v>59</v>
      </c>
      <c r="F53" s="186" t="s">
        <v>2499</v>
      </c>
      <c r="G53" s="186" t="s">
        <v>242</v>
      </c>
      <c r="H53" s="186" t="s">
        <v>243</v>
      </c>
      <c r="I53" s="186"/>
      <c r="J53" s="186">
        <v>47</v>
      </c>
      <c r="K53" s="186"/>
      <c r="L53" s="186"/>
      <c r="M53" s="90"/>
      <c r="N53" s="90"/>
      <c r="O53" s="90"/>
      <c r="P53" s="186"/>
      <c r="Q53" s="186"/>
      <c r="R53" s="122"/>
      <c r="S53" s="186" t="s">
        <v>2500</v>
      </c>
    </row>
    <row r="54" spans="1:26" ht="18.75" hidden="1" customHeight="1">
      <c r="A54" s="213"/>
      <c r="B54" s="213"/>
      <c r="C54" s="210"/>
      <c r="D54" s="210"/>
      <c r="E54" s="186" t="s">
        <v>59</v>
      </c>
      <c r="F54" s="186" t="s">
        <v>2501</v>
      </c>
      <c r="G54" s="186" t="s">
        <v>2502</v>
      </c>
      <c r="H54" s="186"/>
      <c r="I54" s="186"/>
      <c r="J54" s="186"/>
      <c r="K54" s="186"/>
      <c r="L54" s="186"/>
      <c r="M54" s="90"/>
      <c r="N54" s="90"/>
      <c r="O54" s="90"/>
      <c r="P54" s="186"/>
      <c r="Q54" s="122"/>
      <c r="R54" s="123"/>
      <c r="S54" t="s">
        <v>2503</v>
      </c>
    </row>
    <row r="55" spans="1:26" ht="18.75" hidden="1" customHeight="1">
      <c r="A55" s="213"/>
      <c r="B55" s="213"/>
      <c r="C55" s="210"/>
      <c r="D55" s="210"/>
      <c r="E55" s="186" t="s">
        <v>59</v>
      </c>
      <c r="F55" s="186" t="s">
        <v>2504</v>
      </c>
      <c r="G55" s="186" t="s">
        <v>2505</v>
      </c>
      <c r="H55" s="186"/>
      <c r="I55" s="186"/>
      <c r="J55" s="186"/>
      <c r="K55" s="186"/>
      <c r="L55" s="186"/>
      <c r="M55" s="90"/>
      <c r="N55" s="90"/>
      <c r="O55" s="90"/>
      <c r="P55" s="186"/>
      <c r="Q55" s="122"/>
      <c r="R55" s="123"/>
      <c r="S55" t="s">
        <v>2506</v>
      </c>
    </row>
    <row r="56" spans="1:26" ht="18.75" hidden="1" customHeight="1">
      <c r="A56" s="248"/>
      <c r="B56" s="248"/>
      <c r="C56" s="248"/>
      <c r="D56" s="248"/>
      <c r="E56" s="90" t="s">
        <v>59</v>
      </c>
      <c r="F56" s="90" t="s">
        <v>153</v>
      </c>
      <c r="G56" s="90" t="s">
        <v>324</v>
      </c>
      <c r="H56" s="90" t="s">
        <v>243</v>
      </c>
      <c r="I56" s="90"/>
      <c r="J56" s="90">
        <v>48</v>
      </c>
      <c r="K56" s="90"/>
      <c r="L56" s="90"/>
      <c r="M56" s="90"/>
      <c r="N56" s="90"/>
      <c r="O56" s="90"/>
      <c r="P56" s="90"/>
      <c r="Q56" s="90"/>
      <c r="R56" s="90"/>
      <c r="S56" s="90" t="s">
        <v>2507</v>
      </c>
      <c r="T56" s="90"/>
      <c r="U56" s="90"/>
      <c r="V56" s="90"/>
      <c r="W56" s="90"/>
      <c r="X56" s="90"/>
      <c r="Y56" s="90"/>
      <c r="Z56" s="90"/>
    </row>
    <row r="57" spans="1:26" ht="36.75" customHeight="1">
      <c r="A57" s="248"/>
      <c r="B57" s="248"/>
      <c r="C57" s="248"/>
      <c r="D57" s="248"/>
      <c r="E57" s="90" t="s">
        <v>61</v>
      </c>
      <c r="F57" s="90" t="s">
        <v>157</v>
      </c>
      <c r="G57" s="90" t="s">
        <v>324</v>
      </c>
      <c r="H57" s="90" t="s">
        <v>243</v>
      </c>
      <c r="I57" s="90"/>
      <c r="J57" s="90">
        <v>49</v>
      </c>
      <c r="K57" s="441" t="s">
        <v>2460</v>
      </c>
      <c r="L57" s="90" t="s">
        <v>868</v>
      </c>
      <c r="M57" s="90"/>
      <c r="N57" s="90"/>
      <c r="O57" s="90"/>
      <c r="P57" s="90"/>
      <c r="Q57" s="90"/>
      <c r="R57" s="90"/>
      <c r="S57" s="90" t="s">
        <v>2508</v>
      </c>
      <c r="T57" s="90"/>
      <c r="U57" s="90"/>
      <c r="V57" s="90"/>
      <c r="W57" s="90"/>
      <c r="X57" s="90"/>
      <c r="Y57" s="90"/>
      <c r="Z57" s="90"/>
    </row>
    <row r="58" spans="1:26" ht="18.75" hidden="1" customHeight="1">
      <c r="A58" s="248"/>
      <c r="B58" s="248"/>
      <c r="C58" s="248"/>
      <c r="D58" s="248"/>
      <c r="E58" s="90" t="s">
        <v>59</v>
      </c>
      <c r="F58" s="90" t="s">
        <v>151</v>
      </c>
      <c r="G58" s="90" t="s">
        <v>247</v>
      </c>
      <c r="H58" s="90" t="s">
        <v>243</v>
      </c>
      <c r="I58" s="90"/>
      <c r="J58" s="90">
        <v>50</v>
      </c>
      <c r="K58" s="90"/>
      <c r="L58" s="90"/>
      <c r="M58" s="90"/>
      <c r="N58" s="90"/>
      <c r="O58" s="90"/>
      <c r="P58" s="90"/>
      <c r="Q58" s="90"/>
      <c r="R58" s="90"/>
      <c r="S58" s="90" t="s">
        <v>2509</v>
      </c>
      <c r="T58" s="90"/>
      <c r="U58" s="90"/>
      <c r="V58" s="90"/>
      <c r="W58" s="90"/>
      <c r="X58" s="90"/>
      <c r="Y58" s="90"/>
      <c r="Z58" s="90"/>
    </row>
    <row r="59" spans="1:26" ht="18.75" hidden="1" customHeight="1">
      <c r="A59" s="213"/>
      <c r="B59" s="213"/>
      <c r="C59" s="210"/>
      <c r="D59" s="210"/>
      <c r="E59" s="186" t="s">
        <v>59</v>
      </c>
      <c r="F59" s="186" t="s">
        <v>349</v>
      </c>
      <c r="G59" s="186" t="s">
        <v>247</v>
      </c>
      <c r="H59" s="186" t="s">
        <v>243</v>
      </c>
      <c r="I59" s="186"/>
      <c r="J59" s="186">
        <v>51</v>
      </c>
      <c r="K59" s="186"/>
      <c r="L59" s="186"/>
      <c r="M59" s="90"/>
      <c r="N59" s="90"/>
      <c r="O59" s="90"/>
      <c r="P59" s="186"/>
      <c r="Q59" s="186"/>
      <c r="R59" s="122"/>
      <c r="S59" s="186" t="s">
        <v>2510</v>
      </c>
    </row>
    <row r="60" spans="1:26" ht="12.5" hidden="1">
      <c r="A60" s="213"/>
      <c r="B60" s="213"/>
      <c r="C60" s="210"/>
      <c r="D60" s="210"/>
      <c r="E60" s="186" t="s">
        <v>55</v>
      </c>
      <c r="F60" s="186" t="s">
        <v>351</v>
      </c>
      <c r="G60" s="186" t="s">
        <v>247</v>
      </c>
      <c r="H60" s="186" t="s">
        <v>243</v>
      </c>
      <c r="I60" s="186"/>
      <c r="J60" s="186">
        <v>52</v>
      </c>
      <c r="K60" s="186"/>
      <c r="L60" s="186"/>
      <c r="M60" s="90"/>
      <c r="N60" s="90"/>
      <c r="O60" s="90"/>
      <c r="P60" s="186"/>
      <c r="Q60" s="186"/>
      <c r="R60" s="122"/>
      <c r="S60" s="186" t="s">
        <v>2511</v>
      </c>
    </row>
    <row r="61" spans="1:26" ht="18.75" customHeight="1">
      <c r="A61" s="248"/>
      <c r="B61" s="248"/>
      <c r="C61" s="248"/>
      <c r="D61" s="248"/>
      <c r="E61" s="90" t="s">
        <v>61</v>
      </c>
      <c r="F61" s="90" t="s">
        <v>158</v>
      </c>
      <c r="G61" s="90" t="s">
        <v>264</v>
      </c>
      <c r="H61" s="90" t="s">
        <v>243</v>
      </c>
      <c r="I61" s="90"/>
      <c r="J61" s="90">
        <v>53</v>
      </c>
      <c r="K61" s="90" t="s">
        <v>1184</v>
      </c>
      <c r="L61" s="90" t="s">
        <v>2512</v>
      </c>
      <c r="M61" s="90"/>
      <c r="N61" s="90"/>
      <c r="O61" s="90"/>
      <c r="P61" s="90"/>
      <c r="Q61" s="90"/>
      <c r="R61" s="90"/>
      <c r="S61" s="90" t="s">
        <v>2513</v>
      </c>
      <c r="T61" s="90"/>
      <c r="U61" s="90"/>
      <c r="V61" s="90"/>
      <c r="W61" s="90"/>
      <c r="X61" s="90"/>
      <c r="Y61" s="90"/>
      <c r="Z61" s="90"/>
    </row>
    <row r="62" spans="1:26" ht="18.75" hidden="1" customHeight="1">
      <c r="A62" s="213"/>
      <c r="B62" s="213"/>
      <c r="C62" s="210"/>
      <c r="D62" s="210"/>
      <c r="E62" s="186" t="s">
        <v>53</v>
      </c>
      <c r="F62" s="186" t="s">
        <v>2514</v>
      </c>
      <c r="G62" s="186" t="s">
        <v>535</v>
      </c>
      <c r="H62" s="186" t="s">
        <v>243</v>
      </c>
      <c r="I62" s="186"/>
      <c r="J62" s="186">
        <v>66</v>
      </c>
      <c r="K62" s="186"/>
      <c r="L62" s="186"/>
      <c r="M62" s="90"/>
      <c r="N62" s="90"/>
      <c r="O62" s="90"/>
      <c r="P62" s="186"/>
      <c r="Q62" s="186"/>
      <c r="R62" s="122"/>
      <c r="S62" s="186" t="s">
        <v>1190</v>
      </c>
    </row>
    <row r="63" spans="1:26" ht="18.75" hidden="1" customHeight="1">
      <c r="A63" s="213"/>
      <c r="B63" s="213"/>
      <c r="C63" s="210"/>
      <c r="D63" s="210"/>
      <c r="E63" s="186" t="s">
        <v>59</v>
      </c>
      <c r="F63" s="186" t="s">
        <v>320</v>
      </c>
      <c r="G63" s="186" t="s">
        <v>264</v>
      </c>
      <c r="H63" s="186" t="s">
        <v>243</v>
      </c>
      <c r="I63" s="186"/>
      <c r="J63" s="186">
        <v>54</v>
      </c>
      <c r="K63" s="186"/>
      <c r="L63" s="186"/>
      <c r="M63" s="90"/>
      <c r="N63" s="90"/>
      <c r="O63" s="90"/>
      <c r="P63" s="186"/>
      <c r="Q63" s="122"/>
      <c r="R63" s="122"/>
      <c r="S63" s="186" t="s">
        <v>320</v>
      </c>
    </row>
    <row r="64" spans="1:26" ht="18.75" hidden="1" customHeight="1">
      <c r="A64" s="213"/>
      <c r="B64" s="213"/>
      <c r="C64" s="210"/>
      <c r="D64" s="210"/>
      <c r="E64" s="186" t="s">
        <v>59</v>
      </c>
      <c r="F64" s="186" t="s">
        <v>2515</v>
      </c>
      <c r="G64" s="186" t="s">
        <v>329</v>
      </c>
      <c r="H64" s="186" t="s">
        <v>243</v>
      </c>
      <c r="I64" s="186"/>
      <c r="J64" s="186">
        <v>56</v>
      </c>
      <c r="K64" s="186"/>
      <c r="L64" s="186"/>
      <c r="M64" s="90"/>
      <c r="N64" s="90"/>
      <c r="O64" s="90"/>
      <c r="P64" s="186"/>
      <c r="Q64" s="122"/>
      <c r="R64" s="122"/>
      <c r="S64" s="186" t="s">
        <v>2516</v>
      </c>
    </row>
    <row r="65" spans="1:26" ht="18.75" hidden="1" customHeight="1">
      <c r="A65" s="213"/>
      <c r="B65" s="213"/>
      <c r="C65" s="210"/>
      <c r="D65" s="210"/>
      <c r="E65" s="186" t="s">
        <v>59</v>
      </c>
      <c r="F65" s="186" t="s">
        <v>355</v>
      </c>
      <c r="G65" s="186" t="s">
        <v>2484</v>
      </c>
      <c r="H65" s="186" t="s">
        <v>243</v>
      </c>
      <c r="I65" s="186"/>
      <c r="J65" s="186">
        <v>69</v>
      </c>
      <c r="K65" s="186"/>
      <c r="L65" s="186"/>
      <c r="M65" s="90"/>
      <c r="N65" s="90"/>
      <c r="O65" s="90"/>
      <c r="P65" s="186"/>
      <c r="Q65" s="122"/>
      <c r="R65" s="123"/>
      <c r="S65" s="186" t="s">
        <v>1765</v>
      </c>
    </row>
    <row r="66" spans="1:26" ht="18.75" hidden="1" customHeight="1">
      <c r="A66" s="213"/>
      <c r="B66" s="213"/>
      <c r="C66" s="210"/>
      <c r="D66" s="210"/>
      <c r="E66" s="186" t="s">
        <v>53</v>
      </c>
      <c r="F66" s="186" t="s">
        <v>1288</v>
      </c>
      <c r="G66" s="186" t="s">
        <v>535</v>
      </c>
      <c r="H66" s="186" t="s">
        <v>903</v>
      </c>
      <c r="I66" s="186"/>
      <c r="J66" s="186">
        <v>65</v>
      </c>
      <c r="K66" s="186"/>
      <c r="L66" s="186"/>
      <c r="M66" s="90"/>
      <c r="N66" s="90"/>
      <c r="O66" s="90"/>
      <c r="P66" s="186"/>
      <c r="Q66" s="186"/>
      <c r="R66" s="122"/>
      <c r="S66" s="186" t="s">
        <v>1190</v>
      </c>
    </row>
    <row r="67" spans="1:26" ht="18.75" hidden="1" customHeight="1">
      <c r="A67" s="213"/>
      <c r="B67" s="213"/>
      <c r="C67" s="210"/>
      <c r="D67" s="210"/>
      <c r="E67" s="186" t="s">
        <v>53</v>
      </c>
      <c r="F67" s="186" t="s">
        <v>1289</v>
      </c>
      <c r="G67" s="186" t="s">
        <v>324</v>
      </c>
      <c r="H67" s="186" t="s">
        <v>243</v>
      </c>
      <c r="I67" s="186"/>
      <c r="J67" s="186">
        <v>57</v>
      </c>
      <c r="K67" s="186"/>
      <c r="L67" s="186"/>
      <c r="M67" s="90"/>
      <c r="N67" s="90"/>
      <c r="O67" s="90"/>
      <c r="P67" s="186"/>
      <c r="Q67" s="122"/>
      <c r="R67" s="122"/>
      <c r="S67" s="186" t="s">
        <v>1190</v>
      </c>
    </row>
    <row r="68" spans="1:26" ht="18.75" hidden="1" customHeight="1">
      <c r="A68" s="213"/>
      <c r="B68" s="213"/>
      <c r="C68" s="210"/>
      <c r="D68" s="210"/>
      <c r="E68" s="186" t="s">
        <v>53</v>
      </c>
      <c r="F68" s="186" t="s">
        <v>1290</v>
      </c>
      <c r="G68" s="186" t="s">
        <v>432</v>
      </c>
      <c r="H68" s="186" t="s">
        <v>243</v>
      </c>
      <c r="I68" s="186"/>
      <c r="J68" s="186">
        <v>45</v>
      </c>
      <c r="K68" s="186"/>
      <c r="L68" s="186"/>
      <c r="M68" s="90"/>
      <c r="N68" s="90"/>
      <c r="O68" s="90"/>
      <c r="P68" s="186"/>
      <c r="Q68" s="186"/>
      <c r="R68" s="122"/>
      <c r="S68" s="186" t="s">
        <v>1190</v>
      </c>
    </row>
    <row r="69" spans="1:26" ht="18.75" hidden="1" customHeight="1">
      <c r="A69" s="213"/>
      <c r="B69" s="213"/>
      <c r="C69" s="210"/>
      <c r="D69" s="210"/>
      <c r="E69" s="186" t="s">
        <v>53</v>
      </c>
      <c r="F69" s="186" t="s">
        <v>1291</v>
      </c>
      <c r="G69" s="186" t="s">
        <v>247</v>
      </c>
      <c r="H69" s="186" t="s">
        <v>243</v>
      </c>
      <c r="I69" s="186"/>
      <c r="J69" s="186">
        <v>46</v>
      </c>
      <c r="K69" s="186"/>
      <c r="L69" s="186"/>
      <c r="M69" s="90"/>
      <c r="N69" s="90"/>
      <c r="O69" s="90"/>
      <c r="P69" s="186"/>
      <c r="Q69" s="186"/>
      <c r="R69" s="122"/>
      <c r="S69" s="186" t="s">
        <v>1190</v>
      </c>
    </row>
    <row r="70" spans="1:26" ht="18.75" hidden="1" customHeight="1">
      <c r="A70" s="213"/>
      <c r="B70" s="213"/>
      <c r="C70" s="210"/>
      <c r="D70" s="210"/>
      <c r="E70" s="186" t="s">
        <v>53</v>
      </c>
      <c r="F70" s="186" t="s">
        <v>1292</v>
      </c>
      <c r="G70" s="186" t="s">
        <v>535</v>
      </c>
      <c r="H70" s="186" t="s">
        <v>243</v>
      </c>
      <c r="I70" s="186"/>
      <c r="J70" s="186">
        <v>55</v>
      </c>
      <c r="K70" s="186"/>
      <c r="L70" s="186"/>
      <c r="M70" s="90"/>
      <c r="N70" s="90"/>
      <c r="O70" s="90"/>
      <c r="P70" s="186"/>
      <c r="Q70" s="122"/>
      <c r="R70" s="122"/>
      <c r="S70" s="186" t="s">
        <v>1190</v>
      </c>
    </row>
    <row r="71" spans="1:26" ht="18.75" hidden="1" customHeight="1">
      <c r="A71" s="213"/>
      <c r="B71" s="213"/>
      <c r="C71" s="210"/>
      <c r="D71" s="210"/>
      <c r="E71" s="186" t="s">
        <v>53</v>
      </c>
      <c r="F71" s="186" t="s">
        <v>1293</v>
      </c>
      <c r="G71" s="186" t="s">
        <v>432</v>
      </c>
      <c r="H71" s="186" t="s">
        <v>243</v>
      </c>
      <c r="I71" s="186"/>
      <c r="J71" s="186">
        <v>58</v>
      </c>
      <c r="K71" s="186"/>
      <c r="L71" s="186"/>
      <c r="M71" s="90"/>
      <c r="N71" s="90"/>
      <c r="O71" s="90"/>
      <c r="P71" s="186"/>
      <c r="Q71" s="122"/>
      <c r="R71" s="122"/>
      <c r="S71" s="186" t="s">
        <v>1190</v>
      </c>
    </row>
    <row r="72" spans="1:26" ht="18.75" hidden="1" customHeight="1">
      <c r="A72" s="213"/>
      <c r="B72" s="213"/>
      <c r="C72" s="210"/>
      <c r="D72" s="210"/>
      <c r="E72" s="186" t="s">
        <v>59</v>
      </c>
      <c r="F72" s="186" t="s">
        <v>2517</v>
      </c>
      <c r="G72" s="186" t="s">
        <v>2518</v>
      </c>
      <c r="H72" s="186" t="s">
        <v>243</v>
      </c>
      <c r="I72" s="186"/>
      <c r="J72" s="186">
        <v>59</v>
      </c>
      <c r="K72" s="186"/>
      <c r="L72" s="186"/>
      <c r="M72" s="90"/>
      <c r="N72" s="90"/>
      <c r="O72" s="90"/>
      <c r="P72" s="186"/>
      <c r="Q72" s="122"/>
      <c r="R72" s="122"/>
      <c r="S72" s="186" t="s">
        <v>2519</v>
      </c>
    </row>
    <row r="73" spans="1:26" ht="18.75" hidden="1" customHeight="1">
      <c r="A73" s="213"/>
      <c r="B73" s="213"/>
      <c r="C73" s="210"/>
      <c r="D73" s="210"/>
      <c r="E73" s="186" t="s">
        <v>59</v>
      </c>
      <c r="F73" s="186" t="s">
        <v>316</v>
      </c>
      <c r="G73" s="186" t="s">
        <v>264</v>
      </c>
      <c r="H73" s="186" t="s">
        <v>243</v>
      </c>
      <c r="I73" s="186"/>
      <c r="J73" s="186">
        <v>60</v>
      </c>
      <c r="K73" s="186"/>
      <c r="L73" s="186"/>
      <c r="M73" s="90"/>
      <c r="N73" s="90"/>
      <c r="O73" s="90"/>
      <c r="P73" s="186"/>
      <c r="Q73" s="122"/>
      <c r="R73" s="122"/>
      <c r="S73" s="186" t="s">
        <v>1589</v>
      </c>
    </row>
    <row r="74" spans="1:26" ht="18.75" hidden="1" customHeight="1">
      <c r="A74" s="213"/>
      <c r="B74" s="213"/>
      <c r="C74" s="210"/>
      <c r="D74" s="210"/>
      <c r="E74" s="186" t="s">
        <v>59</v>
      </c>
      <c r="F74" s="186" t="s">
        <v>2520</v>
      </c>
      <c r="G74" s="186" t="s">
        <v>329</v>
      </c>
      <c r="H74" s="186" t="s">
        <v>243</v>
      </c>
      <c r="I74" s="186"/>
      <c r="J74" s="186">
        <v>61</v>
      </c>
      <c r="K74" s="186"/>
      <c r="L74" s="186"/>
      <c r="M74" s="90"/>
      <c r="N74" s="90"/>
      <c r="O74" s="90"/>
      <c r="P74" s="186"/>
      <c r="Q74" s="122"/>
      <c r="R74" s="122"/>
      <c r="S74" s="186" t="s">
        <v>2521</v>
      </c>
    </row>
    <row r="75" spans="1:26" ht="18.75" hidden="1" customHeight="1">
      <c r="A75" s="213"/>
      <c r="B75" s="213"/>
      <c r="C75" s="210"/>
      <c r="D75" s="210"/>
      <c r="E75" s="186" t="s">
        <v>59</v>
      </c>
      <c r="F75" s="186" t="s">
        <v>2522</v>
      </c>
      <c r="G75" s="186" t="s">
        <v>535</v>
      </c>
      <c r="H75" s="186" t="s">
        <v>243</v>
      </c>
      <c r="I75" s="186"/>
      <c r="J75" s="186">
        <v>67</v>
      </c>
      <c r="K75" s="186"/>
      <c r="L75" s="186"/>
      <c r="M75" s="90"/>
      <c r="N75" s="90"/>
      <c r="O75" s="90"/>
      <c r="P75" s="186"/>
      <c r="Q75" s="186"/>
      <c r="R75" s="122"/>
      <c r="S75" s="186" t="s">
        <v>2523</v>
      </c>
    </row>
    <row r="76" spans="1:26" ht="64.5" hidden="1" customHeight="1">
      <c r="A76" s="292"/>
      <c r="B76" s="292"/>
      <c r="C76" s="292"/>
      <c r="D76" s="292"/>
      <c r="E76" s="125" t="s">
        <v>55</v>
      </c>
      <c r="F76" s="125" t="s">
        <v>1812</v>
      </c>
      <c r="G76" s="125" t="s">
        <v>247</v>
      </c>
      <c r="H76" s="125" t="s">
        <v>243</v>
      </c>
      <c r="I76" s="125"/>
      <c r="J76" s="125">
        <v>62</v>
      </c>
      <c r="K76" s="91"/>
      <c r="L76" s="92"/>
      <c r="M76" s="126"/>
      <c r="N76" s="126"/>
      <c r="O76" s="126"/>
      <c r="P76" s="125"/>
      <c r="Q76" s="40"/>
      <c r="R76" s="40"/>
      <c r="S76" s="125" t="s">
        <v>2524</v>
      </c>
      <c r="T76" s="453"/>
      <c r="U76" s="453"/>
      <c r="V76" s="453"/>
      <c r="W76" s="453"/>
      <c r="X76" s="453"/>
      <c r="Y76" s="453"/>
      <c r="Z76" s="453"/>
    </row>
    <row r="77" spans="1:26" ht="18.75" hidden="1" customHeight="1">
      <c r="A77" s="213"/>
      <c r="B77" s="213"/>
      <c r="C77" s="210"/>
      <c r="D77" s="210"/>
      <c r="E77" s="186" t="s">
        <v>55</v>
      </c>
      <c r="F77" s="186" t="s">
        <v>1815</v>
      </c>
      <c r="G77" s="186" t="s">
        <v>247</v>
      </c>
      <c r="H77" s="186" t="s">
        <v>243</v>
      </c>
      <c r="I77" s="186"/>
      <c r="J77" s="186">
        <v>63</v>
      </c>
      <c r="K77" s="186"/>
      <c r="L77" s="186"/>
      <c r="M77" s="90"/>
      <c r="N77" s="90"/>
      <c r="O77" s="90"/>
      <c r="P77" s="186"/>
      <c r="Q77" s="122"/>
      <c r="R77" s="122"/>
      <c r="S77" s="186" t="s">
        <v>2524</v>
      </c>
    </row>
    <row r="78" spans="1:26" ht="18.75" hidden="1" customHeight="1">
      <c r="A78" s="213"/>
      <c r="B78" s="213"/>
      <c r="C78" s="210"/>
      <c r="D78" s="210"/>
      <c r="E78" s="186" t="s">
        <v>55</v>
      </c>
      <c r="F78" s="186" t="s">
        <v>1816</v>
      </c>
      <c r="G78" s="186" t="s">
        <v>247</v>
      </c>
      <c r="H78" s="186" t="s">
        <v>243</v>
      </c>
      <c r="I78" s="186"/>
      <c r="J78" s="186">
        <v>64</v>
      </c>
      <c r="K78" s="186"/>
      <c r="L78" s="186"/>
      <c r="M78" s="90"/>
      <c r="N78" s="90"/>
      <c r="O78" s="90"/>
      <c r="P78" s="186"/>
      <c r="Q78" s="122"/>
      <c r="R78" s="122"/>
      <c r="S78" s="186" t="s">
        <v>2524</v>
      </c>
    </row>
    <row r="79" spans="1:26" ht="18.75" hidden="1" customHeight="1">
      <c r="A79" s="213"/>
      <c r="B79" s="213"/>
      <c r="C79" s="210"/>
      <c r="D79" s="210"/>
      <c r="E79" s="186" t="s">
        <v>59</v>
      </c>
      <c r="F79" s="186" t="s">
        <v>2525</v>
      </c>
      <c r="G79" s="186" t="s">
        <v>2479</v>
      </c>
      <c r="H79" s="186"/>
      <c r="I79" s="186"/>
      <c r="J79" s="186"/>
      <c r="K79" s="186"/>
      <c r="L79" s="186"/>
      <c r="M79" s="90"/>
      <c r="N79" s="90"/>
      <c r="O79" s="90"/>
      <c r="P79" s="186"/>
      <c r="Q79" s="122"/>
      <c r="R79" s="123"/>
      <c r="S79" t="s">
        <v>2526</v>
      </c>
    </row>
    <row r="84" spans="1:19" ht="30.75" hidden="1" customHeight="1">
      <c r="A84" s="207" t="s">
        <v>2527</v>
      </c>
      <c r="B84" s="207"/>
      <c r="C84" s="207"/>
      <c r="D84" s="207"/>
      <c r="E84" s="207"/>
      <c r="F84" s="207"/>
      <c r="G84" s="207"/>
      <c r="H84" s="207"/>
      <c r="I84" s="207"/>
      <c r="J84" s="207"/>
      <c r="K84" s="207"/>
      <c r="L84" s="207"/>
      <c r="M84" s="207"/>
      <c r="N84" s="207"/>
      <c r="O84" s="207"/>
      <c r="P84" s="207"/>
      <c r="Q84" s="207"/>
      <c r="R84" s="207"/>
      <c r="S84" s="207"/>
    </row>
    <row r="85" spans="1:19" ht="18.75" hidden="1" customHeight="1">
      <c r="A85" s="186"/>
      <c r="B85" s="186"/>
      <c r="C85" s="186"/>
      <c r="D85" s="186"/>
      <c r="E85" s="293" t="s">
        <v>1322</v>
      </c>
      <c r="F85" s="186"/>
      <c r="G85" s="186"/>
      <c r="H85" s="186"/>
      <c r="I85" s="186"/>
      <c r="J85" s="186"/>
      <c r="K85" s="207" t="s">
        <v>1038</v>
      </c>
      <c r="L85" s="207"/>
      <c r="M85" s="207"/>
      <c r="N85" s="207"/>
      <c r="O85" s="207"/>
      <c r="P85" s="207"/>
      <c r="Q85" s="186"/>
      <c r="R85" s="186"/>
      <c r="S85" s="186"/>
    </row>
    <row r="86" spans="1:19" ht="18.75" hidden="1" customHeight="1">
      <c r="A86" s="208" t="s">
        <v>1040</v>
      </c>
      <c r="B86" s="208" t="s">
        <v>1041</v>
      </c>
      <c r="C86" s="208" t="s">
        <v>1042</v>
      </c>
      <c r="D86" s="208" t="s">
        <v>1043</v>
      </c>
      <c r="E86" s="208" t="s">
        <v>224</v>
      </c>
      <c r="F86" s="208" t="s">
        <v>225</v>
      </c>
      <c r="G86" s="208" t="s">
        <v>226</v>
      </c>
      <c r="H86" s="208" t="s">
        <v>227</v>
      </c>
      <c r="I86" s="208" t="s">
        <v>1044</v>
      </c>
      <c r="J86" s="208" t="s">
        <v>1045</v>
      </c>
      <c r="K86" s="207" t="s">
        <v>100</v>
      </c>
      <c r="L86" s="207" t="s">
        <v>101</v>
      </c>
      <c r="M86" s="207" t="s">
        <v>102</v>
      </c>
      <c r="N86" s="207" t="s">
        <v>103</v>
      </c>
      <c r="O86" s="207" t="s">
        <v>104</v>
      </c>
      <c r="P86" s="207" t="s">
        <v>105</v>
      </c>
      <c r="Q86" s="208" t="s">
        <v>111</v>
      </c>
      <c r="R86" s="208" t="s">
        <v>112</v>
      </c>
      <c r="S86" s="208" t="s">
        <v>113</v>
      </c>
    </row>
    <row r="87" spans="1:19" ht="18.75" hidden="1" customHeight="1">
      <c r="A87" s="213"/>
      <c r="B87" s="213"/>
      <c r="C87" s="210"/>
      <c r="D87" s="210"/>
      <c r="E87" s="186" t="s">
        <v>59</v>
      </c>
      <c r="F87" s="186" t="s">
        <v>2528</v>
      </c>
      <c r="G87" s="186" t="s">
        <v>2529</v>
      </c>
      <c r="H87" s="186"/>
      <c r="I87" s="186"/>
      <c r="J87" s="186">
        <v>1</v>
      </c>
      <c r="K87" s="186"/>
      <c r="L87" s="186"/>
      <c r="M87" s="90"/>
      <c r="N87" s="90"/>
      <c r="O87" s="90"/>
      <c r="P87" s="186"/>
      <c r="Q87" s="122" t="s">
        <v>2530</v>
      </c>
      <c r="S87" s="186" t="s">
        <v>2531</v>
      </c>
    </row>
    <row r="88" spans="1:19" ht="18.75" hidden="1" customHeight="1">
      <c r="A88" s="213"/>
      <c r="B88" s="213"/>
      <c r="C88" s="210"/>
      <c r="D88" s="210"/>
      <c r="E88" s="186" t="s">
        <v>59</v>
      </c>
      <c r="F88" s="186" t="s">
        <v>2532</v>
      </c>
      <c r="G88" s="186" t="s">
        <v>2533</v>
      </c>
      <c r="H88" s="186"/>
      <c r="I88" s="186"/>
      <c r="J88" s="186">
        <v>12</v>
      </c>
      <c r="K88" s="186"/>
      <c r="L88" s="186"/>
      <c r="M88" s="90"/>
      <c r="N88" s="90"/>
      <c r="O88" s="90"/>
      <c r="P88" s="186"/>
      <c r="Q88" s="122" t="s">
        <v>2530</v>
      </c>
      <c r="S88" s="186" t="s">
        <v>2534</v>
      </c>
    </row>
    <row r="89" spans="1:19" ht="18.75" hidden="1" customHeight="1">
      <c r="A89" s="213"/>
      <c r="B89" s="213"/>
      <c r="C89" s="210"/>
      <c r="D89" s="210"/>
      <c r="E89" s="186" t="s">
        <v>59</v>
      </c>
      <c r="F89" s="186" t="s">
        <v>2535</v>
      </c>
      <c r="G89" s="186" t="s">
        <v>2533</v>
      </c>
      <c r="H89" s="186"/>
      <c r="I89" s="186"/>
      <c r="J89" s="186">
        <v>28</v>
      </c>
      <c r="K89" s="186"/>
      <c r="L89" s="186"/>
      <c r="M89" s="90"/>
      <c r="N89" s="90"/>
      <c r="O89" s="90"/>
      <c r="P89" s="186"/>
      <c r="Q89" s="122" t="s">
        <v>2530</v>
      </c>
      <c r="S89" s="186" t="s">
        <v>2536</v>
      </c>
    </row>
    <row r="90" spans="1:19" ht="18.75" hidden="1" customHeight="1">
      <c r="A90" s="213"/>
      <c r="B90" s="213"/>
      <c r="C90" s="210"/>
      <c r="D90" s="210"/>
      <c r="E90" s="186" t="s">
        <v>59</v>
      </c>
      <c r="F90" s="186" t="s">
        <v>363</v>
      </c>
      <c r="G90" s="186" t="s">
        <v>2533</v>
      </c>
      <c r="H90" s="186"/>
      <c r="I90" s="186"/>
      <c r="J90" s="186">
        <v>32</v>
      </c>
      <c r="K90" s="186"/>
      <c r="L90" s="186"/>
      <c r="M90" s="90"/>
      <c r="N90" s="90"/>
      <c r="O90" s="90"/>
      <c r="P90" s="186"/>
      <c r="Q90" s="122" t="s">
        <v>2530</v>
      </c>
      <c r="S90" s="186" t="s">
        <v>2537</v>
      </c>
    </row>
    <row r="91" spans="1:19" ht="18.75" hidden="1" customHeight="1">
      <c r="A91" s="213"/>
      <c r="B91" s="213"/>
      <c r="C91" s="210"/>
      <c r="D91" s="210"/>
      <c r="E91" s="186" t="s">
        <v>59</v>
      </c>
      <c r="F91" s="186" t="s">
        <v>2538</v>
      </c>
      <c r="G91" s="186" t="s">
        <v>2539</v>
      </c>
      <c r="H91" s="186"/>
      <c r="I91" s="186"/>
      <c r="J91" s="186">
        <v>33</v>
      </c>
      <c r="K91" s="186"/>
      <c r="L91" s="186"/>
      <c r="M91" s="90"/>
      <c r="N91" s="90"/>
      <c r="O91" s="90"/>
      <c r="P91" s="186"/>
      <c r="Q91" s="122" t="s">
        <v>2530</v>
      </c>
      <c r="S91" s="186" t="s">
        <v>2540</v>
      </c>
    </row>
    <row r="92" spans="1:19" ht="18.75" hidden="1" customHeight="1">
      <c r="A92" s="213"/>
      <c r="B92" s="213"/>
      <c r="C92" s="210"/>
      <c r="D92" s="210"/>
      <c r="E92" s="186" t="s">
        <v>59</v>
      </c>
      <c r="F92" s="186" t="s">
        <v>2541</v>
      </c>
      <c r="G92" s="186" t="s">
        <v>1865</v>
      </c>
      <c r="H92" s="186"/>
      <c r="I92" s="186"/>
      <c r="J92" s="186">
        <v>39</v>
      </c>
      <c r="K92" s="186"/>
      <c r="L92" s="186"/>
      <c r="M92" s="90"/>
      <c r="N92" s="90"/>
      <c r="O92" s="90"/>
      <c r="P92" s="186"/>
      <c r="Q92" s="122" t="s">
        <v>2530</v>
      </c>
      <c r="S92" s="186" t="s">
        <v>2542</v>
      </c>
    </row>
    <row r="93" spans="1:19" ht="18.75" hidden="1" customHeight="1">
      <c r="A93" s="213"/>
      <c r="B93" s="213"/>
      <c r="C93" s="210"/>
      <c r="D93" s="210"/>
      <c r="E93" s="186" t="s">
        <v>59</v>
      </c>
      <c r="F93" s="186" t="s">
        <v>2543</v>
      </c>
      <c r="G93" s="186" t="s">
        <v>2533</v>
      </c>
      <c r="H93" s="186"/>
      <c r="I93" s="186"/>
      <c r="J93" s="186">
        <v>42</v>
      </c>
      <c r="K93" s="186"/>
      <c r="L93" s="186"/>
      <c r="M93" s="90"/>
      <c r="N93" s="90"/>
      <c r="O93" s="90"/>
      <c r="P93" s="186"/>
      <c r="Q93" s="122" t="s">
        <v>2530</v>
      </c>
      <c r="S93" s="186" t="s">
        <v>2544</v>
      </c>
    </row>
    <row r="94" spans="1:19" ht="18.75" hidden="1" customHeight="1">
      <c r="A94" s="213"/>
      <c r="B94" s="213"/>
      <c r="C94" s="210"/>
      <c r="D94" s="210"/>
      <c r="E94" s="186" t="s">
        <v>59</v>
      </c>
      <c r="F94" s="186" t="s">
        <v>361</v>
      </c>
      <c r="G94" s="186" t="s">
        <v>255</v>
      </c>
      <c r="H94" s="186"/>
      <c r="I94" s="186"/>
      <c r="J94" s="186">
        <v>43</v>
      </c>
      <c r="K94" s="186"/>
      <c r="L94" s="186"/>
      <c r="M94" s="90"/>
      <c r="N94" s="90"/>
      <c r="O94" s="90"/>
      <c r="P94" s="186"/>
      <c r="Q94" s="122" t="s">
        <v>2530</v>
      </c>
      <c r="S94" s="186" t="s">
        <v>2545</v>
      </c>
    </row>
    <row r="95" spans="1:19" ht="18.75" hidden="1" customHeight="1">
      <c r="A95" s="213"/>
      <c r="B95" s="213"/>
      <c r="C95" s="210"/>
      <c r="D95" s="210"/>
      <c r="E95" s="186" t="s">
        <v>59</v>
      </c>
      <c r="F95" s="186" t="s">
        <v>2546</v>
      </c>
      <c r="G95" s="186" t="s">
        <v>2533</v>
      </c>
      <c r="H95" s="186"/>
      <c r="I95" s="186"/>
      <c r="J95" s="186">
        <v>44</v>
      </c>
      <c r="K95" s="186"/>
      <c r="L95" s="186"/>
      <c r="M95" s="90"/>
      <c r="N95" s="90"/>
      <c r="O95" s="90"/>
      <c r="P95" s="186"/>
      <c r="Q95" s="122" t="s">
        <v>2530</v>
      </c>
      <c r="S95" s="186" t="s">
        <v>2547</v>
      </c>
    </row>
    <row r="96" spans="1:19" ht="18.75" hidden="1" customHeight="1">
      <c r="A96" s="213"/>
      <c r="B96" s="213"/>
      <c r="C96" s="210"/>
      <c r="D96" s="210"/>
      <c r="E96" s="186" t="s">
        <v>59</v>
      </c>
      <c r="F96" s="186" t="s">
        <v>2548</v>
      </c>
      <c r="G96" s="186" t="s">
        <v>2533</v>
      </c>
      <c r="H96" s="186"/>
      <c r="I96" s="186"/>
      <c r="J96" s="186">
        <v>45</v>
      </c>
      <c r="K96" s="186"/>
      <c r="L96" s="186"/>
      <c r="M96" s="90"/>
      <c r="N96" s="90"/>
      <c r="O96" s="90"/>
      <c r="P96" s="186"/>
      <c r="Q96" s="122" t="s">
        <v>2530</v>
      </c>
      <c r="S96" s="186" t="s">
        <v>2549</v>
      </c>
    </row>
    <row r="97" spans="1:19" ht="18.75" hidden="1" customHeight="1">
      <c r="A97" s="213"/>
      <c r="B97" s="213"/>
      <c r="C97" s="210"/>
      <c r="D97" s="210"/>
      <c r="E97" s="186" t="s">
        <v>59</v>
      </c>
      <c r="F97" s="186" t="s">
        <v>2550</v>
      </c>
      <c r="G97" s="186" t="s">
        <v>2533</v>
      </c>
      <c r="H97" s="186"/>
      <c r="I97" s="186"/>
      <c r="J97" s="186">
        <v>46</v>
      </c>
      <c r="K97" s="186"/>
      <c r="L97" s="186"/>
      <c r="M97" s="90"/>
      <c r="N97" s="90"/>
      <c r="O97" s="90"/>
      <c r="P97" s="186"/>
      <c r="Q97" s="122" t="s">
        <v>2530</v>
      </c>
      <c r="S97" s="186" t="s">
        <v>1822</v>
      </c>
    </row>
    <row r="98" spans="1:19" ht="18.75" hidden="1" customHeight="1">
      <c r="A98" s="213"/>
      <c r="B98" s="213"/>
      <c r="C98" s="210"/>
      <c r="D98" s="210"/>
      <c r="E98" s="186" t="s">
        <v>59</v>
      </c>
      <c r="F98" s="186" t="s">
        <v>386</v>
      </c>
      <c r="G98" s="186" t="s">
        <v>2533</v>
      </c>
      <c r="H98" s="186"/>
      <c r="I98" s="186"/>
      <c r="J98" s="186">
        <v>52</v>
      </c>
      <c r="K98" s="186"/>
      <c r="L98" s="186"/>
      <c r="M98" s="90"/>
      <c r="N98" s="90"/>
      <c r="O98" s="90"/>
      <c r="P98" s="186"/>
      <c r="Q98" s="122" t="s">
        <v>2530</v>
      </c>
      <c r="S98" s="186" t="s">
        <v>2551</v>
      </c>
    </row>
    <row r="99" spans="1:19" ht="18.75" hidden="1" customHeight="1">
      <c r="A99" s="213"/>
      <c r="B99" s="213"/>
      <c r="C99" s="210"/>
      <c r="D99" s="210"/>
      <c r="E99" s="186" t="s">
        <v>59</v>
      </c>
      <c r="F99" s="186" t="s">
        <v>2552</v>
      </c>
      <c r="G99" s="186" t="s">
        <v>255</v>
      </c>
      <c r="H99" s="186"/>
      <c r="I99" s="186"/>
      <c r="J99" s="186">
        <v>54</v>
      </c>
      <c r="K99" s="186"/>
      <c r="L99" s="186"/>
      <c r="M99" s="90"/>
      <c r="N99" s="90"/>
      <c r="O99" s="90"/>
      <c r="P99" s="186"/>
      <c r="Q99" s="122" t="s">
        <v>2530</v>
      </c>
      <c r="S99" s="186" t="s">
        <v>2553</v>
      </c>
    </row>
    <row r="100" spans="1:19" ht="18.75" hidden="1" customHeight="1">
      <c r="A100" s="213"/>
      <c r="B100" s="213"/>
      <c r="C100" s="210"/>
      <c r="D100" s="210"/>
      <c r="E100" s="186" t="s">
        <v>59</v>
      </c>
      <c r="F100" s="186" t="s">
        <v>2554</v>
      </c>
      <c r="G100" s="186" t="s">
        <v>2484</v>
      </c>
      <c r="H100" s="186"/>
      <c r="I100" s="186"/>
      <c r="J100" s="186">
        <v>57</v>
      </c>
      <c r="K100" s="186"/>
      <c r="L100" s="186"/>
      <c r="M100" s="90"/>
      <c r="N100" s="90"/>
      <c r="O100" s="90"/>
      <c r="P100" s="186"/>
      <c r="Q100" s="122" t="s">
        <v>2530</v>
      </c>
      <c r="S100" s="186" t="s">
        <v>2555</v>
      </c>
    </row>
    <row r="101" spans="1:19" ht="18.75" hidden="1" customHeight="1">
      <c r="A101" s="213"/>
      <c r="B101" s="213"/>
      <c r="C101" s="210"/>
      <c r="D101" s="210"/>
      <c r="E101" s="186" t="s">
        <v>59</v>
      </c>
      <c r="F101" s="186" t="s">
        <v>2556</v>
      </c>
      <c r="G101" s="186" t="s">
        <v>2484</v>
      </c>
      <c r="H101" s="186"/>
      <c r="I101" s="186"/>
      <c r="J101" s="186">
        <v>58</v>
      </c>
      <c r="K101" s="186"/>
      <c r="L101" s="186"/>
      <c r="M101" s="90"/>
      <c r="N101" s="90"/>
      <c r="O101" s="90"/>
      <c r="P101" s="186"/>
      <c r="Q101" s="122" t="s">
        <v>2530</v>
      </c>
      <c r="S101" s="186" t="s">
        <v>2557</v>
      </c>
    </row>
    <row r="102" spans="1:19" ht="18.75" hidden="1" customHeight="1">
      <c r="A102" s="213"/>
      <c r="B102" s="213"/>
      <c r="C102" s="210"/>
      <c r="D102" s="210"/>
      <c r="E102" s="186" t="s">
        <v>59</v>
      </c>
      <c r="F102" s="186" t="s">
        <v>2558</v>
      </c>
      <c r="G102" s="186" t="s">
        <v>2484</v>
      </c>
      <c r="H102" s="186"/>
      <c r="I102" s="186"/>
      <c r="J102" s="186">
        <v>59</v>
      </c>
      <c r="K102" s="186"/>
      <c r="L102" s="186"/>
      <c r="M102" s="90"/>
      <c r="N102" s="90"/>
      <c r="O102" s="90"/>
      <c r="P102" s="186"/>
      <c r="Q102" s="122" t="s">
        <v>2530</v>
      </c>
      <c r="S102" s="186" t="s">
        <v>2559</v>
      </c>
    </row>
    <row r="103" spans="1:19" ht="18.75" hidden="1" customHeight="1">
      <c r="A103" s="213"/>
      <c r="B103" s="213"/>
      <c r="C103" s="210"/>
      <c r="D103" s="210"/>
      <c r="E103" s="186" t="s">
        <v>59</v>
      </c>
      <c r="F103" s="186" t="s">
        <v>2560</v>
      </c>
      <c r="G103" s="186" t="s">
        <v>255</v>
      </c>
      <c r="H103" s="186"/>
      <c r="I103" s="186"/>
      <c r="J103" s="186">
        <v>70</v>
      </c>
      <c r="K103" s="186"/>
      <c r="L103" s="186"/>
      <c r="M103" s="90"/>
      <c r="N103" s="90"/>
      <c r="O103" s="90"/>
      <c r="P103" s="186"/>
      <c r="Q103" s="122" t="s">
        <v>2530</v>
      </c>
      <c r="S103" s="186" t="s">
        <v>2561</v>
      </c>
    </row>
  </sheetData>
  <autoFilter ref="A2:Z79" xr:uid="{00000000-0009-0000-0000-00000C000000}">
    <filterColumn colId="10">
      <filters>
        <filter val="-"/>
        <filter val="BM_STD_MMDDYYYYHHmmSS, BM_NONSTD_MMDDYYYYHHmmSS, BM_ACCTPRODUCT_MMDDYYYYHHmmSS"/>
        <filter val="BM_STD_MMDDYYYYHHmmSS, BM_NONSTD_MMDDYYYYHHmmSS, BM_ACCTPRODUCT_MMDDYYYYHHmmSS _x000a_(Lookup file) BMASSOC_AGG_MMDDYYYYHHmmSS"/>
      </filters>
    </filterColumn>
  </autoFilter>
  <pageMargins left="0.7" right="0.7" top="0.75" bottom="0.75" header="0" footer="0"/>
  <pageSetup orientation="landscape"/>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filterMode="1">
    <outlinePr summaryBelow="0" summaryRight="0"/>
  </sheetPr>
  <dimension ref="A1:Z103"/>
  <sheetViews>
    <sheetView workbookViewId="0">
      <pane xSplit="7" ySplit="2" topLeftCell="H7" activePane="bottomRight" state="frozen"/>
      <selection pane="topRight" activeCell="H1" sqref="H1"/>
      <selection pane="bottomLeft" activeCell="A3" sqref="A3"/>
      <selection pane="bottomRight" activeCell="L7" sqref="L7"/>
    </sheetView>
  </sheetViews>
  <sheetFormatPr defaultColWidth="14.453125" defaultRowHeight="15" customHeight="1"/>
  <cols>
    <col min="1" max="4" width="10.7265625" hidden="1" customWidth="1"/>
    <col min="5" max="5" width="22.1796875" customWidth="1"/>
    <col min="6" max="6" width="29.1796875" customWidth="1"/>
    <col min="7" max="7" width="24.7265625" customWidth="1"/>
    <col min="8" max="9" width="10.7265625" customWidth="1"/>
    <col min="10" max="10" width="6.7265625" customWidth="1"/>
    <col min="11" max="11" width="35.453125" customWidth="1"/>
    <col min="12" max="12" width="30.453125" customWidth="1"/>
    <col min="13" max="13" width="22.1796875" customWidth="1"/>
    <col min="14" max="14" width="32.7265625" customWidth="1"/>
    <col min="15" max="15" width="22.1796875" customWidth="1"/>
    <col min="16" max="16" width="20.453125" customWidth="1"/>
    <col min="17" max="17" width="38" customWidth="1"/>
    <col min="18" max="18" width="26.453125" customWidth="1"/>
    <col min="19" max="19" width="21.7265625" customWidth="1"/>
    <col min="20" max="26" width="17.26953125" customWidth="1"/>
  </cols>
  <sheetData>
    <row r="1" spans="1:26" ht="18.75" customHeight="1">
      <c r="A1" s="186"/>
      <c r="B1" s="186"/>
      <c r="C1" s="186"/>
      <c r="D1" s="186"/>
      <c r="E1" s="289" t="s">
        <v>1322</v>
      </c>
      <c r="F1" s="186"/>
      <c r="G1" s="186"/>
      <c r="H1" s="186"/>
      <c r="I1" s="186"/>
      <c r="J1" s="186"/>
      <c r="K1" s="207" t="s">
        <v>1038</v>
      </c>
      <c r="L1" s="207"/>
      <c r="M1" s="207"/>
      <c r="N1" s="207"/>
      <c r="O1" s="207"/>
      <c r="P1" s="207"/>
      <c r="Q1" s="186"/>
      <c r="R1" s="186"/>
      <c r="S1" s="186"/>
    </row>
    <row r="2" spans="1:26" ht="18.75" customHeight="1">
      <c r="A2" s="208" t="s">
        <v>1040</v>
      </c>
      <c r="B2" s="208" t="s">
        <v>1041</v>
      </c>
      <c r="C2" s="208" t="s">
        <v>1042</v>
      </c>
      <c r="D2" s="208" t="s">
        <v>1043</v>
      </c>
      <c r="E2" s="208" t="s">
        <v>224</v>
      </c>
      <c r="F2" s="208" t="s">
        <v>225</v>
      </c>
      <c r="G2" s="208" t="s">
        <v>226</v>
      </c>
      <c r="H2" s="208" t="s">
        <v>227</v>
      </c>
      <c r="I2" s="208" t="s">
        <v>1044</v>
      </c>
      <c r="J2" s="208" t="s">
        <v>1045</v>
      </c>
      <c r="K2" s="207" t="s">
        <v>100</v>
      </c>
      <c r="L2" s="207" t="s">
        <v>101</v>
      </c>
      <c r="M2" s="207" t="s">
        <v>102</v>
      </c>
      <c r="N2" s="207" t="s">
        <v>103</v>
      </c>
      <c r="O2" s="207" t="s">
        <v>104</v>
      </c>
      <c r="P2" s="207" t="s">
        <v>105</v>
      </c>
      <c r="Q2" s="208" t="s">
        <v>111</v>
      </c>
      <c r="R2" s="208" t="s">
        <v>112</v>
      </c>
      <c r="S2" s="208" t="s">
        <v>113</v>
      </c>
    </row>
    <row r="3" spans="1:26" ht="16.5" hidden="1" customHeight="1">
      <c r="A3" s="213"/>
      <c r="B3" s="213"/>
      <c r="C3" s="210"/>
      <c r="D3" s="210"/>
      <c r="E3" s="186" t="s">
        <v>55</v>
      </c>
      <c r="F3" s="186" t="s">
        <v>2434</v>
      </c>
      <c r="G3" s="186" t="s">
        <v>429</v>
      </c>
      <c r="H3" s="186" t="s">
        <v>243</v>
      </c>
      <c r="I3" s="186"/>
      <c r="J3" s="186">
        <v>2</v>
      </c>
      <c r="K3" s="186"/>
      <c r="L3" s="186"/>
      <c r="M3" s="90"/>
      <c r="N3" s="90"/>
      <c r="O3" s="90"/>
      <c r="P3" s="186"/>
      <c r="Q3" s="186"/>
      <c r="R3" s="122"/>
      <c r="S3" s="186" t="s">
        <v>2435</v>
      </c>
    </row>
    <row r="4" spans="1:26" ht="16.5" hidden="1" customHeight="1">
      <c r="A4" s="88"/>
      <c r="B4" s="88"/>
      <c r="C4" s="89"/>
      <c r="D4" s="89"/>
      <c r="E4" s="186" t="s">
        <v>55</v>
      </c>
      <c r="F4" s="186" t="s">
        <v>936</v>
      </c>
      <c r="G4" s="186" t="s">
        <v>247</v>
      </c>
      <c r="H4" s="186" t="s">
        <v>243</v>
      </c>
      <c r="I4" s="186"/>
      <c r="J4" s="186">
        <v>3</v>
      </c>
      <c r="K4" s="186"/>
      <c r="L4" s="186"/>
      <c r="M4" s="90"/>
      <c r="N4" s="90"/>
      <c r="O4" s="90"/>
      <c r="P4" s="186"/>
      <c r="Q4" s="186"/>
      <c r="R4" s="122"/>
      <c r="S4" s="186" t="s">
        <v>2436</v>
      </c>
    </row>
    <row r="5" spans="1:26" ht="16.5" hidden="1" customHeight="1">
      <c r="A5" s="90"/>
      <c r="B5" s="90"/>
      <c r="C5" s="90"/>
      <c r="D5" s="90"/>
      <c r="E5" s="90" t="s">
        <v>59</v>
      </c>
      <c r="F5" s="90" t="s">
        <v>987</v>
      </c>
      <c r="G5" s="90" t="s">
        <v>247</v>
      </c>
      <c r="H5" s="90" t="s">
        <v>243</v>
      </c>
      <c r="I5" s="90"/>
      <c r="J5" s="90">
        <v>4</v>
      </c>
      <c r="K5" s="90"/>
      <c r="L5" s="90"/>
      <c r="M5" s="90"/>
      <c r="N5" s="90"/>
      <c r="O5" s="90"/>
      <c r="P5" s="90"/>
      <c r="Q5" s="90"/>
      <c r="R5" s="90"/>
      <c r="S5" s="90" t="s">
        <v>2437</v>
      </c>
      <c r="T5" s="90"/>
      <c r="U5" s="90"/>
      <c r="V5" s="90"/>
      <c r="W5" s="90"/>
      <c r="X5" s="90"/>
      <c r="Y5" s="90"/>
      <c r="Z5" s="90"/>
    </row>
    <row r="6" spans="1:26" ht="16.5" hidden="1" customHeight="1">
      <c r="A6" s="88"/>
      <c r="B6" s="88"/>
      <c r="C6" s="89"/>
      <c r="D6" s="89"/>
      <c r="E6" s="186" t="s">
        <v>55</v>
      </c>
      <c r="F6" s="186" t="s">
        <v>989</v>
      </c>
      <c r="G6" s="186" t="s">
        <v>247</v>
      </c>
      <c r="H6" s="186" t="s">
        <v>243</v>
      </c>
      <c r="I6" s="186"/>
      <c r="J6" s="186">
        <v>5</v>
      </c>
      <c r="K6" s="186"/>
      <c r="L6" s="186"/>
      <c r="M6" s="90"/>
      <c r="N6" s="90"/>
      <c r="O6" s="90"/>
      <c r="P6" s="186"/>
      <c r="Q6" s="186"/>
      <c r="R6" s="122"/>
      <c r="S6" s="186" t="s">
        <v>2436</v>
      </c>
    </row>
    <row r="7" spans="1:26" ht="16.5" customHeight="1">
      <c r="A7" s="125"/>
      <c r="B7" s="125"/>
      <c r="C7" s="125"/>
      <c r="D7" s="125"/>
      <c r="E7" s="186" t="s">
        <v>59</v>
      </c>
      <c r="F7" s="186" t="s">
        <v>2438</v>
      </c>
      <c r="G7" s="186" t="s">
        <v>247</v>
      </c>
      <c r="H7" s="186" t="s">
        <v>243</v>
      </c>
      <c r="I7" s="186"/>
      <c r="J7" s="79">
        <v>6</v>
      </c>
      <c r="K7" s="148" t="s">
        <v>2562</v>
      </c>
      <c r="L7" s="186" t="s">
        <v>2563</v>
      </c>
      <c r="M7" s="126"/>
      <c r="N7" s="126"/>
      <c r="O7" s="126"/>
      <c r="P7" s="125"/>
      <c r="Q7" s="125"/>
      <c r="R7" s="40"/>
      <c r="S7" s="125" t="s">
        <v>2439</v>
      </c>
      <c r="T7" s="453"/>
      <c r="U7" s="453"/>
      <c r="V7" s="453"/>
      <c r="W7" s="453"/>
      <c r="X7" s="453"/>
      <c r="Y7" s="453"/>
      <c r="Z7" s="453"/>
    </row>
    <row r="8" spans="1:26" ht="16.5" hidden="1" customHeight="1">
      <c r="A8" s="88"/>
      <c r="B8" s="88"/>
      <c r="C8" s="89"/>
      <c r="D8" s="89"/>
      <c r="E8" s="186" t="s">
        <v>55</v>
      </c>
      <c r="F8" s="186" t="s">
        <v>2440</v>
      </c>
      <c r="G8" s="186" t="s">
        <v>247</v>
      </c>
      <c r="H8" s="186" t="s">
        <v>243</v>
      </c>
      <c r="I8" s="186"/>
      <c r="J8" s="186">
        <v>7</v>
      </c>
      <c r="K8" s="186"/>
      <c r="L8" s="186"/>
      <c r="M8" s="90"/>
      <c r="N8" s="90"/>
      <c r="O8" s="90"/>
      <c r="P8" s="186"/>
      <c r="Q8" s="186"/>
      <c r="R8" s="122"/>
      <c r="S8" s="186" t="s">
        <v>2436</v>
      </c>
    </row>
    <row r="9" spans="1:26" ht="16.5" hidden="1" customHeight="1">
      <c r="A9" s="88"/>
      <c r="B9" s="88"/>
      <c r="C9" s="89"/>
      <c r="D9" s="89"/>
      <c r="E9" s="186" t="s">
        <v>55</v>
      </c>
      <c r="F9" s="186" t="s">
        <v>2443</v>
      </c>
      <c r="G9" s="186" t="s">
        <v>247</v>
      </c>
      <c r="H9" s="186" t="s">
        <v>243</v>
      </c>
      <c r="I9" s="186"/>
      <c r="J9" s="186">
        <v>8</v>
      </c>
      <c r="K9" s="186"/>
      <c r="L9" s="186"/>
      <c r="M9" s="90"/>
      <c r="N9" s="90"/>
      <c r="O9" s="90"/>
      <c r="P9" s="186"/>
      <c r="Q9" s="186"/>
      <c r="R9" s="122"/>
      <c r="S9" s="186" t="s">
        <v>2436</v>
      </c>
    </row>
    <row r="10" spans="1:26" ht="16.5" hidden="1" customHeight="1">
      <c r="A10" s="88"/>
      <c r="B10" s="88"/>
      <c r="C10" s="89"/>
      <c r="D10" s="89"/>
      <c r="E10" s="186" t="s">
        <v>55</v>
      </c>
      <c r="F10" s="186" t="s">
        <v>2444</v>
      </c>
      <c r="G10" s="186" t="s">
        <v>247</v>
      </c>
      <c r="H10" s="186" t="s">
        <v>243</v>
      </c>
      <c r="I10" s="186"/>
      <c r="J10" s="186">
        <v>9</v>
      </c>
      <c r="K10" s="186"/>
      <c r="L10" s="186"/>
      <c r="M10" s="90"/>
      <c r="N10" s="90"/>
      <c r="O10" s="90"/>
      <c r="P10" s="186"/>
      <c r="Q10" s="186"/>
      <c r="R10" s="122"/>
      <c r="S10" s="186" t="s">
        <v>2436</v>
      </c>
    </row>
    <row r="11" spans="1:26" ht="16.5" hidden="1" customHeight="1">
      <c r="A11" s="88"/>
      <c r="B11" s="88"/>
      <c r="C11" s="89"/>
      <c r="D11" s="89"/>
      <c r="E11" s="186" t="s">
        <v>55</v>
      </c>
      <c r="F11" s="186" t="s">
        <v>2445</v>
      </c>
      <c r="G11" s="186" t="s">
        <v>247</v>
      </c>
      <c r="H11" s="186" t="s">
        <v>243</v>
      </c>
      <c r="I11" s="186"/>
      <c r="J11" s="186">
        <v>10</v>
      </c>
      <c r="K11" s="186"/>
      <c r="L11" s="186"/>
      <c r="M11" s="90"/>
      <c r="N11" s="90"/>
      <c r="O11" s="90"/>
      <c r="P11" s="186"/>
      <c r="Q11" s="186"/>
      <c r="R11" s="122"/>
      <c r="S11" s="186" t="s">
        <v>2436</v>
      </c>
    </row>
    <row r="12" spans="1:26" ht="16.5" hidden="1" customHeight="1">
      <c r="A12" s="88"/>
      <c r="B12" s="88"/>
      <c r="C12" s="89"/>
      <c r="D12" s="89"/>
      <c r="E12" s="125" t="s">
        <v>59</v>
      </c>
      <c r="F12" s="186" t="s">
        <v>150</v>
      </c>
      <c r="G12" s="186" t="s">
        <v>247</v>
      </c>
      <c r="H12" s="186" t="s">
        <v>243</v>
      </c>
      <c r="I12" s="186"/>
      <c r="J12" s="186">
        <v>11</v>
      </c>
      <c r="K12" s="186"/>
      <c r="L12" s="186"/>
      <c r="M12" s="90"/>
      <c r="N12" s="90"/>
      <c r="O12" s="90"/>
      <c r="P12" s="186"/>
      <c r="Q12" s="186"/>
      <c r="R12" s="122"/>
      <c r="S12" s="186" t="s">
        <v>2446</v>
      </c>
    </row>
    <row r="13" spans="1:26" ht="16.5" hidden="1" customHeight="1">
      <c r="A13" s="213"/>
      <c r="B13" s="213"/>
      <c r="C13" s="210"/>
      <c r="D13" s="210"/>
      <c r="E13" s="186" t="s">
        <v>59</v>
      </c>
      <c r="F13" s="186" t="s">
        <v>308</v>
      </c>
      <c r="G13" s="186" t="s">
        <v>247</v>
      </c>
      <c r="H13" s="186" t="s">
        <v>243</v>
      </c>
      <c r="I13" s="186"/>
      <c r="J13" s="186">
        <v>12</v>
      </c>
      <c r="K13" s="186"/>
      <c r="L13" s="186"/>
      <c r="M13" s="90"/>
      <c r="N13" s="90"/>
      <c r="O13" s="90"/>
      <c r="P13" s="186"/>
      <c r="Q13" s="186"/>
      <c r="R13" s="122"/>
      <c r="S13" s="186" t="s">
        <v>2447</v>
      </c>
    </row>
    <row r="14" spans="1:26" ht="16.5" hidden="1" customHeight="1">
      <c r="A14" s="213"/>
      <c r="B14" s="213"/>
      <c r="C14" s="210"/>
      <c r="D14" s="210"/>
      <c r="E14" s="186" t="s">
        <v>55</v>
      </c>
      <c r="F14" s="186" t="s">
        <v>310</v>
      </c>
      <c r="G14" s="186" t="s">
        <v>247</v>
      </c>
      <c r="H14" s="186" t="s">
        <v>243</v>
      </c>
      <c r="I14" s="186"/>
      <c r="J14" s="186">
        <v>13</v>
      </c>
      <c r="K14" s="186"/>
      <c r="L14" s="186"/>
      <c r="M14" s="90"/>
      <c r="N14" s="90"/>
      <c r="O14" s="90"/>
      <c r="P14" s="186"/>
      <c r="Q14" s="186"/>
      <c r="R14" s="122"/>
      <c r="S14" s="186" t="s">
        <v>2448</v>
      </c>
    </row>
    <row r="15" spans="1:26" ht="16.5" hidden="1" customHeight="1">
      <c r="A15" s="213"/>
      <c r="B15" s="213"/>
      <c r="C15" s="210"/>
      <c r="D15" s="210"/>
      <c r="E15" s="186" t="s">
        <v>53</v>
      </c>
      <c r="F15" s="186" t="s">
        <v>1189</v>
      </c>
      <c r="G15" s="186" t="s">
        <v>249</v>
      </c>
      <c r="H15" s="186" t="s">
        <v>243</v>
      </c>
      <c r="I15" s="186"/>
      <c r="J15" s="186">
        <v>14</v>
      </c>
      <c r="K15" s="186"/>
      <c r="L15" s="186"/>
      <c r="M15" s="90"/>
      <c r="N15" s="90"/>
      <c r="O15" s="90"/>
      <c r="P15" s="186"/>
      <c r="Q15" s="186"/>
      <c r="R15" s="122"/>
      <c r="S15" s="186" t="s">
        <v>1190</v>
      </c>
    </row>
    <row r="16" spans="1:26" ht="16.5" hidden="1" customHeight="1">
      <c r="A16" s="213"/>
      <c r="B16" s="213"/>
      <c r="C16" s="210"/>
      <c r="D16" s="210"/>
      <c r="E16" s="186" t="s">
        <v>53</v>
      </c>
      <c r="F16" s="186" t="s">
        <v>1191</v>
      </c>
      <c r="G16" s="186" t="s">
        <v>252</v>
      </c>
      <c r="H16" s="186" t="s">
        <v>243</v>
      </c>
      <c r="I16" s="186"/>
      <c r="J16" s="186">
        <v>15</v>
      </c>
      <c r="K16" s="186"/>
      <c r="L16" s="186"/>
      <c r="M16" s="90"/>
      <c r="N16" s="90"/>
      <c r="O16" s="90"/>
      <c r="P16" s="186"/>
      <c r="Q16" s="186"/>
      <c r="R16" s="122"/>
      <c r="S16" s="186" t="s">
        <v>1190</v>
      </c>
    </row>
    <row r="17" spans="1:26" ht="16.5" hidden="1" customHeight="1">
      <c r="A17" s="213"/>
      <c r="B17" s="213"/>
      <c r="C17" s="210"/>
      <c r="D17" s="210"/>
      <c r="E17" s="186" t="s">
        <v>53</v>
      </c>
      <c r="F17" s="186" t="s">
        <v>1192</v>
      </c>
      <c r="G17" s="186" t="s">
        <v>242</v>
      </c>
      <c r="H17" s="186" t="s">
        <v>243</v>
      </c>
      <c r="I17" s="186"/>
      <c r="J17" s="186">
        <v>16</v>
      </c>
      <c r="K17" s="186"/>
      <c r="L17" s="186"/>
      <c r="M17" s="90"/>
      <c r="N17" s="90"/>
      <c r="O17" s="90"/>
      <c r="P17" s="186"/>
      <c r="Q17" s="186"/>
      <c r="R17" s="122"/>
      <c r="S17" s="186" t="s">
        <v>1190</v>
      </c>
    </row>
    <row r="18" spans="1:26" ht="16.5" hidden="1" customHeight="1">
      <c r="A18" s="213"/>
      <c r="B18" s="213"/>
      <c r="C18" s="210"/>
      <c r="D18" s="210"/>
      <c r="E18" s="186" t="s">
        <v>53</v>
      </c>
      <c r="F18" s="186" t="s">
        <v>1193</v>
      </c>
      <c r="G18" s="186" t="s">
        <v>247</v>
      </c>
      <c r="H18" s="186" t="s">
        <v>243</v>
      </c>
      <c r="I18" s="186"/>
      <c r="J18" s="79">
        <v>17</v>
      </c>
      <c r="K18" s="186"/>
      <c r="L18" s="186"/>
      <c r="M18" s="90"/>
      <c r="N18" s="90"/>
      <c r="O18" s="90"/>
      <c r="P18" s="186"/>
      <c r="Q18" s="186"/>
      <c r="R18" s="122"/>
      <c r="S18" s="186" t="s">
        <v>1190</v>
      </c>
    </row>
    <row r="19" spans="1:26" ht="16.5" hidden="1" customHeight="1">
      <c r="A19" s="213"/>
      <c r="B19" s="213"/>
      <c r="C19" s="210"/>
      <c r="D19" s="210"/>
      <c r="E19" s="186" t="s">
        <v>53</v>
      </c>
      <c r="F19" s="186" t="s">
        <v>1194</v>
      </c>
      <c r="G19" s="186" t="s">
        <v>252</v>
      </c>
      <c r="H19" s="186" t="s">
        <v>243</v>
      </c>
      <c r="I19" s="186"/>
      <c r="J19" s="186">
        <v>18</v>
      </c>
      <c r="K19" s="186"/>
      <c r="L19" s="186"/>
      <c r="M19" s="90"/>
      <c r="N19" s="90"/>
      <c r="O19" s="90"/>
      <c r="P19" s="186"/>
      <c r="Q19" s="186"/>
      <c r="R19" s="122"/>
      <c r="S19" s="186" t="s">
        <v>1190</v>
      </c>
    </row>
    <row r="20" spans="1:26" ht="16.5" hidden="1" customHeight="1">
      <c r="A20" s="213"/>
      <c r="B20" s="213"/>
      <c r="C20" s="210"/>
      <c r="D20" s="210"/>
      <c r="E20" s="186" t="s">
        <v>53</v>
      </c>
      <c r="F20" s="186" t="s">
        <v>1195</v>
      </c>
      <c r="G20" s="186" t="s">
        <v>247</v>
      </c>
      <c r="H20" s="186" t="s">
        <v>243</v>
      </c>
      <c r="I20" s="186"/>
      <c r="J20" s="186">
        <v>19</v>
      </c>
      <c r="K20" s="186"/>
      <c r="L20" s="186"/>
      <c r="M20" s="90"/>
      <c r="N20" s="90"/>
      <c r="O20" s="90"/>
      <c r="P20" s="186"/>
      <c r="Q20" s="186"/>
      <c r="R20" s="122"/>
      <c r="S20" s="186" t="s">
        <v>1190</v>
      </c>
    </row>
    <row r="21" spans="1:26" ht="16.5" hidden="1" customHeight="1">
      <c r="A21" s="292"/>
      <c r="B21" s="292"/>
      <c r="C21" s="292"/>
      <c r="D21" s="292"/>
      <c r="E21" s="125" t="s">
        <v>53</v>
      </c>
      <c r="F21" s="125" t="s">
        <v>1956</v>
      </c>
      <c r="G21" s="125" t="s">
        <v>252</v>
      </c>
      <c r="H21" s="125" t="s">
        <v>243</v>
      </c>
      <c r="I21" s="125"/>
      <c r="J21" s="125">
        <v>20</v>
      </c>
      <c r="K21" s="125"/>
      <c r="L21" s="125"/>
      <c r="M21" s="126"/>
      <c r="N21" s="126"/>
      <c r="O21" s="126"/>
      <c r="P21" s="125"/>
      <c r="Q21" s="125"/>
      <c r="R21" s="40"/>
      <c r="S21" s="125" t="s">
        <v>1190</v>
      </c>
      <c r="T21" s="453"/>
      <c r="U21" s="453"/>
      <c r="V21" s="453"/>
      <c r="W21" s="453"/>
      <c r="X21" s="453"/>
      <c r="Y21" s="453"/>
      <c r="Z21" s="453"/>
    </row>
    <row r="22" spans="1:26" ht="16.5" hidden="1" customHeight="1">
      <c r="A22" s="292"/>
      <c r="B22" s="292"/>
      <c r="C22" s="292"/>
      <c r="D22" s="292"/>
      <c r="E22" s="125" t="s">
        <v>53</v>
      </c>
      <c r="F22" s="125" t="s">
        <v>1957</v>
      </c>
      <c r="G22" s="125" t="s">
        <v>252</v>
      </c>
      <c r="H22" s="125" t="s">
        <v>243</v>
      </c>
      <c r="I22" s="125"/>
      <c r="J22" s="125">
        <v>21</v>
      </c>
      <c r="K22" s="125"/>
      <c r="L22" s="125"/>
      <c r="M22" s="126"/>
      <c r="N22" s="126"/>
      <c r="O22" s="126"/>
      <c r="P22" s="125"/>
      <c r="Q22" s="125"/>
      <c r="R22" s="40"/>
      <c r="S22" s="125" t="s">
        <v>1190</v>
      </c>
      <c r="T22" s="453"/>
      <c r="U22" s="453"/>
      <c r="V22" s="453"/>
      <c r="W22" s="453"/>
      <c r="X22" s="453"/>
      <c r="Y22" s="453"/>
      <c r="Z22" s="453"/>
    </row>
    <row r="23" spans="1:26" ht="16.5" hidden="1" customHeight="1">
      <c r="A23" s="213"/>
      <c r="B23" s="213"/>
      <c r="C23" s="210"/>
      <c r="D23" s="210"/>
      <c r="E23" s="186" t="s">
        <v>53</v>
      </c>
      <c r="F23" s="186" t="s">
        <v>1196</v>
      </c>
      <c r="G23" s="186" t="s">
        <v>535</v>
      </c>
      <c r="H23" s="186" t="s">
        <v>903</v>
      </c>
      <c r="I23" s="186"/>
      <c r="J23" s="186">
        <v>22</v>
      </c>
      <c r="K23" s="186"/>
      <c r="L23" s="186"/>
      <c r="M23" s="90"/>
      <c r="N23" s="90"/>
      <c r="O23" s="90"/>
      <c r="P23" s="186"/>
      <c r="Q23" s="186"/>
      <c r="R23" s="122"/>
      <c r="S23" s="186" t="s">
        <v>1190</v>
      </c>
    </row>
    <row r="24" spans="1:26" ht="16.5" hidden="1" customHeight="1">
      <c r="A24" s="292"/>
      <c r="B24" s="292"/>
      <c r="C24" s="292"/>
      <c r="D24" s="292"/>
      <c r="E24" s="125" t="s">
        <v>55</v>
      </c>
      <c r="F24" s="125" t="s">
        <v>2449</v>
      </c>
      <c r="G24" s="125" t="s">
        <v>324</v>
      </c>
      <c r="H24" s="125" t="s">
        <v>243</v>
      </c>
      <c r="I24" s="125"/>
      <c r="J24" s="125">
        <v>23</v>
      </c>
      <c r="K24" s="125"/>
      <c r="L24" s="92"/>
      <c r="M24" s="126"/>
      <c r="N24" s="126"/>
      <c r="O24" s="126"/>
      <c r="P24" s="125"/>
      <c r="Q24" s="125"/>
      <c r="R24" s="40"/>
      <c r="S24" s="125" t="s">
        <v>2450</v>
      </c>
      <c r="T24" s="453"/>
      <c r="U24" s="453"/>
      <c r="V24" s="453"/>
      <c r="W24" s="453"/>
      <c r="X24" s="453"/>
      <c r="Y24" s="453"/>
      <c r="Z24" s="453"/>
    </row>
    <row r="25" spans="1:26" ht="16.5" hidden="1" customHeight="1">
      <c r="A25" s="213"/>
      <c r="B25" s="213"/>
      <c r="C25" s="210"/>
      <c r="D25" s="210"/>
      <c r="E25" s="186" t="s">
        <v>59</v>
      </c>
      <c r="F25" s="186" t="s">
        <v>341</v>
      </c>
      <c r="G25" s="186" t="s">
        <v>247</v>
      </c>
      <c r="H25" s="186" t="s">
        <v>243</v>
      </c>
      <c r="I25" s="186"/>
      <c r="J25" s="186">
        <v>24</v>
      </c>
      <c r="K25" s="186"/>
      <c r="L25" s="186"/>
      <c r="M25" s="90"/>
      <c r="N25" s="90"/>
      <c r="O25" s="90"/>
      <c r="P25" s="186"/>
      <c r="Q25" s="186"/>
      <c r="R25" s="122"/>
      <c r="S25" s="186" t="s">
        <v>2451</v>
      </c>
    </row>
    <row r="26" spans="1:26" ht="16.5" hidden="1" customHeight="1">
      <c r="A26" s="213"/>
      <c r="B26" s="213"/>
      <c r="C26" s="210"/>
      <c r="D26" s="210"/>
      <c r="E26" s="186" t="s">
        <v>59</v>
      </c>
      <c r="F26" s="186" t="s">
        <v>343</v>
      </c>
      <c r="G26" s="186" t="s">
        <v>247</v>
      </c>
      <c r="H26" s="186" t="s">
        <v>243</v>
      </c>
      <c r="I26" s="186"/>
      <c r="J26" s="186">
        <v>25</v>
      </c>
      <c r="K26" s="186"/>
      <c r="L26" s="186"/>
      <c r="M26" s="90"/>
      <c r="N26" s="90"/>
      <c r="O26" s="90"/>
      <c r="P26" s="186"/>
      <c r="Q26" s="186"/>
      <c r="R26" s="122"/>
      <c r="S26" s="186" t="s">
        <v>1560</v>
      </c>
    </row>
    <row r="27" spans="1:26" ht="16.5" hidden="1" customHeight="1">
      <c r="A27" s="213"/>
      <c r="B27" s="213"/>
      <c r="C27" s="210"/>
      <c r="D27" s="210"/>
      <c r="E27" s="186" t="s">
        <v>59</v>
      </c>
      <c r="F27" s="186" t="s">
        <v>2452</v>
      </c>
      <c r="G27" s="186" t="s">
        <v>247</v>
      </c>
      <c r="H27" s="186" t="s">
        <v>243</v>
      </c>
      <c r="I27" s="186"/>
      <c r="J27" s="186">
        <v>26</v>
      </c>
      <c r="K27" s="186"/>
      <c r="L27" s="186"/>
      <c r="M27" s="90"/>
      <c r="N27" s="90"/>
      <c r="O27" s="90"/>
      <c r="P27" s="186"/>
      <c r="Q27" s="186"/>
      <c r="R27" s="122"/>
      <c r="S27" s="186" t="s">
        <v>2453</v>
      </c>
    </row>
    <row r="28" spans="1:26" ht="16.5" hidden="1" customHeight="1">
      <c r="A28" s="213"/>
      <c r="B28" s="213"/>
      <c r="C28" s="210"/>
      <c r="D28" s="210"/>
      <c r="E28" s="186" t="s">
        <v>59</v>
      </c>
      <c r="F28" s="186" t="s">
        <v>318</v>
      </c>
      <c r="G28" s="186" t="s">
        <v>264</v>
      </c>
      <c r="H28" s="186" t="s">
        <v>243</v>
      </c>
      <c r="I28" s="186"/>
      <c r="J28" s="186">
        <v>27</v>
      </c>
      <c r="K28" s="186"/>
      <c r="L28" s="186"/>
      <c r="M28" s="90"/>
      <c r="N28" s="90"/>
      <c r="O28" s="90"/>
      <c r="P28" s="186"/>
      <c r="Q28" s="186"/>
      <c r="R28" s="122"/>
      <c r="S28" s="186" t="s">
        <v>318</v>
      </c>
    </row>
    <row r="29" spans="1:26" ht="16.5" hidden="1" customHeight="1">
      <c r="A29" s="213"/>
      <c r="B29" s="213"/>
      <c r="C29" s="210"/>
      <c r="D29" s="210"/>
      <c r="E29" s="186" t="s">
        <v>55</v>
      </c>
      <c r="F29" s="186" t="s">
        <v>2454</v>
      </c>
      <c r="G29" s="186" t="s">
        <v>264</v>
      </c>
      <c r="H29" s="186" t="s">
        <v>243</v>
      </c>
      <c r="I29" s="186"/>
      <c r="J29" s="186">
        <v>28</v>
      </c>
      <c r="K29" s="186"/>
      <c r="L29" s="186"/>
      <c r="M29" s="90"/>
      <c r="N29" s="90"/>
      <c r="O29" s="90"/>
      <c r="P29" s="186"/>
      <c r="Q29" s="186"/>
      <c r="R29" s="122"/>
      <c r="S29" s="186" t="s">
        <v>2455</v>
      </c>
    </row>
    <row r="30" spans="1:26" ht="16.5" hidden="1" customHeight="1">
      <c r="A30" s="213"/>
      <c r="B30" s="213"/>
      <c r="C30" s="210"/>
      <c r="D30" s="210"/>
      <c r="E30" s="186" t="s">
        <v>55</v>
      </c>
      <c r="F30" s="186" t="s">
        <v>2456</v>
      </c>
      <c r="G30" s="186" t="s">
        <v>255</v>
      </c>
      <c r="H30" s="186" t="s">
        <v>243</v>
      </c>
      <c r="I30" s="186"/>
      <c r="J30" s="186">
        <v>29</v>
      </c>
      <c r="K30" s="186"/>
      <c r="L30" s="186"/>
      <c r="M30" s="90"/>
      <c r="N30" s="90"/>
      <c r="O30" s="90"/>
      <c r="P30" s="186"/>
      <c r="Q30" s="186"/>
      <c r="R30" s="122"/>
      <c r="S30" s="186" t="s">
        <v>2457</v>
      </c>
    </row>
    <row r="31" spans="1:26" ht="16.5" hidden="1" customHeight="1">
      <c r="A31" s="213"/>
      <c r="B31" s="213"/>
      <c r="C31" s="210"/>
      <c r="D31" s="210"/>
      <c r="E31" s="186" t="s">
        <v>55</v>
      </c>
      <c r="F31" s="186" t="s">
        <v>2458</v>
      </c>
      <c r="G31" s="186" t="s">
        <v>255</v>
      </c>
      <c r="H31" s="186" t="s">
        <v>243</v>
      </c>
      <c r="I31" s="186"/>
      <c r="J31" s="186">
        <v>30</v>
      </c>
      <c r="K31" s="186"/>
      <c r="L31" s="186"/>
      <c r="M31" s="90"/>
      <c r="N31" s="90"/>
      <c r="O31" s="90"/>
      <c r="P31" s="186"/>
      <c r="Q31" s="186"/>
      <c r="R31" s="122"/>
      <c r="S31" s="186" t="s">
        <v>2459</v>
      </c>
    </row>
    <row r="32" spans="1:26" ht="12.5">
      <c r="A32" s="248"/>
      <c r="B32" s="248"/>
      <c r="C32" s="248"/>
      <c r="D32" s="248"/>
      <c r="E32" s="90" t="s">
        <v>61</v>
      </c>
      <c r="F32" s="90" t="s">
        <v>126</v>
      </c>
      <c r="G32" s="90" t="s">
        <v>242</v>
      </c>
      <c r="H32" s="90" t="s">
        <v>243</v>
      </c>
      <c r="I32" s="90"/>
      <c r="J32" s="78">
        <v>31</v>
      </c>
      <c r="K32" s="148" t="s">
        <v>2564</v>
      </c>
      <c r="L32" s="90" t="s">
        <v>2565</v>
      </c>
      <c r="M32" s="90"/>
      <c r="N32" s="121"/>
      <c r="O32" s="90"/>
      <c r="P32" s="90"/>
      <c r="Q32" s="90"/>
      <c r="R32" s="90"/>
      <c r="S32" s="90" t="s">
        <v>2462</v>
      </c>
      <c r="T32" s="90"/>
      <c r="U32" s="90"/>
      <c r="V32" s="90"/>
      <c r="W32" s="90"/>
      <c r="X32" s="90"/>
      <c r="Y32" s="90"/>
      <c r="Z32" s="90"/>
    </row>
    <row r="33" spans="1:26" ht="16.5" hidden="1" customHeight="1">
      <c r="A33" s="213"/>
      <c r="B33" s="213"/>
      <c r="C33" s="210"/>
      <c r="D33" s="210"/>
      <c r="E33" s="186" t="s">
        <v>59</v>
      </c>
      <c r="F33" s="186" t="s">
        <v>2463</v>
      </c>
      <c r="G33" s="186" t="s">
        <v>242</v>
      </c>
      <c r="H33" s="186" t="s">
        <v>243</v>
      </c>
      <c r="I33" s="186"/>
      <c r="J33" s="186">
        <v>32</v>
      </c>
      <c r="K33" s="186"/>
      <c r="L33" s="186"/>
      <c r="M33" s="90"/>
      <c r="N33" s="90"/>
      <c r="O33" s="90"/>
      <c r="P33" s="186"/>
      <c r="Q33" s="186"/>
      <c r="R33" s="122"/>
      <c r="S33" s="186" t="s">
        <v>2464</v>
      </c>
    </row>
    <row r="34" spans="1:26" ht="16.5" hidden="1" customHeight="1">
      <c r="A34" s="213"/>
      <c r="B34" s="213"/>
      <c r="C34" s="210"/>
      <c r="D34" s="210"/>
      <c r="E34" s="186" t="s">
        <v>55</v>
      </c>
      <c r="F34" s="186" t="s">
        <v>2465</v>
      </c>
      <c r="G34" s="186" t="s">
        <v>255</v>
      </c>
      <c r="H34" s="186" t="s">
        <v>243</v>
      </c>
      <c r="I34" s="186"/>
      <c r="J34" s="186">
        <v>33</v>
      </c>
      <c r="K34" s="186"/>
      <c r="L34" s="186"/>
      <c r="M34" s="90"/>
      <c r="N34" s="90"/>
      <c r="O34" s="90"/>
      <c r="P34" s="186"/>
      <c r="Q34" s="186"/>
      <c r="R34" s="122"/>
      <c r="S34" s="186" t="s">
        <v>2466</v>
      </c>
    </row>
    <row r="35" spans="1:26" ht="16.5" hidden="1" customHeight="1">
      <c r="A35" s="213"/>
      <c r="B35" s="213"/>
      <c r="C35" s="210"/>
      <c r="D35" s="210"/>
      <c r="E35" s="186" t="s">
        <v>59</v>
      </c>
      <c r="F35" s="186" t="s">
        <v>2467</v>
      </c>
      <c r="G35" s="186" t="s">
        <v>2468</v>
      </c>
      <c r="H35" s="186" t="s">
        <v>243</v>
      </c>
      <c r="I35" s="186"/>
      <c r="J35" s="186">
        <v>34</v>
      </c>
      <c r="K35" s="186"/>
      <c r="L35" s="186"/>
      <c r="M35" s="90"/>
      <c r="N35" s="90"/>
      <c r="O35" s="90"/>
      <c r="P35" s="186"/>
      <c r="Q35" s="186"/>
      <c r="R35" s="122"/>
      <c r="S35" s="186" t="s">
        <v>2469</v>
      </c>
    </row>
    <row r="36" spans="1:26" ht="16.5" hidden="1" customHeight="1">
      <c r="A36" s="213"/>
      <c r="B36" s="213"/>
      <c r="C36" s="210"/>
      <c r="D36" s="210"/>
      <c r="E36" s="186" t="s">
        <v>53</v>
      </c>
      <c r="F36" s="186" t="s">
        <v>124</v>
      </c>
      <c r="G36" s="186" t="s">
        <v>535</v>
      </c>
      <c r="H36" s="186" t="s">
        <v>903</v>
      </c>
      <c r="I36" s="186"/>
      <c r="J36" s="186">
        <v>1</v>
      </c>
      <c r="K36" s="186"/>
      <c r="L36" s="186"/>
      <c r="M36" s="90"/>
      <c r="N36" s="90"/>
      <c r="O36" s="90"/>
      <c r="P36" s="186"/>
      <c r="Q36" s="186"/>
      <c r="R36" s="122"/>
      <c r="S36" s="186" t="s">
        <v>1190</v>
      </c>
    </row>
    <row r="37" spans="1:26" ht="16.5" hidden="1" customHeight="1">
      <c r="A37" s="213"/>
      <c r="B37" s="213"/>
      <c r="C37" s="210"/>
      <c r="D37" s="210"/>
      <c r="E37" s="186" t="s">
        <v>59</v>
      </c>
      <c r="F37" s="186" t="s">
        <v>2470</v>
      </c>
      <c r="G37" s="186" t="s">
        <v>2471</v>
      </c>
      <c r="H37" s="186"/>
      <c r="I37" s="186"/>
      <c r="J37" s="186"/>
      <c r="K37" s="186"/>
      <c r="L37" s="186"/>
      <c r="M37" s="90"/>
      <c r="N37" s="90"/>
      <c r="O37" s="90"/>
      <c r="P37" s="186"/>
      <c r="Q37" s="122"/>
      <c r="R37" s="123"/>
      <c r="S37" t="s">
        <v>2472</v>
      </c>
    </row>
    <row r="38" spans="1:26" ht="16.5" hidden="1" customHeight="1">
      <c r="A38" s="213"/>
      <c r="B38" s="213"/>
      <c r="C38" s="210"/>
      <c r="D38" s="210"/>
      <c r="E38" s="186" t="s">
        <v>59</v>
      </c>
      <c r="F38" s="186" t="s">
        <v>322</v>
      </c>
      <c r="G38" s="186" t="s">
        <v>264</v>
      </c>
      <c r="H38" s="186" t="s">
        <v>243</v>
      </c>
      <c r="I38" s="186"/>
      <c r="J38" s="186">
        <v>35</v>
      </c>
      <c r="K38" s="186"/>
      <c r="L38" s="186"/>
      <c r="M38" s="90"/>
      <c r="N38" s="90"/>
      <c r="O38" s="90"/>
      <c r="P38" s="186"/>
      <c r="Q38" s="186"/>
      <c r="R38" s="122"/>
      <c r="S38" s="186" t="s">
        <v>322</v>
      </c>
    </row>
    <row r="39" spans="1:26" ht="16.5" hidden="1" customHeight="1">
      <c r="A39" s="213"/>
      <c r="B39" s="213"/>
      <c r="C39" s="210"/>
      <c r="D39" s="210"/>
      <c r="E39" s="186" t="s">
        <v>55</v>
      </c>
      <c r="F39" s="186" t="s">
        <v>2473</v>
      </c>
      <c r="G39" s="186" t="s">
        <v>252</v>
      </c>
      <c r="H39" s="186" t="s">
        <v>243</v>
      </c>
      <c r="I39" s="186"/>
      <c r="J39" s="186">
        <v>36</v>
      </c>
      <c r="K39" s="186"/>
      <c r="L39" s="186"/>
      <c r="M39" s="90"/>
      <c r="N39" s="90"/>
      <c r="O39" s="90"/>
      <c r="P39" s="186"/>
      <c r="Q39" s="186"/>
      <c r="R39" s="122"/>
      <c r="S39" s="186" t="s">
        <v>2474</v>
      </c>
    </row>
    <row r="40" spans="1:26" ht="16.5" hidden="1" customHeight="1">
      <c r="A40" s="213"/>
      <c r="B40" s="213"/>
      <c r="C40" s="210"/>
      <c r="D40" s="210"/>
      <c r="E40" s="186" t="s">
        <v>55</v>
      </c>
      <c r="F40" s="186" t="s">
        <v>2475</v>
      </c>
      <c r="G40" s="186" t="s">
        <v>2476</v>
      </c>
      <c r="H40" s="186" t="s">
        <v>243</v>
      </c>
      <c r="I40" s="186"/>
      <c r="J40" s="186">
        <v>37</v>
      </c>
      <c r="K40" s="186"/>
      <c r="L40" s="186"/>
      <c r="M40" s="90"/>
      <c r="N40" s="90"/>
      <c r="O40" s="90"/>
      <c r="P40" s="186"/>
      <c r="Q40" s="186"/>
      <c r="R40" s="122"/>
      <c r="S40" s="186" t="s">
        <v>2477</v>
      </c>
    </row>
    <row r="41" spans="1:26" ht="16.5" hidden="1" customHeight="1">
      <c r="A41" s="213"/>
      <c r="B41" s="213"/>
      <c r="C41" s="210"/>
      <c r="D41" s="210"/>
      <c r="E41" s="186" t="s">
        <v>59</v>
      </c>
      <c r="F41" s="186" t="s">
        <v>2478</v>
      </c>
      <c r="G41" s="186" t="s">
        <v>2479</v>
      </c>
      <c r="H41" s="186"/>
      <c r="I41" s="186"/>
      <c r="J41" s="186"/>
      <c r="K41" s="186"/>
      <c r="L41" s="186"/>
      <c r="M41" s="90"/>
      <c r="N41" s="90"/>
      <c r="O41" s="90"/>
      <c r="P41" s="186"/>
      <c r="Q41" s="122"/>
      <c r="R41" s="123"/>
      <c r="S41" t="s">
        <v>2480</v>
      </c>
    </row>
    <row r="42" spans="1:26" ht="16.5" hidden="1" customHeight="1">
      <c r="A42" s="248"/>
      <c r="B42" s="248"/>
      <c r="C42" s="248"/>
      <c r="D42" s="248"/>
      <c r="E42" s="125" t="s">
        <v>59</v>
      </c>
      <c r="F42" s="90" t="s">
        <v>155</v>
      </c>
      <c r="G42" s="90" t="s">
        <v>429</v>
      </c>
      <c r="H42" s="90" t="s">
        <v>243</v>
      </c>
      <c r="I42" s="90"/>
      <c r="J42" s="90">
        <v>38</v>
      </c>
      <c r="K42" s="90"/>
      <c r="L42" s="90"/>
      <c r="M42" s="90"/>
      <c r="N42" s="90"/>
      <c r="O42" s="90"/>
      <c r="P42" s="90"/>
      <c r="Q42" s="90"/>
      <c r="R42" s="90"/>
      <c r="S42" s="90" t="s">
        <v>2481</v>
      </c>
      <c r="T42" s="90"/>
      <c r="U42" s="90"/>
      <c r="V42" s="90"/>
      <c r="W42" s="90"/>
      <c r="X42" s="90"/>
      <c r="Y42" s="90"/>
      <c r="Z42" s="90"/>
    </row>
    <row r="43" spans="1:26" ht="16.5" hidden="1" customHeight="1">
      <c r="A43" s="213"/>
      <c r="B43" s="213"/>
      <c r="C43" s="210"/>
      <c r="D43" s="210"/>
      <c r="E43" s="186" t="s">
        <v>59</v>
      </c>
      <c r="F43" s="186" t="s">
        <v>2482</v>
      </c>
      <c r="G43" s="186" t="s">
        <v>1855</v>
      </c>
      <c r="H43" s="186"/>
      <c r="I43" s="186"/>
      <c r="J43" s="186"/>
      <c r="K43" s="186"/>
      <c r="L43" s="186"/>
      <c r="M43" s="90"/>
      <c r="N43" s="90"/>
      <c r="O43" s="90"/>
      <c r="P43" s="186"/>
      <c r="Q43" s="122"/>
      <c r="R43" s="123"/>
      <c r="S43" t="s">
        <v>2483</v>
      </c>
    </row>
    <row r="44" spans="1:26" ht="16.5" hidden="1" customHeight="1">
      <c r="A44" s="213"/>
      <c r="B44" s="213"/>
      <c r="C44" s="210"/>
      <c r="D44" s="210"/>
      <c r="E44" s="186" t="s">
        <v>59</v>
      </c>
      <c r="F44" s="186" t="s">
        <v>353</v>
      </c>
      <c r="G44" s="186" t="s">
        <v>2484</v>
      </c>
      <c r="H44" s="186" t="s">
        <v>243</v>
      </c>
      <c r="I44" s="186"/>
      <c r="J44" s="186">
        <v>68</v>
      </c>
      <c r="K44" s="186"/>
      <c r="L44" s="186"/>
      <c r="M44" s="90"/>
      <c r="N44" s="90"/>
      <c r="O44" s="90"/>
      <c r="P44" s="186"/>
      <c r="Q44" s="122"/>
      <c r="R44" s="123"/>
      <c r="S44" s="186" t="s">
        <v>2300</v>
      </c>
    </row>
    <row r="45" spans="1:26" ht="16.5" hidden="1" customHeight="1">
      <c r="A45" s="213"/>
      <c r="B45" s="213"/>
      <c r="C45" s="210"/>
      <c r="D45" s="210"/>
      <c r="E45" s="186" t="s">
        <v>55</v>
      </c>
      <c r="F45" s="186" t="s">
        <v>2485</v>
      </c>
      <c r="G45" s="186" t="s">
        <v>264</v>
      </c>
      <c r="H45" s="186" t="s">
        <v>243</v>
      </c>
      <c r="I45" s="186"/>
      <c r="J45" s="186">
        <v>39</v>
      </c>
      <c r="K45" s="186"/>
      <c r="L45" s="186"/>
      <c r="M45" s="90"/>
      <c r="N45" s="90"/>
      <c r="O45" s="90"/>
      <c r="P45" s="186"/>
      <c r="Q45" s="186"/>
      <c r="R45" s="122"/>
      <c r="S45" s="186" t="s">
        <v>2486</v>
      </c>
    </row>
    <row r="46" spans="1:26" ht="16.5" hidden="1" customHeight="1">
      <c r="A46" s="213"/>
      <c r="B46" s="213"/>
      <c r="C46" s="210"/>
      <c r="D46" s="210"/>
      <c r="E46" s="186" t="s">
        <v>55</v>
      </c>
      <c r="F46" s="186" t="s">
        <v>2487</v>
      </c>
      <c r="G46" s="186" t="s">
        <v>995</v>
      </c>
      <c r="H46" s="186" t="s">
        <v>243</v>
      </c>
      <c r="I46" s="186"/>
      <c r="J46" s="186">
        <v>40</v>
      </c>
      <c r="K46" s="186"/>
      <c r="L46" s="186"/>
      <c r="M46" s="90"/>
      <c r="N46" s="90"/>
      <c r="O46" s="90"/>
      <c r="P46" s="186"/>
      <c r="Q46" s="186"/>
      <c r="R46" s="122"/>
      <c r="S46" s="186" t="s">
        <v>2488</v>
      </c>
    </row>
    <row r="47" spans="1:26" ht="16.5" hidden="1" customHeight="1">
      <c r="A47" s="213"/>
      <c r="B47" s="213"/>
      <c r="C47" s="210"/>
      <c r="D47" s="210"/>
      <c r="E47" s="186" t="s">
        <v>59</v>
      </c>
      <c r="F47" s="186" t="s">
        <v>2489</v>
      </c>
      <c r="G47" s="186" t="s">
        <v>1855</v>
      </c>
      <c r="H47" s="186"/>
      <c r="I47" s="186"/>
      <c r="J47" s="186"/>
      <c r="K47" s="186"/>
      <c r="L47" s="186"/>
      <c r="M47" s="90"/>
      <c r="N47" s="90"/>
      <c r="O47" s="90"/>
      <c r="P47" s="186"/>
      <c r="Q47" s="122"/>
      <c r="R47" s="123"/>
      <c r="S47" t="s">
        <v>2490</v>
      </c>
    </row>
    <row r="48" spans="1:26" ht="16.5" hidden="1" customHeight="1">
      <c r="A48" s="213"/>
      <c r="B48" s="213"/>
      <c r="C48" s="210"/>
      <c r="D48" s="210"/>
      <c r="E48" s="186" t="s">
        <v>55</v>
      </c>
      <c r="F48" s="186" t="s">
        <v>2491</v>
      </c>
      <c r="G48" s="186" t="s">
        <v>432</v>
      </c>
      <c r="H48" s="186" t="s">
        <v>243</v>
      </c>
      <c r="I48" s="186"/>
      <c r="J48" s="186">
        <v>41</v>
      </c>
      <c r="K48" s="186"/>
      <c r="L48" s="186"/>
      <c r="M48" s="90"/>
      <c r="N48" s="90"/>
      <c r="O48" s="90"/>
      <c r="P48" s="186"/>
      <c r="Q48" s="186"/>
      <c r="R48" s="122"/>
      <c r="S48" s="186" t="s">
        <v>2492</v>
      </c>
    </row>
    <row r="49" spans="1:26" ht="16.5" hidden="1" customHeight="1">
      <c r="A49" s="248"/>
      <c r="B49" s="248"/>
      <c r="C49" s="248"/>
      <c r="D49" s="248"/>
      <c r="E49" s="125" t="s">
        <v>59</v>
      </c>
      <c r="F49" s="90" t="s">
        <v>156</v>
      </c>
      <c r="G49" s="90" t="s">
        <v>429</v>
      </c>
      <c r="H49" s="90" t="s">
        <v>243</v>
      </c>
      <c r="I49" s="90"/>
      <c r="J49" s="90">
        <v>42</v>
      </c>
      <c r="K49" s="90"/>
      <c r="L49" s="90"/>
      <c r="M49" s="90"/>
      <c r="N49" s="90"/>
      <c r="O49" s="90"/>
      <c r="P49" s="90"/>
      <c r="Q49" s="90"/>
      <c r="R49" s="90"/>
      <c r="S49" s="90" t="s">
        <v>2493</v>
      </c>
      <c r="T49" s="90"/>
      <c r="U49" s="90"/>
      <c r="V49" s="90"/>
      <c r="W49" s="90"/>
      <c r="X49" s="90"/>
      <c r="Y49" s="90"/>
      <c r="Z49" s="90"/>
    </row>
    <row r="50" spans="1:26" ht="16.5" hidden="1" customHeight="1">
      <c r="A50" s="213"/>
      <c r="B50" s="213"/>
      <c r="C50" s="210"/>
      <c r="D50" s="210"/>
      <c r="E50" s="186" t="s">
        <v>59</v>
      </c>
      <c r="F50" s="186" t="s">
        <v>2494</v>
      </c>
      <c r="G50" s="186" t="s">
        <v>329</v>
      </c>
      <c r="H50" s="186" t="s">
        <v>243</v>
      </c>
      <c r="I50" s="186"/>
      <c r="J50" s="186">
        <v>43</v>
      </c>
      <c r="K50" s="186"/>
      <c r="L50" s="186"/>
      <c r="M50" s="90"/>
      <c r="N50" s="90"/>
      <c r="O50" s="90"/>
      <c r="P50" s="186"/>
      <c r="Q50" s="186"/>
      <c r="R50" s="122"/>
      <c r="S50" s="186" t="s">
        <v>2495</v>
      </c>
    </row>
    <row r="51" spans="1:26" ht="33.75" hidden="1" customHeight="1">
      <c r="A51" s="213"/>
      <c r="B51" s="213"/>
      <c r="C51" s="210"/>
      <c r="D51" s="210"/>
      <c r="E51" s="186" t="s">
        <v>59</v>
      </c>
      <c r="F51" s="186" t="s">
        <v>2496</v>
      </c>
      <c r="G51" s="186" t="s">
        <v>2479</v>
      </c>
      <c r="H51" s="186"/>
      <c r="I51" s="186"/>
      <c r="J51" s="186"/>
      <c r="K51" s="186"/>
      <c r="L51" s="186"/>
      <c r="M51" s="90"/>
      <c r="N51" s="90"/>
      <c r="O51" s="90"/>
      <c r="P51" s="186"/>
      <c r="Q51" s="122"/>
      <c r="R51" s="123"/>
      <c r="S51" t="s">
        <v>2497</v>
      </c>
    </row>
    <row r="52" spans="1:26" ht="16.5" customHeight="1">
      <c r="A52" s="248"/>
      <c r="B52" s="248"/>
      <c r="C52" s="248"/>
      <c r="D52" s="248"/>
      <c r="E52" s="90" t="s">
        <v>61</v>
      </c>
      <c r="F52" s="90" t="s">
        <v>152</v>
      </c>
      <c r="G52" s="90" t="s">
        <v>247</v>
      </c>
      <c r="H52" s="90" t="s">
        <v>243</v>
      </c>
      <c r="I52" s="90"/>
      <c r="J52" s="78">
        <v>44</v>
      </c>
      <c r="K52" s="148" t="s">
        <v>2564</v>
      </c>
      <c r="L52" s="90" t="s">
        <v>2566</v>
      </c>
      <c r="M52" s="90"/>
      <c r="N52" s="90"/>
      <c r="O52" s="90"/>
      <c r="P52" s="90"/>
      <c r="Q52" s="90"/>
      <c r="R52" s="90"/>
      <c r="S52" s="90" t="s">
        <v>2498</v>
      </c>
      <c r="T52" s="90"/>
      <c r="U52" s="90"/>
      <c r="V52" s="90"/>
      <c r="W52" s="90"/>
      <c r="X52" s="90"/>
      <c r="Y52" s="90"/>
      <c r="Z52" s="90"/>
    </row>
    <row r="53" spans="1:26" ht="16.5" hidden="1" customHeight="1">
      <c r="A53" s="213"/>
      <c r="B53" s="213"/>
      <c r="C53" s="210"/>
      <c r="D53" s="210"/>
      <c r="E53" s="186" t="s">
        <v>59</v>
      </c>
      <c r="F53" s="186" t="s">
        <v>2499</v>
      </c>
      <c r="G53" s="186" t="s">
        <v>242</v>
      </c>
      <c r="H53" s="186" t="s">
        <v>243</v>
      </c>
      <c r="I53" s="186"/>
      <c r="J53" s="186">
        <v>47</v>
      </c>
      <c r="K53" s="186"/>
      <c r="L53" s="186"/>
      <c r="M53" s="90"/>
      <c r="N53" s="90"/>
      <c r="O53" s="90"/>
      <c r="P53" s="186"/>
      <c r="Q53" s="186"/>
      <c r="R53" s="122"/>
      <c r="S53" s="186" t="s">
        <v>2500</v>
      </c>
    </row>
    <row r="54" spans="1:26" ht="16.5" hidden="1" customHeight="1">
      <c r="A54" s="213"/>
      <c r="B54" s="213"/>
      <c r="C54" s="210"/>
      <c r="D54" s="210"/>
      <c r="E54" s="186" t="s">
        <v>59</v>
      </c>
      <c r="F54" s="186" t="s">
        <v>2501</v>
      </c>
      <c r="G54" s="186" t="s">
        <v>2502</v>
      </c>
      <c r="H54" s="186"/>
      <c r="I54" s="186"/>
      <c r="J54" s="186"/>
      <c r="K54" s="186"/>
      <c r="L54" s="186"/>
      <c r="M54" s="90"/>
      <c r="N54" s="90"/>
      <c r="O54" s="90"/>
      <c r="P54" s="186"/>
      <c r="Q54" s="122"/>
      <c r="R54" s="123"/>
      <c r="S54" t="s">
        <v>2503</v>
      </c>
    </row>
    <row r="55" spans="1:26" ht="16.5" hidden="1" customHeight="1">
      <c r="A55" s="213"/>
      <c r="B55" s="213"/>
      <c r="C55" s="210"/>
      <c r="D55" s="210"/>
      <c r="E55" s="186" t="s">
        <v>59</v>
      </c>
      <c r="F55" s="186" t="s">
        <v>2504</v>
      </c>
      <c r="G55" s="186" t="s">
        <v>2505</v>
      </c>
      <c r="H55" s="186"/>
      <c r="I55" s="186"/>
      <c r="J55" s="186"/>
      <c r="K55" s="186"/>
      <c r="L55" s="186"/>
      <c r="M55" s="90"/>
      <c r="N55" s="90"/>
      <c r="O55" s="90"/>
      <c r="P55" s="186"/>
      <c r="Q55" s="122"/>
      <c r="R55" s="123"/>
      <c r="S55" t="s">
        <v>2506</v>
      </c>
    </row>
    <row r="56" spans="1:26" ht="16.5" hidden="1" customHeight="1">
      <c r="A56" s="248"/>
      <c r="B56" s="248"/>
      <c r="C56" s="248"/>
      <c r="D56" s="248"/>
      <c r="E56" s="125" t="s">
        <v>59</v>
      </c>
      <c r="F56" s="90" t="s">
        <v>153</v>
      </c>
      <c r="G56" s="90" t="s">
        <v>324</v>
      </c>
      <c r="H56" s="90" t="s">
        <v>243</v>
      </c>
      <c r="I56" s="90"/>
      <c r="J56" s="90">
        <v>48</v>
      </c>
      <c r="K56" s="90"/>
      <c r="L56" s="90"/>
      <c r="M56" s="90"/>
      <c r="N56" s="90"/>
      <c r="O56" s="90"/>
      <c r="P56" s="90"/>
      <c r="Q56" s="90"/>
      <c r="R56" s="90"/>
      <c r="S56" s="90" t="s">
        <v>2507</v>
      </c>
      <c r="T56" s="90"/>
      <c r="U56" s="90"/>
      <c r="V56" s="90"/>
      <c r="W56" s="90"/>
      <c r="X56" s="90"/>
      <c r="Y56" s="90"/>
      <c r="Z56" s="90"/>
    </row>
    <row r="57" spans="1:26" ht="16.5" customHeight="1">
      <c r="A57" s="248"/>
      <c r="B57" s="248"/>
      <c r="C57" s="248"/>
      <c r="D57" s="248"/>
      <c r="E57" s="90" t="s">
        <v>61</v>
      </c>
      <c r="F57" s="90" t="s">
        <v>157</v>
      </c>
      <c r="G57" s="90" t="s">
        <v>324</v>
      </c>
      <c r="H57" s="90" t="s">
        <v>243</v>
      </c>
      <c r="I57" s="90"/>
      <c r="J57" s="78">
        <v>49</v>
      </c>
      <c r="K57" s="148" t="s">
        <v>2564</v>
      </c>
      <c r="L57" s="90" t="s">
        <v>2567</v>
      </c>
      <c r="M57" s="90"/>
      <c r="N57" s="90"/>
      <c r="O57" s="90"/>
      <c r="P57" s="90"/>
      <c r="Q57" s="90"/>
      <c r="R57" s="90"/>
      <c r="S57" s="90" t="s">
        <v>2508</v>
      </c>
      <c r="T57" s="90"/>
      <c r="U57" s="90"/>
      <c r="V57" s="90"/>
      <c r="W57" s="90"/>
      <c r="X57" s="90"/>
      <c r="Y57" s="90"/>
      <c r="Z57" s="90"/>
    </row>
    <row r="58" spans="1:26" ht="16.5" hidden="1" customHeight="1">
      <c r="A58" s="248"/>
      <c r="B58" s="248"/>
      <c r="C58" s="248"/>
      <c r="D58" s="248"/>
      <c r="E58" s="125" t="s">
        <v>59</v>
      </c>
      <c r="F58" s="90" t="s">
        <v>151</v>
      </c>
      <c r="G58" s="90" t="s">
        <v>247</v>
      </c>
      <c r="H58" s="90" t="s">
        <v>243</v>
      </c>
      <c r="I58" s="90"/>
      <c r="J58" s="90">
        <v>50</v>
      </c>
      <c r="K58" s="90"/>
      <c r="L58" s="90"/>
      <c r="M58" s="90"/>
      <c r="N58" s="90"/>
      <c r="O58" s="90"/>
      <c r="P58" s="90"/>
      <c r="Q58" s="90"/>
      <c r="R58" s="90"/>
      <c r="S58" s="90" t="s">
        <v>2509</v>
      </c>
      <c r="T58" s="90"/>
      <c r="U58" s="90"/>
      <c r="V58" s="90"/>
      <c r="W58" s="90"/>
      <c r="X58" s="90"/>
      <c r="Y58" s="90"/>
      <c r="Z58" s="90"/>
    </row>
    <row r="59" spans="1:26" ht="16.5" hidden="1" customHeight="1">
      <c r="A59" s="213"/>
      <c r="B59" s="213"/>
      <c r="C59" s="210"/>
      <c r="D59" s="210"/>
      <c r="E59" s="186" t="s">
        <v>59</v>
      </c>
      <c r="F59" s="186" t="s">
        <v>349</v>
      </c>
      <c r="G59" s="186" t="s">
        <v>247</v>
      </c>
      <c r="H59" s="186" t="s">
        <v>243</v>
      </c>
      <c r="I59" s="186"/>
      <c r="J59" s="186">
        <v>51</v>
      </c>
      <c r="K59" s="186"/>
      <c r="L59" s="186"/>
      <c r="M59" s="90"/>
      <c r="N59" s="90"/>
      <c r="O59" s="90"/>
      <c r="P59" s="186"/>
      <c r="Q59" s="186"/>
      <c r="R59" s="122"/>
      <c r="S59" s="186" t="s">
        <v>2510</v>
      </c>
    </row>
    <row r="60" spans="1:26" ht="16.5" hidden="1" customHeight="1">
      <c r="A60" s="213"/>
      <c r="B60" s="213"/>
      <c r="C60" s="210"/>
      <c r="D60" s="210"/>
      <c r="E60" s="186" t="s">
        <v>55</v>
      </c>
      <c r="F60" s="186" t="s">
        <v>351</v>
      </c>
      <c r="G60" s="186" t="s">
        <v>247</v>
      </c>
      <c r="H60" s="186" t="s">
        <v>243</v>
      </c>
      <c r="I60" s="186"/>
      <c r="J60" s="186">
        <v>52</v>
      </c>
      <c r="K60" s="186"/>
      <c r="L60" s="186"/>
      <c r="M60" s="90"/>
      <c r="N60" s="90"/>
      <c r="O60" s="90"/>
      <c r="P60" s="186"/>
      <c r="Q60" s="186"/>
      <c r="R60" s="122"/>
      <c r="S60" s="186" t="s">
        <v>2511</v>
      </c>
    </row>
    <row r="61" spans="1:26" ht="16.5" customHeight="1">
      <c r="A61" s="248"/>
      <c r="B61" s="248"/>
      <c r="C61" s="248"/>
      <c r="D61" s="248"/>
      <c r="E61" s="90" t="s">
        <v>61</v>
      </c>
      <c r="F61" s="90" t="s">
        <v>158</v>
      </c>
      <c r="G61" s="90" t="s">
        <v>264</v>
      </c>
      <c r="H61" s="90" t="s">
        <v>243</v>
      </c>
      <c r="I61" s="90"/>
      <c r="J61" s="78">
        <v>53</v>
      </c>
      <c r="K61" s="148" t="s">
        <v>2564</v>
      </c>
      <c r="L61" s="90" t="s">
        <v>2512</v>
      </c>
      <c r="M61" s="90"/>
      <c r="N61" s="90"/>
      <c r="O61" s="90"/>
      <c r="P61" s="90"/>
      <c r="Q61" s="90"/>
      <c r="R61" s="90"/>
      <c r="S61" s="90" t="s">
        <v>2513</v>
      </c>
      <c r="T61" s="90"/>
      <c r="U61" s="90"/>
      <c r="V61" s="90"/>
      <c r="W61" s="90"/>
      <c r="X61" s="90"/>
      <c r="Y61" s="90"/>
      <c r="Z61" s="90"/>
    </row>
    <row r="62" spans="1:26" ht="16.5" hidden="1" customHeight="1">
      <c r="A62" s="213"/>
      <c r="B62" s="213"/>
      <c r="C62" s="210"/>
      <c r="D62" s="210"/>
      <c r="E62" s="186" t="s">
        <v>53</v>
      </c>
      <c r="F62" s="186" t="s">
        <v>2514</v>
      </c>
      <c r="G62" s="186" t="s">
        <v>535</v>
      </c>
      <c r="H62" s="186" t="s">
        <v>243</v>
      </c>
      <c r="I62" s="186"/>
      <c r="J62" s="186">
        <v>66</v>
      </c>
      <c r="K62" s="186"/>
      <c r="L62" s="186"/>
      <c r="M62" s="90"/>
      <c r="N62" s="90"/>
      <c r="O62" s="90"/>
      <c r="P62" s="186"/>
      <c r="Q62" s="186"/>
      <c r="R62" s="122"/>
      <c r="S62" s="186" t="s">
        <v>1190</v>
      </c>
    </row>
    <row r="63" spans="1:26" ht="16.5" hidden="1" customHeight="1">
      <c r="A63" s="213"/>
      <c r="B63" s="213"/>
      <c r="C63" s="210"/>
      <c r="D63" s="210"/>
      <c r="E63" s="186" t="s">
        <v>59</v>
      </c>
      <c r="F63" s="186" t="s">
        <v>320</v>
      </c>
      <c r="G63" s="186" t="s">
        <v>264</v>
      </c>
      <c r="H63" s="186" t="s">
        <v>243</v>
      </c>
      <c r="I63" s="186"/>
      <c r="J63" s="186">
        <v>54</v>
      </c>
      <c r="K63" s="186"/>
      <c r="L63" s="186"/>
      <c r="M63" s="90"/>
      <c r="N63" s="90"/>
      <c r="O63" s="90"/>
      <c r="P63" s="186"/>
      <c r="Q63" s="122"/>
      <c r="R63" s="122"/>
      <c r="S63" s="186" t="s">
        <v>320</v>
      </c>
    </row>
    <row r="64" spans="1:26" ht="16.5" hidden="1" customHeight="1">
      <c r="A64" s="213"/>
      <c r="B64" s="213"/>
      <c r="C64" s="210"/>
      <c r="D64" s="210"/>
      <c r="E64" s="186" t="s">
        <v>59</v>
      </c>
      <c r="F64" s="186" t="s">
        <v>2515</v>
      </c>
      <c r="G64" s="186" t="s">
        <v>329</v>
      </c>
      <c r="H64" s="186" t="s">
        <v>243</v>
      </c>
      <c r="I64" s="186"/>
      <c r="J64" s="186">
        <v>56</v>
      </c>
      <c r="K64" s="186"/>
      <c r="L64" s="186"/>
      <c r="M64" s="90"/>
      <c r="N64" s="90"/>
      <c r="O64" s="90"/>
      <c r="P64" s="186"/>
      <c r="Q64" s="122"/>
      <c r="R64" s="122"/>
      <c r="S64" s="186" t="s">
        <v>2516</v>
      </c>
    </row>
    <row r="65" spans="1:26" ht="16.5" hidden="1" customHeight="1">
      <c r="A65" s="213"/>
      <c r="B65" s="213"/>
      <c r="C65" s="210"/>
      <c r="D65" s="210"/>
      <c r="E65" s="186" t="s">
        <v>59</v>
      </c>
      <c r="F65" s="186" t="s">
        <v>355</v>
      </c>
      <c r="G65" s="186" t="s">
        <v>2484</v>
      </c>
      <c r="H65" s="186" t="s">
        <v>243</v>
      </c>
      <c r="I65" s="186"/>
      <c r="J65" s="186">
        <v>69</v>
      </c>
      <c r="K65" s="186"/>
      <c r="L65" s="186"/>
      <c r="M65" s="90"/>
      <c r="N65" s="90"/>
      <c r="O65" s="90"/>
      <c r="P65" s="186"/>
      <c r="Q65" s="122"/>
      <c r="R65" s="123"/>
      <c r="S65" s="186" t="s">
        <v>1765</v>
      </c>
    </row>
    <row r="66" spans="1:26" ht="16.5" hidden="1" customHeight="1">
      <c r="A66" s="213"/>
      <c r="B66" s="213"/>
      <c r="C66" s="210"/>
      <c r="D66" s="210"/>
      <c r="E66" s="186" t="s">
        <v>53</v>
      </c>
      <c r="F66" s="186" t="s">
        <v>1288</v>
      </c>
      <c r="G66" s="186" t="s">
        <v>535</v>
      </c>
      <c r="H66" s="186" t="s">
        <v>903</v>
      </c>
      <c r="I66" s="186"/>
      <c r="J66" s="186">
        <v>65</v>
      </c>
      <c r="K66" s="186"/>
      <c r="L66" s="186"/>
      <c r="M66" s="90"/>
      <c r="N66" s="90"/>
      <c r="O66" s="90"/>
      <c r="P66" s="186"/>
      <c r="Q66" s="186"/>
      <c r="R66" s="122"/>
      <c r="S66" s="186" t="s">
        <v>1190</v>
      </c>
    </row>
    <row r="67" spans="1:26" ht="16.5" hidden="1" customHeight="1">
      <c r="A67" s="213"/>
      <c r="B67" s="213"/>
      <c r="C67" s="210"/>
      <c r="D67" s="210"/>
      <c r="E67" s="186" t="s">
        <v>53</v>
      </c>
      <c r="F67" s="186" t="s">
        <v>1289</v>
      </c>
      <c r="G67" s="186" t="s">
        <v>324</v>
      </c>
      <c r="H67" s="186" t="s">
        <v>243</v>
      </c>
      <c r="I67" s="186"/>
      <c r="J67" s="186">
        <v>57</v>
      </c>
      <c r="K67" s="186"/>
      <c r="L67" s="186"/>
      <c r="M67" s="90"/>
      <c r="N67" s="90"/>
      <c r="O67" s="90"/>
      <c r="P67" s="186"/>
      <c r="Q67" s="122"/>
      <c r="R67" s="122"/>
      <c r="S67" s="186" t="s">
        <v>1190</v>
      </c>
    </row>
    <row r="68" spans="1:26" ht="16.5" hidden="1" customHeight="1">
      <c r="A68" s="213"/>
      <c r="B68" s="213"/>
      <c r="C68" s="210"/>
      <c r="D68" s="210"/>
      <c r="E68" s="186" t="s">
        <v>53</v>
      </c>
      <c r="F68" s="186" t="s">
        <v>1290</v>
      </c>
      <c r="G68" s="186" t="s">
        <v>432</v>
      </c>
      <c r="H68" s="186" t="s">
        <v>243</v>
      </c>
      <c r="I68" s="186"/>
      <c r="J68" s="186">
        <v>45</v>
      </c>
      <c r="K68" s="186"/>
      <c r="L68" s="186"/>
      <c r="M68" s="90"/>
      <c r="N68" s="90"/>
      <c r="O68" s="90"/>
      <c r="P68" s="186"/>
      <c r="Q68" s="186"/>
      <c r="R68" s="122"/>
      <c r="S68" s="186" t="s">
        <v>1190</v>
      </c>
    </row>
    <row r="69" spans="1:26" ht="16.5" hidden="1" customHeight="1">
      <c r="A69" s="213"/>
      <c r="B69" s="213"/>
      <c r="C69" s="210"/>
      <c r="D69" s="210"/>
      <c r="E69" s="186" t="s">
        <v>53</v>
      </c>
      <c r="F69" s="186" t="s">
        <v>1291</v>
      </c>
      <c r="G69" s="186" t="s">
        <v>247</v>
      </c>
      <c r="H69" s="186" t="s">
        <v>243</v>
      </c>
      <c r="I69" s="186"/>
      <c r="J69" s="186">
        <v>46</v>
      </c>
      <c r="K69" s="186"/>
      <c r="L69" s="186"/>
      <c r="M69" s="90"/>
      <c r="N69" s="90"/>
      <c r="O69" s="90"/>
      <c r="P69" s="186"/>
      <c r="Q69" s="186"/>
      <c r="R69" s="122"/>
      <c r="S69" s="186" t="s">
        <v>1190</v>
      </c>
    </row>
    <row r="70" spans="1:26" ht="16.5" hidden="1" customHeight="1">
      <c r="A70" s="213"/>
      <c r="B70" s="213"/>
      <c r="C70" s="210"/>
      <c r="D70" s="210"/>
      <c r="E70" s="186" t="s">
        <v>53</v>
      </c>
      <c r="F70" s="186" t="s">
        <v>1292</v>
      </c>
      <c r="G70" s="186" t="s">
        <v>535</v>
      </c>
      <c r="H70" s="186" t="s">
        <v>243</v>
      </c>
      <c r="I70" s="186"/>
      <c r="J70" s="186">
        <v>55</v>
      </c>
      <c r="K70" s="186"/>
      <c r="L70" s="186"/>
      <c r="M70" s="90"/>
      <c r="N70" s="90"/>
      <c r="O70" s="90"/>
      <c r="P70" s="186"/>
      <c r="Q70" s="122"/>
      <c r="R70" s="122"/>
      <c r="S70" s="186" t="s">
        <v>1190</v>
      </c>
    </row>
    <row r="71" spans="1:26" ht="16.5" hidden="1" customHeight="1">
      <c r="A71" s="213"/>
      <c r="B71" s="213"/>
      <c r="C71" s="210"/>
      <c r="D71" s="210"/>
      <c r="E71" s="186" t="s">
        <v>53</v>
      </c>
      <c r="F71" s="186" t="s">
        <v>1293</v>
      </c>
      <c r="G71" s="186" t="s">
        <v>432</v>
      </c>
      <c r="H71" s="186" t="s">
        <v>243</v>
      </c>
      <c r="I71" s="186"/>
      <c r="J71" s="186">
        <v>58</v>
      </c>
      <c r="K71" s="186"/>
      <c r="L71" s="186"/>
      <c r="M71" s="90"/>
      <c r="N71" s="90"/>
      <c r="O71" s="90"/>
      <c r="P71" s="186"/>
      <c r="Q71" s="122"/>
      <c r="R71" s="122"/>
      <c r="S71" s="186" t="s">
        <v>1190</v>
      </c>
    </row>
    <row r="72" spans="1:26" ht="16.5" hidden="1" customHeight="1">
      <c r="A72" s="213"/>
      <c r="B72" s="213"/>
      <c r="C72" s="210"/>
      <c r="D72" s="210"/>
      <c r="E72" s="186" t="s">
        <v>59</v>
      </c>
      <c r="F72" s="186" t="s">
        <v>2517</v>
      </c>
      <c r="G72" s="186" t="s">
        <v>2518</v>
      </c>
      <c r="H72" s="186" t="s">
        <v>243</v>
      </c>
      <c r="I72" s="186"/>
      <c r="J72" s="186">
        <v>59</v>
      </c>
      <c r="K72" s="186"/>
      <c r="L72" s="186"/>
      <c r="M72" s="90"/>
      <c r="N72" s="90"/>
      <c r="O72" s="90"/>
      <c r="P72" s="186"/>
      <c r="Q72" s="122"/>
      <c r="R72" s="122"/>
      <c r="S72" s="186" t="s">
        <v>2519</v>
      </c>
    </row>
    <row r="73" spans="1:26" ht="16.5" customHeight="1">
      <c r="A73" s="213"/>
      <c r="B73" s="213"/>
      <c r="C73" s="210"/>
      <c r="D73" s="210"/>
      <c r="E73" s="186" t="s">
        <v>59</v>
      </c>
      <c r="F73" s="186" t="s">
        <v>316</v>
      </c>
      <c r="G73" s="186" t="s">
        <v>264</v>
      </c>
      <c r="H73" s="186" t="s">
        <v>243</v>
      </c>
      <c r="I73" s="186"/>
      <c r="J73" s="79">
        <v>60</v>
      </c>
      <c r="K73" s="148" t="s">
        <v>2564</v>
      </c>
      <c r="L73" s="186" t="s">
        <v>2568</v>
      </c>
      <c r="M73" s="90"/>
      <c r="N73" s="90"/>
      <c r="O73" s="90"/>
      <c r="P73" s="186"/>
      <c r="Q73" s="122"/>
      <c r="R73" s="122"/>
      <c r="S73" s="186" t="s">
        <v>1589</v>
      </c>
    </row>
    <row r="74" spans="1:26" ht="16.5" hidden="1" customHeight="1">
      <c r="A74" s="213"/>
      <c r="B74" s="213"/>
      <c r="C74" s="210"/>
      <c r="D74" s="210"/>
      <c r="E74" s="186" t="s">
        <v>59</v>
      </c>
      <c r="F74" s="186" t="s">
        <v>2520</v>
      </c>
      <c r="G74" s="186" t="s">
        <v>329</v>
      </c>
      <c r="H74" s="186" t="s">
        <v>243</v>
      </c>
      <c r="I74" s="186"/>
      <c r="J74" s="186">
        <v>61</v>
      </c>
      <c r="K74" s="186"/>
      <c r="L74" s="186"/>
      <c r="M74" s="90"/>
      <c r="N74" s="90"/>
      <c r="O74" s="90"/>
      <c r="P74" s="186"/>
      <c r="Q74" s="122"/>
      <c r="R74" s="122"/>
      <c r="S74" s="186" t="s">
        <v>2521</v>
      </c>
    </row>
    <row r="75" spans="1:26" ht="16.5" hidden="1" customHeight="1">
      <c r="A75" s="213"/>
      <c r="B75" s="213"/>
      <c r="C75" s="210"/>
      <c r="D75" s="210"/>
      <c r="E75" s="186" t="s">
        <v>59</v>
      </c>
      <c r="F75" s="186" t="s">
        <v>2522</v>
      </c>
      <c r="G75" s="186" t="s">
        <v>535</v>
      </c>
      <c r="H75" s="186" t="s">
        <v>243</v>
      </c>
      <c r="I75" s="186"/>
      <c r="J75" s="186">
        <v>67</v>
      </c>
      <c r="K75" s="186"/>
      <c r="L75" s="186"/>
      <c r="M75" s="90"/>
      <c r="N75" s="90"/>
      <c r="O75" s="90"/>
      <c r="P75" s="186"/>
      <c r="Q75" s="186"/>
      <c r="R75" s="122"/>
      <c r="S75" s="186" t="s">
        <v>2523</v>
      </c>
    </row>
    <row r="76" spans="1:26" ht="16.5" hidden="1" customHeight="1">
      <c r="A76" s="292"/>
      <c r="B76" s="292"/>
      <c r="C76" s="292"/>
      <c r="D76" s="292"/>
      <c r="E76" s="125" t="s">
        <v>55</v>
      </c>
      <c r="F76" s="125" t="s">
        <v>1812</v>
      </c>
      <c r="G76" s="125" t="s">
        <v>247</v>
      </c>
      <c r="H76" s="125" t="s">
        <v>243</v>
      </c>
      <c r="I76" s="125"/>
      <c r="J76" s="125">
        <v>62</v>
      </c>
      <c r="K76" s="453"/>
      <c r="L76" s="125"/>
      <c r="M76" s="126"/>
      <c r="N76" s="126"/>
      <c r="O76" s="126"/>
      <c r="P76" s="125"/>
      <c r="Q76" s="40"/>
      <c r="R76" s="40"/>
      <c r="S76" s="125" t="s">
        <v>2524</v>
      </c>
      <c r="T76" s="453"/>
      <c r="U76" s="453"/>
      <c r="V76" s="453"/>
      <c r="W76" s="453"/>
      <c r="X76" s="453"/>
      <c r="Y76" s="453"/>
      <c r="Z76" s="453"/>
    </row>
    <row r="77" spans="1:26" ht="16.5" hidden="1" customHeight="1">
      <c r="A77" s="213"/>
      <c r="B77" s="213"/>
      <c r="C77" s="210"/>
      <c r="D77" s="210"/>
      <c r="E77" s="186" t="s">
        <v>55</v>
      </c>
      <c r="F77" s="186" t="s">
        <v>1815</v>
      </c>
      <c r="G77" s="186" t="s">
        <v>247</v>
      </c>
      <c r="H77" s="186" t="s">
        <v>243</v>
      </c>
      <c r="I77" s="186"/>
      <c r="J77" s="186">
        <v>63</v>
      </c>
      <c r="K77" s="186"/>
      <c r="L77" s="186"/>
      <c r="M77" s="90"/>
      <c r="N77" s="90"/>
      <c r="O77" s="90"/>
      <c r="P77" s="186"/>
      <c r="Q77" s="122"/>
      <c r="R77" s="122"/>
      <c r="S77" s="186" t="s">
        <v>2524</v>
      </c>
    </row>
    <row r="78" spans="1:26" ht="16.5" hidden="1" customHeight="1">
      <c r="A78" s="213"/>
      <c r="B78" s="213"/>
      <c r="C78" s="210"/>
      <c r="D78" s="210"/>
      <c r="E78" s="186" t="s">
        <v>55</v>
      </c>
      <c r="F78" s="186" t="s">
        <v>1816</v>
      </c>
      <c r="G78" s="186" t="s">
        <v>247</v>
      </c>
      <c r="H78" s="186" t="s">
        <v>243</v>
      </c>
      <c r="I78" s="186"/>
      <c r="J78" s="186">
        <v>64</v>
      </c>
      <c r="K78" s="186"/>
      <c r="L78" s="186"/>
      <c r="M78" s="90"/>
      <c r="N78" s="90"/>
      <c r="O78" s="90"/>
      <c r="P78" s="186"/>
      <c r="Q78" s="122"/>
      <c r="R78" s="122"/>
      <c r="S78" s="186" t="s">
        <v>2524</v>
      </c>
    </row>
    <row r="79" spans="1:26" ht="16.5" hidden="1" customHeight="1">
      <c r="A79" s="213"/>
      <c r="B79" s="213"/>
      <c r="C79" s="210"/>
      <c r="D79" s="210"/>
      <c r="E79" s="186" t="s">
        <v>59</v>
      </c>
      <c r="F79" s="186" t="s">
        <v>2525</v>
      </c>
      <c r="G79" s="186" t="s">
        <v>2479</v>
      </c>
      <c r="H79" s="186"/>
      <c r="I79" s="186"/>
      <c r="J79" s="186"/>
      <c r="K79" s="186"/>
      <c r="L79" s="186"/>
      <c r="M79" s="90"/>
      <c r="N79" s="90"/>
      <c r="O79" s="90"/>
      <c r="P79" s="186"/>
      <c r="Q79" s="122"/>
      <c r="R79" s="123"/>
      <c r="S79" t="s">
        <v>2526</v>
      </c>
    </row>
    <row r="84" spans="1:19" ht="30.75" hidden="1" customHeight="1">
      <c r="A84" s="207" t="s">
        <v>2527</v>
      </c>
      <c r="B84" s="207"/>
      <c r="C84" s="207"/>
      <c r="D84" s="207"/>
      <c r="E84" s="207"/>
      <c r="F84" s="207"/>
      <c r="G84" s="207"/>
      <c r="H84" s="207"/>
      <c r="I84" s="207"/>
      <c r="J84" s="207"/>
      <c r="K84" s="207"/>
      <c r="L84" s="207"/>
      <c r="M84" s="207"/>
      <c r="N84" s="207"/>
      <c r="O84" s="207"/>
      <c r="P84" s="207"/>
      <c r="Q84" s="207"/>
      <c r="R84" s="207"/>
      <c r="S84" s="207"/>
    </row>
    <row r="85" spans="1:19" ht="18.75" hidden="1" customHeight="1">
      <c r="A85" s="186"/>
      <c r="B85" s="186"/>
      <c r="C85" s="186"/>
      <c r="D85" s="186"/>
      <c r="E85" s="293" t="s">
        <v>1322</v>
      </c>
      <c r="F85" s="186"/>
      <c r="G85" s="186"/>
      <c r="H85" s="186"/>
      <c r="I85" s="186"/>
      <c r="J85" s="186"/>
      <c r="K85" s="207" t="s">
        <v>1038</v>
      </c>
      <c r="L85" s="207"/>
      <c r="M85" s="207"/>
      <c r="N85" s="207"/>
      <c r="O85" s="207"/>
      <c r="P85" s="207"/>
      <c r="Q85" s="186"/>
      <c r="R85" s="186"/>
      <c r="S85" s="186"/>
    </row>
    <row r="86" spans="1:19" ht="18.75" hidden="1" customHeight="1">
      <c r="A86" s="208" t="s">
        <v>1040</v>
      </c>
      <c r="B86" s="208" t="s">
        <v>1041</v>
      </c>
      <c r="C86" s="208" t="s">
        <v>1042</v>
      </c>
      <c r="D86" s="208" t="s">
        <v>1043</v>
      </c>
      <c r="E86" s="208" t="s">
        <v>224</v>
      </c>
      <c r="F86" s="208" t="s">
        <v>225</v>
      </c>
      <c r="G86" s="208" t="s">
        <v>226</v>
      </c>
      <c r="H86" s="208" t="s">
        <v>227</v>
      </c>
      <c r="I86" s="208" t="s">
        <v>1044</v>
      </c>
      <c r="J86" s="208" t="s">
        <v>1045</v>
      </c>
      <c r="K86" s="207" t="s">
        <v>100</v>
      </c>
      <c r="L86" s="207" t="s">
        <v>101</v>
      </c>
      <c r="M86" s="207" t="s">
        <v>102</v>
      </c>
      <c r="N86" s="207" t="s">
        <v>103</v>
      </c>
      <c r="O86" s="207" t="s">
        <v>104</v>
      </c>
      <c r="P86" s="207" t="s">
        <v>105</v>
      </c>
      <c r="Q86" s="208" t="s">
        <v>111</v>
      </c>
      <c r="R86" s="208" t="s">
        <v>112</v>
      </c>
      <c r="S86" s="208" t="s">
        <v>113</v>
      </c>
    </row>
    <row r="87" spans="1:19" ht="18.75" hidden="1" customHeight="1">
      <c r="A87" s="213"/>
      <c r="B87" s="213"/>
      <c r="C87" s="210"/>
      <c r="D87" s="210"/>
      <c r="E87" s="186" t="s">
        <v>59</v>
      </c>
      <c r="F87" s="186" t="s">
        <v>2528</v>
      </c>
      <c r="G87" s="186" t="s">
        <v>2529</v>
      </c>
      <c r="H87" s="186"/>
      <c r="I87" s="186"/>
      <c r="J87" s="186">
        <v>1</v>
      </c>
      <c r="K87" s="186"/>
      <c r="L87" s="186"/>
      <c r="M87" s="90"/>
      <c r="N87" s="90"/>
      <c r="O87" s="90"/>
      <c r="P87" s="186"/>
      <c r="Q87" s="122" t="s">
        <v>2530</v>
      </c>
      <c r="S87" s="186" t="s">
        <v>2531</v>
      </c>
    </row>
    <row r="88" spans="1:19" ht="18.75" hidden="1" customHeight="1">
      <c r="A88" s="213"/>
      <c r="B88" s="213"/>
      <c r="C88" s="210"/>
      <c r="D88" s="210"/>
      <c r="E88" s="186" t="s">
        <v>59</v>
      </c>
      <c r="F88" s="186" t="s">
        <v>2532</v>
      </c>
      <c r="G88" s="186" t="s">
        <v>2533</v>
      </c>
      <c r="H88" s="186"/>
      <c r="I88" s="186"/>
      <c r="J88" s="186">
        <v>12</v>
      </c>
      <c r="K88" s="186"/>
      <c r="L88" s="186"/>
      <c r="M88" s="90"/>
      <c r="N88" s="90"/>
      <c r="O88" s="90"/>
      <c r="P88" s="186"/>
      <c r="Q88" s="122" t="s">
        <v>2530</v>
      </c>
      <c r="S88" s="186" t="s">
        <v>2534</v>
      </c>
    </row>
    <row r="89" spans="1:19" ht="18.75" hidden="1" customHeight="1">
      <c r="A89" s="213"/>
      <c r="B89" s="213"/>
      <c r="C89" s="210"/>
      <c r="D89" s="210"/>
      <c r="E89" s="186" t="s">
        <v>59</v>
      </c>
      <c r="F89" s="186" t="s">
        <v>2535</v>
      </c>
      <c r="G89" s="186" t="s">
        <v>2533</v>
      </c>
      <c r="H89" s="186"/>
      <c r="I89" s="186"/>
      <c r="J89" s="186">
        <v>28</v>
      </c>
      <c r="K89" s="186"/>
      <c r="L89" s="186"/>
      <c r="M89" s="90"/>
      <c r="N89" s="90"/>
      <c r="O89" s="90"/>
      <c r="P89" s="186"/>
      <c r="Q89" s="122" t="s">
        <v>2530</v>
      </c>
      <c r="S89" s="186" t="s">
        <v>2536</v>
      </c>
    </row>
    <row r="90" spans="1:19" ht="18.75" hidden="1" customHeight="1">
      <c r="A90" s="213"/>
      <c r="B90" s="213"/>
      <c r="C90" s="210"/>
      <c r="D90" s="210"/>
      <c r="E90" s="186" t="s">
        <v>59</v>
      </c>
      <c r="F90" s="186" t="s">
        <v>363</v>
      </c>
      <c r="G90" s="186" t="s">
        <v>2533</v>
      </c>
      <c r="H90" s="186"/>
      <c r="I90" s="186"/>
      <c r="J90" s="186">
        <v>32</v>
      </c>
      <c r="K90" s="186"/>
      <c r="L90" s="186"/>
      <c r="M90" s="90"/>
      <c r="N90" s="90"/>
      <c r="O90" s="90"/>
      <c r="P90" s="186"/>
      <c r="Q90" s="122" t="s">
        <v>2530</v>
      </c>
      <c r="S90" s="186" t="s">
        <v>2537</v>
      </c>
    </row>
    <row r="91" spans="1:19" ht="18.75" hidden="1" customHeight="1">
      <c r="A91" s="213"/>
      <c r="B91" s="213"/>
      <c r="C91" s="210"/>
      <c r="D91" s="210"/>
      <c r="E91" s="186" t="s">
        <v>59</v>
      </c>
      <c r="F91" s="186" t="s">
        <v>2538</v>
      </c>
      <c r="G91" s="186" t="s">
        <v>2539</v>
      </c>
      <c r="H91" s="186"/>
      <c r="I91" s="186"/>
      <c r="J91" s="186">
        <v>33</v>
      </c>
      <c r="K91" s="186"/>
      <c r="L91" s="186"/>
      <c r="M91" s="90"/>
      <c r="N91" s="90"/>
      <c r="O91" s="90"/>
      <c r="P91" s="186"/>
      <c r="Q91" s="122" t="s">
        <v>2530</v>
      </c>
      <c r="S91" s="186" t="s">
        <v>2540</v>
      </c>
    </row>
    <row r="92" spans="1:19" ht="18.75" hidden="1" customHeight="1">
      <c r="A92" s="213"/>
      <c r="B92" s="213"/>
      <c r="C92" s="210"/>
      <c r="D92" s="210"/>
      <c r="E92" s="186" t="s">
        <v>59</v>
      </c>
      <c r="F92" s="186" t="s">
        <v>2541</v>
      </c>
      <c r="G92" s="186" t="s">
        <v>1865</v>
      </c>
      <c r="H92" s="186"/>
      <c r="I92" s="186"/>
      <c r="J92" s="186">
        <v>39</v>
      </c>
      <c r="K92" s="186"/>
      <c r="L92" s="186"/>
      <c r="M92" s="90"/>
      <c r="N92" s="90"/>
      <c r="O92" s="90"/>
      <c r="P92" s="186"/>
      <c r="Q92" s="122" t="s">
        <v>2530</v>
      </c>
      <c r="S92" s="186" t="s">
        <v>2542</v>
      </c>
    </row>
    <row r="93" spans="1:19" ht="18.75" hidden="1" customHeight="1">
      <c r="A93" s="213"/>
      <c r="B93" s="213"/>
      <c r="C93" s="210"/>
      <c r="D93" s="210"/>
      <c r="E93" s="186" t="s">
        <v>59</v>
      </c>
      <c r="F93" s="186" t="s">
        <v>2543</v>
      </c>
      <c r="G93" s="186" t="s">
        <v>2533</v>
      </c>
      <c r="H93" s="186"/>
      <c r="I93" s="186"/>
      <c r="J93" s="186">
        <v>42</v>
      </c>
      <c r="K93" s="186"/>
      <c r="L93" s="186"/>
      <c r="M93" s="90"/>
      <c r="N93" s="90"/>
      <c r="O93" s="90"/>
      <c r="P93" s="186"/>
      <c r="Q93" s="122" t="s">
        <v>2530</v>
      </c>
      <c r="S93" s="186" t="s">
        <v>2544</v>
      </c>
    </row>
    <row r="94" spans="1:19" ht="18.75" hidden="1" customHeight="1">
      <c r="A94" s="213"/>
      <c r="B94" s="213"/>
      <c r="C94" s="210"/>
      <c r="D94" s="210"/>
      <c r="E94" s="186" t="s">
        <v>59</v>
      </c>
      <c r="F94" s="186" t="s">
        <v>361</v>
      </c>
      <c r="G94" s="186" t="s">
        <v>255</v>
      </c>
      <c r="H94" s="186"/>
      <c r="I94" s="186"/>
      <c r="J94" s="186">
        <v>43</v>
      </c>
      <c r="K94" s="186"/>
      <c r="L94" s="186"/>
      <c r="M94" s="90"/>
      <c r="N94" s="90"/>
      <c r="O94" s="90"/>
      <c r="P94" s="186"/>
      <c r="Q94" s="122" t="s">
        <v>2530</v>
      </c>
      <c r="S94" s="186" t="s">
        <v>2545</v>
      </c>
    </row>
    <row r="95" spans="1:19" ht="18.75" hidden="1" customHeight="1">
      <c r="A95" s="213"/>
      <c r="B95" s="213"/>
      <c r="C95" s="210"/>
      <c r="D95" s="210"/>
      <c r="E95" s="186" t="s">
        <v>59</v>
      </c>
      <c r="F95" s="186" t="s">
        <v>2546</v>
      </c>
      <c r="G95" s="186" t="s">
        <v>2533</v>
      </c>
      <c r="H95" s="186"/>
      <c r="I95" s="186"/>
      <c r="J95" s="186">
        <v>44</v>
      </c>
      <c r="K95" s="186"/>
      <c r="L95" s="186"/>
      <c r="M95" s="90"/>
      <c r="N95" s="90"/>
      <c r="O95" s="90"/>
      <c r="P95" s="186"/>
      <c r="Q95" s="122" t="s">
        <v>2530</v>
      </c>
      <c r="S95" s="186" t="s">
        <v>2547</v>
      </c>
    </row>
    <row r="96" spans="1:19" ht="18.75" hidden="1" customHeight="1">
      <c r="A96" s="213"/>
      <c r="B96" s="213"/>
      <c r="C96" s="210"/>
      <c r="D96" s="210"/>
      <c r="E96" s="186" t="s">
        <v>59</v>
      </c>
      <c r="F96" s="186" t="s">
        <v>2548</v>
      </c>
      <c r="G96" s="186" t="s">
        <v>2533</v>
      </c>
      <c r="H96" s="186"/>
      <c r="I96" s="186"/>
      <c r="J96" s="186">
        <v>45</v>
      </c>
      <c r="K96" s="186"/>
      <c r="L96" s="186"/>
      <c r="M96" s="90"/>
      <c r="N96" s="90"/>
      <c r="O96" s="90"/>
      <c r="P96" s="186"/>
      <c r="Q96" s="122" t="s">
        <v>2530</v>
      </c>
      <c r="S96" s="186" t="s">
        <v>2549</v>
      </c>
    </row>
    <row r="97" spans="1:19" ht="18.75" hidden="1" customHeight="1">
      <c r="A97" s="213"/>
      <c r="B97" s="213"/>
      <c r="C97" s="210"/>
      <c r="D97" s="210"/>
      <c r="E97" s="186" t="s">
        <v>59</v>
      </c>
      <c r="F97" s="186" t="s">
        <v>2550</v>
      </c>
      <c r="G97" s="186" t="s">
        <v>2533</v>
      </c>
      <c r="H97" s="186"/>
      <c r="I97" s="186"/>
      <c r="J97" s="186">
        <v>46</v>
      </c>
      <c r="K97" s="186"/>
      <c r="L97" s="186"/>
      <c r="M97" s="90"/>
      <c r="N97" s="90"/>
      <c r="O97" s="90"/>
      <c r="P97" s="186"/>
      <c r="Q97" s="122" t="s">
        <v>2530</v>
      </c>
      <c r="S97" s="186" t="s">
        <v>1822</v>
      </c>
    </row>
    <row r="98" spans="1:19" ht="18.75" hidden="1" customHeight="1">
      <c r="A98" s="213"/>
      <c r="B98" s="213"/>
      <c r="C98" s="210"/>
      <c r="D98" s="210"/>
      <c r="E98" s="186" t="s">
        <v>59</v>
      </c>
      <c r="F98" s="186" t="s">
        <v>386</v>
      </c>
      <c r="G98" s="186" t="s">
        <v>2533</v>
      </c>
      <c r="H98" s="186"/>
      <c r="I98" s="186"/>
      <c r="J98" s="186">
        <v>52</v>
      </c>
      <c r="K98" s="186"/>
      <c r="L98" s="186"/>
      <c r="M98" s="90"/>
      <c r="N98" s="90"/>
      <c r="O98" s="90"/>
      <c r="P98" s="186"/>
      <c r="Q98" s="122" t="s">
        <v>2530</v>
      </c>
      <c r="S98" s="186" t="s">
        <v>2551</v>
      </c>
    </row>
    <row r="99" spans="1:19" ht="18.75" hidden="1" customHeight="1">
      <c r="A99" s="213"/>
      <c r="B99" s="213"/>
      <c r="C99" s="210"/>
      <c r="D99" s="210"/>
      <c r="E99" s="186" t="s">
        <v>59</v>
      </c>
      <c r="F99" s="186" t="s">
        <v>2552</v>
      </c>
      <c r="G99" s="186" t="s">
        <v>255</v>
      </c>
      <c r="H99" s="186"/>
      <c r="I99" s="186"/>
      <c r="J99" s="186">
        <v>54</v>
      </c>
      <c r="K99" s="186"/>
      <c r="L99" s="186"/>
      <c r="M99" s="90"/>
      <c r="N99" s="90"/>
      <c r="O99" s="90"/>
      <c r="P99" s="186"/>
      <c r="Q99" s="122" t="s">
        <v>2530</v>
      </c>
      <c r="S99" s="186" t="s">
        <v>2553</v>
      </c>
    </row>
    <row r="100" spans="1:19" ht="18.75" hidden="1" customHeight="1">
      <c r="A100" s="213"/>
      <c r="B100" s="213"/>
      <c r="C100" s="210"/>
      <c r="D100" s="210"/>
      <c r="E100" s="186" t="s">
        <v>59</v>
      </c>
      <c r="F100" s="186" t="s">
        <v>2554</v>
      </c>
      <c r="G100" s="186" t="s">
        <v>2484</v>
      </c>
      <c r="H100" s="186"/>
      <c r="I100" s="186"/>
      <c r="J100" s="186">
        <v>57</v>
      </c>
      <c r="K100" s="186"/>
      <c r="L100" s="186"/>
      <c r="M100" s="90"/>
      <c r="N100" s="90"/>
      <c r="O100" s="90"/>
      <c r="P100" s="186"/>
      <c r="Q100" s="122" t="s">
        <v>2530</v>
      </c>
      <c r="S100" s="186" t="s">
        <v>2555</v>
      </c>
    </row>
    <row r="101" spans="1:19" ht="18.75" hidden="1" customHeight="1">
      <c r="A101" s="213"/>
      <c r="B101" s="213"/>
      <c r="C101" s="210"/>
      <c r="D101" s="210"/>
      <c r="E101" s="186" t="s">
        <v>59</v>
      </c>
      <c r="F101" s="186" t="s">
        <v>2556</v>
      </c>
      <c r="G101" s="186" t="s">
        <v>2484</v>
      </c>
      <c r="H101" s="186"/>
      <c r="I101" s="186"/>
      <c r="J101" s="186">
        <v>58</v>
      </c>
      <c r="K101" s="186"/>
      <c r="L101" s="186"/>
      <c r="M101" s="90"/>
      <c r="N101" s="90"/>
      <c r="O101" s="90"/>
      <c r="P101" s="186"/>
      <c r="Q101" s="122" t="s">
        <v>2530</v>
      </c>
      <c r="S101" s="186" t="s">
        <v>2557</v>
      </c>
    </row>
    <row r="102" spans="1:19" ht="18.75" hidden="1" customHeight="1">
      <c r="A102" s="213"/>
      <c r="B102" s="213"/>
      <c r="C102" s="210"/>
      <c r="D102" s="210"/>
      <c r="E102" s="186" t="s">
        <v>59</v>
      </c>
      <c r="F102" s="186" t="s">
        <v>2558</v>
      </c>
      <c r="G102" s="186" t="s">
        <v>2484</v>
      </c>
      <c r="H102" s="186"/>
      <c r="I102" s="186"/>
      <c r="J102" s="186">
        <v>59</v>
      </c>
      <c r="K102" s="186"/>
      <c r="L102" s="186"/>
      <c r="M102" s="90"/>
      <c r="N102" s="90"/>
      <c r="O102" s="90"/>
      <c r="P102" s="186"/>
      <c r="Q102" s="122" t="s">
        <v>2530</v>
      </c>
      <c r="S102" s="186" t="s">
        <v>2559</v>
      </c>
    </row>
    <row r="103" spans="1:19" ht="18.75" hidden="1" customHeight="1">
      <c r="A103" s="213"/>
      <c r="B103" s="213"/>
      <c r="C103" s="210"/>
      <c r="D103" s="210"/>
      <c r="E103" s="186" t="s">
        <v>59</v>
      </c>
      <c r="F103" s="186" t="s">
        <v>2560</v>
      </c>
      <c r="G103" s="186" t="s">
        <v>255</v>
      </c>
      <c r="H103" s="186"/>
      <c r="I103" s="186"/>
      <c r="J103" s="186">
        <v>70</v>
      </c>
      <c r="K103" s="186"/>
      <c r="L103" s="186"/>
      <c r="M103" s="90"/>
      <c r="N103" s="90"/>
      <c r="O103" s="90"/>
      <c r="P103" s="186"/>
      <c r="Q103" s="122" t="s">
        <v>2530</v>
      </c>
      <c r="S103" s="186" t="s">
        <v>2561</v>
      </c>
    </row>
  </sheetData>
  <autoFilter ref="A2:Z79" xr:uid="{00000000-0009-0000-0000-00000D000000}">
    <filterColumn colId="10">
      <filters>
        <filter val="Hardcoding"/>
        <filter val="NBMASTERBMLIST_MMDDYYYY.txt"/>
      </filters>
    </filterColumn>
  </autoFilter>
  <pageMargins left="0.7" right="0.7" top="0.75" bottom="0.75" header="0" footer="0"/>
  <pageSetup orientation="landscape"/>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F88B3E-66E7-4003-9EA6-A01B7819EB39}">
  <sheetPr>
    <tabColor rgb="FFFFFF00"/>
  </sheetPr>
  <dimension ref="A1:X106"/>
  <sheetViews>
    <sheetView topLeftCell="E1" workbookViewId="0">
      <selection activeCell="F12" sqref="F12"/>
    </sheetView>
  </sheetViews>
  <sheetFormatPr defaultRowHeight="12.5"/>
  <cols>
    <col min="1" max="1" width="37.54296875" hidden="1" customWidth="1"/>
    <col min="2" max="2" width="31.453125" hidden="1" customWidth="1"/>
    <col min="3" max="3" width="36.26953125" hidden="1" customWidth="1"/>
    <col min="4" max="4" width="0" hidden="1" customWidth="1"/>
    <col min="5" max="5" width="31.81640625" customWidth="1"/>
    <col min="6" max="6" width="20.7265625" customWidth="1"/>
    <col min="8" max="8" width="11" customWidth="1"/>
    <col min="9" max="9" width="15.54296875" customWidth="1"/>
    <col min="11" max="11" width="34.453125" customWidth="1"/>
    <col min="12" max="12" width="50.26953125" customWidth="1"/>
  </cols>
  <sheetData>
    <row r="1" spans="1:24" ht="18.75" customHeight="1">
      <c r="A1" s="186"/>
      <c r="B1" s="186"/>
      <c r="C1" s="186"/>
      <c r="D1" s="186"/>
      <c r="E1" s="289" t="s">
        <v>1322</v>
      </c>
      <c r="F1" s="186"/>
      <c r="G1" s="186"/>
      <c r="H1" s="186"/>
      <c r="I1" s="186"/>
      <c r="J1" s="186"/>
      <c r="K1" s="207" t="s">
        <v>1038</v>
      </c>
      <c r="L1" s="207"/>
      <c r="M1" s="207"/>
      <c r="N1" s="207"/>
      <c r="O1" s="207"/>
      <c r="P1" s="207"/>
      <c r="Q1" s="186"/>
      <c r="R1" s="186"/>
      <c r="S1" s="186"/>
    </row>
    <row r="2" spans="1:24" ht="18.75" customHeight="1">
      <c r="A2" s="208" t="s">
        <v>1040</v>
      </c>
      <c r="B2" s="208" t="s">
        <v>1041</v>
      </c>
      <c r="C2" s="208" t="s">
        <v>1042</v>
      </c>
      <c r="D2" s="208" t="s">
        <v>1043</v>
      </c>
      <c r="E2" s="208" t="s">
        <v>224</v>
      </c>
      <c r="F2" s="208" t="s">
        <v>225</v>
      </c>
      <c r="G2" s="208" t="s">
        <v>226</v>
      </c>
      <c r="H2" s="208" t="s">
        <v>227</v>
      </c>
      <c r="I2" s="208" t="s">
        <v>1044</v>
      </c>
      <c r="J2" s="208" t="s">
        <v>1045</v>
      </c>
      <c r="K2" s="207" t="s">
        <v>100</v>
      </c>
      <c r="L2" s="207" t="s">
        <v>101</v>
      </c>
      <c r="M2" s="207" t="s">
        <v>102</v>
      </c>
      <c r="N2" s="207" t="s">
        <v>103</v>
      </c>
      <c r="O2" s="207" t="s">
        <v>104</v>
      </c>
      <c r="P2" s="207" t="s">
        <v>105</v>
      </c>
      <c r="Q2" s="208" t="s">
        <v>111</v>
      </c>
      <c r="R2" s="208" t="s">
        <v>112</v>
      </c>
      <c r="S2" s="208" t="s">
        <v>113</v>
      </c>
    </row>
    <row r="3" spans="1:24">
      <c r="A3" s="441"/>
      <c r="B3" s="441"/>
      <c r="C3" s="441"/>
      <c r="D3" s="441"/>
      <c r="E3" s="441" t="s">
        <v>53</v>
      </c>
      <c r="F3" s="382" t="s">
        <v>124</v>
      </c>
      <c r="G3" s="499"/>
      <c r="I3" s="499"/>
      <c r="J3" s="499"/>
      <c r="K3" s="499"/>
      <c r="L3" s="499"/>
      <c r="M3" s="368"/>
      <c r="N3" s="368"/>
      <c r="O3" s="368"/>
      <c r="P3" s="368"/>
      <c r="Q3" s="368"/>
      <c r="R3" s="368"/>
      <c r="S3" s="368"/>
      <c r="T3" s="278"/>
      <c r="U3" s="278"/>
      <c r="V3" s="278"/>
      <c r="W3" s="278"/>
      <c r="X3" s="268"/>
    </row>
    <row r="4" spans="1:24">
      <c r="A4" s="441"/>
      <c r="B4" s="441"/>
      <c r="C4" s="441"/>
      <c r="D4" s="441"/>
      <c r="E4" s="441" t="s">
        <v>224</v>
      </c>
      <c r="F4" s="382" t="s">
        <v>2569</v>
      </c>
      <c r="G4" s="499"/>
      <c r="H4" s="499" t="s">
        <v>243</v>
      </c>
      <c r="I4" s="499"/>
      <c r="J4" s="499"/>
      <c r="K4" s="130" t="s">
        <v>2570</v>
      </c>
      <c r="L4" s="499" t="s">
        <v>1022</v>
      </c>
      <c r="M4" s="368"/>
      <c r="N4" s="368"/>
      <c r="O4" s="368"/>
      <c r="P4" s="368"/>
      <c r="Q4" s="368"/>
      <c r="R4" s="368"/>
      <c r="S4" s="368"/>
      <c r="T4" s="278"/>
      <c r="U4" s="278"/>
      <c r="V4" s="247"/>
      <c r="W4" s="371"/>
      <c r="X4" s="290"/>
    </row>
    <row r="5" spans="1:24">
      <c r="A5" s="441"/>
      <c r="B5" s="441"/>
      <c r="C5" s="441"/>
      <c r="D5" s="441"/>
      <c r="E5" s="441" t="s">
        <v>2571</v>
      </c>
      <c r="F5" s="382" t="s">
        <v>2572</v>
      </c>
      <c r="G5" s="499"/>
      <c r="H5" s="499" t="s">
        <v>243</v>
      </c>
      <c r="I5" s="499"/>
      <c r="J5" s="499"/>
      <c r="K5" s="130" t="s">
        <v>2570</v>
      </c>
      <c r="L5" s="499" t="s">
        <v>2573</v>
      </c>
      <c r="M5" s="368"/>
      <c r="N5" s="368"/>
      <c r="O5" s="368"/>
      <c r="P5" s="368"/>
      <c r="Q5" s="368"/>
      <c r="R5" s="368"/>
      <c r="S5" s="368"/>
      <c r="T5" s="278"/>
      <c r="U5" s="278"/>
      <c r="V5" s="278"/>
      <c r="W5" s="278"/>
      <c r="X5" s="268"/>
    </row>
    <row r="6" spans="1:24">
      <c r="A6" s="441"/>
      <c r="B6" s="441"/>
      <c r="C6" s="441"/>
      <c r="D6" s="441"/>
      <c r="E6" s="441" t="s">
        <v>224</v>
      </c>
      <c r="F6" s="382" t="s">
        <v>920</v>
      </c>
      <c r="G6" s="499"/>
      <c r="H6" s="499" t="s">
        <v>243</v>
      </c>
      <c r="I6" s="499"/>
      <c r="J6" s="499"/>
      <c r="K6" s="130" t="s">
        <v>2570</v>
      </c>
      <c r="L6" s="499" t="s">
        <v>2574</v>
      </c>
      <c r="M6" s="368"/>
      <c r="N6" s="368"/>
      <c r="O6" s="368"/>
      <c r="P6" s="368"/>
      <c r="Q6" s="368"/>
      <c r="R6" s="368"/>
      <c r="S6" s="368"/>
      <c r="T6" s="278"/>
      <c r="U6" s="278"/>
      <c r="V6" s="278"/>
      <c r="W6" s="278"/>
      <c r="X6" s="268"/>
    </row>
    <row r="7" spans="1:24">
      <c r="A7" s="441"/>
      <c r="B7" s="441"/>
      <c r="C7" s="441"/>
      <c r="D7" s="441"/>
      <c r="E7" s="441" t="s">
        <v>224</v>
      </c>
      <c r="F7" s="382" t="s">
        <v>2575</v>
      </c>
      <c r="G7" s="499"/>
      <c r="H7" s="499" t="s">
        <v>243</v>
      </c>
      <c r="J7" s="499"/>
      <c r="K7" s="499" t="s">
        <v>1184</v>
      </c>
      <c r="L7" s="459" t="s">
        <v>2576</v>
      </c>
      <c r="M7" s="368"/>
      <c r="N7" s="130"/>
      <c r="O7" s="140"/>
      <c r="P7" s="130"/>
      <c r="Q7" s="368"/>
      <c r="R7" s="368"/>
      <c r="S7" s="368"/>
      <c r="T7" s="193"/>
      <c r="U7" s="193"/>
      <c r="V7" s="193"/>
      <c r="W7" s="193"/>
      <c r="X7" s="193"/>
    </row>
    <row r="8" spans="1:24">
      <c r="A8" s="441"/>
      <c r="B8" s="441"/>
      <c r="C8" s="441"/>
      <c r="D8" s="441"/>
      <c r="E8" s="441" t="s">
        <v>224</v>
      </c>
      <c r="F8" s="382" t="s">
        <v>123</v>
      </c>
      <c r="G8" s="499"/>
      <c r="H8" s="499" t="s">
        <v>243</v>
      </c>
      <c r="J8" s="499"/>
      <c r="K8" s="499" t="s">
        <v>1184</v>
      </c>
      <c r="L8" s="459" t="s">
        <v>2577</v>
      </c>
      <c r="M8" s="368"/>
      <c r="N8" s="130"/>
      <c r="O8" s="140"/>
      <c r="P8" s="130"/>
      <c r="Q8" s="368"/>
      <c r="R8" s="368"/>
      <c r="S8" s="368"/>
      <c r="T8" s="278"/>
      <c r="U8" s="278"/>
      <c r="V8" s="369"/>
      <c r="W8" s="371"/>
      <c r="X8" s="290"/>
    </row>
    <row r="9" spans="1:24">
      <c r="A9" s="441"/>
      <c r="B9" s="441"/>
      <c r="C9" s="441"/>
      <c r="D9" s="441"/>
      <c r="E9" s="441" t="s">
        <v>2571</v>
      </c>
      <c r="F9" s="382" t="s">
        <v>2578</v>
      </c>
      <c r="G9" s="499"/>
      <c r="H9" s="499" t="s">
        <v>243</v>
      </c>
      <c r="I9" s="499"/>
      <c r="J9" s="499"/>
      <c r="K9" s="130" t="s">
        <v>2570</v>
      </c>
      <c r="L9" s="499" t="s">
        <v>2579</v>
      </c>
      <c r="M9" s="368"/>
      <c r="N9" s="130"/>
      <c r="O9" s="130"/>
      <c r="P9" s="130"/>
      <c r="Q9" s="368"/>
      <c r="R9" s="368"/>
      <c r="S9" s="368"/>
      <c r="T9" s="278"/>
      <c r="U9" s="278"/>
      <c r="V9" s="278"/>
      <c r="W9" s="278"/>
      <c r="X9" s="268"/>
    </row>
    <row r="10" spans="1:24">
      <c r="A10" s="441"/>
      <c r="B10" s="441"/>
      <c r="C10" s="441"/>
      <c r="D10" s="441"/>
      <c r="E10" s="441" t="s">
        <v>2571</v>
      </c>
      <c r="F10" s="382" t="s">
        <v>2580</v>
      </c>
      <c r="G10" s="499"/>
      <c r="H10" s="499" t="s">
        <v>243</v>
      </c>
      <c r="J10" s="499"/>
      <c r="K10" s="130" t="s">
        <v>2570</v>
      </c>
      <c r="L10" s="499" t="s">
        <v>2581</v>
      </c>
      <c r="M10" s="368"/>
      <c r="N10" s="130"/>
      <c r="O10" s="130"/>
      <c r="P10" s="130"/>
      <c r="Q10" s="368"/>
      <c r="R10" s="368"/>
      <c r="S10" s="368"/>
      <c r="T10" s="278"/>
      <c r="U10" s="278"/>
      <c r="V10" s="278"/>
      <c r="W10" s="278"/>
      <c r="X10" s="268"/>
    </row>
    <row r="11" spans="1:24">
      <c r="A11" s="441"/>
      <c r="B11" s="441"/>
      <c r="C11" s="441"/>
      <c r="D11" s="441"/>
      <c r="E11" s="441" t="s">
        <v>2571</v>
      </c>
      <c r="F11" s="382" t="s">
        <v>994</v>
      </c>
      <c r="G11" s="499"/>
      <c r="H11" s="499" t="s">
        <v>243</v>
      </c>
      <c r="I11" s="499" t="s">
        <v>2582</v>
      </c>
      <c r="J11" s="499"/>
      <c r="K11" s="499"/>
      <c r="L11" s="499" t="s">
        <v>2583</v>
      </c>
      <c r="M11" s="368"/>
      <c r="N11" s="130"/>
      <c r="O11" s="130"/>
      <c r="P11" s="130"/>
      <c r="Q11" s="368"/>
      <c r="R11" s="368"/>
      <c r="S11" s="368"/>
      <c r="T11" s="278"/>
      <c r="U11" s="278"/>
      <c r="V11" s="278"/>
      <c r="W11" s="278"/>
      <c r="X11" s="268"/>
    </row>
    <row r="12" spans="1:24" ht="25">
      <c r="A12" s="441"/>
      <c r="B12" s="441"/>
      <c r="C12" s="441"/>
      <c r="D12" s="441"/>
      <c r="E12" s="441" t="s">
        <v>224</v>
      </c>
      <c r="F12" s="382" t="s">
        <v>1406</v>
      </c>
      <c r="G12" s="499"/>
      <c r="H12" s="499"/>
      <c r="I12" s="499"/>
      <c r="J12" s="499"/>
      <c r="K12" s="499"/>
      <c r="L12" s="499" t="s">
        <v>2584</v>
      </c>
      <c r="M12" s="134"/>
      <c r="N12" s="186"/>
      <c r="O12" s="186"/>
      <c r="P12" s="186"/>
      <c r="Q12" s="134"/>
      <c r="R12" s="134" t="s">
        <v>2585</v>
      </c>
      <c r="S12" s="134"/>
      <c r="T12" s="193"/>
      <c r="U12" s="193"/>
      <c r="V12" s="193"/>
      <c r="W12" s="193"/>
      <c r="X12" s="193"/>
    </row>
    <row r="13" spans="1:24" s="437" customFormat="1">
      <c r="A13" s="592"/>
      <c r="B13" s="592"/>
      <c r="C13" s="592"/>
      <c r="D13" s="592"/>
      <c r="E13" s="592" t="s">
        <v>2571</v>
      </c>
      <c r="F13" s="593" t="s">
        <v>2586</v>
      </c>
      <c r="G13" s="556"/>
      <c r="H13" s="556" t="s">
        <v>243</v>
      </c>
      <c r="I13" s="556"/>
      <c r="J13" s="556"/>
      <c r="K13" s="594" t="s">
        <v>2570</v>
      </c>
      <c r="L13" s="556" t="s">
        <v>2574</v>
      </c>
      <c r="M13" s="595"/>
      <c r="N13" s="480"/>
      <c r="O13" s="480"/>
      <c r="P13" s="480"/>
      <c r="Q13" s="595"/>
      <c r="R13" s="595"/>
      <c r="S13" s="595"/>
      <c r="T13" s="557"/>
      <c r="U13" s="557"/>
      <c r="V13" s="557"/>
      <c r="W13" s="557"/>
      <c r="X13" s="557"/>
    </row>
    <row r="14" spans="1:24" ht="25">
      <c r="E14" s="186" t="s">
        <v>53</v>
      </c>
      <c r="F14" s="186" t="s">
        <v>1290</v>
      </c>
      <c r="G14" s="186" t="s">
        <v>1862</v>
      </c>
      <c r="H14" t="s">
        <v>243</v>
      </c>
      <c r="K14" s="130" t="s">
        <v>2570</v>
      </c>
      <c r="L14" t="s">
        <v>2587</v>
      </c>
    </row>
    <row r="18" spans="5:5">
      <c r="E18" s="596" t="s">
        <v>2588</v>
      </c>
    </row>
    <row r="19" spans="5:5">
      <c r="E19" s="596" t="s">
        <v>2589</v>
      </c>
    </row>
    <row r="20" spans="5:5">
      <c r="E20" s="596" t="s">
        <v>2590</v>
      </c>
    </row>
    <row r="21" spans="5:5">
      <c r="E21" s="596" t="s">
        <v>2591</v>
      </c>
    </row>
    <row r="22" spans="5:5">
      <c r="E22" s="596" t="s">
        <v>2592</v>
      </c>
    </row>
    <row r="23" spans="5:5">
      <c r="E23" s="596" t="s">
        <v>2593</v>
      </c>
    </row>
    <row r="24" spans="5:5" ht="14">
      <c r="E24" s="597" t="s">
        <v>2594</v>
      </c>
    </row>
    <row r="103" spans="1:3">
      <c r="A103" s="689"/>
      <c r="B103" s="690"/>
      <c r="C103" s="690"/>
    </row>
    <row r="104" spans="1:3" ht="13">
      <c r="A104" s="149"/>
    </row>
    <row r="105" spans="1:3">
      <c r="A105" s="691"/>
      <c r="B105" s="692"/>
      <c r="C105" s="692"/>
    </row>
    <row r="106" spans="1:3">
      <c r="A106" s="691"/>
      <c r="B106" s="692"/>
      <c r="C106" s="692"/>
    </row>
  </sheetData>
  <mergeCells count="3">
    <mergeCell ref="A103:C103"/>
    <mergeCell ref="A105:C105"/>
    <mergeCell ref="A106:C106"/>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26C748-C3F9-4FAF-B654-86C9895D8C23}">
  <sheetPr>
    <tabColor rgb="FFFFFF00"/>
  </sheetPr>
  <dimension ref="A1:I7"/>
  <sheetViews>
    <sheetView topLeftCell="B1" workbookViewId="0">
      <selection activeCell="B1" sqref="B1"/>
    </sheetView>
  </sheetViews>
  <sheetFormatPr defaultColWidth="10.1796875" defaultRowHeight="12.5"/>
  <cols>
    <col min="1" max="1" width="38.7265625" style="129" customWidth="1"/>
    <col min="2" max="2" width="13" style="129" customWidth="1"/>
    <col min="3" max="3" width="21.1796875" style="129" customWidth="1"/>
    <col min="4" max="4" width="13.453125" style="129" customWidth="1"/>
    <col min="5" max="5" width="13.7265625" style="129" customWidth="1"/>
    <col min="6" max="6" width="48.7265625" style="129" customWidth="1"/>
    <col min="7" max="7" width="31.1796875" style="129" customWidth="1"/>
    <col min="8" max="8" width="20.81640625" style="129" customWidth="1"/>
    <col min="9" max="9" width="101" style="129" customWidth="1"/>
    <col min="10" max="14" width="9.1796875" style="129"/>
    <col min="15" max="16384" width="10.1796875" style="129"/>
  </cols>
  <sheetData>
    <row r="1" spans="1:9" ht="13">
      <c r="A1" s="609" t="s">
        <v>2595</v>
      </c>
      <c r="B1" s="609" t="s">
        <v>225</v>
      </c>
      <c r="C1" s="609" t="s">
        <v>226</v>
      </c>
      <c r="D1" s="609" t="s">
        <v>2596</v>
      </c>
      <c r="E1" s="609" t="s">
        <v>112</v>
      </c>
      <c r="F1" s="609" t="s">
        <v>2597</v>
      </c>
      <c r="G1" s="585" t="s">
        <v>100</v>
      </c>
      <c r="H1" s="616" t="s">
        <v>101</v>
      </c>
      <c r="I1" s="610" t="s">
        <v>2598</v>
      </c>
    </row>
    <row r="2" spans="1:9">
      <c r="A2" s="659" t="s">
        <v>224</v>
      </c>
      <c r="B2" s="659" t="s">
        <v>968</v>
      </c>
      <c r="C2" s="599" t="s">
        <v>2502</v>
      </c>
      <c r="D2" s="611" t="s">
        <v>680</v>
      </c>
      <c r="E2" s="611"/>
      <c r="F2" s="611" t="s">
        <v>2599</v>
      </c>
      <c r="G2" s="621" t="s">
        <v>2600</v>
      </c>
      <c r="H2" s="556" t="s">
        <v>969</v>
      </c>
      <c r="I2" s="556" t="s">
        <v>2601</v>
      </c>
    </row>
    <row r="3" spans="1:9" ht="25">
      <c r="A3" s="659" t="s">
        <v>224</v>
      </c>
      <c r="B3" s="659" t="s">
        <v>2602</v>
      </c>
      <c r="C3" s="599" t="s">
        <v>2502</v>
      </c>
      <c r="D3" s="611" t="s">
        <v>680</v>
      </c>
      <c r="E3" s="611"/>
      <c r="F3" s="611" t="s">
        <v>2603</v>
      </c>
      <c r="G3" s="621" t="s">
        <v>2600</v>
      </c>
      <c r="H3" s="556" t="s">
        <v>2574</v>
      </c>
      <c r="I3" s="612" t="s">
        <v>2604</v>
      </c>
    </row>
    <row r="4" spans="1:9">
      <c r="A4" s="439"/>
      <c r="B4" s="439"/>
      <c r="C4" s="478"/>
      <c r="D4" s="478"/>
      <c r="E4" s="478"/>
      <c r="F4" s="478"/>
      <c r="G4" s="478"/>
      <c r="H4" s="478"/>
      <c r="I4" s="599" t="s">
        <v>2605</v>
      </c>
    </row>
    <row r="5" spans="1:9" ht="25">
      <c r="I5" s="599" t="s">
        <v>2606</v>
      </c>
    </row>
    <row r="6" spans="1:9">
      <c r="I6" s="478"/>
    </row>
    <row r="7" spans="1:9" ht="16">
      <c r="I7" s="613"/>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1B4D48-BB14-4BDA-A2D5-B19677E68E33}">
  <dimension ref="A1:S95"/>
  <sheetViews>
    <sheetView topLeftCell="F3" workbookViewId="0">
      <selection activeCell="I3" sqref="I3"/>
    </sheetView>
  </sheetViews>
  <sheetFormatPr defaultRowHeight="12.5"/>
  <cols>
    <col min="1" max="1" width="37.54296875" hidden="1" customWidth="1"/>
    <col min="2" max="2" width="31.453125" hidden="1" customWidth="1"/>
    <col min="3" max="3" width="36.26953125" hidden="1" customWidth="1"/>
    <col min="4" max="4" width="0" hidden="1" customWidth="1"/>
    <col min="5" max="5" width="31.81640625" customWidth="1"/>
    <col min="6" max="6" width="20.7265625" customWidth="1"/>
    <col min="8" max="8" width="11" customWidth="1"/>
    <col min="9" max="9" width="15.54296875" customWidth="1"/>
    <col min="11" max="11" width="34.453125" customWidth="1"/>
    <col min="12" max="12" width="50.26953125" customWidth="1"/>
  </cols>
  <sheetData>
    <row r="1" spans="1:19" ht="18.75" customHeight="1">
      <c r="A1" s="186"/>
      <c r="B1" s="186"/>
      <c r="C1" s="186"/>
      <c r="D1" s="186"/>
      <c r="E1" s="289" t="s">
        <v>1322</v>
      </c>
      <c r="F1" s="186"/>
      <c r="G1" s="186"/>
      <c r="H1" s="186"/>
      <c r="I1" s="186"/>
      <c r="J1" s="186"/>
      <c r="K1" s="207" t="s">
        <v>1038</v>
      </c>
      <c r="L1" s="207"/>
      <c r="M1" s="207"/>
      <c r="N1" s="207"/>
      <c r="O1" s="207"/>
      <c r="P1" s="207"/>
      <c r="Q1" s="186"/>
      <c r="R1" s="186"/>
      <c r="S1" s="186"/>
    </row>
    <row r="2" spans="1:19" ht="18.75" customHeight="1">
      <c r="A2" s="208" t="s">
        <v>1040</v>
      </c>
      <c r="B2" s="208" t="s">
        <v>1041</v>
      </c>
      <c r="C2" s="208" t="s">
        <v>1042</v>
      </c>
      <c r="D2" s="208" t="s">
        <v>1043</v>
      </c>
      <c r="E2" s="208" t="s">
        <v>224</v>
      </c>
      <c r="F2" s="208" t="s">
        <v>225</v>
      </c>
      <c r="G2" s="208" t="s">
        <v>226</v>
      </c>
      <c r="H2" s="208" t="s">
        <v>227</v>
      </c>
      <c r="I2" s="208" t="s">
        <v>1044</v>
      </c>
      <c r="J2" s="208" t="s">
        <v>1045</v>
      </c>
      <c r="K2" s="207" t="s">
        <v>100</v>
      </c>
      <c r="L2" s="207" t="s">
        <v>101</v>
      </c>
      <c r="M2" s="207" t="s">
        <v>102</v>
      </c>
      <c r="N2" s="207" t="s">
        <v>103</v>
      </c>
      <c r="O2" s="207" t="s">
        <v>104</v>
      </c>
      <c r="P2" s="207" t="s">
        <v>105</v>
      </c>
      <c r="Q2" s="208" t="s">
        <v>111</v>
      </c>
      <c r="R2" s="208" t="s">
        <v>112</v>
      </c>
      <c r="S2" s="208" t="s">
        <v>113</v>
      </c>
    </row>
    <row r="3" spans="1:19" ht="187.5" customHeight="1">
      <c r="A3" s="441"/>
      <c r="B3" s="441"/>
      <c r="C3" s="441"/>
      <c r="D3" s="441"/>
      <c r="E3" s="441" t="s">
        <v>224</v>
      </c>
      <c r="F3" s="382" t="s">
        <v>2607</v>
      </c>
      <c r="G3" s="499"/>
      <c r="H3" s="499" t="s">
        <v>903</v>
      </c>
      <c r="I3" s="499"/>
      <c r="J3" s="499"/>
      <c r="K3" s="130" t="s">
        <v>2608</v>
      </c>
      <c r="L3" s="499" t="s">
        <v>2609</v>
      </c>
      <c r="M3" s="368"/>
      <c r="N3" s="368"/>
      <c r="O3" s="368"/>
      <c r="P3" s="368"/>
      <c r="Q3" s="368"/>
      <c r="R3" s="368"/>
      <c r="S3" s="368"/>
    </row>
    <row r="4" spans="1:19" ht="25">
      <c r="A4" s="441"/>
      <c r="B4" s="441"/>
      <c r="C4" s="441"/>
      <c r="D4" s="441"/>
      <c r="E4" s="441" t="s">
        <v>224</v>
      </c>
      <c r="F4" s="382" t="s">
        <v>2610</v>
      </c>
      <c r="G4" s="499"/>
      <c r="H4" s="499" t="s">
        <v>903</v>
      </c>
      <c r="I4" s="499"/>
      <c r="J4" s="499"/>
      <c r="K4" s="130" t="s">
        <v>2608</v>
      </c>
      <c r="L4" s="499" t="s">
        <v>2611</v>
      </c>
      <c r="M4" s="368"/>
      <c r="N4" s="368"/>
      <c r="O4" s="368"/>
      <c r="P4" s="368"/>
      <c r="Q4" s="368"/>
      <c r="R4" s="368"/>
      <c r="S4" s="368"/>
    </row>
    <row r="5" spans="1:19">
      <c r="A5" s="441"/>
      <c r="B5" s="441"/>
      <c r="C5" s="441"/>
      <c r="D5" s="441"/>
      <c r="E5" s="441"/>
      <c r="F5" s="382"/>
      <c r="G5" s="499"/>
      <c r="H5" s="499"/>
      <c r="I5" s="499"/>
      <c r="J5" s="499"/>
      <c r="K5" s="130"/>
      <c r="L5" s="499"/>
      <c r="M5" s="368"/>
      <c r="N5" s="368"/>
      <c r="O5" s="368"/>
      <c r="P5" s="368"/>
      <c r="Q5" s="368"/>
      <c r="R5" s="368"/>
      <c r="S5" s="368"/>
    </row>
    <row r="6" spans="1:19">
      <c r="B6" s="441"/>
      <c r="C6" s="441"/>
      <c r="D6" s="441"/>
      <c r="E6" s="441"/>
      <c r="F6" s="382"/>
      <c r="G6" s="499"/>
      <c r="H6" s="499"/>
      <c r="I6" s="499"/>
      <c r="J6" s="499"/>
      <c r="K6" s="499"/>
      <c r="L6" s="499"/>
      <c r="M6" s="368"/>
      <c r="N6" s="186"/>
      <c r="O6" s="186"/>
      <c r="P6" s="186"/>
      <c r="Q6" s="134"/>
      <c r="R6" s="134"/>
      <c r="S6" s="134"/>
    </row>
    <row r="7" spans="1:19" ht="25">
      <c r="B7" s="441"/>
      <c r="C7" s="441"/>
      <c r="D7" s="441"/>
      <c r="E7" s="566" t="s">
        <v>2612</v>
      </c>
      <c r="F7" s="382"/>
      <c r="G7" s="499"/>
      <c r="H7" s="499"/>
      <c r="I7" s="499"/>
      <c r="J7" s="499"/>
      <c r="K7" s="499"/>
      <c r="L7" s="499"/>
      <c r="M7" s="368"/>
      <c r="N7" s="134"/>
      <c r="O7" s="134"/>
      <c r="P7" s="134"/>
      <c r="Q7" s="134"/>
      <c r="R7" s="134"/>
      <c r="S7" s="134"/>
    </row>
    <row r="92" spans="1:3">
      <c r="A92" s="689"/>
      <c r="B92" s="690"/>
      <c r="C92" s="690"/>
    </row>
    <row r="93" spans="1:3" ht="13">
      <c r="A93" s="149"/>
    </row>
    <row r="94" spans="1:3">
      <c r="A94" s="691"/>
      <c r="B94" s="692"/>
      <c r="C94" s="692"/>
    </row>
    <row r="95" spans="1:3">
      <c r="A95" s="691"/>
      <c r="B95" s="692"/>
      <c r="C95" s="692"/>
    </row>
  </sheetData>
  <mergeCells count="3">
    <mergeCell ref="A92:C92"/>
    <mergeCell ref="A94:C94"/>
    <mergeCell ref="A95:C95"/>
  </mergeCell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B6D10A-721E-49D9-9C6D-97B8D6EAF993}">
  <sheetPr>
    <tabColor rgb="FFFFFF00"/>
  </sheetPr>
  <dimension ref="A1:I6"/>
  <sheetViews>
    <sheetView workbookViewId="0">
      <selection activeCell="F3" sqref="F3"/>
    </sheetView>
  </sheetViews>
  <sheetFormatPr defaultColWidth="10.1796875" defaultRowHeight="12.5"/>
  <cols>
    <col min="1" max="1" width="17.7265625" style="129" customWidth="1"/>
    <col min="2" max="2" width="12.1796875" style="129" customWidth="1"/>
    <col min="3" max="3" width="18.453125" style="129" customWidth="1"/>
    <col min="4" max="4" width="16.1796875" style="129" customWidth="1"/>
    <col min="5" max="5" width="15" style="129" customWidth="1"/>
    <col min="6" max="6" width="44" style="129" customWidth="1"/>
    <col min="7" max="7" width="29.453125" style="129" customWidth="1"/>
    <col min="8" max="8" width="20.81640625" style="129" customWidth="1"/>
    <col min="9" max="9" width="72.453125" style="129" customWidth="1"/>
    <col min="10" max="14" width="9.1796875" style="129"/>
    <col min="15" max="16384" width="10.1796875" style="129"/>
  </cols>
  <sheetData>
    <row r="1" spans="1:9" ht="13">
      <c r="A1" s="609" t="s">
        <v>2595</v>
      </c>
      <c r="B1" s="609" t="s">
        <v>225</v>
      </c>
      <c r="C1" s="609" t="s">
        <v>226</v>
      </c>
      <c r="D1" s="609" t="s">
        <v>2596</v>
      </c>
      <c r="E1" s="609" t="s">
        <v>112</v>
      </c>
      <c r="F1" s="609" t="s">
        <v>2597</v>
      </c>
      <c r="G1" s="585" t="s">
        <v>100</v>
      </c>
      <c r="H1" s="616" t="s">
        <v>101</v>
      </c>
      <c r="I1" s="610" t="s">
        <v>2598</v>
      </c>
    </row>
    <row r="2" spans="1:9" ht="45.75" customHeight="1">
      <c r="A2" s="592" t="s">
        <v>224</v>
      </c>
      <c r="B2" s="660" t="s">
        <v>2602</v>
      </c>
      <c r="C2" s="599" t="s">
        <v>2502</v>
      </c>
      <c r="D2" s="599" t="s">
        <v>680</v>
      </c>
      <c r="E2" s="599"/>
      <c r="F2" s="660" t="s">
        <v>2603</v>
      </c>
      <c r="G2" s="621" t="s">
        <v>2600</v>
      </c>
      <c r="H2" s="556" t="s">
        <v>969</v>
      </c>
      <c r="I2" s="556" t="s">
        <v>2601</v>
      </c>
    </row>
    <row r="3" spans="1:9" ht="45.75" customHeight="1">
      <c r="A3" s="592" t="s">
        <v>224</v>
      </c>
      <c r="B3" s="660" t="s">
        <v>968</v>
      </c>
      <c r="C3" s="660" t="s">
        <v>2613</v>
      </c>
      <c r="D3" s="599" t="s">
        <v>680</v>
      </c>
      <c r="E3" s="599"/>
      <c r="F3" s="660" t="s">
        <v>2599</v>
      </c>
      <c r="G3" s="621" t="s">
        <v>2600</v>
      </c>
      <c r="H3" s="556" t="s">
        <v>2574</v>
      </c>
      <c r="I3" s="612" t="s">
        <v>2604</v>
      </c>
    </row>
    <row r="4" spans="1:9" ht="16">
      <c r="A4" s="613"/>
      <c r="B4" s="613"/>
      <c r="C4" s="613"/>
      <c r="D4" s="613"/>
      <c r="E4" s="613"/>
      <c r="F4" s="613"/>
      <c r="G4" s="478"/>
      <c r="H4" s="478"/>
      <c r="I4" s="592" t="s">
        <v>2614</v>
      </c>
    </row>
    <row r="5" spans="1:9" ht="16">
      <c r="A5" s="613"/>
      <c r="B5" s="613"/>
      <c r="C5" s="613"/>
      <c r="D5" s="613"/>
      <c r="E5" s="613"/>
      <c r="F5" s="613"/>
      <c r="I5" s="599" t="s">
        <v>2605</v>
      </c>
    </row>
    <row r="6" spans="1:9" ht="16">
      <c r="B6" s="613"/>
      <c r="C6" s="613"/>
      <c r="D6" s="613"/>
      <c r="E6" s="613"/>
      <c r="F6" s="613"/>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C6EEB7-034E-469E-B6B1-8437DACB5D7F}">
  <dimension ref="A1:S97"/>
  <sheetViews>
    <sheetView topLeftCell="E1" workbookViewId="0">
      <selection activeCell="E1" sqref="A1:XFD1048576"/>
    </sheetView>
  </sheetViews>
  <sheetFormatPr defaultRowHeight="12.5"/>
  <cols>
    <col min="1" max="1" width="37.54296875" hidden="1" customWidth="1"/>
    <col min="2" max="2" width="31.453125" hidden="1" customWidth="1"/>
    <col min="3" max="3" width="36.26953125" hidden="1" customWidth="1"/>
    <col min="4" max="4" width="0" hidden="1" customWidth="1"/>
    <col min="5" max="5" width="31.81640625" customWidth="1"/>
    <col min="6" max="6" width="24.1796875" customWidth="1"/>
    <col min="7" max="7" width="25.26953125" customWidth="1"/>
    <col min="8" max="8" width="11" customWidth="1"/>
    <col min="9" max="9" width="15.54296875" customWidth="1"/>
    <col min="11" max="11" width="34.453125" customWidth="1"/>
    <col min="12" max="12" width="50.26953125" customWidth="1"/>
  </cols>
  <sheetData>
    <row r="1" spans="1:19" s="193" customFormat="1" ht="18.75" customHeight="1">
      <c r="A1" s="134"/>
      <c r="B1" s="134"/>
      <c r="C1" s="134"/>
      <c r="D1" s="134"/>
      <c r="E1" s="563" t="s">
        <v>1322</v>
      </c>
      <c r="F1" s="134"/>
      <c r="G1" s="134"/>
      <c r="H1" s="134"/>
      <c r="I1" s="134"/>
      <c r="J1" s="134"/>
      <c r="K1" s="564" t="s">
        <v>1038</v>
      </c>
      <c r="L1" s="564"/>
      <c r="M1" s="564"/>
      <c r="N1" s="564"/>
      <c r="O1" s="564"/>
      <c r="P1" s="564"/>
      <c r="Q1" s="134"/>
      <c r="R1" s="134"/>
      <c r="S1" s="134"/>
    </row>
    <row r="2" spans="1:19" s="562" customFormat="1" ht="18.75" customHeight="1">
      <c r="A2" s="560" t="s">
        <v>1040</v>
      </c>
      <c r="B2" s="560" t="s">
        <v>1041</v>
      </c>
      <c r="C2" s="560" t="s">
        <v>1042</v>
      </c>
      <c r="D2" s="560" t="s">
        <v>1043</v>
      </c>
      <c r="E2" s="560" t="s">
        <v>224</v>
      </c>
      <c r="F2" s="560" t="s">
        <v>225</v>
      </c>
      <c r="G2" s="560" t="s">
        <v>226</v>
      </c>
      <c r="H2" s="560" t="s">
        <v>227</v>
      </c>
      <c r="I2" s="560" t="s">
        <v>1044</v>
      </c>
      <c r="J2" s="560" t="s">
        <v>1045</v>
      </c>
      <c r="K2" s="561" t="s">
        <v>100</v>
      </c>
      <c r="L2" s="561" t="s">
        <v>101</v>
      </c>
      <c r="M2" s="561" t="s">
        <v>102</v>
      </c>
      <c r="N2" s="561" t="s">
        <v>103</v>
      </c>
      <c r="O2" s="561" t="s">
        <v>104</v>
      </c>
      <c r="P2" s="561" t="s">
        <v>105</v>
      </c>
      <c r="Q2" s="560" t="s">
        <v>111</v>
      </c>
      <c r="R2" s="560" t="s">
        <v>112</v>
      </c>
      <c r="S2" s="560" t="s">
        <v>113</v>
      </c>
    </row>
    <row r="3" spans="1:19" s="565" customFormat="1" ht="18.75" customHeight="1">
      <c r="A3" s="559"/>
      <c r="B3" s="559"/>
      <c r="C3" s="559"/>
      <c r="D3" s="559"/>
      <c r="E3" s="559" t="s">
        <v>53</v>
      </c>
      <c r="F3" s="661" t="s">
        <v>2615</v>
      </c>
      <c r="G3" s="661" t="s">
        <v>2616</v>
      </c>
      <c r="H3" s="559" t="s">
        <v>903</v>
      </c>
      <c r="I3" s="559"/>
      <c r="J3" s="559"/>
      <c r="K3" s="559"/>
      <c r="L3" s="559"/>
      <c r="M3" s="559"/>
      <c r="N3" s="559"/>
      <c r="O3" s="559"/>
      <c r="P3" s="559"/>
      <c r="Q3" s="559"/>
      <c r="R3" s="559"/>
      <c r="S3" s="559"/>
    </row>
    <row r="4" spans="1:19">
      <c r="A4" s="441"/>
      <c r="B4" s="441"/>
      <c r="C4" s="441"/>
      <c r="D4" s="441"/>
      <c r="E4" s="559" t="s">
        <v>53</v>
      </c>
      <c r="F4" s="662" t="s">
        <v>2617</v>
      </c>
      <c r="G4" s="662" t="s">
        <v>2618</v>
      </c>
      <c r="H4" s="193"/>
      <c r="I4" s="499"/>
      <c r="J4" s="499"/>
      <c r="K4" s="499" t="s">
        <v>1184</v>
      </c>
      <c r="M4" s="368"/>
      <c r="N4" s="368"/>
      <c r="O4" s="368"/>
      <c r="P4" s="368"/>
      <c r="Q4" s="368"/>
      <c r="R4" s="368"/>
      <c r="S4" s="368"/>
    </row>
    <row r="5" spans="1:19">
      <c r="A5" s="441"/>
      <c r="B5" s="441"/>
      <c r="C5" s="441"/>
      <c r="D5" s="441"/>
      <c r="E5" s="559" t="s">
        <v>53</v>
      </c>
      <c r="F5" s="662" t="s">
        <v>2619</v>
      </c>
      <c r="G5" s="662" t="s">
        <v>2620</v>
      </c>
      <c r="H5" s="499"/>
      <c r="I5" s="499"/>
      <c r="J5" s="499"/>
      <c r="M5" s="368"/>
      <c r="N5" s="368"/>
      <c r="O5" s="368"/>
      <c r="P5" s="368"/>
      <c r="Q5" s="368"/>
      <c r="R5" s="368"/>
      <c r="S5" s="368"/>
    </row>
    <row r="6" spans="1:19">
      <c r="A6" s="441"/>
      <c r="B6" s="441"/>
      <c r="C6" s="441"/>
      <c r="D6" s="441"/>
      <c r="E6" s="559" t="s">
        <v>53</v>
      </c>
      <c r="F6" s="662" t="s">
        <v>2621</v>
      </c>
      <c r="G6" s="662" t="s">
        <v>2613</v>
      </c>
      <c r="H6" s="499"/>
      <c r="I6" s="499"/>
      <c r="J6" s="499"/>
      <c r="M6" s="368"/>
      <c r="N6" s="368"/>
      <c r="O6" s="368"/>
      <c r="P6" s="368"/>
      <c r="Q6" s="368"/>
      <c r="R6" s="368"/>
      <c r="S6" s="368"/>
    </row>
    <row r="7" spans="1:19">
      <c r="A7" s="441"/>
      <c r="B7" s="441"/>
      <c r="C7" s="441"/>
      <c r="D7" s="441"/>
      <c r="E7" s="559" t="s">
        <v>53</v>
      </c>
      <c r="F7" s="662" t="s">
        <v>2622</v>
      </c>
      <c r="G7" s="662" t="s">
        <v>2623</v>
      </c>
      <c r="H7" s="499"/>
      <c r="I7" s="499"/>
      <c r="J7" s="499"/>
      <c r="K7" s="130"/>
      <c r="L7" s="499"/>
      <c r="M7" s="368"/>
      <c r="N7" s="368"/>
      <c r="O7" s="368"/>
      <c r="P7" s="368"/>
      <c r="Q7" s="368"/>
      <c r="R7" s="368"/>
      <c r="S7" s="368"/>
    </row>
    <row r="8" spans="1:19">
      <c r="A8" s="441"/>
      <c r="B8" s="441"/>
      <c r="C8" s="441"/>
      <c r="D8" s="441"/>
      <c r="E8" s="559" t="s">
        <v>53</v>
      </c>
      <c r="F8" s="662" t="s">
        <v>2624</v>
      </c>
      <c r="G8" s="662" t="s">
        <v>2620</v>
      </c>
      <c r="H8" s="499"/>
      <c r="I8" s="499"/>
      <c r="J8" s="499"/>
      <c r="K8" s="130"/>
      <c r="L8" s="499"/>
      <c r="M8" s="368"/>
      <c r="N8" s="368"/>
      <c r="O8" s="368"/>
      <c r="P8" s="368"/>
      <c r="Q8" s="368"/>
      <c r="R8" s="368"/>
      <c r="S8" s="368"/>
    </row>
    <row r="9" spans="1:19">
      <c r="A9" s="441"/>
      <c r="B9" s="441"/>
      <c r="C9" s="441"/>
      <c r="D9" s="441"/>
      <c r="E9" s="559" t="s">
        <v>53</v>
      </c>
      <c r="F9" s="662" t="s">
        <v>2625</v>
      </c>
      <c r="G9" s="662" t="s">
        <v>2623</v>
      </c>
      <c r="H9" s="499"/>
      <c r="I9" s="499"/>
      <c r="J9" s="499"/>
      <c r="K9" s="130"/>
      <c r="L9" s="499"/>
      <c r="M9" s="368"/>
      <c r="N9" s="368"/>
      <c r="O9" s="368"/>
      <c r="P9" s="368"/>
      <c r="Q9" s="368"/>
      <c r="R9" s="368"/>
      <c r="S9" s="368"/>
    </row>
    <row r="10" spans="1:19">
      <c r="B10" s="441"/>
      <c r="C10" s="441"/>
      <c r="D10" s="441"/>
      <c r="E10" s="559" t="s">
        <v>53</v>
      </c>
      <c r="F10" s="662" t="s">
        <v>2626</v>
      </c>
      <c r="G10" s="662" t="s">
        <v>2627</v>
      </c>
      <c r="H10" s="499" t="s">
        <v>903</v>
      </c>
      <c r="I10" s="499"/>
      <c r="J10" s="499"/>
      <c r="K10" s="499"/>
      <c r="M10" s="368"/>
      <c r="N10" s="186"/>
      <c r="O10" s="186"/>
      <c r="P10" s="186"/>
      <c r="Q10" s="134"/>
      <c r="R10" s="134"/>
      <c r="S10" s="134"/>
    </row>
    <row r="11" spans="1:19" ht="42.75" customHeight="1">
      <c r="B11" s="441"/>
      <c r="C11" s="441"/>
      <c r="D11" s="441"/>
      <c r="E11" s="441" t="s">
        <v>224</v>
      </c>
      <c r="F11" s="662" t="s">
        <v>2628</v>
      </c>
      <c r="G11" s="662" t="s">
        <v>2627</v>
      </c>
      <c r="H11" s="499"/>
      <c r="I11" s="499"/>
      <c r="J11" s="499"/>
      <c r="K11" s="130" t="s">
        <v>2608</v>
      </c>
      <c r="L11" s="499" t="s">
        <v>2611</v>
      </c>
      <c r="M11" s="368"/>
      <c r="N11" s="134"/>
      <c r="O11" s="134"/>
      <c r="P11" s="134"/>
      <c r="Q11" s="134"/>
      <c r="R11" s="134"/>
      <c r="S11" s="134"/>
    </row>
    <row r="12" spans="1:19" ht="172.5" customHeight="1">
      <c r="B12" s="441"/>
      <c r="C12" s="441"/>
      <c r="D12" s="441"/>
      <c r="E12" s="441" t="s">
        <v>224</v>
      </c>
      <c r="F12" s="662" t="s">
        <v>2629</v>
      </c>
      <c r="G12" s="662" t="s">
        <v>2627</v>
      </c>
      <c r="H12" s="499"/>
      <c r="I12" s="499"/>
      <c r="J12" s="499"/>
      <c r="K12" s="130" t="s">
        <v>2608</v>
      </c>
      <c r="L12" s="499" t="s">
        <v>2609</v>
      </c>
      <c r="M12" s="368"/>
      <c r="N12" s="134"/>
      <c r="O12" s="134"/>
      <c r="P12" s="134"/>
      <c r="Q12" s="134"/>
      <c r="R12" s="134"/>
      <c r="S12" s="134"/>
    </row>
    <row r="13" spans="1:19" ht="61.5" customHeight="1">
      <c r="B13" s="441"/>
      <c r="C13" s="441"/>
      <c r="D13" s="441"/>
      <c r="E13" s="441" t="s">
        <v>224</v>
      </c>
      <c r="F13" s="662" t="s">
        <v>2630</v>
      </c>
      <c r="G13" s="662"/>
      <c r="H13" s="499"/>
      <c r="I13" s="499"/>
      <c r="J13" s="499"/>
      <c r="K13" s="499"/>
      <c r="L13" s="459" t="s">
        <v>2577</v>
      </c>
      <c r="M13" s="368"/>
      <c r="N13" s="368"/>
      <c r="O13" s="368"/>
      <c r="P13" s="368"/>
      <c r="Q13" s="368"/>
      <c r="R13" s="368"/>
      <c r="S13" s="368"/>
    </row>
    <row r="15" spans="1:19">
      <c r="E15" s="558" t="s">
        <v>2588</v>
      </c>
    </row>
    <row r="16" spans="1:19">
      <c r="E16" s="558" t="s">
        <v>2631</v>
      </c>
    </row>
    <row r="17" spans="5:6">
      <c r="E17" s="558" t="s">
        <v>2590</v>
      </c>
    </row>
    <row r="18" spans="5:6">
      <c r="E18" s="558" t="s">
        <v>2591</v>
      </c>
    </row>
    <row r="19" spans="5:6">
      <c r="E19" s="569" t="s">
        <v>2632</v>
      </c>
      <c r="F19" s="321"/>
    </row>
    <row r="20" spans="5:6">
      <c r="E20" s="569" t="s">
        <v>2633</v>
      </c>
      <c r="F20" s="321"/>
    </row>
    <row r="94" spans="1:3">
      <c r="A94" s="689"/>
      <c r="B94" s="690"/>
      <c r="C94" s="690"/>
    </row>
    <row r="96" spans="1:3">
      <c r="A96" s="691"/>
      <c r="B96" s="692"/>
      <c r="C96" s="692"/>
    </row>
    <row r="97" spans="1:3">
      <c r="A97" s="691"/>
      <c r="B97" s="692"/>
      <c r="C97" s="692"/>
    </row>
  </sheetData>
  <mergeCells count="3">
    <mergeCell ref="A94:C94"/>
    <mergeCell ref="A96:C96"/>
    <mergeCell ref="A97:C97"/>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940409-37B4-47AC-A822-297B87F0F81E}">
  <sheetPr>
    <tabColor rgb="FFFFFF00"/>
  </sheetPr>
  <dimension ref="A1:I8"/>
  <sheetViews>
    <sheetView workbookViewId="0">
      <selection activeCell="D12" sqref="D12"/>
    </sheetView>
  </sheetViews>
  <sheetFormatPr defaultColWidth="10.26953125" defaultRowHeight="12.5"/>
  <cols>
    <col min="1" max="1" width="17.7265625" customWidth="1"/>
    <col min="2" max="2" width="18.7265625" customWidth="1"/>
    <col min="3" max="3" width="15.81640625" customWidth="1"/>
    <col min="4" max="5" width="9.1796875"/>
    <col min="6" max="6" width="46.54296875" customWidth="1"/>
    <col min="7" max="7" width="29.54296875" style="129" customWidth="1"/>
    <col min="8" max="8" width="20.81640625" style="129" customWidth="1"/>
    <col min="9" max="9" width="60.7265625" customWidth="1"/>
    <col min="10" max="14" width="9.1796875"/>
  </cols>
  <sheetData>
    <row r="1" spans="1:9" ht="26">
      <c r="A1" s="614" t="s">
        <v>2595</v>
      </c>
      <c r="B1" s="614" t="s">
        <v>225</v>
      </c>
      <c r="C1" s="614" t="s">
        <v>226</v>
      </c>
      <c r="D1" s="614" t="s">
        <v>2596</v>
      </c>
      <c r="E1" s="614" t="s">
        <v>112</v>
      </c>
      <c r="F1" s="614" t="s">
        <v>2597</v>
      </c>
      <c r="G1" s="585" t="s">
        <v>100</v>
      </c>
      <c r="H1" s="616" t="s">
        <v>101</v>
      </c>
      <c r="I1" s="615" t="s">
        <v>2598</v>
      </c>
    </row>
    <row r="2" spans="1:9">
      <c r="A2" s="592" t="s">
        <v>224</v>
      </c>
      <c r="B2" s="592" t="s">
        <v>968</v>
      </c>
      <c r="C2" s="599" t="s">
        <v>2502</v>
      </c>
      <c r="D2" s="599" t="s">
        <v>680</v>
      </c>
      <c r="E2" s="599"/>
      <c r="F2" s="599" t="s">
        <v>2599</v>
      </c>
      <c r="G2" s="621" t="s">
        <v>2600</v>
      </c>
      <c r="H2" s="556" t="s">
        <v>969</v>
      </c>
      <c r="I2" s="556" t="s">
        <v>2601</v>
      </c>
    </row>
    <row r="3" spans="1:9" ht="37.5">
      <c r="A3" s="592" t="s">
        <v>224</v>
      </c>
      <c r="B3" s="592" t="s">
        <v>2602</v>
      </c>
      <c r="C3" s="599" t="s">
        <v>2502</v>
      </c>
      <c r="D3" s="599" t="s">
        <v>680</v>
      </c>
      <c r="E3" s="599"/>
      <c r="F3" s="599" t="s">
        <v>2603</v>
      </c>
      <c r="G3" s="621" t="s">
        <v>2600</v>
      </c>
      <c r="H3" s="556" t="s">
        <v>2574</v>
      </c>
      <c r="I3" s="612" t="s">
        <v>2604</v>
      </c>
    </row>
    <row r="4" spans="1:9" ht="12.75" customHeight="1">
      <c r="A4" s="592" t="s">
        <v>224</v>
      </c>
      <c r="B4" s="660" t="s">
        <v>2634</v>
      </c>
      <c r="C4" s="660" t="s">
        <v>2623</v>
      </c>
      <c r="D4" s="599" t="s">
        <v>680</v>
      </c>
      <c r="E4" s="599"/>
      <c r="F4" s="599" t="s">
        <v>2635</v>
      </c>
      <c r="G4" s="621" t="s">
        <v>2600</v>
      </c>
      <c r="H4" s="611" t="s">
        <v>2636</v>
      </c>
      <c r="I4" s="599"/>
    </row>
    <row r="5" spans="1:9">
      <c r="A5" s="592"/>
      <c r="B5" s="592"/>
      <c r="C5" s="599"/>
      <c r="D5" s="599"/>
      <c r="E5" s="599"/>
      <c r="F5" s="599"/>
      <c r="G5" s="617"/>
      <c r="H5" s="617"/>
      <c r="I5" s="599" t="s">
        <v>2605</v>
      </c>
    </row>
    <row r="6" spans="1:9" ht="39">
      <c r="A6" s="618"/>
      <c r="B6" s="592"/>
      <c r="C6" s="599"/>
      <c r="D6" s="599"/>
      <c r="E6" s="599"/>
      <c r="F6" s="599"/>
      <c r="G6" s="617"/>
      <c r="H6" s="617"/>
      <c r="I6" s="599" t="s">
        <v>2606</v>
      </c>
    </row>
    <row r="7" spans="1:9" ht="16">
      <c r="A7" s="613"/>
      <c r="B7" s="441"/>
      <c r="C7" s="479"/>
      <c r="D7" s="479"/>
      <c r="E7" s="479"/>
      <c r="F7" s="479"/>
      <c r="I7" s="479"/>
    </row>
    <row r="8" spans="1:9" ht="15.75" customHeight="1">
      <c r="A8" s="613"/>
      <c r="B8" s="613"/>
      <c r="C8" s="613"/>
      <c r="D8" s="613"/>
      <c r="E8" s="613"/>
      <c r="F8" s="613"/>
      <c r="I8" s="613"/>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D6A452-FA7B-410B-ABBC-8418D676B453}">
  <dimension ref="A1:S99"/>
  <sheetViews>
    <sheetView topLeftCell="E2" workbookViewId="0">
      <selection activeCell="K10" sqref="K10"/>
    </sheetView>
  </sheetViews>
  <sheetFormatPr defaultRowHeight="12.5"/>
  <cols>
    <col min="1" max="1" width="37.54296875" hidden="1" customWidth="1"/>
    <col min="2" max="2" width="31.453125" hidden="1" customWidth="1"/>
    <col min="3" max="3" width="36.26953125" hidden="1" customWidth="1"/>
    <col min="4" max="4" width="0" hidden="1" customWidth="1"/>
    <col min="5" max="5" width="31.81640625" customWidth="1"/>
    <col min="6" max="6" width="24.1796875" customWidth="1"/>
    <col min="7" max="7" width="25.26953125" customWidth="1"/>
    <col min="8" max="8" width="11" customWidth="1"/>
    <col min="9" max="9" width="15.54296875" customWidth="1"/>
    <col min="11" max="11" width="34.453125" customWidth="1"/>
    <col min="12" max="12" width="50.26953125" customWidth="1"/>
  </cols>
  <sheetData>
    <row r="1" spans="1:19" s="193" customFormat="1" ht="18.75" customHeight="1">
      <c r="A1" s="134"/>
      <c r="B1" s="134"/>
      <c r="C1" s="134"/>
      <c r="D1" s="134"/>
      <c r="E1" s="563" t="s">
        <v>1322</v>
      </c>
      <c r="F1" s="134"/>
      <c r="G1" s="134"/>
      <c r="H1" s="134"/>
      <c r="I1" s="134"/>
      <c r="J1" s="134"/>
      <c r="K1" s="564" t="s">
        <v>1038</v>
      </c>
      <c r="L1" s="564"/>
      <c r="M1" s="564"/>
      <c r="N1" s="564"/>
      <c r="O1" s="564"/>
      <c r="P1" s="564"/>
      <c r="Q1" s="134"/>
      <c r="R1" s="134"/>
      <c r="S1" s="134"/>
    </row>
    <row r="2" spans="1:19" s="562" customFormat="1" ht="18.75" customHeight="1">
      <c r="A2" s="560" t="s">
        <v>1040</v>
      </c>
      <c r="B2" s="560" t="s">
        <v>1041</v>
      </c>
      <c r="C2" s="560" t="s">
        <v>1042</v>
      </c>
      <c r="D2" s="560" t="s">
        <v>1043</v>
      </c>
      <c r="E2" s="560" t="s">
        <v>224</v>
      </c>
      <c r="F2" s="560" t="s">
        <v>225</v>
      </c>
      <c r="G2" s="560" t="s">
        <v>226</v>
      </c>
      <c r="H2" s="560" t="s">
        <v>227</v>
      </c>
      <c r="I2" s="560" t="s">
        <v>1044</v>
      </c>
      <c r="J2" s="560" t="s">
        <v>1045</v>
      </c>
      <c r="K2" s="561" t="s">
        <v>100</v>
      </c>
      <c r="L2" s="561" t="s">
        <v>101</v>
      </c>
      <c r="M2" s="561" t="s">
        <v>102</v>
      </c>
      <c r="N2" s="561" t="s">
        <v>103</v>
      </c>
      <c r="O2" s="561" t="s">
        <v>104</v>
      </c>
      <c r="P2" s="561" t="s">
        <v>105</v>
      </c>
      <c r="Q2" s="560" t="s">
        <v>111</v>
      </c>
      <c r="R2" s="560" t="s">
        <v>112</v>
      </c>
      <c r="S2" s="560" t="s">
        <v>113</v>
      </c>
    </row>
    <row r="3" spans="1:19" s="193" customFormat="1" ht="18.75" customHeight="1">
      <c r="A3" s="591"/>
      <c r="B3" s="591"/>
      <c r="C3" s="591"/>
      <c r="D3" s="591"/>
      <c r="E3" s="591" t="s">
        <v>53</v>
      </c>
      <c r="F3" s="662" t="s">
        <v>2615</v>
      </c>
      <c r="G3" s="662" t="s">
        <v>2616</v>
      </c>
      <c r="H3" s="591" t="s">
        <v>903</v>
      </c>
      <c r="I3" s="591"/>
      <c r="J3" s="591"/>
      <c r="K3" s="591"/>
      <c r="L3" s="591"/>
      <c r="M3" s="591"/>
      <c r="N3" s="591"/>
      <c r="O3" s="591"/>
      <c r="P3" s="591"/>
      <c r="Q3" s="591"/>
      <c r="R3" s="591"/>
      <c r="S3" s="591"/>
    </row>
    <row r="4" spans="1:19">
      <c r="A4" s="441"/>
      <c r="B4" s="441"/>
      <c r="C4" s="441"/>
      <c r="D4" s="441"/>
      <c r="E4" s="559" t="s">
        <v>53</v>
      </c>
      <c r="F4" s="662" t="s">
        <v>2617</v>
      </c>
      <c r="G4" s="662" t="s">
        <v>2618</v>
      </c>
      <c r="H4" s="193"/>
      <c r="I4" s="499"/>
      <c r="J4" s="499"/>
      <c r="K4" s="499" t="s">
        <v>1184</v>
      </c>
      <c r="M4" s="368"/>
      <c r="N4" s="368"/>
      <c r="O4" s="368"/>
      <c r="P4" s="368"/>
      <c r="Q4" s="368"/>
      <c r="R4" s="368"/>
      <c r="S4" s="368"/>
    </row>
    <row r="5" spans="1:19">
      <c r="A5" s="441"/>
      <c r="B5" s="441"/>
      <c r="C5" s="441"/>
      <c r="D5" s="441"/>
      <c r="E5" s="559" t="s">
        <v>53</v>
      </c>
      <c r="F5" s="662" t="s">
        <v>2619</v>
      </c>
      <c r="G5" s="662" t="s">
        <v>2620</v>
      </c>
      <c r="H5" s="499"/>
      <c r="I5" s="499"/>
      <c r="J5" s="499"/>
      <c r="M5" s="368"/>
      <c r="N5" s="368"/>
      <c r="O5" s="368"/>
      <c r="P5" s="368"/>
      <c r="Q5" s="368"/>
      <c r="R5" s="368"/>
      <c r="S5" s="368"/>
    </row>
    <row r="6" spans="1:19">
      <c r="A6" s="441"/>
      <c r="B6" s="441"/>
      <c r="C6" s="441"/>
      <c r="D6" s="441"/>
      <c r="E6" s="559" t="s">
        <v>53</v>
      </c>
      <c r="F6" s="662" t="s">
        <v>2621</v>
      </c>
      <c r="G6" s="662" t="s">
        <v>2613</v>
      </c>
      <c r="H6" s="499"/>
      <c r="I6" s="499"/>
      <c r="J6" s="499"/>
      <c r="M6" s="368"/>
      <c r="N6" s="368"/>
      <c r="O6" s="368"/>
      <c r="P6" s="368"/>
      <c r="Q6" s="368"/>
      <c r="R6" s="368"/>
      <c r="S6" s="368"/>
    </row>
    <row r="7" spans="1:19">
      <c r="A7" s="441"/>
      <c r="B7" s="441"/>
      <c r="C7" s="441"/>
      <c r="D7" s="441"/>
      <c r="E7" s="559" t="s">
        <v>53</v>
      </c>
      <c r="F7" s="662" t="s">
        <v>2622</v>
      </c>
      <c r="G7" s="662" t="s">
        <v>2623</v>
      </c>
      <c r="H7" s="499"/>
      <c r="I7" s="499"/>
      <c r="J7" s="499"/>
      <c r="K7" s="130"/>
      <c r="L7" s="499"/>
      <c r="M7" s="368"/>
      <c r="N7" s="368"/>
      <c r="O7" s="368"/>
      <c r="P7" s="368"/>
      <c r="Q7" s="368"/>
      <c r="R7" s="368"/>
      <c r="S7" s="368"/>
    </row>
    <row r="8" spans="1:19">
      <c r="A8" s="441"/>
      <c r="B8" s="441"/>
      <c r="C8" s="441"/>
      <c r="D8" s="441"/>
      <c r="E8" s="559" t="s">
        <v>53</v>
      </c>
      <c r="F8" s="662" t="s">
        <v>2624</v>
      </c>
      <c r="G8" s="662" t="s">
        <v>2620</v>
      </c>
      <c r="H8" s="499"/>
      <c r="I8" s="499"/>
      <c r="J8" s="499"/>
      <c r="K8" s="130"/>
      <c r="L8" s="499"/>
      <c r="M8" s="368"/>
      <c r="N8" s="368"/>
      <c r="O8" s="368"/>
      <c r="P8" s="368"/>
      <c r="Q8" s="368"/>
      <c r="R8" s="368"/>
      <c r="S8" s="368"/>
    </row>
    <row r="9" spans="1:19">
      <c r="A9" s="441"/>
      <c r="B9" s="441"/>
      <c r="C9" s="441"/>
      <c r="D9" s="441"/>
      <c r="E9" s="559" t="s">
        <v>53</v>
      </c>
      <c r="F9" s="662" t="s">
        <v>2625</v>
      </c>
      <c r="G9" s="662" t="s">
        <v>2623</v>
      </c>
      <c r="H9" s="499"/>
      <c r="I9" s="499"/>
      <c r="J9" s="499"/>
      <c r="K9" s="130"/>
      <c r="L9" s="499"/>
      <c r="M9" s="368"/>
      <c r="N9" s="368"/>
      <c r="O9" s="368"/>
      <c r="P9" s="368"/>
      <c r="Q9" s="368"/>
      <c r="R9" s="368"/>
      <c r="S9" s="368"/>
    </row>
    <row r="10" spans="1:19">
      <c r="B10" s="441"/>
      <c r="C10" s="441"/>
      <c r="D10" s="441"/>
      <c r="E10" s="559" t="s">
        <v>53</v>
      </c>
      <c r="F10" s="662" t="s">
        <v>2626</v>
      </c>
      <c r="G10" s="662" t="s">
        <v>2627</v>
      </c>
      <c r="H10" s="499" t="s">
        <v>903</v>
      </c>
      <c r="I10" s="499"/>
      <c r="J10" s="499"/>
      <c r="K10" s="499"/>
      <c r="M10" s="368"/>
      <c r="N10" s="186"/>
      <c r="O10" s="186"/>
      <c r="P10" s="186"/>
      <c r="Q10" s="134"/>
      <c r="R10" s="134"/>
      <c r="S10" s="134"/>
    </row>
    <row r="11" spans="1:19">
      <c r="B11" s="441"/>
      <c r="C11" s="441"/>
      <c r="D11" s="441"/>
      <c r="E11" s="441" t="s">
        <v>224</v>
      </c>
      <c r="F11" s="662" t="s">
        <v>2637</v>
      </c>
      <c r="G11" s="662" t="s">
        <v>2627</v>
      </c>
      <c r="H11" s="499"/>
      <c r="I11" s="499"/>
      <c r="J11" s="499"/>
      <c r="K11" s="499"/>
      <c r="L11" s="459" t="s">
        <v>2577</v>
      </c>
      <c r="M11" s="368"/>
      <c r="N11" s="134"/>
      <c r="O11" s="134"/>
      <c r="P11" s="134"/>
      <c r="Q11" s="134"/>
      <c r="R11" s="134"/>
      <c r="S11" s="134"/>
    </row>
    <row r="12" spans="1:19" ht="42.75" customHeight="1">
      <c r="B12" s="441"/>
      <c r="C12" s="441"/>
      <c r="D12" s="441"/>
      <c r="E12" s="441" t="s">
        <v>224</v>
      </c>
      <c r="F12" s="662" t="s">
        <v>2628</v>
      </c>
      <c r="G12" s="662" t="s">
        <v>2627</v>
      </c>
      <c r="H12" s="499"/>
      <c r="I12" s="499"/>
      <c r="J12" s="499"/>
      <c r="K12" s="130" t="s">
        <v>2608</v>
      </c>
      <c r="L12" s="499" t="s">
        <v>2611</v>
      </c>
      <c r="M12" s="368"/>
      <c r="N12" s="134"/>
      <c r="O12" s="134"/>
      <c r="P12" s="134"/>
      <c r="Q12" s="134"/>
      <c r="R12" s="134"/>
      <c r="S12" s="134"/>
    </row>
    <row r="13" spans="1:19" ht="174" customHeight="1">
      <c r="B13" s="441"/>
      <c r="C13" s="441"/>
      <c r="D13" s="441"/>
      <c r="E13" s="441" t="s">
        <v>224</v>
      </c>
      <c r="F13" s="662" t="s">
        <v>2638</v>
      </c>
      <c r="G13" s="662" t="s">
        <v>2627</v>
      </c>
      <c r="H13" s="499"/>
      <c r="I13" s="499"/>
      <c r="J13" s="499"/>
      <c r="K13" s="130" t="s">
        <v>2608</v>
      </c>
      <c r="L13" s="499" t="s">
        <v>2609</v>
      </c>
      <c r="M13" s="368"/>
      <c r="N13" s="134"/>
      <c r="O13" s="134"/>
      <c r="P13" s="134"/>
      <c r="Q13" s="134"/>
      <c r="R13" s="134"/>
      <c r="S13" s="134"/>
    </row>
    <row r="14" spans="1:19" ht="61.5" customHeight="1">
      <c r="B14" s="441"/>
      <c r="C14" s="441"/>
      <c r="D14" s="441"/>
      <c r="E14" s="441" t="s">
        <v>224</v>
      </c>
      <c r="F14" s="662" t="s">
        <v>2634</v>
      </c>
      <c r="G14" s="662" t="s">
        <v>2623</v>
      </c>
      <c r="H14" s="499"/>
      <c r="I14" s="499"/>
      <c r="J14" s="499"/>
      <c r="K14" s="499"/>
      <c r="L14" s="499" t="s">
        <v>2639</v>
      </c>
      <c r="M14" s="368"/>
      <c r="N14" s="368"/>
      <c r="O14" s="368"/>
      <c r="P14" s="368"/>
      <c r="Q14" s="368"/>
      <c r="R14" s="368"/>
      <c r="S14" s="368"/>
    </row>
    <row r="15" spans="1:19" ht="25">
      <c r="B15" s="441"/>
      <c r="C15" s="441"/>
      <c r="D15" s="441"/>
      <c r="E15" s="441" t="s">
        <v>224</v>
      </c>
      <c r="F15" s="662" t="s">
        <v>2640</v>
      </c>
      <c r="G15" s="662" t="s">
        <v>2627</v>
      </c>
      <c r="H15" s="499" t="s">
        <v>903</v>
      </c>
      <c r="I15" s="499"/>
      <c r="J15" s="499"/>
      <c r="K15" s="499"/>
      <c r="L15" s="499" t="s">
        <v>2641</v>
      </c>
      <c r="M15" s="368"/>
      <c r="N15" s="368"/>
      <c r="O15" s="368"/>
      <c r="P15" s="368"/>
      <c r="Q15" s="368"/>
      <c r="R15" s="368"/>
      <c r="S15" s="368"/>
    </row>
    <row r="17" spans="5:7">
      <c r="E17" s="558" t="s">
        <v>2588</v>
      </c>
    </row>
    <row r="18" spans="5:7">
      <c r="E18" s="558" t="s">
        <v>2631</v>
      </c>
    </row>
    <row r="19" spans="5:7">
      <c r="E19" s="558" t="s">
        <v>2590</v>
      </c>
    </row>
    <row r="20" spans="5:7">
      <c r="E20" s="558" t="s">
        <v>2591</v>
      </c>
    </row>
    <row r="21" spans="5:7">
      <c r="E21" s="569" t="s">
        <v>2632</v>
      </c>
      <c r="F21" s="321"/>
      <c r="G21" s="321"/>
    </row>
    <row r="22" spans="5:7">
      <c r="E22" s="569" t="s">
        <v>2633</v>
      </c>
      <c r="F22" s="321"/>
      <c r="G22" s="321"/>
    </row>
    <row r="96" spans="1:3">
      <c r="A96" s="689"/>
      <c r="B96" s="690"/>
      <c r="C96" s="690"/>
    </row>
    <row r="98" spans="1:3">
      <c r="A98" s="691"/>
      <c r="B98" s="692"/>
      <c r="C98" s="692"/>
    </row>
    <row r="99" spans="1:3">
      <c r="A99" s="691"/>
      <c r="B99" s="692"/>
      <c r="C99" s="692"/>
    </row>
  </sheetData>
  <mergeCells count="3">
    <mergeCell ref="A96:C96"/>
    <mergeCell ref="A98:C98"/>
    <mergeCell ref="A99:C99"/>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filterMode="1">
    <outlinePr summaryBelow="0" summaryRight="0"/>
  </sheetPr>
  <dimension ref="A2:AC315"/>
  <sheetViews>
    <sheetView workbookViewId="0">
      <pane xSplit="2" ySplit="3" topLeftCell="E270" activePane="bottomRight" state="frozen"/>
      <selection pane="topRight" activeCell="C1" sqref="C1"/>
      <selection pane="bottomLeft" activeCell="A4" sqref="A4"/>
      <selection pane="bottomRight" activeCell="E313" sqref="E313"/>
    </sheetView>
  </sheetViews>
  <sheetFormatPr defaultColWidth="14.453125" defaultRowHeight="15" customHeight="1"/>
  <cols>
    <col min="1" max="4" width="17.7265625" hidden="1" customWidth="1"/>
    <col min="5" max="5" width="24.1796875" customWidth="1"/>
    <col min="6" max="6" width="41.7265625" customWidth="1"/>
    <col min="7" max="7" width="18.26953125" customWidth="1"/>
    <col min="8" max="8" width="10.81640625" customWidth="1"/>
    <col min="9" max="9" width="17.1796875" customWidth="1"/>
    <col min="10" max="10" width="8.81640625" customWidth="1"/>
    <col min="11" max="11" width="12.54296875" customWidth="1"/>
    <col min="12" max="12" width="45.54296875" customWidth="1"/>
    <col min="13" max="13" width="59" customWidth="1"/>
    <col min="14" max="14" width="16.54296875" customWidth="1"/>
    <col min="15" max="15" width="19.7265625" customWidth="1"/>
    <col min="16" max="16" width="42.81640625" customWidth="1"/>
    <col min="17" max="17" width="42.1796875" customWidth="1"/>
    <col min="18" max="18" width="23.453125" customWidth="1"/>
    <col min="19" max="19" width="10.7265625" customWidth="1"/>
    <col min="20" max="20" width="24.453125" customWidth="1"/>
    <col min="21" max="21" width="48.1796875" customWidth="1"/>
    <col min="22" max="24" width="15.81640625" customWidth="1"/>
    <col min="25" max="26" width="17.26953125" customWidth="1"/>
    <col min="27" max="27" width="25.26953125" customWidth="1"/>
    <col min="28" max="28" width="17.26953125" customWidth="1"/>
    <col min="29" max="29" width="55.453125" customWidth="1"/>
  </cols>
  <sheetData>
    <row r="2" spans="1:28" ht="18.75" customHeight="1">
      <c r="A2" s="186"/>
      <c r="B2" s="186"/>
      <c r="C2" s="186"/>
      <c r="D2" s="119"/>
      <c r="E2" s="289" t="s">
        <v>1322</v>
      </c>
      <c r="F2" s="186"/>
      <c r="G2" s="186"/>
      <c r="H2" s="186"/>
      <c r="I2" s="186"/>
      <c r="J2" s="186"/>
      <c r="K2" s="207" t="s">
        <v>1038</v>
      </c>
      <c r="L2" s="207"/>
      <c r="M2" s="541"/>
      <c r="N2" s="207"/>
      <c r="O2" s="207"/>
      <c r="P2" s="285"/>
      <c r="Q2" s="207"/>
      <c r="R2" s="186"/>
      <c r="S2" s="186"/>
      <c r="T2" s="186"/>
      <c r="U2" s="186"/>
      <c r="V2" s="186"/>
      <c r="W2" s="186"/>
      <c r="X2" s="56"/>
      <c r="Y2" s="56"/>
      <c r="Z2" s="252" t="s">
        <v>1039</v>
      </c>
      <c r="AA2" s="253"/>
      <c r="AB2" s="254"/>
    </row>
    <row r="3" spans="1:28" ht="18.75" customHeight="1">
      <c r="A3" s="208" t="s">
        <v>1040</v>
      </c>
      <c r="B3" s="208" t="s">
        <v>1041</v>
      </c>
      <c r="C3" s="208" t="s">
        <v>1042</v>
      </c>
      <c r="D3" s="295" t="s">
        <v>1043</v>
      </c>
      <c r="E3" s="208" t="s">
        <v>224</v>
      </c>
      <c r="F3" s="208" t="s">
        <v>225</v>
      </c>
      <c r="G3" s="208" t="s">
        <v>226</v>
      </c>
      <c r="H3" s="208" t="s">
        <v>227</v>
      </c>
      <c r="I3" s="208" t="s">
        <v>1044</v>
      </c>
      <c r="J3" s="208" t="s">
        <v>1045</v>
      </c>
      <c r="K3" s="207" t="s">
        <v>1046</v>
      </c>
      <c r="L3" s="207" t="s">
        <v>100</v>
      </c>
      <c r="M3" s="541" t="s">
        <v>101</v>
      </c>
      <c r="N3" s="207" t="s">
        <v>102</v>
      </c>
      <c r="O3" s="207" t="s">
        <v>103</v>
      </c>
      <c r="P3" s="285" t="s">
        <v>104</v>
      </c>
      <c r="Q3" s="207" t="s">
        <v>105</v>
      </c>
      <c r="R3" s="208" t="s">
        <v>111</v>
      </c>
      <c r="S3" s="208" t="s">
        <v>112</v>
      </c>
      <c r="T3" s="208" t="s">
        <v>113</v>
      </c>
      <c r="U3" s="296"/>
      <c r="V3" s="296"/>
      <c r="W3" s="296"/>
      <c r="X3" s="226" t="s">
        <v>1049</v>
      </c>
      <c r="Y3" s="226" t="s">
        <v>1050</v>
      </c>
      <c r="Z3" s="226" t="s">
        <v>237</v>
      </c>
      <c r="AA3" s="227" t="s">
        <v>1</v>
      </c>
      <c r="AB3" s="255" t="s">
        <v>238</v>
      </c>
    </row>
    <row r="4" spans="1:28" ht="100">
      <c r="A4" s="193"/>
      <c r="B4" s="193"/>
      <c r="C4" s="193"/>
      <c r="D4" s="193"/>
      <c r="E4" t="s">
        <v>55</v>
      </c>
      <c r="F4" s="120" t="s">
        <v>170</v>
      </c>
      <c r="G4" s="186" t="s">
        <v>860</v>
      </c>
      <c r="H4" t="s">
        <v>682</v>
      </c>
      <c r="I4" t="s">
        <v>2642</v>
      </c>
      <c r="K4" s="186" t="s">
        <v>682</v>
      </c>
      <c r="L4" s="123" t="s">
        <v>2643</v>
      </c>
      <c r="M4" s="186" t="s">
        <v>862</v>
      </c>
      <c r="N4" s="186" t="s">
        <v>860</v>
      </c>
      <c r="O4" s="186" t="s">
        <v>860</v>
      </c>
      <c r="P4" s="123" t="s">
        <v>2644</v>
      </c>
      <c r="Q4" s="186"/>
      <c r="R4" s="186"/>
      <c r="S4" s="186">
        <v>0</v>
      </c>
      <c r="X4">
        <v>91</v>
      </c>
      <c r="Z4" t="s">
        <v>2645</v>
      </c>
      <c r="AA4" s="30">
        <v>43538</v>
      </c>
      <c r="AB4" t="s">
        <v>2646</v>
      </c>
    </row>
    <row r="5" spans="1:28" ht="18.75" customHeight="1">
      <c r="A5" s="213"/>
      <c r="B5" s="213"/>
      <c r="C5" s="210"/>
      <c r="D5" s="297"/>
      <c r="E5" s="186" t="s">
        <v>53</v>
      </c>
      <c r="F5" s="186" t="s">
        <v>1010</v>
      </c>
      <c r="G5" s="186" t="s">
        <v>897</v>
      </c>
      <c r="H5" s="186" t="s">
        <v>680</v>
      </c>
      <c r="I5" s="186"/>
      <c r="J5" s="186"/>
      <c r="K5" s="186" t="s">
        <v>682</v>
      </c>
      <c r="L5" s="186" t="s">
        <v>1184</v>
      </c>
      <c r="M5" s="186" t="s">
        <v>2647</v>
      </c>
      <c r="N5" s="186"/>
      <c r="O5" s="186"/>
      <c r="P5" s="186"/>
      <c r="Q5" s="186"/>
      <c r="R5" s="186"/>
      <c r="S5" s="186"/>
      <c r="T5" s="186" t="s">
        <v>1190</v>
      </c>
      <c r="U5" s="186"/>
      <c r="V5" s="186"/>
      <c r="W5" s="186"/>
    </row>
    <row r="6" spans="1:28" ht="100">
      <c r="A6" s="213"/>
      <c r="B6" s="213"/>
      <c r="C6" s="210"/>
      <c r="D6" s="297" t="s">
        <v>682</v>
      </c>
      <c r="E6" s="186" t="s">
        <v>61</v>
      </c>
      <c r="F6" s="186" t="s">
        <v>118</v>
      </c>
      <c r="G6" s="186" t="s">
        <v>679</v>
      </c>
      <c r="H6" s="186" t="s">
        <v>680</v>
      </c>
      <c r="I6" t="s">
        <v>2642</v>
      </c>
      <c r="J6" s="186"/>
      <c r="K6" s="186" t="s">
        <v>682</v>
      </c>
      <c r="L6" s="123" t="s">
        <v>2643</v>
      </c>
      <c r="M6" s="186" t="s">
        <v>302</v>
      </c>
      <c r="N6" s="186" t="s">
        <v>1328</v>
      </c>
      <c r="O6" s="186" t="s">
        <v>1328</v>
      </c>
      <c r="P6" s="123" t="s">
        <v>2648</v>
      </c>
      <c r="Q6" s="186"/>
      <c r="R6" s="186"/>
      <c r="S6" s="186">
        <v>59302951</v>
      </c>
      <c r="T6" s="186" t="s">
        <v>2649</v>
      </c>
      <c r="U6" s="186"/>
      <c r="V6" s="186"/>
      <c r="W6" s="186"/>
      <c r="X6">
        <v>1</v>
      </c>
      <c r="Z6" t="s">
        <v>2645</v>
      </c>
      <c r="AA6" s="30">
        <v>43538</v>
      </c>
      <c r="AB6" t="s">
        <v>2646</v>
      </c>
    </row>
    <row r="7" spans="1:28" ht="12.5" hidden="1">
      <c r="A7" s="88"/>
      <c r="B7" s="88"/>
      <c r="C7" s="89"/>
      <c r="D7" s="93"/>
      <c r="E7" s="186" t="s">
        <v>55</v>
      </c>
      <c r="F7" s="186" t="s">
        <v>2650</v>
      </c>
      <c r="G7" s="186" t="s">
        <v>683</v>
      </c>
      <c r="H7" s="186" t="s">
        <v>682</v>
      </c>
      <c r="I7" s="186"/>
      <c r="J7" s="186"/>
      <c r="K7" s="186" t="s">
        <v>680</v>
      </c>
      <c r="L7" s="123"/>
      <c r="M7" s="186"/>
      <c r="N7" s="186"/>
      <c r="O7" s="186"/>
      <c r="P7" s="186"/>
      <c r="Q7" s="186"/>
      <c r="R7" s="186"/>
      <c r="S7" s="186"/>
      <c r="T7" s="186" t="s">
        <v>2651</v>
      </c>
      <c r="U7" s="186"/>
      <c r="V7" s="186"/>
      <c r="W7" s="186"/>
    </row>
    <row r="8" spans="1:28" ht="12.5" hidden="1">
      <c r="A8" s="88"/>
      <c r="B8" s="88"/>
      <c r="C8" s="89"/>
      <c r="D8" s="93"/>
      <c r="E8" s="186" t="s">
        <v>55</v>
      </c>
      <c r="F8" s="186" t="s">
        <v>2652</v>
      </c>
      <c r="G8" s="186" t="s">
        <v>683</v>
      </c>
      <c r="H8" s="186" t="s">
        <v>682</v>
      </c>
      <c r="I8" s="186"/>
      <c r="J8" s="186"/>
      <c r="K8" s="186" t="s">
        <v>680</v>
      </c>
      <c r="L8" s="186"/>
      <c r="M8" s="186"/>
      <c r="N8" s="186"/>
      <c r="O8" s="186"/>
      <c r="P8" s="186"/>
      <c r="Q8" s="186"/>
      <c r="R8" s="186"/>
      <c r="S8" s="186"/>
      <c r="T8" s="186" t="s">
        <v>2651</v>
      </c>
      <c r="U8" s="186"/>
      <c r="V8" s="186"/>
      <c r="W8" s="186"/>
    </row>
    <row r="9" spans="1:28" ht="18.75" hidden="1" customHeight="1">
      <c r="A9" s="213"/>
      <c r="B9" s="213"/>
      <c r="C9" s="210"/>
      <c r="D9" s="297"/>
      <c r="E9" s="186" t="s">
        <v>55</v>
      </c>
      <c r="F9" s="186" t="s">
        <v>2653</v>
      </c>
      <c r="G9" s="186" t="s">
        <v>683</v>
      </c>
      <c r="H9" s="186" t="s">
        <v>682</v>
      </c>
      <c r="I9" s="186"/>
      <c r="J9" s="186"/>
      <c r="K9" s="186" t="s">
        <v>680</v>
      </c>
      <c r="L9" s="186"/>
      <c r="M9" s="186"/>
      <c r="N9" s="186"/>
      <c r="O9" s="186"/>
      <c r="P9" s="186"/>
      <c r="Q9" s="186"/>
      <c r="R9" s="186"/>
      <c r="S9" s="186"/>
      <c r="T9" s="186" t="s">
        <v>2651</v>
      </c>
      <c r="U9" s="186"/>
      <c r="V9" s="186"/>
      <c r="W9" s="186"/>
    </row>
    <row r="10" spans="1:28" ht="18.75" hidden="1" customHeight="1">
      <c r="A10" s="213"/>
      <c r="B10" s="213"/>
      <c r="C10" s="210"/>
      <c r="D10" s="297"/>
      <c r="E10" s="186" t="s">
        <v>55</v>
      </c>
      <c r="F10" s="186" t="s">
        <v>2654</v>
      </c>
      <c r="G10" s="186" t="s">
        <v>683</v>
      </c>
      <c r="H10" s="186" t="s">
        <v>682</v>
      </c>
      <c r="I10" s="186"/>
      <c r="J10" s="186"/>
      <c r="K10" s="186" t="s">
        <v>680</v>
      </c>
      <c r="L10" s="186"/>
      <c r="M10" s="186"/>
      <c r="N10" s="186"/>
      <c r="O10" s="186"/>
      <c r="P10" s="186"/>
      <c r="Q10" s="186"/>
      <c r="R10" s="186"/>
      <c r="S10" s="186"/>
      <c r="T10" s="186" t="s">
        <v>2651</v>
      </c>
      <c r="U10" s="186"/>
      <c r="V10" s="186"/>
      <c r="W10" s="186"/>
    </row>
    <row r="11" spans="1:28" ht="18.75" hidden="1" customHeight="1">
      <c r="A11" s="213"/>
      <c r="B11" s="213"/>
      <c r="C11" s="210"/>
      <c r="D11" s="297"/>
      <c r="E11" s="186" t="s">
        <v>55</v>
      </c>
      <c r="F11" s="186" t="s">
        <v>2655</v>
      </c>
      <c r="G11" s="186" t="s">
        <v>683</v>
      </c>
      <c r="H11" s="186" t="s">
        <v>682</v>
      </c>
      <c r="I11" s="186"/>
      <c r="J11" s="186"/>
      <c r="K11" s="186" t="s">
        <v>680</v>
      </c>
      <c r="L11" s="186"/>
      <c r="M11" s="186"/>
      <c r="N11" s="186"/>
      <c r="O11" s="186"/>
      <c r="P11" s="186"/>
      <c r="Q11" s="186"/>
      <c r="R11" s="186"/>
      <c r="S11" s="186"/>
      <c r="T11" s="186" t="s">
        <v>2651</v>
      </c>
      <c r="U11" s="186"/>
      <c r="V11" s="186"/>
      <c r="W11" s="186"/>
    </row>
    <row r="12" spans="1:28" ht="18.75" hidden="1" customHeight="1">
      <c r="A12" s="213"/>
      <c r="B12" s="213"/>
      <c r="C12" s="210"/>
      <c r="D12" s="297"/>
      <c r="E12" s="186" t="s">
        <v>55</v>
      </c>
      <c r="F12" s="186" t="s">
        <v>2656</v>
      </c>
      <c r="G12" s="186" t="s">
        <v>683</v>
      </c>
      <c r="H12" s="186" t="s">
        <v>682</v>
      </c>
      <c r="I12" s="186"/>
      <c r="J12" s="186"/>
      <c r="K12" s="186" t="s">
        <v>680</v>
      </c>
      <c r="L12" s="186"/>
      <c r="M12" s="186"/>
      <c r="N12" s="186"/>
      <c r="O12" s="186"/>
      <c r="P12" s="186"/>
      <c r="Q12" s="186"/>
      <c r="R12" s="186"/>
      <c r="S12" s="186"/>
      <c r="T12" s="186" t="s">
        <v>2651</v>
      </c>
      <c r="U12" s="186"/>
      <c r="V12" s="186"/>
      <c r="W12" s="186"/>
    </row>
    <row r="13" spans="1:28" ht="18.75" hidden="1" customHeight="1">
      <c r="A13" s="213"/>
      <c r="B13" s="213"/>
      <c r="C13" s="210"/>
      <c r="D13" s="297"/>
      <c r="E13" s="186" t="s">
        <v>55</v>
      </c>
      <c r="F13" s="186" t="s">
        <v>2657</v>
      </c>
      <c r="G13" s="186" t="s">
        <v>683</v>
      </c>
      <c r="H13" s="186" t="s">
        <v>682</v>
      </c>
      <c r="I13" s="186"/>
      <c r="J13" s="186"/>
      <c r="K13" s="186" t="s">
        <v>680</v>
      </c>
      <c r="L13" s="186"/>
      <c r="M13" s="186"/>
      <c r="N13" s="186"/>
      <c r="O13" s="186"/>
      <c r="P13" s="186"/>
      <c r="Q13" s="186"/>
      <c r="R13" s="186"/>
      <c r="S13" s="186"/>
      <c r="T13" s="186" t="s">
        <v>2651</v>
      </c>
      <c r="U13" s="186"/>
      <c r="V13" s="186"/>
      <c r="W13" s="186"/>
    </row>
    <row r="14" spans="1:28" ht="18.75" hidden="1" customHeight="1">
      <c r="A14" s="213"/>
      <c r="B14" s="213"/>
      <c r="C14" s="210"/>
      <c r="D14" s="297"/>
      <c r="E14" s="186" t="s">
        <v>55</v>
      </c>
      <c r="F14" s="186" t="s">
        <v>2658</v>
      </c>
      <c r="G14" s="186" t="s">
        <v>683</v>
      </c>
      <c r="H14" s="186" t="s">
        <v>682</v>
      </c>
      <c r="I14" s="186"/>
      <c r="J14" s="186"/>
      <c r="K14" s="186" t="s">
        <v>680</v>
      </c>
      <c r="L14" s="186"/>
      <c r="M14" s="186"/>
      <c r="N14" s="186"/>
      <c r="O14" s="186"/>
      <c r="P14" s="186"/>
      <c r="Q14" s="186"/>
      <c r="R14" s="186"/>
      <c r="S14" s="186"/>
      <c r="T14" s="186" t="s">
        <v>2651</v>
      </c>
      <c r="U14" s="186"/>
      <c r="V14" s="186"/>
      <c r="W14" s="186"/>
    </row>
    <row r="15" spans="1:28" ht="18.75" hidden="1" customHeight="1">
      <c r="A15" s="213"/>
      <c r="B15" s="213"/>
      <c r="C15" s="210"/>
      <c r="D15" s="297"/>
      <c r="E15" s="186" t="s">
        <v>55</v>
      </c>
      <c r="F15" s="186" t="s">
        <v>2659</v>
      </c>
      <c r="G15" s="186" t="s">
        <v>683</v>
      </c>
      <c r="H15" s="186" t="s">
        <v>682</v>
      </c>
      <c r="I15" s="186"/>
      <c r="J15" s="186"/>
      <c r="K15" s="186" t="s">
        <v>680</v>
      </c>
      <c r="L15" s="186"/>
      <c r="M15" s="186"/>
      <c r="N15" s="186"/>
      <c r="O15" s="186"/>
      <c r="P15" s="186"/>
      <c r="Q15" s="186"/>
      <c r="R15" s="186"/>
      <c r="S15" s="186"/>
      <c r="T15" s="186" t="s">
        <v>2651</v>
      </c>
      <c r="U15" s="186"/>
      <c r="V15" s="186"/>
      <c r="W15" s="186"/>
    </row>
    <row r="16" spans="1:28" ht="18.75" hidden="1" customHeight="1">
      <c r="A16" s="213"/>
      <c r="B16" s="213"/>
      <c r="C16" s="210"/>
      <c r="D16" s="297"/>
      <c r="E16" s="186" t="s">
        <v>55</v>
      </c>
      <c r="F16" s="186" t="s">
        <v>2660</v>
      </c>
      <c r="G16" s="186" t="s">
        <v>683</v>
      </c>
      <c r="H16" s="186" t="s">
        <v>682</v>
      </c>
      <c r="I16" s="186"/>
      <c r="J16" s="186"/>
      <c r="K16" s="186" t="s">
        <v>680</v>
      </c>
      <c r="L16" s="186"/>
      <c r="M16" s="186"/>
      <c r="N16" s="186"/>
      <c r="O16" s="186"/>
      <c r="P16" s="186"/>
      <c r="Q16" s="186"/>
      <c r="R16" s="186"/>
      <c r="S16" s="186"/>
      <c r="T16" s="186" t="s">
        <v>2651</v>
      </c>
      <c r="U16" s="186"/>
      <c r="V16" s="186"/>
      <c r="W16" s="186"/>
    </row>
    <row r="17" spans="1:23" ht="18.75" hidden="1" customHeight="1">
      <c r="A17" s="213"/>
      <c r="B17" s="213"/>
      <c r="C17" s="210"/>
      <c r="D17" s="297"/>
      <c r="E17" s="186" t="s">
        <v>55</v>
      </c>
      <c r="F17" s="186" t="s">
        <v>2661</v>
      </c>
      <c r="G17" s="186" t="s">
        <v>683</v>
      </c>
      <c r="H17" s="186" t="s">
        <v>682</v>
      </c>
      <c r="I17" s="186"/>
      <c r="J17" s="186"/>
      <c r="K17" s="186" t="s">
        <v>680</v>
      </c>
      <c r="L17" s="186"/>
      <c r="M17" s="186"/>
      <c r="N17" s="186"/>
      <c r="O17" s="186"/>
      <c r="P17" s="186"/>
      <c r="Q17" s="186"/>
      <c r="R17" s="186"/>
      <c r="S17" s="186"/>
      <c r="T17" s="186" t="s">
        <v>2651</v>
      </c>
      <c r="U17" s="186"/>
      <c r="V17" s="186"/>
      <c r="W17" s="186"/>
    </row>
    <row r="18" spans="1:23" ht="18.75" hidden="1" customHeight="1">
      <c r="A18" s="213"/>
      <c r="B18" s="213"/>
      <c r="C18" s="210"/>
      <c r="D18" s="297"/>
      <c r="E18" s="186" t="s">
        <v>55</v>
      </c>
      <c r="F18" s="186" t="s">
        <v>2662</v>
      </c>
      <c r="G18" s="186" t="s">
        <v>683</v>
      </c>
      <c r="H18" s="186" t="s">
        <v>682</v>
      </c>
      <c r="I18" s="186"/>
      <c r="J18" s="186"/>
      <c r="K18" s="186" t="s">
        <v>680</v>
      </c>
      <c r="L18" s="186"/>
      <c r="M18" s="186"/>
      <c r="N18" s="186"/>
      <c r="O18" s="186"/>
      <c r="P18" s="186"/>
      <c r="Q18" s="186"/>
      <c r="R18" s="186"/>
      <c r="S18" s="186"/>
      <c r="T18" s="186" t="s">
        <v>2651</v>
      </c>
      <c r="U18" s="186"/>
      <c r="V18" s="186"/>
      <c r="W18" s="186"/>
    </row>
    <row r="19" spans="1:23" ht="18.75" hidden="1" customHeight="1">
      <c r="A19" s="213"/>
      <c r="B19" s="213"/>
      <c r="C19" s="210"/>
      <c r="D19" s="297"/>
      <c r="E19" s="186" t="s">
        <v>55</v>
      </c>
      <c r="F19" s="186" t="s">
        <v>2663</v>
      </c>
      <c r="G19" s="186" t="s">
        <v>683</v>
      </c>
      <c r="H19" s="186" t="s">
        <v>682</v>
      </c>
      <c r="I19" s="186"/>
      <c r="J19" s="186"/>
      <c r="K19" s="186" t="s">
        <v>680</v>
      </c>
      <c r="L19" s="186"/>
      <c r="M19" s="186"/>
      <c r="N19" s="186"/>
      <c r="O19" s="186"/>
      <c r="P19" s="186"/>
      <c r="Q19" s="186"/>
      <c r="R19" s="186"/>
      <c r="S19" s="186"/>
      <c r="T19" s="186" t="s">
        <v>2651</v>
      </c>
      <c r="U19" s="186"/>
      <c r="V19" s="186"/>
      <c r="W19" s="186"/>
    </row>
    <row r="20" spans="1:23" ht="18.75" hidden="1" customHeight="1">
      <c r="A20" s="213"/>
      <c r="B20" s="213"/>
      <c r="C20" s="210"/>
      <c r="D20" s="297"/>
      <c r="E20" s="186" t="s">
        <v>55</v>
      </c>
      <c r="F20" s="186" t="s">
        <v>2664</v>
      </c>
      <c r="G20" s="186" t="s">
        <v>683</v>
      </c>
      <c r="H20" s="186" t="s">
        <v>682</v>
      </c>
      <c r="I20" s="186"/>
      <c r="J20" s="186"/>
      <c r="K20" s="186" t="s">
        <v>680</v>
      </c>
      <c r="L20" s="186"/>
      <c r="M20" s="186"/>
      <c r="N20" s="186"/>
      <c r="O20" s="186"/>
      <c r="P20" s="186"/>
      <c r="Q20" s="186"/>
      <c r="R20" s="186"/>
      <c r="S20" s="186"/>
      <c r="T20" s="186" t="s">
        <v>2651</v>
      </c>
      <c r="U20" s="186"/>
      <c r="V20" s="186"/>
      <c r="W20" s="186"/>
    </row>
    <row r="21" spans="1:23" ht="18.75" hidden="1" customHeight="1">
      <c r="A21" s="213"/>
      <c r="B21" s="213"/>
      <c r="C21" s="210"/>
      <c r="D21" s="297"/>
      <c r="E21" s="186" t="s">
        <v>55</v>
      </c>
      <c r="F21" s="186" t="s">
        <v>2665</v>
      </c>
      <c r="G21" s="186" t="s">
        <v>683</v>
      </c>
      <c r="H21" s="186" t="s">
        <v>682</v>
      </c>
      <c r="I21" s="186"/>
      <c r="J21" s="186"/>
      <c r="K21" s="186" t="s">
        <v>680</v>
      </c>
      <c r="L21" s="186"/>
      <c r="M21" s="186"/>
      <c r="N21" s="186"/>
      <c r="O21" s="186"/>
      <c r="P21" s="186"/>
      <c r="Q21" s="186"/>
      <c r="R21" s="186"/>
      <c r="S21" s="186"/>
      <c r="T21" s="186" t="s">
        <v>2651</v>
      </c>
      <c r="U21" s="186"/>
      <c r="V21" s="186"/>
      <c r="W21" s="186"/>
    </row>
    <row r="22" spans="1:23" ht="18.75" hidden="1" customHeight="1">
      <c r="A22" s="213"/>
      <c r="B22" s="213"/>
      <c r="C22" s="210"/>
      <c r="D22" s="297"/>
      <c r="E22" s="186" t="s">
        <v>53</v>
      </c>
      <c r="F22" s="186" t="s">
        <v>2666</v>
      </c>
      <c r="G22" s="186" t="s">
        <v>691</v>
      </c>
      <c r="H22" s="186" t="s">
        <v>682</v>
      </c>
      <c r="I22" s="186"/>
      <c r="J22" s="186"/>
      <c r="K22" s="186" t="s">
        <v>680</v>
      </c>
      <c r="L22" s="186"/>
      <c r="M22" s="186"/>
      <c r="N22" s="186"/>
      <c r="O22" s="186"/>
      <c r="P22" s="186"/>
      <c r="Q22" s="186"/>
      <c r="R22" s="186"/>
      <c r="S22" s="186"/>
      <c r="T22" s="186" t="s">
        <v>1190</v>
      </c>
      <c r="U22" s="186"/>
      <c r="V22" s="186"/>
      <c r="W22" s="186"/>
    </row>
    <row r="23" spans="1:23" ht="18.75" hidden="1" customHeight="1">
      <c r="A23" s="213"/>
      <c r="B23" s="213"/>
      <c r="C23" s="210"/>
      <c r="D23" s="297"/>
      <c r="E23" s="186" t="s">
        <v>53</v>
      </c>
      <c r="F23" s="186" t="s">
        <v>1406</v>
      </c>
      <c r="G23" s="186" t="s">
        <v>897</v>
      </c>
      <c r="H23" s="186" t="s">
        <v>682</v>
      </c>
      <c r="I23" s="186" t="s">
        <v>1034</v>
      </c>
      <c r="J23" s="186"/>
      <c r="K23" s="186" t="s">
        <v>680</v>
      </c>
      <c r="L23" s="186"/>
      <c r="M23" s="186"/>
      <c r="N23" s="186"/>
      <c r="O23" s="186"/>
      <c r="P23" s="186"/>
      <c r="Q23" s="186"/>
      <c r="R23" s="186"/>
      <c r="S23" s="186"/>
      <c r="T23" s="186" t="s">
        <v>1190</v>
      </c>
      <c r="U23" s="186"/>
      <c r="V23" s="186"/>
      <c r="W23" s="186"/>
    </row>
    <row r="24" spans="1:23" ht="18.75" hidden="1" customHeight="1">
      <c r="A24" s="213"/>
      <c r="B24" s="213"/>
      <c r="C24" s="210"/>
      <c r="D24" s="297"/>
      <c r="E24" s="186" t="s">
        <v>53</v>
      </c>
      <c r="F24" s="186" t="s">
        <v>1189</v>
      </c>
      <c r="G24" s="186" t="s">
        <v>2667</v>
      </c>
      <c r="H24" s="186" t="s">
        <v>682</v>
      </c>
      <c r="I24" s="186"/>
      <c r="J24" s="186"/>
      <c r="K24" s="186" t="s">
        <v>680</v>
      </c>
      <c r="L24" s="186"/>
      <c r="M24" s="186"/>
      <c r="N24" s="186"/>
      <c r="O24" s="186"/>
      <c r="P24" s="186"/>
      <c r="Q24" s="186"/>
      <c r="R24" s="186"/>
      <c r="S24" s="186"/>
      <c r="T24" s="186" t="s">
        <v>1190</v>
      </c>
      <c r="U24" s="186"/>
      <c r="V24" s="186"/>
      <c r="W24" s="186"/>
    </row>
    <row r="25" spans="1:23" ht="18.75" hidden="1" customHeight="1">
      <c r="A25" s="213"/>
      <c r="B25" s="213"/>
      <c r="C25" s="210"/>
      <c r="D25" s="297"/>
      <c r="E25" s="186" t="s">
        <v>53</v>
      </c>
      <c r="F25" s="186" t="s">
        <v>1191</v>
      </c>
      <c r="G25" s="186" t="s">
        <v>2668</v>
      </c>
      <c r="H25" s="186" t="s">
        <v>682</v>
      </c>
      <c r="I25" s="186"/>
      <c r="J25" s="186"/>
      <c r="K25" s="186" t="s">
        <v>680</v>
      </c>
      <c r="L25" s="186"/>
      <c r="M25" s="186"/>
      <c r="N25" s="186"/>
      <c r="O25" s="186"/>
      <c r="P25" s="186"/>
      <c r="Q25" s="186"/>
      <c r="R25" s="186"/>
      <c r="S25" s="186"/>
      <c r="T25" s="186" t="s">
        <v>1190</v>
      </c>
      <c r="U25" s="186"/>
      <c r="V25" s="186"/>
      <c r="W25" s="186"/>
    </row>
    <row r="26" spans="1:23" ht="18.75" hidden="1" customHeight="1">
      <c r="A26" s="213"/>
      <c r="B26" s="213"/>
      <c r="C26" s="210"/>
      <c r="D26" s="297"/>
      <c r="E26" s="186" t="s">
        <v>53</v>
      </c>
      <c r="F26" s="186" t="s">
        <v>1192</v>
      </c>
      <c r="G26" s="186" t="s">
        <v>681</v>
      </c>
      <c r="H26" s="186" t="s">
        <v>682</v>
      </c>
      <c r="I26" s="186"/>
      <c r="J26" s="186"/>
      <c r="K26" s="186" t="s">
        <v>680</v>
      </c>
      <c r="L26" s="186"/>
      <c r="M26" s="186"/>
      <c r="N26" s="186"/>
      <c r="O26" s="186"/>
      <c r="P26" s="186"/>
      <c r="Q26" s="186"/>
      <c r="R26" s="186"/>
      <c r="S26" s="186"/>
      <c r="T26" s="186" t="s">
        <v>1190</v>
      </c>
      <c r="U26" s="186"/>
      <c r="V26" s="186"/>
      <c r="W26" s="186"/>
    </row>
    <row r="27" spans="1:23" ht="18.75" hidden="1" customHeight="1">
      <c r="A27" s="213"/>
      <c r="B27" s="213"/>
      <c r="C27" s="210"/>
      <c r="D27" s="297"/>
      <c r="E27" s="186" t="s">
        <v>53</v>
      </c>
      <c r="F27" s="186" t="s">
        <v>1409</v>
      </c>
      <c r="G27" s="186" t="s">
        <v>897</v>
      </c>
      <c r="H27" s="186" t="s">
        <v>682</v>
      </c>
      <c r="I27" s="186"/>
      <c r="J27" s="186"/>
      <c r="K27" s="186" t="s">
        <v>680</v>
      </c>
      <c r="L27" s="186"/>
      <c r="M27" s="186"/>
      <c r="N27" s="186"/>
      <c r="O27" s="186"/>
      <c r="P27" s="186"/>
      <c r="Q27" s="186"/>
      <c r="R27" s="186"/>
      <c r="S27" s="186"/>
      <c r="T27" s="186" t="s">
        <v>1190</v>
      </c>
      <c r="U27" s="186"/>
      <c r="V27" s="186"/>
      <c r="W27" s="186"/>
    </row>
    <row r="28" spans="1:23" ht="64.5" customHeight="1">
      <c r="A28" s="213"/>
      <c r="B28" s="213"/>
      <c r="C28" s="210"/>
      <c r="D28" s="297"/>
      <c r="E28" s="186" t="s">
        <v>53</v>
      </c>
      <c r="F28" s="186" t="s">
        <v>1193</v>
      </c>
      <c r="G28" s="186" t="s">
        <v>679</v>
      </c>
      <c r="H28" s="186" t="s">
        <v>682</v>
      </c>
      <c r="I28" s="186"/>
      <c r="J28" s="186"/>
      <c r="K28" s="186" t="s">
        <v>682</v>
      </c>
      <c r="L28" s="330" t="s">
        <v>1184</v>
      </c>
      <c r="M28" s="123" t="s">
        <v>2669</v>
      </c>
      <c r="N28" s="186"/>
      <c r="O28" s="186"/>
      <c r="P28" s="186"/>
      <c r="Q28" s="186"/>
      <c r="R28" s="186"/>
      <c r="S28" s="186"/>
      <c r="T28" s="186" t="s">
        <v>1190</v>
      </c>
      <c r="U28" s="186"/>
      <c r="V28" s="186"/>
      <c r="W28" s="186"/>
    </row>
    <row r="29" spans="1:23" ht="18.75" hidden="1" customHeight="1">
      <c r="A29" s="213"/>
      <c r="B29" s="213"/>
      <c r="C29" s="210"/>
      <c r="D29" s="297"/>
      <c r="E29" s="186" t="s">
        <v>53</v>
      </c>
      <c r="F29" s="186" t="s">
        <v>1194</v>
      </c>
      <c r="G29" s="186" t="s">
        <v>2668</v>
      </c>
      <c r="H29" s="186" t="s">
        <v>682</v>
      </c>
      <c r="I29" s="186"/>
      <c r="J29" s="186"/>
      <c r="K29" s="186" t="s">
        <v>680</v>
      </c>
      <c r="L29" s="186"/>
      <c r="M29" s="186"/>
      <c r="N29" s="186"/>
      <c r="O29" s="186"/>
      <c r="P29" s="186"/>
      <c r="Q29" s="186"/>
      <c r="R29" s="186"/>
      <c r="S29" s="186"/>
      <c r="T29" s="186" t="s">
        <v>1190</v>
      </c>
      <c r="U29" s="186"/>
      <c r="V29" s="186"/>
      <c r="W29" s="186"/>
    </row>
    <row r="30" spans="1:23" ht="18.75" hidden="1" customHeight="1">
      <c r="A30" s="213"/>
      <c r="B30" s="213"/>
      <c r="C30" s="210"/>
      <c r="D30" s="297"/>
      <c r="E30" s="186" t="s">
        <v>53</v>
      </c>
      <c r="F30" s="186" t="s">
        <v>1195</v>
      </c>
      <c r="G30" s="186" t="s">
        <v>679</v>
      </c>
      <c r="H30" s="186" t="s">
        <v>682</v>
      </c>
      <c r="I30" s="186"/>
      <c r="J30" s="186"/>
      <c r="K30" s="186" t="s">
        <v>680</v>
      </c>
      <c r="L30" s="186"/>
      <c r="M30" s="186"/>
      <c r="N30" s="186"/>
      <c r="O30" s="186"/>
      <c r="P30" s="186"/>
      <c r="Q30" s="186"/>
      <c r="R30" s="186"/>
      <c r="S30" s="186"/>
      <c r="T30" s="186" t="s">
        <v>1190</v>
      </c>
      <c r="U30" s="186"/>
      <c r="V30" s="186"/>
      <c r="W30" s="186"/>
    </row>
    <row r="31" spans="1:23" ht="18.75" hidden="1" customHeight="1">
      <c r="A31" s="213"/>
      <c r="B31" s="213"/>
      <c r="C31" s="210"/>
      <c r="D31" s="297"/>
      <c r="E31" s="186" t="s">
        <v>53</v>
      </c>
      <c r="F31" s="186" t="s">
        <v>1196</v>
      </c>
      <c r="G31" s="186" t="s">
        <v>897</v>
      </c>
      <c r="H31" s="186" t="s">
        <v>682</v>
      </c>
      <c r="I31" s="186"/>
      <c r="J31" s="186"/>
      <c r="K31" s="186" t="s">
        <v>680</v>
      </c>
      <c r="L31" s="186"/>
      <c r="M31" s="186"/>
      <c r="N31" s="186"/>
      <c r="O31" s="186"/>
      <c r="P31" s="186"/>
      <c r="Q31" s="186"/>
      <c r="R31" s="186"/>
      <c r="S31" s="186"/>
      <c r="T31" s="186" t="s">
        <v>1190</v>
      </c>
      <c r="U31" s="186"/>
      <c r="V31" s="186"/>
      <c r="W31" s="186"/>
    </row>
    <row r="32" spans="1:23" ht="18.75" hidden="1" customHeight="1">
      <c r="A32" s="213"/>
      <c r="B32" s="213"/>
      <c r="C32" s="210"/>
      <c r="D32" s="297"/>
      <c r="E32" s="186" t="s">
        <v>55</v>
      </c>
      <c r="F32" s="186" t="s">
        <v>866</v>
      </c>
      <c r="G32" s="186" t="s">
        <v>681</v>
      </c>
      <c r="H32" s="186" t="s">
        <v>682</v>
      </c>
      <c r="I32" s="186"/>
      <c r="J32" s="186"/>
      <c r="K32" s="186" t="s">
        <v>680</v>
      </c>
      <c r="L32" s="186"/>
      <c r="M32" s="186"/>
      <c r="N32" s="186"/>
      <c r="O32" s="186"/>
      <c r="P32" s="186"/>
      <c r="Q32" s="186"/>
      <c r="R32" s="186"/>
      <c r="S32" s="186"/>
      <c r="T32" s="186" t="s">
        <v>2670</v>
      </c>
      <c r="U32" s="186"/>
      <c r="V32" s="186"/>
      <c r="W32" s="186"/>
    </row>
    <row r="33" spans="1:28" ht="18.75" hidden="1" customHeight="1">
      <c r="A33" s="213"/>
      <c r="B33" s="213"/>
      <c r="C33" s="210"/>
      <c r="D33" s="297"/>
      <c r="E33" s="186" t="s">
        <v>55</v>
      </c>
      <c r="F33" s="186" t="s">
        <v>2671</v>
      </c>
      <c r="G33" s="186" t="s">
        <v>2667</v>
      </c>
      <c r="H33" s="186" t="s">
        <v>682</v>
      </c>
      <c r="I33" s="186"/>
      <c r="J33" s="186"/>
      <c r="K33" s="186" t="s">
        <v>680</v>
      </c>
      <c r="L33" s="186"/>
      <c r="M33" s="186"/>
      <c r="N33" s="186"/>
      <c r="O33" s="186"/>
      <c r="P33" s="186"/>
      <c r="Q33" s="186"/>
      <c r="R33" s="186"/>
      <c r="S33" s="186"/>
      <c r="T33" s="186" t="s">
        <v>2672</v>
      </c>
      <c r="U33" s="186"/>
      <c r="V33" s="186"/>
      <c r="W33" s="186"/>
    </row>
    <row r="34" spans="1:28" ht="100">
      <c r="A34" s="193"/>
      <c r="B34" s="193"/>
      <c r="C34" s="193"/>
      <c r="D34" s="193"/>
      <c r="E34" t="s">
        <v>850</v>
      </c>
      <c r="F34" t="s">
        <v>851</v>
      </c>
      <c r="G34" t="s">
        <v>852</v>
      </c>
      <c r="H34" t="s">
        <v>682</v>
      </c>
      <c r="K34" s="186" t="s">
        <v>682</v>
      </c>
      <c r="L34" s="123" t="s">
        <v>2643</v>
      </c>
      <c r="M34" s="186" t="s">
        <v>854</v>
      </c>
      <c r="N34" t="s">
        <v>852</v>
      </c>
      <c r="O34" s="186"/>
      <c r="P34" s="123"/>
      <c r="Q34" s="186"/>
      <c r="R34" s="186" t="s">
        <v>2673</v>
      </c>
      <c r="S34" s="186">
        <v>0</v>
      </c>
      <c r="X34">
        <v>87</v>
      </c>
      <c r="Z34" t="s">
        <v>2645</v>
      </c>
      <c r="AA34" s="30">
        <v>43538</v>
      </c>
      <c r="AB34" t="s">
        <v>2674</v>
      </c>
    </row>
    <row r="35" spans="1:28" ht="100">
      <c r="A35" s="213"/>
      <c r="B35" s="213"/>
      <c r="C35" s="210"/>
      <c r="D35" s="297"/>
      <c r="E35" s="186" t="s">
        <v>61</v>
      </c>
      <c r="F35" s="186" t="s">
        <v>120</v>
      </c>
      <c r="G35" s="186" t="s">
        <v>689</v>
      </c>
      <c r="H35" s="186" t="s">
        <v>682</v>
      </c>
      <c r="I35" s="186"/>
      <c r="J35" s="186"/>
      <c r="K35" s="186" t="s">
        <v>682</v>
      </c>
      <c r="L35" s="123" t="s">
        <v>2643</v>
      </c>
      <c r="M35" s="186" t="s">
        <v>690</v>
      </c>
      <c r="N35" s="186" t="s">
        <v>1709</v>
      </c>
      <c r="O35" s="186" t="s">
        <v>1709</v>
      </c>
      <c r="P35" s="123" t="s">
        <v>2675</v>
      </c>
      <c r="Q35" s="186"/>
      <c r="R35" s="186"/>
      <c r="S35" s="186" t="s">
        <v>1201</v>
      </c>
      <c r="T35" s="186" t="s">
        <v>2676</v>
      </c>
      <c r="U35" s="186"/>
      <c r="V35" s="186"/>
      <c r="W35" s="186"/>
      <c r="X35">
        <v>6</v>
      </c>
      <c r="Z35" t="s">
        <v>2645</v>
      </c>
      <c r="AA35" s="30">
        <v>43538</v>
      </c>
      <c r="AB35" t="s">
        <v>2646</v>
      </c>
    </row>
    <row r="36" spans="1:28" ht="18.75" hidden="1" customHeight="1">
      <c r="A36" s="213"/>
      <c r="B36" s="213"/>
      <c r="C36" s="210"/>
      <c r="D36" s="297"/>
      <c r="E36" s="186" t="s">
        <v>55</v>
      </c>
      <c r="F36" s="186" t="s">
        <v>2677</v>
      </c>
      <c r="G36" s="186" t="s">
        <v>683</v>
      </c>
      <c r="H36" s="186" t="s">
        <v>682</v>
      </c>
      <c r="I36" s="186"/>
      <c r="J36" s="186"/>
      <c r="K36" s="186" t="s">
        <v>680</v>
      </c>
      <c r="L36" s="186"/>
      <c r="M36" s="186"/>
      <c r="N36" s="186"/>
      <c r="O36" s="186"/>
      <c r="P36" s="186"/>
      <c r="Q36" s="186"/>
      <c r="R36" s="186"/>
      <c r="S36" s="186"/>
      <c r="T36" s="186" t="s">
        <v>2678</v>
      </c>
      <c r="U36" s="186"/>
      <c r="V36" s="186"/>
      <c r="W36" s="186"/>
    </row>
    <row r="37" spans="1:28" ht="18.75" hidden="1" customHeight="1">
      <c r="A37" s="213"/>
      <c r="B37" s="213"/>
      <c r="C37" s="210"/>
      <c r="D37" s="297"/>
      <c r="E37" s="186" t="s">
        <v>55</v>
      </c>
      <c r="F37" s="186" t="s">
        <v>2679</v>
      </c>
      <c r="G37" s="186" t="s">
        <v>683</v>
      </c>
      <c r="H37" s="186" t="s">
        <v>682</v>
      </c>
      <c r="I37" s="186"/>
      <c r="J37" s="186"/>
      <c r="K37" s="186" t="s">
        <v>680</v>
      </c>
      <c r="L37" s="186"/>
      <c r="M37" s="186"/>
      <c r="N37" s="186"/>
      <c r="O37" s="186"/>
      <c r="P37" s="186"/>
      <c r="Q37" s="186"/>
      <c r="R37" s="186"/>
      <c r="S37" s="186"/>
      <c r="T37" s="186" t="s">
        <v>2680</v>
      </c>
      <c r="U37" s="186"/>
      <c r="V37" s="186"/>
      <c r="W37" s="186"/>
    </row>
    <row r="38" spans="1:28" ht="121.5" customHeight="1">
      <c r="A38" s="213"/>
      <c r="B38" s="213"/>
      <c r="C38" s="210"/>
      <c r="D38" s="297"/>
      <c r="E38" s="186" t="s">
        <v>55</v>
      </c>
      <c r="F38" s="186" t="s">
        <v>814</v>
      </c>
      <c r="G38" s="186" t="s">
        <v>683</v>
      </c>
      <c r="H38" s="186" t="s">
        <v>682</v>
      </c>
      <c r="I38" s="186"/>
      <c r="J38" s="186"/>
      <c r="K38" s="186" t="s">
        <v>682</v>
      </c>
      <c r="L38" s="123" t="s">
        <v>2643</v>
      </c>
      <c r="M38" s="186" t="s">
        <v>815</v>
      </c>
      <c r="N38" s="186" t="s">
        <v>2681</v>
      </c>
      <c r="O38" s="186" t="s">
        <v>2681</v>
      </c>
      <c r="P38" s="123"/>
      <c r="Q38" s="186"/>
      <c r="R38" s="186"/>
      <c r="S38" s="186">
        <v>0</v>
      </c>
      <c r="T38" s="186" t="s">
        <v>2682</v>
      </c>
      <c r="U38" s="186"/>
      <c r="V38" s="186"/>
      <c r="W38" s="186"/>
      <c r="X38">
        <v>69</v>
      </c>
      <c r="Z38" t="s">
        <v>2645</v>
      </c>
      <c r="AA38" s="30">
        <v>43538</v>
      </c>
      <c r="AB38" t="s">
        <v>2646</v>
      </c>
    </row>
    <row r="39" spans="1:28" ht="12.5" hidden="1">
      <c r="A39" s="213"/>
      <c r="B39" s="213"/>
      <c r="C39" s="210"/>
      <c r="D39" s="297"/>
      <c r="E39" s="186" t="s">
        <v>55</v>
      </c>
      <c r="F39" s="186" t="s">
        <v>2683</v>
      </c>
      <c r="G39" s="186" t="s">
        <v>683</v>
      </c>
      <c r="H39" s="186" t="s">
        <v>682</v>
      </c>
      <c r="I39" s="186"/>
      <c r="J39" s="186"/>
      <c r="K39" s="186" t="s">
        <v>680</v>
      </c>
      <c r="L39" s="186"/>
      <c r="M39" s="186"/>
      <c r="N39" s="186"/>
      <c r="O39" s="186"/>
      <c r="P39" s="186"/>
      <c r="Q39" s="186"/>
      <c r="R39" s="186"/>
      <c r="S39" s="186"/>
      <c r="T39" s="186" t="s">
        <v>2684</v>
      </c>
      <c r="U39" s="186"/>
      <c r="V39" s="186"/>
      <c r="W39" s="186"/>
    </row>
    <row r="40" spans="1:28" ht="100">
      <c r="A40" s="213"/>
      <c r="B40" s="213"/>
      <c r="C40" s="210"/>
      <c r="D40" s="297"/>
      <c r="E40" s="186" t="s">
        <v>55</v>
      </c>
      <c r="F40" s="186" t="s">
        <v>816</v>
      </c>
      <c r="G40" s="186" t="s">
        <v>683</v>
      </c>
      <c r="H40" s="186" t="s">
        <v>682</v>
      </c>
      <c r="I40" s="186"/>
      <c r="J40" s="186"/>
      <c r="K40" s="186" t="s">
        <v>682</v>
      </c>
      <c r="L40" s="123" t="s">
        <v>2643</v>
      </c>
      <c r="M40" s="186" t="s">
        <v>817</v>
      </c>
      <c r="N40" s="186" t="s">
        <v>2681</v>
      </c>
      <c r="O40" s="186" t="s">
        <v>2681</v>
      </c>
      <c r="P40" s="123"/>
      <c r="Q40" s="186"/>
      <c r="R40" s="186"/>
      <c r="S40" s="186">
        <v>0</v>
      </c>
      <c r="T40" s="186" t="s">
        <v>2685</v>
      </c>
      <c r="U40" s="186"/>
      <c r="V40" s="186"/>
      <c r="W40" s="186"/>
      <c r="X40">
        <v>70</v>
      </c>
      <c r="Z40" t="s">
        <v>2645</v>
      </c>
      <c r="AA40" s="30">
        <v>43538</v>
      </c>
      <c r="AB40" t="s">
        <v>2646</v>
      </c>
    </row>
    <row r="41" spans="1:28" ht="121.5" customHeight="1">
      <c r="A41" s="213"/>
      <c r="B41" s="213"/>
      <c r="C41" s="210"/>
      <c r="D41" s="297"/>
      <c r="E41" s="186" t="s">
        <v>55</v>
      </c>
      <c r="F41" s="186" t="s">
        <v>784</v>
      </c>
      <c r="G41" s="186" t="s">
        <v>683</v>
      </c>
      <c r="H41" s="186" t="s">
        <v>682</v>
      </c>
      <c r="I41" s="186"/>
      <c r="J41" s="186"/>
      <c r="K41" s="186" t="s">
        <v>682</v>
      </c>
      <c r="L41" s="123" t="s">
        <v>2643</v>
      </c>
      <c r="M41" s="186" t="s">
        <v>785</v>
      </c>
      <c r="N41" s="186" t="s">
        <v>2681</v>
      </c>
      <c r="O41" s="186" t="s">
        <v>2681</v>
      </c>
      <c r="P41" s="123" t="s">
        <v>2686</v>
      </c>
      <c r="Q41" s="186" t="s">
        <v>2686</v>
      </c>
      <c r="R41" s="186"/>
      <c r="S41" s="186">
        <v>0</v>
      </c>
      <c r="T41" s="186" t="s">
        <v>2687</v>
      </c>
      <c r="U41" s="186"/>
      <c r="V41" s="186"/>
      <c r="W41" s="186"/>
      <c r="X41">
        <v>54</v>
      </c>
      <c r="Z41" t="s">
        <v>2645</v>
      </c>
      <c r="AA41" s="30">
        <v>43538</v>
      </c>
      <c r="AB41" t="s">
        <v>2646</v>
      </c>
    </row>
    <row r="42" spans="1:28" ht="121.5" customHeight="1">
      <c r="A42" s="213"/>
      <c r="B42" s="213"/>
      <c r="C42" s="210"/>
      <c r="D42" s="297" t="s">
        <v>682</v>
      </c>
      <c r="E42" s="186" t="s">
        <v>59</v>
      </c>
      <c r="F42" s="186" t="s">
        <v>754</v>
      </c>
      <c r="G42" s="186" t="s">
        <v>683</v>
      </c>
      <c r="H42" s="186" t="s">
        <v>682</v>
      </c>
      <c r="I42" s="186"/>
      <c r="J42" s="186"/>
      <c r="K42" s="186" t="s">
        <v>682</v>
      </c>
      <c r="L42" s="123" t="s">
        <v>2643</v>
      </c>
      <c r="M42" s="186" t="s">
        <v>755</v>
      </c>
      <c r="N42" s="186" t="s">
        <v>2681</v>
      </c>
      <c r="O42" s="186" t="s">
        <v>2681</v>
      </c>
      <c r="P42" s="123" t="s">
        <v>2686</v>
      </c>
      <c r="Q42" s="186"/>
      <c r="R42" s="186"/>
      <c r="S42" s="186">
        <v>1164699.08</v>
      </c>
      <c r="T42" s="186" t="s">
        <v>2688</v>
      </c>
      <c r="U42" s="186"/>
      <c r="V42" s="186"/>
      <c r="W42" s="186"/>
      <c r="X42">
        <v>39</v>
      </c>
      <c r="Z42" t="s">
        <v>2645</v>
      </c>
      <c r="AA42" s="30">
        <v>43538</v>
      </c>
      <c r="AB42" t="s">
        <v>2646</v>
      </c>
    </row>
    <row r="43" spans="1:28" ht="121.5" customHeight="1">
      <c r="A43" s="213"/>
      <c r="B43" s="213"/>
      <c r="C43" s="210"/>
      <c r="D43" s="297"/>
      <c r="E43" s="186" t="s">
        <v>55</v>
      </c>
      <c r="F43" s="186" t="s">
        <v>756</v>
      </c>
      <c r="G43" s="186" t="s">
        <v>683</v>
      </c>
      <c r="H43" s="186" t="s">
        <v>682</v>
      </c>
      <c r="I43" s="186"/>
      <c r="J43" s="186"/>
      <c r="K43" s="186" t="s">
        <v>682</v>
      </c>
      <c r="L43" s="123" t="s">
        <v>2643</v>
      </c>
      <c r="M43" s="186" t="s">
        <v>757</v>
      </c>
      <c r="N43" s="186" t="s">
        <v>2681</v>
      </c>
      <c r="O43" s="186" t="s">
        <v>2681</v>
      </c>
      <c r="P43" s="123"/>
      <c r="Q43" s="186"/>
      <c r="R43" s="186"/>
      <c r="S43" s="186">
        <v>0</v>
      </c>
      <c r="T43" s="186" t="s">
        <v>2689</v>
      </c>
      <c r="U43" s="186"/>
      <c r="V43" s="186"/>
      <c r="W43" s="186"/>
      <c r="X43">
        <v>40</v>
      </c>
      <c r="Z43" t="s">
        <v>2645</v>
      </c>
      <c r="AA43" s="30">
        <v>43538</v>
      </c>
      <c r="AB43" t="s">
        <v>2646</v>
      </c>
    </row>
    <row r="44" spans="1:28" ht="121.5" customHeight="1">
      <c r="A44" s="213"/>
      <c r="B44" s="213"/>
      <c r="C44" s="210"/>
      <c r="D44" s="297" t="s">
        <v>682</v>
      </c>
      <c r="E44" s="186" t="s">
        <v>59</v>
      </c>
      <c r="F44" s="186" t="s">
        <v>782</v>
      </c>
      <c r="G44" s="186" t="s">
        <v>683</v>
      </c>
      <c r="H44" s="186" t="s">
        <v>682</v>
      </c>
      <c r="I44" s="186"/>
      <c r="J44" s="186"/>
      <c r="K44" s="186" t="s">
        <v>682</v>
      </c>
      <c r="L44" s="123" t="s">
        <v>2643</v>
      </c>
      <c r="M44" s="186" t="s">
        <v>783</v>
      </c>
      <c r="N44" s="186" t="s">
        <v>2681</v>
      </c>
      <c r="O44" s="186" t="s">
        <v>2681</v>
      </c>
      <c r="P44" s="123" t="s">
        <v>2690</v>
      </c>
      <c r="Q44" s="186"/>
      <c r="R44" s="186" t="s">
        <v>2691</v>
      </c>
      <c r="S44" s="186">
        <v>1003972.81</v>
      </c>
      <c r="T44" s="186" t="s">
        <v>2689</v>
      </c>
      <c r="U44" s="186"/>
      <c r="V44" s="186"/>
      <c r="W44" s="186"/>
      <c r="X44">
        <v>53</v>
      </c>
      <c r="Z44" t="s">
        <v>2645</v>
      </c>
      <c r="AA44" s="30">
        <v>43538</v>
      </c>
      <c r="AB44" t="s">
        <v>2646</v>
      </c>
    </row>
    <row r="45" spans="1:28" ht="121.5" customHeight="1">
      <c r="A45" s="213"/>
      <c r="B45" s="213"/>
      <c r="C45" s="210"/>
      <c r="D45" s="297"/>
      <c r="E45" s="186" t="s">
        <v>59</v>
      </c>
      <c r="F45" s="186" t="s">
        <v>780</v>
      </c>
      <c r="G45" s="186" t="s">
        <v>683</v>
      </c>
      <c r="H45" s="186" t="s">
        <v>682</v>
      </c>
      <c r="I45" s="186"/>
      <c r="J45" s="186"/>
      <c r="K45" s="186" t="s">
        <v>682</v>
      </c>
      <c r="L45" s="123" t="s">
        <v>2643</v>
      </c>
      <c r="M45" s="186" t="s">
        <v>781</v>
      </c>
      <c r="N45" s="186" t="s">
        <v>2681</v>
      </c>
      <c r="O45" s="186" t="s">
        <v>2681</v>
      </c>
      <c r="P45" s="123"/>
      <c r="Q45" s="186"/>
      <c r="R45" s="186"/>
      <c r="S45" s="186">
        <v>0</v>
      </c>
      <c r="T45" s="186" t="s">
        <v>2689</v>
      </c>
      <c r="U45" s="186"/>
      <c r="V45" s="186"/>
      <c r="W45" s="186"/>
      <c r="X45">
        <v>52</v>
      </c>
      <c r="Z45" t="s">
        <v>2645</v>
      </c>
      <c r="AA45" s="30">
        <v>43538</v>
      </c>
      <c r="AB45" t="s">
        <v>2646</v>
      </c>
    </row>
    <row r="46" spans="1:28" ht="121.5" customHeight="1">
      <c r="A46" s="213"/>
      <c r="B46" s="213"/>
      <c r="C46" s="210"/>
      <c r="D46" s="297"/>
      <c r="E46" s="186" t="s">
        <v>55</v>
      </c>
      <c r="F46" s="186" t="s">
        <v>766</v>
      </c>
      <c r="G46" s="186" t="s">
        <v>683</v>
      </c>
      <c r="H46" s="186" t="s">
        <v>682</v>
      </c>
      <c r="I46" s="186"/>
      <c r="J46" s="186"/>
      <c r="K46" s="186" t="s">
        <v>682</v>
      </c>
      <c r="L46" s="123" t="s">
        <v>2643</v>
      </c>
      <c r="M46" s="186" t="s">
        <v>767</v>
      </c>
      <c r="N46" s="186" t="s">
        <v>2681</v>
      </c>
      <c r="O46" s="186" t="s">
        <v>2681</v>
      </c>
      <c r="P46" s="123"/>
      <c r="Q46" s="186"/>
      <c r="R46" s="186"/>
      <c r="S46" s="186">
        <v>0</v>
      </c>
      <c r="T46" s="186" t="s">
        <v>2689</v>
      </c>
      <c r="U46" s="186"/>
      <c r="V46" s="186"/>
      <c r="W46" s="186"/>
      <c r="X46">
        <v>45</v>
      </c>
      <c r="Z46" t="s">
        <v>2645</v>
      </c>
      <c r="AA46" s="30">
        <v>43538</v>
      </c>
      <c r="AB46" t="s">
        <v>2646</v>
      </c>
    </row>
    <row r="47" spans="1:28" ht="121.5" customHeight="1">
      <c r="A47" s="213"/>
      <c r="B47" s="213"/>
      <c r="C47" s="210"/>
      <c r="D47" s="297"/>
      <c r="E47" s="186" t="s">
        <v>55</v>
      </c>
      <c r="F47" s="186" t="s">
        <v>758</v>
      </c>
      <c r="G47" s="186" t="s">
        <v>683</v>
      </c>
      <c r="H47" s="186" t="s">
        <v>682</v>
      </c>
      <c r="I47" s="186"/>
      <c r="J47" s="186"/>
      <c r="K47" s="186" t="s">
        <v>682</v>
      </c>
      <c r="L47" s="123" t="s">
        <v>2643</v>
      </c>
      <c r="M47" s="186" t="s">
        <v>759</v>
      </c>
      <c r="N47" s="186" t="s">
        <v>2681</v>
      </c>
      <c r="O47" s="186" t="s">
        <v>2681</v>
      </c>
      <c r="P47" s="123"/>
      <c r="Q47" s="186"/>
      <c r="R47" s="186"/>
      <c r="S47" s="186">
        <v>0</v>
      </c>
      <c r="T47" s="186" t="s">
        <v>2689</v>
      </c>
      <c r="U47" s="186"/>
      <c r="V47" s="186"/>
      <c r="W47" s="186"/>
      <c r="X47">
        <v>41</v>
      </c>
      <c r="Z47" t="s">
        <v>2645</v>
      </c>
      <c r="AA47" s="30">
        <v>43538</v>
      </c>
      <c r="AB47" t="s">
        <v>2646</v>
      </c>
    </row>
    <row r="48" spans="1:28" ht="18.75" hidden="1" customHeight="1">
      <c r="A48" s="213"/>
      <c r="B48" s="213"/>
      <c r="C48" s="210"/>
      <c r="D48" s="297"/>
      <c r="E48" s="186" t="s">
        <v>55</v>
      </c>
      <c r="F48" s="186" t="s">
        <v>2692</v>
      </c>
      <c r="G48" s="186" t="s">
        <v>683</v>
      </c>
      <c r="H48" s="186" t="s">
        <v>682</v>
      </c>
      <c r="I48" s="186"/>
      <c r="J48" s="186"/>
      <c r="K48" s="186" t="s">
        <v>680</v>
      </c>
      <c r="L48" s="186"/>
      <c r="M48" s="186"/>
      <c r="N48" s="186"/>
      <c r="O48" s="186"/>
      <c r="P48" s="186"/>
      <c r="Q48" s="186"/>
      <c r="R48" s="186"/>
      <c r="S48" s="186"/>
      <c r="T48" s="186" t="s">
        <v>2689</v>
      </c>
      <c r="U48" s="186"/>
      <c r="V48" s="186"/>
      <c r="W48" s="186"/>
    </row>
    <row r="49" spans="1:28" ht="100">
      <c r="A49" s="213"/>
      <c r="B49" s="213"/>
      <c r="C49" s="210"/>
      <c r="D49" s="297" t="s">
        <v>682</v>
      </c>
      <c r="E49" s="186" t="s">
        <v>59</v>
      </c>
      <c r="F49" s="186" t="s">
        <v>774</v>
      </c>
      <c r="G49" s="186" t="s">
        <v>683</v>
      </c>
      <c r="H49" s="186" t="s">
        <v>682</v>
      </c>
      <c r="I49" s="186"/>
      <c r="J49" s="186"/>
      <c r="K49" s="186" t="s">
        <v>682</v>
      </c>
      <c r="L49" s="123" t="s">
        <v>2643</v>
      </c>
      <c r="M49" s="186" t="s">
        <v>775</v>
      </c>
      <c r="N49" s="186" t="s">
        <v>2681</v>
      </c>
      <c r="O49" s="186" t="s">
        <v>2681</v>
      </c>
      <c r="P49" s="123"/>
      <c r="Q49" s="186"/>
      <c r="R49" s="186"/>
      <c r="S49" s="186">
        <v>0</v>
      </c>
      <c r="T49" s="186" t="s">
        <v>2689</v>
      </c>
      <c r="U49" s="186"/>
      <c r="V49" s="186"/>
      <c r="W49" s="186"/>
      <c r="X49">
        <v>49</v>
      </c>
      <c r="Z49" t="s">
        <v>2645</v>
      </c>
      <c r="AA49" s="30">
        <v>43538</v>
      </c>
      <c r="AB49" t="s">
        <v>2646</v>
      </c>
    </row>
    <row r="50" spans="1:28" ht="100">
      <c r="A50" s="213"/>
      <c r="B50" s="213"/>
      <c r="C50" s="210"/>
      <c r="D50" s="297"/>
      <c r="E50" s="186" t="s">
        <v>55</v>
      </c>
      <c r="F50" s="186" t="s">
        <v>760</v>
      </c>
      <c r="G50" s="186" t="s">
        <v>683</v>
      </c>
      <c r="H50" s="186" t="s">
        <v>682</v>
      </c>
      <c r="I50" s="186"/>
      <c r="J50" s="186"/>
      <c r="K50" s="186" t="s">
        <v>682</v>
      </c>
      <c r="L50" s="123" t="s">
        <v>2643</v>
      </c>
      <c r="M50" s="186" t="s">
        <v>761</v>
      </c>
      <c r="N50" s="186" t="s">
        <v>2681</v>
      </c>
      <c r="O50" s="186" t="s">
        <v>2681</v>
      </c>
      <c r="P50" s="123"/>
      <c r="Q50" s="186"/>
      <c r="R50" s="186"/>
      <c r="S50" s="186">
        <v>0</v>
      </c>
      <c r="T50" s="186" t="s">
        <v>2689</v>
      </c>
      <c r="U50" s="186"/>
      <c r="V50" s="186"/>
      <c r="W50" s="186"/>
      <c r="X50">
        <v>42</v>
      </c>
      <c r="Z50" t="s">
        <v>2645</v>
      </c>
      <c r="AA50" s="30">
        <v>43538</v>
      </c>
      <c r="AB50" t="s">
        <v>2646</v>
      </c>
    </row>
    <row r="51" spans="1:28" ht="100">
      <c r="A51" s="213"/>
      <c r="B51" s="213"/>
      <c r="C51" s="210"/>
      <c r="D51" s="297" t="s">
        <v>682</v>
      </c>
      <c r="E51" s="186" t="s">
        <v>59</v>
      </c>
      <c r="F51" s="186" t="s">
        <v>776</v>
      </c>
      <c r="G51" s="186" t="s">
        <v>683</v>
      </c>
      <c r="H51" s="186" t="s">
        <v>682</v>
      </c>
      <c r="I51" s="186"/>
      <c r="J51" s="186"/>
      <c r="K51" s="186" t="s">
        <v>682</v>
      </c>
      <c r="L51" s="123" t="s">
        <v>2643</v>
      </c>
      <c r="M51" s="186" t="s">
        <v>777</v>
      </c>
      <c r="N51" s="186" t="s">
        <v>2681</v>
      </c>
      <c r="O51" s="186" t="s">
        <v>2681</v>
      </c>
      <c r="P51" s="123"/>
      <c r="Q51" s="186"/>
      <c r="R51" s="186"/>
      <c r="S51" s="186">
        <v>0</v>
      </c>
      <c r="T51" s="186" t="s">
        <v>2689</v>
      </c>
      <c r="U51" s="186"/>
      <c r="V51" s="186"/>
      <c r="W51" s="186"/>
      <c r="X51">
        <v>50</v>
      </c>
      <c r="Z51" t="s">
        <v>2645</v>
      </c>
      <c r="AA51" s="30">
        <v>43538</v>
      </c>
      <c r="AB51" t="s">
        <v>2646</v>
      </c>
    </row>
    <row r="52" spans="1:28" ht="100">
      <c r="A52" s="213"/>
      <c r="B52" s="213"/>
      <c r="C52" s="210"/>
      <c r="D52" s="297" t="s">
        <v>682</v>
      </c>
      <c r="E52" s="186" t="s">
        <v>59</v>
      </c>
      <c r="F52" s="186" t="s">
        <v>778</v>
      </c>
      <c r="G52" s="186" t="s">
        <v>683</v>
      </c>
      <c r="H52" s="186" t="s">
        <v>682</v>
      </c>
      <c r="I52" s="186"/>
      <c r="J52" s="186"/>
      <c r="K52" s="186" t="s">
        <v>682</v>
      </c>
      <c r="L52" s="123" t="s">
        <v>2643</v>
      </c>
      <c r="M52" s="186" t="s">
        <v>779</v>
      </c>
      <c r="N52" s="186" t="s">
        <v>2681</v>
      </c>
      <c r="O52" s="186" t="s">
        <v>2681</v>
      </c>
      <c r="P52" s="123"/>
      <c r="Q52" s="186"/>
      <c r="R52" s="186"/>
      <c r="S52" s="186">
        <v>0</v>
      </c>
      <c r="T52" s="186" t="s">
        <v>2689</v>
      </c>
      <c r="U52" s="186"/>
      <c r="V52" s="186"/>
      <c r="W52" s="186"/>
      <c r="X52">
        <v>51</v>
      </c>
      <c r="Z52" t="s">
        <v>2645</v>
      </c>
      <c r="AA52" s="30">
        <v>43538</v>
      </c>
      <c r="AB52" t="s">
        <v>2646</v>
      </c>
    </row>
    <row r="53" spans="1:28" ht="121.5" customHeight="1">
      <c r="A53" s="213"/>
      <c r="B53" s="213"/>
      <c r="C53" s="210"/>
      <c r="D53" s="297"/>
      <c r="E53" s="186" t="s">
        <v>55</v>
      </c>
      <c r="F53" s="186" t="s">
        <v>762</v>
      </c>
      <c r="G53" s="186" t="s">
        <v>683</v>
      </c>
      <c r="H53" s="186" t="s">
        <v>682</v>
      </c>
      <c r="I53" s="186"/>
      <c r="J53" s="186"/>
      <c r="K53" s="186" t="s">
        <v>682</v>
      </c>
      <c r="L53" s="123" t="s">
        <v>2643</v>
      </c>
      <c r="M53" s="186" t="s">
        <v>763</v>
      </c>
      <c r="N53" s="186" t="s">
        <v>2681</v>
      </c>
      <c r="O53" s="186" t="s">
        <v>2681</v>
      </c>
      <c r="P53" s="123"/>
      <c r="Q53" s="186"/>
      <c r="R53" s="186"/>
      <c r="S53" s="186">
        <v>0</v>
      </c>
      <c r="T53" s="186" t="s">
        <v>2689</v>
      </c>
      <c r="U53" s="186"/>
      <c r="V53" s="186"/>
      <c r="W53" s="186"/>
      <c r="X53">
        <v>43</v>
      </c>
      <c r="Z53" t="s">
        <v>2645</v>
      </c>
      <c r="AA53" s="30">
        <v>43538</v>
      </c>
      <c r="AB53" t="s">
        <v>2646</v>
      </c>
    </row>
    <row r="54" spans="1:28" ht="121.5" customHeight="1">
      <c r="A54" s="213"/>
      <c r="B54" s="213"/>
      <c r="C54" s="210"/>
      <c r="D54" s="297"/>
      <c r="E54" s="186" t="s">
        <v>55</v>
      </c>
      <c r="F54" s="186" t="s">
        <v>764</v>
      </c>
      <c r="G54" s="186" t="s">
        <v>683</v>
      </c>
      <c r="H54" s="186" t="s">
        <v>682</v>
      </c>
      <c r="I54" s="186"/>
      <c r="J54" s="186"/>
      <c r="K54" s="186" t="s">
        <v>682</v>
      </c>
      <c r="L54" s="123" t="s">
        <v>2643</v>
      </c>
      <c r="M54" s="186" t="s">
        <v>765</v>
      </c>
      <c r="N54" s="186" t="s">
        <v>2681</v>
      </c>
      <c r="O54" s="186" t="s">
        <v>2681</v>
      </c>
      <c r="P54" s="123"/>
      <c r="Q54" s="186"/>
      <c r="R54" s="186"/>
      <c r="S54" s="186">
        <v>0</v>
      </c>
      <c r="T54" s="186" t="s">
        <v>2689</v>
      </c>
      <c r="U54" s="186"/>
      <c r="V54" s="186"/>
      <c r="W54" s="186"/>
      <c r="X54">
        <v>44</v>
      </c>
      <c r="Z54" t="s">
        <v>2645</v>
      </c>
      <c r="AA54" s="30">
        <v>43538</v>
      </c>
      <c r="AB54" t="s">
        <v>2646</v>
      </c>
    </row>
    <row r="55" spans="1:28" ht="121.5" customHeight="1">
      <c r="A55" s="213"/>
      <c r="B55" s="213"/>
      <c r="C55" s="210"/>
      <c r="D55" s="297" t="s">
        <v>682</v>
      </c>
      <c r="E55" s="186" t="s">
        <v>59</v>
      </c>
      <c r="F55" s="186" t="s">
        <v>768</v>
      </c>
      <c r="G55" s="186" t="s">
        <v>683</v>
      </c>
      <c r="H55" s="186" t="s">
        <v>682</v>
      </c>
      <c r="I55" s="186"/>
      <c r="J55" s="186"/>
      <c r="K55" s="186" t="s">
        <v>682</v>
      </c>
      <c r="L55" s="123" t="s">
        <v>2643</v>
      </c>
      <c r="M55" s="186" t="s">
        <v>769</v>
      </c>
      <c r="N55" s="186" t="s">
        <v>2681</v>
      </c>
      <c r="O55" s="186" t="s">
        <v>2681</v>
      </c>
      <c r="P55" s="123"/>
      <c r="Q55" s="186"/>
      <c r="R55" s="186"/>
      <c r="S55" s="186">
        <v>0</v>
      </c>
      <c r="T55" s="186" t="s">
        <v>2689</v>
      </c>
      <c r="U55" s="186"/>
      <c r="V55" s="186"/>
      <c r="W55" s="186"/>
      <c r="X55">
        <v>46</v>
      </c>
      <c r="Z55" t="s">
        <v>2645</v>
      </c>
      <c r="AA55" s="30">
        <v>43538</v>
      </c>
      <c r="AB55" t="s">
        <v>2646</v>
      </c>
    </row>
    <row r="56" spans="1:28" ht="121.5" customHeight="1">
      <c r="A56" s="213"/>
      <c r="B56" s="213"/>
      <c r="C56" s="210"/>
      <c r="D56" s="297" t="s">
        <v>682</v>
      </c>
      <c r="E56" s="186" t="s">
        <v>59</v>
      </c>
      <c r="F56" s="186" t="s">
        <v>770</v>
      </c>
      <c r="G56" s="186" t="s">
        <v>683</v>
      </c>
      <c r="H56" s="186" t="s">
        <v>682</v>
      </c>
      <c r="I56" s="186"/>
      <c r="J56" s="186"/>
      <c r="K56" s="186" t="s">
        <v>682</v>
      </c>
      <c r="L56" s="123" t="s">
        <v>2643</v>
      </c>
      <c r="M56" s="186" t="s">
        <v>771</v>
      </c>
      <c r="N56" s="186" t="s">
        <v>2681</v>
      </c>
      <c r="O56" s="186" t="s">
        <v>2681</v>
      </c>
      <c r="P56" s="123"/>
      <c r="Q56" s="186"/>
      <c r="R56" s="186"/>
      <c r="S56" s="186">
        <v>0</v>
      </c>
      <c r="T56" s="186" t="s">
        <v>2689</v>
      </c>
      <c r="U56" s="186"/>
      <c r="V56" s="186"/>
      <c r="W56" s="186"/>
      <c r="X56">
        <v>47</v>
      </c>
      <c r="Z56" t="s">
        <v>2645</v>
      </c>
      <c r="AA56" s="30">
        <v>43538</v>
      </c>
      <c r="AB56" t="s">
        <v>2646</v>
      </c>
    </row>
    <row r="57" spans="1:28" ht="12.5" hidden="1">
      <c r="A57" s="213"/>
      <c r="B57" s="213"/>
      <c r="C57" s="210"/>
      <c r="D57" s="297"/>
      <c r="E57" s="186" t="s">
        <v>55</v>
      </c>
      <c r="F57" s="186" t="s">
        <v>2693</v>
      </c>
      <c r="G57" s="186" t="s">
        <v>683</v>
      </c>
      <c r="H57" s="186" t="s">
        <v>682</v>
      </c>
      <c r="I57" s="186"/>
      <c r="J57" s="186"/>
      <c r="K57" s="186" t="s">
        <v>680</v>
      </c>
      <c r="L57" s="186"/>
      <c r="M57" s="186"/>
      <c r="N57" s="186"/>
      <c r="O57" s="186"/>
      <c r="P57" s="186"/>
      <c r="Q57" s="186"/>
      <c r="R57" s="186"/>
      <c r="S57" s="186"/>
      <c r="T57" s="186" t="s">
        <v>2689</v>
      </c>
      <c r="U57" s="186"/>
      <c r="V57" s="186"/>
      <c r="W57" s="186"/>
    </row>
    <row r="58" spans="1:28" ht="121.5" customHeight="1">
      <c r="A58" s="213"/>
      <c r="B58" s="213"/>
      <c r="C58" s="210"/>
      <c r="D58" s="297" t="s">
        <v>682</v>
      </c>
      <c r="E58" s="186" t="s">
        <v>59</v>
      </c>
      <c r="F58" s="186" t="s">
        <v>772</v>
      </c>
      <c r="G58" s="186" t="s">
        <v>683</v>
      </c>
      <c r="H58" s="186" t="s">
        <v>682</v>
      </c>
      <c r="I58" s="186"/>
      <c r="J58" s="186"/>
      <c r="K58" s="186" t="s">
        <v>682</v>
      </c>
      <c r="L58" s="123" t="s">
        <v>2643</v>
      </c>
      <c r="M58" s="186" t="s">
        <v>773</v>
      </c>
      <c r="N58" s="186" t="s">
        <v>2681</v>
      </c>
      <c r="O58" s="186" t="s">
        <v>2681</v>
      </c>
      <c r="P58" s="123"/>
      <c r="Q58" s="186"/>
      <c r="R58" s="186"/>
      <c r="S58" s="186">
        <v>0</v>
      </c>
      <c r="T58" s="186" t="s">
        <v>2689</v>
      </c>
      <c r="U58" s="186"/>
      <c r="V58" s="186"/>
      <c r="W58" s="186"/>
      <c r="X58">
        <v>48</v>
      </c>
      <c r="Z58" t="s">
        <v>2645</v>
      </c>
      <c r="AA58" s="30">
        <v>43538</v>
      </c>
      <c r="AB58" t="s">
        <v>2646</v>
      </c>
    </row>
    <row r="59" spans="1:28" ht="121.5" customHeight="1">
      <c r="A59" s="213"/>
      <c r="B59" s="213"/>
      <c r="C59" s="210"/>
      <c r="D59" s="297"/>
      <c r="E59" s="186" t="s">
        <v>55</v>
      </c>
      <c r="F59" s="186" t="s">
        <v>786</v>
      </c>
      <c r="G59" s="186" t="s">
        <v>683</v>
      </c>
      <c r="H59" s="186" t="s">
        <v>682</v>
      </c>
      <c r="I59" s="186"/>
      <c r="J59" s="186"/>
      <c r="K59" s="186" t="s">
        <v>682</v>
      </c>
      <c r="L59" s="123" t="s">
        <v>2643</v>
      </c>
      <c r="M59" s="186" t="s">
        <v>787</v>
      </c>
      <c r="N59" s="186" t="s">
        <v>2681</v>
      </c>
      <c r="O59" s="186" t="s">
        <v>2681</v>
      </c>
      <c r="P59" s="123"/>
      <c r="Q59" s="186"/>
      <c r="R59" s="186"/>
      <c r="S59" s="186">
        <v>0</v>
      </c>
      <c r="T59" s="186" t="s">
        <v>2694</v>
      </c>
      <c r="U59" s="186"/>
      <c r="V59" s="186"/>
      <c r="W59" s="186"/>
      <c r="X59">
        <v>55</v>
      </c>
      <c r="Z59" t="s">
        <v>2645</v>
      </c>
      <c r="AA59" s="30">
        <v>43538</v>
      </c>
      <c r="AB59" t="s">
        <v>2646</v>
      </c>
    </row>
    <row r="60" spans="1:28" ht="121.5" customHeight="1">
      <c r="A60" s="213"/>
      <c r="B60" s="213"/>
      <c r="C60" s="210"/>
      <c r="D60" s="297" t="s">
        <v>682</v>
      </c>
      <c r="E60" s="186" t="s">
        <v>59</v>
      </c>
      <c r="F60" s="186" t="s">
        <v>812</v>
      </c>
      <c r="G60" s="186" t="s">
        <v>683</v>
      </c>
      <c r="H60" s="186" t="s">
        <v>682</v>
      </c>
      <c r="I60" s="186"/>
      <c r="J60" s="186"/>
      <c r="K60" s="186" t="s">
        <v>682</v>
      </c>
      <c r="L60" s="123" t="s">
        <v>2643</v>
      </c>
      <c r="M60" s="186" t="s">
        <v>813</v>
      </c>
      <c r="N60" s="186" t="s">
        <v>2681</v>
      </c>
      <c r="O60" s="186" t="s">
        <v>2681</v>
      </c>
      <c r="P60" s="123" t="s">
        <v>2695</v>
      </c>
      <c r="Q60" s="186"/>
      <c r="R60" s="186"/>
      <c r="S60" s="186">
        <v>0</v>
      </c>
      <c r="T60" s="186" t="s">
        <v>2694</v>
      </c>
      <c r="U60" s="186"/>
      <c r="V60" s="186"/>
      <c r="W60" s="186"/>
      <c r="X60">
        <v>68</v>
      </c>
      <c r="Z60" t="s">
        <v>2645</v>
      </c>
      <c r="AA60" s="30">
        <v>43538</v>
      </c>
      <c r="AB60" t="s">
        <v>2646</v>
      </c>
    </row>
    <row r="61" spans="1:28" ht="121.5" customHeight="1">
      <c r="A61" s="213"/>
      <c r="B61" s="213"/>
      <c r="C61" s="210"/>
      <c r="D61" s="297"/>
      <c r="E61" s="186" t="s">
        <v>59</v>
      </c>
      <c r="F61" s="186" t="s">
        <v>804</v>
      </c>
      <c r="G61" s="186" t="s">
        <v>683</v>
      </c>
      <c r="H61" s="186" t="s">
        <v>682</v>
      </c>
      <c r="I61" s="186"/>
      <c r="J61" s="186"/>
      <c r="K61" s="186" t="s">
        <v>682</v>
      </c>
      <c r="L61" s="123" t="s">
        <v>2643</v>
      </c>
      <c r="M61" s="186" t="s">
        <v>805</v>
      </c>
      <c r="N61" s="186" t="s">
        <v>2681</v>
      </c>
      <c r="O61" s="186" t="s">
        <v>2681</v>
      </c>
      <c r="P61" s="123"/>
      <c r="Q61" s="186"/>
      <c r="R61" s="186"/>
      <c r="S61" s="186">
        <v>0</v>
      </c>
      <c r="T61" s="186" t="s">
        <v>2694</v>
      </c>
      <c r="U61" s="186"/>
      <c r="V61" s="186"/>
      <c r="W61" s="186"/>
      <c r="X61">
        <v>64</v>
      </c>
      <c r="Z61" t="s">
        <v>2645</v>
      </c>
      <c r="AA61" s="30">
        <v>43538</v>
      </c>
      <c r="AB61" t="s">
        <v>2646</v>
      </c>
    </row>
    <row r="62" spans="1:28" ht="121.5" customHeight="1">
      <c r="A62" s="213"/>
      <c r="B62" s="213"/>
      <c r="C62" s="210"/>
      <c r="D62" s="297"/>
      <c r="E62" s="186" t="s">
        <v>55</v>
      </c>
      <c r="F62" s="186" t="s">
        <v>796</v>
      </c>
      <c r="G62" s="186" t="s">
        <v>683</v>
      </c>
      <c r="H62" s="186" t="s">
        <v>682</v>
      </c>
      <c r="I62" s="186"/>
      <c r="J62" s="186"/>
      <c r="K62" s="186" t="s">
        <v>682</v>
      </c>
      <c r="L62" s="123" t="s">
        <v>2643</v>
      </c>
      <c r="M62" s="186" t="s">
        <v>797</v>
      </c>
      <c r="N62" s="186" t="s">
        <v>2681</v>
      </c>
      <c r="O62" s="186" t="s">
        <v>2681</v>
      </c>
      <c r="P62" s="123"/>
      <c r="Q62" s="186"/>
      <c r="R62" s="186"/>
      <c r="S62" s="186">
        <v>0</v>
      </c>
      <c r="T62" s="186" t="s">
        <v>2694</v>
      </c>
      <c r="U62" s="186"/>
      <c r="V62" s="186"/>
      <c r="W62" s="186"/>
      <c r="X62">
        <v>60</v>
      </c>
      <c r="Z62" t="s">
        <v>2645</v>
      </c>
      <c r="AA62" s="30">
        <v>43538</v>
      </c>
      <c r="AB62" t="s">
        <v>2646</v>
      </c>
    </row>
    <row r="63" spans="1:28" ht="121.5" customHeight="1">
      <c r="A63" s="213"/>
      <c r="B63" s="213"/>
      <c r="C63" s="210"/>
      <c r="D63" s="297"/>
      <c r="E63" s="186" t="s">
        <v>55</v>
      </c>
      <c r="F63" s="186" t="s">
        <v>788</v>
      </c>
      <c r="G63" s="186" t="s">
        <v>683</v>
      </c>
      <c r="H63" s="186" t="s">
        <v>682</v>
      </c>
      <c r="I63" s="186"/>
      <c r="J63" s="186"/>
      <c r="K63" s="186" t="s">
        <v>682</v>
      </c>
      <c r="L63" s="123" t="s">
        <v>2643</v>
      </c>
      <c r="M63" s="186" t="s">
        <v>789</v>
      </c>
      <c r="N63" s="186" t="s">
        <v>2681</v>
      </c>
      <c r="O63" s="186" t="s">
        <v>2681</v>
      </c>
      <c r="P63" s="123"/>
      <c r="Q63" s="186"/>
      <c r="R63" s="186"/>
      <c r="S63" s="186">
        <v>0</v>
      </c>
      <c r="T63" s="186" t="s">
        <v>2694</v>
      </c>
      <c r="U63" s="186"/>
      <c r="V63" s="186"/>
      <c r="W63" s="186"/>
      <c r="X63">
        <v>56</v>
      </c>
      <c r="Z63" t="s">
        <v>2645</v>
      </c>
      <c r="AA63" s="30">
        <v>43538</v>
      </c>
      <c r="AB63" t="s">
        <v>2646</v>
      </c>
    </row>
    <row r="64" spans="1:28" ht="18.75" hidden="1" customHeight="1">
      <c r="A64" s="213"/>
      <c r="B64" s="213"/>
      <c r="C64" s="210"/>
      <c r="D64" s="297"/>
      <c r="E64" s="186" t="s">
        <v>55</v>
      </c>
      <c r="F64" s="186" t="s">
        <v>2696</v>
      </c>
      <c r="G64" s="186" t="s">
        <v>683</v>
      </c>
      <c r="H64" s="186" t="s">
        <v>682</v>
      </c>
      <c r="I64" s="186"/>
      <c r="J64" s="186"/>
      <c r="K64" s="186" t="s">
        <v>680</v>
      </c>
      <c r="L64" s="186"/>
      <c r="M64" s="186"/>
      <c r="N64" s="186"/>
      <c r="O64" s="186"/>
      <c r="P64" s="186"/>
      <c r="Q64" s="186"/>
      <c r="R64" s="186"/>
      <c r="S64" s="186"/>
      <c r="T64" s="186" t="s">
        <v>2694</v>
      </c>
      <c r="U64" s="186"/>
      <c r="V64" s="186"/>
      <c r="W64" s="186"/>
    </row>
    <row r="65" spans="1:28" ht="121.5" customHeight="1">
      <c r="A65" s="213"/>
      <c r="B65" s="213"/>
      <c r="C65" s="210"/>
      <c r="D65" s="297" t="s">
        <v>682</v>
      </c>
      <c r="E65" s="186" t="s">
        <v>59</v>
      </c>
      <c r="F65" s="186" t="s">
        <v>798</v>
      </c>
      <c r="G65" s="186" t="s">
        <v>683</v>
      </c>
      <c r="H65" s="186" t="s">
        <v>682</v>
      </c>
      <c r="I65" s="186"/>
      <c r="J65" s="186"/>
      <c r="K65" s="186" t="s">
        <v>682</v>
      </c>
      <c r="L65" s="123" t="s">
        <v>2643</v>
      </c>
      <c r="M65" s="186" t="s">
        <v>799</v>
      </c>
      <c r="N65" s="186" t="s">
        <v>2681</v>
      </c>
      <c r="O65" s="186" t="s">
        <v>2681</v>
      </c>
      <c r="P65" s="123"/>
      <c r="Q65" s="186"/>
      <c r="R65" s="186"/>
      <c r="S65" s="186">
        <v>0</v>
      </c>
      <c r="T65" s="186" t="s">
        <v>2694</v>
      </c>
      <c r="U65" s="186"/>
      <c r="V65" s="186"/>
      <c r="W65" s="186"/>
      <c r="X65">
        <v>61</v>
      </c>
      <c r="Z65" t="s">
        <v>2645</v>
      </c>
      <c r="AA65" s="30">
        <v>43538</v>
      </c>
      <c r="AB65" t="s">
        <v>2646</v>
      </c>
    </row>
    <row r="66" spans="1:28" ht="121.5" customHeight="1">
      <c r="A66" s="213"/>
      <c r="B66" s="213"/>
      <c r="C66" s="210"/>
      <c r="D66" s="297"/>
      <c r="E66" s="186" t="s">
        <v>55</v>
      </c>
      <c r="F66" s="186" t="s">
        <v>790</v>
      </c>
      <c r="G66" s="186" t="s">
        <v>683</v>
      </c>
      <c r="H66" s="186" t="s">
        <v>682</v>
      </c>
      <c r="I66" s="186"/>
      <c r="J66" s="186"/>
      <c r="K66" s="186" t="s">
        <v>682</v>
      </c>
      <c r="L66" s="123" t="s">
        <v>2643</v>
      </c>
      <c r="M66" s="186" t="s">
        <v>791</v>
      </c>
      <c r="N66" s="186" t="s">
        <v>2681</v>
      </c>
      <c r="O66" s="186" t="s">
        <v>2681</v>
      </c>
      <c r="P66" s="123"/>
      <c r="Q66" s="186"/>
      <c r="R66" s="186"/>
      <c r="S66" s="186">
        <v>0</v>
      </c>
      <c r="T66" s="186" t="s">
        <v>2694</v>
      </c>
      <c r="U66" s="186"/>
      <c r="V66" s="186"/>
      <c r="W66" s="186"/>
      <c r="X66">
        <v>57</v>
      </c>
      <c r="Z66" t="s">
        <v>2645</v>
      </c>
      <c r="AA66" s="30">
        <v>43538</v>
      </c>
      <c r="AB66" t="s">
        <v>2646</v>
      </c>
    </row>
    <row r="67" spans="1:28" ht="121.5" customHeight="1">
      <c r="A67" s="213"/>
      <c r="B67" s="213"/>
      <c r="C67" s="210"/>
      <c r="D67" s="297" t="s">
        <v>682</v>
      </c>
      <c r="E67" s="186" t="s">
        <v>59</v>
      </c>
      <c r="F67" s="186" t="s">
        <v>800</v>
      </c>
      <c r="G67" s="186" t="s">
        <v>683</v>
      </c>
      <c r="H67" s="186" t="s">
        <v>682</v>
      </c>
      <c r="I67" s="186"/>
      <c r="J67" s="186"/>
      <c r="K67" s="186" t="s">
        <v>682</v>
      </c>
      <c r="L67" s="123" t="s">
        <v>2643</v>
      </c>
      <c r="M67" s="186" t="s">
        <v>801</v>
      </c>
      <c r="N67" s="186" t="s">
        <v>2681</v>
      </c>
      <c r="O67" s="186" t="s">
        <v>2681</v>
      </c>
      <c r="P67" s="123"/>
      <c r="Q67" s="186"/>
      <c r="R67" s="186"/>
      <c r="S67" s="186">
        <v>0</v>
      </c>
      <c r="T67" s="186" t="s">
        <v>2694</v>
      </c>
      <c r="U67" s="186"/>
      <c r="V67" s="186"/>
      <c r="W67" s="186"/>
      <c r="X67">
        <v>62</v>
      </c>
      <c r="Z67" t="s">
        <v>2645</v>
      </c>
      <c r="AA67" s="30">
        <v>43538</v>
      </c>
      <c r="AB67" t="s">
        <v>2646</v>
      </c>
    </row>
    <row r="68" spans="1:28" ht="121.5" customHeight="1">
      <c r="A68" s="213"/>
      <c r="B68" s="213"/>
      <c r="C68" s="210"/>
      <c r="D68" s="297" t="s">
        <v>682</v>
      </c>
      <c r="E68" s="186" t="s">
        <v>59</v>
      </c>
      <c r="F68" s="186" t="s">
        <v>802</v>
      </c>
      <c r="G68" s="186" t="s">
        <v>683</v>
      </c>
      <c r="H68" s="186" t="s">
        <v>682</v>
      </c>
      <c r="I68" s="186"/>
      <c r="J68" s="186"/>
      <c r="K68" s="186" t="s">
        <v>682</v>
      </c>
      <c r="L68" s="123" t="s">
        <v>2643</v>
      </c>
      <c r="M68" s="186" t="s">
        <v>803</v>
      </c>
      <c r="N68" s="186" t="s">
        <v>2681</v>
      </c>
      <c r="O68" s="186" t="s">
        <v>2681</v>
      </c>
      <c r="P68" s="123"/>
      <c r="Q68" s="186"/>
      <c r="R68" s="186"/>
      <c r="S68" s="186">
        <v>0</v>
      </c>
      <c r="T68" s="186" t="s">
        <v>2694</v>
      </c>
      <c r="U68" s="186"/>
      <c r="V68" s="186"/>
      <c r="W68" s="186"/>
      <c r="X68">
        <v>63</v>
      </c>
      <c r="Z68" t="s">
        <v>2645</v>
      </c>
      <c r="AA68" s="30">
        <v>43538</v>
      </c>
      <c r="AB68" t="s">
        <v>2646</v>
      </c>
    </row>
    <row r="69" spans="1:28" ht="121.5" customHeight="1">
      <c r="A69" s="213"/>
      <c r="B69" s="213"/>
      <c r="C69" s="210"/>
      <c r="D69" s="297"/>
      <c r="E69" s="186" t="s">
        <v>55</v>
      </c>
      <c r="F69" s="186" t="s">
        <v>792</v>
      </c>
      <c r="G69" s="186" t="s">
        <v>683</v>
      </c>
      <c r="H69" s="186" t="s">
        <v>682</v>
      </c>
      <c r="I69" s="186"/>
      <c r="J69" s="186"/>
      <c r="K69" s="186" t="s">
        <v>682</v>
      </c>
      <c r="L69" s="123" t="s">
        <v>2643</v>
      </c>
      <c r="M69" s="186" t="s">
        <v>793</v>
      </c>
      <c r="N69" s="186" t="s">
        <v>2681</v>
      </c>
      <c r="O69" s="186" t="s">
        <v>2681</v>
      </c>
      <c r="P69" s="123"/>
      <c r="Q69" s="186"/>
      <c r="R69" s="186"/>
      <c r="S69" s="186">
        <v>0</v>
      </c>
      <c r="T69" s="186" t="s">
        <v>2694</v>
      </c>
      <c r="U69" s="186"/>
      <c r="V69" s="186"/>
      <c r="W69" s="186"/>
      <c r="X69">
        <v>58</v>
      </c>
      <c r="Z69" t="s">
        <v>2645</v>
      </c>
      <c r="AA69" s="30">
        <v>43538</v>
      </c>
      <c r="AB69" t="s">
        <v>2646</v>
      </c>
    </row>
    <row r="70" spans="1:28" ht="121.5" customHeight="1">
      <c r="A70" s="213"/>
      <c r="B70" s="213"/>
      <c r="C70" s="210"/>
      <c r="D70" s="297"/>
      <c r="E70" s="186" t="s">
        <v>55</v>
      </c>
      <c r="F70" s="186" t="s">
        <v>794</v>
      </c>
      <c r="G70" s="186" t="s">
        <v>683</v>
      </c>
      <c r="H70" s="186" t="s">
        <v>682</v>
      </c>
      <c r="I70" s="186"/>
      <c r="J70" s="186"/>
      <c r="K70" s="186" t="s">
        <v>682</v>
      </c>
      <c r="L70" s="123" t="s">
        <v>2643</v>
      </c>
      <c r="M70" s="186" t="s">
        <v>795</v>
      </c>
      <c r="N70" s="186" t="s">
        <v>2681</v>
      </c>
      <c r="O70" s="186" t="s">
        <v>2681</v>
      </c>
      <c r="P70" s="123"/>
      <c r="Q70" s="186"/>
      <c r="R70" s="186"/>
      <c r="S70" s="186">
        <v>0</v>
      </c>
      <c r="T70" s="186" t="s">
        <v>2694</v>
      </c>
      <c r="U70" s="186"/>
      <c r="V70" s="186"/>
      <c r="W70" s="186"/>
      <c r="X70">
        <v>59</v>
      </c>
      <c r="Z70" t="s">
        <v>2645</v>
      </c>
      <c r="AA70" s="30">
        <v>43538</v>
      </c>
      <c r="AB70" t="s">
        <v>2646</v>
      </c>
    </row>
    <row r="71" spans="1:28" ht="121.5" customHeight="1">
      <c r="A71" s="213"/>
      <c r="B71" s="213"/>
      <c r="C71" s="210"/>
      <c r="D71" s="297" t="s">
        <v>682</v>
      </c>
      <c r="E71" s="186" t="s">
        <v>59</v>
      </c>
      <c r="F71" s="186" t="s">
        <v>806</v>
      </c>
      <c r="G71" s="186" t="s">
        <v>683</v>
      </c>
      <c r="H71" s="186" t="s">
        <v>682</v>
      </c>
      <c r="I71" s="186"/>
      <c r="J71" s="186"/>
      <c r="K71" s="186" t="s">
        <v>682</v>
      </c>
      <c r="L71" s="123" t="s">
        <v>2643</v>
      </c>
      <c r="M71" s="186" t="s">
        <v>807</v>
      </c>
      <c r="N71" s="186" t="s">
        <v>2681</v>
      </c>
      <c r="O71" s="186" t="s">
        <v>2681</v>
      </c>
      <c r="P71" s="123"/>
      <c r="Q71" s="186"/>
      <c r="R71" s="186"/>
      <c r="S71" s="186">
        <v>0</v>
      </c>
      <c r="T71" s="186" t="s">
        <v>2694</v>
      </c>
      <c r="U71" s="186"/>
      <c r="V71" s="186"/>
      <c r="W71" s="186"/>
      <c r="X71">
        <v>65</v>
      </c>
      <c r="Z71" t="s">
        <v>2645</v>
      </c>
      <c r="AA71" s="30">
        <v>43538</v>
      </c>
      <c r="AB71" t="s">
        <v>2646</v>
      </c>
    </row>
    <row r="72" spans="1:28" ht="121.5" customHeight="1">
      <c r="A72" s="213"/>
      <c r="B72" s="213"/>
      <c r="C72" s="210"/>
      <c r="D72" s="297" t="s">
        <v>682</v>
      </c>
      <c r="E72" s="186" t="s">
        <v>59</v>
      </c>
      <c r="F72" s="186" t="s">
        <v>808</v>
      </c>
      <c r="G72" s="186" t="s">
        <v>683</v>
      </c>
      <c r="H72" s="186" t="s">
        <v>682</v>
      </c>
      <c r="I72" s="186"/>
      <c r="J72" s="186"/>
      <c r="K72" s="186" t="s">
        <v>682</v>
      </c>
      <c r="L72" s="123" t="s">
        <v>2643</v>
      </c>
      <c r="M72" s="186" t="s">
        <v>809</v>
      </c>
      <c r="N72" s="186" t="s">
        <v>2681</v>
      </c>
      <c r="O72" s="186" t="s">
        <v>2681</v>
      </c>
      <c r="P72" s="123"/>
      <c r="Q72" s="186"/>
      <c r="R72" s="186"/>
      <c r="S72" s="186">
        <v>0</v>
      </c>
      <c r="T72" s="186" t="s">
        <v>2694</v>
      </c>
      <c r="U72" s="186"/>
      <c r="V72" s="186"/>
      <c r="W72" s="186"/>
      <c r="X72">
        <v>66</v>
      </c>
      <c r="Z72" t="s">
        <v>2645</v>
      </c>
      <c r="AA72" s="30">
        <v>43538</v>
      </c>
      <c r="AB72" t="s">
        <v>2646</v>
      </c>
    </row>
    <row r="73" spans="1:28" ht="18.75" hidden="1" customHeight="1">
      <c r="A73" s="213"/>
      <c r="B73" s="213"/>
      <c r="C73" s="210"/>
      <c r="D73" s="297"/>
      <c r="E73" s="186" t="s">
        <v>55</v>
      </c>
      <c r="F73" s="186" t="s">
        <v>2697</v>
      </c>
      <c r="G73" s="186" t="s">
        <v>683</v>
      </c>
      <c r="H73" s="186" t="s">
        <v>682</v>
      </c>
      <c r="I73" s="186"/>
      <c r="J73" s="186"/>
      <c r="K73" s="186" t="s">
        <v>680</v>
      </c>
      <c r="L73" s="186"/>
      <c r="M73" s="186"/>
      <c r="N73" s="186"/>
      <c r="O73" s="186"/>
      <c r="P73" s="186"/>
      <c r="Q73" s="186"/>
      <c r="R73" s="186"/>
      <c r="S73" s="186"/>
      <c r="T73" s="186" t="s">
        <v>2694</v>
      </c>
      <c r="U73" s="186"/>
      <c r="V73" s="186"/>
      <c r="W73" s="186"/>
    </row>
    <row r="74" spans="1:28" ht="121.5" customHeight="1">
      <c r="A74" s="213"/>
      <c r="B74" s="213"/>
      <c r="C74" s="210"/>
      <c r="D74" s="297" t="s">
        <v>682</v>
      </c>
      <c r="E74" s="186" t="s">
        <v>59</v>
      </c>
      <c r="F74" s="186" t="s">
        <v>810</v>
      </c>
      <c r="G74" s="186" t="s">
        <v>683</v>
      </c>
      <c r="H74" s="186" t="s">
        <v>682</v>
      </c>
      <c r="I74" s="186"/>
      <c r="J74" s="186"/>
      <c r="K74" s="186" t="s">
        <v>682</v>
      </c>
      <c r="L74" s="123" t="s">
        <v>2643</v>
      </c>
      <c r="M74" s="186" t="s">
        <v>811</v>
      </c>
      <c r="N74" s="186" t="s">
        <v>2681</v>
      </c>
      <c r="O74" s="186" t="s">
        <v>2681</v>
      </c>
      <c r="P74" s="123"/>
      <c r="Q74" s="186"/>
      <c r="R74" s="186"/>
      <c r="S74" s="186">
        <v>0</v>
      </c>
      <c r="T74" s="186" t="s">
        <v>2694</v>
      </c>
      <c r="U74" s="186"/>
      <c r="V74" s="186"/>
      <c r="W74" s="186"/>
      <c r="X74">
        <v>67</v>
      </c>
      <c r="Z74" t="s">
        <v>2645</v>
      </c>
      <c r="AA74" s="30">
        <v>43538</v>
      </c>
      <c r="AB74" t="s">
        <v>2646</v>
      </c>
    </row>
    <row r="75" spans="1:28" ht="121.5" customHeight="1">
      <c r="A75" s="213"/>
      <c r="B75" s="213"/>
      <c r="C75" s="210"/>
      <c r="D75" s="297"/>
      <c r="E75" s="186" t="s">
        <v>55</v>
      </c>
      <c r="F75" s="186" t="s">
        <v>818</v>
      </c>
      <c r="G75" s="186" t="s">
        <v>683</v>
      </c>
      <c r="H75" s="186" t="s">
        <v>682</v>
      </c>
      <c r="I75" s="186"/>
      <c r="J75" s="186"/>
      <c r="K75" s="186" t="s">
        <v>682</v>
      </c>
      <c r="L75" s="123" t="s">
        <v>2643</v>
      </c>
      <c r="M75" s="186" t="s">
        <v>819</v>
      </c>
      <c r="N75" s="186" t="s">
        <v>2681</v>
      </c>
      <c r="O75" s="186" t="s">
        <v>2681</v>
      </c>
      <c r="P75" s="123"/>
      <c r="Q75" s="186"/>
      <c r="R75" s="186"/>
      <c r="S75" s="186">
        <v>0</v>
      </c>
      <c r="T75" s="186" t="s">
        <v>2698</v>
      </c>
      <c r="U75" s="186"/>
      <c r="V75" s="186"/>
      <c r="W75" s="186"/>
      <c r="X75">
        <v>71</v>
      </c>
      <c r="Z75" t="s">
        <v>2645</v>
      </c>
      <c r="AA75" s="30">
        <v>43538</v>
      </c>
      <c r="AB75" t="s">
        <v>2646</v>
      </c>
    </row>
    <row r="76" spans="1:28" ht="121.5" customHeight="1">
      <c r="A76" s="213"/>
      <c r="B76" s="213"/>
      <c r="C76" s="210"/>
      <c r="D76" s="297"/>
      <c r="E76" s="186" t="s">
        <v>55</v>
      </c>
      <c r="F76" s="186" t="s">
        <v>820</v>
      </c>
      <c r="G76" s="186" t="s">
        <v>683</v>
      </c>
      <c r="H76" s="186" t="s">
        <v>682</v>
      </c>
      <c r="I76" s="186"/>
      <c r="J76" s="186"/>
      <c r="K76" s="186" t="s">
        <v>682</v>
      </c>
      <c r="L76" s="123" t="s">
        <v>2643</v>
      </c>
      <c r="M76" s="186" t="s">
        <v>821</v>
      </c>
      <c r="N76" s="186" t="s">
        <v>2681</v>
      </c>
      <c r="O76" s="186" t="s">
        <v>2681</v>
      </c>
      <c r="P76" s="123"/>
      <c r="Q76" s="186"/>
      <c r="R76" s="186"/>
      <c r="S76" s="186">
        <v>0</v>
      </c>
      <c r="T76" s="186" t="s">
        <v>2699</v>
      </c>
      <c r="U76" s="186"/>
      <c r="V76" s="186"/>
      <c r="W76" s="186"/>
      <c r="X76">
        <v>72</v>
      </c>
      <c r="Z76" t="s">
        <v>2645</v>
      </c>
      <c r="AA76" s="30">
        <v>43538</v>
      </c>
      <c r="AB76" t="s">
        <v>2646</v>
      </c>
    </row>
    <row r="77" spans="1:28" ht="121.5" customHeight="1">
      <c r="A77" s="213"/>
      <c r="B77" s="213"/>
      <c r="C77" s="210"/>
      <c r="D77" s="297" t="s">
        <v>682</v>
      </c>
      <c r="E77" s="186" t="s">
        <v>59</v>
      </c>
      <c r="F77" s="186" t="s">
        <v>846</v>
      </c>
      <c r="G77" s="186" t="s">
        <v>683</v>
      </c>
      <c r="H77" s="186" t="s">
        <v>682</v>
      </c>
      <c r="I77" s="186"/>
      <c r="J77" s="186"/>
      <c r="K77" s="186" t="s">
        <v>682</v>
      </c>
      <c r="L77" s="123" t="s">
        <v>2643</v>
      </c>
      <c r="M77" s="186" t="s">
        <v>847</v>
      </c>
      <c r="N77" s="186" t="s">
        <v>2681</v>
      </c>
      <c r="O77" s="186" t="s">
        <v>2681</v>
      </c>
      <c r="P77" s="123"/>
      <c r="Q77" s="186"/>
      <c r="R77" s="186"/>
      <c r="S77" s="186">
        <v>0</v>
      </c>
      <c r="T77" s="186" t="s">
        <v>2699</v>
      </c>
      <c r="U77" s="186"/>
      <c r="V77" s="186"/>
      <c r="W77" s="186"/>
      <c r="X77">
        <v>85</v>
      </c>
      <c r="Z77" t="s">
        <v>2645</v>
      </c>
      <c r="AA77" s="30">
        <v>43538</v>
      </c>
      <c r="AB77" t="s">
        <v>2646</v>
      </c>
    </row>
    <row r="78" spans="1:28" ht="121.5" customHeight="1">
      <c r="A78" s="213"/>
      <c r="B78" s="213"/>
      <c r="C78" s="210"/>
      <c r="D78" s="297"/>
      <c r="E78" s="186" t="s">
        <v>59</v>
      </c>
      <c r="F78" s="186" t="s">
        <v>838</v>
      </c>
      <c r="G78" s="186" t="s">
        <v>683</v>
      </c>
      <c r="H78" s="186" t="s">
        <v>682</v>
      </c>
      <c r="I78" s="186"/>
      <c r="J78" s="186"/>
      <c r="K78" s="186" t="s">
        <v>682</v>
      </c>
      <c r="L78" s="123" t="s">
        <v>2643</v>
      </c>
      <c r="M78" s="186" t="s">
        <v>839</v>
      </c>
      <c r="N78" s="186" t="s">
        <v>2681</v>
      </c>
      <c r="O78" s="186" t="s">
        <v>2681</v>
      </c>
      <c r="P78" s="123"/>
      <c r="Q78" s="186"/>
      <c r="R78" s="186"/>
      <c r="S78" s="186">
        <v>0</v>
      </c>
      <c r="T78" s="186" t="s">
        <v>2699</v>
      </c>
      <c r="U78" s="186"/>
      <c r="V78" s="186"/>
      <c r="W78" s="186"/>
      <c r="X78">
        <v>81</v>
      </c>
      <c r="Z78" t="s">
        <v>2645</v>
      </c>
      <c r="AA78" s="30">
        <v>43538</v>
      </c>
      <c r="AB78" t="s">
        <v>2646</v>
      </c>
    </row>
    <row r="79" spans="1:28" ht="121.5" customHeight="1">
      <c r="A79" s="213"/>
      <c r="B79" s="213"/>
      <c r="C79" s="210"/>
      <c r="D79" s="297"/>
      <c r="E79" s="186" t="s">
        <v>55</v>
      </c>
      <c r="F79" s="186" t="s">
        <v>830</v>
      </c>
      <c r="G79" s="186" t="s">
        <v>683</v>
      </c>
      <c r="H79" s="186" t="s">
        <v>682</v>
      </c>
      <c r="I79" s="186"/>
      <c r="J79" s="186"/>
      <c r="K79" s="186" t="s">
        <v>682</v>
      </c>
      <c r="L79" s="123" t="s">
        <v>2643</v>
      </c>
      <c r="M79" s="186" t="s">
        <v>831</v>
      </c>
      <c r="N79" s="186" t="s">
        <v>2681</v>
      </c>
      <c r="O79" s="186" t="s">
        <v>2681</v>
      </c>
      <c r="P79" s="123"/>
      <c r="Q79" s="186"/>
      <c r="R79" s="186"/>
      <c r="S79" s="186">
        <v>0</v>
      </c>
      <c r="T79" s="186" t="s">
        <v>2699</v>
      </c>
      <c r="U79" s="186"/>
      <c r="V79" s="186"/>
      <c r="W79" s="186"/>
      <c r="X79">
        <v>77</v>
      </c>
      <c r="Z79" t="s">
        <v>2645</v>
      </c>
      <c r="AA79" s="30">
        <v>43538</v>
      </c>
      <c r="AB79" t="s">
        <v>2646</v>
      </c>
    </row>
    <row r="80" spans="1:28" ht="121.5" customHeight="1">
      <c r="A80" s="213"/>
      <c r="B80" s="213"/>
      <c r="C80" s="210"/>
      <c r="D80" s="297"/>
      <c r="E80" s="186" t="s">
        <v>55</v>
      </c>
      <c r="F80" s="186" t="s">
        <v>822</v>
      </c>
      <c r="G80" s="186" t="s">
        <v>683</v>
      </c>
      <c r="H80" s="186" t="s">
        <v>682</v>
      </c>
      <c r="I80" s="186"/>
      <c r="J80" s="186"/>
      <c r="K80" s="186" t="s">
        <v>682</v>
      </c>
      <c r="L80" s="123" t="s">
        <v>2643</v>
      </c>
      <c r="M80" s="186" t="s">
        <v>823</v>
      </c>
      <c r="N80" s="186" t="s">
        <v>2681</v>
      </c>
      <c r="O80" s="186" t="s">
        <v>2681</v>
      </c>
      <c r="P80" s="123"/>
      <c r="Q80" s="186"/>
      <c r="R80" s="186"/>
      <c r="S80" s="186">
        <v>0</v>
      </c>
      <c r="T80" s="186" t="s">
        <v>2699</v>
      </c>
      <c r="U80" s="186"/>
      <c r="V80" s="186"/>
      <c r="W80" s="186"/>
      <c r="X80">
        <v>73</v>
      </c>
      <c r="Z80" t="s">
        <v>2645</v>
      </c>
      <c r="AA80" s="30">
        <v>43538</v>
      </c>
      <c r="AB80" t="s">
        <v>2646</v>
      </c>
    </row>
    <row r="81" spans="1:28" ht="18.75" hidden="1" customHeight="1">
      <c r="A81" s="213"/>
      <c r="B81" s="213"/>
      <c r="C81" s="210"/>
      <c r="D81" s="297"/>
      <c r="E81" s="186" t="s">
        <v>55</v>
      </c>
      <c r="F81" s="186" t="s">
        <v>2700</v>
      </c>
      <c r="G81" s="186" t="s">
        <v>683</v>
      </c>
      <c r="H81" s="186" t="s">
        <v>682</v>
      </c>
      <c r="I81" s="186"/>
      <c r="J81" s="186"/>
      <c r="K81" s="186" t="s">
        <v>680</v>
      </c>
      <c r="L81" s="186"/>
      <c r="M81" s="186"/>
      <c r="N81" s="186"/>
      <c r="O81" s="186"/>
      <c r="P81" s="186"/>
      <c r="Q81" s="186"/>
      <c r="R81" s="186"/>
      <c r="S81" s="186"/>
      <c r="T81" s="186" t="s">
        <v>2699</v>
      </c>
      <c r="U81" s="186"/>
      <c r="V81" s="186"/>
      <c r="W81" s="186"/>
    </row>
    <row r="82" spans="1:28" ht="121.5" customHeight="1">
      <c r="A82" s="213"/>
      <c r="B82" s="213"/>
      <c r="C82" s="210"/>
      <c r="D82" s="297" t="s">
        <v>682</v>
      </c>
      <c r="E82" s="186" t="s">
        <v>59</v>
      </c>
      <c r="F82" s="186" t="s">
        <v>832</v>
      </c>
      <c r="G82" s="186" t="s">
        <v>683</v>
      </c>
      <c r="H82" s="186" t="s">
        <v>682</v>
      </c>
      <c r="I82" s="186"/>
      <c r="J82" s="186"/>
      <c r="K82" s="186" t="s">
        <v>682</v>
      </c>
      <c r="L82" s="123" t="s">
        <v>2643</v>
      </c>
      <c r="M82" s="186" t="s">
        <v>833</v>
      </c>
      <c r="N82" s="186" t="s">
        <v>2681</v>
      </c>
      <c r="O82" s="186" t="s">
        <v>2681</v>
      </c>
      <c r="P82" s="123"/>
      <c r="Q82" s="186"/>
      <c r="R82" s="186"/>
      <c r="S82" s="186">
        <v>0</v>
      </c>
      <c r="T82" s="186" t="s">
        <v>2699</v>
      </c>
      <c r="U82" s="186"/>
      <c r="V82" s="186"/>
      <c r="W82" s="186"/>
      <c r="X82">
        <v>78</v>
      </c>
      <c r="Z82" t="s">
        <v>2645</v>
      </c>
      <c r="AA82" s="30">
        <v>43538</v>
      </c>
      <c r="AB82" t="s">
        <v>2646</v>
      </c>
    </row>
    <row r="83" spans="1:28" ht="121.5" customHeight="1">
      <c r="A83" s="213"/>
      <c r="B83" s="213"/>
      <c r="C83" s="210"/>
      <c r="D83" s="297"/>
      <c r="E83" s="186" t="s">
        <v>55</v>
      </c>
      <c r="F83" s="186" t="s">
        <v>824</v>
      </c>
      <c r="G83" s="186" t="s">
        <v>683</v>
      </c>
      <c r="H83" s="186" t="s">
        <v>682</v>
      </c>
      <c r="I83" s="186"/>
      <c r="J83" s="186"/>
      <c r="K83" s="186" t="s">
        <v>682</v>
      </c>
      <c r="L83" s="123" t="s">
        <v>2643</v>
      </c>
      <c r="M83" s="186" t="s">
        <v>825</v>
      </c>
      <c r="N83" s="186" t="s">
        <v>2681</v>
      </c>
      <c r="O83" s="186" t="s">
        <v>2681</v>
      </c>
      <c r="P83" s="123"/>
      <c r="Q83" s="186"/>
      <c r="R83" s="186"/>
      <c r="S83" s="186">
        <v>0</v>
      </c>
      <c r="T83" s="186" t="s">
        <v>2699</v>
      </c>
      <c r="U83" s="186"/>
      <c r="V83" s="186"/>
      <c r="W83" s="186"/>
      <c r="X83">
        <v>74</v>
      </c>
      <c r="Z83" t="s">
        <v>2645</v>
      </c>
      <c r="AA83" s="30">
        <v>43538</v>
      </c>
      <c r="AB83" t="s">
        <v>2646</v>
      </c>
    </row>
    <row r="84" spans="1:28" ht="121.5" customHeight="1">
      <c r="A84" s="213"/>
      <c r="B84" s="213"/>
      <c r="C84" s="210"/>
      <c r="D84" s="297" t="s">
        <v>682</v>
      </c>
      <c r="E84" s="186" t="s">
        <v>59</v>
      </c>
      <c r="F84" s="186" t="s">
        <v>834</v>
      </c>
      <c r="G84" s="186" t="s">
        <v>683</v>
      </c>
      <c r="H84" s="186" t="s">
        <v>682</v>
      </c>
      <c r="I84" s="186"/>
      <c r="J84" s="186"/>
      <c r="K84" s="186" t="s">
        <v>682</v>
      </c>
      <c r="L84" s="123" t="s">
        <v>2643</v>
      </c>
      <c r="M84" s="186" t="s">
        <v>835</v>
      </c>
      <c r="N84" s="186" t="s">
        <v>2681</v>
      </c>
      <c r="O84" s="186" t="s">
        <v>2681</v>
      </c>
      <c r="P84" s="123"/>
      <c r="Q84" s="186"/>
      <c r="R84" s="186"/>
      <c r="S84" s="186">
        <v>0</v>
      </c>
      <c r="T84" s="186" t="s">
        <v>2699</v>
      </c>
      <c r="U84" s="186"/>
      <c r="V84" s="186"/>
      <c r="W84" s="186"/>
      <c r="X84">
        <v>79</v>
      </c>
      <c r="Z84" t="s">
        <v>2645</v>
      </c>
      <c r="AA84" s="30">
        <v>43538</v>
      </c>
      <c r="AB84" t="s">
        <v>2646</v>
      </c>
    </row>
    <row r="85" spans="1:28" ht="121.5" customHeight="1">
      <c r="A85" s="213"/>
      <c r="B85" s="213"/>
      <c r="C85" s="210"/>
      <c r="D85" s="297" t="s">
        <v>682</v>
      </c>
      <c r="E85" s="186" t="s">
        <v>59</v>
      </c>
      <c r="F85" s="186" t="s">
        <v>836</v>
      </c>
      <c r="G85" s="186" t="s">
        <v>683</v>
      </c>
      <c r="H85" s="186" t="s">
        <v>682</v>
      </c>
      <c r="I85" s="186"/>
      <c r="J85" s="186"/>
      <c r="K85" s="186" t="s">
        <v>682</v>
      </c>
      <c r="L85" s="123" t="s">
        <v>2643</v>
      </c>
      <c r="M85" s="186" t="s">
        <v>837</v>
      </c>
      <c r="N85" s="186" t="s">
        <v>2681</v>
      </c>
      <c r="O85" s="186" t="s">
        <v>2681</v>
      </c>
      <c r="P85" s="123"/>
      <c r="Q85" s="186"/>
      <c r="R85" s="186"/>
      <c r="S85" s="186">
        <v>0</v>
      </c>
      <c r="T85" s="186" t="s">
        <v>2699</v>
      </c>
      <c r="U85" s="186"/>
      <c r="V85" s="186"/>
      <c r="W85" s="186"/>
      <c r="X85">
        <v>80</v>
      </c>
      <c r="Z85" t="s">
        <v>2645</v>
      </c>
      <c r="AA85" s="30">
        <v>43538</v>
      </c>
      <c r="AB85" t="s">
        <v>2646</v>
      </c>
    </row>
    <row r="86" spans="1:28" ht="121.5" customHeight="1">
      <c r="A86" s="213"/>
      <c r="B86" s="213"/>
      <c r="C86" s="210"/>
      <c r="D86" s="297"/>
      <c r="E86" s="186" t="s">
        <v>55</v>
      </c>
      <c r="F86" s="186" t="s">
        <v>826</v>
      </c>
      <c r="G86" s="186" t="s">
        <v>683</v>
      </c>
      <c r="H86" s="186" t="s">
        <v>682</v>
      </c>
      <c r="I86" s="186"/>
      <c r="J86" s="186"/>
      <c r="K86" s="186" t="s">
        <v>682</v>
      </c>
      <c r="L86" s="123" t="s">
        <v>2643</v>
      </c>
      <c r="M86" s="186" t="s">
        <v>827</v>
      </c>
      <c r="N86" s="186" t="s">
        <v>2681</v>
      </c>
      <c r="O86" s="186" t="s">
        <v>2681</v>
      </c>
      <c r="P86" s="123"/>
      <c r="Q86" s="186"/>
      <c r="R86" s="186"/>
      <c r="S86" s="186">
        <v>0</v>
      </c>
      <c r="T86" s="186" t="s">
        <v>2699</v>
      </c>
      <c r="U86" s="186"/>
      <c r="V86" s="186"/>
      <c r="W86" s="186"/>
      <c r="X86">
        <v>75</v>
      </c>
      <c r="Z86" t="s">
        <v>2645</v>
      </c>
      <c r="AA86" s="30">
        <v>43538</v>
      </c>
      <c r="AB86" t="s">
        <v>2646</v>
      </c>
    </row>
    <row r="87" spans="1:28" ht="121.5" customHeight="1">
      <c r="A87" s="213"/>
      <c r="B87" s="213"/>
      <c r="C87" s="210"/>
      <c r="D87" s="297"/>
      <c r="E87" s="186" t="s">
        <v>55</v>
      </c>
      <c r="F87" s="186" t="s">
        <v>828</v>
      </c>
      <c r="G87" s="186" t="s">
        <v>683</v>
      </c>
      <c r="H87" s="186" t="s">
        <v>682</v>
      </c>
      <c r="I87" s="186"/>
      <c r="J87" s="186"/>
      <c r="K87" s="186" t="s">
        <v>682</v>
      </c>
      <c r="L87" s="123" t="s">
        <v>2643</v>
      </c>
      <c r="M87" s="186" t="s">
        <v>829</v>
      </c>
      <c r="N87" s="186" t="s">
        <v>2681</v>
      </c>
      <c r="O87" s="186" t="s">
        <v>2681</v>
      </c>
      <c r="P87" s="123"/>
      <c r="Q87" s="186"/>
      <c r="R87" s="186"/>
      <c r="S87" s="186">
        <v>0</v>
      </c>
      <c r="T87" s="186" t="s">
        <v>2699</v>
      </c>
      <c r="U87" s="186"/>
      <c r="V87" s="186"/>
      <c r="W87" s="186"/>
      <c r="X87">
        <v>76</v>
      </c>
      <c r="Z87" t="s">
        <v>2645</v>
      </c>
      <c r="AA87" s="30">
        <v>43538</v>
      </c>
      <c r="AB87" t="s">
        <v>2646</v>
      </c>
    </row>
    <row r="88" spans="1:28" ht="121.5" customHeight="1">
      <c r="A88" s="213"/>
      <c r="B88" s="213"/>
      <c r="C88" s="210"/>
      <c r="D88" s="297" t="s">
        <v>682</v>
      </c>
      <c r="E88" s="186" t="s">
        <v>59</v>
      </c>
      <c r="F88" s="186" t="s">
        <v>840</v>
      </c>
      <c r="G88" s="186" t="s">
        <v>683</v>
      </c>
      <c r="H88" s="186" t="s">
        <v>682</v>
      </c>
      <c r="I88" s="186"/>
      <c r="J88" s="186"/>
      <c r="K88" s="186" t="s">
        <v>682</v>
      </c>
      <c r="L88" s="123" t="s">
        <v>2643</v>
      </c>
      <c r="M88" s="186" t="s">
        <v>841</v>
      </c>
      <c r="N88" s="186" t="s">
        <v>2681</v>
      </c>
      <c r="O88" s="186" t="s">
        <v>2681</v>
      </c>
      <c r="P88" s="123"/>
      <c r="Q88" s="186"/>
      <c r="R88" s="186"/>
      <c r="S88" s="186">
        <v>0</v>
      </c>
      <c r="T88" s="186" t="s">
        <v>2699</v>
      </c>
      <c r="U88" s="186"/>
      <c r="V88" s="186"/>
      <c r="W88" s="186"/>
      <c r="X88">
        <v>82</v>
      </c>
      <c r="Z88" t="s">
        <v>2645</v>
      </c>
      <c r="AA88" s="30">
        <v>43538</v>
      </c>
      <c r="AB88" t="s">
        <v>2646</v>
      </c>
    </row>
    <row r="89" spans="1:28" ht="121.5" customHeight="1">
      <c r="A89" s="213"/>
      <c r="B89" s="213"/>
      <c r="C89" s="210"/>
      <c r="D89" s="297" t="s">
        <v>682</v>
      </c>
      <c r="E89" s="186" t="s">
        <v>59</v>
      </c>
      <c r="F89" s="186" t="s">
        <v>842</v>
      </c>
      <c r="G89" s="186" t="s">
        <v>683</v>
      </c>
      <c r="H89" s="186" t="s">
        <v>682</v>
      </c>
      <c r="I89" s="186"/>
      <c r="J89" s="186"/>
      <c r="K89" s="186" t="s">
        <v>682</v>
      </c>
      <c r="L89" s="123" t="s">
        <v>2643</v>
      </c>
      <c r="M89" s="186" t="s">
        <v>843</v>
      </c>
      <c r="N89" s="186" t="s">
        <v>2681</v>
      </c>
      <c r="O89" s="186" t="s">
        <v>2681</v>
      </c>
      <c r="P89" s="123"/>
      <c r="Q89" s="186"/>
      <c r="R89" s="186"/>
      <c r="S89" s="186">
        <v>0</v>
      </c>
      <c r="T89" s="186" t="s">
        <v>2699</v>
      </c>
      <c r="U89" s="186"/>
      <c r="V89" s="186"/>
      <c r="W89" s="186"/>
      <c r="X89">
        <v>83</v>
      </c>
      <c r="Z89" t="s">
        <v>2645</v>
      </c>
      <c r="AA89" s="30">
        <v>43538</v>
      </c>
      <c r="AB89" t="s">
        <v>2646</v>
      </c>
    </row>
    <row r="90" spans="1:28" ht="18.75" hidden="1" customHeight="1">
      <c r="A90" s="88"/>
      <c r="B90" s="88"/>
      <c r="C90" s="89"/>
      <c r="D90" s="93"/>
      <c r="E90" s="186" t="s">
        <v>55</v>
      </c>
      <c r="F90" s="186" t="s">
        <v>2701</v>
      </c>
      <c r="G90" s="186" t="s">
        <v>683</v>
      </c>
      <c r="H90" s="186" t="s">
        <v>682</v>
      </c>
      <c r="I90" s="186"/>
      <c r="J90" s="186"/>
      <c r="K90" s="186" t="s">
        <v>680</v>
      </c>
      <c r="L90" s="186"/>
      <c r="M90" s="186"/>
      <c r="N90" s="186"/>
      <c r="O90" s="186"/>
      <c r="P90" s="186"/>
      <c r="Q90" s="186"/>
      <c r="R90" s="186"/>
      <c r="S90" s="186"/>
      <c r="T90" s="186" t="s">
        <v>2699</v>
      </c>
      <c r="U90" s="186"/>
      <c r="V90" s="186"/>
      <c r="W90" s="186"/>
    </row>
    <row r="91" spans="1:28" ht="121.5" customHeight="1">
      <c r="A91" s="88"/>
      <c r="B91" s="88"/>
      <c r="C91" s="89"/>
      <c r="D91" s="93" t="s">
        <v>682</v>
      </c>
      <c r="E91" s="186" t="s">
        <v>59</v>
      </c>
      <c r="F91" s="186" t="s">
        <v>844</v>
      </c>
      <c r="G91" s="186" t="s">
        <v>683</v>
      </c>
      <c r="H91" s="186" t="s">
        <v>682</v>
      </c>
      <c r="I91" s="186"/>
      <c r="J91" s="186"/>
      <c r="K91" s="186" t="s">
        <v>682</v>
      </c>
      <c r="L91" s="123" t="s">
        <v>2643</v>
      </c>
      <c r="M91" s="186" t="s">
        <v>845</v>
      </c>
      <c r="N91" s="186" t="s">
        <v>2681</v>
      </c>
      <c r="O91" s="186" t="s">
        <v>2681</v>
      </c>
      <c r="P91" s="123"/>
      <c r="Q91" s="186"/>
      <c r="R91" s="186"/>
      <c r="S91" s="186">
        <v>0</v>
      </c>
      <c r="T91" s="186" t="s">
        <v>2699</v>
      </c>
      <c r="U91" s="186"/>
      <c r="V91" s="186"/>
      <c r="W91" s="186"/>
      <c r="X91">
        <v>84</v>
      </c>
      <c r="Z91" t="s">
        <v>2645</v>
      </c>
      <c r="AA91" s="30">
        <v>43538</v>
      </c>
      <c r="AB91" t="s">
        <v>2646</v>
      </c>
    </row>
    <row r="92" spans="1:28" ht="18.75" hidden="1" customHeight="1">
      <c r="A92" s="88"/>
      <c r="B92" s="88"/>
      <c r="C92" s="89"/>
      <c r="D92" s="93"/>
      <c r="E92" s="186" t="s">
        <v>55</v>
      </c>
      <c r="F92" s="186" t="s">
        <v>2702</v>
      </c>
      <c r="G92" s="186" t="s">
        <v>683</v>
      </c>
      <c r="H92" s="186" t="s">
        <v>682</v>
      </c>
      <c r="I92" s="186"/>
      <c r="J92" s="186"/>
      <c r="K92" s="186" t="s">
        <v>680</v>
      </c>
      <c r="L92" s="186"/>
      <c r="M92" s="186"/>
      <c r="N92" s="186"/>
      <c r="O92" s="186"/>
      <c r="P92" s="186"/>
      <c r="Q92" s="186"/>
      <c r="R92" s="186"/>
      <c r="S92" s="186"/>
      <c r="T92" s="186" t="s">
        <v>2703</v>
      </c>
      <c r="U92" s="186"/>
      <c r="V92" s="186"/>
      <c r="W92" s="186"/>
    </row>
    <row r="93" spans="1:28" ht="15.75" hidden="1" customHeight="1">
      <c r="A93" s="88"/>
      <c r="B93" s="88"/>
      <c r="C93" s="89"/>
      <c r="D93" s="93"/>
      <c r="E93" s="186" t="s">
        <v>55</v>
      </c>
      <c r="F93" s="186" t="s">
        <v>2704</v>
      </c>
      <c r="G93" s="186" t="s">
        <v>683</v>
      </c>
      <c r="H93" s="186" t="s">
        <v>682</v>
      </c>
      <c r="I93" s="186"/>
      <c r="J93" s="186"/>
      <c r="K93" s="186" t="s">
        <v>680</v>
      </c>
      <c r="L93" s="186"/>
      <c r="M93" s="186"/>
      <c r="N93" s="186"/>
      <c r="O93" s="186"/>
      <c r="P93" s="186"/>
      <c r="Q93" s="186"/>
      <c r="R93" s="186"/>
      <c r="S93" s="186"/>
      <c r="T93" s="186" t="s">
        <v>2705</v>
      </c>
      <c r="U93" s="186"/>
      <c r="V93" s="186"/>
      <c r="W93" s="186"/>
    </row>
    <row r="94" spans="1:28" ht="15.75" hidden="1" customHeight="1">
      <c r="A94" s="88"/>
      <c r="B94" s="88"/>
      <c r="C94" s="89"/>
      <c r="D94" s="93"/>
      <c r="E94" s="186" t="s">
        <v>55</v>
      </c>
      <c r="F94" s="186" t="s">
        <v>2706</v>
      </c>
      <c r="G94" s="186" t="s">
        <v>683</v>
      </c>
      <c r="H94" s="186" t="s">
        <v>682</v>
      </c>
      <c r="I94" s="186"/>
      <c r="J94" s="186"/>
      <c r="K94" s="186" t="s">
        <v>680</v>
      </c>
      <c r="L94" s="186"/>
      <c r="M94" s="186"/>
      <c r="N94" s="186"/>
      <c r="O94" s="186"/>
      <c r="P94" s="186"/>
      <c r="Q94" s="186"/>
      <c r="R94" s="186"/>
      <c r="S94" s="186"/>
      <c r="T94" s="186" t="s">
        <v>2707</v>
      </c>
      <c r="U94" s="186"/>
      <c r="V94" s="186"/>
      <c r="W94" s="186"/>
    </row>
    <row r="95" spans="1:28" ht="25.5" hidden="1" customHeight="1">
      <c r="A95" s="213"/>
      <c r="B95" s="213"/>
      <c r="C95" s="210"/>
      <c r="D95" s="297"/>
      <c r="E95" s="186" t="s">
        <v>55</v>
      </c>
      <c r="F95" s="186" t="s">
        <v>2708</v>
      </c>
      <c r="G95" s="186" t="s">
        <v>683</v>
      </c>
      <c r="H95" s="186" t="s">
        <v>682</v>
      </c>
      <c r="I95" s="186"/>
      <c r="J95" s="186"/>
      <c r="K95" s="186" t="s">
        <v>680</v>
      </c>
      <c r="L95" s="186"/>
      <c r="M95" s="186"/>
      <c r="N95" s="186"/>
      <c r="O95" s="186"/>
      <c r="P95" s="186"/>
      <c r="Q95" s="186"/>
      <c r="R95" s="186"/>
      <c r="S95" s="186"/>
      <c r="T95" s="186" t="s">
        <v>2709</v>
      </c>
      <c r="U95" s="186"/>
      <c r="V95" s="186"/>
      <c r="W95" s="186"/>
    </row>
    <row r="96" spans="1:28" ht="18.75" hidden="1" customHeight="1">
      <c r="A96" s="213"/>
      <c r="B96" s="213"/>
      <c r="C96" s="210"/>
      <c r="D96" s="297"/>
      <c r="E96" s="186" t="s">
        <v>55</v>
      </c>
      <c r="F96" s="186" t="s">
        <v>2710</v>
      </c>
      <c r="G96" s="186" t="s">
        <v>683</v>
      </c>
      <c r="H96" s="186" t="s">
        <v>682</v>
      </c>
      <c r="I96" s="186"/>
      <c r="J96" s="186"/>
      <c r="K96" s="186" t="s">
        <v>680</v>
      </c>
      <c r="L96" s="186"/>
      <c r="M96" s="186"/>
      <c r="N96" s="186"/>
      <c r="O96" s="186"/>
      <c r="P96" s="186"/>
      <c r="Q96" s="186"/>
      <c r="R96" s="186"/>
      <c r="S96" s="186"/>
      <c r="T96" s="186" t="s">
        <v>2711</v>
      </c>
      <c r="U96" s="186"/>
      <c r="V96" s="186"/>
      <c r="W96" s="186"/>
    </row>
    <row r="97" spans="1:28" ht="121.5" customHeight="1">
      <c r="A97" s="193"/>
      <c r="B97" s="193"/>
      <c r="C97" s="193"/>
      <c r="D97" s="193"/>
      <c r="E97" s="186" t="s">
        <v>55</v>
      </c>
      <c r="F97" s="186" t="s">
        <v>859</v>
      </c>
      <c r="G97" t="s">
        <v>2712</v>
      </c>
      <c r="K97" s="186" t="s">
        <v>682</v>
      </c>
      <c r="L97" s="123" t="s">
        <v>2643</v>
      </c>
      <c r="M97" s="186" t="s">
        <v>490</v>
      </c>
      <c r="N97" t="s">
        <v>2712</v>
      </c>
      <c r="O97" s="186"/>
      <c r="P97" s="34"/>
      <c r="Q97" s="56"/>
      <c r="R97" s="186"/>
      <c r="S97" s="186">
        <v>59302951</v>
      </c>
      <c r="X97">
        <v>90</v>
      </c>
      <c r="Z97" t="s">
        <v>2713</v>
      </c>
      <c r="AA97" s="30">
        <v>43550</v>
      </c>
      <c r="AB97" t="s">
        <v>2714</v>
      </c>
    </row>
    <row r="98" spans="1:28" ht="121.5" customHeight="1">
      <c r="A98" s="134"/>
      <c r="B98" s="134"/>
      <c r="C98" s="134"/>
      <c r="D98" s="298" t="s">
        <v>682</v>
      </c>
      <c r="E98" s="186" t="s">
        <v>55</v>
      </c>
      <c r="F98" s="186" t="s">
        <v>161</v>
      </c>
      <c r="G98" s="186" t="s">
        <v>681</v>
      </c>
      <c r="H98" s="186" t="s">
        <v>682</v>
      </c>
      <c r="I98" s="186"/>
      <c r="J98" s="186"/>
      <c r="K98" s="186" t="s">
        <v>682</v>
      </c>
      <c r="L98" s="123" t="s">
        <v>2643</v>
      </c>
      <c r="M98" s="186" t="s">
        <v>688</v>
      </c>
      <c r="N98" s="186" t="s">
        <v>1390</v>
      </c>
      <c r="O98" s="186" t="s">
        <v>1390</v>
      </c>
      <c r="P98" s="123"/>
      <c r="Q98" s="186"/>
      <c r="R98" s="186"/>
      <c r="S98" s="186" t="s">
        <v>2715</v>
      </c>
      <c r="T98" s="186" t="s">
        <v>2716</v>
      </c>
      <c r="U98" s="186"/>
      <c r="V98" s="186"/>
      <c r="W98" s="186"/>
      <c r="X98" s="129">
        <v>5</v>
      </c>
      <c r="Y98" s="129"/>
      <c r="Z98" s="129" t="s">
        <v>2645</v>
      </c>
      <c r="AA98" s="94">
        <v>43538</v>
      </c>
      <c r="AB98" s="129" t="s">
        <v>2646</v>
      </c>
    </row>
    <row r="99" spans="1:28" ht="121.5" customHeight="1">
      <c r="A99" s="134"/>
      <c r="B99" s="134"/>
      <c r="C99" s="134"/>
      <c r="D99" s="298" t="s">
        <v>682</v>
      </c>
      <c r="E99" s="186" t="s">
        <v>55</v>
      </c>
      <c r="F99" s="186" t="s">
        <v>162</v>
      </c>
      <c r="G99" s="186" t="s">
        <v>685</v>
      </c>
      <c r="H99" s="186" t="s">
        <v>682</v>
      </c>
      <c r="I99" s="186"/>
      <c r="J99" s="186"/>
      <c r="K99" s="186" t="s">
        <v>682</v>
      </c>
      <c r="L99" s="123" t="s">
        <v>2643</v>
      </c>
      <c r="M99" s="186" t="s">
        <v>687</v>
      </c>
      <c r="N99" s="186" t="s">
        <v>1216</v>
      </c>
      <c r="O99" s="186" t="s">
        <v>2717</v>
      </c>
      <c r="P99" s="123"/>
      <c r="Q99" s="186"/>
      <c r="R99" s="186"/>
      <c r="S99" s="186" t="s">
        <v>2718</v>
      </c>
      <c r="T99" s="186" t="s">
        <v>2719</v>
      </c>
      <c r="U99" s="186"/>
      <c r="V99" s="186"/>
      <c r="W99" s="186"/>
      <c r="X99" s="129">
        <v>4</v>
      </c>
      <c r="Y99" s="129"/>
      <c r="Z99" s="129" t="s">
        <v>2713</v>
      </c>
      <c r="AA99" s="94">
        <v>43550</v>
      </c>
      <c r="AB99" s="129" t="s">
        <v>2720</v>
      </c>
    </row>
    <row r="100" spans="1:28" ht="18.75" hidden="1" customHeight="1">
      <c r="A100" s="213"/>
      <c r="B100" s="213"/>
      <c r="C100" s="210"/>
      <c r="D100" s="297" t="s">
        <v>682</v>
      </c>
      <c r="E100" s="186" t="s">
        <v>59</v>
      </c>
      <c r="F100" s="186" t="s">
        <v>2721</v>
      </c>
      <c r="G100" s="186" t="s">
        <v>683</v>
      </c>
      <c r="H100" s="186" t="s">
        <v>682</v>
      </c>
      <c r="I100" s="186"/>
      <c r="J100" s="186"/>
      <c r="K100" s="186" t="s">
        <v>680</v>
      </c>
      <c r="L100" s="123"/>
      <c r="M100" s="186"/>
      <c r="N100" s="186"/>
      <c r="O100" s="186"/>
      <c r="P100" s="186"/>
      <c r="Q100" s="186"/>
      <c r="R100" s="186"/>
      <c r="S100" s="186"/>
      <c r="T100" s="186" t="s">
        <v>2722</v>
      </c>
      <c r="U100" s="186"/>
      <c r="V100" s="186"/>
      <c r="W100" s="186"/>
    </row>
    <row r="101" spans="1:28" ht="18.75" hidden="1" customHeight="1">
      <c r="A101" s="213"/>
      <c r="B101" s="213"/>
      <c r="C101" s="210"/>
      <c r="D101" s="297"/>
      <c r="E101" s="186" t="s">
        <v>59</v>
      </c>
      <c r="F101" s="186" t="s">
        <v>2723</v>
      </c>
      <c r="G101" s="186" t="s">
        <v>683</v>
      </c>
      <c r="H101" s="186" t="s">
        <v>682</v>
      </c>
      <c r="I101" s="186"/>
      <c r="J101" s="186"/>
      <c r="K101" s="186" t="s">
        <v>680</v>
      </c>
      <c r="L101" s="123"/>
      <c r="M101" s="186"/>
      <c r="N101" s="186"/>
      <c r="O101" s="186"/>
      <c r="P101" s="186"/>
      <c r="Q101" s="186"/>
      <c r="R101" s="186"/>
      <c r="S101" s="186"/>
      <c r="T101" s="186" t="s">
        <v>2722</v>
      </c>
      <c r="U101" s="186"/>
      <c r="V101" s="186"/>
      <c r="W101" s="186"/>
    </row>
    <row r="102" spans="1:28" ht="18.75" hidden="1" customHeight="1">
      <c r="A102" s="213"/>
      <c r="B102" s="213"/>
      <c r="C102" s="210"/>
      <c r="D102" s="297"/>
      <c r="E102" s="186" t="s">
        <v>55</v>
      </c>
      <c r="F102" s="186" t="s">
        <v>2724</v>
      </c>
      <c r="G102" s="186" t="s">
        <v>683</v>
      </c>
      <c r="H102" s="186" t="s">
        <v>682</v>
      </c>
      <c r="I102" s="186"/>
      <c r="J102" s="186"/>
      <c r="K102" s="186" t="s">
        <v>680</v>
      </c>
      <c r="L102" s="123"/>
      <c r="M102" s="186"/>
      <c r="N102" s="186"/>
      <c r="O102" s="186"/>
      <c r="P102" s="186"/>
      <c r="Q102" s="186"/>
      <c r="R102" s="186"/>
      <c r="S102" s="186"/>
      <c r="T102" s="186" t="s">
        <v>2722</v>
      </c>
      <c r="U102" s="186"/>
      <c r="V102" s="186"/>
      <c r="W102" s="186"/>
    </row>
    <row r="103" spans="1:28" ht="18.75" hidden="1" customHeight="1">
      <c r="A103" s="213"/>
      <c r="B103" s="213"/>
      <c r="C103" s="210"/>
      <c r="D103" s="297"/>
      <c r="E103" s="186" t="s">
        <v>55</v>
      </c>
      <c r="F103" s="186" t="s">
        <v>2725</v>
      </c>
      <c r="G103" s="186" t="s">
        <v>683</v>
      </c>
      <c r="H103" s="186" t="s">
        <v>682</v>
      </c>
      <c r="I103" s="186"/>
      <c r="J103" s="186"/>
      <c r="K103" s="186" t="s">
        <v>680</v>
      </c>
      <c r="L103" s="123"/>
      <c r="M103" s="186"/>
      <c r="N103" s="186"/>
      <c r="O103" s="186"/>
      <c r="P103" s="186"/>
      <c r="Q103" s="186"/>
      <c r="R103" s="186"/>
      <c r="S103" s="186"/>
      <c r="T103" s="186" t="s">
        <v>2722</v>
      </c>
      <c r="U103" s="186"/>
      <c r="V103" s="186"/>
      <c r="W103" s="186"/>
    </row>
    <row r="104" spans="1:28" ht="18.75" hidden="1" customHeight="1">
      <c r="A104" s="213"/>
      <c r="B104" s="213"/>
      <c r="C104" s="210"/>
      <c r="D104" s="297"/>
      <c r="E104" s="186" t="s">
        <v>55</v>
      </c>
      <c r="F104" s="186" t="s">
        <v>2726</v>
      </c>
      <c r="G104" s="186" t="s">
        <v>683</v>
      </c>
      <c r="H104" s="186" t="s">
        <v>682</v>
      </c>
      <c r="I104" s="186"/>
      <c r="J104" s="186"/>
      <c r="K104" s="186" t="s">
        <v>680</v>
      </c>
      <c r="L104" s="186"/>
      <c r="M104" s="186"/>
      <c r="N104" s="186"/>
      <c r="O104" s="186"/>
      <c r="P104" s="186"/>
      <c r="Q104" s="186"/>
      <c r="R104" s="186"/>
      <c r="S104" s="186"/>
      <c r="T104" s="186" t="s">
        <v>2722</v>
      </c>
      <c r="U104" s="186"/>
      <c r="V104" s="186"/>
      <c r="W104" s="186"/>
    </row>
    <row r="105" spans="1:28" ht="18.75" hidden="1" customHeight="1">
      <c r="A105" s="213"/>
      <c r="B105" s="213"/>
      <c r="C105" s="210"/>
      <c r="D105" s="297" t="s">
        <v>682</v>
      </c>
      <c r="E105" s="186" t="s">
        <v>59</v>
      </c>
      <c r="F105" s="186" t="s">
        <v>2727</v>
      </c>
      <c r="G105" s="186" t="s">
        <v>683</v>
      </c>
      <c r="H105" s="186" t="s">
        <v>682</v>
      </c>
      <c r="I105" s="186"/>
      <c r="J105" s="186"/>
      <c r="K105" s="186" t="s">
        <v>680</v>
      </c>
      <c r="L105" s="186"/>
      <c r="M105" s="186"/>
      <c r="N105" s="186"/>
      <c r="O105" s="186"/>
      <c r="P105" s="186"/>
      <c r="Q105" s="186"/>
      <c r="R105" s="186"/>
      <c r="S105" s="186"/>
      <c r="T105" s="186" t="s">
        <v>2722</v>
      </c>
      <c r="U105" s="186"/>
      <c r="V105" s="186"/>
      <c r="W105" s="186"/>
    </row>
    <row r="106" spans="1:28" ht="18.75" hidden="1" customHeight="1">
      <c r="A106" s="213"/>
      <c r="B106" s="213"/>
      <c r="C106" s="210"/>
      <c r="D106" s="297"/>
      <c r="E106" s="186" t="s">
        <v>55</v>
      </c>
      <c r="F106" s="186" t="s">
        <v>2728</v>
      </c>
      <c r="G106" s="186" t="s">
        <v>683</v>
      </c>
      <c r="H106" s="186" t="s">
        <v>682</v>
      </c>
      <c r="I106" s="186"/>
      <c r="J106" s="186"/>
      <c r="K106" s="186" t="s">
        <v>680</v>
      </c>
      <c r="L106" s="186"/>
      <c r="M106" s="186"/>
      <c r="N106" s="186"/>
      <c r="O106" s="186"/>
      <c r="P106" s="186"/>
      <c r="Q106" s="186"/>
      <c r="R106" s="186"/>
      <c r="S106" s="186"/>
      <c r="T106" s="186" t="s">
        <v>2722</v>
      </c>
      <c r="U106" s="186"/>
      <c r="V106" s="186"/>
      <c r="W106" s="186"/>
    </row>
    <row r="107" spans="1:28" ht="18.75" hidden="1" customHeight="1">
      <c r="A107" s="213"/>
      <c r="B107" s="213"/>
      <c r="C107" s="210"/>
      <c r="D107" s="297" t="s">
        <v>682</v>
      </c>
      <c r="E107" s="186" t="s">
        <v>59</v>
      </c>
      <c r="F107" s="186" t="s">
        <v>2729</v>
      </c>
      <c r="G107" s="186" t="s">
        <v>683</v>
      </c>
      <c r="H107" s="186" t="s">
        <v>682</v>
      </c>
      <c r="I107" s="186"/>
      <c r="J107" s="186"/>
      <c r="K107" s="186" t="s">
        <v>680</v>
      </c>
      <c r="L107" s="186"/>
      <c r="M107" s="186"/>
      <c r="N107" s="186"/>
      <c r="O107" s="186"/>
      <c r="P107" s="186"/>
      <c r="Q107" s="186"/>
      <c r="R107" s="186"/>
      <c r="S107" s="186"/>
      <c r="T107" s="186" t="s">
        <v>2722</v>
      </c>
      <c r="U107" s="186"/>
      <c r="V107" s="186"/>
      <c r="W107" s="186"/>
    </row>
    <row r="108" spans="1:28" ht="18.75" hidden="1" customHeight="1">
      <c r="A108" s="213"/>
      <c r="B108" s="213"/>
      <c r="C108" s="210"/>
      <c r="D108" s="297" t="s">
        <v>682</v>
      </c>
      <c r="E108" s="186" t="s">
        <v>59</v>
      </c>
      <c r="F108" s="186" t="s">
        <v>2730</v>
      </c>
      <c r="G108" s="186" t="s">
        <v>683</v>
      </c>
      <c r="H108" s="186" t="s">
        <v>682</v>
      </c>
      <c r="I108" s="186"/>
      <c r="J108" s="186"/>
      <c r="K108" s="186" t="s">
        <v>680</v>
      </c>
      <c r="L108" s="186"/>
      <c r="M108" s="186"/>
      <c r="N108" s="186"/>
      <c r="O108" s="186"/>
      <c r="P108" s="186"/>
      <c r="Q108" s="186"/>
      <c r="R108" s="186"/>
      <c r="S108" s="186"/>
      <c r="T108" s="186" t="s">
        <v>2722</v>
      </c>
      <c r="U108" s="186"/>
      <c r="V108" s="186"/>
      <c r="W108" s="186"/>
    </row>
    <row r="109" spans="1:28" ht="18.75" hidden="1" customHeight="1">
      <c r="A109" s="213"/>
      <c r="B109" s="213"/>
      <c r="C109" s="210"/>
      <c r="D109" s="297"/>
      <c r="E109" s="186" t="s">
        <v>55</v>
      </c>
      <c r="F109" s="186" t="s">
        <v>2731</v>
      </c>
      <c r="G109" s="186" t="s">
        <v>683</v>
      </c>
      <c r="H109" s="186" t="s">
        <v>682</v>
      </c>
      <c r="I109" s="186"/>
      <c r="J109" s="186"/>
      <c r="K109" s="186" t="s">
        <v>680</v>
      </c>
      <c r="L109" s="186"/>
      <c r="M109" s="186"/>
      <c r="N109" s="186"/>
      <c r="O109" s="186"/>
      <c r="P109" s="186"/>
      <c r="Q109" s="186"/>
      <c r="R109" s="186"/>
      <c r="S109" s="186"/>
      <c r="T109" s="186" t="s">
        <v>2722</v>
      </c>
      <c r="U109" s="186"/>
      <c r="V109" s="186"/>
      <c r="W109" s="186"/>
    </row>
    <row r="110" spans="1:28" ht="18.75" hidden="1" customHeight="1">
      <c r="A110" s="213"/>
      <c r="B110" s="213"/>
      <c r="C110" s="210"/>
      <c r="D110" s="297"/>
      <c r="E110" s="186" t="s">
        <v>55</v>
      </c>
      <c r="F110" s="186" t="s">
        <v>2732</v>
      </c>
      <c r="G110" s="186" t="s">
        <v>683</v>
      </c>
      <c r="H110" s="186" t="s">
        <v>682</v>
      </c>
      <c r="I110" s="186"/>
      <c r="J110" s="186"/>
      <c r="K110" s="186" t="s">
        <v>680</v>
      </c>
      <c r="L110" s="186"/>
      <c r="M110" s="186"/>
      <c r="N110" s="186"/>
      <c r="O110" s="186"/>
      <c r="P110" s="186"/>
      <c r="Q110" s="186"/>
      <c r="R110" s="186"/>
      <c r="S110" s="186"/>
      <c r="T110" s="186" t="s">
        <v>2722</v>
      </c>
      <c r="U110" s="186"/>
      <c r="V110" s="186"/>
      <c r="W110" s="186"/>
    </row>
    <row r="111" spans="1:28" ht="18.75" hidden="1" customHeight="1">
      <c r="A111" s="213"/>
      <c r="B111" s="213"/>
      <c r="C111" s="210"/>
      <c r="D111" s="297" t="s">
        <v>682</v>
      </c>
      <c r="E111" s="186" t="s">
        <v>59</v>
      </c>
      <c r="F111" s="186" t="s">
        <v>2733</v>
      </c>
      <c r="G111" s="186" t="s">
        <v>683</v>
      </c>
      <c r="H111" s="186" t="s">
        <v>682</v>
      </c>
      <c r="I111" s="186"/>
      <c r="J111" s="186"/>
      <c r="K111" s="186" t="s">
        <v>680</v>
      </c>
      <c r="L111" s="186"/>
      <c r="M111" s="186"/>
      <c r="N111" s="186"/>
      <c r="O111" s="186"/>
      <c r="P111" s="186"/>
      <c r="Q111" s="186"/>
      <c r="R111" s="186"/>
      <c r="S111" s="186"/>
      <c r="T111" s="186" t="s">
        <v>2722</v>
      </c>
      <c r="U111" s="186"/>
      <c r="V111" s="186"/>
      <c r="W111" s="186"/>
    </row>
    <row r="112" spans="1:28" ht="18.75" hidden="1" customHeight="1">
      <c r="A112" s="213"/>
      <c r="B112" s="213"/>
      <c r="C112" s="210"/>
      <c r="D112" s="297" t="s">
        <v>682</v>
      </c>
      <c r="E112" s="186" t="s">
        <v>59</v>
      </c>
      <c r="F112" s="186" t="s">
        <v>2734</v>
      </c>
      <c r="G112" s="186" t="s">
        <v>683</v>
      </c>
      <c r="H112" s="186" t="s">
        <v>682</v>
      </c>
      <c r="I112" s="186"/>
      <c r="J112" s="186"/>
      <c r="K112" s="186" t="s">
        <v>680</v>
      </c>
      <c r="L112" s="186"/>
      <c r="M112" s="186"/>
      <c r="N112" s="186"/>
      <c r="O112" s="186"/>
      <c r="P112" s="186"/>
      <c r="Q112" s="186"/>
      <c r="R112" s="186"/>
      <c r="S112" s="186"/>
      <c r="T112" s="186" t="s">
        <v>2722</v>
      </c>
      <c r="U112" s="186"/>
      <c r="V112" s="186"/>
      <c r="W112" s="186"/>
    </row>
    <row r="113" spans="1:28" ht="18.75" hidden="1" customHeight="1">
      <c r="A113" s="213"/>
      <c r="B113" s="213"/>
      <c r="C113" s="210"/>
      <c r="D113" s="297"/>
      <c r="E113" s="186" t="s">
        <v>55</v>
      </c>
      <c r="F113" s="186" t="s">
        <v>2735</v>
      </c>
      <c r="G113" s="186" t="s">
        <v>683</v>
      </c>
      <c r="H113" s="186" t="s">
        <v>682</v>
      </c>
      <c r="I113" s="186"/>
      <c r="J113" s="186"/>
      <c r="K113" s="186" t="s">
        <v>680</v>
      </c>
      <c r="L113" s="186"/>
      <c r="M113" s="186"/>
      <c r="N113" s="186"/>
      <c r="O113" s="186"/>
      <c r="P113" s="186"/>
      <c r="Q113" s="186"/>
      <c r="R113" s="186"/>
      <c r="S113" s="186"/>
      <c r="T113" s="186" t="s">
        <v>2722</v>
      </c>
      <c r="U113" s="186"/>
      <c r="V113" s="186"/>
      <c r="W113" s="186"/>
    </row>
    <row r="114" spans="1:28" ht="18.75" hidden="1" customHeight="1">
      <c r="A114" s="213"/>
      <c r="B114" s="213"/>
      <c r="C114" s="210"/>
      <c r="D114" s="297" t="s">
        <v>682</v>
      </c>
      <c r="E114" s="186" t="s">
        <v>59</v>
      </c>
      <c r="F114" s="186" t="s">
        <v>2736</v>
      </c>
      <c r="G114" s="186" t="s">
        <v>683</v>
      </c>
      <c r="H114" s="186" t="s">
        <v>682</v>
      </c>
      <c r="I114" s="186"/>
      <c r="J114" s="186"/>
      <c r="K114" s="186" t="s">
        <v>680</v>
      </c>
      <c r="L114" s="186"/>
      <c r="M114" s="186"/>
      <c r="N114" s="186"/>
      <c r="O114" s="186"/>
      <c r="P114" s="186"/>
      <c r="Q114" s="186"/>
      <c r="R114" s="186"/>
      <c r="S114" s="186"/>
      <c r="T114" s="186" t="s">
        <v>2722</v>
      </c>
      <c r="U114" s="186"/>
      <c r="V114" s="186"/>
      <c r="W114" s="186"/>
    </row>
    <row r="115" spans="1:28" ht="121.5" customHeight="1">
      <c r="A115" s="213"/>
      <c r="B115" s="213"/>
      <c r="C115" s="210"/>
      <c r="D115" s="297"/>
      <c r="E115" s="186" t="s">
        <v>55</v>
      </c>
      <c r="F115" s="186" t="s">
        <v>848</v>
      </c>
      <c r="G115" s="186" t="s">
        <v>683</v>
      </c>
      <c r="H115" s="186" t="s">
        <v>682</v>
      </c>
      <c r="I115" s="186"/>
      <c r="J115" s="186"/>
      <c r="K115" s="186" t="s">
        <v>682</v>
      </c>
      <c r="L115" s="123" t="s">
        <v>2643</v>
      </c>
      <c r="M115" s="186" t="s">
        <v>849</v>
      </c>
      <c r="N115" s="186" t="s">
        <v>2681</v>
      </c>
      <c r="O115" s="186" t="s">
        <v>2681</v>
      </c>
      <c r="P115" s="123" t="s">
        <v>2737</v>
      </c>
      <c r="Q115" s="186"/>
      <c r="R115" s="186"/>
      <c r="S115" s="186">
        <v>0</v>
      </c>
      <c r="T115" s="186" t="s">
        <v>2738</v>
      </c>
      <c r="U115" s="186"/>
      <c r="V115" s="186"/>
      <c r="W115" s="186"/>
      <c r="X115">
        <v>86</v>
      </c>
      <c r="Z115" t="s">
        <v>2645</v>
      </c>
      <c r="AA115" s="30">
        <v>43538</v>
      </c>
      <c r="AB115" t="s">
        <v>2646</v>
      </c>
    </row>
    <row r="116" spans="1:28" ht="18.75" hidden="1" customHeight="1">
      <c r="A116" s="213"/>
      <c r="B116" s="213"/>
      <c r="C116" s="210"/>
      <c r="D116" s="297"/>
      <c r="E116" s="186" t="s">
        <v>55</v>
      </c>
      <c r="F116" s="186" t="s">
        <v>2739</v>
      </c>
      <c r="G116" s="186" t="s">
        <v>683</v>
      </c>
      <c r="H116" s="186" t="s">
        <v>682</v>
      </c>
      <c r="I116" s="186"/>
      <c r="J116" s="186"/>
      <c r="K116" s="186" t="s">
        <v>680</v>
      </c>
      <c r="L116" s="123"/>
      <c r="M116" s="186"/>
      <c r="N116" s="186"/>
      <c r="O116" s="186"/>
      <c r="P116" s="186"/>
      <c r="Q116" s="186"/>
      <c r="R116" s="186"/>
      <c r="S116" s="186"/>
      <c r="T116" s="186" t="s">
        <v>2740</v>
      </c>
      <c r="U116" s="186"/>
      <c r="V116" s="186"/>
      <c r="W116" s="186"/>
    </row>
    <row r="117" spans="1:28" ht="121.5" customHeight="1">
      <c r="A117" s="213"/>
      <c r="B117" s="213"/>
      <c r="C117" s="210"/>
      <c r="D117" s="297" t="s">
        <v>682</v>
      </c>
      <c r="E117" s="186" t="s">
        <v>59</v>
      </c>
      <c r="F117" s="186" t="s">
        <v>750</v>
      </c>
      <c r="G117" s="186" t="s">
        <v>683</v>
      </c>
      <c r="H117" s="186" t="s">
        <v>682</v>
      </c>
      <c r="I117" s="186"/>
      <c r="J117" s="186"/>
      <c r="K117" s="186" t="s">
        <v>682</v>
      </c>
      <c r="L117" s="123" t="s">
        <v>2643</v>
      </c>
      <c r="M117" s="186" t="s">
        <v>751</v>
      </c>
      <c r="N117" s="186" t="s">
        <v>2741</v>
      </c>
      <c r="O117" s="186" t="s">
        <v>2741</v>
      </c>
      <c r="P117" s="123" t="s">
        <v>2742</v>
      </c>
      <c r="Q117" s="186"/>
      <c r="R117" s="186"/>
      <c r="S117" s="186">
        <v>8.4602000000000004</v>
      </c>
      <c r="T117" s="186" t="s">
        <v>2743</v>
      </c>
      <c r="U117" s="186"/>
      <c r="V117" s="186"/>
      <c r="W117" s="186"/>
      <c r="X117">
        <v>37</v>
      </c>
      <c r="Z117" t="s">
        <v>2645</v>
      </c>
      <c r="AA117" s="30">
        <v>43538</v>
      </c>
      <c r="AB117" t="s">
        <v>2646</v>
      </c>
    </row>
    <row r="118" spans="1:28" ht="121.5" customHeight="1">
      <c r="A118" s="213"/>
      <c r="B118" s="213"/>
      <c r="C118" s="210"/>
      <c r="D118" s="297"/>
      <c r="E118" s="186" t="s">
        <v>55</v>
      </c>
      <c r="F118" s="186" t="s">
        <v>752</v>
      </c>
      <c r="G118" s="186" t="s">
        <v>329</v>
      </c>
      <c r="H118" s="186" t="s">
        <v>682</v>
      </c>
      <c r="I118" s="186"/>
      <c r="J118" s="186"/>
      <c r="K118" s="186" t="s">
        <v>682</v>
      </c>
      <c r="L118" s="123" t="s">
        <v>2643</v>
      </c>
      <c r="M118" s="186" t="s">
        <v>753</v>
      </c>
      <c r="N118" s="186" t="s">
        <v>2741</v>
      </c>
      <c r="O118" s="186" t="s">
        <v>2741</v>
      </c>
      <c r="P118" s="123" t="s">
        <v>2744</v>
      </c>
      <c r="Q118" s="186"/>
      <c r="R118" s="186"/>
      <c r="S118" s="186">
        <v>176.40039999999999</v>
      </c>
      <c r="T118" s="186" t="s">
        <v>2743</v>
      </c>
      <c r="U118" s="186"/>
      <c r="V118" s="186"/>
      <c r="W118" s="186"/>
      <c r="X118">
        <v>38</v>
      </c>
      <c r="Z118" t="s">
        <v>2645</v>
      </c>
      <c r="AA118" s="30">
        <v>43538</v>
      </c>
      <c r="AB118" t="s">
        <v>2646</v>
      </c>
    </row>
    <row r="119" spans="1:28" ht="121.5" customHeight="1">
      <c r="A119" s="213"/>
      <c r="B119" s="213"/>
      <c r="C119" s="210"/>
      <c r="D119" s="297"/>
      <c r="E119" s="186" t="s">
        <v>55</v>
      </c>
      <c r="F119" s="186" t="s">
        <v>714</v>
      </c>
      <c r="G119" s="186" t="s">
        <v>683</v>
      </c>
      <c r="H119" s="186" t="s">
        <v>682</v>
      </c>
      <c r="I119" s="186"/>
      <c r="J119" s="186"/>
      <c r="K119" s="186" t="s">
        <v>682</v>
      </c>
      <c r="L119" s="123" t="s">
        <v>2643</v>
      </c>
      <c r="M119" s="186" t="s">
        <v>715</v>
      </c>
      <c r="N119" s="186" t="s">
        <v>2741</v>
      </c>
      <c r="O119" s="186" t="s">
        <v>2741</v>
      </c>
      <c r="P119" s="123" t="s">
        <v>2745</v>
      </c>
      <c r="Q119" s="186"/>
      <c r="R119" s="186"/>
      <c r="S119" s="186">
        <v>0</v>
      </c>
      <c r="T119" s="186" t="s">
        <v>2743</v>
      </c>
      <c r="U119" s="186"/>
      <c r="V119" s="186"/>
      <c r="W119" s="186"/>
      <c r="X119">
        <v>19</v>
      </c>
      <c r="Z119" t="s">
        <v>2645</v>
      </c>
      <c r="AA119" s="30">
        <v>43538</v>
      </c>
      <c r="AB119" t="s">
        <v>2646</v>
      </c>
    </row>
    <row r="120" spans="1:28" ht="121.5" customHeight="1">
      <c r="A120" s="213"/>
      <c r="B120" s="213"/>
      <c r="C120" s="210"/>
      <c r="D120" s="297"/>
      <c r="E120" s="186" t="s">
        <v>55</v>
      </c>
      <c r="F120" s="186" t="s">
        <v>744</v>
      </c>
      <c r="G120" s="186" t="s">
        <v>683</v>
      </c>
      <c r="H120" s="186" t="s">
        <v>682</v>
      </c>
      <c r="I120" s="186"/>
      <c r="J120" s="186"/>
      <c r="K120" s="186" t="s">
        <v>682</v>
      </c>
      <c r="L120" s="123" t="s">
        <v>2643</v>
      </c>
      <c r="M120" s="186" t="s">
        <v>745</v>
      </c>
      <c r="N120" s="186" t="s">
        <v>2741</v>
      </c>
      <c r="O120" s="186" t="s">
        <v>2741</v>
      </c>
      <c r="P120" s="123" t="s">
        <v>2746</v>
      </c>
      <c r="Q120" s="186"/>
      <c r="R120" s="186"/>
      <c r="S120" s="186">
        <v>15.2768</v>
      </c>
      <c r="T120" s="186" t="s">
        <v>2743</v>
      </c>
      <c r="U120" s="186"/>
      <c r="V120" s="186"/>
      <c r="W120" s="186"/>
      <c r="X120">
        <v>34</v>
      </c>
      <c r="Z120" t="s">
        <v>2645</v>
      </c>
      <c r="AA120" s="30">
        <v>43538</v>
      </c>
      <c r="AB120" t="s">
        <v>2646</v>
      </c>
    </row>
    <row r="121" spans="1:28" ht="121.5" customHeight="1">
      <c r="A121" s="213"/>
      <c r="B121" s="213"/>
      <c r="C121" s="210"/>
      <c r="D121" s="297"/>
      <c r="E121" s="186" t="s">
        <v>55</v>
      </c>
      <c r="F121" s="186" t="s">
        <v>716</v>
      </c>
      <c r="G121" s="186" t="s">
        <v>683</v>
      </c>
      <c r="H121" s="186" t="s">
        <v>682</v>
      </c>
      <c r="I121" s="186"/>
      <c r="J121" s="186"/>
      <c r="K121" s="186" t="s">
        <v>682</v>
      </c>
      <c r="L121" s="123" t="s">
        <v>2643</v>
      </c>
      <c r="M121" s="186" t="s">
        <v>717</v>
      </c>
      <c r="N121" s="186" t="s">
        <v>2741</v>
      </c>
      <c r="O121" s="186" t="s">
        <v>2741</v>
      </c>
      <c r="P121" s="123" t="s">
        <v>2747</v>
      </c>
      <c r="Q121" s="186"/>
      <c r="R121" s="186"/>
      <c r="S121" s="186">
        <v>0</v>
      </c>
      <c r="T121" s="186" t="s">
        <v>2743</v>
      </c>
      <c r="U121" s="186"/>
      <c r="V121" s="186"/>
      <c r="W121" s="186"/>
      <c r="X121">
        <v>20</v>
      </c>
      <c r="Z121" t="s">
        <v>2645</v>
      </c>
      <c r="AA121" s="30">
        <v>43538</v>
      </c>
      <c r="AB121" t="s">
        <v>2646</v>
      </c>
    </row>
    <row r="122" spans="1:28" ht="121.5" customHeight="1">
      <c r="A122" s="213"/>
      <c r="B122" s="213"/>
      <c r="C122" s="210"/>
      <c r="D122" s="297"/>
      <c r="E122" s="186" t="s">
        <v>55</v>
      </c>
      <c r="F122" s="186" t="s">
        <v>718</v>
      </c>
      <c r="G122" s="186" t="s">
        <v>683</v>
      </c>
      <c r="H122" s="186" t="s">
        <v>682</v>
      </c>
      <c r="I122" s="186"/>
      <c r="J122" s="186"/>
      <c r="K122" s="186" t="s">
        <v>682</v>
      </c>
      <c r="L122" s="123" t="s">
        <v>2643</v>
      </c>
      <c r="M122" s="186" t="s">
        <v>719</v>
      </c>
      <c r="N122" s="186" t="s">
        <v>2741</v>
      </c>
      <c r="O122" s="186" t="s">
        <v>2741</v>
      </c>
      <c r="P122" s="123" t="s">
        <v>2748</v>
      </c>
      <c r="Q122" s="186"/>
      <c r="R122" s="186"/>
      <c r="S122" s="186">
        <v>0</v>
      </c>
      <c r="T122" s="186" t="s">
        <v>2743</v>
      </c>
      <c r="U122" s="186"/>
      <c r="V122" s="186"/>
      <c r="W122" s="186"/>
      <c r="X122">
        <v>21</v>
      </c>
      <c r="Z122" t="s">
        <v>2645</v>
      </c>
      <c r="AA122" s="30">
        <v>43538</v>
      </c>
      <c r="AB122" t="s">
        <v>2646</v>
      </c>
    </row>
    <row r="123" spans="1:28" ht="121.5" customHeight="1">
      <c r="A123" s="213"/>
      <c r="B123" s="213"/>
      <c r="C123" s="210"/>
      <c r="D123" s="297"/>
      <c r="E123" s="186" t="s">
        <v>55</v>
      </c>
      <c r="F123" s="186" t="s">
        <v>746</v>
      </c>
      <c r="G123" s="186" t="s">
        <v>683</v>
      </c>
      <c r="H123" s="186" t="s">
        <v>682</v>
      </c>
      <c r="I123" s="186"/>
      <c r="J123" s="186"/>
      <c r="K123" s="186" t="s">
        <v>682</v>
      </c>
      <c r="L123" s="123" t="s">
        <v>2643</v>
      </c>
      <c r="M123" s="186" t="s">
        <v>747</v>
      </c>
      <c r="N123" s="186" t="s">
        <v>2741</v>
      </c>
      <c r="O123" s="186" t="s">
        <v>2741</v>
      </c>
      <c r="P123" s="123" t="s">
        <v>2749</v>
      </c>
      <c r="Q123" s="186"/>
      <c r="R123" s="186"/>
      <c r="S123" s="186">
        <v>0</v>
      </c>
      <c r="T123" s="186" t="s">
        <v>2743</v>
      </c>
      <c r="U123" s="186"/>
      <c r="V123" s="186"/>
      <c r="W123" s="186"/>
      <c r="X123">
        <v>35</v>
      </c>
      <c r="Z123" t="s">
        <v>2645</v>
      </c>
      <c r="AA123" s="30">
        <v>43538</v>
      </c>
      <c r="AB123" t="s">
        <v>2646</v>
      </c>
    </row>
    <row r="124" spans="1:28" ht="121.5" customHeight="1">
      <c r="A124" s="213"/>
      <c r="B124" s="213"/>
      <c r="C124" s="210"/>
      <c r="D124" s="297"/>
      <c r="E124" s="186" t="s">
        <v>55</v>
      </c>
      <c r="F124" s="186" t="s">
        <v>694</v>
      </c>
      <c r="G124" s="186" t="s">
        <v>683</v>
      </c>
      <c r="H124" s="186" t="s">
        <v>682</v>
      </c>
      <c r="I124" s="186"/>
      <c r="J124" s="186"/>
      <c r="K124" s="186" t="s">
        <v>682</v>
      </c>
      <c r="L124" s="123" t="s">
        <v>2643</v>
      </c>
      <c r="M124" s="186" t="s">
        <v>695</v>
      </c>
      <c r="N124" s="186" t="s">
        <v>2741</v>
      </c>
      <c r="O124" s="186" t="s">
        <v>2741</v>
      </c>
      <c r="P124" s="123" t="s">
        <v>2750</v>
      </c>
      <c r="Q124" s="186"/>
      <c r="R124" s="186"/>
      <c r="S124" s="186">
        <v>-0.25580000000000003</v>
      </c>
      <c r="T124" s="186" t="s">
        <v>2743</v>
      </c>
      <c r="U124" s="186"/>
      <c r="V124" s="186"/>
      <c r="W124" s="186"/>
      <c r="X124">
        <v>9</v>
      </c>
      <c r="Z124" t="s">
        <v>2645</v>
      </c>
      <c r="AA124" s="30">
        <v>43538</v>
      </c>
      <c r="AB124" t="s">
        <v>2646</v>
      </c>
    </row>
    <row r="125" spans="1:28" ht="121.5" customHeight="1">
      <c r="A125" s="213"/>
      <c r="B125" s="213"/>
      <c r="C125" s="210"/>
      <c r="D125" s="297"/>
      <c r="E125" s="186" t="s">
        <v>55</v>
      </c>
      <c r="F125" s="186" t="s">
        <v>696</v>
      </c>
      <c r="G125" s="186" t="s">
        <v>683</v>
      </c>
      <c r="H125" s="186" t="s">
        <v>682</v>
      </c>
      <c r="I125" s="186"/>
      <c r="J125" s="186"/>
      <c r="K125" s="186" t="s">
        <v>682</v>
      </c>
      <c r="L125" s="123" t="s">
        <v>2643</v>
      </c>
      <c r="M125" s="186" t="s">
        <v>697</v>
      </c>
      <c r="N125" s="186" t="s">
        <v>2741</v>
      </c>
      <c r="O125" s="186" t="s">
        <v>2741</v>
      </c>
      <c r="P125" s="123" t="s">
        <v>2751</v>
      </c>
      <c r="Q125" s="186"/>
      <c r="R125" s="186"/>
      <c r="S125" s="186">
        <v>4.2366999999999999</v>
      </c>
      <c r="T125" s="186" t="s">
        <v>2743</v>
      </c>
      <c r="U125" s="186"/>
      <c r="V125" s="186"/>
      <c r="W125" s="186"/>
      <c r="X125">
        <v>10</v>
      </c>
      <c r="Z125" t="s">
        <v>2645</v>
      </c>
      <c r="AA125" s="30">
        <v>43538</v>
      </c>
      <c r="AB125" t="s">
        <v>2646</v>
      </c>
    </row>
    <row r="126" spans="1:28" ht="18.75" hidden="1" customHeight="1">
      <c r="A126" s="213"/>
      <c r="B126" s="213"/>
      <c r="C126" s="210"/>
      <c r="D126" s="297"/>
      <c r="E126" s="186" t="s">
        <v>55</v>
      </c>
      <c r="F126" s="186" t="s">
        <v>2752</v>
      </c>
      <c r="G126" s="186" t="s">
        <v>683</v>
      </c>
      <c r="H126" s="186" t="s">
        <v>682</v>
      </c>
      <c r="I126" s="186"/>
      <c r="J126" s="186"/>
      <c r="K126" s="186" t="s">
        <v>680</v>
      </c>
      <c r="L126" s="186"/>
      <c r="M126" s="186"/>
      <c r="N126" s="186"/>
      <c r="O126" s="186"/>
      <c r="P126" s="186"/>
      <c r="Q126" s="186"/>
      <c r="R126" s="186"/>
      <c r="S126" s="186"/>
      <c r="T126" s="186" t="s">
        <v>2743</v>
      </c>
      <c r="U126" s="186"/>
      <c r="V126" s="186"/>
      <c r="W126" s="186"/>
    </row>
    <row r="127" spans="1:28" ht="121.5" customHeight="1">
      <c r="A127" s="213"/>
      <c r="B127" s="213"/>
      <c r="C127" s="210"/>
      <c r="D127" s="297" t="s">
        <v>682</v>
      </c>
      <c r="E127" s="186" t="s">
        <v>59</v>
      </c>
      <c r="F127" s="186" t="s">
        <v>726</v>
      </c>
      <c r="G127" s="186" t="s">
        <v>683</v>
      </c>
      <c r="H127" s="186" t="s">
        <v>682</v>
      </c>
      <c r="I127" s="186"/>
      <c r="J127" s="186"/>
      <c r="K127" s="186" t="s">
        <v>682</v>
      </c>
      <c r="L127" s="123" t="s">
        <v>2643</v>
      </c>
      <c r="M127" s="186" t="s">
        <v>727</v>
      </c>
      <c r="N127" s="186" t="s">
        <v>2741</v>
      </c>
      <c r="O127" s="186" t="s">
        <v>2741</v>
      </c>
      <c r="P127" s="123" t="s">
        <v>2753</v>
      </c>
      <c r="Q127" s="186"/>
      <c r="R127" s="186"/>
      <c r="S127" s="186">
        <v>2.9552</v>
      </c>
      <c r="T127" s="186" t="s">
        <v>2743</v>
      </c>
      <c r="U127" s="186"/>
      <c r="V127" s="186"/>
      <c r="W127" s="186"/>
      <c r="X127">
        <v>25</v>
      </c>
      <c r="Z127" t="s">
        <v>2645</v>
      </c>
      <c r="AA127" s="30">
        <v>43538</v>
      </c>
      <c r="AB127" t="s">
        <v>2646</v>
      </c>
    </row>
    <row r="128" spans="1:28" ht="18.75" hidden="1" customHeight="1">
      <c r="A128" s="213"/>
      <c r="B128" s="213"/>
      <c r="C128" s="210"/>
      <c r="D128" s="297"/>
      <c r="E128" s="186" t="s">
        <v>55</v>
      </c>
      <c r="F128" s="186" t="s">
        <v>2754</v>
      </c>
      <c r="G128" s="186" t="s">
        <v>683</v>
      </c>
      <c r="H128" s="186" t="s">
        <v>682</v>
      </c>
      <c r="I128" s="186"/>
      <c r="J128" s="186"/>
      <c r="K128" s="186" t="s">
        <v>680</v>
      </c>
      <c r="L128" s="186"/>
      <c r="M128" s="186"/>
      <c r="N128" s="186"/>
      <c r="O128" s="186"/>
      <c r="P128" s="186"/>
      <c r="Q128" s="186"/>
      <c r="R128" s="186"/>
      <c r="S128" s="186"/>
      <c r="T128" s="186" t="s">
        <v>2743</v>
      </c>
      <c r="U128" s="186"/>
      <c r="V128" s="186"/>
      <c r="W128" s="186"/>
    </row>
    <row r="129" spans="1:28" ht="121.5" customHeight="1">
      <c r="A129" s="213"/>
      <c r="B129" s="213"/>
      <c r="C129" s="210"/>
      <c r="D129" s="297"/>
      <c r="E129" s="186" t="s">
        <v>55</v>
      </c>
      <c r="F129" s="186" t="s">
        <v>748</v>
      </c>
      <c r="G129" s="186" t="s">
        <v>683</v>
      </c>
      <c r="H129" s="186" t="s">
        <v>682</v>
      </c>
      <c r="I129" s="186"/>
      <c r="J129" s="186"/>
      <c r="K129" s="186" t="s">
        <v>682</v>
      </c>
      <c r="L129" s="123" t="s">
        <v>2643</v>
      </c>
      <c r="M129" s="186" t="s">
        <v>749</v>
      </c>
      <c r="N129" s="186" t="s">
        <v>2741</v>
      </c>
      <c r="O129" s="186" t="s">
        <v>2741</v>
      </c>
      <c r="P129" s="123" t="s">
        <v>2755</v>
      </c>
      <c r="Q129" s="186"/>
      <c r="R129" s="186"/>
      <c r="S129" s="186">
        <v>0</v>
      </c>
      <c r="T129" s="186" t="s">
        <v>2743</v>
      </c>
      <c r="U129" s="186"/>
      <c r="V129" s="186"/>
      <c r="W129" s="186"/>
      <c r="X129">
        <v>36</v>
      </c>
      <c r="Z129" t="s">
        <v>2645</v>
      </c>
      <c r="AA129" s="30">
        <v>43538</v>
      </c>
      <c r="AB129" t="s">
        <v>2646</v>
      </c>
    </row>
    <row r="130" spans="1:28" ht="121.5" customHeight="1">
      <c r="A130" s="213"/>
      <c r="B130" s="213"/>
      <c r="C130" s="210"/>
      <c r="D130" s="297"/>
      <c r="E130" s="186" t="s">
        <v>55</v>
      </c>
      <c r="F130" s="186" t="s">
        <v>698</v>
      </c>
      <c r="G130" s="186" t="s">
        <v>683</v>
      </c>
      <c r="H130" s="186" t="s">
        <v>682</v>
      </c>
      <c r="I130" s="186"/>
      <c r="J130" s="186"/>
      <c r="K130" s="186" t="s">
        <v>682</v>
      </c>
      <c r="L130" s="123" t="s">
        <v>2643</v>
      </c>
      <c r="M130" s="186" t="s">
        <v>699</v>
      </c>
      <c r="N130" s="186" t="s">
        <v>2741</v>
      </c>
      <c r="O130" s="186" t="s">
        <v>2741</v>
      </c>
      <c r="P130" s="123" t="s">
        <v>2756</v>
      </c>
      <c r="Q130" s="186"/>
      <c r="R130" s="186"/>
      <c r="S130" s="186">
        <v>0</v>
      </c>
      <c r="T130" s="186" t="s">
        <v>2743</v>
      </c>
      <c r="U130" s="186"/>
      <c r="V130" s="186"/>
      <c r="W130" s="186"/>
      <c r="X130">
        <v>11</v>
      </c>
      <c r="Z130" t="s">
        <v>2645</v>
      </c>
      <c r="AA130" s="30">
        <v>43538</v>
      </c>
      <c r="AB130" t="s">
        <v>2646</v>
      </c>
    </row>
    <row r="131" spans="1:28" ht="121.5" customHeight="1">
      <c r="A131" s="213"/>
      <c r="B131" s="213"/>
      <c r="C131" s="210"/>
      <c r="D131" s="297"/>
      <c r="E131" s="186" t="s">
        <v>55</v>
      </c>
      <c r="F131" s="186" t="s">
        <v>728</v>
      </c>
      <c r="G131" s="186" t="s">
        <v>683</v>
      </c>
      <c r="H131" s="186" t="s">
        <v>682</v>
      </c>
      <c r="I131" s="186"/>
      <c r="J131" s="186"/>
      <c r="K131" s="186" t="s">
        <v>682</v>
      </c>
      <c r="L131" s="123" t="s">
        <v>2643</v>
      </c>
      <c r="M131" s="186" t="s">
        <v>729</v>
      </c>
      <c r="N131" s="186" t="s">
        <v>2741</v>
      </c>
      <c r="O131" s="186" t="s">
        <v>2741</v>
      </c>
      <c r="P131" s="123" t="s">
        <v>2757</v>
      </c>
      <c r="Q131" s="186"/>
      <c r="R131" s="186"/>
      <c r="S131" s="186">
        <v>11.4018</v>
      </c>
      <c r="T131" s="186" t="s">
        <v>2743</v>
      </c>
      <c r="U131" s="186"/>
      <c r="V131" s="186"/>
      <c r="W131" s="186"/>
      <c r="X131">
        <v>26</v>
      </c>
      <c r="Z131" t="s">
        <v>2645</v>
      </c>
      <c r="AA131" s="30">
        <v>43538</v>
      </c>
      <c r="AB131" t="s">
        <v>2646</v>
      </c>
    </row>
    <row r="132" spans="1:28" ht="121.5" customHeight="1">
      <c r="A132" s="213"/>
      <c r="B132" s="213"/>
      <c r="C132" s="210"/>
      <c r="D132" s="297"/>
      <c r="E132" s="186" t="s">
        <v>55</v>
      </c>
      <c r="F132" s="186" t="s">
        <v>700</v>
      </c>
      <c r="G132" s="186" t="s">
        <v>683</v>
      </c>
      <c r="H132" s="186" t="s">
        <v>682</v>
      </c>
      <c r="I132" s="186"/>
      <c r="J132" s="186"/>
      <c r="K132" s="186" t="s">
        <v>682</v>
      </c>
      <c r="L132" s="123" t="s">
        <v>2643</v>
      </c>
      <c r="M132" s="186" t="s">
        <v>701</v>
      </c>
      <c r="N132" s="186" t="s">
        <v>2741</v>
      </c>
      <c r="O132" s="186" t="s">
        <v>2741</v>
      </c>
      <c r="P132" s="123" t="s">
        <v>2758</v>
      </c>
      <c r="Q132" s="186"/>
      <c r="R132" s="186"/>
      <c r="S132" s="186">
        <v>-4.7300000000000002E-2</v>
      </c>
      <c r="T132" s="186" t="s">
        <v>2743</v>
      </c>
      <c r="U132" s="186"/>
      <c r="V132" s="186"/>
      <c r="W132" s="186"/>
      <c r="X132">
        <v>12</v>
      </c>
      <c r="Z132" t="s">
        <v>2645</v>
      </c>
      <c r="AA132" s="30">
        <v>43538</v>
      </c>
      <c r="AB132" t="s">
        <v>2646</v>
      </c>
    </row>
    <row r="133" spans="1:28" ht="121.5" customHeight="1">
      <c r="A133" s="213"/>
      <c r="B133" s="213"/>
      <c r="C133" s="210"/>
      <c r="D133" s="297" t="s">
        <v>682</v>
      </c>
      <c r="E133" s="186" t="s">
        <v>59</v>
      </c>
      <c r="F133" s="186" t="s">
        <v>730</v>
      </c>
      <c r="G133" s="186" t="s">
        <v>683</v>
      </c>
      <c r="H133" s="186" t="s">
        <v>682</v>
      </c>
      <c r="I133" s="186"/>
      <c r="J133" s="186"/>
      <c r="K133" s="186" t="s">
        <v>682</v>
      </c>
      <c r="L133" s="123" t="s">
        <v>2643</v>
      </c>
      <c r="M133" s="186" t="s">
        <v>731</v>
      </c>
      <c r="N133" s="186" t="s">
        <v>2741</v>
      </c>
      <c r="O133" s="186" t="s">
        <v>2741</v>
      </c>
      <c r="P133" s="123" t="s">
        <v>2759</v>
      </c>
      <c r="Q133" s="186"/>
      <c r="R133" s="186"/>
      <c r="S133" s="186">
        <v>14.799200000000001</v>
      </c>
      <c r="T133" s="186" t="s">
        <v>2743</v>
      </c>
      <c r="U133" s="186"/>
      <c r="V133" s="186"/>
      <c r="W133" s="186"/>
      <c r="X133">
        <v>27</v>
      </c>
      <c r="Z133" t="s">
        <v>2645</v>
      </c>
      <c r="AA133" s="30">
        <v>43538</v>
      </c>
      <c r="AB133" t="s">
        <v>2646</v>
      </c>
    </row>
    <row r="134" spans="1:28" ht="121.5" customHeight="1">
      <c r="A134" s="213"/>
      <c r="B134" s="213"/>
      <c r="C134" s="210"/>
      <c r="D134" s="297"/>
      <c r="E134" s="186" t="s">
        <v>55</v>
      </c>
      <c r="F134" s="186" t="s">
        <v>702</v>
      </c>
      <c r="G134" s="186" t="s">
        <v>683</v>
      </c>
      <c r="H134" s="186" t="s">
        <v>682</v>
      </c>
      <c r="I134" s="186"/>
      <c r="J134" s="186"/>
      <c r="K134" s="186" t="s">
        <v>682</v>
      </c>
      <c r="L134" s="123" t="s">
        <v>2643</v>
      </c>
      <c r="M134" s="186" t="s">
        <v>703</v>
      </c>
      <c r="N134" s="186" t="s">
        <v>2741</v>
      </c>
      <c r="O134" s="186" t="s">
        <v>2741</v>
      </c>
      <c r="P134" s="123" t="s">
        <v>2760</v>
      </c>
      <c r="Q134" s="186"/>
      <c r="R134" s="186"/>
      <c r="S134" s="186">
        <v>0</v>
      </c>
      <c r="T134" s="186" t="s">
        <v>2743</v>
      </c>
      <c r="U134" s="186"/>
      <c r="V134" s="186"/>
      <c r="W134" s="186"/>
      <c r="X134">
        <v>13</v>
      </c>
      <c r="Z134" t="s">
        <v>2645</v>
      </c>
      <c r="AA134" s="30">
        <v>43538</v>
      </c>
      <c r="AB134" t="s">
        <v>2646</v>
      </c>
    </row>
    <row r="135" spans="1:28" ht="121.5" customHeight="1">
      <c r="A135" s="213"/>
      <c r="B135" s="213"/>
      <c r="C135" s="210"/>
      <c r="D135" s="297"/>
      <c r="E135" s="186" t="s">
        <v>55</v>
      </c>
      <c r="F135" s="186" t="s">
        <v>732</v>
      </c>
      <c r="G135" s="186" t="s">
        <v>683</v>
      </c>
      <c r="H135" s="186" t="s">
        <v>682</v>
      </c>
      <c r="I135" s="186"/>
      <c r="J135" s="186"/>
      <c r="K135" s="186" t="s">
        <v>682</v>
      </c>
      <c r="L135" s="123" t="s">
        <v>2643</v>
      </c>
      <c r="M135" s="186" t="s">
        <v>733</v>
      </c>
      <c r="N135" s="186" t="s">
        <v>2741</v>
      </c>
      <c r="O135" s="186" t="s">
        <v>2741</v>
      </c>
      <c r="P135" s="123" t="s">
        <v>2761</v>
      </c>
      <c r="Q135" s="186"/>
      <c r="R135" s="186"/>
      <c r="S135" s="186">
        <v>9.0669000000000004</v>
      </c>
      <c r="T135" s="186" t="s">
        <v>2743</v>
      </c>
      <c r="U135" s="186"/>
      <c r="V135" s="186"/>
      <c r="W135" s="186"/>
      <c r="X135">
        <v>28</v>
      </c>
      <c r="Z135" t="s">
        <v>2645</v>
      </c>
      <c r="AA135" s="30">
        <v>43538</v>
      </c>
      <c r="AB135" t="s">
        <v>2646</v>
      </c>
    </row>
    <row r="136" spans="1:28" ht="121.5" customHeight="1">
      <c r="A136" s="213"/>
      <c r="B136" s="213"/>
      <c r="C136" s="210"/>
      <c r="D136" s="297"/>
      <c r="E136" s="186" t="s">
        <v>55</v>
      </c>
      <c r="F136" s="186" t="s">
        <v>704</v>
      </c>
      <c r="G136" s="186" t="s">
        <v>683</v>
      </c>
      <c r="H136" s="186" t="s">
        <v>682</v>
      </c>
      <c r="I136" s="186"/>
      <c r="J136" s="186"/>
      <c r="K136" s="186" t="s">
        <v>682</v>
      </c>
      <c r="L136" s="123" t="s">
        <v>2643</v>
      </c>
      <c r="M136" s="186" t="s">
        <v>705</v>
      </c>
      <c r="N136" s="186" t="s">
        <v>2741</v>
      </c>
      <c r="O136" s="186" t="s">
        <v>2741</v>
      </c>
      <c r="P136" s="123" t="s">
        <v>2762</v>
      </c>
      <c r="Q136" s="186"/>
      <c r="R136" s="186"/>
      <c r="S136" s="186">
        <v>0</v>
      </c>
      <c r="T136" s="186" t="s">
        <v>2743</v>
      </c>
      <c r="U136" s="186"/>
      <c r="V136" s="186"/>
      <c r="W136" s="186"/>
      <c r="X136">
        <v>14</v>
      </c>
      <c r="Z136" t="s">
        <v>2645</v>
      </c>
      <c r="AA136" s="30">
        <v>43538</v>
      </c>
      <c r="AB136" t="s">
        <v>2646</v>
      </c>
    </row>
    <row r="137" spans="1:28" ht="121.5" customHeight="1">
      <c r="A137" s="213"/>
      <c r="B137" s="213"/>
      <c r="C137" s="210"/>
      <c r="D137" s="297" t="s">
        <v>682</v>
      </c>
      <c r="E137" s="186" t="s">
        <v>59</v>
      </c>
      <c r="F137" s="186" t="s">
        <v>734</v>
      </c>
      <c r="G137" s="186" t="s">
        <v>683</v>
      </c>
      <c r="H137" s="186" t="s">
        <v>682</v>
      </c>
      <c r="I137" s="186"/>
      <c r="J137" s="186"/>
      <c r="K137" s="186" t="s">
        <v>682</v>
      </c>
      <c r="L137" s="123" t="s">
        <v>2643</v>
      </c>
      <c r="M137" s="186" t="s">
        <v>735</v>
      </c>
      <c r="N137" s="186" t="s">
        <v>2741</v>
      </c>
      <c r="O137" s="186" t="s">
        <v>2741</v>
      </c>
      <c r="P137" s="123" t="s">
        <v>2763</v>
      </c>
      <c r="Q137" s="186"/>
      <c r="R137" s="186"/>
      <c r="S137" s="186">
        <v>8.8818000000000001</v>
      </c>
      <c r="T137" s="186" t="s">
        <v>2743</v>
      </c>
      <c r="U137" s="186"/>
      <c r="V137" s="186"/>
      <c r="W137" s="186"/>
      <c r="X137">
        <v>29</v>
      </c>
      <c r="Z137" t="s">
        <v>2645</v>
      </c>
      <c r="AA137" s="30">
        <v>43538</v>
      </c>
      <c r="AB137" t="s">
        <v>2646</v>
      </c>
    </row>
    <row r="138" spans="1:28" ht="121.5" customHeight="1">
      <c r="A138" s="213"/>
      <c r="B138" s="213"/>
      <c r="C138" s="210"/>
      <c r="D138" s="297"/>
      <c r="E138" s="186" t="s">
        <v>55</v>
      </c>
      <c r="F138" s="186" t="s">
        <v>706</v>
      </c>
      <c r="G138" s="186" t="s">
        <v>683</v>
      </c>
      <c r="H138" s="186" t="s">
        <v>682</v>
      </c>
      <c r="I138" s="186"/>
      <c r="J138" s="186"/>
      <c r="K138" s="186" t="s">
        <v>682</v>
      </c>
      <c r="L138" s="123" t="s">
        <v>2643</v>
      </c>
      <c r="M138" s="186" t="s">
        <v>707</v>
      </c>
      <c r="N138" s="186" t="s">
        <v>2741</v>
      </c>
      <c r="O138" s="186" t="s">
        <v>2741</v>
      </c>
      <c r="P138" s="123" t="s">
        <v>2764</v>
      </c>
      <c r="Q138" s="186"/>
      <c r="R138" s="186"/>
      <c r="S138" s="186">
        <v>-4.4539999999999997</v>
      </c>
      <c r="T138" s="186" t="s">
        <v>2743</v>
      </c>
      <c r="U138" s="186"/>
      <c r="V138" s="186"/>
      <c r="W138" s="186"/>
      <c r="X138">
        <v>15</v>
      </c>
      <c r="Z138" t="s">
        <v>2645</v>
      </c>
      <c r="AA138" s="30">
        <v>43538</v>
      </c>
      <c r="AB138" t="s">
        <v>2646</v>
      </c>
    </row>
    <row r="139" spans="1:28" ht="121.5" customHeight="1">
      <c r="A139" s="213"/>
      <c r="B139" s="213"/>
      <c r="C139" s="210"/>
      <c r="D139" s="297"/>
      <c r="E139" s="186" t="s">
        <v>55</v>
      </c>
      <c r="F139" s="186" t="s">
        <v>736</v>
      </c>
      <c r="G139" s="186" t="s">
        <v>683</v>
      </c>
      <c r="H139" s="186" t="s">
        <v>682</v>
      </c>
      <c r="I139" s="186"/>
      <c r="J139" s="186"/>
      <c r="K139" s="186" t="s">
        <v>682</v>
      </c>
      <c r="L139" s="123" t="s">
        <v>2643</v>
      </c>
      <c r="M139" s="186" t="s">
        <v>737</v>
      </c>
      <c r="N139" s="186" t="s">
        <v>2741</v>
      </c>
      <c r="O139" s="186" t="s">
        <v>2741</v>
      </c>
      <c r="P139" s="123" t="s">
        <v>2765</v>
      </c>
      <c r="Q139" s="186"/>
      <c r="R139" s="186"/>
      <c r="S139" s="186">
        <v>10.616899999999999</v>
      </c>
      <c r="T139" s="186" t="s">
        <v>2743</v>
      </c>
      <c r="U139" s="186"/>
      <c r="V139" s="186"/>
      <c r="W139" s="186"/>
      <c r="X139">
        <v>30</v>
      </c>
      <c r="Z139" t="s">
        <v>2645</v>
      </c>
      <c r="AA139" s="30">
        <v>43538</v>
      </c>
      <c r="AB139" t="s">
        <v>2646</v>
      </c>
    </row>
    <row r="140" spans="1:28" ht="121.5" customHeight="1">
      <c r="A140" s="213"/>
      <c r="B140" s="213"/>
      <c r="C140" s="210"/>
      <c r="D140" s="297"/>
      <c r="E140" s="186" t="s">
        <v>55</v>
      </c>
      <c r="F140" s="186" t="s">
        <v>708</v>
      </c>
      <c r="G140" s="186" t="s">
        <v>683</v>
      </c>
      <c r="H140" s="186" t="s">
        <v>682</v>
      </c>
      <c r="I140" s="186"/>
      <c r="J140" s="186"/>
      <c r="K140" s="186" t="s">
        <v>682</v>
      </c>
      <c r="L140" s="123" t="s">
        <v>2643</v>
      </c>
      <c r="M140" s="186" t="s">
        <v>709</v>
      </c>
      <c r="N140" s="186" t="s">
        <v>2741</v>
      </c>
      <c r="O140" s="186" t="s">
        <v>2741</v>
      </c>
      <c r="P140" s="123" t="s">
        <v>2766</v>
      </c>
      <c r="Q140" s="186"/>
      <c r="R140" s="186"/>
      <c r="S140" s="186">
        <v>0</v>
      </c>
      <c r="T140" s="186" t="s">
        <v>2743</v>
      </c>
      <c r="U140" s="186"/>
      <c r="V140" s="186"/>
      <c r="W140" s="186"/>
      <c r="X140">
        <v>16</v>
      </c>
      <c r="Z140" t="s">
        <v>2645</v>
      </c>
      <c r="AA140" s="30">
        <v>43538</v>
      </c>
      <c r="AB140" t="s">
        <v>2646</v>
      </c>
    </row>
    <row r="141" spans="1:28" ht="121.5" customHeight="1">
      <c r="A141" s="213"/>
      <c r="B141" s="213"/>
      <c r="C141" s="210"/>
      <c r="D141" s="297"/>
      <c r="E141" s="186" t="s">
        <v>55</v>
      </c>
      <c r="F141" s="186" t="s">
        <v>738</v>
      </c>
      <c r="G141" s="186" t="s">
        <v>683</v>
      </c>
      <c r="H141" s="186" t="s">
        <v>682</v>
      </c>
      <c r="I141" s="186"/>
      <c r="J141" s="186"/>
      <c r="K141" s="186" t="s">
        <v>682</v>
      </c>
      <c r="L141" s="123" t="s">
        <v>2643</v>
      </c>
      <c r="M141" s="186" t="s">
        <v>739</v>
      </c>
      <c r="N141" s="186" t="s">
        <v>2741</v>
      </c>
      <c r="O141" s="186" t="s">
        <v>2741</v>
      </c>
      <c r="P141" s="123" t="s">
        <v>2767</v>
      </c>
      <c r="Q141" s="186"/>
      <c r="R141" s="186"/>
      <c r="S141" s="186">
        <v>11.2828</v>
      </c>
      <c r="T141" s="186" t="s">
        <v>2743</v>
      </c>
      <c r="U141" s="186"/>
      <c r="V141" s="186"/>
      <c r="W141" s="186"/>
      <c r="X141">
        <v>31</v>
      </c>
      <c r="Z141" t="s">
        <v>2645</v>
      </c>
      <c r="AA141" s="30">
        <v>43538</v>
      </c>
      <c r="AB141" t="s">
        <v>2646</v>
      </c>
    </row>
    <row r="142" spans="1:28" ht="121.5" customHeight="1">
      <c r="A142" s="213"/>
      <c r="B142" s="213"/>
      <c r="C142" s="210"/>
      <c r="D142" s="297"/>
      <c r="E142" s="186" t="s">
        <v>55</v>
      </c>
      <c r="F142" s="186" t="s">
        <v>710</v>
      </c>
      <c r="G142" s="186" t="s">
        <v>683</v>
      </c>
      <c r="H142" s="186" t="s">
        <v>682</v>
      </c>
      <c r="I142" s="186"/>
      <c r="J142" s="186"/>
      <c r="K142" s="186" t="s">
        <v>682</v>
      </c>
      <c r="L142" s="123" t="s">
        <v>2643</v>
      </c>
      <c r="M142" s="186" t="s">
        <v>711</v>
      </c>
      <c r="N142" s="186" t="s">
        <v>2741</v>
      </c>
      <c r="O142" s="186" t="s">
        <v>2741</v>
      </c>
      <c r="P142" s="123" t="s">
        <v>2768</v>
      </c>
      <c r="Q142" s="186"/>
      <c r="R142" s="186"/>
      <c r="S142" s="186">
        <v>0</v>
      </c>
      <c r="T142" s="186" t="s">
        <v>2743</v>
      </c>
      <c r="U142" s="186"/>
      <c r="V142" s="186"/>
      <c r="W142" s="186"/>
      <c r="X142">
        <v>17</v>
      </c>
      <c r="Z142" t="s">
        <v>2645</v>
      </c>
      <c r="AA142" s="30">
        <v>43538</v>
      </c>
      <c r="AB142" t="s">
        <v>2646</v>
      </c>
    </row>
    <row r="143" spans="1:28" ht="121.5" customHeight="1">
      <c r="A143" s="213"/>
      <c r="B143" s="213"/>
      <c r="C143" s="210"/>
      <c r="D143" s="297"/>
      <c r="E143" s="186" t="s">
        <v>55</v>
      </c>
      <c r="F143" s="186" t="s">
        <v>740</v>
      </c>
      <c r="G143" s="186" t="s">
        <v>683</v>
      </c>
      <c r="H143" s="186" t="s">
        <v>682</v>
      </c>
      <c r="I143" s="186"/>
      <c r="J143" s="186"/>
      <c r="K143" s="186" t="s">
        <v>682</v>
      </c>
      <c r="L143" s="123" t="s">
        <v>2643</v>
      </c>
      <c r="M143" s="186" t="s">
        <v>741</v>
      </c>
      <c r="N143" s="186" t="s">
        <v>2741</v>
      </c>
      <c r="O143" s="186" t="s">
        <v>2741</v>
      </c>
      <c r="P143" s="123" t="s">
        <v>2769</v>
      </c>
      <c r="Q143" s="186"/>
      <c r="R143" s="186"/>
      <c r="S143" s="186">
        <v>10.427199999999999</v>
      </c>
      <c r="T143" s="186" t="s">
        <v>2743</v>
      </c>
      <c r="U143" s="186"/>
      <c r="V143" s="186"/>
      <c r="W143" s="186"/>
      <c r="X143">
        <v>32</v>
      </c>
      <c r="Z143" t="s">
        <v>2645</v>
      </c>
      <c r="AA143" s="30">
        <v>43538</v>
      </c>
      <c r="AB143" t="s">
        <v>2646</v>
      </c>
    </row>
    <row r="144" spans="1:28" ht="121.5" customHeight="1">
      <c r="A144" s="213"/>
      <c r="B144" s="213"/>
      <c r="C144" s="210"/>
      <c r="D144" s="297"/>
      <c r="E144" s="186" t="s">
        <v>55</v>
      </c>
      <c r="F144" s="186" t="s">
        <v>712</v>
      </c>
      <c r="G144" s="186" t="s">
        <v>683</v>
      </c>
      <c r="H144" s="186" t="s">
        <v>682</v>
      </c>
      <c r="I144" s="186"/>
      <c r="J144" s="186"/>
      <c r="K144" s="186" t="s">
        <v>682</v>
      </c>
      <c r="L144" s="123" t="s">
        <v>2643</v>
      </c>
      <c r="M144" s="186" t="s">
        <v>713</v>
      </c>
      <c r="N144" s="186" t="s">
        <v>2741</v>
      </c>
      <c r="O144" s="186" t="s">
        <v>2741</v>
      </c>
      <c r="P144" s="123" t="s">
        <v>2770</v>
      </c>
      <c r="Q144" s="186"/>
      <c r="R144" s="186"/>
      <c r="S144" s="186">
        <v>0</v>
      </c>
      <c r="T144" s="186" t="s">
        <v>2743</v>
      </c>
      <c r="U144" s="186"/>
      <c r="V144" s="186"/>
      <c r="W144" s="186"/>
      <c r="X144">
        <v>18</v>
      </c>
      <c r="Z144" t="s">
        <v>2645</v>
      </c>
      <c r="AA144" s="30">
        <v>43538</v>
      </c>
      <c r="AB144" t="s">
        <v>2646</v>
      </c>
    </row>
    <row r="145" spans="1:28" ht="121.5" customHeight="1">
      <c r="A145" s="213"/>
      <c r="B145" s="213"/>
      <c r="C145" s="210"/>
      <c r="D145" s="297"/>
      <c r="E145" s="186" t="s">
        <v>55</v>
      </c>
      <c r="F145" s="186" t="s">
        <v>742</v>
      </c>
      <c r="G145" s="186" t="s">
        <v>683</v>
      </c>
      <c r="H145" s="186" t="s">
        <v>682</v>
      </c>
      <c r="I145" s="186"/>
      <c r="J145" s="186"/>
      <c r="K145" s="186" t="s">
        <v>682</v>
      </c>
      <c r="L145" s="123" t="s">
        <v>2643</v>
      </c>
      <c r="M145" s="186" t="s">
        <v>743</v>
      </c>
      <c r="N145" s="186" t="s">
        <v>2741</v>
      </c>
      <c r="O145" s="186" t="s">
        <v>2741</v>
      </c>
      <c r="P145" s="123" t="s">
        <v>2771</v>
      </c>
      <c r="Q145" s="186"/>
      <c r="R145" s="186"/>
      <c r="S145" s="186">
        <v>12.0319</v>
      </c>
      <c r="T145" s="186" t="s">
        <v>2743</v>
      </c>
      <c r="U145" s="186"/>
      <c r="V145" s="186"/>
      <c r="W145" s="186"/>
      <c r="X145">
        <v>33</v>
      </c>
      <c r="Z145" t="s">
        <v>2645</v>
      </c>
      <c r="AA145" s="30">
        <v>43538</v>
      </c>
      <c r="AB145" t="s">
        <v>2646</v>
      </c>
    </row>
    <row r="146" spans="1:28" ht="121.5" customHeight="1">
      <c r="A146" s="213"/>
      <c r="B146" s="213"/>
      <c r="C146" s="210"/>
      <c r="D146" s="297" t="s">
        <v>682</v>
      </c>
      <c r="E146" s="186" t="s">
        <v>59</v>
      </c>
      <c r="F146" s="186" t="s">
        <v>720</v>
      </c>
      <c r="G146" s="186" t="s">
        <v>683</v>
      </c>
      <c r="H146" s="186" t="s">
        <v>682</v>
      </c>
      <c r="I146" s="186"/>
      <c r="J146" s="186"/>
      <c r="K146" s="186" t="s">
        <v>682</v>
      </c>
      <c r="L146" s="123" t="s">
        <v>2643</v>
      </c>
      <c r="M146" s="186" t="s">
        <v>721</v>
      </c>
      <c r="N146" s="186" t="s">
        <v>2741</v>
      </c>
      <c r="O146" s="186" t="s">
        <v>2741</v>
      </c>
      <c r="P146" s="123" t="s">
        <v>2772</v>
      </c>
      <c r="Q146" s="186"/>
      <c r="R146" s="186"/>
      <c r="S146" s="186">
        <v>-1.6422000000000001</v>
      </c>
      <c r="T146" s="186" t="s">
        <v>2743</v>
      </c>
      <c r="U146" s="186"/>
      <c r="V146" s="186"/>
      <c r="W146" s="186"/>
      <c r="X146">
        <v>22</v>
      </c>
      <c r="Z146" t="s">
        <v>2645</v>
      </c>
      <c r="AA146" s="30">
        <v>43538</v>
      </c>
      <c r="AB146" t="s">
        <v>2646</v>
      </c>
    </row>
    <row r="147" spans="1:28" ht="121.5" customHeight="1">
      <c r="A147" s="299"/>
      <c r="B147" s="299"/>
      <c r="C147" s="299"/>
      <c r="D147" s="299"/>
      <c r="E147" s="186" t="s">
        <v>55</v>
      </c>
      <c r="F147" s="441" t="s">
        <v>2773</v>
      </c>
      <c r="G147" s="441" t="s">
        <v>683</v>
      </c>
      <c r="H147" s="441" t="s">
        <v>682</v>
      </c>
      <c r="I147" s="441"/>
      <c r="J147" s="441"/>
      <c r="K147" s="441" t="s">
        <v>682</v>
      </c>
      <c r="L147" s="123" t="s">
        <v>2643</v>
      </c>
      <c r="M147" s="441" t="s">
        <v>2774</v>
      </c>
      <c r="N147" s="441"/>
      <c r="O147" s="441"/>
      <c r="P147" s="441"/>
      <c r="Q147" s="441"/>
      <c r="R147" s="441"/>
      <c r="S147" s="441"/>
      <c r="T147" s="441"/>
      <c r="U147" s="441"/>
      <c r="X147" s="441"/>
      <c r="Y147" s="441"/>
      <c r="Z147" s="441"/>
      <c r="AA147" s="441"/>
      <c r="AB147" s="441"/>
    </row>
    <row r="148" spans="1:28" ht="121.5" customHeight="1">
      <c r="A148" s="213"/>
      <c r="B148" s="213"/>
      <c r="C148" s="210"/>
      <c r="D148" s="297" t="s">
        <v>682</v>
      </c>
      <c r="E148" s="186" t="s">
        <v>59</v>
      </c>
      <c r="F148" s="186" t="s">
        <v>722</v>
      </c>
      <c r="G148" s="186" t="s">
        <v>683</v>
      </c>
      <c r="H148" s="186" t="s">
        <v>682</v>
      </c>
      <c r="I148" s="186"/>
      <c r="J148" s="186"/>
      <c r="K148" s="186" t="s">
        <v>682</v>
      </c>
      <c r="L148" s="123" t="s">
        <v>2643</v>
      </c>
      <c r="M148" s="186" t="s">
        <v>723</v>
      </c>
      <c r="N148" s="186" t="s">
        <v>2741</v>
      </c>
      <c r="O148" s="186" t="s">
        <v>2741</v>
      </c>
      <c r="P148" s="123" t="s">
        <v>2775</v>
      </c>
      <c r="Q148" s="186"/>
      <c r="R148" s="186"/>
      <c r="S148" s="186">
        <v>7.9672999999999998</v>
      </c>
      <c r="T148" s="186" t="s">
        <v>2743</v>
      </c>
      <c r="U148" s="186"/>
      <c r="V148" s="186"/>
      <c r="W148" s="186"/>
      <c r="X148">
        <v>23</v>
      </c>
      <c r="Z148" t="s">
        <v>2645</v>
      </c>
      <c r="AA148" s="30">
        <v>43538</v>
      </c>
      <c r="AB148" t="s">
        <v>2646</v>
      </c>
    </row>
    <row r="149" spans="1:28" ht="18.75" hidden="1" customHeight="1">
      <c r="A149" s="213"/>
      <c r="B149" s="213"/>
      <c r="C149" s="210"/>
      <c r="D149" s="297"/>
      <c r="E149" s="186" t="s">
        <v>55</v>
      </c>
      <c r="F149" s="186" t="s">
        <v>2776</v>
      </c>
      <c r="G149" s="186" t="s">
        <v>683</v>
      </c>
      <c r="H149" s="186" t="s">
        <v>682</v>
      </c>
      <c r="I149" s="186"/>
      <c r="J149" s="186"/>
      <c r="K149" s="186" t="s">
        <v>680</v>
      </c>
      <c r="L149" s="186"/>
      <c r="M149" s="186"/>
      <c r="N149" s="186"/>
      <c r="O149" s="186"/>
      <c r="P149" s="186"/>
      <c r="Q149" s="186"/>
      <c r="R149" s="186"/>
      <c r="S149" s="186"/>
      <c r="T149" s="186" t="s">
        <v>2743</v>
      </c>
      <c r="U149" s="186"/>
      <c r="V149" s="186"/>
      <c r="W149" s="186"/>
    </row>
    <row r="150" spans="1:28" ht="121.5" customHeight="1">
      <c r="A150" s="213"/>
      <c r="B150" s="213"/>
      <c r="C150" s="210"/>
      <c r="D150" s="297" t="s">
        <v>682</v>
      </c>
      <c r="E150" s="186" t="s">
        <v>59</v>
      </c>
      <c r="F150" s="186" t="s">
        <v>724</v>
      </c>
      <c r="G150" s="186" t="s">
        <v>683</v>
      </c>
      <c r="H150" s="186" t="s">
        <v>682</v>
      </c>
      <c r="I150" s="186"/>
      <c r="J150" s="186"/>
      <c r="K150" s="186" t="s">
        <v>682</v>
      </c>
      <c r="L150" s="123" t="s">
        <v>2643</v>
      </c>
      <c r="M150" s="186" t="s">
        <v>725</v>
      </c>
      <c r="N150" s="186" t="s">
        <v>2741</v>
      </c>
      <c r="O150" s="186" t="s">
        <v>2741</v>
      </c>
      <c r="P150" s="123" t="s">
        <v>2777</v>
      </c>
      <c r="Q150" s="186"/>
      <c r="R150" s="186"/>
      <c r="S150" s="186">
        <v>7.9672999999999998</v>
      </c>
      <c r="T150" s="186" t="s">
        <v>2743</v>
      </c>
      <c r="U150" s="186"/>
      <c r="V150" s="186"/>
      <c r="W150" s="186"/>
      <c r="X150">
        <v>24</v>
      </c>
      <c r="Z150" t="s">
        <v>2645</v>
      </c>
      <c r="AA150" s="30">
        <v>43538</v>
      </c>
      <c r="AB150" t="s">
        <v>2646</v>
      </c>
    </row>
    <row r="151" spans="1:28" ht="18.75" hidden="1" customHeight="1">
      <c r="A151" s="213"/>
      <c r="B151" s="213"/>
      <c r="C151" s="210"/>
      <c r="D151" s="297"/>
      <c r="E151" s="186" t="s">
        <v>59</v>
      </c>
      <c r="F151" s="186" t="s">
        <v>318</v>
      </c>
      <c r="G151" s="186" t="s">
        <v>2778</v>
      </c>
      <c r="H151" s="186" t="s">
        <v>682</v>
      </c>
      <c r="I151" s="186"/>
      <c r="J151" s="186"/>
      <c r="K151" s="186" t="s">
        <v>680</v>
      </c>
      <c r="L151" s="186"/>
      <c r="M151" s="186"/>
      <c r="N151" s="186"/>
      <c r="O151" s="186"/>
      <c r="P151" s="186"/>
      <c r="Q151" s="186"/>
      <c r="R151" s="186"/>
      <c r="S151" s="186"/>
      <c r="T151" s="186" t="s">
        <v>2779</v>
      </c>
      <c r="U151" s="186"/>
      <c r="V151" s="186"/>
      <c r="W151" s="186"/>
    </row>
    <row r="152" spans="1:28" ht="18.75" hidden="1" customHeight="1">
      <c r="A152" s="213"/>
      <c r="B152" s="213"/>
      <c r="C152" s="210"/>
      <c r="D152" s="297"/>
      <c r="E152" s="186" t="s">
        <v>55</v>
      </c>
      <c r="F152" s="186" t="s">
        <v>2780</v>
      </c>
      <c r="G152" s="186" t="s">
        <v>683</v>
      </c>
      <c r="H152" s="186" t="s">
        <v>682</v>
      </c>
      <c r="I152" s="186"/>
      <c r="J152" s="186"/>
      <c r="K152" s="186" t="s">
        <v>680</v>
      </c>
      <c r="L152" s="186"/>
      <c r="M152" s="186"/>
      <c r="N152" s="186"/>
      <c r="O152" s="186"/>
      <c r="P152" s="186"/>
      <c r="Q152" s="186"/>
      <c r="R152" s="186"/>
      <c r="S152" s="186"/>
      <c r="T152" s="186" t="s">
        <v>2781</v>
      </c>
      <c r="U152" s="186"/>
      <c r="V152" s="186"/>
      <c r="W152" s="186"/>
    </row>
    <row r="153" spans="1:28" ht="18.75" hidden="1" customHeight="1">
      <c r="A153" s="213"/>
      <c r="B153" s="213"/>
      <c r="C153" s="210"/>
      <c r="D153" s="297"/>
      <c r="E153" s="186" t="s">
        <v>55</v>
      </c>
      <c r="F153" s="186" t="s">
        <v>2782</v>
      </c>
      <c r="G153" s="186" t="s">
        <v>683</v>
      </c>
      <c r="H153" s="186" t="s">
        <v>682</v>
      </c>
      <c r="I153" s="186"/>
      <c r="J153" s="186"/>
      <c r="K153" s="186" t="s">
        <v>680</v>
      </c>
      <c r="L153" s="186"/>
      <c r="M153" s="186"/>
      <c r="N153" s="186"/>
      <c r="O153" s="186"/>
      <c r="P153" s="186"/>
      <c r="Q153" s="186"/>
      <c r="R153" s="186"/>
      <c r="S153" s="186"/>
      <c r="T153" s="186" t="s">
        <v>2783</v>
      </c>
      <c r="U153" s="186"/>
      <c r="V153" s="186"/>
      <c r="W153" s="186"/>
    </row>
    <row r="154" spans="1:28" ht="18.75" hidden="1" customHeight="1">
      <c r="A154" s="213"/>
      <c r="B154" s="213"/>
      <c r="C154" s="210"/>
      <c r="D154" s="297"/>
      <c r="E154" s="186" t="s">
        <v>55</v>
      </c>
      <c r="F154" s="186" t="s">
        <v>2784</v>
      </c>
      <c r="G154" s="186" t="s">
        <v>683</v>
      </c>
      <c r="H154" s="186" t="s">
        <v>682</v>
      </c>
      <c r="I154" s="186"/>
      <c r="J154" s="186"/>
      <c r="K154" s="186" t="s">
        <v>680</v>
      </c>
      <c r="L154" s="186"/>
      <c r="M154" s="186"/>
      <c r="N154" s="186"/>
      <c r="O154" s="186"/>
      <c r="P154" s="186"/>
      <c r="Q154" s="186"/>
      <c r="R154" s="186"/>
      <c r="S154" s="186"/>
      <c r="T154" s="186" t="s">
        <v>2785</v>
      </c>
      <c r="U154" s="186"/>
      <c r="V154" s="186"/>
      <c r="W154" s="186"/>
    </row>
    <row r="155" spans="1:28" ht="18.75" hidden="1" customHeight="1">
      <c r="A155" s="213"/>
      <c r="B155" s="213"/>
      <c r="C155" s="210"/>
      <c r="D155" s="297"/>
      <c r="E155" s="186" t="s">
        <v>55</v>
      </c>
      <c r="F155" s="186" t="s">
        <v>2786</v>
      </c>
      <c r="G155" s="186" t="s">
        <v>683</v>
      </c>
      <c r="H155" s="186" t="s">
        <v>682</v>
      </c>
      <c r="I155" s="186"/>
      <c r="J155" s="186"/>
      <c r="K155" s="186" t="s">
        <v>680</v>
      </c>
      <c r="L155" s="186"/>
      <c r="M155" s="186"/>
      <c r="N155" s="186"/>
      <c r="O155" s="186"/>
      <c r="P155" s="186"/>
      <c r="Q155" s="186"/>
      <c r="R155" s="186"/>
      <c r="S155" s="186"/>
      <c r="T155" s="186" t="s">
        <v>2787</v>
      </c>
      <c r="U155" s="186"/>
      <c r="V155" s="186"/>
      <c r="W155" s="186"/>
    </row>
    <row r="156" spans="1:28" ht="18.75" hidden="1" customHeight="1">
      <c r="A156" s="213"/>
      <c r="B156" s="213"/>
      <c r="C156" s="210"/>
      <c r="D156" s="297"/>
      <c r="E156" s="186" t="s">
        <v>55</v>
      </c>
      <c r="F156" s="186" t="s">
        <v>2788</v>
      </c>
      <c r="G156" s="186" t="s">
        <v>683</v>
      </c>
      <c r="H156" s="186" t="s">
        <v>682</v>
      </c>
      <c r="I156" s="186"/>
      <c r="J156" s="186"/>
      <c r="K156" s="186" t="s">
        <v>680</v>
      </c>
      <c r="L156" s="186"/>
      <c r="M156" s="186"/>
      <c r="N156" s="186"/>
      <c r="O156" s="186"/>
      <c r="P156" s="186"/>
      <c r="Q156" s="186"/>
      <c r="R156" s="186"/>
      <c r="S156" s="186"/>
      <c r="T156" s="186" t="s">
        <v>2789</v>
      </c>
      <c r="U156" s="186"/>
      <c r="V156" s="186"/>
      <c r="W156" s="186"/>
    </row>
    <row r="157" spans="1:28" ht="18.75" hidden="1" customHeight="1">
      <c r="A157" s="213"/>
      <c r="B157" s="213"/>
      <c r="C157" s="210"/>
      <c r="D157" s="297"/>
      <c r="E157" s="186" t="s">
        <v>53</v>
      </c>
      <c r="F157" s="186" t="s">
        <v>2790</v>
      </c>
      <c r="G157" s="186" t="s">
        <v>897</v>
      </c>
      <c r="H157" s="186" t="s">
        <v>682</v>
      </c>
      <c r="I157" s="186"/>
      <c r="J157" s="186"/>
      <c r="K157" s="186" t="s">
        <v>680</v>
      </c>
      <c r="L157" s="186"/>
      <c r="M157" s="186"/>
      <c r="N157" s="186"/>
      <c r="O157" s="186"/>
      <c r="P157" s="186"/>
      <c r="Q157" s="186"/>
      <c r="R157" s="186"/>
      <c r="S157" s="186"/>
      <c r="T157" s="186" t="s">
        <v>1190</v>
      </c>
      <c r="U157" s="186"/>
      <c r="V157" s="186"/>
      <c r="W157" s="186"/>
    </row>
    <row r="158" spans="1:28" ht="121.5" customHeight="1">
      <c r="A158" s="213"/>
      <c r="B158" s="213" t="s">
        <v>682</v>
      </c>
      <c r="C158" s="210"/>
      <c r="D158" s="297"/>
      <c r="E158" s="186" t="s">
        <v>61</v>
      </c>
      <c r="F158" s="186" t="s">
        <v>160</v>
      </c>
      <c r="G158" s="186" t="s">
        <v>681</v>
      </c>
      <c r="H158" s="186" t="s">
        <v>682</v>
      </c>
      <c r="J158" s="186"/>
      <c r="K158" s="186" t="s">
        <v>682</v>
      </c>
      <c r="L158" s="123" t="s">
        <v>2643</v>
      </c>
      <c r="M158" s="186" t="s">
        <v>500</v>
      </c>
      <c r="N158" s="186" t="s">
        <v>1390</v>
      </c>
      <c r="O158" s="186" t="s">
        <v>1390</v>
      </c>
      <c r="P158" s="123" t="s">
        <v>2791</v>
      </c>
      <c r="Q158" s="186"/>
      <c r="R158" s="186"/>
      <c r="S158" s="186">
        <v>0</v>
      </c>
      <c r="T158" s="186" t="s">
        <v>2792</v>
      </c>
      <c r="U158" s="186"/>
      <c r="V158" s="186"/>
      <c r="W158" s="186"/>
      <c r="X158">
        <v>2</v>
      </c>
      <c r="Z158" t="s">
        <v>2645</v>
      </c>
      <c r="AA158" s="30">
        <v>43538</v>
      </c>
      <c r="AB158" t="s">
        <v>2646</v>
      </c>
    </row>
    <row r="159" spans="1:28" ht="18.75" hidden="1" customHeight="1">
      <c r="A159" s="213"/>
      <c r="B159" s="213"/>
      <c r="C159" s="210"/>
      <c r="D159" s="297"/>
      <c r="E159" s="186" t="s">
        <v>53</v>
      </c>
      <c r="F159" s="186" t="s">
        <v>124</v>
      </c>
      <c r="G159" s="186" t="s">
        <v>897</v>
      </c>
      <c r="H159" s="186" t="s">
        <v>680</v>
      </c>
      <c r="I159" s="186"/>
      <c r="J159" s="186"/>
      <c r="K159" s="186" t="s">
        <v>680</v>
      </c>
      <c r="L159" s="186"/>
      <c r="M159" s="186"/>
      <c r="N159" s="186"/>
      <c r="O159" s="186"/>
      <c r="P159" s="186"/>
      <c r="Q159" s="186"/>
      <c r="R159" s="186"/>
      <c r="S159" s="186"/>
      <c r="T159" s="186" t="s">
        <v>1190</v>
      </c>
      <c r="U159" s="186"/>
      <c r="V159" s="186"/>
      <c r="W159" s="186"/>
    </row>
    <row r="160" spans="1:28" ht="18.75" hidden="1" customHeight="1">
      <c r="A160" s="213"/>
      <c r="B160" s="213"/>
      <c r="C160" s="210"/>
      <c r="D160" s="297"/>
      <c r="E160" s="186" t="s">
        <v>55</v>
      </c>
      <c r="F160" s="186" t="s">
        <v>2793</v>
      </c>
      <c r="G160" s="186" t="s">
        <v>683</v>
      </c>
      <c r="H160" s="186" t="s">
        <v>682</v>
      </c>
      <c r="I160" s="186"/>
      <c r="J160" s="186"/>
      <c r="K160" s="186" t="s">
        <v>680</v>
      </c>
      <c r="L160" s="186"/>
      <c r="M160" s="186"/>
      <c r="N160" s="186"/>
      <c r="O160" s="186"/>
      <c r="P160" s="186"/>
      <c r="Q160" s="186"/>
      <c r="R160" s="186"/>
      <c r="S160" s="186"/>
      <c r="T160" s="186" t="s">
        <v>2794</v>
      </c>
      <c r="U160" s="186"/>
      <c r="V160" s="186"/>
      <c r="W160" s="186"/>
    </row>
    <row r="161" spans="1:23" ht="18.75" hidden="1" customHeight="1">
      <c r="A161" s="213"/>
      <c r="B161" s="213"/>
      <c r="C161" s="210"/>
      <c r="D161" s="297"/>
      <c r="E161" s="186" t="s">
        <v>55</v>
      </c>
      <c r="F161" s="186" t="s">
        <v>2795</v>
      </c>
      <c r="G161" s="186" t="s">
        <v>683</v>
      </c>
      <c r="H161" s="186" t="s">
        <v>682</v>
      </c>
      <c r="I161" s="186"/>
      <c r="J161" s="186"/>
      <c r="K161" s="186" t="s">
        <v>680</v>
      </c>
      <c r="L161" s="186"/>
      <c r="M161" s="186"/>
      <c r="N161" s="186"/>
      <c r="O161" s="186"/>
      <c r="P161" s="186"/>
      <c r="Q161" s="186"/>
      <c r="R161" s="186"/>
      <c r="S161" s="186"/>
      <c r="T161" s="186" t="s">
        <v>2796</v>
      </c>
      <c r="U161" s="186"/>
      <c r="V161" s="186"/>
      <c r="W161" s="186"/>
    </row>
    <row r="162" spans="1:23" ht="18.75" hidden="1" customHeight="1">
      <c r="A162" s="213"/>
      <c r="B162" s="213"/>
      <c r="C162" s="210"/>
      <c r="D162" s="297"/>
      <c r="E162" s="186" t="s">
        <v>55</v>
      </c>
      <c r="F162" s="186" t="s">
        <v>2797</v>
      </c>
      <c r="G162" s="186" t="s">
        <v>683</v>
      </c>
      <c r="H162" s="186" t="s">
        <v>682</v>
      </c>
      <c r="I162" s="186"/>
      <c r="J162" s="186"/>
      <c r="K162" s="186" t="s">
        <v>680</v>
      </c>
      <c r="L162" s="186"/>
      <c r="M162" s="186"/>
      <c r="N162" s="186"/>
      <c r="O162" s="186"/>
      <c r="P162" s="186"/>
      <c r="Q162" s="186"/>
      <c r="R162" s="186"/>
      <c r="S162" s="186"/>
      <c r="T162" s="186" t="s">
        <v>2796</v>
      </c>
      <c r="U162" s="186"/>
      <c r="V162" s="186"/>
      <c r="W162" s="186"/>
    </row>
    <row r="163" spans="1:23" ht="18.75" hidden="1" customHeight="1">
      <c r="A163" s="213"/>
      <c r="B163" s="213"/>
      <c r="C163" s="210"/>
      <c r="D163" s="297"/>
      <c r="E163" s="186" t="s">
        <v>55</v>
      </c>
      <c r="F163" s="186" t="s">
        <v>2798</v>
      </c>
      <c r="G163" s="186" t="s">
        <v>683</v>
      </c>
      <c r="H163" s="186" t="s">
        <v>682</v>
      </c>
      <c r="I163" s="186"/>
      <c r="J163" s="186"/>
      <c r="K163" s="186" t="s">
        <v>680</v>
      </c>
      <c r="L163" s="186"/>
      <c r="M163" s="186"/>
      <c r="N163" s="186"/>
      <c r="O163" s="186"/>
      <c r="P163" s="186"/>
      <c r="Q163" s="186"/>
      <c r="R163" s="186"/>
      <c r="S163" s="186"/>
      <c r="T163" s="186" t="s">
        <v>2796</v>
      </c>
      <c r="U163" s="186"/>
      <c r="V163" s="186"/>
      <c r="W163" s="186"/>
    </row>
    <row r="164" spans="1:23" ht="18.75" hidden="1" customHeight="1">
      <c r="A164" s="213"/>
      <c r="B164" s="213"/>
      <c r="C164" s="210"/>
      <c r="D164" s="297"/>
      <c r="E164" s="186" t="s">
        <v>55</v>
      </c>
      <c r="F164" s="186" t="s">
        <v>2799</v>
      </c>
      <c r="G164" s="186" t="s">
        <v>683</v>
      </c>
      <c r="H164" s="186" t="s">
        <v>682</v>
      </c>
      <c r="I164" s="186"/>
      <c r="J164" s="186"/>
      <c r="K164" s="186" t="s">
        <v>680</v>
      </c>
      <c r="L164" s="186"/>
      <c r="M164" s="186"/>
      <c r="N164" s="186"/>
      <c r="O164" s="186"/>
      <c r="P164" s="186"/>
      <c r="Q164" s="186"/>
      <c r="R164" s="186"/>
      <c r="S164" s="186"/>
      <c r="T164" s="186" t="s">
        <v>2796</v>
      </c>
      <c r="U164" s="186"/>
      <c r="V164" s="186"/>
      <c r="W164" s="186"/>
    </row>
    <row r="165" spans="1:23" ht="18.75" hidden="1" customHeight="1">
      <c r="A165" s="213"/>
      <c r="B165" s="213"/>
      <c r="C165" s="210"/>
      <c r="D165" s="297"/>
      <c r="E165" s="186" t="s">
        <v>55</v>
      </c>
      <c r="F165" s="186" t="s">
        <v>2800</v>
      </c>
      <c r="G165" s="186" t="s">
        <v>683</v>
      </c>
      <c r="H165" s="186" t="s">
        <v>682</v>
      </c>
      <c r="I165" s="186"/>
      <c r="J165" s="186"/>
      <c r="K165" s="186" t="s">
        <v>680</v>
      </c>
      <c r="L165" s="186"/>
      <c r="M165" s="186"/>
      <c r="N165" s="186"/>
      <c r="O165" s="186"/>
      <c r="P165" s="186"/>
      <c r="Q165" s="186"/>
      <c r="R165" s="186"/>
      <c r="S165" s="186"/>
      <c r="T165" s="186" t="s">
        <v>2796</v>
      </c>
      <c r="U165" s="186"/>
      <c r="V165" s="186"/>
      <c r="W165" s="186"/>
    </row>
    <row r="166" spans="1:23" ht="18.75" hidden="1" customHeight="1">
      <c r="A166" s="213"/>
      <c r="B166" s="213"/>
      <c r="C166" s="210"/>
      <c r="D166" s="297"/>
      <c r="E166" s="186" t="s">
        <v>55</v>
      </c>
      <c r="F166" s="186" t="s">
        <v>2801</v>
      </c>
      <c r="G166" s="186" t="s">
        <v>683</v>
      </c>
      <c r="H166" s="186" t="s">
        <v>682</v>
      </c>
      <c r="I166" s="186"/>
      <c r="J166" s="186"/>
      <c r="K166" s="186" t="s">
        <v>680</v>
      </c>
      <c r="L166" s="186"/>
      <c r="M166" s="186"/>
      <c r="N166" s="186"/>
      <c r="O166" s="186"/>
      <c r="P166" s="186"/>
      <c r="Q166" s="186"/>
      <c r="R166" s="186"/>
      <c r="S166" s="186"/>
      <c r="T166" s="186" t="s">
        <v>2796</v>
      </c>
      <c r="U166" s="186"/>
      <c r="V166" s="186"/>
      <c r="W166" s="186"/>
    </row>
    <row r="167" spans="1:23" ht="18.75" hidden="1" customHeight="1">
      <c r="A167" s="213"/>
      <c r="B167" s="213"/>
      <c r="C167" s="210"/>
      <c r="D167" s="297"/>
      <c r="E167" s="186" t="s">
        <v>55</v>
      </c>
      <c r="F167" s="186" t="s">
        <v>2802</v>
      </c>
      <c r="G167" s="186" t="s">
        <v>683</v>
      </c>
      <c r="H167" s="186" t="s">
        <v>682</v>
      </c>
      <c r="I167" s="186"/>
      <c r="J167" s="186"/>
      <c r="K167" s="186" t="s">
        <v>680</v>
      </c>
      <c r="L167" s="186"/>
      <c r="M167" s="186"/>
      <c r="N167" s="186"/>
      <c r="O167" s="186"/>
      <c r="P167" s="186"/>
      <c r="Q167" s="186"/>
      <c r="R167" s="186"/>
      <c r="S167" s="186"/>
      <c r="T167" s="186" t="s">
        <v>2796</v>
      </c>
      <c r="U167" s="186"/>
      <c r="V167" s="186"/>
      <c r="W167" s="186"/>
    </row>
    <row r="168" spans="1:23" ht="18.75" hidden="1" customHeight="1">
      <c r="A168" s="213"/>
      <c r="B168" s="213"/>
      <c r="C168" s="210"/>
      <c r="D168" s="297"/>
      <c r="E168" s="186" t="s">
        <v>55</v>
      </c>
      <c r="F168" s="186" t="s">
        <v>2803</v>
      </c>
      <c r="G168" s="186" t="s">
        <v>683</v>
      </c>
      <c r="H168" s="186" t="s">
        <v>682</v>
      </c>
      <c r="I168" s="186"/>
      <c r="J168" s="186"/>
      <c r="K168" s="186" t="s">
        <v>680</v>
      </c>
      <c r="L168" s="186"/>
      <c r="M168" s="186"/>
      <c r="N168" s="186"/>
      <c r="O168" s="186"/>
      <c r="P168" s="186"/>
      <c r="Q168" s="186"/>
      <c r="R168" s="186"/>
      <c r="S168" s="186"/>
      <c r="T168" s="186" t="s">
        <v>2796</v>
      </c>
      <c r="U168" s="186"/>
      <c r="V168" s="186"/>
      <c r="W168" s="186"/>
    </row>
    <row r="169" spans="1:23" ht="18.75" hidden="1" customHeight="1">
      <c r="A169" s="213"/>
      <c r="B169" s="213"/>
      <c r="C169" s="210"/>
      <c r="D169" s="297"/>
      <c r="E169" s="186" t="s">
        <v>55</v>
      </c>
      <c r="F169" s="186" t="s">
        <v>2804</v>
      </c>
      <c r="G169" s="186" t="s">
        <v>683</v>
      </c>
      <c r="H169" s="186" t="s">
        <v>682</v>
      </c>
      <c r="I169" s="186"/>
      <c r="J169" s="186"/>
      <c r="K169" s="186" t="s">
        <v>680</v>
      </c>
      <c r="L169" s="186"/>
      <c r="M169" s="186"/>
      <c r="N169" s="186"/>
      <c r="O169" s="186"/>
      <c r="P169" s="186"/>
      <c r="Q169" s="186"/>
      <c r="R169" s="186"/>
      <c r="S169" s="186"/>
      <c r="T169" s="186" t="s">
        <v>2796</v>
      </c>
      <c r="U169" s="186"/>
      <c r="V169" s="186"/>
      <c r="W169" s="186"/>
    </row>
    <row r="170" spans="1:23" ht="18.75" hidden="1" customHeight="1">
      <c r="A170" s="213"/>
      <c r="B170" s="213"/>
      <c r="C170" s="210"/>
      <c r="D170" s="297"/>
      <c r="E170" s="186" t="s">
        <v>55</v>
      </c>
      <c r="F170" s="186" t="s">
        <v>2805</v>
      </c>
      <c r="G170" s="186" t="s">
        <v>683</v>
      </c>
      <c r="H170" s="186" t="s">
        <v>682</v>
      </c>
      <c r="I170" s="186"/>
      <c r="J170" s="186"/>
      <c r="K170" s="186" t="s">
        <v>680</v>
      </c>
      <c r="L170" s="186"/>
      <c r="M170" s="186"/>
      <c r="N170" s="186"/>
      <c r="O170" s="186"/>
      <c r="P170" s="186"/>
      <c r="Q170" s="186"/>
      <c r="R170" s="186"/>
      <c r="S170" s="186"/>
      <c r="T170" s="186" t="s">
        <v>2796</v>
      </c>
      <c r="U170" s="186"/>
      <c r="V170" s="186"/>
      <c r="W170" s="186"/>
    </row>
    <row r="171" spans="1:23" ht="18.75" hidden="1" customHeight="1">
      <c r="A171" s="213"/>
      <c r="B171" s="213"/>
      <c r="C171" s="210"/>
      <c r="D171" s="297"/>
      <c r="E171" s="186" t="s">
        <v>55</v>
      </c>
      <c r="F171" s="186" t="s">
        <v>2806</v>
      </c>
      <c r="G171" s="186" t="s">
        <v>683</v>
      </c>
      <c r="H171" s="186" t="s">
        <v>682</v>
      </c>
      <c r="I171" s="186"/>
      <c r="J171" s="186"/>
      <c r="K171" s="186" t="s">
        <v>680</v>
      </c>
      <c r="L171" s="186"/>
      <c r="M171" s="186"/>
      <c r="N171" s="186"/>
      <c r="O171" s="186"/>
      <c r="P171" s="186"/>
      <c r="Q171" s="186"/>
      <c r="R171" s="186"/>
      <c r="S171" s="186"/>
      <c r="T171" s="186" t="s">
        <v>2796</v>
      </c>
      <c r="U171" s="186"/>
      <c r="V171" s="186"/>
      <c r="W171" s="186"/>
    </row>
    <row r="172" spans="1:23" ht="18.75" hidden="1" customHeight="1">
      <c r="A172" s="213"/>
      <c r="B172" s="213"/>
      <c r="C172" s="210"/>
      <c r="D172" s="297"/>
      <c r="E172" s="186" t="s">
        <v>55</v>
      </c>
      <c r="F172" s="186" t="s">
        <v>2807</v>
      </c>
      <c r="G172" s="186" t="s">
        <v>683</v>
      </c>
      <c r="H172" s="186" t="s">
        <v>682</v>
      </c>
      <c r="I172" s="186"/>
      <c r="J172" s="186"/>
      <c r="K172" s="186" t="s">
        <v>680</v>
      </c>
      <c r="L172" s="186"/>
      <c r="M172" s="186"/>
      <c r="N172" s="186"/>
      <c r="O172" s="186"/>
      <c r="P172" s="186"/>
      <c r="Q172" s="186"/>
      <c r="R172" s="186"/>
      <c r="S172" s="186"/>
      <c r="T172" s="186" t="s">
        <v>2796</v>
      </c>
      <c r="U172" s="186"/>
      <c r="V172" s="186"/>
      <c r="W172" s="186"/>
    </row>
    <row r="173" spans="1:23" ht="18.75" hidden="1" customHeight="1">
      <c r="A173" s="213"/>
      <c r="B173" s="213"/>
      <c r="C173" s="210"/>
      <c r="D173" s="297"/>
      <c r="E173" s="186" t="s">
        <v>55</v>
      </c>
      <c r="F173" s="186" t="s">
        <v>2808</v>
      </c>
      <c r="G173" s="186" t="s">
        <v>683</v>
      </c>
      <c r="H173" s="186" t="s">
        <v>682</v>
      </c>
      <c r="I173" s="186"/>
      <c r="J173" s="186"/>
      <c r="K173" s="186" t="s">
        <v>680</v>
      </c>
      <c r="L173" s="186"/>
      <c r="M173" s="186"/>
      <c r="N173" s="186"/>
      <c r="O173" s="186"/>
      <c r="P173" s="186"/>
      <c r="Q173" s="186"/>
      <c r="R173" s="186"/>
      <c r="S173" s="186"/>
      <c r="T173" s="186" t="s">
        <v>2796</v>
      </c>
      <c r="U173" s="186"/>
      <c r="V173" s="186"/>
      <c r="W173" s="186"/>
    </row>
    <row r="174" spans="1:23" ht="18.75" hidden="1" customHeight="1">
      <c r="A174" s="213"/>
      <c r="B174" s="213"/>
      <c r="C174" s="210"/>
      <c r="D174" s="297"/>
      <c r="E174" s="186" t="s">
        <v>55</v>
      </c>
      <c r="F174" s="186" t="s">
        <v>2809</v>
      </c>
      <c r="G174" s="186" t="s">
        <v>683</v>
      </c>
      <c r="H174" s="186" t="s">
        <v>682</v>
      </c>
      <c r="I174" s="186"/>
      <c r="J174" s="186"/>
      <c r="K174" s="186" t="s">
        <v>680</v>
      </c>
      <c r="L174" s="186"/>
      <c r="M174" s="186"/>
      <c r="N174" s="186"/>
      <c r="O174" s="186"/>
      <c r="P174" s="186"/>
      <c r="Q174" s="186"/>
      <c r="R174" s="186"/>
      <c r="S174" s="186"/>
      <c r="T174" s="186" t="s">
        <v>2796</v>
      </c>
      <c r="U174" s="186"/>
      <c r="V174" s="186"/>
      <c r="W174" s="186"/>
    </row>
    <row r="175" spans="1:23" ht="18.75" hidden="1" customHeight="1">
      <c r="A175" s="213"/>
      <c r="B175" s="213"/>
      <c r="C175" s="210"/>
      <c r="D175" s="297"/>
      <c r="E175" s="186" t="s">
        <v>59</v>
      </c>
      <c r="F175" s="186" t="s">
        <v>2810</v>
      </c>
      <c r="G175" s="186" t="s">
        <v>679</v>
      </c>
      <c r="H175" s="186" t="s">
        <v>682</v>
      </c>
      <c r="I175" s="186"/>
      <c r="J175" s="186"/>
      <c r="K175" s="186" t="s">
        <v>680</v>
      </c>
      <c r="L175" s="186"/>
      <c r="M175" s="186"/>
      <c r="N175" s="186"/>
      <c r="O175" s="186"/>
      <c r="P175" s="186"/>
      <c r="Q175" s="186"/>
      <c r="R175" s="186"/>
      <c r="S175" s="186"/>
      <c r="T175" s="186" t="s">
        <v>2811</v>
      </c>
      <c r="U175" s="186"/>
      <c r="V175" s="186"/>
      <c r="W175" s="186"/>
    </row>
    <row r="176" spans="1:23" ht="18.75" hidden="1" customHeight="1">
      <c r="A176" s="213"/>
      <c r="B176" s="213"/>
      <c r="C176" s="210"/>
      <c r="D176" s="297"/>
      <c r="E176" s="186" t="s">
        <v>59</v>
      </c>
      <c r="F176" s="186" t="s">
        <v>322</v>
      </c>
      <c r="G176" s="186" t="s">
        <v>2812</v>
      </c>
      <c r="H176" s="186" t="s">
        <v>682</v>
      </c>
      <c r="I176" s="186"/>
      <c r="J176" s="186"/>
      <c r="K176" s="186" t="s">
        <v>680</v>
      </c>
      <c r="L176" s="186"/>
      <c r="M176" s="186"/>
      <c r="N176" s="186"/>
      <c r="O176" s="186"/>
      <c r="P176" s="186"/>
      <c r="Q176" s="186"/>
      <c r="R176" s="186"/>
      <c r="S176" s="186"/>
      <c r="T176" s="186" t="s">
        <v>322</v>
      </c>
      <c r="U176" s="186"/>
      <c r="V176" s="186"/>
      <c r="W176" s="186"/>
    </row>
    <row r="177" spans="1:28" ht="18.75" hidden="1" customHeight="1">
      <c r="A177" s="213"/>
      <c r="B177" s="213"/>
      <c r="C177" s="210"/>
      <c r="D177" s="297"/>
      <c r="E177" s="186" t="s">
        <v>59</v>
      </c>
      <c r="F177" s="186" t="s">
        <v>129</v>
      </c>
      <c r="G177" s="186" t="s">
        <v>689</v>
      </c>
      <c r="H177" s="186" t="s">
        <v>682</v>
      </c>
      <c r="I177" s="186"/>
      <c r="J177" s="186"/>
      <c r="K177" s="186" t="s">
        <v>680</v>
      </c>
      <c r="L177" s="186"/>
      <c r="M177" s="186"/>
      <c r="N177" s="186"/>
      <c r="O177" s="186"/>
      <c r="P177" s="186"/>
      <c r="Q177" s="186"/>
      <c r="R177" s="186"/>
      <c r="S177" s="186"/>
      <c r="T177" s="186" t="s">
        <v>2813</v>
      </c>
      <c r="U177" s="186"/>
      <c r="V177" s="186"/>
      <c r="W177" s="186"/>
    </row>
    <row r="178" spans="1:28" ht="18.75" hidden="1" customHeight="1">
      <c r="A178" s="213"/>
      <c r="B178" s="213"/>
      <c r="C178" s="210"/>
      <c r="D178" s="297"/>
      <c r="E178" s="186" t="s">
        <v>55</v>
      </c>
      <c r="F178" s="186" t="s">
        <v>2814</v>
      </c>
      <c r="G178" s="186" t="s">
        <v>683</v>
      </c>
      <c r="H178" s="186" t="s">
        <v>682</v>
      </c>
      <c r="I178" s="186"/>
      <c r="J178" s="186"/>
      <c r="K178" s="186" t="s">
        <v>680</v>
      </c>
      <c r="L178" s="186"/>
      <c r="M178" s="186"/>
      <c r="N178" s="186"/>
      <c r="O178" s="186"/>
      <c r="P178" s="186"/>
      <c r="Q178" s="186"/>
      <c r="R178" s="186"/>
      <c r="S178" s="186"/>
      <c r="T178" s="186" t="s">
        <v>2815</v>
      </c>
      <c r="U178" s="186"/>
      <c r="V178" s="186"/>
      <c r="W178" s="186"/>
    </row>
    <row r="179" spans="1:28" ht="18.75" hidden="1" customHeight="1">
      <c r="A179" s="213"/>
      <c r="B179" s="213"/>
      <c r="C179" s="210"/>
      <c r="D179" s="297"/>
      <c r="E179" s="186" t="s">
        <v>55</v>
      </c>
      <c r="F179" s="186" t="s">
        <v>2816</v>
      </c>
      <c r="G179" s="186" t="s">
        <v>683</v>
      </c>
      <c r="H179" s="186" t="s">
        <v>682</v>
      </c>
      <c r="I179" s="186"/>
      <c r="J179" s="186"/>
      <c r="K179" s="186" t="s">
        <v>680</v>
      </c>
      <c r="L179" s="186"/>
      <c r="M179" s="186"/>
      <c r="N179" s="186"/>
      <c r="O179" s="186"/>
      <c r="P179" s="186"/>
      <c r="Q179" s="186"/>
      <c r="R179" s="186"/>
      <c r="S179" s="186"/>
      <c r="T179" s="186" t="s">
        <v>2817</v>
      </c>
      <c r="U179" s="186"/>
      <c r="V179" s="186"/>
      <c r="W179" s="186"/>
    </row>
    <row r="180" spans="1:28" ht="18.75" hidden="1" customHeight="1">
      <c r="A180" s="213"/>
      <c r="B180" s="213"/>
      <c r="C180" s="210"/>
      <c r="D180" s="297"/>
      <c r="E180" s="186" t="s">
        <v>55</v>
      </c>
      <c r="F180" s="186" t="s">
        <v>2818</v>
      </c>
      <c r="G180" s="186" t="s">
        <v>683</v>
      </c>
      <c r="H180" s="186" t="s">
        <v>682</v>
      </c>
      <c r="I180" s="186"/>
      <c r="J180" s="186"/>
      <c r="K180" s="186" t="s">
        <v>680</v>
      </c>
      <c r="L180" s="186"/>
      <c r="M180" s="186"/>
      <c r="N180" s="186"/>
      <c r="O180" s="186"/>
      <c r="P180" s="186"/>
      <c r="Q180" s="186"/>
      <c r="R180" s="186"/>
      <c r="S180" s="186"/>
      <c r="T180" s="186" t="s">
        <v>2819</v>
      </c>
      <c r="U180" s="186"/>
      <c r="V180" s="186"/>
      <c r="W180" s="186"/>
    </row>
    <row r="181" spans="1:28" ht="18.75" hidden="1" customHeight="1">
      <c r="A181" s="213"/>
      <c r="B181" s="213"/>
      <c r="C181" s="210"/>
      <c r="D181" s="297"/>
      <c r="E181" s="186" t="s">
        <v>55</v>
      </c>
      <c r="F181" s="186" t="s">
        <v>2820</v>
      </c>
      <c r="G181" s="186" t="s">
        <v>683</v>
      </c>
      <c r="H181" s="186" t="s">
        <v>682</v>
      </c>
      <c r="I181" s="186"/>
      <c r="J181" s="186"/>
      <c r="K181" s="186" t="s">
        <v>680</v>
      </c>
      <c r="L181" s="186"/>
      <c r="M181" s="186"/>
      <c r="N181" s="186"/>
      <c r="O181" s="186"/>
      <c r="P181" s="186"/>
      <c r="Q181" s="186"/>
      <c r="R181" s="186"/>
      <c r="S181" s="186"/>
      <c r="T181" s="186" t="s">
        <v>2821</v>
      </c>
      <c r="U181" s="186"/>
      <c r="V181" s="186"/>
      <c r="W181" s="186"/>
    </row>
    <row r="182" spans="1:28" ht="18.75" hidden="1" customHeight="1">
      <c r="A182" s="213"/>
      <c r="B182" s="213"/>
      <c r="C182" s="210"/>
      <c r="D182" s="297"/>
      <c r="E182" s="186" t="s">
        <v>55</v>
      </c>
      <c r="F182" s="186" t="s">
        <v>2822</v>
      </c>
      <c r="G182" s="186" t="s">
        <v>683</v>
      </c>
      <c r="H182" s="186" t="s">
        <v>682</v>
      </c>
      <c r="I182" s="186"/>
      <c r="J182" s="186"/>
      <c r="K182" s="186" t="s">
        <v>680</v>
      </c>
      <c r="L182" s="186"/>
      <c r="M182" s="186"/>
      <c r="N182" s="186"/>
      <c r="O182" s="186"/>
      <c r="P182" s="186"/>
      <c r="Q182" s="186"/>
      <c r="R182" s="186"/>
      <c r="S182" s="186"/>
      <c r="T182" s="186" t="s">
        <v>2823</v>
      </c>
      <c r="U182" s="186"/>
      <c r="V182" s="186"/>
      <c r="W182" s="186"/>
    </row>
    <row r="183" spans="1:28" ht="18.75" hidden="1" customHeight="1">
      <c r="A183" s="213"/>
      <c r="B183" s="213"/>
      <c r="C183" s="210"/>
      <c r="D183" s="297"/>
      <c r="E183" s="186" t="s">
        <v>55</v>
      </c>
      <c r="F183" s="186" t="s">
        <v>2824</v>
      </c>
      <c r="G183" s="186" t="s">
        <v>683</v>
      </c>
      <c r="H183" s="186" t="s">
        <v>682</v>
      </c>
      <c r="I183" s="186"/>
      <c r="J183" s="186"/>
      <c r="K183" s="186" t="s">
        <v>680</v>
      </c>
      <c r="L183" s="186"/>
      <c r="M183" s="186"/>
      <c r="N183" s="186"/>
      <c r="O183" s="186"/>
      <c r="P183" s="186"/>
      <c r="Q183" s="186"/>
      <c r="R183" s="186"/>
      <c r="S183" s="186"/>
      <c r="T183" s="186" t="s">
        <v>2823</v>
      </c>
      <c r="U183" s="186"/>
      <c r="V183" s="186"/>
      <c r="W183" s="186"/>
    </row>
    <row r="184" spans="1:28" ht="18.75" hidden="1" customHeight="1">
      <c r="A184" s="213"/>
      <c r="B184" s="213"/>
      <c r="C184" s="210"/>
      <c r="D184" s="297"/>
      <c r="E184" s="186" t="s">
        <v>55</v>
      </c>
      <c r="F184" s="186" t="s">
        <v>2825</v>
      </c>
      <c r="G184" s="186" t="s">
        <v>683</v>
      </c>
      <c r="H184" s="186" t="s">
        <v>682</v>
      </c>
      <c r="I184" s="186"/>
      <c r="J184" s="186"/>
      <c r="K184" s="186" t="s">
        <v>680</v>
      </c>
      <c r="L184" s="186"/>
      <c r="M184" s="186"/>
      <c r="N184" s="186"/>
      <c r="O184" s="186"/>
      <c r="P184" s="186"/>
      <c r="Q184" s="186"/>
      <c r="R184" s="186"/>
      <c r="S184" s="186"/>
      <c r="T184" s="186" t="s">
        <v>2823</v>
      </c>
      <c r="U184" s="186"/>
      <c r="V184" s="186"/>
      <c r="W184" s="186"/>
    </row>
    <row r="185" spans="1:28" ht="18.75" hidden="1" customHeight="1">
      <c r="A185" s="213"/>
      <c r="B185" s="213"/>
      <c r="C185" s="210"/>
      <c r="D185" s="297"/>
      <c r="E185" s="186" t="s">
        <v>55</v>
      </c>
      <c r="F185" s="186" t="s">
        <v>2826</v>
      </c>
      <c r="G185" s="186" t="s">
        <v>683</v>
      </c>
      <c r="H185" s="186" t="s">
        <v>682</v>
      </c>
      <c r="I185" s="186"/>
      <c r="J185" s="186"/>
      <c r="K185" s="186" t="s">
        <v>680</v>
      </c>
      <c r="L185" s="186"/>
      <c r="M185" s="186"/>
      <c r="N185" s="186"/>
      <c r="O185" s="186"/>
      <c r="P185" s="186"/>
      <c r="Q185" s="186"/>
      <c r="R185" s="186"/>
      <c r="S185" s="186"/>
      <c r="T185" s="186" t="s">
        <v>2823</v>
      </c>
      <c r="U185" s="186"/>
      <c r="V185" s="186"/>
      <c r="W185" s="186"/>
    </row>
    <row r="186" spans="1:28" ht="18.75" hidden="1" customHeight="1">
      <c r="A186" s="213"/>
      <c r="B186" s="213"/>
      <c r="C186" s="210"/>
      <c r="D186" s="297"/>
      <c r="E186" s="186" t="s">
        <v>55</v>
      </c>
      <c r="F186" s="186" t="s">
        <v>2827</v>
      </c>
      <c r="G186" s="186" t="s">
        <v>683</v>
      </c>
      <c r="H186" s="186" t="s">
        <v>682</v>
      </c>
      <c r="I186" s="186"/>
      <c r="J186" s="186"/>
      <c r="K186" s="186" t="s">
        <v>680</v>
      </c>
      <c r="L186" s="186"/>
      <c r="M186" s="186"/>
      <c r="N186" s="186"/>
      <c r="O186" s="186"/>
      <c r="P186" s="186"/>
      <c r="Q186" s="186"/>
      <c r="R186" s="186"/>
      <c r="S186" s="186"/>
      <c r="T186" s="186" t="s">
        <v>2823</v>
      </c>
      <c r="U186" s="186"/>
      <c r="V186" s="186"/>
      <c r="W186" s="186"/>
    </row>
    <row r="187" spans="1:28" ht="18.75" hidden="1" customHeight="1">
      <c r="A187" s="213"/>
      <c r="B187" s="213"/>
      <c r="C187" s="210"/>
      <c r="D187" s="297"/>
      <c r="E187" s="186" t="s">
        <v>55</v>
      </c>
      <c r="F187" s="186" t="s">
        <v>2828</v>
      </c>
      <c r="G187" s="186" t="s">
        <v>683</v>
      </c>
      <c r="H187" s="186" t="s">
        <v>682</v>
      </c>
      <c r="I187" s="186"/>
      <c r="J187" s="186"/>
      <c r="K187" s="186" t="s">
        <v>680</v>
      </c>
      <c r="L187" s="186"/>
      <c r="M187" s="186"/>
      <c r="N187" s="186"/>
      <c r="O187" s="186"/>
      <c r="P187" s="186"/>
      <c r="Q187" s="186"/>
      <c r="R187" s="186"/>
      <c r="S187" s="186"/>
      <c r="T187" s="186" t="s">
        <v>2823</v>
      </c>
      <c r="U187" s="186"/>
      <c r="V187" s="186"/>
      <c r="W187" s="186"/>
    </row>
    <row r="188" spans="1:28" ht="18.75" hidden="1" customHeight="1">
      <c r="A188" s="213"/>
      <c r="B188" s="213"/>
      <c r="C188" s="210"/>
      <c r="D188" s="297"/>
      <c r="E188" s="186" t="s">
        <v>59</v>
      </c>
      <c r="F188" s="186" t="s">
        <v>128</v>
      </c>
      <c r="G188" s="186" t="s">
        <v>2829</v>
      </c>
      <c r="H188" s="186" t="s">
        <v>682</v>
      </c>
      <c r="I188" s="186"/>
      <c r="J188" s="186"/>
      <c r="K188" s="186" t="s">
        <v>680</v>
      </c>
      <c r="L188" s="186"/>
      <c r="M188" s="186"/>
      <c r="N188" s="186"/>
      <c r="O188" s="186"/>
      <c r="P188" s="186"/>
      <c r="Q188" s="186"/>
      <c r="R188" s="186"/>
      <c r="S188" s="186"/>
      <c r="T188" s="186" t="s">
        <v>2830</v>
      </c>
      <c r="U188" s="186"/>
      <c r="V188" s="186"/>
      <c r="W188" s="186"/>
    </row>
    <row r="189" spans="1:28" ht="12.5" hidden="1">
      <c r="A189" s="213"/>
      <c r="B189" s="213"/>
      <c r="C189" s="210"/>
      <c r="D189" s="297"/>
      <c r="E189" s="186" t="s">
        <v>59</v>
      </c>
      <c r="F189" s="186" t="s">
        <v>2831</v>
      </c>
      <c r="G189" s="186" t="s">
        <v>2832</v>
      </c>
      <c r="H189" s="186" t="s">
        <v>682</v>
      </c>
      <c r="I189" s="186"/>
      <c r="J189" s="186"/>
      <c r="K189" s="186" t="s">
        <v>680</v>
      </c>
      <c r="L189" s="186"/>
      <c r="M189" s="186"/>
      <c r="N189" s="186"/>
      <c r="O189" s="186"/>
      <c r="P189" s="186"/>
      <c r="Q189" s="186"/>
      <c r="R189" s="186"/>
      <c r="S189" s="186"/>
      <c r="T189" s="186" t="s">
        <v>2833</v>
      </c>
      <c r="U189" s="186"/>
      <c r="V189" s="186"/>
      <c r="W189" s="186"/>
    </row>
    <row r="190" spans="1:28" ht="121.5" customHeight="1">
      <c r="A190" s="213"/>
      <c r="B190" s="213"/>
      <c r="C190" s="210"/>
      <c r="D190" s="297" t="s">
        <v>682</v>
      </c>
      <c r="E190" s="186" t="s">
        <v>61</v>
      </c>
      <c r="F190" s="186" t="s">
        <v>163</v>
      </c>
      <c r="G190" s="186" t="s">
        <v>691</v>
      </c>
      <c r="H190" s="186" t="s">
        <v>682</v>
      </c>
      <c r="I190" s="186"/>
      <c r="J190" s="186"/>
      <c r="K190" s="186" t="s">
        <v>682</v>
      </c>
      <c r="L190" s="123" t="s">
        <v>2643</v>
      </c>
      <c r="M190" s="186" t="s">
        <v>692</v>
      </c>
      <c r="N190" s="186" t="s">
        <v>2834</v>
      </c>
      <c r="O190" s="186" t="s">
        <v>2834</v>
      </c>
      <c r="P190" s="123" t="s">
        <v>2835</v>
      </c>
      <c r="Q190" s="186"/>
      <c r="R190" s="186"/>
      <c r="S190" s="90" t="s">
        <v>2836</v>
      </c>
      <c r="T190" s="186" t="s">
        <v>2837</v>
      </c>
      <c r="U190" s="186"/>
      <c r="V190" s="186"/>
      <c r="W190" s="186"/>
      <c r="X190">
        <v>7</v>
      </c>
      <c r="Z190" t="s">
        <v>2645</v>
      </c>
      <c r="AA190" s="30">
        <v>43538</v>
      </c>
      <c r="AB190" t="s">
        <v>2646</v>
      </c>
    </row>
    <row r="191" spans="1:28" ht="121.5" customHeight="1">
      <c r="A191" s="213"/>
      <c r="B191" s="213"/>
      <c r="C191" s="210"/>
      <c r="D191" s="297"/>
      <c r="E191" s="186" t="s">
        <v>61</v>
      </c>
      <c r="F191" s="186" t="s">
        <v>164</v>
      </c>
      <c r="G191" s="186" t="s">
        <v>691</v>
      </c>
      <c r="H191" s="186" t="s">
        <v>682</v>
      </c>
      <c r="I191" s="186"/>
      <c r="J191" s="186"/>
      <c r="K191" s="186" t="s">
        <v>682</v>
      </c>
      <c r="L191" s="123" t="s">
        <v>2643</v>
      </c>
      <c r="M191" s="186" t="s">
        <v>693</v>
      </c>
      <c r="N191" s="186" t="s">
        <v>2834</v>
      </c>
      <c r="O191" s="186" t="s">
        <v>2834</v>
      </c>
      <c r="P191" s="123" t="s">
        <v>2838</v>
      </c>
      <c r="Q191" s="186"/>
      <c r="R191" s="186"/>
      <c r="S191" s="90" t="s">
        <v>2164</v>
      </c>
      <c r="T191" s="186" t="s">
        <v>2839</v>
      </c>
      <c r="U191" s="186"/>
      <c r="V191" s="186"/>
      <c r="W191" s="186"/>
      <c r="X191">
        <v>8</v>
      </c>
      <c r="Z191" t="s">
        <v>2645</v>
      </c>
      <c r="AA191" s="30">
        <v>43538</v>
      </c>
      <c r="AB191" t="s">
        <v>2646</v>
      </c>
    </row>
    <row r="192" spans="1:28" ht="121.5" customHeight="1">
      <c r="A192" s="213"/>
      <c r="B192" s="213"/>
      <c r="C192" s="210"/>
      <c r="D192" s="297"/>
      <c r="E192" s="186" t="s">
        <v>55</v>
      </c>
      <c r="F192" s="79" t="s">
        <v>165</v>
      </c>
      <c r="G192" s="186" t="s">
        <v>683</v>
      </c>
      <c r="H192" s="186" t="s">
        <v>682</v>
      </c>
      <c r="I192" s="186"/>
      <c r="J192" s="186"/>
      <c r="K192" s="186" t="s">
        <v>682</v>
      </c>
      <c r="L192" s="123" t="s">
        <v>2643</v>
      </c>
      <c r="M192" s="186" t="s">
        <v>684</v>
      </c>
      <c r="N192" s="186" t="s">
        <v>1573</v>
      </c>
      <c r="O192" s="186" t="s">
        <v>1573</v>
      </c>
      <c r="P192" s="123" t="s">
        <v>2840</v>
      </c>
      <c r="Q192" s="186"/>
      <c r="R192" s="186"/>
      <c r="S192" s="186">
        <v>1</v>
      </c>
      <c r="T192" s="186" t="s">
        <v>2841</v>
      </c>
      <c r="U192" s="186"/>
      <c r="V192" s="186"/>
      <c r="W192" s="186"/>
      <c r="X192">
        <v>3</v>
      </c>
      <c r="Z192" t="s">
        <v>2645</v>
      </c>
      <c r="AA192" s="30">
        <v>43538</v>
      </c>
      <c r="AB192" t="s">
        <v>2646</v>
      </c>
    </row>
    <row r="193" spans="1:23" ht="18.75" hidden="1" customHeight="1">
      <c r="A193" s="213"/>
      <c r="B193" s="213"/>
      <c r="C193" s="210"/>
      <c r="D193" s="297" t="s">
        <v>682</v>
      </c>
      <c r="E193" s="186" t="s">
        <v>59</v>
      </c>
      <c r="F193" s="186" t="s">
        <v>2842</v>
      </c>
      <c r="G193" s="186" t="s">
        <v>683</v>
      </c>
      <c r="H193" s="186" t="s">
        <v>682</v>
      </c>
      <c r="I193" s="186"/>
      <c r="J193" s="186"/>
      <c r="K193" s="186" t="s">
        <v>680</v>
      </c>
      <c r="L193" s="186"/>
      <c r="M193" s="186"/>
      <c r="N193" s="186"/>
      <c r="O193" s="186"/>
      <c r="P193" s="186"/>
      <c r="Q193" s="186"/>
      <c r="R193" s="186"/>
      <c r="S193" s="186"/>
      <c r="T193" s="186" t="s">
        <v>2843</v>
      </c>
      <c r="U193" s="186"/>
      <c r="V193" s="186"/>
      <c r="W193" s="186"/>
    </row>
    <row r="194" spans="1:23" ht="18.75" hidden="1" customHeight="1">
      <c r="A194" s="213"/>
      <c r="B194" s="213"/>
      <c r="C194" s="210"/>
      <c r="D194" s="297"/>
      <c r="E194" s="186" t="s">
        <v>55</v>
      </c>
      <c r="F194" s="186" t="s">
        <v>2844</v>
      </c>
      <c r="G194" s="186" t="s">
        <v>683</v>
      </c>
      <c r="H194" s="186" t="s">
        <v>682</v>
      </c>
      <c r="I194" s="186"/>
      <c r="J194" s="186"/>
      <c r="K194" s="186" t="s">
        <v>680</v>
      </c>
      <c r="L194" s="186"/>
      <c r="M194" s="186"/>
      <c r="N194" s="186"/>
      <c r="O194" s="186"/>
      <c r="P194" s="186"/>
      <c r="Q194" s="186"/>
      <c r="R194" s="186"/>
      <c r="S194" s="186"/>
      <c r="T194" s="186" t="s">
        <v>2843</v>
      </c>
      <c r="U194" s="186"/>
      <c r="V194" s="186"/>
      <c r="W194" s="186"/>
    </row>
    <row r="195" spans="1:23" ht="18.75" hidden="1" customHeight="1">
      <c r="A195" s="213"/>
      <c r="B195" s="213"/>
      <c r="C195" s="210"/>
      <c r="D195" s="297"/>
      <c r="E195" s="186" t="s">
        <v>55</v>
      </c>
      <c r="F195" s="186" t="s">
        <v>2845</v>
      </c>
      <c r="G195" s="186" t="s">
        <v>683</v>
      </c>
      <c r="H195" s="186" t="s">
        <v>682</v>
      </c>
      <c r="I195" s="186"/>
      <c r="J195" s="186"/>
      <c r="K195" s="186" t="s">
        <v>680</v>
      </c>
      <c r="L195" s="186"/>
      <c r="M195" s="186"/>
      <c r="N195" s="186"/>
      <c r="O195" s="186"/>
      <c r="P195" s="186"/>
      <c r="Q195" s="186"/>
      <c r="R195" s="186"/>
      <c r="S195" s="186"/>
      <c r="T195" s="186" t="s">
        <v>2843</v>
      </c>
      <c r="U195" s="186"/>
      <c r="V195" s="186"/>
      <c r="W195" s="186"/>
    </row>
    <row r="196" spans="1:23" ht="18.75" hidden="1" customHeight="1">
      <c r="A196" s="213"/>
      <c r="B196" s="213"/>
      <c r="C196" s="210"/>
      <c r="D196" s="297"/>
      <c r="E196" s="186" t="s">
        <v>55</v>
      </c>
      <c r="F196" s="186" t="s">
        <v>2846</v>
      </c>
      <c r="G196" s="186" t="s">
        <v>683</v>
      </c>
      <c r="H196" s="186" t="s">
        <v>682</v>
      </c>
      <c r="I196" s="186"/>
      <c r="J196" s="186"/>
      <c r="K196" s="186" t="s">
        <v>680</v>
      </c>
      <c r="L196" s="186"/>
      <c r="M196" s="186"/>
      <c r="N196" s="186"/>
      <c r="O196" s="186"/>
      <c r="P196" s="186"/>
      <c r="Q196" s="186"/>
      <c r="R196" s="186"/>
      <c r="S196" s="186"/>
      <c r="T196" s="186" t="s">
        <v>2843</v>
      </c>
      <c r="U196" s="186"/>
      <c r="V196" s="186"/>
      <c r="W196" s="186"/>
    </row>
    <row r="197" spans="1:23" ht="18.75" hidden="1" customHeight="1">
      <c r="A197" s="213"/>
      <c r="B197" s="213"/>
      <c r="C197" s="210"/>
      <c r="D197" s="297" t="s">
        <v>682</v>
      </c>
      <c r="E197" s="186" t="s">
        <v>59</v>
      </c>
      <c r="F197" s="186" t="s">
        <v>2847</v>
      </c>
      <c r="G197" s="186" t="s">
        <v>683</v>
      </c>
      <c r="H197" s="186" t="s">
        <v>682</v>
      </c>
      <c r="I197" s="186"/>
      <c r="J197" s="186"/>
      <c r="K197" s="186" t="s">
        <v>680</v>
      </c>
      <c r="L197" s="186"/>
      <c r="M197" s="186"/>
      <c r="N197" s="186"/>
      <c r="O197" s="186"/>
      <c r="P197" s="186"/>
      <c r="Q197" s="186"/>
      <c r="R197" s="186"/>
      <c r="S197" s="186"/>
      <c r="T197" s="186" t="s">
        <v>2843</v>
      </c>
      <c r="U197" s="186"/>
      <c r="V197" s="186"/>
      <c r="W197" s="186"/>
    </row>
    <row r="198" spans="1:23" ht="18.75" hidden="1" customHeight="1">
      <c r="A198" s="213"/>
      <c r="B198" s="213"/>
      <c r="C198" s="210"/>
      <c r="D198" s="297"/>
      <c r="E198" s="186" t="s">
        <v>55</v>
      </c>
      <c r="F198" s="186" t="s">
        <v>2848</v>
      </c>
      <c r="G198" s="186" t="s">
        <v>683</v>
      </c>
      <c r="H198" s="186" t="s">
        <v>682</v>
      </c>
      <c r="I198" s="186"/>
      <c r="J198" s="186"/>
      <c r="K198" s="186" t="s">
        <v>680</v>
      </c>
      <c r="L198" s="186"/>
      <c r="M198" s="186"/>
      <c r="N198" s="186"/>
      <c r="O198" s="186"/>
      <c r="P198" s="186"/>
      <c r="Q198" s="186"/>
      <c r="R198" s="186"/>
      <c r="S198" s="186"/>
      <c r="T198" s="186" t="s">
        <v>2843</v>
      </c>
      <c r="U198" s="186"/>
      <c r="V198" s="186"/>
      <c r="W198" s="186"/>
    </row>
    <row r="199" spans="1:23" ht="18.75" hidden="1" customHeight="1">
      <c r="A199" s="213"/>
      <c r="B199" s="213"/>
      <c r="C199" s="210"/>
      <c r="D199" s="297" t="s">
        <v>682</v>
      </c>
      <c r="E199" s="186" t="s">
        <v>59</v>
      </c>
      <c r="F199" s="186" t="s">
        <v>2849</v>
      </c>
      <c r="G199" s="186" t="s">
        <v>683</v>
      </c>
      <c r="H199" s="186" t="s">
        <v>682</v>
      </c>
      <c r="I199" s="186"/>
      <c r="J199" s="186"/>
      <c r="K199" s="186" t="s">
        <v>680</v>
      </c>
      <c r="L199" s="186"/>
      <c r="M199" s="186"/>
      <c r="N199" s="186"/>
      <c r="O199" s="186"/>
      <c r="P199" s="186"/>
      <c r="Q199" s="186"/>
      <c r="R199" s="186"/>
      <c r="S199" s="186"/>
      <c r="T199" s="186" t="s">
        <v>2843</v>
      </c>
      <c r="U199" s="186"/>
      <c r="V199" s="186"/>
      <c r="W199" s="186"/>
    </row>
    <row r="200" spans="1:23" ht="18.75" hidden="1" customHeight="1">
      <c r="A200" s="213"/>
      <c r="B200" s="213"/>
      <c r="C200" s="210"/>
      <c r="D200" s="297" t="s">
        <v>682</v>
      </c>
      <c r="E200" s="186" t="s">
        <v>59</v>
      </c>
      <c r="F200" s="186" t="s">
        <v>2850</v>
      </c>
      <c r="G200" s="186" t="s">
        <v>683</v>
      </c>
      <c r="H200" s="186" t="s">
        <v>682</v>
      </c>
      <c r="I200" s="186"/>
      <c r="J200" s="186"/>
      <c r="K200" s="186" t="s">
        <v>680</v>
      </c>
      <c r="L200" s="186"/>
      <c r="M200" s="186"/>
      <c r="N200" s="186"/>
      <c r="O200" s="186"/>
      <c r="P200" s="186"/>
      <c r="Q200" s="186"/>
      <c r="R200" s="186"/>
      <c r="S200" s="186"/>
      <c r="T200" s="186" t="s">
        <v>2843</v>
      </c>
      <c r="U200" s="186"/>
      <c r="V200" s="186"/>
      <c r="W200" s="186"/>
    </row>
    <row r="201" spans="1:23" ht="18.75" hidden="1" customHeight="1">
      <c r="A201" s="213"/>
      <c r="B201" s="213"/>
      <c r="C201" s="210"/>
      <c r="D201" s="297"/>
      <c r="E201" s="186" t="s">
        <v>55</v>
      </c>
      <c r="F201" s="186" t="s">
        <v>2851</v>
      </c>
      <c r="G201" s="186" t="s">
        <v>683</v>
      </c>
      <c r="H201" s="186" t="s">
        <v>682</v>
      </c>
      <c r="I201" s="186"/>
      <c r="J201" s="186"/>
      <c r="K201" s="186" t="s">
        <v>680</v>
      </c>
      <c r="L201" s="186"/>
      <c r="M201" s="186"/>
      <c r="N201" s="186"/>
      <c r="O201" s="186"/>
      <c r="P201" s="186"/>
      <c r="Q201" s="186"/>
      <c r="R201" s="186"/>
      <c r="S201" s="186"/>
      <c r="T201" s="186" t="s">
        <v>2843</v>
      </c>
      <c r="U201" s="186"/>
      <c r="V201" s="186"/>
      <c r="W201" s="186"/>
    </row>
    <row r="202" spans="1:23" ht="18.75" hidden="1" customHeight="1">
      <c r="A202" s="213"/>
      <c r="B202" s="213"/>
      <c r="C202" s="210"/>
      <c r="D202" s="297"/>
      <c r="E202" s="186" t="s">
        <v>55</v>
      </c>
      <c r="F202" s="186" t="s">
        <v>2852</v>
      </c>
      <c r="G202" s="186" t="s">
        <v>683</v>
      </c>
      <c r="H202" s="186" t="s">
        <v>682</v>
      </c>
      <c r="I202" s="186"/>
      <c r="J202" s="186"/>
      <c r="K202" s="186" t="s">
        <v>680</v>
      </c>
      <c r="L202" s="186"/>
      <c r="M202" s="186"/>
      <c r="N202" s="186"/>
      <c r="O202" s="186"/>
      <c r="P202" s="186"/>
      <c r="Q202" s="186"/>
      <c r="R202" s="186"/>
      <c r="S202" s="186"/>
      <c r="T202" s="186" t="s">
        <v>2843</v>
      </c>
      <c r="U202" s="186"/>
      <c r="V202" s="186"/>
      <c r="W202" s="186"/>
    </row>
    <row r="203" spans="1:23" ht="18.75" hidden="1" customHeight="1">
      <c r="A203" s="213"/>
      <c r="B203" s="213"/>
      <c r="C203" s="210"/>
      <c r="D203" s="297" t="s">
        <v>682</v>
      </c>
      <c r="E203" s="186" t="s">
        <v>59</v>
      </c>
      <c r="F203" s="186" t="s">
        <v>2853</v>
      </c>
      <c r="G203" s="186" t="s">
        <v>683</v>
      </c>
      <c r="H203" s="186" t="s">
        <v>682</v>
      </c>
      <c r="I203" s="186"/>
      <c r="J203" s="186"/>
      <c r="K203" s="186" t="s">
        <v>680</v>
      </c>
      <c r="L203" s="186"/>
      <c r="M203" s="186"/>
      <c r="N203" s="186"/>
      <c r="O203" s="186"/>
      <c r="P203" s="186"/>
      <c r="Q203" s="186"/>
      <c r="R203" s="186"/>
      <c r="S203" s="186"/>
      <c r="T203" s="186" t="s">
        <v>2843</v>
      </c>
      <c r="U203" s="186"/>
      <c r="V203" s="186"/>
      <c r="W203" s="186"/>
    </row>
    <row r="204" spans="1:23" ht="18.75" hidden="1" customHeight="1">
      <c r="A204" s="213"/>
      <c r="B204" s="213"/>
      <c r="C204" s="210"/>
      <c r="D204" s="297" t="s">
        <v>682</v>
      </c>
      <c r="E204" s="186" t="s">
        <v>59</v>
      </c>
      <c r="F204" s="186" t="s">
        <v>2854</v>
      </c>
      <c r="G204" s="186" t="s">
        <v>683</v>
      </c>
      <c r="H204" s="186" t="s">
        <v>682</v>
      </c>
      <c r="I204" s="186"/>
      <c r="J204" s="186"/>
      <c r="K204" s="186" t="s">
        <v>680</v>
      </c>
      <c r="L204" s="186"/>
      <c r="M204" s="186"/>
      <c r="N204" s="186"/>
      <c r="O204" s="186"/>
      <c r="P204" s="186"/>
      <c r="Q204" s="186"/>
      <c r="R204" s="186"/>
      <c r="S204" s="186"/>
      <c r="T204" s="186" t="s">
        <v>2843</v>
      </c>
      <c r="U204" s="186"/>
      <c r="V204" s="186"/>
      <c r="W204" s="186"/>
    </row>
    <row r="205" spans="1:23" ht="18.75" hidden="1" customHeight="1">
      <c r="A205" s="213"/>
      <c r="B205" s="213"/>
      <c r="C205" s="210"/>
      <c r="D205" s="297"/>
      <c r="E205" s="186" t="s">
        <v>55</v>
      </c>
      <c r="F205" s="186" t="s">
        <v>2855</v>
      </c>
      <c r="G205" s="186" t="s">
        <v>683</v>
      </c>
      <c r="H205" s="186" t="s">
        <v>682</v>
      </c>
      <c r="I205" s="186"/>
      <c r="J205" s="186"/>
      <c r="K205" s="186" t="s">
        <v>680</v>
      </c>
      <c r="L205" s="186"/>
      <c r="M205" s="186"/>
      <c r="N205" s="186"/>
      <c r="O205" s="186"/>
      <c r="P205" s="186"/>
      <c r="Q205" s="186"/>
      <c r="R205" s="186"/>
      <c r="S205" s="186"/>
      <c r="T205" s="186" t="s">
        <v>2843</v>
      </c>
      <c r="U205" s="186"/>
      <c r="V205" s="186"/>
      <c r="W205" s="186"/>
    </row>
    <row r="206" spans="1:23" ht="18.75" hidden="1" customHeight="1">
      <c r="A206" s="213"/>
      <c r="B206" s="213"/>
      <c r="C206" s="210"/>
      <c r="D206" s="297" t="s">
        <v>682</v>
      </c>
      <c r="E206" s="186" t="s">
        <v>59</v>
      </c>
      <c r="F206" s="186" t="s">
        <v>2856</v>
      </c>
      <c r="G206" s="186" t="s">
        <v>683</v>
      </c>
      <c r="H206" s="186" t="s">
        <v>682</v>
      </c>
      <c r="I206" s="186"/>
      <c r="J206" s="186"/>
      <c r="K206" s="186" t="s">
        <v>680</v>
      </c>
      <c r="L206" s="186"/>
      <c r="M206" s="186"/>
      <c r="N206" s="186"/>
      <c r="O206" s="186"/>
      <c r="P206" s="186"/>
      <c r="Q206" s="186"/>
      <c r="R206" s="186"/>
      <c r="S206" s="186"/>
      <c r="T206" s="186" t="s">
        <v>2843</v>
      </c>
      <c r="U206" s="186"/>
      <c r="V206" s="186"/>
      <c r="W206" s="186"/>
    </row>
    <row r="207" spans="1:23" ht="18.75" hidden="1" customHeight="1">
      <c r="A207" s="213"/>
      <c r="B207" s="213"/>
      <c r="C207" s="210"/>
      <c r="D207" s="297"/>
      <c r="E207" s="186" t="s">
        <v>55</v>
      </c>
      <c r="F207" s="186" t="s">
        <v>2857</v>
      </c>
      <c r="G207" s="186" t="s">
        <v>683</v>
      </c>
      <c r="H207" s="186" t="s">
        <v>682</v>
      </c>
      <c r="I207" s="186"/>
      <c r="J207" s="186"/>
      <c r="K207" s="186" t="s">
        <v>680</v>
      </c>
      <c r="L207" s="186"/>
      <c r="M207" s="186"/>
      <c r="N207" s="186"/>
      <c r="O207" s="186"/>
      <c r="P207" s="186"/>
      <c r="Q207" s="186"/>
      <c r="R207" s="186"/>
      <c r="S207" s="186"/>
      <c r="T207" s="186" t="s">
        <v>2858</v>
      </c>
      <c r="U207" s="186"/>
      <c r="V207" s="186"/>
      <c r="W207" s="186"/>
    </row>
    <row r="208" spans="1:23" ht="18.75" hidden="1" customHeight="1">
      <c r="A208" s="213"/>
      <c r="B208" s="213"/>
      <c r="C208" s="210"/>
      <c r="D208" s="297"/>
      <c r="E208" s="186" t="s">
        <v>55</v>
      </c>
      <c r="F208" s="186" t="s">
        <v>2859</v>
      </c>
      <c r="G208" s="186" t="s">
        <v>683</v>
      </c>
      <c r="H208" s="186" t="s">
        <v>682</v>
      </c>
      <c r="I208" s="186"/>
      <c r="J208" s="186"/>
      <c r="K208" s="186" t="s">
        <v>680</v>
      </c>
      <c r="L208" s="186"/>
      <c r="M208" s="186"/>
      <c r="N208" s="186"/>
      <c r="O208" s="186"/>
      <c r="P208" s="186"/>
      <c r="Q208" s="186"/>
      <c r="R208" s="186"/>
      <c r="S208" s="186"/>
      <c r="T208" s="186" t="s">
        <v>2858</v>
      </c>
      <c r="U208" s="186"/>
      <c r="V208" s="186"/>
      <c r="W208" s="186"/>
    </row>
    <row r="209" spans="1:23" ht="18.75" hidden="1" customHeight="1">
      <c r="A209" s="213"/>
      <c r="B209" s="213"/>
      <c r="C209" s="210"/>
      <c r="D209" s="297"/>
      <c r="E209" s="186" t="s">
        <v>55</v>
      </c>
      <c r="F209" s="186" t="s">
        <v>2860</v>
      </c>
      <c r="G209" s="186" t="s">
        <v>683</v>
      </c>
      <c r="H209" s="186" t="s">
        <v>682</v>
      </c>
      <c r="I209" s="186"/>
      <c r="J209" s="186"/>
      <c r="K209" s="186" t="s">
        <v>680</v>
      </c>
      <c r="L209" s="186"/>
      <c r="M209" s="186"/>
      <c r="N209" s="186"/>
      <c r="O209" s="186"/>
      <c r="P209" s="186"/>
      <c r="Q209" s="186"/>
      <c r="R209" s="186"/>
      <c r="S209" s="186"/>
      <c r="T209" s="186" t="s">
        <v>2858</v>
      </c>
      <c r="U209" s="186"/>
      <c r="V209" s="186"/>
      <c r="W209" s="186"/>
    </row>
    <row r="210" spans="1:23" ht="18.75" hidden="1" customHeight="1">
      <c r="A210" s="213"/>
      <c r="B210" s="213"/>
      <c r="C210" s="210"/>
      <c r="D210" s="297"/>
      <c r="E210" s="186" t="s">
        <v>55</v>
      </c>
      <c r="F210" s="186" t="s">
        <v>2861</v>
      </c>
      <c r="G210" s="186" t="s">
        <v>683</v>
      </c>
      <c r="H210" s="186" t="s">
        <v>682</v>
      </c>
      <c r="I210" s="186"/>
      <c r="J210" s="186"/>
      <c r="K210" s="186" t="s">
        <v>680</v>
      </c>
      <c r="L210" s="186"/>
      <c r="M210" s="186"/>
      <c r="N210" s="186"/>
      <c r="O210" s="186"/>
      <c r="P210" s="186"/>
      <c r="Q210" s="186"/>
      <c r="R210" s="186"/>
      <c r="S210" s="186"/>
      <c r="T210" s="186" t="s">
        <v>2858</v>
      </c>
      <c r="U210" s="186"/>
      <c r="V210" s="186"/>
      <c r="W210" s="186"/>
    </row>
    <row r="211" spans="1:23" ht="18.75" hidden="1" customHeight="1">
      <c r="A211" s="213"/>
      <c r="B211" s="213"/>
      <c r="C211" s="210"/>
      <c r="D211" s="297"/>
      <c r="E211" s="186" t="s">
        <v>55</v>
      </c>
      <c r="F211" s="186" t="s">
        <v>2862</v>
      </c>
      <c r="G211" s="186" t="s">
        <v>683</v>
      </c>
      <c r="H211" s="186" t="s">
        <v>682</v>
      </c>
      <c r="I211" s="186"/>
      <c r="J211" s="186"/>
      <c r="K211" s="186" t="s">
        <v>680</v>
      </c>
      <c r="L211" s="186"/>
      <c r="M211" s="186"/>
      <c r="N211" s="186"/>
      <c r="O211" s="186"/>
      <c r="P211" s="186"/>
      <c r="Q211" s="186"/>
      <c r="R211" s="186"/>
      <c r="S211" s="186"/>
      <c r="T211" s="186" t="s">
        <v>2858</v>
      </c>
      <c r="U211" s="186"/>
      <c r="V211" s="186"/>
      <c r="W211" s="186"/>
    </row>
    <row r="212" spans="1:23" ht="18.75" hidden="1" customHeight="1">
      <c r="A212" s="213"/>
      <c r="B212" s="213"/>
      <c r="C212" s="210"/>
      <c r="D212" s="297"/>
      <c r="E212" s="186" t="s">
        <v>55</v>
      </c>
      <c r="F212" s="186" t="s">
        <v>2863</v>
      </c>
      <c r="G212" s="186" t="s">
        <v>683</v>
      </c>
      <c r="H212" s="186" t="s">
        <v>682</v>
      </c>
      <c r="I212" s="186"/>
      <c r="J212" s="186"/>
      <c r="K212" s="186" t="s">
        <v>680</v>
      </c>
      <c r="L212" s="186"/>
      <c r="M212" s="186"/>
      <c r="N212" s="186"/>
      <c r="O212" s="186"/>
      <c r="P212" s="186"/>
      <c r="Q212" s="186"/>
      <c r="R212" s="186"/>
      <c r="S212" s="186"/>
      <c r="T212" s="186" t="s">
        <v>2858</v>
      </c>
      <c r="U212" s="186"/>
      <c r="V212" s="186"/>
      <c r="W212" s="186"/>
    </row>
    <row r="213" spans="1:23" ht="18.75" hidden="1" customHeight="1">
      <c r="A213" s="213"/>
      <c r="B213" s="213"/>
      <c r="C213" s="210"/>
      <c r="D213" s="297"/>
      <c r="E213" s="186" t="s">
        <v>55</v>
      </c>
      <c r="F213" s="186" t="s">
        <v>2864</v>
      </c>
      <c r="G213" s="186" t="s">
        <v>683</v>
      </c>
      <c r="H213" s="186" t="s">
        <v>682</v>
      </c>
      <c r="I213" s="186"/>
      <c r="J213" s="186"/>
      <c r="K213" s="186" t="s">
        <v>680</v>
      </c>
      <c r="L213" s="186"/>
      <c r="M213" s="186"/>
      <c r="N213" s="186"/>
      <c r="O213" s="186"/>
      <c r="P213" s="186"/>
      <c r="Q213" s="186"/>
      <c r="R213" s="186"/>
      <c r="S213" s="186"/>
      <c r="T213" s="186" t="s">
        <v>2858</v>
      </c>
      <c r="U213" s="186"/>
      <c r="V213" s="186"/>
      <c r="W213" s="186"/>
    </row>
    <row r="214" spans="1:23" ht="18.75" hidden="1" customHeight="1">
      <c r="A214" s="213"/>
      <c r="B214" s="213"/>
      <c r="C214" s="210"/>
      <c r="D214" s="297"/>
      <c r="E214" s="186" t="s">
        <v>55</v>
      </c>
      <c r="F214" s="186" t="s">
        <v>2865</v>
      </c>
      <c r="G214" s="186" t="s">
        <v>683</v>
      </c>
      <c r="H214" s="186" t="s">
        <v>682</v>
      </c>
      <c r="I214" s="186"/>
      <c r="J214" s="186"/>
      <c r="K214" s="186" t="s">
        <v>680</v>
      </c>
      <c r="L214" s="186"/>
      <c r="M214" s="186"/>
      <c r="N214" s="186"/>
      <c r="O214" s="186"/>
      <c r="P214" s="186"/>
      <c r="Q214" s="186"/>
      <c r="R214" s="186"/>
      <c r="S214" s="186"/>
      <c r="T214" s="186" t="s">
        <v>2858</v>
      </c>
      <c r="U214" s="186"/>
      <c r="V214" s="186"/>
      <c r="W214" s="186"/>
    </row>
    <row r="215" spans="1:23" ht="18.75" hidden="1" customHeight="1">
      <c r="A215" s="213"/>
      <c r="B215" s="213"/>
      <c r="C215" s="210"/>
      <c r="D215" s="297"/>
      <c r="E215" s="186" t="s">
        <v>55</v>
      </c>
      <c r="F215" s="186" t="s">
        <v>2866</v>
      </c>
      <c r="G215" s="186" t="s">
        <v>683</v>
      </c>
      <c r="H215" s="186" t="s">
        <v>682</v>
      </c>
      <c r="I215" s="186"/>
      <c r="J215" s="186"/>
      <c r="K215" s="186" t="s">
        <v>680</v>
      </c>
      <c r="L215" s="186"/>
      <c r="M215" s="186"/>
      <c r="N215" s="186"/>
      <c r="O215" s="186"/>
      <c r="P215" s="186"/>
      <c r="Q215" s="186"/>
      <c r="R215" s="186"/>
      <c r="S215" s="186"/>
      <c r="T215" s="186" t="s">
        <v>2858</v>
      </c>
      <c r="U215" s="186"/>
      <c r="V215" s="186"/>
      <c r="W215" s="186"/>
    </row>
    <row r="216" spans="1:23" ht="18.75" hidden="1" customHeight="1">
      <c r="A216" s="213"/>
      <c r="B216" s="213"/>
      <c r="C216" s="210"/>
      <c r="D216" s="297"/>
      <c r="E216" s="186" t="s">
        <v>55</v>
      </c>
      <c r="F216" s="186" t="s">
        <v>2867</v>
      </c>
      <c r="G216" s="186" t="s">
        <v>683</v>
      </c>
      <c r="H216" s="186" t="s">
        <v>682</v>
      </c>
      <c r="I216" s="186"/>
      <c r="J216" s="186"/>
      <c r="K216" s="186" t="s">
        <v>680</v>
      </c>
      <c r="L216" s="186"/>
      <c r="M216" s="186"/>
      <c r="N216" s="186"/>
      <c r="O216" s="186"/>
      <c r="P216" s="186"/>
      <c r="Q216" s="186"/>
      <c r="R216" s="186"/>
      <c r="S216" s="186"/>
      <c r="T216" s="186" t="s">
        <v>2858</v>
      </c>
      <c r="U216" s="186"/>
      <c r="V216" s="186"/>
      <c r="W216" s="186"/>
    </row>
    <row r="217" spans="1:23" ht="18.75" hidden="1" customHeight="1">
      <c r="A217" s="213"/>
      <c r="B217" s="213"/>
      <c r="C217" s="210"/>
      <c r="D217" s="297"/>
      <c r="E217" s="186" t="s">
        <v>55</v>
      </c>
      <c r="F217" s="186" t="s">
        <v>2868</v>
      </c>
      <c r="G217" s="186" t="s">
        <v>683</v>
      </c>
      <c r="H217" s="186" t="s">
        <v>682</v>
      </c>
      <c r="I217" s="186"/>
      <c r="J217" s="186"/>
      <c r="K217" s="186" t="s">
        <v>680</v>
      </c>
      <c r="L217" s="186"/>
      <c r="M217" s="186"/>
      <c r="N217" s="186"/>
      <c r="O217" s="186"/>
      <c r="P217" s="186"/>
      <c r="Q217" s="186"/>
      <c r="R217" s="186"/>
      <c r="S217" s="186"/>
      <c r="T217" s="186" t="s">
        <v>2858</v>
      </c>
      <c r="U217" s="186"/>
      <c r="V217" s="186"/>
      <c r="W217" s="186"/>
    </row>
    <row r="218" spans="1:23" ht="18.75" hidden="1" customHeight="1">
      <c r="A218" s="213"/>
      <c r="B218" s="213"/>
      <c r="C218" s="210"/>
      <c r="D218" s="297"/>
      <c r="E218" s="186" t="s">
        <v>55</v>
      </c>
      <c r="F218" s="186" t="s">
        <v>2869</v>
      </c>
      <c r="G218" s="186" t="s">
        <v>683</v>
      </c>
      <c r="H218" s="186" t="s">
        <v>682</v>
      </c>
      <c r="I218" s="186"/>
      <c r="J218" s="186"/>
      <c r="K218" s="186" t="s">
        <v>680</v>
      </c>
      <c r="L218" s="186"/>
      <c r="M218" s="186"/>
      <c r="N218" s="186"/>
      <c r="O218" s="186"/>
      <c r="P218" s="186"/>
      <c r="Q218" s="186"/>
      <c r="R218" s="186"/>
      <c r="S218" s="186"/>
      <c r="T218" s="186" t="s">
        <v>2858</v>
      </c>
      <c r="U218" s="186"/>
      <c r="V218" s="186"/>
      <c r="W218" s="186"/>
    </row>
    <row r="219" spans="1:23" ht="18.75" hidden="1" customHeight="1">
      <c r="A219" s="213"/>
      <c r="B219" s="213"/>
      <c r="C219" s="210"/>
      <c r="D219" s="297"/>
      <c r="E219" s="186" t="s">
        <v>55</v>
      </c>
      <c r="F219" s="186" t="s">
        <v>2870</v>
      </c>
      <c r="G219" s="186" t="s">
        <v>683</v>
      </c>
      <c r="H219" s="186" t="s">
        <v>682</v>
      </c>
      <c r="I219" s="186"/>
      <c r="J219" s="186"/>
      <c r="K219" s="186" t="s">
        <v>680</v>
      </c>
      <c r="L219" s="186"/>
      <c r="M219" s="186"/>
      <c r="N219" s="186"/>
      <c r="O219" s="186"/>
      <c r="P219" s="186"/>
      <c r="Q219" s="186"/>
      <c r="R219" s="186"/>
      <c r="S219" s="186"/>
      <c r="T219" s="186" t="s">
        <v>2858</v>
      </c>
      <c r="U219" s="186"/>
      <c r="V219" s="186"/>
      <c r="W219" s="186"/>
    </row>
    <row r="220" spans="1:23" ht="18.75" hidden="1" customHeight="1">
      <c r="A220" s="213"/>
      <c r="B220" s="213"/>
      <c r="C220" s="210"/>
      <c r="D220" s="297"/>
      <c r="E220" s="186" t="s">
        <v>55</v>
      </c>
      <c r="F220" s="186" t="s">
        <v>2871</v>
      </c>
      <c r="G220" s="186" t="s">
        <v>683</v>
      </c>
      <c r="H220" s="186" t="s">
        <v>682</v>
      </c>
      <c r="I220" s="186"/>
      <c r="J220" s="186"/>
      <c r="K220" s="186" t="s">
        <v>680</v>
      </c>
      <c r="L220" s="186"/>
      <c r="M220" s="186"/>
      <c r="N220" s="186"/>
      <c r="O220" s="186"/>
      <c r="P220" s="186"/>
      <c r="Q220" s="186"/>
      <c r="R220" s="186"/>
      <c r="S220" s="186"/>
      <c r="T220" s="186" t="s">
        <v>2858</v>
      </c>
      <c r="U220" s="186"/>
      <c r="V220" s="186"/>
      <c r="W220" s="186"/>
    </row>
    <row r="221" spans="1:23" ht="18.75" hidden="1" customHeight="1">
      <c r="A221" s="213"/>
      <c r="B221" s="213"/>
      <c r="C221" s="210"/>
      <c r="D221" s="297"/>
      <c r="E221" s="186" t="s">
        <v>55</v>
      </c>
      <c r="F221" s="186" t="s">
        <v>2872</v>
      </c>
      <c r="G221" s="186" t="s">
        <v>683</v>
      </c>
      <c r="H221" s="186" t="s">
        <v>682</v>
      </c>
      <c r="I221" s="186"/>
      <c r="J221" s="186"/>
      <c r="K221" s="186" t="s">
        <v>680</v>
      </c>
      <c r="L221" s="186"/>
      <c r="M221" s="186"/>
      <c r="N221" s="186"/>
      <c r="O221" s="186"/>
      <c r="P221" s="186"/>
      <c r="Q221" s="186"/>
      <c r="R221" s="186"/>
      <c r="S221" s="186"/>
      <c r="T221" s="186" t="s">
        <v>2873</v>
      </c>
      <c r="U221" s="186"/>
      <c r="V221" s="186"/>
      <c r="W221" s="186"/>
    </row>
    <row r="222" spans="1:23" ht="18.75" hidden="1" customHeight="1">
      <c r="A222" s="213"/>
      <c r="B222" s="213"/>
      <c r="C222" s="210"/>
      <c r="D222" s="297"/>
      <c r="E222" s="186" t="s">
        <v>55</v>
      </c>
      <c r="F222" s="186" t="s">
        <v>2874</v>
      </c>
      <c r="G222" s="186" t="s">
        <v>683</v>
      </c>
      <c r="H222" s="186" t="s">
        <v>682</v>
      </c>
      <c r="I222" s="186"/>
      <c r="J222" s="186"/>
      <c r="K222" s="186" t="s">
        <v>680</v>
      </c>
      <c r="L222" s="186"/>
      <c r="M222" s="186"/>
      <c r="N222" s="186"/>
      <c r="O222" s="186"/>
      <c r="P222" s="186"/>
      <c r="Q222" s="186"/>
      <c r="R222" s="186"/>
      <c r="S222" s="186"/>
      <c r="T222" s="186" t="s">
        <v>2873</v>
      </c>
      <c r="U222" s="186"/>
      <c r="V222" s="186"/>
      <c r="W222" s="186"/>
    </row>
    <row r="223" spans="1:23" ht="18.75" hidden="1" customHeight="1">
      <c r="A223" s="213"/>
      <c r="B223" s="213"/>
      <c r="C223" s="210"/>
      <c r="D223" s="297"/>
      <c r="E223" s="186" t="s">
        <v>55</v>
      </c>
      <c r="F223" s="186" t="s">
        <v>2875</v>
      </c>
      <c r="G223" s="186" t="s">
        <v>683</v>
      </c>
      <c r="H223" s="186" t="s">
        <v>682</v>
      </c>
      <c r="I223" s="186"/>
      <c r="J223" s="186"/>
      <c r="K223" s="186" t="s">
        <v>680</v>
      </c>
      <c r="L223" s="186"/>
      <c r="M223" s="186"/>
      <c r="N223" s="186"/>
      <c r="O223" s="186"/>
      <c r="P223" s="186"/>
      <c r="Q223" s="186"/>
      <c r="R223" s="186"/>
      <c r="S223" s="186"/>
      <c r="T223" s="186" t="s">
        <v>2873</v>
      </c>
      <c r="U223" s="186"/>
      <c r="V223" s="186"/>
      <c r="W223" s="186"/>
    </row>
    <row r="224" spans="1:23" ht="18.75" hidden="1" customHeight="1">
      <c r="A224" s="213"/>
      <c r="B224" s="213"/>
      <c r="C224" s="210"/>
      <c r="D224" s="297"/>
      <c r="E224" s="186" t="s">
        <v>55</v>
      </c>
      <c r="F224" s="186" t="s">
        <v>2876</v>
      </c>
      <c r="G224" s="186" t="s">
        <v>683</v>
      </c>
      <c r="H224" s="186" t="s">
        <v>682</v>
      </c>
      <c r="I224" s="186"/>
      <c r="J224" s="186"/>
      <c r="K224" s="186" t="s">
        <v>680</v>
      </c>
      <c r="L224" s="186"/>
      <c r="M224" s="186"/>
      <c r="N224" s="186"/>
      <c r="O224" s="186"/>
      <c r="P224" s="186"/>
      <c r="Q224" s="186"/>
      <c r="R224" s="186"/>
      <c r="S224" s="186"/>
      <c r="T224" s="186" t="s">
        <v>2873</v>
      </c>
      <c r="U224" s="186"/>
      <c r="V224" s="186"/>
      <c r="W224" s="186"/>
    </row>
    <row r="225" spans="1:23" ht="18.75" hidden="1" customHeight="1">
      <c r="A225" s="213"/>
      <c r="B225" s="213"/>
      <c r="C225" s="210"/>
      <c r="D225" s="297"/>
      <c r="E225" s="186" t="s">
        <v>55</v>
      </c>
      <c r="F225" s="186" t="s">
        <v>2877</v>
      </c>
      <c r="G225" s="186" t="s">
        <v>683</v>
      </c>
      <c r="H225" s="186" t="s">
        <v>682</v>
      </c>
      <c r="I225" s="186"/>
      <c r="J225" s="186"/>
      <c r="K225" s="186" t="s">
        <v>680</v>
      </c>
      <c r="L225" s="186"/>
      <c r="M225" s="186"/>
      <c r="N225" s="186"/>
      <c r="O225" s="186"/>
      <c r="P225" s="186"/>
      <c r="Q225" s="186"/>
      <c r="R225" s="186"/>
      <c r="S225" s="186"/>
      <c r="T225" s="186" t="s">
        <v>2873</v>
      </c>
      <c r="U225" s="186"/>
      <c r="V225" s="186"/>
      <c r="W225" s="186"/>
    </row>
    <row r="226" spans="1:23" ht="18.75" hidden="1" customHeight="1">
      <c r="A226" s="213"/>
      <c r="B226" s="213"/>
      <c r="C226" s="210"/>
      <c r="D226" s="297"/>
      <c r="E226" s="186" t="s">
        <v>55</v>
      </c>
      <c r="F226" s="186" t="s">
        <v>2878</v>
      </c>
      <c r="G226" s="186" t="s">
        <v>683</v>
      </c>
      <c r="H226" s="186" t="s">
        <v>682</v>
      </c>
      <c r="I226" s="186"/>
      <c r="J226" s="186"/>
      <c r="K226" s="186" t="s">
        <v>680</v>
      </c>
      <c r="L226" s="186"/>
      <c r="M226" s="186"/>
      <c r="N226" s="186"/>
      <c r="O226" s="186"/>
      <c r="P226" s="186"/>
      <c r="Q226" s="186"/>
      <c r="R226" s="186"/>
      <c r="S226" s="186"/>
      <c r="T226" s="186" t="s">
        <v>2873</v>
      </c>
      <c r="U226" s="186"/>
      <c r="V226" s="186"/>
      <c r="W226" s="186"/>
    </row>
    <row r="227" spans="1:23" ht="18.75" hidden="1" customHeight="1">
      <c r="A227" s="213"/>
      <c r="B227" s="213"/>
      <c r="C227" s="210"/>
      <c r="D227" s="297"/>
      <c r="E227" s="186" t="s">
        <v>55</v>
      </c>
      <c r="F227" s="186" t="s">
        <v>2879</v>
      </c>
      <c r="G227" s="186" t="s">
        <v>683</v>
      </c>
      <c r="H227" s="186" t="s">
        <v>682</v>
      </c>
      <c r="I227" s="186"/>
      <c r="J227" s="186"/>
      <c r="K227" s="186" t="s">
        <v>680</v>
      </c>
      <c r="L227" s="186"/>
      <c r="M227" s="186"/>
      <c r="N227" s="186"/>
      <c r="O227" s="186"/>
      <c r="P227" s="186"/>
      <c r="Q227" s="186"/>
      <c r="R227" s="186"/>
      <c r="S227" s="186"/>
      <c r="T227" s="186" t="s">
        <v>2873</v>
      </c>
      <c r="U227" s="186"/>
      <c r="V227" s="186"/>
      <c r="W227" s="186"/>
    </row>
    <row r="228" spans="1:23" ht="18.75" hidden="1" customHeight="1">
      <c r="A228" s="213"/>
      <c r="B228" s="213"/>
      <c r="C228" s="210"/>
      <c r="D228" s="297"/>
      <c r="E228" s="186" t="s">
        <v>55</v>
      </c>
      <c r="F228" s="186" t="s">
        <v>2880</v>
      </c>
      <c r="G228" s="186" t="s">
        <v>683</v>
      </c>
      <c r="H228" s="186" t="s">
        <v>682</v>
      </c>
      <c r="I228" s="186"/>
      <c r="J228" s="186"/>
      <c r="K228" s="186" t="s">
        <v>680</v>
      </c>
      <c r="L228" s="186"/>
      <c r="M228" s="186"/>
      <c r="N228" s="186"/>
      <c r="O228" s="186"/>
      <c r="P228" s="186"/>
      <c r="Q228" s="186"/>
      <c r="R228" s="186"/>
      <c r="S228" s="186"/>
      <c r="T228" s="186" t="s">
        <v>2873</v>
      </c>
      <c r="U228" s="186"/>
      <c r="V228" s="186"/>
      <c r="W228" s="186"/>
    </row>
    <row r="229" spans="1:23" ht="18.75" hidden="1" customHeight="1">
      <c r="A229" s="213"/>
      <c r="B229" s="213"/>
      <c r="C229" s="210"/>
      <c r="D229" s="297"/>
      <c r="E229" s="186" t="s">
        <v>55</v>
      </c>
      <c r="F229" s="186" t="s">
        <v>2881</v>
      </c>
      <c r="G229" s="186" t="s">
        <v>683</v>
      </c>
      <c r="H229" s="186" t="s">
        <v>682</v>
      </c>
      <c r="I229" s="186"/>
      <c r="J229" s="186"/>
      <c r="K229" s="186" t="s">
        <v>680</v>
      </c>
      <c r="L229" s="186"/>
      <c r="M229" s="186"/>
      <c r="N229" s="186"/>
      <c r="O229" s="186"/>
      <c r="P229" s="186"/>
      <c r="Q229" s="186"/>
      <c r="R229" s="186"/>
      <c r="S229" s="186"/>
      <c r="T229" s="186" t="s">
        <v>2873</v>
      </c>
      <c r="U229" s="186"/>
      <c r="V229" s="186"/>
      <c r="W229" s="186"/>
    </row>
    <row r="230" spans="1:23" ht="18.75" hidden="1" customHeight="1">
      <c r="A230" s="213"/>
      <c r="B230" s="213"/>
      <c r="C230" s="210"/>
      <c r="D230" s="297"/>
      <c r="E230" s="186" t="s">
        <v>55</v>
      </c>
      <c r="F230" s="186" t="s">
        <v>2882</v>
      </c>
      <c r="G230" s="186" t="s">
        <v>683</v>
      </c>
      <c r="H230" s="186" t="s">
        <v>682</v>
      </c>
      <c r="I230" s="186"/>
      <c r="J230" s="186"/>
      <c r="K230" s="186" t="s">
        <v>680</v>
      </c>
      <c r="L230" s="186"/>
      <c r="M230" s="186"/>
      <c r="N230" s="186"/>
      <c r="O230" s="186"/>
      <c r="P230" s="186"/>
      <c r="Q230" s="186"/>
      <c r="R230" s="186"/>
      <c r="S230" s="186"/>
      <c r="T230" s="186" t="s">
        <v>2873</v>
      </c>
      <c r="U230" s="186"/>
      <c r="V230" s="186"/>
      <c r="W230" s="186"/>
    </row>
    <row r="231" spans="1:23" ht="18.75" hidden="1" customHeight="1">
      <c r="A231" s="213"/>
      <c r="B231" s="213"/>
      <c r="C231" s="210"/>
      <c r="D231" s="297"/>
      <c r="E231" s="186" t="s">
        <v>55</v>
      </c>
      <c r="F231" s="186" t="s">
        <v>2883</v>
      </c>
      <c r="G231" s="186" t="s">
        <v>683</v>
      </c>
      <c r="H231" s="186" t="s">
        <v>682</v>
      </c>
      <c r="I231" s="186"/>
      <c r="J231" s="186"/>
      <c r="K231" s="186" t="s">
        <v>680</v>
      </c>
      <c r="L231" s="186"/>
      <c r="M231" s="186"/>
      <c r="N231" s="186"/>
      <c r="O231" s="186"/>
      <c r="P231" s="186"/>
      <c r="Q231" s="186"/>
      <c r="R231" s="186"/>
      <c r="S231" s="186"/>
      <c r="T231" s="186" t="s">
        <v>2873</v>
      </c>
      <c r="U231" s="186"/>
      <c r="V231" s="186"/>
      <c r="W231" s="186"/>
    </row>
    <row r="232" spans="1:23" ht="18.75" hidden="1" customHeight="1">
      <c r="A232" s="213"/>
      <c r="B232" s="213"/>
      <c r="C232" s="210"/>
      <c r="D232" s="297"/>
      <c r="E232" s="186" t="s">
        <v>55</v>
      </c>
      <c r="F232" s="186" t="s">
        <v>2884</v>
      </c>
      <c r="G232" s="186" t="s">
        <v>683</v>
      </c>
      <c r="H232" s="186" t="s">
        <v>682</v>
      </c>
      <c r="I232" s="186"/>
      <c r="J232" s="186"/>
      <c r="K232" s="186" t="s">
        <v>680</v>
      </c>
      <c r="L232" s="186"/>
      <c r="M232" s="186"/>
      <c r="N232" s="186"/>
      <c r="O232" s="186"/>
      <c r="P232" s="186"/>
      <c r="Q232" s="186"/>
      <c r="R232" s="186"/>
      <c r="S232" s="186"/>
      <c r="T232" s="186" t="s">
        <v>2873</v>
      </c>
      <c r="U232" s="186"/>
      <c r="V232" s="186"/>
      <c r="W232" s="186"/>
    </row>
    <row r="233" spans="1:23" ht="18.75" hidden="1" customHeight="1">
      <c r="A233" s="213"/>
      <c r="B233" s="213"/>
      <c r="C233" s="210"/>
      <c r="D233" s="297"/>
      <c r="E233" s="186" t="s">
        <v>55</v>
      </c>
      <c r="F233" s="186" t="s">
        <v>2885</v>
      </c>
      <c r="G233" s="186" t="s">
        <v>683</v>
      </c>
      <c r="H233" s="186" t="s">
        <v>682</v>
      </c>
      <c r="I233" s="186"/>
      <c r="J233" s="186"/>
      <c r="K233" s="186" t="s">
        <v>680</v>
      </c>
      <c r="L233" s="186"/>
      <c r="M233" s="186"/>
      <c r="N233" s="186"/>
      <c r="O233" s="186"/>
      <c r="P233" s="186"/>
      <c r="Q233" s="186"/>
      <c r="R233" s="186"/>
      <c r="S233" s="186"/>
      <c r="T233" s="186" t="s">
        <v>2873</v>
      </c>
      <c r="U233" s="186"/>
      <c r="V233" s="186"/>
      <c r="W233" s="186"/>
    </row>
    <row r="234" spans="1:23" ht="18.75" hidden="1" customHeight="1">
      <c r="A234" s="213"/>
      <c r="B234" s="213"/>
      <c r="C234" s="210"/>
      <c r="D234" s="297"/>
      <c r="E234" s="186" t="s">
        <v>55</v>
      </c>
      <c r="F234" s="186" t="s">
        <v>2886</v>
      </c>
      <c r="G234" s="186" t="s">
        <v>683</v>
      </c>
      <c r="H234" s="186" t="s">
        <v>682</v>
      </c>
      <c r="I234" s="186"/>
      <c r="J234" s="186"/>
      <c r="K234" s="186" t="s">
        <v>680</v>
      </c>
      <c r="L234" s="186"/>
      <c r="M234" s="186"/>
      <c r="N234" s="186"/>
      <c r="O234" s="186"/>
      <c r="P234" s="186"/>
      <c r="Q234" s="186"/>
      <c r="R234" s="186"/>
      <c r="S234" s="186"/>
      <c r="T234" s="186" t="s">
        <v>2873</v>
      </c>
      <c r="U234" s="186"/>
      <c r="V234" s="186"/>
      <c r="W234" s="186"/>
    </row>
    <row r="235" spans="1:23" ht="18.75" hidden="1" customHeight="1">
      <c r="A235" s="213"/>
      <c r="B235" s="213"/>
      <c r="C235" s="210"/>
      <c r="D235" s="297"/>
      <c r="E235" s="186" t="s">
        <v>55</v>
      </c>
      <c r="F235" s="186" t="s">
        <v>2887</v>
      </c>
      <c r="G235" s="186" t="s">
        <v>683</v>
      </c>
      <c r="H235" s="186" t="s">
        <v>682</v>
      </c>
      <c r="I235" s="186"/>
      <c r="J235" s="186"/>
      <c r="K235" s="186" t="s">
        <v>680</v>
      </c>
      <c r="L235" s="186"/>
      <c r="M235" s="186"/>
      <c r="N235" s="186"/>
      <c r="O235" s="186"/>
      <c r="P235" s="186"/>
      <c r="Q235" s="186"/>
      <c r="R235" s="186"/>
      <c r="S235" s="186"/>
      <c r="T235" s="186" t="s">
        <v>2888</v>
      </c>
      <c r="U235" s="186"/>
      <c r="V235" s="186"/>
      <c r="W235" s="186"/>
    </row>
    <row r="236" spans="1:23" ht="18.75" hidden="1" customHeight="1">
      <c r="A236" s="213"/>
      <c r="B236" s="213"/>
      <c r="C236" s="210"/>
      <c r="D236" s="297"/>
      <c r="E236" s="186" t="s">
        <v>55</v>
      </c>
      <c r="F236" s="186" t="s">
        <v>2889</v>
      </c>
      <c r="G236" s="186" t="s">
        <v>683</v>
      </c>
      <c r="H236" s="186" t="s">
        <v>682</v>
      </c>
      <c r="I236" s="186"/>
      <c r="J236" s="186"/>
      <c r="K236" s="186" t="s">
        <v>680</v>
      </c>
      <c r="L236" s="186"/>
      <c r="M236" s="186"/>
      <c r="N236" s="186"/>
      <c r="O236" s="186"/>
      <c r="P236" s="186"/>
      <c r="Q236" s="186"/>
      <c r="R236" s="186"/>
      <c r="S236" s="186"/>
      <c r="T236" s="186" t="s">
        <v>2888</v>
      </c>
      <c r="U236" s="186"/>
      <c r="V236" s="186"/>
      <c r="W236" s="186"/>
    </row>
    <row r="237" spans="1:23" ht="18.75" hidden="1" customHeight="1">
      <c r="A237" s="213"/>
      <c r="B237" s="213"/>
      <c r="C237" s="210"/>
      <c r="D237" s="297"/>
      <c r="E237" s="186" t="s">
        <v>55</v>
      </c>
      <c r="F237" s="186" t="s">
        <v>2890</v>
      </c>
      <c r="G237" s="186" t="s">
        <v>683</v>
      </c>
      <c r="H237" s="186" t="s">
        <v>682</v>
      </c>
      <c r="I237" s="186"/>
      <c r="J237" s="186"/>
      <c r="K237" s="186" t="s">
        <v>680</v>
      </c>
      <c r="L237" s="186"/>
      <c r="M237" s="186"/>
      <c r="N237" s="186"/>
      <c r="O237" s="186"/>
      <c r="P237" s="186"/>
      <c r="Q237" s="186"/>
      <c r="R237" s="186"/>
      <c r="S237" s="186"/>
      <c r="T237" s="186" t="s">
        <v>2888</v>
      </c>
      <c r="U237" s="186"/>
      <c r="V237" s="186"/>
      <c r="W237" s="186"/>
    </row>
    <row r="238" spans="1:23" ht="18.75" hidden="1" customHeight="1">
      <c r="A238" s="213"/>
      <c r="B238" s="213"/>
      <c r="C238" s="210"/>
      <c r="D238" s="297"/>
      <c r="E238" s="186" t="s">
        <v>55</v>
      </c>
      <c r="F238" s="186" t="s">
        <v>2891</v>
      </c>
      <c r="G238" s="186" t="s">
        <v>683</v>
      </c>
      <c r="H238" s="186" t="s">
        <v>682</v>
      </c>
      <c r="I238" s="186"/>
      <c r="J238" s="186"/>
      <c r="K238" s="186" t="s">
        <v>680</v>
      </c>
      <c r="L238" s="186"/>
      <c r="M238" s="186"/>
      <c r="N238" s="186"/>
      <c r="O238" s="186"/>
      <c r="P238" s="186"/>
      <c r="Q238" s="186"/>
      <c r="R238" s="186"/>
      <c r="S238" s="186"/>
      <c r="T238" s="186" t="s">
        <v>2888</v>
      </c>
      <c r="U238" s="186"/>
      <c r="V238" s="186"/>
      <c r="W238" s="186"/>
    </row>
    <row r="239" spans="1:23" ht="18.75" hidden="1" customHeight="1">
      <c r="A239" s="213"/>
      <c r="B239" s="213"/>
      <c r="C239" s="210"/>
      <c r="D239" s="297"/>
      <c r="E239" s="186" t="s">
        <v>55</v>
      </c>
      <c r="F239" s="186" t="s">
        <v>2892</v>
      </c>
      <c r="G239" s="186" t="s">
        <v>683</v>
      </c>
      <c r="H239" s="186" t="s">
        <v>682</v>
      </c>
      <c r="I239" s="186"/>
      <c r="J239" s="186"/>
      <c r="K239" s="186" t="s">
        <v>680</v>
      </c>
      <c r="L239" s="186"/>
      <c r="M239" s="186"/>
      <c r="N239" s="186"/>
      <c r="O239" s="186"/>
      <c r="P239" s="186"/>
      <c r="Q239" s="186"/>
      <c r="R239" s="186"/>
      <c r="S239" s="186"/>
      <c r="T239" s="186" t="s">
        <v>2888</v>
      </c>
      <c r="U239" s="186"/>
      <c r="V239" s="186"/>
      <c r="W239" s="186"/>
    </row>
    <row r="240" spans="1:23" ht="18.75" hidden="1" customHeight="1">
      <c r="A240" s="213"/>
      <c r="B240" s="213"/>
      <c r="C240" s="210"/>
      <c r="D240" s="297"/>
      <c r="E240" s="186" t="s">
        <v>55</v>
      </c>
      <c r="F240" s="186" t="s">
        <v>2893</v>
      </c>
      <c r="G240" s="186" t="s">
        <v>683</v>
      </c>
      <c r="H240" s="186" t="s">
        <v>682</v>
      </c>
      <c r="I240" s="186"/>
      <c r="J240" s="186"/>
      <c r="K240" s="186" t="s">
        <v>680</v>
      </c>
      <c r="L240" s="186"/>
      <c r="M240" s="186"/>
      <c r="N240" s="186"/>
      <c r="O240" s="186"/>
      <c r="P240" s="186"/>
      <c r="Q240" s="186"/>
      <c r="R240" s="186"/>
      <c r="S240" s="186"/>
      <c r="T240" s="186" t="s">
        <v>2888</v>
      </c>
      <c r="U240" s="186"/>
      <c r="V240" s="186"/>
      <c r="W240" s="186"/>
    </row>
    <row r="241" spans="1:23" ht="18.75" hidden="1" customHeight="1">
      <c r="A241" s="213"/>
      <c r="B241" s="213"/>
      <c r="C241" s="210"/>
      <c r="D241" s="297"/>
      <c r="E241" s="186" t="s">
        <v>55</v>
      </c>
      <c r="F241" s="186" t="s">
        <v>2894</v>
      </c>
      <c r="G241" s="186" t="s">
        <v>683</v>
      </c>
      <c r="H241" s="186" t="s">
        <v>682</v>
      </c>
      <c r="I241" s="186"/>
      <c r="J241" s="186"/>
      <c r="K241" s="186" t="s">
        <v>680</v>
      </c>
      <c r="L241" s="186"/>
      <c r="M241" s="186"/>
      <c r="N241" s="186"/>
      <c r="O241" s="186"/>
      <c r="P241" s="186"/>
      <c r="Q241" s="186"/>
      <c r="R241" s="186"/>
      <c r="S241" s="186"/>
      <c r="T241" s="186" t="s">
        <v>2888</v>
      </c>
      <c r="U241" s="186"/>
      <c r="V241" s="186"/>
      <c r="W241" s="186"/>
    </row>
    <row r="242" spans="1:23" ht="18.75" hidden="1" customHeight="1">
      <c r="A242" s="213"/>
      <c r="B242" s="213"/>
      <c r="C242" s="210"/>
      <c r="D242" s="297"/>
      <c r="E242" s="186" t="s">
        <v>55</v>
      </c>
      <c r="F242" s="186" t="s">
        <v>2895</v>
      </c>
      <c r="G242" s="186" t="s">
        <v>683</v>
      </c>
      <c r="H242" s="186" t="s">
        <v>682</v>
      </c>
      <c r="I242" s="186"/>
      <c r="J242" s="186"/>
      <c r="K242" s="186" t="s">
        <v>680</v>
      </c>
      <c r="L242" s="186"/>
      <c r="M242" s="186"/>
      <c r="N242" s="186"/>
      <c r="O242" s="186"/>
      <c r="P242" s="186"/>
      <c r="Q242" s="186"/>
      <c r="R242" s="186"/>
      <c r="S242" s="186"/>
      <c r="T242" s="186" t="s">
        <v>2888</v>
      </c>
      <c r="U242" s="186"/>
      <c r="V242" s="186"/>
      <c r="W242" s="186"/>
    </row>
    <row r="243" spans="1:23" ht="18.75" hidden="1" customHeight="1">
      <c r="A243" s="213"/>
      <c r="B243" s="213"/>
      <c r="C243" s="210"/>
      <c r="D243" s="297"/>
      <c r="E243" s="186" t="s">
        <v>55</v>
      </c>
      <c r="F243" s="186" t="s">
        <v>2896</v>
      </c>
      <c r="G243" s="186" t="s">
        <v>683</v>
      </c>
      <c r="H243" s="186" t="s">
        <v>682</v>
      </c>
      <c r="I243" s="186"/>
      <c r="J243" s="186"/>
      <c r="K243" s="186" t="s">
        <v>680</v>
      </c>
      <c r="L243" s="186"/>
      <c r="M243" s="186"/>
      <c r="N243" s="186"/>
      <c r="O243" s="186"/>
      <c r="P243" s="186"/>
      <c r="Q243" s="186"/>
      <c r="R243" s="186"/>
      <c r="S243" s="186"/>
      <c r="T243" s="186" t="s">
        <v>2888</v>
      </c>
      <c r="U243" s="186"/>
      <c r="V243" s="186"/>
      <c r="W243" s="186"/>
    </row>
    <row r="244" spans="1:23" ht="18.75" hidden="1" customHeight="1">
      <c r="A244" s="213"/>
      <c r="B244" s="213"/>
      <c r="C244" s="210"/>
      <c r="D244" s="297"/>
      <c r="E244" s="186" t="s">
        <v>55</v>
      </c>
      <c r="F244" s="186" t="s">
        <v>2897</v>
      </c>
      <c r="G244" s="186" t="s">
        <v>683</v>
      </c>
      <c r="H244" s="186" t="s">
        <v>682</v>
      </c>
      <c r="I244" s="186"/>
      <c r="J244" s="186"/>
      <c r="K244" s="186" t="s">
        <v>680</v>
      </c>
      <c r="L244" s="186"/>
      <c r="M244" s="186"/>
      <c r="N244" s="186"/>
      <c r="O244" s="186"/>
      <c r="P244" s="186"/>
      <c r="Q244" s="186"/>
      <c r="R244" s="186"/>
      <c r="S244" s="186"/>
      <c r="T244" s="186" t="s">
        <v>2888</v>
      </c>
      <c r="U244" s="186"/>
      <c r="V244" s="186"/>
      <c r="W244" s="186"/>
    </row>
    <row r="245" spans="1:23" ht="18.75" hidden="1" customHeight="1">
      <c r="A245" s="213"/>
      <c r="B245" s="213"/>
      <c r="C245" s="210"/>
      <c r="D245" s="297"/>
      <c r="E245" s="186" t="s">
        <v>55</v>
      </c>
      <c r="F245" s="186" t="s">
        <v>2898</v>
      </c>
      <c r="G245" s="186" t="s">
        <v>683</v>
      </c>
      <c r="H245" s="186" t="s">
        <v>682</v>
      </c>
      <c r="I245" s="186"/>
      <c r="J245" s="186"/>
      <c r="K245" s="186" t="s">
        <v>680</v>
      </c>
      <c r="L245" s="186"/>
      <c r="M245" s="186"/>
      <c r="N245" s="186"/>
      <c r="O245" s="186"/>
      <c r="P245" s="186"/>
      <c r="Q245" s="186"/>
      <c r="R245" s="186"/>
      <c r="S245" s="186"/>
      <c r="T245" s="186" t="s">
        <v>2888</v>
      </c>
      <c r="U245" s="186"/>
      <c r="V245" s="186"/>
      <c r="W245" s="186"/>
    </row>
    <row r="246" spans="1:23" ht="18.75" hidden="1" customHeight="1">
      <c r="A246" s="213"/>
      <c r="B246" s="213"/>
      <c r="C246" s="210"/>
      <c r="D246" s="297"/>
      <c r="E246" s="186" t="s">
        <v>55</v>
      </c>
      <c r="F246" s="186" t="s">
        <v>2899</v>
      </c>
      <c r="G246" s="186" t="s">
        <v>683</v>
      </c>
      <c r="H246" s="186" t="s">
        <v>682</v>
      </c>
      <c r="I246" s="186"/>
      <c r="J246" s="186"/>
      <c r="K246" s="186" t="s">
        <v>680</v>
      </c>
      <c r="L246" s="186"/>
      <c r="M246" s="186"/>
      <c r="N246" s="186"/>
      <c r="O246" s="186"/>
      <c r="P246" s="186"/>
      <c r="Q246" s="186"/>
      <c r="R246" s="186"/>
      <c r="S246" s="186"/>
      <c r="T246" s="186" t="s">
        <v>2888</v>
      </c>
      <c r="U246" s="186"/>
      <c r="V246" s="186"/>
      <c r="W246" s="186"/>
    </row>
    <row r="247" spans="1:23" ht="18.75" hidden="1" customHeight="1">
      <c r="A247" s="213"/>
      <c r="B247" s="213"/>
      <c r="C247" s="210"/>
      <c r="D247" s="297"/>
      <c r="E247" s="186" t="s">
        <v>55</v>
      </c>
      <c r="F247" s="186" t="s">
        <v>2900</v>
      </c>
      <c r="G247" s="186" t="s">
        <v>683</v>
      </c>
      <c r="H247" s="186" t="s">
        <v>682</v>
      </c>
      <c r="I247" s="186"/>
      <c r="J247" s="186"/>
      <c r="K247" s="186" t="s">
        <v>680</v>
      </c>
      <c r="L247" s="186"/>
      <c r="M247" s="186"/>
      <c r="N247" s="186"/>
      <c r="O247" s="186"/>
      <c r="P247" s="186"/>
      <c r="Q247" s="186"/>
      <c r="R247" s="186"/>
      <c r="S247" s="186"/>
      <c r="T247" s="186" t="s">
        <v>2888</v>
      </c>
      <c r="U247" s="186"/>
      <c r="V247" s="186"/>
      <c r="W247" s="186"/>
    </row>
    <row r="248" spans="1:23" ht="18.75" hidden="1" customHeight="1">
      <c r="A248" s="213"/>
      <c r="B248" s="213"/>
      <c r="C248" s="210"/>
      <c r="D248" s="297"/>
      <c r="E248" s="186" t="s">
        <v>55</v>
      </c>
      <c r="F248" s="186" t="s">
        <v>2901</v>
      </c>
      <c r="G248" s="186" t="s">
        <v>683</v>
      </c>
      <c r="H248" s="186" t="s">
        <v>682</v>
      </c>
      <c r="I248" s="186"/>
      <c r="J248" s="186"/>
      <c r="K248" s="186" t="s">
        <v>680</v>
      </c>
      <c r="L248" s="186"/>
      <c r="M248" s="186"/>
      <c r="N248" s="186"/>
      <c r="O248" s="186"/>
      <c r="P248" s="186"/>
      <c r="Q248" s="186"/>
      <c r="R248" s="186"/>
      <c r="S248" s="186"/>
      <c r="T248" s="186" t="s">
        <v>2888</v>
      </c>
      <c r="U248" s="186"/>
      <c r="V248" s="186"/>
      <c r="W248" s="186"/>
    </row>
    <row r="249" spans="1:23" ht="18.75" hidden="1" customHeight="1">
      <c r="A249" s="213"/>
      <c r="B249" s="213"/>
      <c r="C249" s="210"/>
      <c r="D249" s="297"/>
      <c r="E249" s="186" t="s">
        <v>55</v>
      </c>
      <c r="F249" s="186" t="s">
        <v>2902</v>
      </c>
      <c r="G249" s="186" t="s">
        <v>683</v>
      </c>
      <c r="H249" s="186" t="s">
        <v>682</v>
      </c>
      <c r="I249" s="186"/>
      <c r="J249" s="186"/>
      <c r="K249" s="186" t="s">
        <v>680</v>
      </c>
      <c r="L249" s="186"/>
      <c r="M249" s="186"/>
      <c r="N249" s="186"/>
      <c r="O249" s="186"/>
      <c r="P249" s="186"/>
      <c r="Q249" s="186"/>
      <c r="R249" s="186"/>
      <c r="S249" s="186"/>
      <c r="T249" s="186" t="s">
        <v>2903</v>
      </c>
      <c r="U249" s="186"/>
      <c r="V249" s="186"/>
      <c r="W249" s="186"/>
    </row>
    <row r="250" spans="1:23" ht="18.75" hidden="1" customHeight="1">
      <c r="A250" s="213"/>
      <c r="B250" s="213"/>
      <c r="C250" s="210"/>
      <c r="D250" s="297"/>
      <c r="E250" s="186" t="s">
        <v>55</v>
      </c>
      <c r="F250" s="186" t="s">
        <v>2904</v>
      </c>
      <c r="G250" s="186" t="s">
        <v>683</v>
      </c>
      <c r="H250" s="186" t="s">
        <v>682</v>
      </c>
      <c r="I250" s="186"/>
      <c r="J250" s="186"/>
      <c r="K250" s="186" t="s">
        <v>680</v>
      </c>
      <c r="L250" s="186"/>
      <c r="M250" s="186"/>
      <c r="N250" s="186"/>
      <c r="O250" s="186"/>
      <c r="P250" s="186"/>
      <c r="Q250" s="186"/>
      <c r="R250" s="186"/>
      <c r="S250" s="186"/>
      <c r="T250" s="186" t="s">
        <v>2905</v>
      </c>
      <c r="U250" s="186"/>
      <c r="V250" s="186"/>
      <c r="W250" s="186"/>
    </row>
    <row r="251" spans="1:23" ht="121.5" customHeight="1">
      <c r="A251" s="134"/>
      <c r="B251" s="134"/>
      <c r="C251" s="134"/>
      <c r="D251" s="298"/>
      <c r="E251" s="186" t="s">
        <v>59</v>
      </c>
      <c r="F251" s="186" t="s">
        <v>2906</v>
      </c>
      <c r="G251" s="186" t="s">
        <v>2907</v>
      </c>
      <c r="H251" s="186" t="s">
        <v>682</v>
      </c>
      <c r="I251" s="186"/>
      <c r="J251" s="186"/>
      <c r="K251" s="186" t="s">
        <v>682</v>
      </c>
      <c r="L251" s="123" t="s">
        <v>2643</v>
      </c>
      <c r="M251" s="186" t="s">
        <v>2908</v>
      </c>
      <c r="N251" s="186"/>
      <c r="O251" s="186"/>
      <c r="P251" s="123"/>
      <c r="Q251" s="186"/>
      <c r="R251" s="186"/>
      <c r="S251" s="186"/>
      <c r="T251" s="186" t="s">
        <v>2909</v>
      </c>
      <c r="U251" s="186"/>
      <c r="V251" s="186"/>
      <c r="W251" s="186"/>
    </row>
    <row r="252" spans="1:23" ht="18.75" hidden="1" customHeight="1">
      <c r="A252" s="213"/>
      <c r="B252" s="213"/>
      <c r="C252" s="210"/>
      <c r="D252" s="297"/>
      <c r="E252" s="186" t="s">
        <v>59</v>
      </c>
      <c r="F252" s="186" t="s">
        <v>2910</v>
      </c>
      <c r="G252" s="186" t="s">
        <v>685</v>
      </c>
      <c r="H252" s="186" t="s">
        <v>682</v>
      </c>
      <c r="I252" s="186"/>
      <c r="J252" s="186"/>
      <c r="K252" s="186" t="s">
        <v>680</v>
      </c>
      <c r="L252" s="186"/>
      <c r="M252" s="186"/>
      <c r="N252" s="186"/>
      <c r="O252" s="186"/>
      <c r="P252" s="186"/>
      <c r="Q252" s="186"/>
      <c r="R252" s="186"/>
      <c r="S252" s="186"/>
      <c r="T252" s="186" t="s">
        <v>2911</v>
      </c>
      <c r="U252" s="186"/>
      <c r="V252" s="186"/>
      <c r="W252" s="186"/>
    </row>
    <row r="253" spans="1:23" ht="18.75" hidden="1" customHeight="1">
      <c r="A253" s="213"/>
      <c r="B253" s="213"/>
      <c r="C253" s="210"/>
      <c r="D253" s="297"/>
      <c r="E253" s="186" t="s">
        <v>59</v>
      </c>
      <c r="F253" s="186" t="s">
        <v>153</v>
      </c>
      <c r="G253" s="186" t="s">
        <v>685</v>
      </c>
      <c r="H253" s="186" t="s">
        <v>682</v>
      </c>
      <c r="I253" s="186"/>
      <c r="J253" s="186"/>
      <c r="K253" s="186" t="s">
        <v>680</v>
      </c>
      <c r="L253" s="186"/>
      <c r="M253" s="186"/>
      <c r="N253" s="186"/>
      <c r="O253" s="186"/>
      <c r="P253" s="186"/>
      <c r="Q253" s="186"/>
      <c r="R253" s="186"/>
      <c r="S253" s="186"/>
      <c r="T253" s="186" t="s">
        <v>2912</v>
      </c>
      <c r="U253" s="186"/>
      <c r="V253" s="186"/>
      <c r="W253" s="186"/>
    </row>
    <row r="254" spans="1:23" ht="18.75" hidden="1" customHeight="1">
      <c r="A254" s="213"/>
      <c r="B254" s="213"/>
      <c r="C254" s="210"/>
      <c r="D254" s="297"/>
      <c r="E254" s="186" t="s">
        <v>53</v>
      </c>
      <c r="F254" s="186" t="s">
        <v>2352</v>
      </c>
      <c r="G254" s="186" t="s">
        <v>897</v>
      </c>
      <c r="H254" s="186" t="s">
        <v>682</v>
      </c>
      <c r="I254" s="186"/>
      <c r="J254" s="186"/>
      <c r="K254" s="186" t="s">
        <v>680</v>
      </c>
      <c r="L254" s="186"/>
      <c r="M254" s="186"/>
      <c r="N254" s="186"/>
      <c r="O254" s="186"/>
      <c r="P254" s="186"/>
      <c r="Q254" s="186"/>
      <c r="R254" s="186"/>
      <c r="S254" s="186"/>
      <c r="T254" s="186" t="s">
        <v>1190</v>
      </c>
      <c r="U254" s="186"/>
      <c r="V254" s="186"/>
      <c r="W254" s="186"/>
    </row>
    <row r="255" spans="1:23" ht="18.75" hidden="1" customHeight="1">
      <c r="A255" s="213"/>
      <c r="B255" s="213"/>
      <c r="C255" s="210"/>
      <c r="D255" s="297"/>
      <c r="E255" s="186" t="s">
        <v>59</v>
      </c>
      <c r="F255" s="186" t="s">
        <v>320</v>
      </c>
      <c r="G255" s="186" t="s">
        <v>2778</v>
      </c>
      <c r="H255" s="186" t="s">
        <v>682</v>
      </c>
      <c r="I255" s="186"/>
      <c r="J255" s="186"/>
      <c r="K255" s="186" t="s">
        <v>680</v>
      </c>
      <c r="L255" s="186"/>
      <c r="M255" s="186"/>
      <c r="N255" s="186"/>
      <c r="O255" s="186"/>
      <c r="P255" s="186"/>
      <c r="Q255" s="186"/>
      <c r="R255" s="186"/>
      <c r="S255" s="186"/>
      <c r="T255" s="186" t="s">
        <v>320</v>
      </c>
      <c r="U255" s="186"/>
      <c r="V255" s="186"/>
      <c r="W255" s="186"/>
    </row>
    <row r="256" spans="1:23" ht="18.75" hidden="1" customHeight="1">
      <c r="A256" s="213"/>
      <c r="B256" s="213"/>
      <c r="C256" s="210"/>
      <c r="D256" s="297"/>
      <c r="E256" s="186" t="s">
        <v>55</v>
      </c>
      <c r="F256" s="186" t="s">
        <v>2913</v>
      </c>
      <c r="G256" s="186" t="s">
        <v>683</v>
      </c>
      <c r="H256" s="186" t="s">
        <v>682</v>
      </c>
      <c r="I256" s="186"/>
      <c r="J256" s="186"/>
      <c r="K256" s="186" t="s">
        <v>680</v>
      </c>
      <c r="L256" s="186"/>
      <c r="M256" s="186"/>
      <c r="N256" s="186"/>
      <c r="O256" s="186"/>
      <c r="P256" s="186"/>
      <c r="Q256" s="186"/>
      <c r="R256" s="186"/>
      <c r="S256" s="186"/>
      <c r="T256" s="186" t="s">
        <v>2914</v>
      </c>
      <c r="U256" s="186"/>
      <c r="V256" s="186"/>
      <c r="W256" s="186"/>
    </row>
    <row r="257" spans="1:28" ht="18.75" hidden="1" customHeight="1">
      <c r="A257" s="213"/>
      <c r="B257" s="213"/>
      <c r="C257" s="210"/>
      <c r="D257" s="297"/>
      <c r="E257" s="186" t="s">
        <v>55</v>
      </c>
      <c r="F257" s="186" t="s">
        <v>2915</v>
      </c>
      <c r="G257" s="186" t="s">
        <v>683</v>
      </c>
      <c r="H257" s="186" t="s">
        <v>682</v>
      </c>
      <c r="I257" s="186"/>
      <c r="J257" s="186"/>
      <c r="K257" s="186" t="s">
        <v>680</v>
      </c>
      <c r="L257" s="186"/>
      <c r="M257" s="186"/>
      <c r="N257" s="186"/>
      <c r="O257" s="186"/>
      <c r="P257" s="186"/>
      <c r="Q257" s="186"/>
      <c r="R257" s="186"/>
      <c r="S257" s="186"/>
      <c r="T257" s="186" t="s">
        <v>2914</v>
      </c>
      <c r="U257" s="186"/>
      <c r="V257" s="186"/>
      <c r="W257" s="186"/>
    </row>
    <row r="258" spans="1:28" ht="18.75" hidden="1" customHeight="1">
      <c r="A258" s="213"/>
      <c r="B258" s="213"/>
      <c r="C258" s="210"/>
      <c r="D258" s="297"/>
      <c r="E258" s="186" t="s">
        <v>55</v>
      </c>
      <c r="F258" s="186" t="s">
        <v>2916</v>
      </c>
      <c r="G258" s="186" t="s">
        <v>683</v>
      </c>
      <c r="H258" s="186" t="s">
        <v>682</v>
      </c>
      <c r="I258" s="186"/>
      <c r="J258" s="186"/>
      <c r="K258" s="186" t="s">
        <v>680</v>
      </c>
      <c r="L258" s="186"/>
      <c r="M258" s="186"/>
      <c r="N258" s="186"/>
      <c r="O258" s="186"/>
      <c r="P258" s="186"/>
      <c r="Q258" s="186"/>
      <c r="R258" s="186"/>
      <c r="S258" s="186"/>
      <c r="T258" s="186" t="s">
        <v>2914</v>
      </c>
      <c r="U258" s="186"/>
      <c r="V258" s="186"/>
      <c r="W258" s="186"/>
    </row>
    <row r="259" spans="1:28" ht="18.75" hidden="1" customHeight="1">
      <c r="A259" s="213"/>
      <c r="B259" s="213"/>
      <c r="C259" s="210"/>
      <c r="D259" s="297"/>
      <c r="E259" s="186" t="s">
        <v>55</v>
      </c>
      <c r="F259" s="186" t="s">
        <v>2917</v>
      </c>
      <c r="G259" s="186" t="s">
        <v>683</v>
      </c>
      <c r="H259" s="186" t="s">
        <v>682</v>
      </c>
      <c r="I259" s="186"/>
      <c r="J259" s="186"/>
      <c r="K259" s="186" t="s">
        <v>680</v>
      </c>
      <c r="L259" s="186"/>
      <c r="M259" s="186"/>
      <c r="N259" s="186"/>
      <c r="O259" s="186"/>
      <c r="P259" s="186"/>
      <c r="Q259" s="186"/>
      <c r="R259" s="186"/>
      <c r="S259" s="186"/>
      <c r="T259" s="186" t="s">
        <v>2914</v>
      </c>
      <c r="U259" s="186"/>
      <c r="V259" s="186"/>
      <c r="W259" s="186"/>
    </row>
    <row r="260" spans="1:28" ht="18.75" hidden="1" customHeight="1">
      <c r="A260" s="213"/>
      <c r="B260" s="213"/>
      <c r="C260" s="210"/>
      <c r="D260" s="297"/>
      <c r="E260" s="186" t="s">
        <v>55</v>
      </c>
      <c r="F260" s="186" t="s">
        <v>2918</v>
      </c>
      <c r="G260" s="186" t="s">
        <v>683</v>
      </c>
      <c r="H260" s="186" t="s">
        <v>682</v>
      </c>
      <c r="I260" s="186"/>
      <c r="J260" s="186"/>
      <c r="K260" s="186" t="s">
        <v>680</v>
      </c>
      <c r="L260" s="186"/>
      <c r="M260" s="186"/>
      <c r="N260" s="186"/>
      <c r="O260" s="186"/>
      <c r="P260" s="186"/>
      <c r="Q260" s="186"/>
      <c r="R260" s="186"/>
      <c r="S260" s="186"/>
      <c r="T260" s="186" t="s">
        <v>2914</v>
      </c>
      <c r="U260" s="186"/>
      <c r="V260" s="186"/>
      <c r="W260" s="186"/>
    </row>
    <row r="261" spans="1:28" ht="18.75" hidden="1" customHeight="1">
      <c r="A261" s="213"/>
      <c r="B261" s="213"/>
      <c r="C261" s="210"/>
      <c r="D261" s="297"/>
      <c r="E261" s="186" t="s">
        <v>55</v>
      </c>
      <c r="F261" s="186" t="s">
        <v>2919</v>
      </c>
      <c r="G261" s="186" t="s">
        <v>683</v>
      </c>
      <c r="H261" s="186" t="s">
        <v>682</v>
      </c>
      <c r="I261" s="186"/>
      <c r="J261" s="186"/>
      <c r="K261" s="186" t="s">
        <v>680</v>
      </c>
      <c r="L261" s="186"/>
      <c r="M261" s="186"/>
      <c r="N261" s="186"/>
      <c r="O261" s="186"/>
      <c r="P261" s="186"/>
      <c r="Q261" s="186"/>
      <c r="R261" s="186"/>
      <c r="S261" s="186"/>
      <c r="T261" s="186" t="s">
        <v>2914</v>
      </c>
      <c r="U261" s="186"/>
      <c r="V261" s="186"/>
      <c r="W261" s="186"/>
    </row>
    <row r="262" spans="1:28" ht="18.75" hidden="1" customHeight="1">
      <c r="A262" s="213"/>
      <c r="B262" s="213"/>
      <c r="C262" s="210"/>
      <c r="D262" s="297"/>
      <c r="E262" s="186" t="s">
        <v>55</v>
      </c>
      <c r="F262" s="186" t="s">
        <v>2920</v>
      </c>
      <c r="G262" s="186" t="s">
        <v>683</v>
      </c>
      <c r="H262" s="186" t="s">
        <v>682</v>
      </c>
      <c r="I262" s="186"/>
      <c r="J262" s="186"/>
      <c r="K262" s="186" t="s">
        <v>680</v>
      </c>
      <c r="L262" s="186"/>
      <c r="M262" s="186"/>
      <c r="N262" s="186"/>
      <c r="O262" s="186"/>
      <c r="P262" s="186"/>
      <c r="Q262" s="186"/>
      <c r="R262" s="186"/>
      <c r="S262" s="186"/>
      <c r="T262" s="186" t="s">
        <v>2914</v>
      </c>
      <c r="U262" s="186"/>
      <c r="V262" s="186"/>
      <c r="W262" s="186"/>
    </row>
    <row r="263" spans="1:28" ht="18.75" hidden="1" customHeight="1">
      <c r="A263" s="213"/>
      <c r="B263" s="213"/>
      <c r="C263" s="210"/>
      <c r="D263" s="297"/>
      <c r="E263" s="186" t="s">
        <v>55</v>
      </c>
      <c r="F263" s="186" t="s">
        <v>2921</v>
      </c>
      <c r="G263" s="186" t="s">
        <v>683</v>
      </c>
      <c r="H263" s="186" t="s">
        <v>682</v>
      </c>
      <c r="I263" s="186"/>
      <c r="J263" s="186"/>
      <c r="K263" s="186" t="s">
        <v>680</v>
      </c>
      <c r="L263" s="186"/>
      <c r="M263" s="186"/>
      <c r="N263" s="186"/>
      <c r="O263" s="186"/>
      <c r="P263" s="186"/>
      <c r="Q263" s="186"/>
      <c r="R263" s="186"/>
      <c r="S263" s="186"/>
      <c r="T263" s="186" t="s">
        <v>2914</v>
      </c>
      <c r="U263" s="186"/>
      <c r="V263" s="186"/>
      <c r="W263" s="186"/>
    </row>
    <row r="264" spans="1:28" ht="18.75" hidden="1" customHeight="1">
      <c r="A264" s="213"/>
      <c r="B264" s="213"/>
      <c r="C264" s="210"/>
      <c r="D264" s="297"/>
      <c r="E264" s="186" t="s">
        <v>55</v>
      </c>
      <c r="F264" s="186" t="s">
        <v>2922</v>
      </c>
      <c r="G264" s="186" t="s">
        <v>683</v>
      </c>
      <c r="H264" s="186" t="s">
        <v>682</v>
      </c>
      <c r="I264" s="186"/>
      <c r="J264" s="186"/>
      <c r="K264" s="186" t="s">
        <v>680</v>
      </c>
      <c r="L264" s="186"/>
      <c r="M264" s="186"/>
      <c r="N264" s="186"/>
      <c r="O264" s="186"/>
      <c r="P264" s="186"/>
      <c r="Q264" s="186"/>
      <c r="R264" s="186"/>
      <c r="S264" s="186"/>
      <c r="T264" s="186" t="s">
        <v>2914</v>
      </c>
      <c r="U264" s="186"/>
      <c r="V264" s="186"/>
      <c r="W264" s="186"/>
    </row>
    <row r="265" spans="1:28" ht="18.75" hidden="1" customHeight="1">
      <c r="A265" s="213"/>
      <c r="B265" s="213"/>
      <c r="C265" s="210"/>
      <c r="D265" s="297"/>
      <c r="E265" s="186" t="s">
        <v>55</v>
      </c>
      <c r="F265" s="186" t="s">
        <v>2923</v>
      </c>
      <c r="G265" s="186" t="s">
        <v>683</v>
      </c>
      <c r="H265" s="186" t="s">
        <v>682</v>
      </c>
      <c r="I265" s="186"/>
      <c r="J265" s="186"/>
      <c r="K265" s="186" t="s">
        <v>680</v>
      </c>
      <c r="L265" s="186"/>
      <c r="M265" s="186"/>
      <c r="N265" s="186"/>
      <c r="O265" s="186"/>
      <c r="P265" s="186"/>
      <c r="Q265" s="186"/>
      <c r="R265" s="186"/>
      <c r="S265" s="186"/>
      <c r="T265" s="186" t="s">
        <v>2914</v>
      </c>
      <c r="U265" s="186"/>
      <c r="V265" s="186"/>
      <c r="W265" s="186"/>
    </row>
    <row r="266" spans="1:28" ht="18.75" hidden="1" customHeight="1">
      <c r="A266" s="213"/>
      <c r="B266" s="213"/>
      <c r="C266" s="210"/>
      <c r="D266" s="297"/>
      <c r="E266" s="186" t="s">
        <v>55</v>
      </c>
      <c r="F266" s="186" t="s">
        <v>2924</v>
      </c>
      <c r="G266" s="186" t="s">
        <v>683</v>
      </c>
      <c r="H266" s="186" t="s">
        <v>682</v>
      </c>
      <c r="I266" s="186"/>
      <c r="J266" s="186"/>
      <c r="K266" s="186" t="s">
        <v>680</v>
      </c>
      <c r="L266" s="186"/>
      <c r="M266" s="186"/>
      <c r="N266" s="186"/>
      <c r="O266" s="186"/>
      <c r="P266" s="186"/>
      <c r="Q266" s="186"/>
      <c r="R266" s="186"/>
      <c r="S266" s="186"/>
      <c r="T266" s="186" t="s">
        <v>2914</v>
      </c>
      <c r="U266" s="186"/>
      <c r="V266" s="186"/>
      <c r="W266" s="186"/>
    </row>
    <row r="267" spans="1:28" ht="18.75" hidden="1" customHeight="1">
      <c r="A267" s="213"/>
      <c r="B267" s="213"/>
      <c r="C267" s="210"/>
      <c r="D267" s="297"/>
      <c r="E267" s="186" t="s">
        <v>55</v>
      </c>
      <c r="F267" s="186" t="s">
        <v>2925</v>
      </c>
      <c r="G267" s="186" t="s">
        <v>683</v>
      </c>
      <c r="H267" s="186" t="s">
        <v>682</v>
      </c>
      <c r="I267" s="186"/>
      <c r="J267" s="186"/>
      <c r="K267" s="186" t="s">
        <v>680</v>
      </c>
      <c r="L267" s="186"/>
      <c r="M267" s="186"/>
      <c r="N267" s="186"/>
      <c r="O267" s="186"/>
      <c r="P267" s="186"/>
      <c r="Q267" s="186"/>
      <c r="R267" s="186"/>
      <c r="S267" s="186"/>
      <c r="T267" s="186" t="s">
        <v>2914</v>
      </c>
      <c r="U267" s="186"/>
      <c r="V267" s="186"/>
      <c r="W267" s="186"/>
    </row>
    <row r="268" spans="1:28" ht="18.75" hidden="1" customHeight="1">
      <c r="A268" s="213"/>
      <c r="B268" s="213"/>
      <c r="C268" s="210"/>
      <c r="D268" s="297"/>
      <c r="E268" s="186" t="s">
        <v>55</v>
      </c>
      <c r="F268" s="186" t="s">
        <v>2926</v>
      </c>
      <c r="G268" s="186" t="s">
        <v>683</v>
      </c>
      <c r="H268" s="186" t="s">
        <v>682</v>
      </c>
      <c r="I268" s="186"/>
      <c r="J268" s="186"/>
      <c r="K268" s="186" t="s">
        <v>680</v>
      </c>
      <c r="L268" s="186"/>
      <c r="M268" s="186"/>
      <c r="N268" s="186"/>
      <c r="O268" s="186"/>
      <c r="P268" s="186"/>
      <c r="Q268" s="186"/>
      <c r="R268" s="186"/>
      <c r="S268" s="186"/>
      <c r="T268" s="186" t="s">
        <v>2914</v>
      </c>
      <c r="U268" s="186"/>
      <c r="V268" s="186"/>
      <c r="W268" s="186"/>
    </row>
    <row r="269" spans="1:28" ht="18.75" hidden="1" customHeight="1">
      <c r="A269" s="213"/>
      <c r="B269" s="213"/>
      <c r="C269" s="210"/>
      <c r="D269" s="297"/>
      <c r="E269" s="186" t="s">
        <v>55</v>
      </c>
      <c r="F269" s="186" t="s">
        <v>2927</v>
      </c>
      <c r="G269" s="186" t="s">
        <v>683</v>
      </c>
      <c r="H269" s="186" t="s">
        <v>682</v>
      </c>
      <c r="I269" s="186"/>
      <c r="J269" s="186"/>
      <c r="K269" s="186" t="s">
        <v>680</v>
      </c>
      <c r="L269" s="186"/>
      <c r="M269" s="186"/>
      <c r="N269" s="186"/>
      <c r="O269" s="186"/>
      <c r="P269" s="186"/>
      <c r="Q269" s="186"/>
      <c r="R269" s="186"/>
      <c r="S269" s="186"/>
      <c r="T269" s="186" t="s">
        <v>2914</v>
      </c>
      <c r="U269" s="186"/>
      <c r="V269" s="186"/>
      <c r="W269" s="186"/>
    </row>
    <row r="270" spans="1:28" ht="121.5" customHeight="1">
      <c r="A270" s="193"/>
      <c r="B270" s="193"/>
      <c r="C270" s="193"/>
      <c r="D270" s="193"/>
      <c r="E270" t="s">
        <v>850</v>
      </c>
      <c r="F270" t="s">
        <v>855</v>
      </c>
      <c r="G270" t="s">
        <v>852</v>
      </c>
      <c r="H270" t="s">
        <v>682</v>
      </c>
      <c r="K270" s="186" t="s">
        <v>682</v>
      </c>
      <c r="L270" s="123" t="s">
        <v>2643</v>
      </c>
      <c r="M270" s="186" t="s">
        <v>2928</v>
      </c>
      <c r="N270" t="s">
        <v>852</v>
      </c>
      <c r="O270" s="186"/>
      <c r="P270" s="123"/>
      <c r="Q270" s="186"/>
      <c r="R270" s="186" t="s">
        <v>2673</v>
      </c>
      <c r="S270" s="186">
        <v>0</v>
      </c>
      <c r="X270">
        <v>88</v>
      </c>
      <c r="Z270" t="s">
        <v>2929</v>
      </c>
      <c r="AA270" s="30">
        <v>43546</v>
      </c>
      <c r="AB270" t="s">
        <v>2930</v>
      </c>
    </row>
    <row r="271" spans="1:28" ht="18.75" hidden="1" customHeight="1">
      <c r="A271" s="213"/>
      <c r="B271" s="213"/>
      <c r="C271" s="210"/>
      <c r="D271" s="297"/>
      <c r="E271" s="186" t="s">
        <v>55</v>
      </c>
      <c r="F271" s="186" t="s">
        <v>2931</v>
      </c>
      <c r="G271" s="186" t="s">
        <v>683</v>
      </c>
      <c r="H271" s="186" t="s">
        <v>682</v>
      </c>
      <c r="I271" s="186"/>
      <c r="J271" s="186"/>
      <c r="K271" s="186" t="s">
        <v>680</v>
      </c>
      <c r="L271" s="186"/>
      <c r="M271" s="186"/>
      <c r="N271" s="186"/>
      <c r="O271" s="186"/>
      <c r="P271" s="186"/>
      <c r="Q271" s="186"/>
      <c r="R271" s="186"/>
      <c r="S271" s="186"/>
      <c r="T271" s="186" t="s">
        <v>2932</v>
      </c>
      <c r="U271" s="186"/>
      <c r="V271" s="186"/>
      <c r="W271" s="186"/>
    </row>
    <row r="272" spans="1:28" ht="18.75" hidden="1" customHeight="1">
      <c r="A272" s="213"/>
      <c r="B272" s="213"/>
      <c r="C272" s="210"/>
      <c r="D272" s="297"/>
      <c r="E272" s="186" t="s">
        <v>55</v>
      </c>
      <c r="F272" s="186" t="s">
        <v>2933</v>
      </c>
      <c r="G272" s="186" t="s">
        <v>683</v>
      </c>
      <c r="H272" s="186" t="s">
        <v>682</v>
      </c>
      <c r="I272" s="186"/>
      <c r="J272" s="186"/>
      <c r="K272" s="186" t="s">
        <v>680</v>
      </c>
      <c r="L272" s="186"/>
      <c r="M272" s="186"/>
      <c r="N272" s="186"/>
      <c r="O272" s="186"/>
      <c r="P272" s="186"/>
      <c r="Q272" s="186"/>
      <c r="R272" s="186"/>
      <c r="S272" s="186"/>
      <c r="T272" s="186" t="s">
        <v>2932</v>
      </c>
      <c r="U272" s="186"/>
      <c r="V272" s="186"/>
      <c r="W272" s="186"/>
    </row>
    <row r="273" spans="1:28" ht="18.75" hidden="1" customHeight="1">
      <c r="A273" s="213"/>
      <c r="B273" s="213"/>
      <c r="C273" s="210"/>
      <c r="D273" s="297"/>
      <c r="E273" s="186" t="s">
        <v>55</v>
      </c>
      <c r="F273" s="186" t="s">
        <v>2934</v>
      </c>
      <c r="G273" s="186" t="s">
        <v>683</v>
      </c>
      <c r="H273" s="186" t="s">
        <v>682</v>
      </c>
      <c r="I273" s="186"/>
      <c r="J273" s="186"/>
      <c r="K273" s="186" t="s">
        <v>680</v>
      </c>
      <c r="L273" s="186"/>
      <c r="M273" s="186"/>
      <c r="N273" s="186"/>
      <c r="O273" s="186"/>
      <c r="P273" s="186"/>
      <c r="Q273" s="186"/>
      <c r="R273" s="186"/>
      <c r="S273" s="186"/>
      <c r="T273" s="186" t="s">
        <v>2932</v>
      </c>
      <c r="U273" s="186"/>
      <c r="V273" s="186"/>
      <c r="W273" s="186"/>
    </row>
    <row r="274" spans="1:28" ht="18.75" hidden="1" customHeight="1">
      <c r="A274" s="213"/>
      <c r="B274" s="213"/>
      <c r="C274" s="210"/>
      <c r="D274" s="297"/>
      <c r="E274" s="186" t="s">
        <v>55</v>
      </c>
      <c r="F274" s="186" t="s">
        <v>2935</v>
      </c>
      <c r="G274" s="186" t="s">
        <v>683</v>
      </c>
      <c r="H274" s="186" t="s">
        <v>682</v>
      </c>
      <c r="I274" s="186"/>
      <c r="J274" s="186"/>
      <c r="K274" s="186" t="s">
        <v>680</v>
      </c>
      <c r="L274" s="186"/>
      <c r="M274" s="186"/>
      <c r="N274" s="186"/>
      <c r="O274" s="186"/>
      <c r="P274" s="186"/>
      <c r="Q274" s="186"/>
      <c r="R274" s="186"/>
      <c r="S274" s="186"/>
      <c r="T274" s="186" t="s">
        <v>2932</v>
      </c>
      <c r="U274" s="186"/>
      <c r="V274" s="186"/>
      <c r="W274" s="186"/>
    </row>
    <row r="275" spans="1:28" ht="18.75" hidden="1" customHeight="1">
      <c r="A275" s="213"/>
      <c r="B275" s="213"/>
      <c r="C275" s="210"/>
      <c r="D275" s="297"/>
      <c r="E275" s="186" t="s">
        <v>55</v>
      </c>
      <c r="F275" s="186" t="s">
        <v>2936</v>
      </c>
      <c r="G275" s="186" t="s">
        <v>683</v>
      </c>
      <c r="H275" s="186" t="s">
        <v>682</v>
      </c>
      <c r="I275" s="186"/>
      <c r="J275" s="186"/>
      <c r="K275" s="186" t="s">
        <v>680</v>
      </c>
      <c r="L275" s="186"/>
      <c r="M275" s="186"/>
      <c r="N275" s="186"/>
      <c r="O275" s="186"/>
      <c r="P275" s="186"/>
      <c r="Q275" s="186"/>
      <c r="R275" s="186"/>
      <c r="S275" s="186"/>
      <c r="T275" s="186" t="s">
        <v>2932</v>
      </c>
      <c r="U275" s="186"/>
      <c r="V275" s="186"/>
      <c r="W275" s="186"/>
    </row>
    <row r="276" spans="1:28" ht="18.75" hidden="1" customHeight="1">
      <c r="A276" s="213"/>
      <c r="B276" s="213"/>
      <c r="C276" s="210"/>
      <c r="D276" s="297"/>
      <c r="E276" s="186" t="s">
        <v>55</v>
      </c>
      <c r="F276" s="186" t="s">
        <v>2937</v>
      </c>
      <c r="G276" s="186" t="s">
        <v>683</v>
      </c>
      <c r="H276" s="186" t="s">
        <v>682</v>
      </c>
      <c r="I276" s="186"/>
      <c r="J276" s="186"/>
      <c r="K276" s="186" t="s">
        <v>680</v>
      </c>
      <c r="L276" s="186"/>
      <c r="M276" s="186"/>
      <c r="N276" s="186"/>
      <c r="O276" s="186"/>
      <c r="P276" s="186"/>
      <c r="Q276" s="186"/>
      <c r="R276" s="186"/>
      <c r="S276" s="186"/>
      <c r="T276" s="186" t="s">
        <v>2932</v>
      </c>
      <c r="U276" s="186"/>
      <c r="V276" s="186"/>
      <c r="W276" s="186"/>
    </row>
    <row r="277" spans="1:28" ht="121.5" customHeight="1">
      <c r="A277" s="193"/>
      <c r="B277" s="193"/>
      <c r="C277" s="193"/>
      <c r="D277" s="193"/>
      <c r="E277" t="s">
        <v>850</v>
      </c>
      <c r="F277" t="s">
        <v>857</v>
      </c>
      <c r="G277" t="s">
        <v>852</v>
      </c>
      <c r="H277" t="s">
        <v>682</v>
      </c>
      <c r="K277" s="186" t="s">
        <v>682</v>
      </c>
      <c r="L277" s="123" t="s">
        <v>2643</v>
      </c>
      <c r="M277" s="186" t="s">
        <v>858</v>
      </c>
      <c r="N277" t="s">
        <v>852</v>
      </c>
      <c r="O277" s="186"/>
      <c r="P277" s="123"/>
      <c r="Q277" s="186"/>
      <c r="R277" s="186" t="s">
        <v>2673</v>
      </c>
      <c r="S277" s="186">
        <v>0</v>
      </c>
      <c r="X277">
        <v>89</v>
      </c>
      <c r="Z277" t="s">
        <v>2645</v>
      </c>
      <c r="AA277" s="30">
        <v>43538</v>
      </c>
      <c r="AB277" t="s">
        <v>2674</v>
      </c>
    </row>
    <row r="278" spans="1:28" ht="18.75" hidden="1" customHeight="1">
      <c r="A278" s="213"/>
      <c r="B278" s="213"/>
      <c r="C278" s="210"/>
      <c r="D278" s="297"/>
      <c r="E278" s="186" t="s">
        <v>53</v>
      </c>
      <c r="F278" s="186" t="s">
        <v>1288</v>
      </c>
      <c r="G278" s="186" t="s">
        <v>897</v>
      </c>
      <c r="H278" s="186" t="s">
        <v>682</v>
      </c>
      <c r="I278" s="186"/>
      <c r="J278" s="186"/>
      <c r="K278" s="186" t="s">
        <v>680</v>
      </c>
      <c r="L278" s="186"/>
      <c r="M278" s="186"/>
      <c r="N278" s="186"/>
      <c r="O278" s="186"/>
      <c r="P278" s="186"/>
      <c r="Q278" s="186"/>
      <c r="R278" s="186"/>
      <c r="S278" s="186"/>
      <c r="T278" s="186" t="s">
        <v>1190</v>
      </c>
      <c r="U278" s="186"/>
      <c r="V278" s="186"/>
      <c r="W278" s="186"/>
    </row>
    <row r="279" spans="1:28" ht="18.75" hidden="1" customHeight="1">
      <c r="A279" s="213"/>
      <c r="B279" s="213"/>
      <c r="C279" s="210"/>
      <c r="D279" s="297"/>
      <c r="E279" s="186" t="s">
        <v>53</v>
      </c>
      <c r="F279" s="186" t="s">
        <v>1289</v>
      </c>
      <c r="G279" s="186" t="s">
        <v>2907</v>
      </c>
      <c r="H279" s="186" t="s">
        <v>682</v>
      </c>
      <c r="I279" s="186"/>
      <c r="J279" s="186"/>
      <c r="K279" s="186" t="s">
        <v>680</v>
      </c>
      <c r="L279" s="186"/>
      <c r="M279" s="186"/>
      <c r="N279" s="186"/>
      <c r="O279" s="186"/>
      <c r="P279" s="186"/>
      <c r="Q279" s="186"/>
      <c r="R279" s="186"/>
      <c r="S279" s="186"/>
      <c r="T279" s="186" t="s">
        <v>1190</v>
      </c>
      <c r="U279" s="186"/>
      <c r="V279" s="186"/>
      <c r="W279" s="186"/>
    </row>
    <row r="280" spans="1:28" ht="18.75" hidden="1" customHeight="1">
      <c r="A280" s="213"/>
      <c r="B280" s="213"/>
      <c r="C280" s="210"/>
      <c r="D280" s="297"/>
      <c r="E280" s="186" t="s">
        <v>53</v>
      </c>
      <c r="F280" s="186" t="s">
        <v>1290</v>
      </c>
      <c r="G280" s="186" t="s">
        <v>2829</v>
      </c>
      <c r="H280" s="186" t="s">
        <v>682</v>
      </c>
      <c r="I280" s="186"/>
      <c r="J280" s="186"/>
      <c r="K280" s="186" t="s">
        <v>680</v>
      </c>
      <c r="L280" s="186"/>
      <c r="M280" s="186"/>
      <c r="N280" s="186"/>
      <c r="O280" s="186"/>
      <c r="P280" s="186"/>
      <c r="Q280" s="186"/>
      <c r="R280" s="186"/>
      <c r="S280" s="186"/>
      <c r="T280" s="186" t="s">
        <v>1190</v>
      </c>
      <c r="U280" s="186"/>
      <c r="V280" s="186"/>
      <c r="W280" s="186"/>
    </row>
    <row r="281" spans="1:28" ht="18.75" hidden="1" customHeight="1">
      <c r="A281" s="213"/>
      <c r="B281" s="213"/>
      <c r="C281" s="210"/>
      <c r="D281" s="297"/>
      <c r="E281" s="186" t="s">
        <v>53</v>
      </c>
      <c r="F281" s="186" t="s">
        <v>1291</v>
      </c>
      <c r="G281" s="186" t="s">
        <v>679</v>
      </c>
      <c r="H281" s="186" t="s">
        <v>682</v>
      </c>
      <c r="I281" s="186"/>
      <c r="J281" s="186"/>
      <c r="K281" s="186" t="s">
        <v>680</v>
      </c>
      <c r="L281" s="186"/>
      <c r="M281" s="186"/>
      <c r="N281" s="186"/>
      <c r="O281" s="186"/>
      <c r="P281" s="186"/>
      <c r="Q281" s="186"/>
      <c r="R281" s="186"/>
      <c r="S281" s="186"/>
      <c r="T281" s="186" t="s">
        <v>1190</v>
      </c>
      <c r="U281" s="186"/>
      <c r="V281" s="186"/>
      <c r="W281" s="186"/>
    </row>
    <row r="282" spans="1:28" ht="18.75" hidden="1" customHeight="1">
      <c r="A282" s="213"/>
      <c r="B282" s="213"/>
      <c r="C282" s="210"/>
      <c r="D282" s="297"/>
      <c r="E282" s="186" t="s">
        <v>53</v>
      </c>
      <c r="F282" s="186" t="s">
        <v>1292</v>
      </c>
      <c r="G282" s="186" t="s">
        <v>897</v>
      </c>
      <c r="H282" s="186" t="s">
        <v>682</v>
      </c>
      <c r="I282" s="186"/>
      <c r="J282" s="186"/>
      <c r="K282" s="186" t="s">
        <v>680</v>
      </c>
      <c r="L282" s="186"/>
      <c r="M282" s="186"/>
      <c r="N282" s="186"/>
      <c r="O282" s="186"/>
      <c r="P282" s="186"/>
      <c r="Q282" s="186"/>
      <c r="R282" s="186"/>
      <c r="S282" s="186"/>
      <c r="T282" s="186" t="s">
        <v>1190</v>
      </c>
      <c r="U282" s="186"/>
      <c r="V282" s="186"/>
      <c r="W282" s="186"/>
    </row>
    <row r="283" spans="1:28" ht="15" hidden="1" customHeight="1">
      <c r="A283" s="213"/>
      <c r="B283" s="213"/>
      <c r="C283" s="210"/>
      <c r="D283" s="297"/>
      <c r="E283" s="186" t="s">
        <v>53</v>
      </c>
      <c r="F283" s="186" t="s">
        <v>1293</v>
      </c>
      <c r="G283" s="186" t="s">
        <v>2829</v>
      </c>
      <c r="H283" s="186" t="s">
        <v>682</v>
      </c>
      <c r="I283" s="186"/>
      <c r="J283" s="186"/>
      <c r="K283" s="186" t="s">
        <v>680</v>
      </c>
      <c r="L283" s="186"/>
      <c r="M283" s="186"/>
      <c r="N283" s="186"/>
      <c r="O283" s="186"/>
      <c r="P283" s="186"/>
      <c r="Q283" s="186"/>
      <c r="R283" s="186"/>
      <c r="S283" s="186"/>
      <c r="T283" s="186" t="s">
        <v>1190</v>
      </c>
      <c r="U283" s="186"/>
      <c r="V283" s="186"/>
      <c r="W283" s="186"/>
    </row>
    <row r="284" spans="1:28" ht="29.25" customHeight="1">
      <c r="A284" s="213"/>
      <c r="B284" s="213"/>
      <c r="C284" s="210"/>
      <c r="D284" s="297"/>
      <c r="E284" s="186" t="s">
        <v>53</v>
      </c>
      <c r="F284" s="186" t="s">
        <v>123</v>
      </c>
      <c r="G284" s="186" t="s">
        <v>897</v>
      </c>
      <c r="H284" s="186" t="s">
        <v>682</v>
      </c>
      <c r="I284" s="186"/>
      <c r="J284" s="186"/>
      <c r="K284" s="186" t="s">
        <v>682</v>
      </c>
      <c r="L284" s="123" t="s">
        <v>2938</v>
      </c>
      <c r="M284" s="123" t="s">
        <v>2939</v>
      </c>
      <c r="N284" s="186"/>
      <c r="O284" s="186"/>
      <c r="P284" s="186"/>
      <c r="Q284" s="186"/>
      <c r="R284" s="186"/>
      <c r="S284" s="186"/>
      <c r="T284" s="186" t="s">
        <v>1190</v>
      </c>
      <c r="U284" s="186"/>
      <c r="V284" s="186"/>
      <c r="W284" s="186"/>
    </row>
    <row r="285" spans="1:28" ht="15" customHeight="1">
      <c r="A285" s="213"/>
      <c r="B285" s="213"/>
      <c r="C285" s="210"/>
      <c r="D285" s="297"/>
      <c r="E285" s="186" t="s">
        <v>63</v>
      </c>
      <c r="F285" s="186" t="s">
        <v>122</v>
      </c>
      <c r="G285" s="186" t="s">
        <v>681</v>
      </c>
      <c r="H285" s="186" t="s">
        <v>682</v>
      </c>
      <c r="I285" s="186"/>
      <c r="J285" s="186"/>
      <c r="K285" s="186" t="s">
        <v>682</v>
      </c>
      <c r="L285" s="123" t="s">
        <v>2938</v>
      </c>
      <c r="M285" s="186" t="s">
        <v>2940</v>
      </c>
      <c r="N285" s="186"/>
      <c r="O285" s="186"/>
      <c r="P285" s="186"/>
      <c r="Q285" s="186"/>
      <c r="R285" s="186"/>
      <c r="S285" s="186"/>
      <c r="T285" s="186" t="s">
        <v>1190</v>
      </c>
      <c r="U285" s="186"/>
      <c r="V285" s="186"/>
      <c r="W285" s="186"/>
    </row>
    <row r="286" spans="1:28" ht="15" hidden="1" customHeight="1">
      <c r="A286" s="213"/>
      <c r="B286" s="213"/>
      <c r="C286" s="210"/>
      <c r="D286" s="297"/>
      <c r="E286" s="186" t="s">
        <v>55</v>
      </c>
      <c r="F286" s="186" t="s">
        <v>2941</v>
      </c>
      <c r="G286" s="186" t="s">
        <v>683</v>
      </c>
      <c r="H286" s="186" t="s">
        <v>682</v>
      </c>
      <c r="I286" s="186"/>
      <c r="J286" s="186"/>
      <c r="K286" s="186" t="s">
        <v>680</v>
      </c>
      <c r="L286" s="186"/>
      <c r="M286" s="186"/>
      <c r="N286" s="186"/>
      <c r="O286" s="186"/>
      <c r="P286" s="186"/>
      <c r="Q286" s="186"/>
      <c r="R286" s="186"/>
      <c r="S286" s="186"/>
      <c r="T286" s="186" t="s">
        <v>2942</v>
      </c>
      <c r="U286" s="186"/>
      <c r="V286" s="186"/>
      <c r="W286" s="186"/>
    </row>
    <row r="287" spans="1:28" ht="15" hidden="1" customHeight="1">
      <c r="A287" s="213"/>
      <c r="B287" s="213"/>
      <c r="C287" s="210"/>
      <c r="D287" s="297"/>
      <c r="E287" s="186" t="s">
        <v>55</v>
      </c>
      <c r="F287" s="186" t="s">
        <v>2943</v>
      </c>
      <c r="G287" s="186" t="s">
        <v>683</v>
      </c>
      <c r="H287" s="186" t="s">
        <v>682</v>
      </c>
      <c r="I287" s="186"/>
      <c r="J287" s="186"/>
      <c r="K287" s="186" t="s">
        <v>680</v>
      </c>
      <c r="L287" s="186"/>
      <c r="M287" s="186"/>
      <c r="N287" s="186"/>
      <c r="O287" s="186"/>
      <c r="P287" s="186"/>
      <c r="Q287" s="186"/>
      <c r="R287" s="186"/>
      <c r="S287" s="186"/>
      <c r="T287" s="186" t="s">
        <v>2942</v>
      </c>
      <c r="U287" s="186"/>
      <c r="V287" s="186"/>
      <c r="W287" s="186"/>
    </row>
    <row r="288" spans="1:28" ht="18.75" hidden="1" customHeight="1">
      <c r="A288" s="213"/>
      <c r="B288" s="213"/>
      <c r="C288" s="210"/>
      <c r="D288" s="297"/>
      <c r="E288" s="186" t="s">
        <v>55</v>
      </c>
      <c r="F288" s="186" t="s">
        <v>2944</v>
      </c>
      <c r="G288" s="186" t="s">
        <v>683</v>
      </c>
      <c r="H288" s="186" t="s">
        <v>682</v>
      </c>
      <c r="I288" s="186"/>
      <c r="J288" s="186"/>
      <c r="K288" s="186" t="s">
        <v>680</v>
      </c>
      <c r="L288" s="186"/>
      <c r="M288" s="186"/>
      <c r="N288" s="186"/>
      <c r="O288" s="186"/>
      <c r="P288" s="186"/>
      <c r="Q288" s="186"/>
      <c r="R288" s="186"/>
      <c r="S288" s="186"/>
      <c r="T288" s="186" t="s">
        <v>2942</v>
      </c>
      <c r="U288" s="186"/>
      <c r="V288" s="186"/>
      <c r="W288" s="186"/>
    </row>
    <row r="289" spans="1:29" ht="18.75" hidden="1" customHeight="1">
      <c r="A289" s="213"/>
      <c r="B289" s="213"/>
      <c r="C289" s="210"/>
      <c r="D289" s="297"/>
      <c r="E289" s="186" t="s">
        <v>55</v>
      </c>
      <c r="F289" s="186" t="s">
        <v>2945</v>
      </c>
      <c r="G289" s="186" t="s">
        <v>683</v>
      </c>
      <c r="H289" s="186" t="s">
        <v>682</v>
      </c>
      <c r="I289" s="186"/>
      <c r="J289" s="186"/>
      <c r="K289" s="186" t="s">
        <v>680</v>
      </c>
      <c r="L289" s="186"/>
      <c r="M289" s="186"/>
      <c r="N289" s="186"/>
      <c r="O289" s="186"/>
      <c r="P289" s="186"/>
      <c r="Q289" s="186"/>
      <c r="R289" s="186"/>
      <c r="S289" s="186"/>
      <c r="T289" s="186" t="s">
        <v>2942</v>
      </c>
      <c r="U289" s="186"/>
      <c r="V289" s="186"/>
      <c r="W289" s="186"/>
    </row>
    <row r="290" spans="1:29" ht="18.75" hidden="1" customHeight="1">
      <c r="A290" s="213"/>
      <c r="B290" s="213"/>
      <c r="C290" s="210"/>
      <c r="D290" s="297"/>
      <c r="E290" s="186" t="s">
        <v>55</v>
      </c>
      <c r="F290" s="186" t="s">
        <v>2946</v>
      </c>
      <c r="G290" s="186" t="s">
        <v>683</v>
      </c>
      <c r="H290" s="186" t="s">
        <v>682</v>
      </c>
      <c r="I290" s="186"/>
      <c r="J290" s="186"/>
      <c r="K290" s="186" t="s">
        <v>680</v>
      </c>
      <c r="L290" s="186"/>
      <c r="M290" s="186"/>
      <c r="N290" s="186"/>
      <c r="O290" s="186"/>
      <c r="P290" s="186"/>
      <c r="Q290" s="186"/>
      <c r="R290" s="186"/>
      <c r="S290" s="186"/>
      <c r="T290" s="186" t="s">
        <v>2942</v>
      </c>
      <c r="U290" s="186"/>
      <c r="V290" s="186"/>
      <c r="W290" s="186"/>
    </row>
    <row r="291" spans="1:29" ht="18.75" hidden="1" customHeight="1">
      <c r="A291" s="213"/>
      <c r="B291" s="213"/>
      <c r="C291" s="210"/>
      <c r="D291" s="297"/>
      <c r="E291" s="186" t="s">
        <v>55</v>
      </c>
      <c r="F291" s="186" t="s">
        <v>2947</v>
      </c>
      <c r="G291" s="186" t="s">
        <v>683</v>
      </c>
      <c r="H291" s="186" t="s">
        <v>682</v>
      </c>
      <c r="I291" s="186"/>
      <c r="J291" s="186"/>
      <c r="K291" s="186" t="s">
        <v>680</v>
      </c>
      <c r="L291" s="186"/>
      <c r="M291" s="186"/>
      <c r="N291" s="186"/>
      <c r="O291" s="186"/>
      <c r="P291" s="186"/>
      <c r="Q291" s="186"/>
      <c r="R291" s="186"/>
      <c r="S291" s="186"/>
      <c r="T291" s="186" t="s">
        <v>2942</v>
      </c>
      <c r="U291" s="186"/>
      <c r="V291" s="186"/>
      <c r="W291" s="186"/>
    </row>
    <row r="292" spans="1:29" ht="18.75" hidden="1" customHeight="1">
      <c r="A292" s="213"/>
      <c r="B292" s="213"/>
      <c r="C292" s="210"/>
      <c r="D292" s="297"/>
      <c r="E292" s="186" t="s">
        <v>55</v>
      </c>
      <c r="F292" s="186" t="s">
        <v>2948</v>
      </c>
      <c r="G292" s="186" t="s">
        <v>683</v>
      </c>
      <c r="H292" s="186" t="s">
        <v>682</v>
      </c>
      <c r="I292" s="186"/>
      <c r="J292" s="186"/>
      <c r="K292" s="186" t="s">
        <v>680</v>
      </c>
      <c r="L292" s="186"/>
      <c r="M292" s="186"/>
      <c r="N292" s="186"/>
      <c r="O292" s="186"/>
      <c r="P292" s="186"/>
      <c r="Q292" s="186"/>
      <c r="R292" s="186"/>
      <c r="S292" s="186"/>
      <c r="T292" s="186" t="s">
        <v>2949</v>
      </c>
      <c r="U292" s="186"/>
      <c r="V292" s="186"/>
      <c r="W292" s="186"/>
    </row>
    <row r="293" spans="1:29" ht="18.75" hidden="1" customHeight="1">
      <c r="A293" s="213"/>
      <c r="B293" s="213"/>
      <c r="C293" s="210"/>
      <c r="D293" s="297"/>
      <c r="E293" s="186" t="s">
        <v>55</v>
      </c>
      <c r="F293" s="186" t="s">
        <v>2950</v>
      </c>
      <c r="G293" s="186" t="s">
        <v>683</v>
      </c>
      <c r="H293" s="186" t="s">
        <v>682</v>
      </c>
      <c r="I293" s="186"/>
      <c r="J293" s="186"/>
      <c r="K293" s="186" t="s">
        <v>680</v>
      </c>
      <c r="L293" s="186"/>
      <c r="M293" s="186"/>
      <c r="N293" s="186"/>
      <c r="O293" s="186"/>
      <c r="P293" s="186"/>
      <c r="Q293" s="186"/>
      <c r="R293" s="186"/>
      <c r="S293" s="186"/>
      <c r="T293" s="186" t="s">
        <v>2951</v>
      </c>
      <c r="U293" s="186"/>
      <c r="V293" s="186"/>
      <c r="W293" s="186"/>
    </row>
    <row r="294" spans="1:29" ht="18.75" hidden="1" customHeight="1">
      <c r="A294" s="213"/>
      <c r="B294" s="213"/>
      <c r="C294" s="210"/>
      <c r="D294" s="297"/>
      <c r="E294" s="186" t="s">
        <v>55</v>
      </c>
      <c r="F294" s="186" t="s">
        <v>2952</v>
      </c>
      <c r="G294" s="186" t="s">
        <v>683</v>
      </c>
      <c r="H294" s="186" t="s">
        <v>682</v>
      </c>
      <c r="I294" s="186"/>
      <c r="J294" s="186"/>
      <c r="K294" s="186" t="s">
        <v>680</v>
      </c>
      <c r="L294" s="186"/>
      <c r="M294" s="186"/>
      <c r="N294" s="186"/>
      <c r="O294" s="186"/>
      <c r="P294" s="186"/>
      <c r="Q294" s="186"/>
      <c r="R294" s="186"/>
      <c r="S294" s="186"/>
      <c r="T294" s="186" t="s">
        <v>2953</v>
      </c>
      <c r="U294" s="186"/>
      <c r="V294" s="186"/>
      <c r="W294" s="186"/>
    </row>
    <row r="295" spans="1:29" ht="18.75" hidden="1" customHeight="1">
      <c r="A295" s="213"/>
      <c r="B295" s="213"/>
      <c r="C295" s="210"/>
      <c r="D295" s="297"/>
      <c r="E295" s="186" t="s">
        <v>55</v>
      </c>
      <c r="F295" s="186" t="s">
        <v>2954</v>
      </c>
      <c r="G295" s="186" t="s">
        <v>683</v>
      </c>
      <c r="H295" s="186" t="s">
        <v>682</v>
      </c>
      <c r="I295" s="186"/>
      <c r="J295" s="186"/>
      <c r="K295" s="186" t="s">
        <v>680</v>
      </c>
      <c r="L295" s="186"/>
      <c r="M295" s="186"/>
      <c r="N295" s="186"/>
      <c r="O295" s="186"/>
      <c r="P295" s="186"/>
      <c r="Q295" s="186"/>
      <c r="R295" s="186"/>
      <c r="S295" s="186"/>
      <c r="T295" s="186" t="s">
        <v>2955</v>
      </c>
      <c r="U295" s="186"/>
      <c r="V295" s="186"/>
      <c r="W295" s="186"/>
    </row>
    <row r="296" spans="1:29" ht="15.75" hidden="1" customHeight="1">
      <c r="A296" s="88"/>
      <c r="B296" s="88"/>
      <c r="C296" s="89"/>
      <c r="D296" s="93"/>
      <c r="E296" s="186" t="s">
        <v>55</v>
      </c>
      <c r="F296" s="186" t="s">
        <v>2956</v>
      </c>
      <c r="G296" s="186" t="s">
        <v>683</v>
      </c>
      <c r="H296" s="186" t="s">
        <v>682</v>
      </c>
      <c r="I296" s="186"/>
      <c r="J296" s="186"/>
      <c r="K296" s="186" t="s">
        <v>680</v>
      </c>
      <c r="L296" s="186"/>
      <c r="M296" s="186"/>
      <c r="N296" s="186"/>
      <c r="O296" s="186"/>
      <c r="P296" s="186"/>
      <c r="Q296" s="186"/>
      <c r="R296" s="186"/>
      <c r="S296" s="186"/>
      <c r="T296" s="186" t="s">
        <v>2957</v>
      </c>
      <c r="U296" s="186"/>
      <c r="V296" s="186"/>
      <c r="W296" s="186"/>
    </row>
    <row r="297" spans="1:29" ht="15.75" customHeight="1">
      <c r="M297" s="439"/>
      <c r="P297" s="441"/>
    </row>
    <row r="298" spans="1:29" ht="15.75" customHeight="1">
      <c r="M298" s="439"/>
      <c r="P298" s="441"/>
    </row>
    <row r="299" spans="1:29" ht="15.75" customHeight="1">
      <c r="M299" s="439"/>
      <c r="P299" s="441"/>
    </row>
    <row r="300" spans="1:29" ht="13">
      <c r="A300" s="453"/>
      <c r="B300" s="453"/>
      <c r="C300" s="453"/>
      <c r="D300" s="453"/>
      <c r="E300" s="180" t="s">
        <v>2958</v>
      </c>
      <c r="F300" s="180" t="s">
        <v>2959</v>
      </c>
      <c r="G300" s="180" t="s">
        <v>226</v>
      </c>
      <c r="H300" s="696" t="s">
        <v>2960</v>
      </c>
      <c r="I300" s="692"/>
      <c r="J300" s="692"/>
      <c r="K300" s="692"/>
      <c r="L300" s="469" t="s">
        <v>2961</v>
      </c>
      <c r="M300" s="180" t="s">
        <v>2962</v>
      </c>
      <c r="N300" s="149" t="s">
        <v>2963</v>
      </c>
      <c r="O300" s="441"/>
      <c r="P300" s="441"/>
      <c r="Q300" s="441"/>
      <c r="R300" s="441"/>
      <c r="S300" s="441"/>
      <c r="T300" s="441"/>
      <c r="U300" s="441"/>
      <c r="X300" s="441"/>
      <c r="Y300" s="441"/>
      <c r="Z300" s="441"/>
      <c r="AA300" s="441"/>
      <c r="AB300" s="441"/>
      <c r="AC300" s="441"/>
    </row>
    <row r="301" spans="1:29" ht="12.5">
      <c r="A301" s="453"/>
      <c r="B301" s="453"/>
      <c r="C301" s="453"/>
      <c r="D301" s="453"/>
      <c r="E301" t="s">
        <v>2964</v>
      </c>
      <c r="F301" t="s">
        <v>75</v>
      </c>
      <c r="G301" t="s">
        <v>2965</v>
      </c>
      <c r="H301" s="695" t="s">
        <v>2966</v>
      </c>
      <c r="I301" s="692"/>
      <c r="J301" s="692"/>
      <c r="K301" s="692"/>
      <c r="L301" s="129" t="s">
        <v>2967</v>
      </c>
      <c r="M301" s="129" t="s">
        <v>2968</v>
      </c>
      <c r="N301" s="441"/>
      <c r="O301" s="441"/>
      <c r="P301" s="382"/>
      <c r="Q301" s="470"/>
      <c r="R301" s="441"/>
      <c r="S301" s="441"/>
      <c r="T301" s="441"/>
      <c r="U301" s="441"/>
      <c r="X301" s="441"/>
      <c r="Y301" s="441"/>
      <c r="Z301" s="441"/>
      <c r="AA301" s="441"/>
      <c r="AB301" s="441"/>
      <c r="AC301" s="441"/>
    </row>
    <row r="302" spans="1:29" ht="12.5">
      <c r="A302" s="453"/>
      <c r="B302" s="453"/>
      <c r="C302" s="453"/>
      <c r="D302" s="453"/>
      <c r="E302" t="s">
        <v>2969</v>
      </c>
      <c r="F302" t="s">
        <v>75</v>
      </c>
      <c r="G302" t="s">
        <v>2970</v>
      </c>
      <c r="H302" s="695" t="s">
        <v>2971</v>
      </c>
      <c r="I302" s="692"/>
      <c r="J302" s="692"/>
      <c r="K302" s="692"/>
      <c r="L302" s="129" t="s">
        <v>2972</v>
      </c>
      <c r="M302" s="129" t="s">
        <v>2968</v>
      </c>
      <c r="N302" s="441"/>
      <c r="O302" s="441"/>
      <c r="P302" s="441"/>
      <c r="Q302" s="441"/>
      <c r="R302" s="441"/>
      <c r="S302" s="441"/>
      <c r="T302" s="441"/>
      <c r="U302" s="441"/>
      <c r="X302" s="441"/>
      <c r="Y302" s="441"/>
      <c r="Z302" s="441"/>
      <c r="AA302" s="441"/>
      <c r="AB302" s="441"/>
      <c r="AC302" s="441"/>
    </row>
    <row r="303" spans="1:29" ht="12.5">
      <c r="A303" s="453"/>
      <c r="B303" s="453"/>
      <c r="C303" s="453"/>
      <c r="D303" s="453"/>
      <c r="E303" s="441" t="s">
        <v>2973</v>
      </c>
      <c r="F303" t="s">
        <v>75</v>
      </c>
      <c r="G303" t="s">
        <v>2965</v>
      </c>
      <c r="H303" s="695" t="s">
        <v>2974</v>
      </c>
      <c r="I303" s="692"/>
      <c r="J303" s="692"/>
      <c r="K303" s="692"/>
      <c r="L303" s="129" t="s">
        <v>2975</v>
      </c>
      <c r="M303" s="129" t="s">
        <v>2968</v>
      </c>
      <c r="N303" s="441"/>
      <c r="O303" s="441"/>
      <c r="P303" s="441"/>
      <c r="Q303" s="441"/>
      <c r="R303" s="441"/>
      <c r="S303" s="441"/>
      <c r="T303" s="441"/>
      <c r="U303" s="441"/>
      <c r="X303" s="441"/>
      <c r="Y303" s="441"/>
      <c r="Z303" s="441"/>
      <c r="AA303" s="441"/>
      <c r="AB303" s="441"/>
      <c r="AC303" s="441"/>
    </row>
    <row r="304" spans="1:29" ht="12.5">
      <c r="A304" s="453"/>
      <c r="B304" s="453"/>
      <c r="C304" s="453"/>
      <c r="D304" s="453"/>
      <c r="E304" s="441" t="s">
        <v>2976</v>
      </c>
      <c r="F304" t="s">
        <v>75</v>
      </c>
      <c r="G304" t="s">
        <v>2970</v>
      </c>
      <c r="H304" s="695" t="s">
        <v>2977</v>
      </c>
      <c r="I304" s="692"/>
      <c r="J304" s="692"/>
      <c r="K304" s="692"/>
      <c r="L304" s="129" t="s">
        <v>2978</v>
      </c>
      <c r="M304" s="129" t="s">
        <v>2968</v>
      </c>
      <c r="N304" s="441"/>
      <c r="O304" s="441"/>
      <c r="P304" s="441"/>
      <c r="Q304" s="441"/>
      <c r="R304" s="441"/>
      <c r="S304" s="441"/>
      <c r="T304" s="441"/>
      <c r="U304" s="441"/>
      <c r="X304" s="441"/>
      <c r="Y304" s="441"/>
      <c r="Z304" s="441"/>
      <c r="AA304" s="441"/>
      <c r="AB304" s="441"/>
      <c r="AC304" s="441"/>
    </row>
    <row r="306" spans="1:13" ht="15.75" customHeight="1">
      <c r="E306" t="s">
        <v>2964</v>
      </c>
      <c r="F306" t="s">
        <v>2979</v>
      </c>
      <c r="G306" t="s">
        <v>2965</v>
      </c>
      <c r="H306" s="695" t="s">
        <v>2980</v>
      </c>
      <c r="I306" s="692"/>
      <c r="J306" s="692"/>
      <c r="K306" s="692"/>
      <c r="L306" s="129" t="s">
        <v>2981</v>
      </c>
      <c r="M306" s="129" t="s">
        <v>2982</v>
      </c>
    </row>
    <row r="307" spans="1:13" ht="15.75" customHeight="1">
      <c r="E307" t="s">
        <v>2969</v>
      </c>
      <c r="F307" t="s">
        <v>2979</v>
      </c>
      <c r="G307" t="s">
        <v>2970</v>
      </c>
      <c r="H307" s="695" t="s">
        <v>2983</v>
      </c>
      <c r="I307" s="692"/>
      <c r="J307" s="692"/>
      <c r="K307" s="692"/>
      <c r="L307" s="129" t="s">
        <v>2984</v>
      </c>
      <c r="M307" s="129" t="s">
        <v>2982</v>
      </c>
    </row>
    <row r="308" spans="1:13" ht="15.75" customHeight="1">
      <c r="E308" t="s">
        <v>2973</v>
      </c>
      <c r="F308" t="s">
        <v>2979</v>
      </c>
      <c r="G308" t="s">
        <v>2965</v>
      </c>
      <c r="H308" s="695" t="s">
        <v>2985</v>
      </c>
      <c r="I308" s="692"/>
      <c r="J308" s="692"/>
      <c r="K308" s="692"/>
      <c r="L308" s="129" t="s">
        <v>2986</v>
      </c>
      <c r="M308" s="129" t="s">
        <v>2982</v>
      </c>
    </row>
    <row r="309" spans="1:13" ht="15.75" customHeight="1">
      <c r="E309" t="s">
        <v>2976</v>
      </c>
      <c r="F309" t="s">
        <v>2979</v>
      </c>
      <c r="G309" t="s">
        <v>2970</v>
      </c>
      <c r="H309" s="695" t="s">
        <v>2987</v>
      </c>
      <c r="I309" s="692"/>
      <c r="J309" s="692"/>
      <c r="K309" s="692"/>
      <c r="L309" s="129" t="s">
        <v>2988</v>
      </c>
      <c r="M309" s="129" t="s">
        <v>2982</v>
      </c>
    </row>
    <row r="310" spans="1:13" s="321" customFormat="1" ht="15.75" customHeight="1">
      <c r="A310"/>
      <c r="B310"/>
      <c r="C310"/>
      <c r="D310"/>
      <c r="E310" s="316" t="s">
        <v>2973</v>
      </c>
      <c r="F310" s="316" t="s">
        <v>2979</v>
      </c>
      <c r="G310" s="316" t="s">
        <v>2965</v>
      </c>
      <c r="H310" s="693" t="s">
        <v>2989</v>
      </c>
      <c r="I310" s="694"/>
      <c r="J310" s="694"/>
      <c r="K310" s="694"/>
      <c r="L310" s="619" t="s">
        <v>2990</v>
      </c>
      <c r="M310" s="619" t="s">
        <v>2982</v>
      </c>
    </row>
    <row r="311" spans="1:13" s="321" customFormat="1" ht="15.75" customHeight="1">
      <c r="A311"/>
      <c r="B311"/>
      <c r="C311"/>
      <c r="D311"/>
      <c r="E311" s="316" t="s">
        <v>2976</v>
      </c>
      <c r="F311" s="316" t="s">
        <v>2979</v>
      </c>
      <c r="G311" s="316" t="s">
        <v>2970</v>
      </c>
      <c r="H311" s="693" t="s">
        <v>2991</v>
      </c>
      <c r="I311" s="694"/>
      <c r="J311" s="694"/>
      <c r="K311" s="694"/>
      <c r="L311" s="619" t="s">
        <v>2992</v>
      </c>
      <c r="M311" s="619" t="s">
        <v>2982</v>
      </c>
    </row>
    <row r="312" spans="1:13" ht="15.75" customHeight="1">
      <c r="E312" s="441"/>
      <c r="F312" s="441"/>
      <c r="G312" s="441"/>
      <c r="H312" s="441"/>
      <c r="I312" s="441"/>
      <c r="J312" s="441"/>
      <c r="K312" s="441"/>
      <c r="L312" s="441"/>
      <c r="M312" s="439"/>
    </row>
    <row r="313" spans="1:13" ht="15.75" customHeight="1">
      <c r="E313" s="149" t="s">
        <v>2993</v>
      </c>
      <c r="F313" s="441"/>
      <c r="G313" s="441"/>
      <c r="H313" s="441"/>
      <c r="I313" s="441"/>
      <c r="J313" s="441"/>
      <c r="K313" s="441"/>
      <c r="L313" s="441"/>
      <c r="M313" s="439"/>
    </row>
    <row r="314" spans="1:13" ht="15.75" customHeight="1">
      <c r="E314" s="439" t="s">
        <v>2994</v>
      </c>
      <c r="F314" s="441"/>
      <c r="G314" s="441"/>
      <c r="H314" s="441"/>
      <c r="I314" s="441"/>
      <c r="J314" s="441"/>
      <c r="K314" s="441"/>
      <c r="L314" s="441"/>
      <c r="M314" s="439"/>
    </row>
    <row r="315" spans="1:13" ht="15.75" customHeight="1">
      <c r="E315" s="439" t="s">
        <v>2995</v>
      </c>
      <c r="F315" s="441"/>
      <c r="G315" s="441"/>
      <c r="H315" s="441"/>
      <c r="I315" s="441"/>
      <c r="J315" s="441"/>
      <c r="K315" s="441"/>
      <c r="L315" s="441"/>
      <c r="M315" s="439"/>
    </row>
  </sheetData>
  <autoFilter ref="A3:AC296" xr:uid="{00000000-0001-0000-0E00-000000000000}">
    <filterColumn colId="10">
      <filters>
        <filter val="Y"/>
      </filters>
    </filterColumn>
  </autoFilter>
  <mergeCells count="11">
    <mergeCell ref="H300:K300"/>
    <mergeCell ref="H301:K301"/>
    <mergeCell ref="H307:K307"/>
    <mergeCell ref="H308:K308"/>
    <mergeCell ref="H309:K309"/>
    <mergeCell ref="H310:K310"/>
    <mergeCell ref="H311:K311"/>
    <mergeCell ref="H304:K304"/>
    <mergeCell ref="H306:K306"/>
    <mergeCell ref="H302:K302"/>
    <mergeCell ref="H303:K303"/>
  </mergeCells>
  <pageMargins left="0.7" right="0.7" top="0.75" bottom="0.75" header="0" footer="0"/>
  <pageSetup orientation="landscape"/>
  <legacy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D67F19-F36A-4B62-9D13-FFF0D00985F8}">
  <sheetPr filterMode="1">
    <tabColor rgb="FFFFFF00"/>
    <outlinePr summaryBelow="0" summaryRight="0"/>
  </sheetPr>
  <dimension ref="A1:AC317"/>
  <sheetViews>
    <sheetView workbookViewId="0">
      <pane xSplit="2" ySplit="3" topLeftCell="Q4" activePane="bottomRight" state="frozen"/>
      <selection pane="topRight" activeCell="C1" sqref="C1"/>
      <selection pane="bottomLeft" activeCell="A4" sqref="A4"/>
      <selection pane="bottomRight" activeCell="Q6" sqref="Q6"/>
    </sheetView>
  </sheetViews>
  <sheetFormatPr defaultColWidth="14.453125" defaultRowHeight="15" customHeight="1"/>
  <cols>
    <col min="1" max="4" width="17.7265625" hidden="1" customWidth="1"/>
    <col min="5" max="5" width="15.1796875" customWidth="1"/>
    <col min="6" max="6" width="37.7265625" customWidth="1"/>
    <col min="7" max="7" width="18.26953125" customWidth="1"/>
    <col min="8" max="8" width="9" customWidth="1"/>
    <col min="9" max="9" width="10.1796875" customWidth="1"/>
    <col min="10" max="10" width="8.81640625" customWidth="1"/>
    <col min="11" max="11" width="12.54296875" customWidth="1"/>
    <col min="12" max="13" width="54.54296875" customWidth="1"/>
    <col min="14" max="14" width="13.1796875" hidden="1" customWidth="1"/>
    <col min="15" max="15" width="15.1796875" hidden="1" customWidth="1"/>
    <col min="16" max="16" width="29.54296875" hidden="1" customWidth="1"/>
    <col min="17" max="17" width="49.81640625" customWidth="1"/>
    <col min="18" max="18" width="23.453125" customWidth="1"/>
    <col min="19" max="19" width="10.7265625" customWidth="1"/>
    <col min="20" max="20" width="24.453125" customWidth="1"/>
    <col min="21" max="21" width="48.1796875" customWidth="1"/>
    <col min="22" max="24" width="15.81640625" customWidth="1"/>
    <col min="25" max="26" width="17.26953125" customWidth="1"/>
    <col min="27" max="27" width="25.26953125" customWidth="1"/>
    <col min="28" max="28" width="69.7265625" customWidth="1"/>
    <col min="29" max="29" width="55.453125" customWidth="1"/>
  </cols>
  <sheetData>
    <row r="1" spans="1:28" ht="47.25" customHeight="1">
      <c r="E1" s="697" t="s">
        <v>2996</v>
      </c>
      <c r="F1" s="697"/>
      <c r="G1" s="697"/>
      <c r="H1" s="697"/>
      <c r="I1" s="697"/>
      <c r="J1" s="697"/>
      <c r="K1" s="697"/>
      <c r="L1" s="697"/>
    </row>
    <row r="2" spans="1:28" ht="27" customHeight="1">
      <c r="A2" s="186"/>
      <c r="B2" s="186"/>
      <c r="C2" s="186"/>
      <c r="D2" s="119"/>
      <c r="E2" s="289" t="s">
        <v>1322</v>
      </c>
      <c r="F2" s="186"/>
      <c r="G2" s="186"/>
      <c r="H2" s="186"/>
      <c r="I2" s="186"/>
      <c r="J2" s="186"/>
      <c r="K2" s="353" t="s">
        <v>1038</v>
      </c>
      <c r="L2" s="353"/>
      <c r="M2" s="603"/>
      <c r="N2" s="353"/>
      <c r="O2" s="353"/>
      <c r="P2" s="335"/>
      <c r="Q2" s="353"/>
      <c r="R2" s="186"/>
      <c r="S2" s="186"/>
      <c r="T2" s="186"/>
      <c r="U2" s="186"/>
      <c r="V2" s="186"/>
      <c r="W2" s="186"/>
      <c r="X2" s="186"/>
      <c r="Y2" s="186"/>
      <c r="Z2" s="354" t="s">
        <v>1039</v>
      </c>
      <c r="AA2" s="355"/>
      <c r="AB2" s="601"/>
    </row>
    <row r="3" spans="1:28" ht="18.75" customHeight="1">
      <c r="A3" s="208" t="s">
        <v>1040</v>
      </c>
      <c r="B3" s="208" t="s">
        <v>1041</v>
      </c>
      <c r="C3" s="208" t="s">
        <v>1042</v>
      </c>
      <c r="D3" s="295" t="s">
        <v>1043</v>
      </c>
      <c r="E3" s="417" t="s">
        <v>224</v>
      </c>
      <c r="F3" s="417" t="s">
        <v>225</v>
      </c>
      <c r="G3" s="417" t="s">
        <v>226</v>
      </c>
      <c r="H3" s="417" t="s">
        <v>227</v>
      </c>
      <c r="I3" s="417" t="s">
        <v>1044</v>
      </c>
      <c r="J3" s="417" t="s">
        <v>1045</v>
      </c>
      <c r="K3" s="353" t="s">
        <v>1046</v>
      </c>
      <c r="L3" s="353" t="s">
        <v>100</v>
      </c>
      <c r="M3" s="603" t="s">
        <v>101</v>
      </c>
      <c r="N3" s="353" t="s">
        <v>102</v>
      </c>
      <c r="O3" s="353" t="s">
        <v>103</v>
      </c>
      <c r="P3" s="335" t="s">
        <v>104</v>
      </c>
      <c r="Q3" s="353" t="s">
        <v>105</v>
      </c>
      <c r="R3" s="417" t="s">
        <v>111</v>
      </c>
      <c r="S3" s="417" t="s">
        <v>112</v>
      </c>
      <c r="T3" s="417" t="s">
        <v>113</v>
      </c>
      <c r="U3" s="602"/>
      <c r="V3" s="602"/>
      <c r="W3" s="602"/>
      <c r="X3" s="359" t="s">
        <v>1049</v>
      </c>
      <c r="Y3" s="359" t="s">
        <v>1050</v>
      </c>
      <c r="Z3" s="359" t="s">
        <v>237</v>
      </c>
      <c r="AA3" s="360" t="s">
        <v>1</v>
      </c>
      <c r="AB3" s="537" t="s">
        <v>238</v>
      </c>
    </row>
    <row r="4" spans="1:28" ht="46.5" customHeight="1">
      <c r="A4" s="296"/>
      <c r="B4" s="296"/>
      <c r="C4" s="296"/>
      <c r="D4" s="605"/>
      <c r="E4" s="368" t="s">
        <v>55</v>
      </c>
      <c r="F4" s="368" t="s">
        <v>1893</v>
      </c>
      <c r="G4" s="186" t="s">
        <v>897</v>
      </c>
      <c r="H4" s="368" t="s">
        <v>682</v>
      </c>
      <c r="I4" s="368"/>
      <c r="J4" s="368"/>
      <c r="K4" s="368" t="s">
        <v>682</v>
      </c>
      <c r="L4" s="123" t="s">
        <v>2997</v>
      </c>
      <c r="M4" s="123" t="s">
        <v>2998</v>
      </c>
      <c r="N4" s="606"/>
      <c r="O4" s="606"/>
      <c r="P4" s="607"/>
      <c r="Q4" s="368"/>
      <c r="R4" s="368"/>
      <c r="S4" s="368"/>
      <c r="T4" s="368"/>
      <c r="U4" s="368"/>
      <c r="V4" s="368"/>
      <c r="W4" s="368"/>
      <c r="X4" s="134"/>
      <c r="Y4" s="134"/>
      <c r="Z4" s="134"/>
      <c r="AA4" s="245"/>
      <c r="AB4" s="246"/>
    </row>
    <row r="5" spans="1:28" ht="45.75" customHeight="1">
      <c r="A5" s="193"/>
      <c r="B5" s="193"/>
      <c r="C5" s="193"/>
      <c r="D5" s="193"/>
      <c r="E5" s="186" t="s">
        <v>55</v>
      </c>
      <c r="F5" s="120" t="s">
        <v>170</v>
      </c>
      <c r="G5" s="186" t="s">
        <v>860</v>
      </c>
      <c r="H5" t="s">
        <v>682</v>
      </c>
      <c r="K5" s="186" t="s">
        <v>682</v>
      </c>
      <c r="L5" s="123" t="s">
        <v>2999</v>
      </c>
      <c r="M5" s="123" t="s">
        <v>1843</v>
      </c>
      <c r="N5" s="186"/>
      <c r="O5" s="186"/>
      <c r="P5" s="123"/>
      <c r="Q5" s="123" t="s">
        <v>3000</v>
      </c>
      <c r="R5" s="186"/>
      <c r="S5" s="186">
        <v>0</v>
      </c>
      <c r="X5">
        <v>91</v>
      </c>
      <c r="Z5" t="s">
        <v>2645</v>
      </c>
      <c r="AA5" s="30">
        <v>43538</v>
      </c>
      <c r="AB5" t="s">
        <v>2646</v>
      </c>
    </row>
    <row r="6" spans="1:28" ht="37.5">
      <c r="A6" s="213"/>
      <c r="B6" s="213"/>
      <c r="C6" s="210"/>
      <c r="D6" s="297"/>
      <c r="E6" s="186" t="s">
        <v>53</v>
      </c>
      <c r="F6" s="186" t="s">
        <v>1010</v>
      </c>
      <c r="G6" s="186" t="s">
        <v>897</v>
      </c>
      <c r="H6" s="186" t="s">
        <v>680</v>
      </c>
      <c r="I6" s="186"/>
      <c r="J6" s="186"/>
      <c r="K6" s="186" t="s">
        <v>682</v>
      </c>
      <c r="L6" s="123" t="s">
        <v>2997</v>
      </c>
      <c r="M6" s="123" t="s">
        <v>3001</v>
      </c>
      <c r="N6" s="186"/>
      <c r="O6" s="186"/>
      <c r="P6" s="186"/>
      <c r="Q6" s="186"/>
      <c r="R6" s="186"/>
      <c r="S6" s="186"/>
      <c r="T6" s="186" t="s">
        <v>1190</v>
      </c>
      <c r="U6" s="186"/>
      <c r="V6" s="186"/>
      <c r="W6" s="186"/>
    </row>
    <row r="7" spans="1:28" ht="44.25" customHeight="1">
      <c r="A7" s="213"/>
      <c r="B7" s="213"/>
      <c r="C7" s="210"/>
      <c r="D7" s="297" t="s">
        <v>682</v>
      </c>
      <c r="E7" s="186" t="s">
        <v>61</v>
      </c>
      <c r="F7" s="186" t="s">
        <v>118</v>
      </c>
      <c r="G7" s="186" t="s">
        <v>679</v>
      </c>
      <c r="H7" s="186" t="s">
        <v>680</v>
      </c>
      <c r="J7" s="186"/>
      <c r="K7" s="186" t="s">
        <v>682</v>
      </c>
      <c r="L7" s="123" t="s">
        <v>2999</v>
      </c>
      <c r="M7" s="123" t="s">
        <v>118</v>
      </c>
      <c r="N7" s="186"/>
      <c r="O7" s="186"/>
      <c r="P7" s="123"/>
      <c r="Q7" s="123" t="s">
        <v>3000</v>
      </c>
      <c r="R7" s="186"/>
      <c r="S7" s="186">
        <v>59302951</v>
      </c>
      <c r="T7" s="186" t="s">
        <v>2649</v>
      </c>
      <c r="U7" s="186"/>
      <c r="V7" s="186"/>
      <c r="W7" s="186"/>
      <c r="X7">
        <v>1</v>
      </c>
      <c r="Z7" t="s">
        <v>2645</v>
      </c>
      <c r="AA7" s="30">
        <v>43538</v>
      </c>
      <c r="AB7" t="s">
        <v>2646</v>
      </c>
    </row>
    <row r="8" spans="1:28" ht="12.5" hidden="1">
      <c r="A8" s="88"/>
      <c r="B8" s="88"/>
      <c r="C8" s="89"/>
      <c r="D8" s="93"/>
      <c r="E8" s="186" t="s">
        <v>55</v>
      </c>
      <c r="F8" s="186" t="s">
        <v>2650</v>
      </c>
      <c r="G8" s="186" t="s">
        <v>683</v>
      </c>
      <c r="H8" s="186" t="s">
        <v>682</v>
      </c>
      <c r="I8" s="186"/>
      <c r="J8" s="186"/>
      <c r="K8" s="186" t="s">
        <v>680</v>
      </c>
      <c r="L8" s="123"/>
      <c r="M8" s="186"/>
      <c r="N8" s="186"/>
      <c r="O8" s="186"/>
      <c r="P8" s="186"/>
      <c r="Q8" s="186"/>
      <c r="R8" s="186"/>
      <c r="S8" s="186"/>
      <c r="T8" s="186" t="s">
        <v>2651</v>
      </c>
      <c r="U8" s="186"/>
      <c r="V8" s="186"/>
      <c r="W8" s="186"/>
    </row>
    <row r="9" spans="1:28" ht="12.5" hidden="1">
      <c r="A9" s="88"/>
      <c r="B9" s="88"/>
      <c r="C9" s="89"/>
      <c r="D9" s="93"/>
      <c r="E9" s="186" t="s">
        <v>55</v>
      </c>
      <c r="F9" s="186" t="s">
        <v>2652</v>
      </c>
      <c r="G9" s="186" t="s">
        <v>683</v>
      </c>
      <c r="H9" s="186" t="s">
        <v>682</v>
      </c>
      <c r="I9" s="186"/>
      <c r="J9" s="186"/>
      <c r="K9" s="186" t="s">
        <v>680</v>
      </c>
      <c r="L9" s="186"/>
      <c r="M9" s="186"/>
      <c r="N9" s="186"/>
      <c r="O9" s="186"/>
      <c r="P9" s="186"/>
      <c r="Q9" s="186"/>
      <c r="R9" s="186"/>
      <c r="S9" s="186"/>
      <c r="T9" s="186" t="s">
        <v>2651</v>
      </c>
      <c r="U9" s="186"/>
      <c r="V9" s="186"/>
      <c r="W9" s="186"/>
    </row>
    <row r="10" spans="1:28" ht="12.5" hidden="1">
      <c r="A10" s="213"/>
      <c r="B10" s="213"/>
      <c r="C10" s="210"/>
      <c r="D10" s="297"/>
      <c r="E10" s="186" t="s">
        <v>55</v>
      </c>
      <c r="F10" s="186" t="s">
        <v>2653</v>
      </c>
      <c r="G10" s="186" t="s">
        <v>683</v>
      </c>
      <c r="H10" s="186" t="s">
        <v>682</v>
      </c>
      <c r="I10" s="186"/>
      <c r="J10" s="186"/>
      <c r="K10" s="186" t="s">
        <v>680</v>
      </c>
      <c r="L10" s="186"/>
      <c r="M10" s="186"/>
      <c r="N10" s="186"/>
      <c r="O10" s="186"/>
      <c r="P10" s="186"/>
      <c r="Q10" s="186"/>
      <c r="R10" s="186"/>
      <c r="S10" s="186"/>
      <c r="T10" s="186" t="s">
        <v>2651</v>
      </c>
      <c r="U10" s="186"/>
      <c r="V10" s="186"/>
      <c r="W10" s="186"/>
    </row>
    <row r="11" spans="1:28" ht="12.5" hidden="1">
      <c r="A11" s="213"/>
      <c r="B11" s="213"/>
      <c r="C11" s="210"/>
      <c r="D11" s="297"/>
      <c r="E11" s="186" t="s">
        <v>55</v>
      </c>
      <c r="F11" s="186" t="s">
        <v>2654</v>
      </c>
      <c r="G11" s="186" t="s">
        <v>683</v>
      </c>
      <c r="H11" s="186" t="s">
        <v>682</v>
      </c>
      <c r="I11" s="186"/>
      <c r="J11" s="186"/>
      <c r="K11" s="186" t="s">
        <v>680</v>
      </c>
      <c r="L11" s="186"/>
      <c r="M11" s="186"/>
      <c r="N11" s="186"/>
      <c r="O11" s="186"/>
      <c r="P11" s="186"/>
      <c r="Q11" s="186"/>
      <c r="R11" s="186"/>
      <c r="S11" s="186"/>
      <c r="T11" s="186" t="s">
        <v>2651</v>
      </c>
      <c r="U11" s="186"/>
      <c r="V11" s="186"/>
      <c r="W11" s="186"/>
    </row>
    <row r="12" spans="1:28" ht="12.5" hidden="1">
      <c r="A12" s="213"/>
      <c r="B12" s="213"/>
      <c r="C12" s="210"/>
      <c r="D12" s="297"/>
      <c r="E12" s="186" t="s">
        <v>55</v>
      </c>
      <c r="F12" s="186" t="s">
        <v>2655</v>
      </c>
      <c r="G12" s="186" t="s">
        <v>683</v>
      </c>
      <c r="H12" s="186" t="s">
        <v>682</v>
      </c>
      <c r="I12" s="186"/>
      <c r="J12" s="186"/>
      <c r="K12" s="186" t="s">
        <v>680</v>
      </c>
      <c r="L12" s="186"/>
      <c r="M12" s="186"/>
      <c r="N12" s="186"/>
      <c r="O12" s="186"/>
      <c r="P12" s="186"/>
      <c r="Q12" s="186"/>
      <c r="R12" s="186"/>
      <c r="S12" s="186"/>
      <c r="T12" s="186" t="s">
        <v>2651</v>
      </c>
      <c r="U12" s="186"/>
      <c r="V12" s="186"/>
      <c r="W12" s="186"/>
    </row>
    <row r="13" spans="1:28" ht="12.5" hidden="1">
      <c r="A13" s="213"/>
      <c r="B13" s="213"/>
      <c r="C13" s="210"/>
      <c r="D13" s="297"/>
      <c r="E13" s="186" t="s">
        <v>55</v>
      </c>
      <c r="F13" s="186" t="s">
        <v>2656</v>
      </c>
      <c r="G13" s="186" t="s">
        <v>683</v>
      </c>
      <c r="H13" s="186" t="s">
        <v>682</v>
      </c>
      <c r="I13" s="186"/>
      <c r="J13" s="186"/>
      <c r="K13" s="186" t="s">
        <v>680</v>
      </c>
      <c r="L13" s="186"/>
      <c r="M13" s="186"/>
      <c r="N13" s="186"/>
      <c r="O13" s="186"/>
      <c r="P13" s="186"/>
      <c r="Q13" s="186"/>
      <c r="R13" s="186"/>
      <c r="S13" s="186"/>
      <c r="T13" s="186" t="s">
        <v>2651</v>
      </c>
      <c r="U13" s="186"/>
      <c r="V13" s="186"/>
      <c r="W13" s="186"/>
    </row>
    <row r="14" spans="1:28" ht="12.5" hidden="1">
      <c r="A14" s="213"/>
      <c r="B14" s="213"/>
      <c r="C14" s="210"/>
      <c r="D14" s="297"/>
      <c r="E14" s="186" t="s">
        <v>55</v>
      </c>
      <c r="F14" s="186" t="s">
        <v>2657</v>
      </c>
      <c r="G14" s="186" t="s">
        <v>683</v>
      </c>
      <c r="H14" s="186" t="s">
        <v>682</v>
      </c>
      <c r="I14" s="186"/>
      <c r="J14" s="186"/>
      <c r="K14" s="186" t="s">
        <v>680</v>
      </c>
      <c r="L14" s="186"/>
      <c r="M14" s="186"/>
      <c r="N14" s="186"/>
      <c r="O14" s="186"/>
      <c r="P14" s="186"/>
      <c r="Q14" s="186"/>
      <c r="R14" s="186"/>
      <c r="S14" s="186"/>
      <c r="T14" s="186" t="s">
        <v>2651</v>
      </c>
      <c r="U14" s="186"/>
      <c r="V14" s="186"/>
      <c r="W14" s="186"/>
    </row>
    <row r="15" spans="1:28" ht="12.5" hidden="1">
      <c r="A15" s="213"/>
      <c r="B15" s="213"/>
      <c r="C15" s="210"/>
      <c r="D15" s="297"/>
      <c r="E15" s="186" t="s">
        <v>55</v>
      </c>
      <c r="F15" s="186" t="s">
        <v>2658</v>
      </c>
      <c r="G15" s="186" t="s">
        <v>683</v>
      </c>
      <c r="H15" s="186" t="s">
        <v>682</v>
      </c>
      <c r="I15" s="186"/>
      <c r="J15" s="186"/>
      <c r="K15" s="186" t="s">
        <v>680</v>
      </c>
      <c r="L15" s="186"/>
      <c r="M15" s="186"/>
      <c r="N15" s="186"/>
      <c r="O15" s="186"/>
      <c r="P15" s="186"/>
      <c r="Q15" s="186"/>
      <c r="R15" s="186"/>
      <c r="S15" s="186"/>
      <c r="T15" s="186" t="s">
        <v>2651</v>
      </c>
      <c r="U15" s="186"/>
      <c r="V15" s="186"/>
      <c r="W15" s="186"/>
    </row>
    <row r="16" spans="1:28" ht="12.5" hidden="1">
      <c r="A16" s="213"/>
      <c r="B16" s="213"/>
      <c r="C16" s="210"/>
      <c r="D16" s="297"/>
      <c r="E16" s="186" t="s">
        <v>55</v>
      </c>
      <c r="F16" s="186" t="s">
        <v>2659</v>
      </c>
      <c r="G16" s="186" t="s">
        <v>683</v>
      </c>
      <c r="H16" s="186" t="s">
        <v>682</v>
      </c>
      <c r="I16" s="186"/>
      <c r="J16" s="186"/>
      <c r="K16" s="186" t="s">
        <v>680</v>
      </c>
      <c r="L16" s="186"/>
      <c r="M16" s="186"/>
      <c r="N16" s="186"/>
      <c r="O16" s="186"/>
      <c r="P16" s="186"/>
      <c r="Q16" s="186"/>
      <c r="R16" s="186"/>
      <c r="S16" s="186"/>
      <c r="T16" s="186" t="s">
        <v>2651</v>
      </c>
      <c r="U16" s="186"/>
      <c r="V16" s="186"/>
      <c r="W16" s="186"/>
    </row>
    <row r="17" spans="1:23" ht="12.5" hidden="1">
      <c r="A17" s="213"/>
      <c r="B17" s="213"/>
      <c r="C17" s="210"/>
      <c r="D17" s="297"/>
      <c r="E17" s="186" t="s">
        <v>55</v>
      </c>
      <c r="F17" s="186" t="s">
        <v>2660</v>
      </c>
      <c r="G17" s="186" t="s">
        <v>683</v>
      </c>
      <c r="H17" s="186" t="s">
        <v>682</v>
      </c>
      <c r="I17" s="186"/>
      <c r="J17" s="186"/>
      <c r="K17" s="186" t="s">
        <v>680</v>
      </c>
      <c r="L17" s="186"/>
      <c r="M17" s="186"/>
      <c r="N17" s="186"/>
      <c r="O17" s="186"/>
      <c r="P17" s="186"/>
      <c r="Q17" s="186"/>
      <c r="R17" s="186"/>
      <c r="S17" s="186"/>
      <c r="T17" s="186" t="s">
        <v>2651</v>
      </c>
      <c r="U17" s="186"/>
      <c r="V17" s="186"/>
      <c r="W17" s="186"/>
    </row>
    <row r="18" spans="1:23" ht="12.5" hidden="1">
      <c r="A18" s="213"/>
      <c r="B18" s="213"/>
      <c r="C18" s="210"/>
      <c r="D18" s="297"/>
      <c r="E18" s="186" t="s">
        <v>55</v>
      </c>
      <c r="F18" s="186" t="s">
        <v>2661</v>
      </c>
      <c r="G18" s="186" t="s">
        <v>683</v>
      </c>
      <c r="H18" s="186" t="s">
        <v>682</v>
      </c>
      <c r="I18" s="186"/>
      <c r="J18" s="186"/>
      <c r="K18" s="186" t="s">
        <v>680</v>
      </c>
      <c r="L18" s="186"/>
      <c r="M18" s="186"/>
      <c r="N18" s="186"/>
      <c r="O18" s="186"/>
      <c r="P18" s="186"/>
      <c r="Q18" s="186"/>
      <c r="R18" s="186"/>
      <c r="S18" s="186"/>
      <c r="T18" s="186" t="s">
        <v>2651</v>
      </c>
      <c r="U18" s="186"/>
      <c r="V18" s="186"/>
      <c r="W18" s="186"/>
    </row>
    <row r="19" spans="1:23" ht="12.5" hidden="1">
      <c r="A19" s="213"/>
      <c r="B19" s="213"/>
      <c r="C19" s="210"/>
      <c r="D19" s="297"/>
      <c r="E19" s="186" t="s">
        <v>55</v>
      </c>
      <c r="F19" s="186" t="s">
        <v>2662</v>
      </c>
      <c r="G19" s="186" t="s">
        <v>683</v>
      </c>
      <c r="H19" s="186" t="s">
        <v>682</v>
      </c>
      <c r="I19" s="186"/>
      <c r="J19" s="186"/>
      <c r="K19" s="186" t="s">
        <v>680</v>
      </c>
      <c r="L19" s="186"/>
      <c r="M19" s="186"/>
      <c r="N19" s="186"/>
      <c r="O19" s="186"/>
      <c r="P19" s="186"/>
      <c r="Q19" s="186"/>
      <c r="R19" s="186"/>
      <c r="S19" s="186"/>
      <c r="T19" s="186" t="s">
        <v>2651</v>
      </c>
      <c r="U19" s="186"/>
      <c r="V19" s="186"/>
      <c r="W19" s="186"/>
    </row>
    <row r="20" spans="1:23" ht="12.5" hidden="1">
      <c r="A20" s="213"/>
      <c r="B20" s="213"/>
      <c r="C20" s="210"/>
      <c r="D20" s="297"/>
      <c r="E20" s="186" t="s">
        <v>55</v>
      </c>
      <c r="F20" s="186" t="s">
        <v>2663</v>
      </c>
      <c r="G20" s="186" t="s">
        <v>683</v>
      </c>
      <c r="H20" s="186" t="s">
        <v>682</v>
      </c>
      <c r="I20" s="186"/>
      <c r="J20" s="186"/>
      <c r="K20" s="186" t="s">
        <v>680</v>
      </c>
      <c r="L20" s="186"/>
      <c r="M20" s="186"/>
      <c r="N20" s="186"/>
      <c r="O20" s="186"/>
      <c r="P20" s="186"/>
      <c r="Q20" s="186"/>
      <c r="R20" s="186"/>
      <c r="S20" s="186"/>
      <c r="T20" s="186" t="s">
        <v>2651</v>
      </c>
      <c r="U20" s="186"/>
      <c r="V20" s="186"/>
      <c r="W20" s="186"/>
    </row>
    <row r="21" spans="1:23" ht="12.5" hidden="1">
      <c r="A21" s="213"/>
      <c r="B21" s="213"/>
      <c r="C21" s="210"/>
      <c r="D21" s="297"/>
      <c r="E21" s="186" t="s">
        <v>55</v>
      </c>
      <c r="F21" s="186" t="s">
        <v>2664</v>
      </c>
      <c r="G21" s="186" t="s">
        <v>683</v>
      </c>
      <c r="H21" s="186" t="s">
        <v>682</v>
      </c>
      <c r="I21" s="186"/>
      <c r="J21" s="186"/>
      <c r="K21" s="186" t="s">
        <v>680</v>
      </c>
      <c r="L21" s="186"/>
      <c r="M21" s="186"/>
      <c r="N21" s="186"/>
      <c r="O21" s="186"/>
      <c r="P21" s="186"/>
      <c r="Q21" s="186"/>
      <c r="R21" s="186"/>
      <c r="S21" s="186"/>
      <c r="T21" s="186" t="s">
        <v>2651</v>
      </c>
      <c r="U21" s="186"/>
      <c r="V21" s="186"/>
      <c r="W21" s="186"/>
    </row>
    <row r="22" spans="1:23" ht="12.5" hidden="1">
      <c r="A22" s="213"/>
      <c r="B22" s="213"/>
      <c r="C22" s="210"/>
      <c r="D22" s="297"/>
      <c r="E22" s="186" t="s">
        <v>55</v>
      </c>
      <c r="F22" s="186" t="s">
        <v>2665</v>
      </c>
      <c r="G22" s="186" t="s">
        <v>683</v>
      </c>
      <c r="H22" s="186" t="s">
        <v>682</v>
      </c>
      <c r="I22" s="186"/>
      <c r="J22" s="186"/>
      <c r="K22" s="186" t="s">
        <v>680</v>
      </c>
      <c r="L22" s="186"/>
      <c r="M22" s="186"/>
      <c r="N22" s="186"/>
      <c r="O22" s="186"/>
      <c r="P22" s="186"/>
      <c r="Q22" s="186"/>
      <c r="R22" s="186"/>
      <c r="S22" s="186"/>
      <c r="T22" s="186" t="s">
        <v>2651</v>
      </c>
      <c r="U22" s="186"/>
      <c r="V22" s="186"/>
      <c r="W22" s="186"/>
    </row>
    <row r="23" spans="1:23" ht="12.5" hidden="1">
      <c r="A23" s="213"/>
      <c r="B23" s="213"/>
      <c r="C23" s="210"/>
      <c r="D23" s="297"/>
      <c r="E23" s="186" t="s">
        <v>53</v>
      </c>
      <c r="F23" s="186" t="s">
        <v>2666</v>
      </c>
      <c r="G23" s="186" t="s">
        <v>691</v>
      </c>
      <c r="H23" s="186" t="s">
        <v>682</v>
      </c>
      <c r="I23" s="186"/>
      <c r="J23" s="186"/>
      <c r="K23" s="186" t="s">
        <v>680</v>
      </c>
      <c r="L23" s="186"/>
      <c r="M23" s="186"/>
      <c r="N23" s="186"/>
      <c r="O23" s="186"/>
      <c r="P23" s="186"/>
      <c r="Q23" s="186"/>
      <c r="R23" s="186"/>
      <c r="S23" s="186"/>
      <c r="T23" s="186" t="s">
        <v>1190</v>
      </c>
      <c r="U23" s="186"/>
      <c r="V23" s="186"/>
      <c r="W23" s="186"/>
    </row>
    <row r="24" spans="1:23" ht="12.5" hidden="1">
      <c r="A24" s="213"/>
      <c r="B24" s="213"/>
      <c r="C24" s="210"/>
      <c r="D24" s="297"/>
      <c r="E24" s="186" t="s">
        <v>53</v>
      </c>
      <c r="F24" s="186" t="s">
        <v>1406</v>
      </c>
      <c r="G24" s="186" t="s">
        <v>897</v>
      </c>
      <c r="H24" s="186" t="s">
        <v>682</v>
      </c>
      <c r="I24" s="186" t="s">
        <v>1034</v>
      </c>
      <c r="J24" s="186"/>
      <c r="K24" s="186" t="s">
        <v>680</v>
      </c>
      <c r="L24" s="186"/>
      <c r="M24" s="186"/>
      <c r="N24" s="186"/>
      <c r="O24" s="186"/>
      <c r="P24" s="186"/>
      <c r="Q24" s="186"/>
      <c r="R24" s="186"/>
      <c r="S24" s="186"/>
      <c r="T24" s="186" t="s">
        <v>1190</v>
      </c>
      <c r="U24" s="186"/>
      <c r="V24" s="186"/>
      <c r="W24" s="186"/>
    </row>
    <row r="25" spans="1:23" ht="12.5" hidden="1">
      <c r="A25" s="213"/>
      <c r="B25" s="213"/>
      <c r="C25" s="210"/>
      <c r="D25" s="297"/>
      <c r="E25" s="186" t="s">
        <v>53</v>
      </c>
      <c r="F25" s="186" t="s">
        <v>1189</v>
      </c>
      <c r="G25" s="186" t="s">
        <v>2667</v>
      </c>
      <c r="H25" s="186" t="s">
        <v>682</v>
      </c>
      <c r="I25" s="186"/>
      <c r="J25" s="186"/>
      <c r="K25" s="186" t="s">
        <v>680</v>
      </c>
      <c r="L25" s="186"/>
      <c r="M25" s="186"/>
      <c r="N25" s="186"/>
      <c r="O25" s="186"/>
      <c r="P25" s="186"/>
      <c r="Q25" s="186"/>
      <c r="R25" s="186"/>
      <c r="S25" s="186"/>
      <c r="T25" s="186" t="s">
        <v>1190</v>
      </c>
      <c r="U25" s="186"/>
      <c r="V25" s="186"/>
      <c r="W25" s="186"/>
    </row>
    <row r="26" spans="1:23" ht="12.5" hidden="1">
      <c r="A26" s="213"/>
      <c r="B26" s="213"/>
      <c r="C26" s="210"/>
      <c r="D26" s="297"/>
      <c r="E26" s="186" t="s">
        <v>53</v>
      </c>
      <c r="F26" s="186" t="s">
        <v>1191</v>
      </c>
      <c r="G26" s="186" t="s">
        <v>2668</v>
      </c>
      <c r="H26" s="186" t="s">
        <v>682</v>
      </c>
      <c r="I26" s="186"/>
      <c r="J26" s="186"/>
      <c r="K26" s="186" t="s">
        <v>680</v>
      </c>
      <c r="L26" s="186"/>
      <c r="M26" s="186"/>
      <c r="N26" s="186"/>
      <c r="O26" s="186"/>
      <c r="P26" s="186"/>
      <c r="Q26" s="186"/>
      <c r="R26" s="186"/>
      <c r="S26" s="186"/>
      <c r="T26" s="186" t="s">
        <v>1190</v>
      </c>
      <c r="U26" s="186"/>
      <c r="V26" s="186"/>
      <c r="W26" s="186"/>
    </row>
    <row r="27" spans="1:23" ht="12.5" hidden="1">
      <c r="A27" s="213"/>
      <c r="B27" s="213"/>
      <c r="C27" s="210"/>
      <c r="D27" s="297"/>
      <c r="E27" s="186" t="s">
        <v>53</v>
      </c>
      <c r="F27" s="186" t="s">
        <v>1192</v>
      </c>
      <c r="G27" s="186" t="s">
        <v>681</v>
      </c>
      <c r="H27" s="186" t="s">
        <v>682</v>
      </c>
      <c r="I27" s="186"/>
      <c r="J27" s="186"/>
      <c r="K27" s="186" t="s">
        <v>680</v>
      </c>
      <c r="L27" s="186"/>
      <c r="M27" s="186"/>
      <c r="N27" s="186"/>
      <c r="O27" s="186"/>
      <c r="P27" s="186"/>
      <c r="Q27" s="186"/>
      <c r="R27" s="186"/>
      <c r="S27" s="186"/>
      <c r="T27" s="186" t="s">
        <v>1190</v>
      </c>
      <c r="U27" s="186"/>
      <c r="V27" s="186"/>
      <c r="W27" s="186"/>
    </row>
    <row r="28" spans="1:23" ht="12.5" hidden="1">
      <c r="A28" s="213"/>
      <c r="B28" s="213"/>
      <c r="C28" s="210"/>
      <c r="D28" s="297"/>
      <c r="E28" s="186" t="s">
        <v>53</v>
      </c>
      <c r="F28" s="186" t="s">
        <v>1409</v>
      </c>
      <c r="G28" s="186" t="s">
        <v>897</v>
      </c>
      <c r="H28" s="186" t="s">
        <v>682</v>
      </c>
      <c r="I28" s="186"/>
      <c r="J28" s="186"/>
      <c r="K28" s="186" t="s">
        <v>680</v>
      </c>
      <c r="L28" s="186"/>
      <c r="M28" s="186"/>
      <c r="N28" s="186"/>
      <c r="O28" s="186"/>
      <c r="P28" s="186"/>
      <c r="Q28" s="186"/>
      <c r="R28" s="186"/>
      <c r="S28" s="186"/>
      <c r="T28" s="186" t="s">
        <v>1190</v>
      </c>
      <c r="U28" s="186"/>
      <c r="V28" s="186"/>
      <c r="W28" s="186"/>
    </row>
    <row r="29" spans="1:23" ht="12.5" hidden="1">
      <c r="A29" s="213"/>
      <c r="B29" s="213"/>
      <c r="C29" s="210"/>
      <c r="D29" s="297"/>
      <c r="E29" s="186" t="s">
        <v>53</v>
      </c>
      <c r="F29" s="186" t="s">
        <v>1193</v>
      </c>
      <c r="G29" s="186" t="s">
        <v>679</v>
      </c>
      <c r="H29" s="186" t="s">
        <v>682</v>
      </c>
      <c r="I29" s="186"/>
      <c r="J29" s="186"/>
      <c r="K29" s="186" t="s">
        <v>680</v>
      </c>
      <c r="L29" s="186"/>
      <c r="M29" s="186"/>
      <c r="N29" s="186"/>
      <c r="O29" s="186"/>
      <c r="P29" s="186"/>
      <c r="Q29" s="186"/>
      <c r="R29" s="186"/>
      <c r="S29" s="186"/>
      <c r="T29" s="186" t="s">
        <v>1190</v>
      </c>
      <c r="U29" s="186"/>
      <c r="V29" s="186"/>
      <c r="W29" s="186"/>
    </row>
    <row r="30" spans="1:23" ht="12.5" hidden="1">
      <c r="A30" s="213"/>
      <c r="B30" s="213"/>
      <c r="C30" s="210"/>
      <c r="D30" s="297"/>
      <c r="E30" s="186" t="s">
        <v>53</v>
      </c>
      <c r="F30" s="186" t="s">
        <v>1194</v>
      </c>
      <c r="G30" s="186" t="s">
        <v>2668</v>
      </c>
      <c r="H30" s="186" t="s">
        <v>682</v>
      </c>
      <c r="I30" s="186"/>
      <c r="J30" s="186"/>
      <c r="K30" s="186" t="s">
        <v>680</v>
      </c>
      <c r="L30" s="186"/>
      <c r="M30" s="186"/>
      <c r="N30" s="186"/>
      <c r="O30" s="186"/>
      <c r="P30" s="186"/>
      <c r="Q30" s="186"/>
      <c r="R30" s="186"/>
      <c r="S30" s="186"/>
      <c r="T30" s="186" t="s">
        <v>1190</v>
      </c>
      <c r="U30" s="186"/>
      <c r="V30" s="186"/>
      <c r="W30" s="186"/>
    </row>
    <row r="31" spans="1:23" ht="12.5" hidden="1">
      <c r="A31" s="213"/>
      <c r="B31" s="213"/>
      <c r="C31" s="210"/>
      <c r="D31" s="297"/>
      <c r="E31" s="186" t="s">
        <v>53</v>
      </c>
      <c r="F31" s="186" t="s">
        <v>1195</v>
      </c>
      <c r="G31" s="186" t="s">
        <v>679</v>
      </c>
      <c r="H31" s="186" t="s">
        <v>682</v>
      </c>
      <c r="I31" s="186"/>
      <c r="J31" s="186"/>
      <c r="K31" s="186" t="s">
        <v>680</v>
      </c>
      <c r="L31" s="186"/>
      <c r="M31" s="186"/>
      <c r="N31" s="186"/>
      <c r="O31" s="186"/>
      <c r="P31" s="186"/>
      <c r="Q31" s="186"/>
      <c r="R31" s="186"/>
      <c r="S31" s="186"/>
      <c r="T31" s="186" t="s">
        <v>1190</v>
      </c>
      <c r="U31" s="186"/>
      <c r="V31" s="186"/>
      <c r="W31" s="186"/>
    </row>
    <row r="32" spans="1:23" ht="12.5" hidden="1">
      <c r="A32" s="213"/>
      <c r="B32" s="213"/>
      <c r="C32" s="210"/>
      <c r="D32" s="297"/>
      <c r="E32" s="186" t="s">
        <v>53</v>
      </c>
      <c r="F32" s="186" t="s">
        <v>1196</v>
      </c>
      <c r="G32" s="186" t="s">
        <v>897</v>
      </c>
      <c r="H32" s="186" t="s">
        <v>682</v>
      </c>
      <c r="I32" s="186"/>
      <c r="J32" s="186"/>
      <c r="K32" s="186" t="s">
        <v>680</v>
      </c>
      <c r="L32" s="186"/>
      <c r="M32" s="186"/>
      <c r="N32" s="186"/>
      <c r="O32" s="186"/>
      <c r="P32" s="186"/>
      <c r="Q32" s="186"/>
      <c r="R32" s="186"/>
      <c r="S32" s="186"/>
      <c r="T32" s="186" t="s">
        <v>1190</v>
      </c>
      <c r="U32" s="186"/>
      <c r="V32" s="186"/>
      <c r="W32" s="186"/>
    </row>
    <row r="33" spans="1:28" ht="12.5" hidden="1">
      <c r="A33" s="213"/>
      <c r="B33" s="213"/>
      <c r="C33" s="210"/>
      <c r="D33" s="297"/>
      <c r="E33" s="186" t="s">
        <v>55</v>
      </c>
      <c r="F33" s="186" t="s">
        <v>866</v>
      </c>
      <c r="G33" s="186" t="s">
        <v>681</v>
      </c>
      <c r="H33" s="186" t="s">
        <v>682</v>
      </c>
      <c r="I33" s="186"/>
      <c r="J33" s="186"/>
      <c r="K33" s="186" t="s">
        <v>680</v>
      </c>
      <c r="L33" s="186"/>
      <c r="M33" s="186"/>
      <c r="N33" s="186"/>
      <c r="O33" s="186"/>
      <c r="P33" s="186"/>
      <c r="Q33" s="186"/>
      <c r="R33" s="186"/>
      <c r="S33" s="186"/>
      <c r="T33" s="186" t="s">
        <v>2670</v>
      </c>
      <c r="U33" s="186"/>
      <c r="V33" s="186"/>
      <c r="W33" s="186"/>
    </row>
    <row r="34" spans="1:28" ht="12.5" hidden="1">
      <c r="A34" s="213"/>
      <c r="B34" s="213"/>
      <c r="C34" s="210"/>
      <c r="D34" s="297"/>
      <c r="E34" s="186" t="s">
        <v>55</v>
      </c>
      <c r="F34" s="186" t="s">
        <v>2671</v>
      </c>
      <c r="G34" s="186" t="s">
        <v>2667</v>
      </c>
      <c r="H34" s="186" t="s">
        <v>682</v>
      </c>
      <c r="I34" s="186"/>
      <c r="J34" s="186"/>
      <c r="K34" s="186" t="s">
        <v>680</v>
      </c>
      <c r="L34" s="186"/>
      <c r="M34" s="186"/>
      <c r="N34" s="186"/>
      <c r="O34" s="186"/>
      <c r="P34" s="186"/>
      <c r="Q34" s="186"/>
      <c r="R34" s="186"/>
      <c r="S34" s="186"/>
      <c r="T34" s="186" t="s">
        <v>2672</v>
      </c>
      <c r="U34" s="186"/>
      <c r="V34" s="186"/>
      <c r="W34" s="186"/>
    </row>
    <row r="35" spans="1:28" ht="25" hidden="1">
      <c r="A35" s="193"/>
      <c r="B35" s="193"/>
      <c r="C35" s="193"/>
      <c r="D35" s="193"/>
      <c r="E35" t="s">
        <v>850</v>
      </c>
      <c r="F35" t="s">
        <v>851</v>
      </c>
      <c r="G35" t="s">
        <v>852</v>
      </c>
      <c r="H35" t="s">
        <v>682</v>
      </c>
      <c r="K35" s="186" t="s">
        <v>680</v>
      </c>
      <c r="L35" s="123"/>
      <c r="M35" s="186"/>
      <c r="O35" s="186"/>
      <c r="P35" s="123"/>
      <c r="Q35" s="186"/>
      <c r="R35" s="186" t="s">
        <v>2673</v>
      </c>
      <c r="S35" s="186">
        <v>0</v>
      </c>
      <c r="X35">
        <v>87</v>
      </c>
      <c r="Z35" t="s">
        <v>2645</v>
      </c>
      <c r="AA35" s="30">
        <v>43538</v>
      </c>
      <c r="AB35" t="s">
        <v>2674</v>
      </c>
    </row>
    <row r="36" spans="1:28" ht="25" hidden="1">
      <c r="A36" s="213"/>
      <c r="B36" s="213"/>
      <c r="C36" s="210"/>
      <c r="D36" s="297"/>
      <c r="E36" s="186" t="s">
        <v>61</v>
      </c>
      <c r="F36" s="186" t="s">
        <v>120</v>
      </c>
      <c r="G36" s="186" t="s">
        <v>689</v>
      </c>
      <c r="H36" s="186" t="s">
        <v>682</v>
      </c>
      <c r="I36" s="186"/>
      <c r="J36" s="186"/>
      <c r="K36" s="186" t="s">
        <v>680</v>
      </c>
      <c r="L36" s="123"/>
      <c r="M36" s="186"/>
      <c r="N36" s="186"/>
      <c r="O36" s="186"/>
      <c r="P36" s="123"/>
      <c r="Q36" s="186"/>
      <c r="R36" s="186"/>
      <c r="S36" s="186" t="s">
        <v>1201</v>
      </c>
      <c r="T36" s="186" t="s">
        <v>2676</v>
      </c>
      <c r="U36" s="186"/>
      <c r="V36" s="186"/>
      <c r="W36" s="186"/>
      <c r="X36">
        <v>6</v>
      </c>
      <c r="Z36" t="s">
        <v>2645</v>
      </c>
      <c r="AA36" s="30">
        <v>43538</v>
      </c>
      <c r="AB36" t="s">
        <v>2646</v>
      </c>
    </row>
    <row r="37" spans="1:28" ht="25">
      <c r="A37" s="213"/>
      <c r="B37" s="213"/>
      <c r="C37" s="210"/>
      <c r="D37" s="297"/>
      <c r="E37" s="186" t="s">
        <v>55</v>
      </c>
      <c r="F37" s="186" t="s">
        <v>2677</v>
      </c>
      <c r="G37" s="186" t="s">
        <v>683</v>
      </c>
      <c r="H37" s="186" t="s">
        <v>682</v>
      </c>
      <c r="I37" s="186"/>
      <c r="J37" s="186"/>
      <c r="K37" s="186" t="s">
        <v>682</v>
      </c>
      <c r="L37" s="123" t="s">
        <v>2999</v>
      </c>
      <c r="M37" s="123" t="s">
        <v>3002</v>
      </c>
      <c r="N37" s="186"/>
      <c r="O37" s="186"/>
      <c r="P37" s="186"/>
      <c r="Q37" s="186"/>
      <c r="R37" s="186"/>
      <c r="S37" s="186"/>
      <c r="T37" s="186" t="s">
        <v>2678</v>
      </c>
      <c r="U37" s="186"/>
      <c r="V37" s="186"/>
      <c r="W37" s="186"/>
    </row>
    <row r="38" spans="1:28" ht="25">
      <c r="A38" s="213"/>
      <c r="B38" s="213"/>
      <c r="C38" s="210"/>
      <c r="D38" s="297"/>
      <c r="E38" s="186" t="s">
        <v>55</v>
      </c>
      <c r="F38" s="186" t="s">
        <v>2679</v>
      </c>
      <c r="G38" s="186" t="s">
        <v>683</v>
      </c>
      <c r="H38" s="186" t="s">
        <v>682</v>
      </c>
      <c r="I38" s="186"/>
      <c r="J38" s="186"/>
      <c r="K38" s="186" t="s">
        <v>682</v>
      </c>
      <c r="L38" s="123" t="s">
        <v>2999</v>
      </c>
      <c r="M38" s="123" t="s">
        <v>3003</v>
      </c>
      <c r="N38" s="186"/>
      <c r="O38" s="186"/>
      <c r="P38" s="186"/>
      <c r="Q38" s="186"/>
      <c r="R38" s="186"/>
      <c r="S38" s="186"/>
      <c r="T38" s="186" t="s">
        <v>2680</v>
      </c>
      <c r="U38" s="186"/>
      <c r="V38" s="186"/>
      <c r="W38" s="186"/>
    </row>
    <row r="39" spans="1:28" ht="25" hidden="1">
      <c r="A39" s="213"/>
      <c r="B39" s="213"/>
      <c r="C39" s="210"/>
      <c r="D39" s="297"/>
      <c r="E39" s="186" t="s">
        <v>55</v>
      </c>
      <c r="F39" s="186" t="s">
        <v>814</v>
      </c>
      <c r="G39" s="186" t="s">
        <v>683</v>
      </c>
      <c r="H39" s="186" t="s">
        <v>682</v>
      </c>
      <c r="I39" s="186"/>
      <c r="J39" s="186"/>
      <c r="K39" s="186" t="s">
        <v>680</v>
      </c>
      <c r="L39" s="123"/>
      <c r="M39" s="186"/>
      <c r="N39" s="186"/>
      <c r="O39" s="186"/>
      <c r="P39" s="123"/>
      <c r="Q39" s="186"/>
      <c r="R39" s="186"/>
      <c r="S39" s="186">
        <v>0</v>
      </c>
      <c r="T39" s="186" t="s">
        <v>2682</v>
      </c>
      <c r="U39" s="186"/>
      <c r="V39" s="186"/>
      <c r="W39" s="186"/>
      <c r="X39">
        <v>69</v>
      </c>
      <c r="Z39" t="s">
        <v>2645</v>
      </c>
      <c r="AA39" s="30">
        <v>43538</v>
      </c>
      <c r="AB39" t="s">
        <v>2646</v>
      </c>
    </row>
    <row r="40" spans="1:28" ht="12.5" hidden="1">
      <c r="A40" s="213"/>
      <c r="B40" s="213"/>
      <c r="C40" s="210"/>
      <c r="D40" s="297"/>
      <c r="E40" s="186" t="s">
        <v>55</v>
      </c>
      <c r="F40" s="186" t="s">
        <v>2683</v>
      </c>
      <c r="G40" s="186" t="s">
        <v>683</v>
      </c>
      <c r="H40" s="186" t="s">
        <v>682</v>
      </c>
      <c r="I40" s="186"/>
      <c r="J40" s="186"/>
      <c r="K40" s="186" t="s">
        <v>680</v>
      </c>
      <c r="L40" s="186"/>
      <c r="M40" s="186"/>
      <c r="N40" s="186"/>
      <c r="O40" s="186"/>
      <c r="P40" s="186"/>
      <c r="Q40" s="186"/>
      <c r="R40" s="186"/>
      <c r="S40" s="186"/>
      <c r="T40" s="186" t="s">
        <v>2684</v>
      </c>
      <c r="U40" s="186"/>
      <c r="V40" s="186"/>
      <c r="W40" s="186"/>
    </row>
    <row r="41" spans="1:28" ht="25" hidden="1">
      <c r="A41" s="213"/>
      <c r="B41" s="213"/>
      <c r="C41" s="210"/>
      <c r="D41" s="297"/>
      <c r="E41" s="186" t="s">
        <v>55</v>
      </c>
      <c r="F41" s="186" t="s">
        <v>816</v>
      </c>
      <c r="G41" s="186" t="s">
        <v>683</v>
      </c>
      <c r="H41" s="186" t="s">
        <v>682</v>
      </c>
      <c r="I41" s="186"/>
      <c r="J41" s="186"/>
      <c r="K41" s="186" t="s">
        <v>680</v>
      </c>
      <c r="L41" s="123"/>
      <c r="M41" s="186"/>
      <c r="N41" s="186"/>
      <c r="O41" s="186"/>
      <c r="P41" s="123"/>
      <c r="Q41" s="186"/>
      <c r="R41" s="186"/>
      <c r="S41" s="186">
        <v>0</v>
      </c>
      <c r="T41" s="186" t="s">
        <v>2685</v>
      </c>
      <c r="U41" s="186"/>
      <c r="V41" s="186"/>
      <c r="W41" s="186"/>
      <c r="X41">
        <v>70</v>
      </c>
      <c r="Z41" t="s">
        <v>2645</v>
      </c>
      <c r="AA41" s="30">
        <v>43538</v>
      </c>
      <c r="AB41" t="s">
        <v>2646</v>
      </c>
    </row>
    <row r="42" spans="1:28" ht="25" hidden="1">
      <c r="A42" s="213"/>
      <c r="B42" s="213"/>
      <c r="C42" s="210"/>
      <c r="D42" s="297"/>
      <c r="E42" s="186" t="s">
        <v>55</v>
      </c>
      <c r="F42" s="186" t="s">
        <v>784</v>
      </c>
      <c r="G42" s="186" t="s">
        <v>683</v>
      </c>
      <c r="H42" s="186" t="s">
        <v>682</v>
      </c>
      <c r="I42" s="186"/>
      <c r="J42" s="186"/>
      <c r="K42" s="186" t="s">
        <v>680</v>
      </c>
      <c r="L42" s="123"/>
      <c r="M42" s="186"/>
      <c r="N42" s="186"/>
      <c r="O42" s="186"/>
      <c r="P42" s="123"/>
      <c r="Q42" s="186" t="s">
        <v>2686</v>
      </c>
      <c r="R42" s="186"/>
      <c r="S42" s="186">
        <v>0</v>
      </c>
      <c r="T42" s="186" t="s">
        <v>2687</v>
      </c>
      <c r="U42" s="186"/>
      <c r="V42" s="186"/>
      <c r="W42" s="186"/>
      <c r="X42">
        <v>54</v>
      </c>
      <c r="Z42" t="s">
        <v>2645</v>
      </c>
      <c r="AA42" s="30">
        <v>43538</v>
      </c>
      <c r="AB42" t="s">
        <v>2646</v>
      </c>
    </row>
    <row r="43" spans="1:28" ht="25" hidden="1">
      <c r="A43" s="213"/>
      <c r="B43" s="213"/>
      <c r="C43" s="210"/>
      <c r="D43" s="297" t="s">
        <v>682</v>
      </c>
      <c r="E43" s="186" t="s">
        <v>59</v>
      </c>
      <c r="F43" s="186" t="s">
        <v>754</v>
      </c>
      <c r="G43" s="186" t="s">
        <v>683</v>
      </c>
      <c r="H43" s="186" t="s">
        <v>682</v>
      </c>
      <c r="I43" s="186"/>
      <c r="J43" s="186"/>
      <c r="K43" s="186" t="s">
        <v>680</v>
      </c>
      <c r="L43" s="123"/>
      <c r="M43" s="186"/>
      <c r="N43" s="186"/>
      <c r="O43" s="186"/>
      <c r="P43" s="123"/>
      <c r="Q43" s="186"/>
      <c r="R43" s="186"/>
      <c r="S43" s="186">
        <v>1164699.08</v>
      </c>
      <c r="T43" s="186" t="s">
        <v>2688</v>
      </c>
      <c r="U43" s="186"/>
      <c r="V43" s="186"/>
      <c r="W43" s="186"/>
      <c r="X43">
        <v>39</v>
      </c>
      <c r="Z43" t="s">
        <v>2645</v>
      </c>
      <c r="AA43" s="30">
        <v>43538</v>
      </c>
      <c r="AB43" t="s">
        <v>2646</v>
      </c>
    </row>
    <row r="44" spans="1:28" ht="25" hidden="1">
      <c r="A44" s="213"/>
      <c r="B44" s="213"/>
      <c r="C44" s="210"/>
      <c r="D44" s="297"/>
      <c r="E44" s="186" t="s">
        <v>55</v>
      </c>
      <c r="F44" s="186" t="s">
        <v>756</v>
      </c>
      <c r="G44" s="186" t="s">
        <v>683</v>
      </c>
      <c r="H44" s="186" t="s">
        <v>682</v>
      </c>
      <c r="I44" s="186"/>
      <c r="J44" s="186"/>
      <c r="K44" s="186" t="s">
        <v>680</v>
      </c>
      <c r="L44" s="123"/>
      <c r="M44" s="186"/>
      <c r="N44" s="186"/>
      <c r="O44" s="186"/>
      <c r="P44" s="123"/>
      <c r="Q44" s="186"/>
      <c r="R44" s="186"/>
      <c r="S44" s="186">
        <v>0</v>
      </c>
      <c r="T44" s="186" t="s">
        <v>2689</v>
      </c>
      <c r="U44" s="186"/>
      <c r="V44" s="186"/>
      <c r="W44" s="186"/>
      <c r="X44">
        <v>40</v>
      </c>
      <c r="Z44" t="s">
        <v>2645</v>
      </c>
      <c r="AA44" s="30">
        <v>43538</v>
      </c>
      <c r="AB44" t="s">
        <v>2646</v>
      </c>
    </row>
    <row r="45" spans="1:28" ht="25" hidden="1">
      <c r="A45" s="213"/>
      <c r="B45" s="213"/>
      <c r="C45" s="210"/>
      <c r="D45" s="297" t="s">
        <v>682</v>
      </c>
      <c r="E45" s="186" t="s">
        <v>59</v>
      </c>
      <c r="F45" s="186" t="s">
        <v>782</v>
      </c>
      <c r="G45" s="186" t="s">
        <v>683</v>
      </c>
      <c r="H45" s="186" t="s">
        <v>682</v>
      </c>
      <c r="I45" s="186"/>
      <c r="J45" s="186"/>
      <c r="K45" s="186" t="s">
        <v>680</v>
      </c>
      <c r="L45" s="123"/>
      <c r="M45" s="186"/>
      <c r="N45" s="186"/>
      <c r="O45" s="186"/>
      <c r="P45" s="123"/>
      <c r="Q45" s="186"/>
      <c r="R45" s="186" t="s">
        <v>2691</v>
      </c>
      <c r="S45" s="186">
        <v>1003972.81</v>
      </c>
      <c r="T45" s="186" t="s">
        <v>2689</v>
      </c>
      <c r="U45" s="186"/>
      <c r="V45" s="186"/>
      <c r="W45" s="186"/>
      <c r="X45">
        <v>53</v>
      </c>
      <c r="Z45" t="s">
        <v>2645</v>
      </c>
      <c r="AA45" s="30">
        <v>43538</v>
      </c>
      <c r="AB45" t="s">
        <v>2646</v>
      </c>
    </row>
    <row r="46" spans="1:28" ht="25" hidden="1">
      <c r="A46" s="213"/>
      <c r="B46" s="213"/>
      <c r="C46" s="210"/>
      <c r="D46" s="297"/>
      <c r="E46" s="186" t="s">
        <v>59</v>
      </c>
      <c r="F46" s="186" t="s">
        <v>780</v>
      </c>
      <c r="G46" s="186" t="s">
        <v>683</v>
      </c>
      <c r="H46" s="186" t="s">
        <v>682</v>
      </c>
      <c r="I46" s="186"/>
      <c r="J46" s="186"/>
      <c r="K46" s="186" t="s">
        <v>680</v>
      </c>
      <c r="L46" s="123"/>
      <c r="M46" s="186"/>
      <c r="N46" s="186"/>
      <c r="O46" s="186"/>
      <c r="P46" s="123"/>
      <c r="Q46" s="186"/>
      <c r="R46" s="186"/>
      <c r="S46" s="186">
        <v>0</v>
      </c>
      <c r="T46" s="186" t="s">
        <v>2689</v>
      </c>
      <c r="U46" s="186"/>
      <c r="V46" s="186"/>
      <c r="W46" s="186"/>
      <c r="X46">
        <v>52</v>
      </c>
      <c r="Z46" t="s">
        <v>2645</v>
      </c>
      <c r="AA46" s="30">
        <v>43538</v>
      </c>
      <c r="AB46" t="s">
        <v>2646</v>
      </c>
    </row>
    <row r="47" spans="1:28" ht="25" hidden="1">
      <c r="A47" s="213"/>
      <c r="B47" s="213"/>
      <c r="C47" s="210"/>
      <c r="D47" s="297"/>
      <c r="E47" s="186" t="s">
        <v>55</v>
      </c>
      <c r="F47" s="186" t="s">
        <v>766</v>
      </c>
      <c r="G47" s="186" t="s">
        <v>683</v>
      </c>
      <c r="H47" s="186" t="s">
        <v>682</v>
      </c>
      <c r="I47" s="186"/>
      <c r="J47" s="186"/>
      <c r="K47" s="186" t="s">
        <v>680</v>
      </c>
      <c r="L47" s="123"/>
      <c r="M47" s="186"/>
      <c r="N47" s="186"/>
      <c r="O47" s="186"/>
      <c r="P47" s="123"/>
      <c r="Q47" s="186"/>
      <c r="R47" s="186"/>
      <c r="S47" s="186">
        <v>0</v>
      </c>
      <c r="T47" s="186" t="s">
        <v>2689</v>
      </c>
      <c r="U47" s="186"/>
      <c r="V47" s="186"/>
      <c r="W47" s="186"/>
      <c r="X47">
        <v>45</v>
      </c>
      <c r="Z47" t="s">
        <v>2645</v>
      </c>
      <c r="AA47" s="30">
        <v>43538</v>
      </c>
      <c r="AB47" t="s">
        <v>2646</v>
      </c>
    </row>
    <row r="48" spans="1:28" ht="25" hidden="1">
      <c r="A48" s="213"/>
      <c r="B48" s="213"/>
      <c r="C48" s="210"/>
      <c r="D48" s="297"/>
      <c r="E48" s="186" t="s">
        <v>55</v>
      </c>
      <c r="F48" s="186" t="s">
        <v>758</v>
      </c>
      <c r="G48" s="186" t="s">
        <v>683</v>
      </c>
      <c r="H48" s="186" t="s">
        <v>682</v>
      </c>
      <c r="I48" s="186"/>
      <c r="J48" s="186"/>
      <c r="K48" s="186" t="s">
        <v>680</v>
      </c>
      <c r="L48" s="123"/>
      <c r="M48" s="186"/>
      <c r="N48" s="186"/>
      <c r="O48" s="186"/>
      <c r="P48" s="123"/>
      <c r="Q48" s="186"/>
      <c r="R48" s="186"/>
      <c r="S48" s="186">
        <v>0</v>
      </c>
      <c r="T48" s="186" t="s">
        <v>2689</v>
      </c>
      <c r="U48" s="186"/>
      <c r="V48" s="186"/>
      <c r="W48" s="186"/>
      <c r="X48">
        <v>41</v>
      </c>
      <c r="Z48" t="s">
        <v>2645</v>
      </c>
      <c r="AA48" s="30">
        <v>43538</v>
      </c>
      <c r="AB48" t="s">
        <v>2646</v>
      </c>
    </row>
    <row r="49" spans="1:28" ht="12.5" hidden="1">
      <c r="A49" s="213"/>
      <c r="B49" s="213"/>
      <c r="C49" s="210"/>
      <c r="D49" s="297"/>
      <c r="E49" s="186" t="s">
        <v>55</v>
      </c>
      <c r="F49" s="186" t="s">
        <v>2692</v>
      </c>
      <c r="G49" s="186" t="s">
        <v>683</v>
      </c>
      <c r="H49" s="186" t="s">
        <v>682</v>
      </c>
      <c r="I49" s="186"/>
      <c r="J49" s="186"/>
      <c r="K49" s="186" t="s">
        <v>680</v>
      </c>
      <c r="L49" s="186"/>
      <c r="M49" s="186"/>
      <c r="N49" s="186"/>
      <c r="O49" s="186"/>
      <c r="P49" s="186"/>
      <c r="Q49" s="186"/>
      <c r="R49" s="186"/>
      <c r="S49" s="186"/>
      <c r="T49" s="186" t="s">
        <v>2689</v>
      </c>
      <c r="U49" s="186"/>
      <c r="V49" s="186"/>
      <c r="W49" s="186"/>
    </row>
    <row r="50" spans="1:28" ht="25" hidden="1">
      <c r="A50" s="213"/>
      <c r="B50" s="213"/>
      <c r="C50" s="210"/>
      <c r="D50" s="297" t="s">
        <v>682</v>
      </c>
      <c r="E50" s="186" t="s">
        <v>59</v>
      </c>
      <c r="F50" s="186" t="s">
        <v>774</v>
      </c>
      <c r="G50" s="186" t="s">
        <v>683</v>
      </c>
      <c r="H50" s="186" t="s">
        <v>682</v>
      </c>
      <c r="I50" s="186"/>
      <c r="J50" s="186"/>
      <c r="K50" s="186" t="s">
        <v>680</v>
      </c>
      <c r="L50" s="123"/>
      <c r="M50" s="186"/>
      <c r="N50" s="186"/>
      <c r="O50" s="186"/>
      <c r="P50" s="123"/>
      <c r="Q50" s="186"/>
      <c r="R50" s="186"/>
      <c r="S50" s="186">
        <v>0</v>
      </c>
      <c r="T50" s="186" t="s">
        <v>2689</v>
      </c>
      <c r="U50" s="186"/>
      <c r="V50" s="186"/>
      <c r="W50" s="186"/>
      <c r="X50">
        <v>49</v>
      </c>
      <c r="Z50" t="s">
        <v>2645</v>
      </c>
      <c r="AA50" s="30">
        <v>43538</v>
      </c>
      <c r="AB50" t="s">
        <v>2646</v>
      </c>
    </row>
    <row r="51" spans="1:28" ht="25" hidden="1">
      <c r="A51" s="213"/>
      <c r="B51" s="213"/>
      <c r="C51" s="210"/>
      <c r="D51" s="297"/>
      <c r="E51" s="186" t="s">
        <v>55</v>
      </c>
      <c r="F51" s="186" t="s">
        <v>760</v>
      </c>
      <c r="G51" s="186" t="s">
        <v>683</v>
      </c>
      <c r="H51" s="186" t="s">
        <v>682</v>
      </c>
      <c r="I51" s="186"/>
      <c r="J51" s="186"/>
      <c r="K51" s="186" t="s">
        <v>680</v>
      </c>
      <c r="L51" s="123"/>
      <c r="M51" s="186"/>
      <c r="N51" s="186"/>
      <c r="O51" s="186"/>
      <c r="P51" s="123"/>
      <c r="Q51" s="186"/>
      <c r="R51" s="186"/>
      <c r="S51" s="186">
        <v>0</v>
      </c>
      <c r="T51" s="186" t="s">
        <v>2689</v>
      </c>
      <c r="U51" s="186"/>
      <c r="V51" s="186"/>
      <c r="W51" s="186"/>
      <c r="X51">
        <v>42</v>
      </c>
      <c r="Z51" t="s">
        <v>2645</v>
      </c>
      <c r="AA51" s="30">
        <v>43538</v>
      </c>
      <c r="AB51" t="s">
        <v>2646</v>
      </c>
    </row>
    <row r="52" spans="1:28" ht="25" hidden="1">
      <c r="A52" s="213"/>
      <c r="B52" s="213"/>
      <c r="C52" s="210"/>
      <c r="D52" s="297" t="s">
        <v>682</v>
      </c>
      <c r="E52" s="186" t="s">
        <v>59</v>
      </c>
      <c r="F52" s="186" t="s">
        <v>776</v>
      </c>
      <c r="G52" s="186" t="s">
        <v>683</v>
      </c>
      <c r="H52" s="186" t="s">
        <v>682</v>
      </c>
      <c r="I52" s="186"/>
      <c r="J52" s="186"/>
      <c r="K52" s="186" t="s">
        <v>680</v>
      </c>
      <c r="L52" s="123"/>
      <c r="M52" s="186"/>
      <c r="N52" s="186"/>
      <c r="O52" s="186"/>
      <c r="P52" s="123"/>
      <c r="Q52" s="186"/>
      <c r="R52" s="186"/>
      <c r="S52" s="186">
        <v>0</v>
      </c>
      <c r="T52" s="186" t="s">
        <v>2689</v>
      </c>
      <c r="U52" s="186"/>
      <c r="V52" s="186"/>
      <c r="W52" s="186"/>
      <c r="X52">
        <v>50</v>
      </c>
      <c r="Z52" t="s">
        <v>2645</v>
      </c>
      <c r="AA52" s="30">
        <v>43538</v>
      </c>
      <c r="AB52" t="s">
        <v>2646</v>
      </c>
    </row>
    <row r="53" spans="1:28" ht="25" hidden="1">
      <c r="A53" s="213"/>
      <c r="B53" s="213"/>
      <c r="C53" s="210"/>
      <c r="D53" s="297" t="s">
        <v>682</v>
      </c>
      <c r="E53" s="186" t="s">
        <v>59</v>
      </c>
      <c r="F53" s="186" t="s">
        <v>778</v>
      </c>
      <c r="G53" s="186" t="s">
        <v>683</v>
      </c>
      <c r="H53" s="186" t="s">
        <v>682</v>
      </c>
      <c r="I53" s="186"/>
      <c r="J53" s="186"/>
      <c r="K53" s="186" t="s">
        <v>680</v>
      </c>
      <c r="L53" s="123"/>
      <c r="M53" s="186"/>
      <c r="N53" s="186"/>
      <c r="O53" s="186"/>
      <c r="P53" s="123"/>
      <c r="Q53" s="186"/>
      <c r="R53" s="186"/>
      <c r="S53" s="186">
        <v>0</v>
      </c>
      <c r="T53" s="186" t="s">
        <v>2689</v>
      </c>
      <c r="U53" s="186"/>
      <c r="V53" s="186"/>
      <c r="W53" s="186"/>
      <c r="X53">
        <v>51</v>
      </c>
      <c r="Z53" t="s">
        <v>2645</v>
      </c>
      <c r="AA53" s="30">
        <v>43538</v>
      </c>
      <c r="AB53" t="s">
        <v>2646</v>
      </c>
    </row>
    <row r="54" spans="1:28" ht="25" hidden="1">
      <c r="A54" s="213"/>
      <c r="B54" s="213"/>
      <c r="C54" s="210"/>
      <c r="D54" s="297"/>
      <c r="E54" s="186" t="s">
        <v>55</v>
      </c>
      <c r="F54" s="186" t="s">
        <v>762</v>
      </c>
      <c r="G54" s="186" t="s">
        <v>683</v>
      </c>
      <c r="H54" s="186" t="s">
        <v>682</v>
      </c>
      <c r="I54" s="186"/>
      <c r="J54" s="186"/>
      <c r="K54" s="186" t="s">
        <v>680</v>
      </c>
      <c r="L54" s="123"/>
      <c r="M54" s="186"/>
      <c r="N54" s="186"/>
      <c r="O54" s="186"/>
      <c r="P54" s="123"/>
      <c r="Q54" s="186"/>
      <c r="R54" s="186"/>
      <c r="S54" s="186">
        <v>0</v>
      </c>
      <c r="T54" s="186" t="s">
        <v>2689</v>
      </c>
      <c r="U54" s="186"/>
      <c r="V54" s="186"/>
      <c r="W54" s="186"/>
      <c r="X54">
        <v>43</v>
      </c>
      <c r="Z54" t="s">
        <v>2645</v>
      </c>
      <c r="AA54" s="30">
        <v>43538</v>
      </c>
      <c r="AB54" t="s">
        <v>2646</v>
      </c>
    </row>
    <row r="55" spans="1:28" ht="25" hidden="1">
      <c r="A55" s="213"/>
      <c r="B55" s="213"/>
      <c r="C55" s="210"/>
      <c r="D55" s="297"/>
      <c r="E55" s="186" t="s">
        <v>55</v>
      </c>
      <c r="F55" s="186" t="s">
        <v>764</v>
      </c>
      <c r="G55" s="186" t="s">
        <v>683</v>
      </c>
      <c r="H55" s="186" t="s">
        <v>682</v>
      </c>
      <c r="I55" s="186"/>
      <c r="J55" s="186"/>
      <c r="K55" s="186" t="s">
        <v>680</v>
      </c>
      <c r="L55" s="123"/>
      <c r="M55" s="186"/>
      <c r="N55" s="186"/>
      <c r="O55" s="186"/>
      <c r="P55" s="123"/>
      <c r="Q55" s="186"/>
      <c r="R55" s="186"/>
      <c r="S55" s="186">
        <v>0</v>
      </c>
      <c r="T55" s="186" t="s">
        <v>2689</v>
      </c>
      <c r="U55" s="186"/>
      <c r="V55" s="186"/>
      <c r="W55" s="186"/>
      <c r="X55">
        <v>44</v>
      </c>
      <c r="Z55" t="s">
        <v>2645</v>
      </c>
      <c r="AA55" s="30">
        <v>43538</v>
      </c>
      <c r="AB55" t="s">
        <v>2646</v>
      </c>
    </row>
    <row r="56" spans="1:28" ht="25" hidden="1">
      <c r="A56" s="213"/>
      <c r="B56" s="213"/>
      <c r="C56" s="210"/>
      <c r="D56" s="297" t="s">
        <v>682</v>
      </c>
      <c r="E56" s="186" t="s">
        <v>59</v>
      </c>
      <c r="F56" s="186" t="s">
        <v>768</v>
      </c>
      <c r="G56" s="186" t="s">
        <v>683</v>
      </c>
      <c r="H56" s="186" t="s">
        <v>682</v>
      </c>
      <c r="I56" s="186"/>
      <c r="J56" s="186"/>
      <c r="K56" s="186" t="s">
        <v>680</v>
      </c>
      <c r="L56" s="123"/>
      <c r="M56" s="186"/>
      <c r="N56" s="186"/>
      <c r="O56" s="186"/>
      <c r="P56" s="123"/>
      <c r="Q56" s="186"/>
      <c r="R56" s="186"/>
      <c r="S56" s="186">
        <v>0</v>
      </c>
      <c r="T56" s="186" t="s">
        <v>2689</v>
      </c>
      <c r="U56" s="186"/>
      <c r="V56" s="186"/>
      <c r="W56" s="186"/>
      <c r="X56">
        <v>46</v>
      </c>
      <c r="Z56" t="s">
        <v>2645</v>
      </c>
      <c r="AA56" s="30">
        <v>43538</v>
      </c>
      <c r="AB56" t="s">
        <v>2646</v>
      </c>
    </row>
    <row r="57" spans="1:28" ht="25" hidden="1">
      <c r="A57" s="213"/>
      <c r="B57" s="213"/>
      <c r="C57" s="210"/>
      <c r="D57" s="297" t="s">
        <v>682</v>
      </c>
      <c r="E57" s="186" t="s">
        <v>59</v>
      </c>
      <c r="F57" s="186" t="s">
        <v>770</v>
      </c>
      <c r="G57" s="186" t="s">
        <v>683</v>
      </c>
      <c r="H57" s="186" t="s">
        <v>682</v>
      </c>
      <c r="I57" s="186"/>
      <c r="J57" s="186"/>
      <c r="K57" s="186" t="s">
        <v>680</v>
      </c>
      <c r="L57" s="123"/>
      <c r="M57" s="186"/>
      <c r="N57" s="186"/>
      <c r="O57" s="186"/>
      <c r="P57" s="123"/>
      <c r="Q57" s="186"/>
      <c r="R57" s="186"/>
      <c r="S57" s="186">
        <v>0</v>
      </c>
      <c r="T57" s="186" t="s">
        <v>2689</v>
      </c>
      <c r="U57" s="186"/>
      <c r="V57" s="186"/>
      <c r="W57" s="186"/>
      <c r="X57">
        <v>47</v>
      </c>
      <c r="Z57" t="s">
        <v>2645</v>
      </c>
      <c r="AA57" s="30">
        <v>43538</v>
      </c>
      <c r="AB57" t="s">
        <v>2646</v>
      </c>
    </row>
    <row r="58" spans="1:28" ht="12.5" hidden="1">
      <c r="A58" s="213"/>
      <c r="B58" s="213"/>
      <c r="C58" s="210"/>
      <c r="D58" s="297"/>
      <c r="E58" s="186" t="s">
        <v>55</v>
      </c>
      <c r="F58" s="186" t="s">
        <v>2693</v>
      </c>
      <c r="G58" s="186" t="s">
        <v>683</v>
      </c>
      <c r="H58" s="186" t="s">
        <v>682</v>
      </c>
      <c r="I58" s="186"/>
      <c r="J58" s="186"/>
      <c r="K58" s="186" t="s">
        <v>680</v>
      </c>
      <c r="L58" s="186"/>
      <c r="M58" s="186"/>
      <c r="N58" s="186"/>
      <c r="O58" s="186"/>
      <c r="P58" s="186"/>
      <c r="Q58" s="186"/>
      <c r="R58" s="186"/>
      <c r="S58" s="186"/>
      <c r="T58" s="186" t="s">
        <v>2689</v>
      </c>
      <c r="U58" s="186"/>
      <c r="V58" s="186"/>
      <c r="W58" s="186"/>
    </row>
    <row r="59" spans="1:28" ht="25" hidden="1">
      <c r="A59" s="213"/>
      <c r="B59" s="213"/>
      <c r="C59" s="210"/>
      <c r="D59" s="297" t="s">
        <v>682</v>
      </c>
      <c r="E59" s="186" t="s">
        <v>59</v>
      </c>
      <c r="F59" s="186" t="s">
        <v>772</v>
      </c>
      <c r="G59" s="186" t="s">
        <v>683</v>
      </c>
      <c r="H59" s="186" t="s">
        <v>682</v>
      </c>
      <c r="I59" s="186"/>
      <c r="J59" s="186"/>
      <c r="K59" s="186" t="s">
        <v>680</v>
      </c>
      <c r="L59" s="123"/>
      <c r="M59" s="186"/>
      <c r="N59" s="186"/>
      <c r="O59" s="186"/>
      <c r="P59" s="123"/>
      <c r="Q59" s="186"/>
      <c r="R59" s="186"/>
      <c r="S59" s="186">
        <v>0</v>
      </c>
      <c r="T59" s="186" t="s">
        <v>2689</v>
      </c>
      <c r="U59" s="186"/>
      <c r="V59" s="186"/>
      <c r="W59" s="186"/>
      <c r="X59">
        <v>48</v>
      </c>
      <c r="Z59" t="s">
        <v>2645</v>
      </c>
      <c r="AA59" s="30">
        <v>43538</v>
      </c>
      <c r="AB59" t="s">
        <v>2646</v>
      </c>
    </row>
    <row r="60" spans="1:28" ht="25" hidden="1">
      <c r="A60" s="213"/>
      <c r="B60" s="213"/>
      <c r="C60" s="210"/>
      <c r="D60" s="297"/>
      <c r="E60" s="186" t="s">
        <v>55</v>
      </c>
      <c r="F60" s="186" t="s">
        <v>786</v>
      </c>
      <c r="G60" s="186" t="s">
        <v>683</v>
      </c>
      <c r="H60" s="186" t="s">
        <v>682</v>
      </c>
      <c r="I60" s="186"/>
      <c r="J60" s="186"/>
      <c r="K60" s="186" t="s">
        <v>680</v>
      </c>
      <c r="L60" s="123"/>
      <c r="M60" s="186"/>
      <c r="N60" s="186"/>
      <c r="O60" s="186"/>
      <c r="P60" s="123"/>
      <c r="Q60" s="186"/>
      <c r="R60" s="186"/>
      <c r="S60" s="186">
        <v>0</v>
      </c>
      <c r="T60" s="186" t="s">
        <v>2694</v>
      </c>
      <c r="U60" s="186"/>
      <c r="V60" s="186"/>
      <c r="W60" s="186"/>
      <c r="X60">
        <v>55</v>
      </c>
      <c r="Z60" t="s">
        <v>2645</v>
      </c>
      <c r="AA60" s="30">
        <v>43538</v>
      </c>
      <c r="AB60" t="s">
        <v>2646</v>
      </c>
    </row>
    <row r="61" spans="1:28" ht="25" hidden="1">
      <c r="A61" s="213"/>
      <c r="B61" s="213"/>
      <c r="C61" s="210"/>
      <c r="D61" s="297" t="s">
        <v>682</v>
      </c>
      <c r="E61" s="186" t="s">
        <v>59</v>
      </c>
      <c r="F61" s="186" t="s">
        <v>812</v>
      </c>
      <c r="G61" s="186" t="s">
        <v>683</v>
      </c>
      <c r="H61" s="186" t="s">
        <v>682</v>
      </c>
      <c r="I61" s="186"/>
      <c r="J61" s="186"/>
      <c r="K61" s="186" t="s">
        <v>680</v>
      </c>
      <c r="L61" s="123"/>
      <c r="M61" s="186"/>
      <c r="N61" s="186"/>
      <c r="O61" s="186"/>
      <c r="P61" s="123"/>
      <c r="Q61" s="186"/>
      <c r="R61" s="186"/>
      <c r="S61" s="186">
        <v>0</v>
      </c>
      <c r="T61" s="186" t="s">
        <v>2694</v>
      </c>
      <c r="U61" s="186"/>
      <c r="V61" s="186"/>
      <c r="W61" s="186"/>
      <c r="X61">
        <v>68</v>
      </c>
      <c r="Z61" t="s">
        <v>2645</v>
      </c>
      <c r="AA61" s="30">
        <v>43538</v>
      </c>
      <c r="AB61" t="s">
        <v>2646</v>
      </c>
    </row>
    <row r="62" spans="1:28" ht="25" hidden="1">
      <c r="A62" s="213"/>
      <c r="B62" s="213"/>
      <c r="C62" s="210"/>
      <c r="D62" s="297"/>
      <c r="E62" s="186" t="s">
        <v>59</v>
      </c>
      <c r="F62" s="186" t="s">
        <v>804</v>
      </c>
      <c r="G62" s="186" t="s">
        <v>683</v>
      </c>
      <c r="H62" s="186" t="s">
        <v>682</v>
      </c>
      <c r="I62" s="186"/>
      <c r="J62" s="186"/>
      <c r="K62" s="186" t="s">
        <v>680</v>
      </c>
      <c r="L62" s="123"/>
      <c r="M62" s="186"/>
      <c r="N62" s="186"/>
      <c r="O62" s="186"/>
      <c r="P62" s="123"/>
      <c r="Q62" s="186"/>
      <c r="R62" s="186"/>
      <c r="S62" s="186">
        <v>0</v>
      </c>
      <c r="T62" s="186" t="s">
        <v>2694</v>
      </c>
      <c r="U62" s="186"/>
      <c r="V62" s="186"/>
      <c r="W62" s="186"/>
      <c r="X62">
        <v>64</v>
      </c>
      <c r="Z62" t="s">
        <v>2645</v>
      </c>
      <c r="AA62" s="30">
        <v>43538</v>
      </c>
      <c r="AB62" t="s">
        <v>2646</v>
      </c>
    </row>
    <row r="63" spans="1:28" ht="25" hidden="1">
      <c r="A63" s="213"/>
      <c r="B63" s="213"/>
      <c r="C63" s="210"/>
      <c r="D63" s="297"/>
      <c r="E63" s="186" t="s">
        <v>55</v>
      </c>
      <c r="F63" s="186" t="s">
        <v>796</v>
      </c>
      <c r="G63" s="186" t="s">
        <v>683</v>
      </c>
      <c r="H63" s="186" t="s">
        <v>682</v>
      </c>
      <c r="I63" s="186"/>
      <c r="J63" s="186"/>
      <c r="K63" s="186" t="s">
        <v>680</v>
      </c>
      <c r="L63" s="123"/>
      <c r="M63" s="186"/>
      <c r="N63" s="186"/>
      <c r="O63" s="186"/>
      <c r="P63" s="123"/>
      <c r="Q63" s="186"/>
      <c r="R63" s="186"/>
      <c r="S63" s="186">
        <v>0</v>
      </c>
      <c r="T63" s="186" t="s">
        <v>2694</v>
      </c>
      <c r="U63" s="186"/>
      <c r="V63" s="186"/>
      <c r="W63" s="186"/>
      <c r="X63">
        <v>60</v>
      </c>
      <c r="Z63" t="s">
        <v>2645</v>
      </c>
      <c r="AA63" s="30">
        <v>43538</v>
      </c>
      <c r="AB63" t="s">
        <v>2646</v>
      </c>
    </row>
    <row r="64" spans="1:28" ht="25" hidden="1">
      <c r="A64" s="213"/>
      <c r="B64" s="213"/>
      <c r="C64" s="210"/>
      <c r="D64" s="297"/>
      <c r="E64" s="186" t="s">
        <v>55</v>
      </c>
      <c r="F64" s="186" t="s">
        <v>788</v>
      </c>
      <c r="G64" s="186" t="s">
        <v>683</v>
      </c>
      <c r="H64" s="186" t="s">
        <v>682</v>
      </c>
      <c r="I64" s="186"/>
      <c r="J64" s="186"/>
      <c r="K64" s="186" t="s">
        <v>680</v>
      </c>
      <c r="L64" s="123"/>
      <c r="M64" s="186"/>
      <c r="N64" s="186"/>
      <c r="O64" s="186"/>
      <c r="P64" s="123"/>
      <c r="Q64" s="186"/>
      <c r="R64" s="186"/>
      <c r="S64" s="186">
        <v>0</v>
      </c>
      <c r="T64" s="186" t="s">
        <v>2694</v>
      </c>
      <c r="U64" s="186"/>
      <c r="V64" s="186"/>
      <c r="W64" s="186"/>
      <c r="X64">
        <v>56</v>
      </c>
      <c r="Z64" t="s">
        <v>2645</v>
      </c>
      <c r="AA64" s="30">
        <v>43538</v>
      </c>
      <c r="AB64" t="s">
        <v>2646</v>
      </c>
    </row>
    <row r="65" spans="1:28" ht="12.5" hidden="1">
      <c r="A65" s="213"/>
      <c r="B65" s="213"/>
      <c r="C65" s="210"/>
      <c r="D65" s="297"/>
      <c r="E65" s="186" t="s">
        <v>55</v>
      </c>
      <c r="F65" s="186" t="s">
        <v>2696</v>
      </c>
      <c r="G65" s="186" t="s">
        <v>683</v>
      </c>
      <c r="H65" s="186" t="s">
        <v>682</v>
      </c>
      <c r="I65" s="186"/>
      <c r="J65" s="186"/>
      <c r="K65" s="186" t="s">
        <v>680</v>
      </c>
      <c r="L65" s="186"/>
      <c r="M65" s="186"/>
      <c r="N65" s="186"/>
      <c r="O65" s="186"/>
      <c r="P65" s="186"/>
      <c r="Q65" s="186"/>
      <c r="R65" s="186"/>
      <c r="S65" s="186"/>
      <c r="T65" s="186" t="s">
        <v>2694</v>
      </c>
      <c r="U65" s="186"/>
      <c r="V65" s="186"/>
      <c r="W65" s="186"/>
    </row>
    <row r="66" spans="1:28" ht="25" hidden="1">
      <c r="A66" s="213"/>
      <c r="B66" s="213"/>
      <c r="C66" s="210"/>
      <c r="D66" s="297" t="s">
        <v>682</v>
      </c>
      <c r="E66" s="186" t="s">
        <v>59</v>
      </c>
      <c r="F66" s="186" t="s">
        <v>798</v>
      </c>
      <c r="G66" s="186" t="s">
        <v>683</v>
      </c>
      <c r="H66" s="186" t="s">
        <v>682</v>
      </c>
      <c r="I66" s="186"/>
      <c r="J66" s="186"/>
      <c r="K66" s="186" t="s">
        <v>680</v>
      </c>
      <c r="L66" s="123"/>
      <c r="M66" s="186"/>
      <c r="N66" s="186"/>
      <c r="O66" s="186"/>
      <c r="P66" s="123"/>
      <c r="Q66" s="186"/>
      <c r="R66" s="186"/>
      <c r="S66" s="186">
        <v>0</v>
      </c>
      <c r="T66" s="186" t="s">
        <v>2694</v>
      </c>
      <c r="U66" s="186"/>
      <c r="V66" s="186"/>
      <c r="W66" s="186"/>
      <c r="X66">
        <v>61</v>
      </c>
      <c r="Z66" t="s">
        <v>2645</v>
      </c>
      <c r="AA66" s="30">
        <v>43538</v>
      </c>
      <c r="AB66" t="s">
        <v>2646</v>
      </c>
    </row>
    <row r="67" spans="1:28" ht="25" hidden="1">
      <c r="A67" s="213"/>
      <c r="B67" s="213"/>
      <c r="C67" s="210"/>
      <c r="D67" s="297"/>
      <c r="E67" s="186" t="s">
        <v>55</v>
      </c>
      <c r="F67" s="186" t="s">
        <v>790</v>
      </c>
      <c r="G67" s="186" t="s">
        <v>683</v>
      </c>
      <c r="H67" s="186" t="s">
        <v>682</v>
      </c>
      <c r="I67" s="186"/>
      <c r="J67" s="186"/>
      <c r="K67" s="186" t="s">
        <v>680</v>
      </c>
      <c r="L67" s="123"/>
      <c r="M67" s="186"/>
      <c r="N67" s="186"/>
      <c r="O67" s="186"/>
      <c r="P67" s="123"/>
      <c r="Q67" s="186"/>
      <c r="R67" s="186"/>
      <c r="S67" s="186">
        <v>0</v>
      </c>
      <c r="T67" s="186" t="s">
        <v>2694</v>
      </c>
      <c r="U67" s="186"/>
      <c r="V67" s="186"/>
      <c r="W67" s="186"/>
      <c r="X67">
        <v>57</v>
      </c>
      <c r="Z67" t="s">
        <v>2645</v>
      </c>
      <c r="AA67" s="30">
        <v>43538</v>
      </c>
      <c r="AB67" t="s">
        <v>2646</v>
      </c>
    </row>
    <row r="68" spans="1:28" ht="25" hidden="1">
      <c r="A68" s="213"/>
      <c r="B68" s="213"/>
      <c r="C68" s="210"/>
      <c r="D68" s="297" t="s">
        <v>682</v>
      </c>
      <c r="E68" s="186" t="s">
        <v>59</v>
      </c>
      <c r="F68" s="186" t="s">
        <v>800</v>
      </c>
      <c r="G68" s="186" t="s">
        <v>683</v>
      </c>
      <c r="H68" s="186" t="s">
        <v>682</v>
      </c>
      <c r="I68" s="186"/>
      <c r="J68" s="186"/>
      <c r="K68" s="186" t="s">
        <v>680</v>
      </c>
      <c r="L68" s="123"/>
      <c r="M68" s="186"/>
      <c r="N68" s="186"/>
      <c r="O68" s="186"/>
      <c r="P68" s="123"/>
      <c r="Q68" s="186"/>
      <c r="R68" s="186"/>
      <c r="S68" s="186">
        <v>0</v>
      </c>
      <c r="T68" s="186" t="s">
        <v>2694</v>
      </c>
      <c r="U68" s="186"/>
      <c r="V68" s="186"/>
      <c r="W68" s="186"/>
      <c r="X68">
        <v>62</v>
      </c>
      <c r="Z68" t="s">
        <v>2645</v>
      </c>
      <c r="AA68" s="30">
        <v>43538</v>
      </c>
      <c r="AB68" t="s">
        <v>2646</v>
      </c>
    </row>
    <row r="69" spans="1:28" ht="25" hidden="1">
      <c r="A69" s="213"/>
      <c r="B69" s="213"/>
      <c r="C69" s="210"/>
      <c r="D69" s="297" t="s">
        <v>682</v>
      </c>
      <c r="E69" s="186" t="s">
        <v>59</v>
      </c>
      <c r="F69" s="186" t="s">
        <v>802</v>
      </c>
      <c r="G69" s="186" t="s">
        <v>683</v>
      </c>
      <c r="H69" s="186" t="s">
        <v>682</v>
      </c>
      <c r="I69" s="186"/>
      <c r="J69" s="186"/>
      <c r="K69" s="186" t="s">
        <v>680</v>
      </c>
      <c r="L69" s="123"/>
      <c r="M69" s="186"/>
      <c r="N69" s="186"/>
      <c r="O69" s="186"/>
      <c r="P69" s="123"/>
      <c r="Q69" s="186"/>
      <c r="R69" s="186"/>
      <c r="S69" s="186">
        <v>0</v>
      </c>
      <c r="T69" s="186" t="s">
        <v>2694</v>
      </c>
      <c r="U69" s="186"/>
      <c r="V69" s="186"/>
      <c r="W69" s="186"/>
      <c r="X69">
        <v>63</v>
      </c>
      <c r="Z69" t="s">
        <v>2645</v>
      </c>
      <c r="AA69" s="30">
        <v>43538</v>
      </c>
      <c r="AB69" t="s">
        <v>2646</v>
      </c>
    </row>
    <row r="70" spans="1:28" ht="25" hidden="1">
      <c r="A70" s="213"/>
      <c r="B70" s="213"/>
      <c r="C70" s="210"/>
      <c r="D70" s="297"/>
      <c r="E70" s="186" t="s">
        <v>55</v>
      </c>
      <c r="F70" s="186" t="s">
        <v>792</v>
      </c>
      <c r="G70" s="186" t="s">
        <v>683</v>
      </c>
      <c r="H70" s="186" t="s">
        <v>682</v>
      </c>
      <c r="I70" s="186"/>
      <c r="J70" s="186"/>
      <c r="K70" s="186" t="s">
        <v>680</v>
      </c>
      <c r="L70" s="123"/>
      <c r="M70" s="186"/>
      <c r="N70" s="186"/>
      <c r="O70" s="186"/>
      <c r="P70" s="123"/>
      <c r="Q70" s="186"/>
      <c r="R70" s="186"/>
      <c r="S70" s="186">
        <v>0</v>
      </c>
      <c r="T70" s="186" t="s">
        <v>2694</v>
      </c>
      <c r="U70" s="186"/>
      <c r="V70" s="186"/>
      <c r="W70" s="186"/>
      <c r="X70">
        <v>58</v>
      </c>
      <c r="Z70" t="s">
        <v>2645</v>
      </c>
      <c r="AA70" s="30">
        <v>43538</v>
      </c>
      <c r="AB70" t="s">
        <v>2646</v>
      </c>
    </row>
    <row r="71" spans="1:28" ht="25" hidden="1">
      <c r="A71" s="213"/>
      <c r="B71" s="213"/>
      <c r="C71" s="210"/>
      <c r="D71" s="297"/>
      <c r="E71" s="186" t="s">
        <v>55</v>
      </c>
      <c r="F71" s="186" t="s">
        <v>794</v>
      </c>
      <c r="G71" s="186" t="s">
        <v>683</v>
      </c>
      <c r="H71" s="186" t="s">
        <v>682</v>
      </c>
      <c r="I71" s="186"/>
      <c r="J71" s="186"/>
      <c r="K71" s="186" t="s">
        <v>680</v>
      </c>
      <c r="L71" s="123"/>
      <c r="M71" s="186"/>
      <c r="N71" s="186"/>
      <c r="O71" s="186"/>
      <c r="P71" s="123"/>
      <c r="Q71" s="186"/>
      <c r="R71" s="186"/>
      <c r="S71" s="186">
        <v>0</v>
      </c>
      <c r="T71" s="186" t="s">
        <v>2694</v>
      </c>
      <c r="U71" s="186"/>
      <c r="V71" s="186"/>
      <c r="W71" s="186"/>
      <c r="X71">
        <v>59</v>
      </c>
      <c r="Z71" t="s">
        <v>2645</v>
      </c>
      <c r="AA71" s="30">
        <v>43538</v>
      </c>
      <c r="AB71" t="s">
        <v>2646</v>
      </c>
    </row>
    <row r="72" spans="1:28" ht="25" hidden="1">
      <c r="A72" s="213"/>
      <c r="B72" s="213"/>
      <c r="C72" s="210"/>
      <c r="D72" s="297" t="s">
        <v>682</v>
      </c>
      <c r="E72" s="186" t="s">
        <v>59</v>
      </c>
      <c r="F72" s="186" t="s">
        <v>806</v>
      </c>
      <c r="G72" s="186" t="s">
        <v>683</v>
      </c>
      <c r="H72" s="186" t="s">
        <v>682</v>
      </c>
      <c r="I72" s="186"/>
      <c r="J72" s="186"/>
      <c r="K72" s="186" t="s">
        <v>680</v>
      </c>
      <c r="L72" s="123"/>
      <c r="M72" s="186"/>
      <c r="N72" s="186"/>
      <c r="O72" s="186"/>
      <c r="P72" s="123"/>
      <c r="Q72" s="186"/>
      <c r="R72" s="186"/>
      <c r="S72" s="186">
        <v>0</v>
      </c>
      <c r="T72" s="186" t="s">
        <v>2694</v>
      </c>
      <c r="U72" s="186"/>
      <c r="V72" s="186"/>
      <c r="W72" s="186"/>
      <c r="X72">
        <v>65</v>
      </c>
      <c r="Z72" t="s">
        <v>2645</v>
      </c>
      <c r="AA72" s="30">
        <v>43538</v>
      </c>
      <c r="AB72" t="s">
        <v>2646</v>
      </c>
    </row>
    <row r="73" spans="1:28" ht="25" hidden="1">
      <c r="A73" s="213"/>
      <c r="B73" s="213"/>
      <c r="C73" s="210"/>
      <c r="D73" s="297" t="s">
        <v>682</v>
      </c>
      <c r="E73" s="186" t="s">
        <v>59</v>
      </c>
      <c r="F73" s="186" t="s">
        <v>808</v>
      </c>
      <c r="G73" s="186" t="s">
        <v>683</v>
      </c>
      <c r="H73" s="186" t="s">
        <v>682</v>
      </c>
      <c r="I73" s="186"/>
      <c r="J73" s="186"/>
      <c r="K73" s="186" t="s">
        <v>680</v>
      </c>
      <c r="L73" s="123"/>
      <c r="M73" s="186"/>
      <c r="N73" s="186"/>
      <c r="O73" s="186"/>
      <c r="P73" s="123"/>
      <c r="Q73" s="186"/>
      <c r="R73" s="186"/>
      <c r="S73" s="186">
        <v>0</v>
      </c>
      <c r="T73" s="186" t="s">
        <v>2694</v>
      </c>
      <c r="U73" s="186"/>
      <c r="V73" s="186"/>
      <c r="W73" s="186"/>
      <c r="X73">
        <v>66</v>
      </c>
      <c r="Z73" t="s">
        <v>2645</v>
      </c>
      <c r="AA73" s="30">
        <v>43538</v>
      </c>
      <c r="AB73" t="s">
        <v>2646</v>
      </c>
    </row>
    <row r="74" spans="1:28" ht="12.5" hidden="1">
      <c r="A74" s="213"/>
      <c r="B74" s="213"/>
      <c r="C74" s="210"/>
      <c r="D74" s="297"/>
      <c r="E74" s="186" t="s">
        <v>55</v>
      </c>
      <c r="F74" s="186" t="s">
        <v>2697</v>
      </c>
      <c r="G74" s="186" t="s">
        <v>683</v>
      </c>
      <c r="H74" s="186" t="s">
        <v>682</v>
      </c>
      <c r="I74" s="186"/>
      <c r="J74" s="186"/>
      <c r="K74" s="186" t="s">
        <v>680</v>
      </c>
      <c r="L74" s="186"/>
      <c r="M74" s="186"/>
      <c r="N74" s="186"/>
      <c r="O74" s="186"/>
      <c r="P74" s="186"/>
      <c r="Q74" s="186"/>
      <c r="R74" s="186"/>
      <c r="S74" s="186"/>
      <c r="T74" s="186" t="s">
        <v>2694</v>
      </c>
      <c r="U74" s="186"/>
      <c r="V74" s="186"/>
      <c r="W74" s="186"/>
    </row>
    <row r="75" spans="1:28" ht="25" hidden="1">
      <c r="A75" s="213"/>
      <c r="B75" s="213"/>
      <c r="C75" s="210"/>
      <c r="D75" s="297" t="s">
        <v>682</v>
      </c>
      <c r="E75" s="186" t="s">
        <v>59</v>
      </c>
      <c r="F75" s="186" t="s">
        <v>810</v>
      </c>
      <c r="G75" s="186" t="s">
        <v>683</v>
      </c>
      <c r="H75" s="186" t="s">
        <v>682</v>
      </c>
      <c r="I75" s="186"/>
      <c r="J75" s="186"/>
      <c r="K75" s="186" t="s">
        <v>680</v>
      </c>
      <c r="L75" s="123"/>
      <c r="M75" s="186"/>
      <c r="N75" s="186"/>
      <c r="O75" s="186"/>
      <c r="P75" s="123"/>
      <c r="Q75" s="186"/>
      <c r="R75" s="186"/>
      <c r="S75" s="186">
        <v>0</v>
      </c>
      <c r="T75" s="186" t="s">
        <v>2694</v>
      </c>
      <c r="U75" s="186"/>
      <c r="V75" s="186"/>
      <c r="W75" s="186"/>
      <c r="X75">
        <v>67</v>
      </c>
      <c r="Z75" t="s">
        <v>2645</v>
      </c>
      <c r="AA75" s="30">
        <v>43538</v>
      </c>
      <c r="AB75" t="s">
        <v>2646</v>
      </c>
    </row>
    <row r="76" spans="1:28" ht="25" hidden="1">
      <c r="A76" s="213"/>
      <c r="B76" s="213"/>
      <c r="C76" s="210"/>
      <c r="D76" s="297"/>
      <c r="E76" s="186" t="s">
        <v>55</v>
      </c>
      <c r="F76" s="186" t="s">
        <v>818</v>
      </c>
      <c r="G76" s="186" t="s">
        <v>683</v>
      </c>
      <c r="H76" s="186" t="s">
        <v>682</v>
      </c>
      <c r="I76" s="186"/>
      <c r="J76" s="186"/>
      <c r="K76" s="186" t="s">
        <v>680</v>
      </c>
      <c r="L76" s="123"/>
      <c r="M76" s="186"/>
      <c r="N76" s="186"/>
      <c r="O76" s="186"/>
      <c r="P76" s="123"/>
      <c r="Q76" s="186"/>
      <c r="R76" s="186"/>
      <c r="S76" s="186">
        <v>0</v>
      </c>
      <c r="T76" s="186" t="s">
        <v>2698</v>
      </c>
      <c r="U76" s="186"/>
      <c r="V76" s="186"/>
      <c r="W76" s="186"/>
      <c r="X76">
        <v>71</v>
      </c>
      <c r="Z76" t="s">
        <v>2645</v>
      </c>
      <c r="AA76" s="30">
        <v>43538</v>
      </c>
      <c r="AB76" t="s">
        <v>2646</v>
      </c>
    </row>
    <row r="77" spans="1:28" ht="25" hidden="1">
      <c r="A77" s="213"/>
      <c r="B77" s="213"/>
      <c r="C77" s="210"/>
      <c r="D77" s="297"/>
      <c r="E77" s="186" t="s">
        <v>55</v>
      </c>
      <c r="F77" s="186" t="s">
        <v>820</v>
      </c>
      <c r="G77" s="186" t="s">
        <v>683</v>
      </c>
      <c r="H77" s="186" t="s">
        <v>682</v>
      </c>
      <c r="I77" s="186"/>
      <c r="J77" s="186"/>
      <c r="K77" s="186" t="s">
        <v>680</v>
      </c>
      <c r="L77" s="123"/>
      <c r="M77" s="186"/>
      <c r="N77" s="186"/>
      <c r="O77" s="186"/>
      <c r="P77" s="123"/>
      <c r="Q77" s="186"/>
      <c r="R77" s="186"/>
      <c r="S77" s="186">
        <v>0</v>
      </c>
      <c r="T77" s="186" t="s">
        <v>2699</v>
      </c>
      <c r="U77" s="186"/>
      <c r="V77" s="186"/>
      <c r="W77" s="186"/>
      <c r="X77">
        <v>72</v>
      </c>
      <c r="Z77" t="s">
        <v>2645</v>
      </c>
      <c r="AA77" s="30">
        <v>43538</v>
      </c>
      <c r="AB77" t="s">
        <v>2646</v>
      </c>
    </row>
    <row r="78" spans="1:28" ht="25" hidden="1">
      <c r="A78" s="213"/>
      <c r="B78" s="213"/>
      <c r="C78" s="210"/>
      <c r="D78" s="297" t="s">
        <v>682</v>
      </c>
      <c r="E78" s="186" t="s">
        <v>59</v>
      </c>
      <c r="F78" s="186" t="s">
        <v>846</v>
      </c>
      <c r="G78" s="186" t="s">
        <v>683</v>
      </c>
      <c r="H78" s="186" t="s">
        <v>682</v>
      </c>
      <c r="I78" s="186"/>
      <c r="J78" s="186"/>
      <c r="K78" s="186" t="s">
        <v>680</v>
      </c>
      <c r="L78" s="123"/>
      <c r="M78" s="186"/>
      <c r="N78" s="186"/>
      <c r="O78" s="186"/>
      <c r="P78" s="123"/>
      <c r="Q78" s="186"/>
      <c r="R78" s="186"/>
      <c r="S78" s="186">
        <v>0</v>
      </c>
      <c r="T78" s="186" t="s">
        <v>2699</v>
      </c>
      <c r="U78" s="186"/>
      <c r="V78" s="186"/>
      <c r="W78" s="186"/>
      <c r="X78">
        <v>85</v>
      </c>
      <c r="Z78" t="s">
        <v>2645</v>
      </c>
      <c r="AA78" s="30">
        <v>43538</v>
      </c>
      <c r="AB78" t="s">
        <v>2646</v>
      </c>
    </row>
    <row r="79" spans="1:28" ht="25" hidden="1">
      <c r="A79" s="213"/>
      <c r="B79" s="213"/>
      <c r="C79" s="210"/>
      <c r="D79" s="297"/>
      <c r="E79" s="186" t="s">
        <v>59</v>
      </c>
      <c r="F79" s="186" t="s">
        <v>838</v>
      </c>
      <c r="G79" s="186" t="s">
        <v>683</v>
      </c>
      <c r="H79" s="186" t="s">
        <v>682</v>
      </c>
      <c r="I79" s="186"/>
      <c r="J79" s="186"/>
      <c r="K79" s="186" t="s">
        <v>680</v>
      </c>
      <c r="L79" s="123"/>
      <c r="M79" s="186"/>
      <c r="N79" s="186"/>
      <c r="O79" s="186"/>
      <c r="P79" s="123"/>
      <c r="Q79" s="186"/>
      <c r="R79" s="186"/>
      <c r="S79" s="186">
        <v>0</v>
      </c>
      <c r="T79" s="186" t="s">
        <v>2699</v>
      </c>
      <c r="U79" s="186"/>
      <c r="V79" s="186"/>
      <c r="W79" s="186"/>
      <c r="X79">
        <v>81</v>
      </c>
      <c r="Z79" t="s">
        <v>2645</v>
      </c>
      <c r="AA79" s="30">
        <v>43538</v>
      </c>
      <c r="AB79" t="s">
        <v>2646</v>
      </c>
    </row>
    <row r="80" spans="1:28" ht="25" hidden="1">
      <c r="A80" s="213"/>
      <c r="B80" s="213"/>
      <c r="C80" s="210"/>
      <c r="D80" s="297"/>
      <c r="E80" s="186" t="s">
        <v>55</v>
      </c>
      <c r="F80" s="186" t="s">
        <v>830</v>
      </c>
      <c r="G80" s="186" t="s">
        <v>683</v>
      </c>
      <c r="H80" s="186" t="s">
        <v>682</v>
      </c>
      <c r="I80" s="186"/>
      <c r="J80" s="186"/>
      <c r="K80" s="186" t="s">
        <v>680</v>
      </c>
      <c r="L80" s="123"/>
      <c r="M80" s="186"/>
      <c r="N80" s="186"/>
      <c r="O80" s="186"/>
      <c r="P80" s="123"/>
      <c r="Q80" s="186"/>
      <c r="R80" s="186"/>
      <c r="S80" s="186">
        <v>0</v>
      </c>
      <c r="T80" s="186" t="s">
        <v>2699</v>
      </c>
      <c r="U80" s="186"/>
      <c r="V80" s="186"/>
      <c r="W80" s="186"/>
      <c r="X80">
        <v>77</v>
      </c>
      <c r="Z80" t="s">
        <v>2645</v>
      </c>
      <c r="AA80" s="30">
        <v>43538</v>
      </c>
      <c r="AB80" t="s">
        <v>2646</v>
      </c>
    </row>
    <row r="81" spans="1:28" ht="25" hidden="1">
      <c r="A81" s="213"/>
      <c r="B81" s="213"/>
      <c r="C81" s="210"/>
      <c r="D81" s="297"/>
      <c r="E81" s="186" t="s">
        <v>55</v>
      </c>
      <c r="F81" s="186" t="s">
        <v>822</v>
      </c>
      <c r="G81" s="186" t="s">
        <v>683</v>
      </c>
      <c r="H81" s="186" t="s">
        <v>682</v>
      </c>
      <c r="I81" s="186"/>
      <c r="J81" s="186"/>
      <c r="K81" s="186" t="s">
        <v>680</v>
      </c>
      <c r="L81" s="123"/>
      <c r="M81" s="186"/>
      <c r="N81" s="186"/>
      <c r="O81" s="186"/>
      <c r="P81" s="123"/>
      <c r="Q81" s="186"/>
      <c r="R81" s="186"/>
      <c r="S81" s="186">
        <v>0</v>
      </c>
      <c r="T81" s="186" t="s">
        <v>2699</v>
      </c>
      <c r="U81" s="186"/>
      <c r="V81" s="186"/>
      <c r="W81" s="186"/>
      <c r="X81">
        <v>73</v>
      </c>
      <c r="Z81" t="s">
        <v>2645</v>
      </c>
      <c r="AA81" s="30">
        <v>43538</v>
      </c>
      <c r="AB81" t="s">
        <v>2646</v>
      </c>
    </row>
    <row r="82" spans="1:28" ht="12.5" hidden="1">
      <c r="A82" s="213"/>
      <c r="B82" s="213"/>
      <c r="C82" s="210"/>
      <c r="D82" s="297"/>
      <c r="E82" s="186" t="s">
        <v>55</v>
      </c>
      <c r="F82" s="186" t="s">
        <v>2700</v>
      </c>
      <c r="G82" s="186" t="s">
        <v>683</v>
      </c>
      <c r="H82" s="186" t="s">
        <v>682</v>
      </c>
      <c r="I82" s="186"/>
      <c r="J82" s="186"/>
      <c r="K82" s="186" t="s">
        <v>680</v>
      </c>
      <c r="L82" s="186"/>
      <c r="M82" s="186"/>
      <c r="N82" s="186"/>
      <c r="O82" s="186"/>
      <c r="P82" s="186"/>
      <c r="Q82" s="186"/>
      <c r="R82" s="186"/>
      <c r="S82" s="186"/>
      <c r="T82" s="186" t="s">
        <v>2699</v>
      </c>
      <c r="U82" s="186"/>
      <c r="V82" s="186"/>
      <c r="W82" s="186"/>
    </row>
    <row r="83" spans="1:28" ht="25" hidden="1">
      <c r="A83" s="213"/>
      <c r="B83" s="213"/>
      <c r="C83" s="210"/>
      <c r="D83" s="297" t="s">
        <v>682</v>
      </c>
      <c r="E83" s="186" t="s">
        <v>59</v>
      </c>
      <c r="F83" s="186" t="s">
        <v>832</v>
      </c>
      <c r="G83" s="186" t="s">
        <v>683</v>
      </c>
      <c r="H83" s="186" t="s">
        <v>682</v>
      </c>
      <c r="I83" s="186"/>
      <c r="J83" s="186"/>
      <c r="K83" s="186" t="s">
        <v>680</v>
      </c>
      <c r="L83" s="123"/>
      <c r="M83" s="186"/>
      <c r="N83" s="186"/>
      <c r="O83" s="186"/>
      <c r="P83" s="123"/>
      <c r="Q83" s="186"/>
      <c r="R83" s="186"/>
      <c r="S83" s="186">
        <v>0</v>
      </c>
      <c r="T83" s="186" t="s">
        <v>2699</v>
      </c>
      <c r="U83" s="186"/>
      <c r="V83" s="186"/>
      <c r="W83" s="186"/>
      <c r="X83">
        <v>78</v>
      </c>
      <c r="Z83" t="s">
        <v>2645</v>
      </c>
      <c r="AA83" s="30">
        <v>43538</v>
      </c>
      <c r="AB83" t="s">
        <v>2646</v>
      </c>
    </row>
    <row r="84" spans="1:28" ht="25" hidden="1">
      <c r="A84" s="213"/>
      <c r="B84" s="213"/>
      <c r="C84" s="210"/>
      <c r="D84" s="297"/>
      <c r="E84" s="186" t="s">
        <v>55</v>
      </c>
      <c r="F84" s="186" t="s">
        <v>824</v>
      </c>
      <c r="G84" s="186" t="s">
        <v>683</v>
      </c>
      <c r="H84" s="186" t="s">
        <v>682</v>
      </c>
      <c r="I84" s="186"/>
      <c r="J84" s="186"/>
      <c r="K84" s="186" t="s">
        <v>680</v>
      </c>
      <c r="L84" s="123"/>
      <c r="M84" s="186"/>
      <c r="N84" s="186"/>
      <c r="O84" s="186"/>
      <c r="P84" s="123"/>
      <c r="Q84" s="186"/>
      <c r="R84" s="186"/>
      <c r="S84" s="186">
        <v>0</v>
      </c>
      <c r="T84" s="186" t="s">
        <v>2699</v>
      </c>
      <c r="U84" s="186"/>
      <c r="V84" s="186"/>
      <c r="W84" s="186"/>
      <c r="X84">
        <v>74</v>
      </c>
      <c r="Z84" t="s">
        <v>2645</v>
      </c>
      <c r="AA84" s="30">
        <v>43538</v>
      </c>
      <c r="AB84" t="s">
        <v>2646</v>
      </c>
    </row>
    <row r="85" spans="1:28" ht="25" hidden="1">
      <c r="A85" s="213"/>
      <c r="B85" s="213"/>
      <c r="C85" s="210"/>
      <c r="D85" s="297" t="s">
        <v>682</v>
      </c>
      <c r="E85" s="186" t="s">
        <v>59</v>
      </c>
      <c r="F85" s="186" t="s">
        <v>834</v>
      </c>
      <c r="G85" s="186" t="s">
        <v>683</v>
      </c>
      <c r="H85" s="186" t="s">
        <v>682</v>
      </c>
      <c r="I85" s="186"/>
      <c r="J85" s="186"/>
      <c r="K85" s="186" t="s">
        <v>680</v>
      </c>
      <c r="L85" s="123"/>
      <c r="M85" s="186"/>
      <c r="N85" s="186"/>
      <c r="O85" s="186"/>
      <c r="P85" s="123"/>
      <c r="Q85" s="186"/>
      <c r="R85" s="186"/>
      <c r="S85" s="186">
        <v>0</v>
      </c>
      <c r="T85" s="186" t="s">
        <v>2699</v>
      </c>
      <c r="U85" s="186"/>
      <c r="V85" s="186"/>
      <c r="W85" s="186"/>
      <c r="X85">
        <v>79</v>
      </c>
      <c r="Z85" t="s">
        <v>2645</v>
      </c>
      <c r="AA85" s="30">
        <v>43538</v>
      </c>
      <c r="AB85" t="s">
        <v>2646</v>
      </c>
    </row>
    <row r="86" spans="1:28" ht="25" hidden="1">
      <c r="A86" s="213"/>
      <c r="B86" s="213"/>
      <c r="C86" s="210"/>
      <c r="D86" s="297" t="s">
        <v>682</v>
      </c>
      <c r="E86" s="186" t="s">
        <v>59</v>
      </c>
      <c r="F86" s="186" t="s">
        <v>836</v>
      </c>
      <c r="G86" s="186" t="s">
        <v>683</v>
      </c>
      <c r="H86" s="186" t="s">
        <v>682</v>
      </c>
      <c r="I86" s="186"/>
      <c r="J86" s="186"/>
      <c r="K86" s="186" t="s">
        <v>680</v>
      </c>
      <c r="L86" s="123"/>
      <c r="M86" s="186"/>
      <c r="N86" s="186"/>
      <c r="O86" s="186"/>
      <c r="P86" s="123"/>
      <c r="Q86" s="186"/>
      <c r="R86" s="186"/>
      <c r="S86" s="186">
        <v>0</v>
      </c>
      <c r="T86" s="186" t="s">
        <v>2699</v>
      </c>
      <c r="U86" s="186"/>
      <c r="V86" s="186"/>
      <c r="W86" s="186"/>
      <c r="X86">
        <v>80</v>
      </c>
      <c r="Z86" t="s">
        <v>2645</v>
      </c>
      <c r="AA86" s="30">
        <v>43538</v>
      </c>
      <c r="AB86" t="s">
        <v>2646</v>
      </c>
    </row>
    <row r="87" spans="1:28" ht="25" hidden="1">
      <c r="A87" s="213"/>
      <c r="B87" s="213"/>
      <c r="C87" s="210"/>
      <c r="D87" s="297"/>
      <c r="E87" s="186" t="s">
        <v>55</v>
      </c>
      <c r="F87" s="186" t="s">
        <v>826</v>
      </c>
      <c r="G87" s="186" t="s">
        <v>683</v>
      </c>
      <c r="H87" s="186" t="s">
        <v>682</v>
      </c>
      <c r="I87" s="186"/>
      <c r="J87" s="186"/>
      <c r="K87" s="186" t="s">
        <v>680</v>
      </c>
      <c r="L87" s="123"/>
      <c r="M87" s="186"/>
      <c r="N87" s="186"/>
      <c r="O87" s="186"/>
      <c r="P87" s="123"/>
      <c r="Q87" s="186"/>
      <c r="R87" s="186"/>
      <c r="S87" s="186">
        <v>0</v>
      </c>
      <c r="T87" s="186" t="s">
        <v>2699</v>
      </c>
      <c r="U87" s="186"/>
      <c r="V87" s="186"/>
      <c r="W87" s="186"/>
      <c r="X87">
        <v>75</v>
      </c>
      <c r="Z87" t="s">
        <v>2645</v>
      </c>
      <c r="AA87" s="30">
        <v>43538</v>
      </c>
      <c r="AB87" t="s">
        <v>2646</v>
      </c>
    </row>
    <row r="88" spans="1:28" ht="25" hidden="1">
      <c r="A88" s="213"/>
      <c r="B88" s="213"/>
      <c r="C88" s="210"/>
      <c r="D88" s="297"/>
      <c r="E88" s="186" t="s">
        <v>55</v>
      </c>
      <c r="F88" s="186" t="s">
        <v>828</v>
      </c>
      <c r="G88" s="186" t="s">
        <v>683</v>
      </c>
      <c r="H88" s="186" t="s">
        <v>682</v>
      </c>
      <c r="I88" s="186"/>
      <c r="J88" s="186"/>
      <c r="K88" s="186" t="s">
        <v>680</v>
      </c>
      <c r="L88" s="123"/>
      <c r="M88" s="186"/>
      <c r="N88" s="186"/>
      <c r="O88" s="186"/>
      <c r="P88" s="123"/>
      <c r="Q88" s="186"/>
      <c r="R88" s="186"/>
      <c r="S88" s="186">
        <v>0</v>
      </c>
      <c r="T88" s="186" t="s">
        <v>2699</v>
      </c>
      <c r="U88" s="186"/>
      <c r="V88" s="186"/>
      <c r="W88" s="186"/>
      <c r="X88">
        <v>76</v>
      </c>
      <c r="Z88" t="s">
        <v>2645</v>
      </c>
      <c r="AA88" s="30">
        <v>43538</v>
      </c>
      <c r="AB88" t="s">
        <v>2646</v>
      </c>
    </row>
    <row r="89" spans="1:28" ht="25" hidden="1">
      <c r="A89" s="213"/>
      <c r="B89" s="213"/>
      <c r="C89" s="210"/>
      <c r="D89" s="297" t="s">
        <v>682</v>
      </c>
      <c r="E89" s="186" t="s">
        <v>59</v>
      </c>
      <c r="F89" s="186" t="s">
        <v>840</v>
      </c>
      <c r="G89" s="186" t="s">
        <v>683</v>
      </c>
      <c r="H89" s="186" t="s">
        <v>682</v>
      </c>
      <c r="I89" s="186"/>
      <c r="J89" s="186"/>
      <c r="K89" s="186" t="s">
        <v>680</v>
      </c>
      <c r="L89" s="123"/>
      <c r="M89" s="186"/>
      <c r="N89" s="186"/>
      <c r="O89" s="186"/>
      <c r="P89" s="123"/>
      <c r="Q89" s="186"/>
      <c r="R89" s="186"/>
      <c r="S89" s="186">
        <v>0</v>
      </c>
      <c r="T89" s="186" t="s">
        <v>2699</v>
      </c>
      <c r="U89" s="186"/>
      <c r="V89" s="186"/>
      <c r="W89" s="186"/>
      <c r="X89">
        <v>82</v>
      </c>
      <c r="Z89" t="s">
        <v>2645</v>
      </c>
      <c r="AA89" s="30">
        <v>43538</v>
      </c>
      <c r="AB89" t="s">
        <v>2646</v>
      </c>
    </row>
    <row r="90" spans="1:28" ht="25" hidden="1">
      <c r="A90" s="213"/>
      <c r="B90" s="213"/>
      <c r="C90" s="210"/>
      <c r="D90" s="297" t="s">
        <v>682</v>
      </c>
      <c r="E90" s="186" t="s">
        <v>59</v>
      </c>
      <c r="F90" s="186" t="s">
        <v>842</v>
      </c>
      <c r="G90" s="186" t="s">
        <v>683</v>
      </c>
      <c r="H90" s="186" t="s">
        <v>682</v>
      </c>
      <c r="I90" s="186"/>
      <c r="J90" s="186"/>
      <c r="K90" s="186" t="s">
        <v>680</v>
      </c>
      <c r="L90" s="123"/>
      <c r="M90" s="186"/>
      <c r="N90" s="186"/>
      <c r="O90" s="186"/>
      <c r="P90" s="123"/>
      <c r="Q90" s="186"/>
      <c r="R90" s="186"/>
      <c r="S90" s="186">
        <v>0</v>
      </c>
      <c r="T90" s="186" t="s">
        <v>2699</v>
      </c>
      <c r="U90" s="186"/>
      <c r="V90" s="186"/>
      <c r="W90" s="186"/>
      <c r="X90">
        <v>83</v>
      </c>
      <c r="Z90" t="s">
        <v>2645</v>
      </c>
      <c r="AA90" s="30">
        <v>43538</v>
      </c>
      <c r="AB90" t="s">
        <v>2646</v>
      </c>
    </row>
    <row r="91" spans="1:28" ht="12.5" hidden="1">
      <c r="A91" s="88"/>
      <c r="B91" s="88"/>
      <c r="C91" s="89"/>
      <c r="D91" s="93"/>
      <c r="E91" s="186" t="s">
        <v>55</v>
      </c>
      <c r="F91" s="186" t="s">
        <v>2701</v>
      </c>
      <c r="G91" s="186" t="s">
        <v>683</v>
      </c>
      <c r="H91" s="186" t="s">
        <v>682</v>
      </c>
      <c r="I91" s="186"/>
      <c r="J91" s="186"/>
      <c r="K91" s="186" t="s">
        <v>680</v>
      </c>
      <c r="L91" s="186"/>
      <c r="M91" s="186"/>
      <c r="N91" s="186"/>
      <c r="O91" s="186"/>
      <c r="P91" s="186"/>
      <c r="Q91" s="186"/>
      <c r="R91" s="186"/>
      <c r="S91" s="186"/>
      <c r="T91" s="186" t="s">
        <v>2699</v>
      </c>
      <c r="U91" s="186"/>
      <c r="V91" s="186"/>
      <c r="W91" s="186"/>
    </row>
    <row r="92" spans="1:28" ht="25" hidden="1">
      <c r="A92" s="88"/>
      <c r="B92" s="88"/>
      <c r="C92" s="89"/>
      <c r="D92" s="93" t="s">
        <v>682</v>
      </c>
      <c r="E92" s="186" t="s">
        <v>59</v>
      </c>
      <c r="F92" s="186" t="s">
        <v>844</v>
      </c>
      <c r="G92" s="186" t="s">
        <v>683</v>
      </c>
      <c r="H92" s="186" t="s">
        <v>682</v>
      </c>
      <c r="I92" s="186"/>
      <c r="J92" s="186"/>
      <c r="K92" s="186" t="s">
        <v>680</v>
      </c>
      <c r="L92" s="123"/>
      <c r="M92" s="186"/>
      <c r="N92" s="186"/>
      <c r="O92" s="186"/>
      <c r="P92" s="123"/>
      <c r="Q92" s="186"/>
      <c r="R92" s="186"/>
      <c r="S92" s="186">
        <v>0</v>
      </c>
      <c r="T92" s="186" t="s">
        <v>2699</v>
      </c>
      <c r="U92" s="186"/>
      <c r="V92" s="186"/>
      <c r="W92" s="186"/>
      <c r="X92">
        <v>84</v>
      </c>
      <c r="Z92" t="s">
        <v>2645</v>
      </c>
      <c r="AA92" s="30">
        <v>43538</v>
      </c>
      <c r="AB92" t="s">
        <v>2646</v>
      </c>
    </row>
    <row r="93" spans="1:28" ht="12.5" hidden="1">
      <c r="A93" s="88"/>
      <c r="B93" s="88"/>
      <c r="C93" s="89"/>
      <c r="D93" s="93"/>
      <c r="E93" s="186" t="s">
        <v>55</v>
      </c>
      <c r="F93" s="186" t="s">
        <v>2702</v>
      </c>
      <c r="G93" s="186" t="s">
        <v>683</v>
      </c>
      <c r="H93" s="186" t="s">
        <v>682</v>
      </c>
      <c r="I93" s="186"/>
      <c r="J93" s="186"/>
      <c r="K93" s="186" t="s">
        <v>680</v>
      </c>
      <c r="L93" s="186"/>
      <c r="M93" s="186"/>
      <c r="N93" s="186"/>
      <c r="O93" s="186"/>
      <c r="P93" s="186"/>
      <c r="Q93" s="186"/>
      <c r="R93" s="186"/>
      <c r="S93" s="186"/>
      <c r="T93" s="186" t="s">
        <v>2703</v>
      </c>
      <c r="U93" s="186"/>
      <c r="V93" s="186"/>
      <c r="W93" s="186"/>
    </row>
    <row r="94" spans="1:28" ht="12.5" hidden="1">
      <c r="A94" s="88"/>
      <c r="B94" s="88"/>
      <c r="C94" s="89"/>
      <c r="D94" s="93"/>
      <c r="E94" s="186" t="s">
        <v>55</v>
      </c>
      <c r="F94" s="186" t="s">
        <v>2704</v>
      </c>
      <c r="G94" s="186" t="s">
        <v>683</v>
      </c>
      <c r="H94" s="186" t="s">
        <v>682</v>
      </c>
      <c r="I94" s="186"/>
      <c r="J94" s="186"/>
      <c r="K94" s="186" t="s">
        <v>680</v>
      </c>
      <c r="L94" s="186"/>
      <c r="M94" s="186"/>
      <c r="N94" s="186"/>
      <c r="O94" s="186"/>
      <c r="P94" s="186"/>
      <c r="Q94" s="186"/>
      <c r="R94" s="186"/>
      <c r="S94" s="186"/>
      <c r="T94" s="186" t="s">
        <v>2705</v>
      </c>
      <c r="U94" s="186"/>
      <c r="V94" s="186"/>
      <c r="W94" s="186"/>
    </row>
    <row r="95" spans="1:28" ht="12.5" hidden="1">
      <c r="A95" s="88"/>
      <c r="B95" s="88"/>
      <c r="C95" s="89"/>
      <c r="D95" s="93"/>
      <c r="E95" s="186" t="s">
        <v>55</v>
      </c>
      <c r="F95" s="186" t="s">
        <v>2706</v>
      </c>
      <c r="G95" s="186" t="s">
        <v>683</v>
      </c>
      <c r="H95" s="186" t="s">
        <v>682</v>
      </c>
      <c r="I95" s="186"/>
      <c r="J95" s="186"/>
      <c r="K95" s="186" t="s">
        <v>680</v>
      </c>
      <c r="L95" s="186"/>
      <c r="M95" s="186"/>
      <c r="N95" s="186"/>
      <c r="O95" s="186"/>
      <c r="P95" s="186"/>
      <c r="Q95" s="186"/>
      <c r="R95" s="186"/>
      <c r="S95" s="186"/>
      <c r="T95" s="186" t="s">
        <v>2707</v>
      </c>
      <c r="U95" s="186"/>
      <c r="V95" s="186"/>
      <c r="W95" s="186"/>
    </row>
    <row r="96" spans="1:28" ht="12.5" hidden="1">
      <c r="A96" s="213"/>
      <c r="B96" s="213"/>
      <c r="C96" s="210"/>
      <c r="D96" s="297"/>
      <c r="E96" s="186" t="s">
        <v>55</v>
      </c>
      <c r="F96" s="186" t="s">
        <v>2708</v>
      </c>
      <c r="G96" s="186" t="s">
        <v>683</v>
      </c>
      <c r="H96" s="186" t="s">
        <v>682</v>
      </c>
      <c r="I96" s="186"/>
      <c r="J96" s="186"/>
      <c r="K96" s="186" t="s">
        <v>680</v>
      </c>
      <c r="L96" s="186"/>
      <c r="M96" s="186"/>
      <c r="N96" s="186"/>
      <c r="O96" s="186"/>
      <c r="P96" s="186"/>
      <c r="Q96" s="186"/>
      <c r="R96" s="186"/>
      <c r="S96" s="186"/>
      <c r="T96" s="186" t="s">
        <v>2709</v>
      </c>
      <c r="U96" s="186"/>
      <c r="V96" s="186"/>
      <c r="W96" s="186"/>
    </row>
    <row r="97" spans="1:28" ht="12.5" hidden="1">
      <c r="A97" s="213"/>
      <c r="B97" s="213"/>
      <c r="C97" s="210"/>
      <c r="D97" s="297"/>
      <c r="E97" s="186" t="s">
        <v>55</v>
      </c>
      <c r="F97" s="186" t="s">
        <v>2710</v>
      </c>
      <c r="G97" s="186" t="s">
        <v>683</v>
      </c>
      <c r="H97" s="186" t="s">
        <v>682</v>
      </c>
      <c r="I97" s="186"/>
      <c r="J97" s="186"/>
      <c r="K97" s="186" t="s">
        <v>680</v>
      </c>
      <c r="L97" s="186"/>
      <c r="M97" s="186"/>
      <c r="N97" s="186"/>
      <c r="O97" s="186"/>
      <c r="P97" s="186"/>
      <c r="Q97" s="186"/>
      <c r="R97" s="186"/>
      <c r="S97" s="186"/>
      <c r="T97" s="186" t="s">
        <v>2711</v>
      </c>
      <c r="U97" s="186"/>
      <c r="V97" s="186"/>
      <c r="W97" s="186"/>
    </row>
    <row r="98" spans="1:28" ht="25">
      <c r="A98" s="193"/>
      <c r="B98" s="193"/>
      <c r="C98" s="193"/>
      <c r="D98" s="193"/>
      <c r="E98" s="186" t="s">
        <v>55</v>
      </c>
      <c r="F98" s="186" t="s">
        <v>859</v>
      </c>
      <c r="G98" t="s">
        <v>2712</v>
      </c>
      <c r="H98" t="s">
        <v>682</v>
      </c>
      <c r="K98" s="186" t="s">
        <v>682</v>
      </c>
      <c r="L98" s="123" t="s">
        <v>2999</v>
      </c>
      <c r="M98" s="123" t="s">
        <v>3004</v>
      </c>
      <c r="O98" s="186"/>
      <c r="P98" s="123"/>
      <c r="Q98" s="186"/>
      <c r="R98" s="186"/>
      <c r="S98" s="186">
        <v>59302951</v>
      </c>
      <c r="X98">
        <v>90</v>
      </c>
      <c r="Z98" t="s">
        <v>2713</v>
      </c>
      <c r="AA98" s="30">
        <v>43550</v>
      </c>
      <c r="AB98" t="s">
        <v>2714</v>
      </c>
    </row>
    <row r="99" spans="1:28" ht="25">
      <c r="A99" s="134"/>
      <c r="B99" s="134"/>
      <c r="C99" s="134"/>
      <c r="D99" s="298" t="s">
        <v>682</v>
      </c>
      <c r="E99" s="186" t="s">
        <v>55</v>
      </c>
      <c r="F99" s="186" t="s">
        <v>161</v>
      </c>
      <c r="G99" s="186" t="s">
        <v>681</v>
      </c>
      <c r="H99" s="186" t="s">
        <v>682</v>
      </c>
      <c r="I99" s="186"/>
      <c r="J99" s="186"/>
      <c r="K99" s="186" t="s">
        <v>682</v>
      </c>
      <c r="L99" s="123" t="s">
        <v>2999</v>
      </c>
      <c r="M99" s="123" t="s">
        <v>161</v>
      </c>
      <c r="N99" s="186"/>
      <c r="O99" s="186"/>
      <c r="P99" s="123"/>
      <c r="Q99" s="186"/>
      <c r="R99" s="186"/>
      <c r="S99" s="186" t="s">
        <v>2715</v>
      </c>
      <c r="T99" s="186" t="s">
        <v>2716</v>
      </c>
      <c r="U99" s="186"/>
      <c r="V99" s="186"/>
      <c r="W99" s="186"/>
      <c r="X99" s="129">
        <v>5</v>
      </c>
      <c r="Y99" s="129"/>
      <c r="Z99" s="129" t="s">
        <v>2645</v>
      </c>
      <c r="AA99" s="94">
        <v>43538</v>
      </c>
      <c r="AB99" s="129" t="s">
        <v>2646</v>
      </c>
    </row>
    <row r="100" spans="1:28" ht="25">
      <c r="A100" s="134"/>
      <c r="B100" s="134"/>
      <c r="C100" s="134"/>
      <c r="D100" s="298" t="s">
        <v>682</v>
      </c>
      <c r="E100" s="186" t="s">
        <v>55</v>
      </c>
      <c r="F100" s="186" t="s">
        <v>162</v>
      </c>
      <c r="G100" s="186" t="s">
        <v>685</v>
      </c>
      <c r="H100" s="186" t="s">
        <v>682</v>
      </c>
      <c r="I100" s="186"/>
      <c r="J100" s="186"/>
      <c r="K100" s="186" t="s">
        <v>682</v>
      </c>
      <c r="L100" s="123" t="s">
        <v>2999</v>
      </c>
      <c r="M100" s="123" t="s">
        <v>162</v>
      </c>
      <c r="N100" s="186"/>
      <c r="O100" s="186"/>
      <c r="P100" s="123"/>
      <c r="Q100" s="186"/>
      <c r="R100" s="186"/>
      <c r="S100" s="186" t="s">
        <v>2718</v>
      </c>
      <c r="T100" s="186" t="s">
        <v>2719</v>
      </c>
      <c r="U100" s="186"/>
      <c r="V100" s="186"/>
      <c r="W100" s="186"/>
      <c r="X100" s="129">
        <v>4</v>
      </c>
      <c r="Y100" s="129"/>
      <c r="Z100" s="129" t="s">
        <v>2713</v>
      </c>
      <c r="AA100" s="94">
        <v>43550</v>
      </c>
      <c r="AB100" s="129" t="s">
        <v>2720</v>
      </c>
    </row>
    <row r="101" spans="1:28" ht="12.5" hidden="1">
      <c r="A101" s="213"/>
      <c r="B101" s="213"/>
      <c r="C101" s="210"/>
      <c r="D101" s="297" t="s">
        <v>682</v>
      </c>
      <c r="E101" s="186" t="s">
        <v>59</v>
      </c>
      <c r="F101" s="186" t="s">
        <v>2721</v>
      </c>
      <c r="G101" s="186" t="s">
        <v>683</v>
      </c>
      <c r="H101" s="186" t="s">
        <v>682</v>
      </c>
      <c r="I101" s="186"/>
      <c r="J101" s="186"/>
      <c r="K101" s="186" t="s">
        <v>680</v>
      </c>
      <c r="L101" s="123"/>
      <c r="M101" s="186"/>
      <c r="N101" s="186"/>
      <c r="O101" s="186"/>
      <c r="P101" s="186"/>
      <c r="Q101" s="186"/>
      <c r="R101" s="186"/>
      <c r="S101" s="186"/>
      <c r="T101" s="186" t="s">
        <v>2722</v>
      </c>
      <c r="U101" s="186"/>
      <c r="V101" s="186"/>
      <c r="W101" s="186"/>
    </row>
    <row r="102" spans="1:28" ht="12.5" hidden="1">
      <c r="A102" s="213"/>
      <c r="B102" s="213"/>
      <c r="C102" s="210"/>
      <c r="D102" s="297"/>
      <c r="E102" s="186" t="s">
        <v>59</v>
      </c>
      <c r="F102" s="186" t="s">
        <v>2723</v>
      </c>
      <c r="G102" s="186" t="s">
        <v>683</v>
      </c>
      <c r="H102" s="186" t="s">
        <v>682</v>
      </c>
      <c r="I102" s="186"/>
      <c r="J102" s="186"/>
      <c r="K102" s="186" t="s">
        <v>680</v>
      </c>
      <c r="L102" s="123"/>
      <c r="M102" s="186"/>
      <c r="N102" s="186"/>
      <c r="O102" s="186"/>
      <c r="P102" s="186"/>
      <c r="Q102" s="186"/>
      <c r="R102" s="186"/>
      <c r="S102" s="186"/>
      <c r="T102" s="186" t="s">
        <v>2722</v>
      </c>
      <c r="U102" s="186"/>
      <c r="V102" s="186"/>
      <c r="W102" s="186"/>
    </row>
    <row r="103" spans="1:28" ht="12.5" hidden="1">
      <c r="A103" s="213"/>
      <c r="B103" s="213"/>
      <c r="C103" s="210"/>
      <c r="D103" s="297"/>
      <c r="E103" s="186" t="s">
        <v>55</v>
      </c>
      <c r="F103" s="186" t="s">
        <v>2724</v>
      </c>
      <c r="G103" s="186" t="s">
        <v>683</v>
      </c>
      <c r="H103" s="186" t="s">
        <v>682</v>
      </c>
      <c r="I103" s="186"/>
      <c r="J103" s="186"/>
      <c r="K103" s="186" t="s">
        <v>680</v>
      </c>
      <c r="L103" s="123"/>
      <c r="M103" s="186"/>
      <c r="N103" s="186"/>
      <c r="O103" s="186"/>
      <c r="P103" s="186"/>
      <c r="Q103" s="186"/>
      <c r="R103" s="186"/>
      <c r="S103" s="186"/>
      <c r="T103" s="186" t="s">
        <v>2722</v>
      </c>
      <c r="U103" s="186"/>
      <c r="V103" s="186"/>
      <c r="W103" s="186"/>
    </row>
    <row r="104" spans="1:28" ht="12.5" hidden="1">
      <c r="A104" s="213"/>
      <c r="B104" s="213"/>
      <c r="C104" s="210"/>
      <c r="D104" s="297"/>
      <c r="E104" s="186" t="s">
        <v>55</v>
      </c>
      <c r="F104" s="186" t="s">
        <v>2725</v>
      </c>
      <c r="G104" s="186" t="s">
        <v>683</v>
      </c>
      <c r="H104" s="186" t="s">
        <v>682</v>
      </c>
      <c r="I104" s="186"/>
      <c r="J104" s="186"/>
      <c r="K104" s="186" t="s">
        <v>680</v>
      </c>
      <c r="L104" s="123"/>
      <c r="M104" s="186"/>
      <c r="N104" s="186"/>
      <c r="O104" s="186"/>
      <c r="P104" s="186"/>
      <c r="Q104" s="186"/>
      <c r="R104" s="186"/>
      <c r="S104" s="186"/>
      <c r="T104" s="186" t="s">
        <v>2722</v>
      </c>
      <c r="U104" s="186"/>
      <c r="V104" s="186"/>
      <c r="W104" s="186"/>
    </row>
    <row r="105" spans="1:28" ht="12.5" hidden="1">
      <c r="A105" s="213"/>
      <c r="B105" s="213"/>
      <c r="C105" s="210"/>
      <c r="D105" s="297"/>
      <c r="E105" s="186" t="s">
        <v>55</v>
      </c>
      <c r="F105" s="186" t="s">
        <v>2726</v>
      </c>
      <c r="G105" s="186" t="s">
        <v>683</v>
      </c>
      <c r="H105" s="186" t="s">
        <v>682</v>
      </c>
      <c r="I105" s="186"/>
      <c r="J105" s="186"/>
      <c r="K105" s="186" t="s">
        <v>680</v>
      </c>
      <c r="L105" s="186"/>
      <c r="M105" s="186"/>
      <c r="N105" s="186"/>
      <c r="O105" s="186"/>
      <c r="P105" s="186"/>
      <c r="Q105" s="186"/>
      <c r="R105" s="186"/>
      <c r="S105" s="186"/>
      <c r="T105" s="186" t="s">
        <v>2722</v>
      </c>
      <c r="U105" s="186"/>
      <c r="V105" s="186"/>
      <c r="W105" s="186"/>
    </row>
    <row r="106" spans="1:28" ht="12.5" hidden="1">
      <c r="A106" s="213"/>
      <c r="B106" s="213"/>
      <c r="C106" s="210"/>
      <c r="D106" s="297" t="s">
        <v>682</v>
      </c>
      <c r="E106" s="186" t="s">
        <v>59</v>
      </c>
      <c r="F106" s="186" t="s">
        <v>2727</v>
      </c>
      <c r="G106" s="186" t="s">
        <v>683</v>
      </c>
      <c r="H106" s="186" t="s">
        <v>682</v>
      </c>
      <c r="I106" s="186"/>
      <c r="J106" s="186"/>
      <c r="K106" s="186" t="s">
        <v>680</v>
      </c>
      <c r="L106" s="186"/>
      <c r="M106" s="186"/>
      <c r="N106" s="186"/>
      <c r="O106" s="186"/>
      <c r="P106" s="186"/>
      <c r="Q106" s="186"/>
      <c r="R106" s="186"/>
      <c r="S106" s="186"/>
      <c r="T106" s="186" t="s">
        <v>2722</v>
      </c>
      <c r="U106" s="186"/>
      <c r="V106" s="186"/>
      <c r="W106" s="186"/>
    </row>
    <row r="107" spans="1:28" ht="12.5" hidden="1">
      <c r="A107" s="213"/>
      <c r="B107" s="213"/>
      <c r="C107" s="210"/>
      <c r="D107" s="297"/>
      <c r="E107" s="186" t="s">
        <v>55</v>
      </c>
      <c r="F107" s="186" t="s">
        <v>2728</v>
      </c>
      <c r="G107" s="186" t="s">
        <v>683</v>
      </c>
      <c r="H107" s="186" t="s">
        <v>682</v>
      </c>
      <c r="I107" s="186"/>
      <c r="J107" s="186"/>
      <c r="K107" s="186" t="s">
        <v>680</v>
      </c>
      <c r="L107" s="186"/>
      <c r="M107" s="186"/>
      <c r="N107" s="186"/>
      <c r="O107" s="186"/>
      <c r="P107" s="186"/>
      <c r="Q107" s="186"/>
      <c r="R107" s="186"/>
      <c r="S107" s="186"/>
      <c r="T107" s="186" t="s">
        <v>2722</v>
      </c>
      <c r="U107" s="186"/>
      <c r="V107" s="186"/>
      <c r="W107" s="186"/>
    </row>
    <row r="108" spans="1:28" ht="12.5" hidden="1">
      <c r="A108" s="213"/>
      <c r="B108" s="213"/>
      <c r="C108" s="210"/>
      <c r="D108" s="297" t="s">
        <v>682</v>
      </c>
      <c r="E108" s="186" t="s">
        <v>59</v>
      </c>
      <c r="F108" s="186" t="s">
        <v>2729</v>
      </c>
      <c r="G108" s="186" t="s">
        <v>683</v>
      </c>
      <c r="H108" s="186" t="s">
        <v>682</v>
      </c>
      <c r="I108" s="186"/>
      <c r="J108" s="186"/>
      <c r="K108" s="186" t="s">
        <v>680</v>
      </c>
      <c r="L108" s="186"/>
      <c r="M108" s="186"/>
      <c r="N108" s="186"/>
      <c r="O108" s="186"/>
      <c r="P108" s="186"/>
      <c r="Q108" s="186"/>
      <c r="R108" s="186"/>
      <c r="S108" s="186"/>
      <c r="T108" s="186" t="s">
        <v>2722</v>
      </c>
      <c r="U108" s="186"/>
      <c r="V108" s="186"/>
      <c r="W108" s="186"/>
    </row>
    <row r="109" spans="1:28" ht="12.5" hidden="1">
      <c r="A109" s="213"/>
      <c r="B109" s="213"/>
      <c r="C109" s="210"/>
      <c r="D109" s="297" t="s">
        <v>682</v>
      </c>
      <c r="E109" s="186" t="s">
        <v>59</v>
      </c>
      <c r="F109" s="186" t="s">
        <v>2730</v>
      </c>
      <c r="G109" s="186" t="s">
        <v>683</v>
      </c>
      <c r="H109" s="186" t="s">
        <v>682</v>
      </c>
      <c r="I109" s="186"/>
      <c r="J109" s="186"/>
      <c r="K109" s="186" t="s">
        <v>680</v>
      </c>
      <c r="L109" s="186"/>
      <c r="M109" s="186"/>
      <c r="N109" s="186"/>
      <c r="O109" s="186"/>
      <c r="P109" s="186"/>
      <c r="Q109" s="186"/>
      <c r="R109" s="186"/>
      <c r="S109" s="186"/>
      <c r="T109" s="186" t="s">
        <v>2722</v>
      </c>
      <c r="U109" s="186"/>
      <c r="V109" s="186"/>
      <c r="W109" s="186"/>
    </row>
    <row r="110" spans="1:28" ht="12.5" hidden="1">
      <c r="A110" s="213"/>
      <c r="B110" s="213"/>
      <c r="C110" s="210"/>
      <c r="D110" s="297"/>
      <c r="E110" s="186" t="s">
        <v>55</v>
      </c>
      <c r="F110" s="186" t="s">
        <v>2731</v>
      </c>
      <c r="G110" s="186" t="s">
        <v>683</v>
      </c>
      <c r="H110" s="186" t="s">
        <v>682</v>
      </c>
      <c r="I110" s="186"/>
      <c r="J110" s="186"/>
      <c r="K110" s="186" t="s">
        <v>680</v>
      </c>
      <c r="L110" s="186"/>
      <c r="M110" s="186"/>
      <c r="N110" s="186"/>
      <c r="O110" s="186"/>
      <c r="P110" s="186"/>
      <c r="Q110" s="186"/>
      <c r="R110" s="186"/>
      <c r="S110" s="186"/>
      <c r="T110" s="186" t="s">
        <v>2722</v>
      </c>
      <c r="U110" s="186"/>
      <c r="V110" s="186"/>
      <c r="W110" s="186"/>
    </row>
    <row r="111" spans="1:28" ht="12.5" hidden="1">
      <c r="A111" s="213"/>
      <c r="B111" s="213"/>
      <c r="C111" s="210"/>
      <c r="D111" s="297"/>
      <c r="E111" s="186" t="s">
        <v>55</v>
      </c>
      <c r="F111" s="186" t="s">
        <v>2732</v>
      </c>
      <c r="G111" s="186" t="s">
        <v>683</v>
      </c>
      <c r="H111" s="186" t="s">
        <v>682</v>
      </c>
      <c r="I111" s="186"/>
      <c r="J111" s="186"/>
      <c r="K111" s="186" t="s">
        <v>680</v>
      </c>
      <c r="L111" s="186"/>
      <c r="M111" s="186"/>
      <c r="N111" s="186"/>
      <c r="O111" s="186"/>
      <c r="P111" s="186"/>
      <c r="Q111" s="186"/>
      <c r="R111" s="186"/>
      <c r="S111" s="186"/>
      <c r="T111" s="186" t="s">
        <v>2722</v>
      </c>
      <c r="U111" s="186"/>
      <c r="V111" s="186"/>
      <c r="W111" s="186"/>
    </row>
    <row r="112" spans="1:28" ht="12.5" hidden="1">
      <c r="A112" s="213"/>
      <c r="B112" s="213"/>
      <c r="C112" s="210"/>
      <c r="D112" s="297" t="s">
        <v>682</v>
      </c>
      <c r="E112" s="186" t="s">
        <v>59</v>
      </c>
      <c r="F112" s="186" t="s">
        <v>2733</v>
      </c>
      <c r="G112" s="186" t="s">
        <v>683</v>
      </c>
      <c r="H112" s="186" t="s">
        <v>682</v>
      </c>
      <c r="I112" s="186"/>
      <c r="J112" s="186"/>
      <c r="K112" s="186" t="s">
        <v>680</v>
      </c>
      <c r="L112" s="186"/>
      <c r="M112" s="186"/>
      <c r="N112" s="186"/>
      <c r="O112" s="186"/>
      <c r="P112" s="186"/>
      <c r="Q112" s="186"/>
      <c r="R112" s="186"/>
      <c r="S112" s="186"/>
      <c r="T112" s="186" t="s">
        <v>2722</v>
      </c>
      <c r="U112" s="186"/>
      <c r="V112" s="186"/>
      <c r="W112" s="186"/>
    </row>
    <row r="113" spans="1:28" ht="12.5" hidden="1">
      <c r="A113" s="213"/>
      <c r="B113" s="213"/>
      <c r="C113" s="210"/>
      <c r="D113" s="297" t="s">
        <v>682</v>
      </c>
      <c r="E113" s="186" t="s">
        <v>59</v>
      </c>
      <c r="F113" s="186" t="s">
        <v>2734</v>
      </c>
      <c r="G113" s="186" t="s">
        <v>683</v>
      </c>
      <c r="H113" s="186" t="s">
        <v>682</v>
      </c>
      <c r="I113" s="186"/>
      <c r="J113" s="186"/>
      <c r="K113" s="186" t="s">
        <v>680</v>
      </c>
      <c r="L113" s="186"/>
      <c r="M113" s="186"/>
      <c r="N113" s="186"/>
      <c r="O113" s="186"/>
      <c r="P113" s="186"/>
      <c r="Q113" s="186"/>
      <c r="R113" s="186"/>
      <c r="S113" s="186"/>
      <c r="T113" s="186" t="s">
        <v>2722</v>
      </c>
      <c r="U113" s="186"/>
      <c r="V113" s="186"/>
      <c r="W113" s="186"/>
    </row>
    <row r="114" spans="1:28" ht="12.5" hidden="1">
      <c r="A114" s="213"/>
      <c r="B114" s="213"/>
      <c r="C114" s="210"/>
      <c r="D114" s="297"/>
      <c r="E114" s="186" t="s">
        <v>55</v>
      </c>
      <c r="F114" s="186" t="s">
        <v>2735</v>
      </c>
      <c r="G114" s="186" t="s">
        <v>683</v>
      </c>
      <c r="H114" s="186" t="s">
        <v>682</v>
      </c>
      <c r="I114" s="186"/>
      <c r="J114" s="186"/>
      <c r="K114" s="186" t="s">
        <v>680</v>
      </c>
      <c r="L114" s="186"/>
      <c r="M114" s="186"/>
      <c r="N114" s="186"/>
      <c r="O114" s="186"/>
      <c r="P114" s="186"/>
      <c r="Q114" s="186"/>
      <c r="R114" s="186"/>
      <c r="S114" s="186"/>
      <c r="T114" s="186" t="s">
        <v>2722</v>
      </c>
      <c r="U114" s="186"/>
      <c r="V114" s="186"/>
      <c r="W114" s="186"/>
    </row>
    <row r="115" spans="1:28" ht="12.5" hidden="1">
      <c r="A115" s="213"/>
      <c r="B115" s="213"/>
      <c r="C115" s="210"/>
      <c r="D115" s="297" t="s">
        <v>682</v>
      </c>
      <c r="E115" s="186" t="s">
        <v>59</v>
      </c>
      <c r="F115" s="186" t="s">
        <v>2736</v>
      </c>
      <c r="G115" s="186" t="s">
        <v>683</v>
      </c>
      <c r="H115" s="186" t="s">
        <v>682</v>
      </c>
      <c r="I115" s="186"/>
      <c r="J115" s="186"/>
      <c r="K115" s="186" t="s">
        <v>680</v>
      </c>
      <c r="L115" s="186"/>
      <c r="M115" s="186"/>
      <c r="N115" s="186"/>
      <c r="O115" s="186"/>
      <c r="P115" s="186"/>
      <c r="Q115" s="186"/>
      <c r="R115" s="186"/>
      <c r="S115" s="186"/>
      <c r="T115" s="186" t="s">
        <v>2722</v>
      </c>
      <c r="U115" s="186"/>
      <c r="V115" s="186"/>
      <c r="W115" s="186"/>
    </row>
    <row r="116" spans="1:28" ht="25" hidden="1">
      <c r="A116" s="213"/>
      <c r="B116" s="213"/>
      <c r="C116" s="210"/>
      <c r="D116" s="297"/>
      <c r="E116" s="186" t="s">
        <v>55</v>
      </c>
      <c r="F116" s="186" t="s">
        <v>848</v>
      </c>
      <c r="G116" s="186" t="s">
        <v>683</v>
      </c>
      <c r="H116" s="186" t="s">
        <v>682</v>
      </c>
      <c r="I116" s="186"/>
      <c r="J116" s="186"/>
      <c r="K116" s="186" t="s">
        <v>680</v>
      </c>
      <c r="L116" s="123"/>
      <c r="M116" s="186"/>
      <c r="N116" s="186"/>
      <c r="O116" s="186"/>
      <c r="P116" s="123"/>
      <c r="Q116" s="186"/>
      <c r="R116" s="186"/>
      <c r="S116" s="186">
        <v>0</v>
      </c>
      <c r="T116" s="186" t="s">
        <v>2738</v>
      </c>
      <c r="U116" s="186"/>
      <c r="V116" s="186"/>
      <c r="W116" s="186"/>
      <c r="X116">
        <v>86</v>
      </c>
      <c r="Z116" t="s">
        <v>2645</v>
      </c>
      <c r="AA116" s="30">
        <v>43538</v>
      </c>
      <c r="AB116" t="s">
        <v>2646</v>
      </c>
    </row>
    <row r="117" spans="1:28" ht="12.5" hidden="1">
      <c r="A117" s="213"/>
      <c r="B117" s="213"/>
      <c r="C117" s="210"/>
      <c r="D117" s="297"/>
      <c r="E117" s="186" t="s">
        <v>55</v>
      </c>
      <c r="F117" s="186" t="s">
        <v>2739</v>
      </c>
      <c r="G117" s="186" t="s">
        <v>683</v>
      </c>
      <c r="H117" s="186" t="s">
        <v>682</v>
      </c>
      <c r="I117" s="186"/>
      <c r="J117" s="186"/>
      <c r="K117" s="186" t="s">
        <v>680</v>
      </c>
      <c r="L117" s="123"/>
      <c r="M117" s="186"/>
      <c r="N117" s="186"/>
      <c r="O117" s="186"/>
      <c r="P117" s="186"/>
      <c r="Q117" s="186"/>
      <c r="R117" s="186"/>
      <c r="S117" s="186"/>
      <c r="T117" s="186" t="s">
        <v>2740</v>
      </c>
      <c r="U117" s="186"/>
      <c r="V117" s="186"/>
      <c r="W117" s="186"/>
    </row>
    <row r="118" spans="1:28" ht="25" hidden="1">
      <c r="A118" s="213"/>
      <c r="B118" s="213"/>
      <c r="C118" s="210"/>
      <c r="D118" s="297" t="s">
        <v>682</v>
      </c>
      <c r="E118" s="186" t="s">
        <v>59</v>
      </c>
      <c r="F118" s="186" t="s">
        <v>750</v>
      </c>
      <c r="G118" s="186" t="s">
        <v>683</v>
      </c>
      <c r="H118" s="186" t="s">
        <v>682</v>
      </c>
      <c r="I118" s="186"/>
      <c r="J118" s="186"/>
      <c r="K118" s="186" t="s">
        <v>680</v>
      </c>
      <c r="L118" s="123"/>
      <c r="M118" s="186"/>
      <c r="N118" s="186"/>
      <c r="O118" s="186"/>
      <c r="P118" s="123"/>
      <c r="Q118" s="186"/>
      <c r="R118" s="186"/>
      <c r="S118" s="186">
        <v>8.4602000000000004</v>
      </c>
      <c r="T118" s="186" t="s">
        <v>2743</v>
      </c>
      <c r="U118" s="186"/>
      <c r="V118" s="186"/>
      <c r="W118" s="186"/>
      <c r="X118">
        <v>37</v>
      </c>
      <c r="Z118" t="s">
        <v>2645</v>
      </c>
      <c r="AA118" s="30">
        <v>43538</v>
      </c>
      <c r="AB118" t="s">
        <v>2646</v>
      </c>
    </row>
    <row r="119" spans="1:28" ht="25" hidden="1">
      <c r="A119" s="213"/>
      <c r="B119" s="213"/>
      <c r="C119" s="210"/>
      <c r="D119" s="297"/>
      <c r="E119" s="186" t="s">
        <v>55</v>
      </c>
      <c r="F119" s="186" t="s">
        <v>752</v>
      </c>
      <c r="G119" s="186" t="s">
        <v>329</v>
      </c>
      <c r="H119" s="186" t="s">
        <v>682</v>
      </c>
      <c r="I119" s="186"/>
      <c r="J119" s="186"/>
      <c r="K119" s="186" t="s">
        <v>680</v>
      </c>
      <c r="L119" s="123"/>
      <c r="M119" s="186"/>
      <c r="N119" s="186"/>
      <c r="O119" s="186"/>
      <c r="P119" s="123"/>
      <c r="Q119" s="186"/>
      <c r="R119" s="186"/>
      <c r="S119" s="186">
        <v>176.40039999999999</v>
      </c>
      <c r="T119" s="186" t="s">
        <v>2743</v>
      </c>
      <c r="U119" s="186"/>
      <c r="V119" s="186"/>
      <c r="W119" s="186"/>
      <c r="X119">
        <v>38</v>
      </c>
      <c r="Z119" t="s">
        <v>2645</v>
      </c>
      <c r="AA119" s="30">
        <v>43538</v>
      </c>
      <c r="AB119" t="s">
        <v>2646</v>
      </c>
    </row>
    <row r="120" spans="1:28" ht="25" hidden="1">
      <c r="A120" s="213"/>
      <c r="B120" s="213"/>
      <c r="C120" s="210"/>
      <c r="D120" s="297"/>
      <c r="E120" s="186" t="s">
        <v>55</v>
      </c>
      <c r="F120" s="186" t="s">
        <v>714</v>
      </c>
      <c r="G120" s="186" t="s">
        <v>683</v>
      </c>
      <c r="H120" s="186" t="s">
        <v>682</v>
      </c>
      <c r="I120" s="186"/>
      <c r="J120" s="186"/>
      <c r="K120" s="186" t="s">
        <v>680</v>
      </c>
      <c r="L120" s="123"/>
      <c r="M120" s="186"/>
      <c r="N120" s="186"/>
      <c r="O120" s="186"/>
      <c r="P120" s="123"/>
      <c r="Q120" s="186"/>
      <c r="R120" s="186"/>
      <c r="S120" s="186">
        <v>0</v>
      </c>
      <c r="T120" s="186" t="s">
        <v>2743</v>
      </c>
      <c r="U120" s="186"/>
      <c r="V120" s="186"/>
      <c r="W120" s="186"/>
      <c r="X120">
        <v>19</v>
      </c>
      <c r="Z120" t="s">
        <v>2645</v>
      </c>
      <c r="AA120" s="30">
        <v>43538</v>
      </c>
      <c r="AB120" t="s">
        <v>2646</v>
      </c>
    </row>
    <row r="121" spans="1:28" ht="25" hidden="1">
      <c r="A121" s="213"/>
      <c r="B121" s="213"/>
      <c r="C121" s="210"/>
      <c r="D121" s="297"/>
      <c r="E121" s="186" t="s">
        <v>55</v>
      </c>
      <c r="F121" s="186" t="s">
        <v>744</v>
      </c>
      <c r="G121" s="186" t="s">
        <v>683</v>
      </c>
      <c r="H121" s="186" t="s">
        <v>682</v>
      </c>
      <c r="I121" s="186"/>
      <c r="J121" s="186"/>
      <c r="K121" s="186" t="s">
        <v>680</v>
      </c>
      <c r="L121" s="123"/>
      <c r="M121" s="186"/>
      <c r="N121" s="186"/>
      <c r="O121" s="186"/>
      <c r="P121" s="123"/>
      <c r="Q121" s="186"/>
      <c r="R121" s="186"/>
      <c r="S121" s="186">
        <v>15.2768</v>
      </c>
      <c r="T121" s="186" t="s">
        <v>2743</v>
      </c>
      <c r="U121" s="186"/>
      <c r="V121" s="186"/>
      <c r="W121" s="186"/>
      <c r="X121">
        <v>34</v>
      </c>
      <c r="Z121" t="s">
        <v>2645</v>
      </c>
      <c r="AA121" s="30">
        <v>43538</v>
      </c>
      <c r="AB121" t="s">
        <v>2646</v>
      </c>
    </row>
    <row r="122" spans="1:28" ht="25" hidden="1">
      <c r="A122" s="213"/>
      <c r="B122" s="213"/>
      <c r="C122" s="210"/>
      <c r="D122" s="297"/>
      <c r="E122" s="186" t="s">
        <v>55</v>
      </c>
      <c r="F122" s="186" t="s">
        <v>716</v>
      </c>
      <c r="G122" s="186" t="s">
        <v>683</v>
      </c>
      <c r="H122" s="186" t="s">
        <v>682</v>
      </c>
      <c r="I122" s="186"/>
      <c r="J122" s="186"/>
      <c r="K122" s="186" t="s">
        <v>680</v>
      </c>
      <c r="L122" s="123"/>
      <c r="M122" s="186"/>
      <c r="N122" s="186"/>
      <c r="O122" s="186"/>
      <c r="P122" s="123"/>
      <c r="Q122" s="186"/>
      <c r="R122" s="186"/>
      <c r="S122" s="186">
        <v>0</v>
      </c>
      <c r="T122" s="186" t="s">
        <v>2743</v>
      </c>
      <c r="U122" s="186"/>
      <c r="V122" s="186"/>
      <c r="W122" s="186"/>
      <c r="X122">
        <v>20</v>
      </c>
      <c r="Z122" t="s">
        <v>2645</v>
      </c>
      <c r="AA122" s="30">
        <v>43538</v>
      </c>
      <c r="AB122" t="s">
        <v>2646</v>
      </c>
    </row>
    <row r="123" spans="1:28" ht="25" hidden="1">
      <c r="A123" s="213"/>
      <c r="B123" s="213"/>
      <c r="C123" s="210"/>
      <c r="D123" s="297"/>
      <c r="E123" s="186" t="s">
        <v>55</v>
      </c>
      <c r="F123" s="186" t="s">
        <v>718</v>
      </c>
      <c r="G123" s="186" t="s">
        <v>683</v>
      </c>
      <c r="H123" s="186" t="s">
        <v>682</v>
      </c>
      <c r="I123" s="186"/>
      <c r="J123" s="186"/>
      <c r="K123" s="186" t="s">
        <v>680</v>
      </c>
      <c r="L123" s="123"/>
      <c r="M123" s="186"/>
      <c r="N123" s="186"/>
      <c r="O123" s="186"/>
      <c r="P123" s="123"/>
      <c r="Q123" s="186"/>
      <c r="R123" s="186"/>
      <c r="S123" s="186">
        <v>0</v>
      </c>
      <c r="T123" s="186" t="s">
        <v>2743</v>
      </c>
      <c r="U123" s="186"/>
      <c r="V123" s="186"/>
      <c r="W123" s="186"/>
      <c r="X123">
        <v>21</v>
      </c>
      <c r="Z123" t="s">
        <v>2645</v>
      </c>
      <c r="AA123" s="30">
        <v>43538</v>
      </c>
      <c r="AB123" t="s">
        <v>2646</v>
      </c>
    </row>
    <row r="124" spans="1:28" ht="25" hidden="1">
      <c r="A124" s="213"/>
      <c r="B124" s="213"/>
      <c r="C124" s="210"/>
      <c r="D124" s="297"/>
      <c r="E124" s="186" t="s">
        <v>55</v>
      </c>
      <c r="F124" s="186" t="s">
        <v>746</v>
      </c>
      <c r="G124" s="186" t="s">
        <v>683</v>
      </c>
      <c r="H124" s="186" t="s">
        <v>682</v>
      </c>
      <c r="I124" s="186"/>
      <c r="J124" s="186"/>
      <c r="K124" s="186" t="s">
        <v>680</v>
      </c>
      <c r="L124" s="123"/>
      <c r="M124" s="186"/>
      <c r="N124" s="186"/>
      <c r="O124" s="186"/>
      <c r="P124" s="123"/>
      <c r="Q124" s="186"/>
      <c r="R124" s="186"/>
      <c r="S124" s="186">
        <v>0</v>
      </c>
      <c r="T124" s="186" t="s">
        <v>2743</v>
      </c>
      <c r="U124" s="186"/>
      <c r="V124" s="186"/>
      <c r="W124" s="186"/>
      <c r="X124">
        <v>35</v>
      </c>
      <c r="Z124" t="s">
        <v>2645</v>
      </c>
      <c r="AA124" s="30">
        <v>43538</v>
      </c>
      <c r="AB124" t="s">
        <v>2646</v>
      </c>
    </row>
    <row r="125" spans="1:28" ht="25" hidden="1">
      <c r="A125" s="213"/>
      <c r="B125" s="213"/>
      <c r="C125" s="210"/>
      <c r="D125" s="297"/>
      <c r="E125" s="186" t="s">
        <v>55</v>
      </c>
      <c r="F125" s="186" t="s">
        <v>694</v>
      </c>
      <c r="G125" s="186" t="s">
        <v>683</v>
      </c>
      <c r="H125" s="186" t="s">
        <v>682</v>
      </c>
      <c r="I125" s="186"/>
      <c r="J125" s="186"/>
      <c r="K125" s="186" t="s">
        <v>680</v>
      </c>
      <c r="L125" s="123"/>
      <c r="M125" s="186"/>
      <c r="N125" s="186"/>
      <c r="O125" s="186"/>
      <c r="P125" s="123"/>
      <c r="Q125" s="186"/>
      <c r="R125" s="186"/>
      <c r="S125" s="186">
        <v>-0.25580000000000003</v>
      </c>
      <c r="T125" s="186" t="s">
        <v>2743</v>
      </c>
      <c r="U125" s="186"/>
      <c r="V125" s="186"/>
      <c r="W125" s="186"/>
      <c r="X125">
        <v>9</v>
      </c>
      <c r="Z125" t="s">
        <v>2645</v>
      </c>
      <c r="AA125" s="30">
        <v>43538</v>
      </c>
      <c r="AB125" t="s">
        <v>2646</v>
      </c>
    </row>
    <row r="126" spans="1:28" ht="25" hidden="1">
      <c r="A126" s="213"/>
      <c r="B126" s="213"/>
      <c r="C126" s="210"/>
      <c r="D126" s="297"/>
      <c r="E126" s="186" t="s">
        <v>55</v>
      </c>
      <c r="F126" s="186" t="s">
        <v>696</v>
      </c>
      <c r="G126" s="186" t="s">
        <v>683</v>
      </c>
      <c r="H126" s="186" t="s">
        <v>682</v>
      </c>
      <c r="I126" s="186"/>
      <c r="J126" s="186"/>
      <c r="K126" s="186" t="s">
        <v>680</v>
      </c>
      <c r="L126" s="123"/>
      <c r="M126" s="186"/>
      <c r="N126" s="186"/>
      <c r="O126" s="186"/>
      <c r="P126" s="123"/>
      <c r="Q126" s="186"/>
      <c r="R126" s="186"/>
      <c r="S126" s="186">
        <v>4.2366999999999999</v>
      </c>
      <c r="T126" s="186" t="s">
        <v>2743</v>
      </c>
      <c r="U126" s="186"/>
      <c r="V126" s="186"/>
      <c r="W126" s="186"/>
      <c r="X126">
        <v>10</v>
      </c>
      <c r="Z126" t="s">
        <v>2645</v>
      </c>
      <c r="AA126" s="30">
        <v>43538</v>
      </c>
      <c r="AB126" t="s">
        <v>2646</v>
      </c>
    </row>
    <row r="127" spans="1:28" ht="12.5" hidden="1">
      <c r="A127" s="213"/>
      <c r="B127" s="213"/>
      <c r="C127" s="210"/>
      <c r="D127" s="297"/>
      <c r="E127" s="186" t="s">
        <v>55</v>
      </c>
      <c r="F127" s="186" t="s">
        <v>2752</v>
      </c>
      <c r="G127" s="186" t="s">
        <v>683</v>
      </c>
      <c r="H127" s="186" t="s">
        <v>682</v>
      </c>
      <c r="I127" s="186"/>
      <c r="J127" s="186"/>
      <c r="K127" s="186" t="s">
        <v>680</v>
      </c>
      <c r="L127" s="186"/>
      <c r="M127" s="186"/>
      <c r="N127" s="186"/>
      <c r="O127" s="186"/>
      <c r="P127" s="186"/>
      <c r="Q127" s="186"/>
      <c r="R127" s="186"/>
      <c r="S127" s="186"/>
      <c r="T127" s="186" t="s">
        <v>2743</v>
      </c>
      <c r="U127" s="186"/>
      <c r="V127" s="186"/>
      <c r="W127" s="186"/>
    </row>
    <row r="128" spans="1:28" ht="25" hidden="1">
      <c r="A128" s="213"/>
      <c r="B128" s="213"/>
      <c r="C128" s="210"/>
      <c r="D128" s="297" t="s">
        <v>682</v>
      </c>
      <c r="E128" s="186" t="s">
        <v>59</v>
      </c>
      <c r="F128" s="186" t="s">
        <v>726</v>
      </c>
      <c r="G128" s="186" t="s">
        <v>683</v>
      </c>
      <c r="H128" s="186" t="s">
        <v>682</v>
      </c>
      <c r="I128" s="186"/>
      <c r="J128" s="186"/>
      <c r="K128" s="186" t="s">
        <v>680</v>
      </c>
      <c r="L128" s="123"/>
      <c r="M128" s="186"/>
      <c r="N128" s="186"/>
      <c r="O128" s="186"/>
      <c r="P128" s="123"/>
      <c r="Q128" s="186"/>
      <c r="R128" s="186"/>
      <c r="S128" s="186">
        <v>2.9552</v>
      </c>
      <c r="T128" s="186" t="s">
        <v>2743</v>
      </c>
      <c r="U128" s="186"/>
      <c r="V128" s="186"/>
      <c r="W128" s="186"/>
      <c r="X128">
        <v>25</v>
      </c>
      <c r="Z128" t="s">
        <v>2645</v>
      </c>
      <c r="AA128" s="30">
        <v>43538</v>
      </c>
      <c r="AB128" t="s">
        <v>2646</v>
      </c>
    </row>
    <row r="129" spans="1:28" ht="12.5" hidden="1">
      <c r="A129" s="213"/>
      <c r="B129" s="213"/>
      <c r="C129" s="210"/>
      <c r="D129" s="297"/>
      <c r="E129" s="186" t="s">
        <v>55</v>
      </c>
      <c r="F129" s="186" t="s">
        <v>2754</v>
      </c>
      <c r="G129" s="186" t="s">
        <v>683</v>
      </c>
      <c r="H129" s="186" t="s">
        <v>682</v>
      </c>
      <c r="I129" s="186"/>
      <c r="J129" s="186"/>
      <c r="K129" s="186" t="s">
        <v>680</v>
      </c>
      <c r="L129" s="186"/>
      <c r="M129" s="186"/>
      <c r="N129" s="186"/>
      <c r="O129" s="186"/>
      <c r="P129" s="186"/>
      <c r="Q129" s="186"/>
      <c r="R129" s="186"/>
      <c r="S129" s="186"/>
      <c r="T129" s="186" t="s">
        <v>2743</v>
      </c>
      <c r="U129" s="186"/>
      <c r="V129" s="186"/>
      <c r="W129" s="186"/>
    </row>
    <row r="130" spans="1:28" ht="25" hidden="1">
      <c r="A130" s="213"/>
      <c r="B130" s="213"/>
      <c r="C130" s="210"/>
      <c r="D130" s="297"/>
      <c r="E130" s="186" t="s">
        <v>55</v>
      </c>
      <c r="F130" s="186" t="s">
        <v>748</v>
      </c>
      <c r="G130" s="186" t="s">
        <v>683</v>
      </c>
      <c r="H130" s="186" t="s">
        <v>682</v>
      </c>
      <c r="I130" s="186"/>
      <c r="J130" s="186"/>
      <c r="K130" s="186" t="s">
        <v>680</v>
      </c>
      <c r="L130" s="123"/>
      <c r="M130" s="186"/>
      <c r="N130" s="186"/>
      <c r="O130" s="186"/>
      <c r="P130" s="123"/>
      <c r="Q130" s="186"/>
      <c r="R130" s="186"/>
      <c r="S130" s="186">
        <v>0</v>
      </c>
      <c r="T130" s="186" t="s">
        <v>2743</v>
      </c>
      <c r="U130" s="186"/>
      <c r="V130" s="186"/>
      <c r="W130" s="186"/>
      <c r="X130">
        <v>36</v>
      </c>
      <c r="Z130" t="s">
        <v>2645</v>
      </c>
      <c r="AA130" s="30">
        <v>43538</v>
      </c>
      <c r="AB130" t="s">
        <v>2646</v>
      </c>
    </row>
    <row r="131" spans="1:28" ht="25" hidden="1">
      <c r="A131" s="213"/>
      <c r="B131" s="213"/>
      <c r="C131" s="210"/>
      <c r="D131" s="297"/>
      <c r="E131" s="186" t="s">
        <v>55</v>
      </c>
      <c r="F131" s="186" t="s">
        <v>698</v>
      </c>
      <c r="G131" s="186" t="s">
        <v>683</v>
      </c>
      <c r="H131" s="186" t="s">
        <v>682</v>
      </c>
      <c r="I131" s="186"/>
      <c r="J131" s="186"/>
      <c r="K131" s="186" t="s">
        <v>680</v>
      </c>
      <c r="L131" s="123"/>
      <c r="M131" s="186"/>
      <c r="N131" s="186"/>
      <c r="O131" s="186"/>
      <c r="P131" s="123"/>
      <c r="Q131" s="186"/>
      <c r="R131" s="186"/>
      <c r="S131" s="186">
        <v>0</v>
      </c>
      <c r="T131" s="186" t="s">
        <v>2743</v>
      </c>
      <c r="U131" s="186"/>
      <c r="V131" s="186"/>
      <c r="W131" s="186"/>
      <c r="X131">
        <v>11</v>
      </c>
      <c r="Z131" t="s">
        <v>2645</v>
      </c>
      <c r="AA131" s="30">
        <v>43538</v>
      </c>
      <c r="AB131" t="s">
        <v>2646</v>
      </c>
    </row>
    <row r="132" spans="1:28" ht="25" hidden="1">
      <c r="A132" s="213"/>
      <c r="B132" s="213"/>
      <c r="C132" s="210"/>
      <c r="D132" s="297"/>
      <c r="E132" s="186" t="s">
        <v>55</v>
      </c>
      <c r="F132" s="186" t="s">
        <v>728</v>
      </c>
      <c r="G132" s="186" t="s">
        <v>683</v>
      </c>
      <c r="H132" s="186" t="s">
        <v>682</v>
      </c>
      <c r="I132" s="186"/>
      <c r="J132" s="186"/>
      <c r="K132" s="186" t="s">
        <v>680</v>
      </c>
      <c r="L132" s="123"/>
      <c r="M132" s="186"/>
      <c r="N132" s="186"/>
      <c r="O132" s="186"/>
      <c r="P132" s="123"/>
      <c r="Q132" s="186"/>
      <c r="R132" s="186"/>
      <c r="S132" s="186">
        <v>11.4018</v>
      </c>
      <c r="T132" s="186" t="s">
        <v>2743</v>
      </c>
      <c r="U132" s="186"/>
      <c r="V132" s="186"/>
      <c r="W132" s="186"/>
      <c r="X132">
        <v>26</v>
      </c>
      <c r="Z132" t="s">
        <v>2645</v>
      </c>
      <c r="AA132" s="30">
        <v>43538</v>
      </c>
      <c r="AB132" t="s">
        <v>2646</v>
      </c>
    </row>
    <row r="133" spans="1:28" ht="25" hidden="1">
      <c r="A133" s="213"/>
      <c r="B133" s="213"/>
      <c r="C133" s="210"/>
      <c r="D133" s="297"/>
      <c r="E133" s="186" t="s">
        <v>55</v>
      </c>
      <c r="F133" s="186" t="s">
        <v>700</v>
      </c>
      <c r="G133" s="186" t="s">
        <v>683</v>
      </c>
      <c r="H133" s="186" t="s">
        <v>682</v>
      </c>
      <c r="I133" s="186"/>
      <c r="J133" s="186"/>
      <c r="K133" s="186" t="s">
        <v>680</v>
      </c>
      <c r="L133" s="123"/>
      <c r="M133" s="186"/>
      <c r="N133" s="186"/>
      <c r="O133" s="186"/>
      <c r="P133" s="123"/>
      <c r="Q133" s="186"/>
      <c r="R133" s="186"/>
      <c r="S133" s="186">
        <v>-4.7300000000000002E-2</v>
      </c>
      <c r="T133" s="186" t="s">
        <v>2743</v>
      </c>
      <c r="U133" s="186"/>
      <c r="V133" s="186"/>
      <c r="W133" s="186"/>
      <c r="X133">
        <v>12</v>
      </c>
      <c r="Z133" t="s">
        <v>2645</v>
      </c>
      <c r="AA133" s="30">
        <v>43538</v>
      </c>
      <c r="AB133" t="s">
        <v>2646</v>
      </c>
    </row>
    <row r="134" spans="1:28" ht="25" hidden="1">
      <c r="A134" s="213"/>
      <c r="B134" s="213"/>
      <c r="C134" s="210"/>
      <c r="D134" s="297" t="s">
        <v>682</v>
      </c>
      <c r="E134" s="186" t="s">
        <v>59</v>
      </c>
      <c r="F134" s="186" t="s">
        <v>730</v>
      </c>
      <c r="G134" s="186" t="s">
        <v>683</v>
      </c>
      <c r="H134" s="186" t="s">
        <v>682</v>
      </c>
      <c r="I134" s="186"/>
      <c r="J134" s="186"/>
      <c r="K134" s="186" t="s">
        <v>680</v>
      </c>
      <c r="L134" s="123"/>
      <c r="M134" s="186"/>
      <c r="N134" s="186"/>
      <c r="O134" s="186"/>
      <c r="P134" s="123"/>
      <c r="Q134" s="186"/>
      <c r="R134" s="186"/>
      <c r="S134" s="186">
        <v>14.799200000000001</v>
      </c>
      <c r="T134" s="186" t="s">
        <v>2743</v>
      </c>
      <c r="U134" s="186"/>
      <c r="V134" s="186"/>
      <c r="W134" s="186"/>
      <c r="X134">
        <v>27</v>
      </c>
      <c r="Z134" t="s">
        <v>2645</v>
      </c>
      <c r="AA134" s="30">
        <v>43538</v>
      </c>
      <c r="AB134" t="s">
        <v>2646</v>
      </c>
    </row>
    <row r="135" spans="1:28" ht="25" hidden="1">
      <c r="A135" s="213"/>
      <c r="B135" s="213"/>
      <c r="C135" s="210"/>
      <c r="D135" s="297"/>
      <c r="E135" s="186" t="s">
        <v>55</v>
      </c>
      <c r="F135" s="186" t="s">
        <v>702</v>
      </c>
      <c r="G135" s="186" t="s">
        <v>683</v>
      </c>
      <c r="H135" s="186" t="s">
        <v>682</v>
      </c>
      <c r="I135" s="186"/>
      <c r="J135" s="186"/>
      <c r="K135" s="186" t="s">
        <v>680</v>
      </c>
      <c r="L135" s="123"/>
      <c r="M135" s="186"/>
      <c r="N135" s="186"/>
      <c r="O135" s="186"/>
      <c r="P135" s="123"/>
      <c r="Q135" s="186"/>
      <c r="R135" s="186"/>
      <c r="S135" s="186">
        <v>0</v>
      </c>
      <c r="T135" s="186" t="s">
        <v>2743</v>
      </c>
      <c r="U135" s="186"/>
      <c r="V135" s="186"/>
      <c r="W135" s="186"/>
      <c r="X135">
        <v>13</v>
      </c>
      <c r="Z135" t="s">
        <v>2645</v>
      </c>
      <c r="AA135" s="30">
        <v>43538</v>
      </c>
      <c r="AB135" t="s">
        <v>2646</v>
      </c>
    </row>
    <row r="136" spans="1:28" ht="25" hidden="1">
      <c r="A136" s="213"/>
      <c r="B136" s="213"/>
      <c r="C136" s="210"/>
      <c r="D136" s="297"/>
      <c r="E136" s="186" t="s">
        <v>55</v>
      </c>
      <c r="F136" s="186" t="s">
        <v>732</v>
      </c>
      <c r="G136" s="186" t="s">
        <v>683</v>
      </c>
      <c r="H136" s="186" t="s">
        <v>682</v>
      </c>
      <c r="I136" s="186"/>
      <c r="J136" s="186"/>
      <c r="K136" s="186" t="s">
        <v>680</v>
      </c>
      <c r="L136" s="123"/>
      <c r="M136" s="186"/>
      <c r="N136" s="186"/>
      <c r="O136" s="186"/>
      <c r="P136" s="123"/>
      <c r="Q136" s="186"/>
      <c r="R136" s="186"/>
      <c r="S136" s="186">
        <v>9.0669000000000004</v>
      </c>
      <c r="T136" s="186" t="s">
        <v>2743</v>
      </c>
      <c r="U136" s="186"/>
      <c r="V136" s="186"/>
      <c r="W136" s="186"/>
      <c r="X136">
        <v>28</v>
      </c>
      <c r="Z136" t="s">
        <v>2645</v>
      </c>
      <c r="AA136" s="30">
        <v>43538</v>
      </c>
      <c r="AB136" t="s">
        <v>2646</v>
      </c>
    </row>
    <row r="137" spans="1:28" ht="25" hidden="1">
      <c r="A137" s="213"/>
      <c r="B137" s="213"/>
      <c r="C137" s="210"/>
      <c r="D137" s="297"/>
      <c r="E137" s="186" t="s">
        <v>55</v>
      </c>
      <c r="F137" s="186" t="s">
        <v>704</v>
      </c>
      <c r="G137" s="186" t="s">
        <v>683</v>
      </c>
      <c r="H137" s="186" t="s">
        <v>682</v>
      </c>
      <c r="I137" s="186"/>
      <c r="J137" s="186"/>
      <c r="K137" s="186" t="s">
        <v>680</v>
      </c>
      <c r="L137" s="123"/>
      <c r="M137" s="186"/>
      <c r="N137" s="186"/>
      <c r="O137" s="186"/>
      <c r="P137" s="123"/>
      <c r="Q137" s="186"/>
      <c r="R137" s="186"/>
      <c r="S137" s="186">
        <v>0</v>
      </c>
      <c r="T137" s="186" t="s">
        <v>2743</v>
      </c>
      <c r="U137" s="186"/>
      <c r="V137" s="186"/>
      <c r="W137" s="186"/>
      <c r="X137">
        <v>14</v>
      </c>
      <c r="Z137" t="s">
        <v>2645</v>
      </c>
      <c r="AA137" s="30">
        <v>43538</v>
      </c>
      <c r="AB137" t="s">
        <v>2646</v>
      </c>
    </row>
    <row r="138" spans="1:28" ht="25" hidden="1">
      <c r="A138" s="213"/>
      <c r="B138" s="213"/>
      <c r="C138" s="210"/>
      <c r="D138" s="297" t="s">
        <v>682</v>
      </c>
      <c r="E138" s="186" t="s">
        <v>59</v>
      </c>
      <c r="F138" s="186" t="s">
        <v>734</v>
      </c>
      <c r="G138" s="186" t="s">
        <v>683</v>
      </c>
      <c r="H138" s="186" t="s">
        <v>682</v>
      </c>
      <c r="I138" s="186"/>
      <c r="J138" s="186"/>
      <c r="K138" s="186" t="s">
        <v>680</v>
      </c>
      <c r="L138" s="123"/>
      <c r="M138" s="186"/>
      <c r="N138" s="186"/>
      <c r="O138" s="186"/>
      <c r="P138" s="123"/>
      <c r="Q138" s="186"/>
      <c r="R138" s="186"/>
      <c r="S138" s="186">
        <v>8.8818000000000001</v>
      </c>
      <c r="T138" s="186" t="s">
        <v>2743</v>
      </c>
      <c r="U138" s="186"/>
      <c r="V138" s="186"/>
      <c r="W138" s="186"/>
      <c r="X138">
        <v>29</v>
      </c>
      <c r="Z138" t="s">
        <v>2645</v>
      </c>
      <c r="AA138" s="30">
        <v>43538</v>
      </c>
      <c r="AB138" t="s">
        <v>2646</v>
      </c>
    </row>
    <row r="139" spans="1:28" ht="25" hidden="1">
      <c r="A139" s="213"/>
      <c r="B139" s="213"/>
      <c r="C139" s="210"/>
      <c r="D139" s="297"/>
      <c r="E139" s="186" t="s">
        <v>55</v>
      </c>
      <c r="F139" s="186" t="s">
        <v>706</v>
      </c>
      <c r="G139" s="186" t="s">
        <v>683</v>
      </c>
      <c r="H139" s="186" t="s">
        <v>682</v>
      </c>
      <c r="I139" s="186"/>
      <c r="J139" s="186"/>
      <c r="K139" s="186" t="s">
        <v>680</v>
      </c>
      <c r="L139" s="123"/>
      <c r="M139" s="186"/>
      <c r="N139" s="186"/>
      <c r="O139" s="186"/>
      <c r="P139" s="123"/>
      <c r="Q139" s="186"/>
      <c r="R139" s="186"/>
      <c r="S139" s="186">
        <v>-4.4539999999999997</v>
      </c>
      <c r="T139" s="186" t="s">
        <v>2743</v>
      </c>
      <c r="U139" s="186"/>
      <c r="V139" s="186"/>
      <c r="W139" s="186"/>
      <c r="X139">
        <v>15</v>
      </c>
      <c r="Z139" t="s">
        <v>2645</v>
      </c>
      <c r="AA139" s="30">
        <v>43538</v>
      </c>
      <c r="AB139" t="s">
        <v>2646</v>
      </c>
    </row>
    <row r="140" spans="1:28" ht="25" hidden="1">
      <c r="A140" s="213"/>
      <c r="B140" s="213"/>
      <c r="C140" s="210"/>
      <c r="D140" s="297"/>
      <c r="E140" s="186" t="s">
        <v>55</v>
      </c>
      <c r="F140" s="186" t="s">
        <v>736</v>
      </c>
      <c r="G140" s="186" t="s">
        <v>683</v>
      </c>
      <c r="H140" s="186" t="s">
        <v>682</v>
      </c>
      <c r="I140" s="186"/>
      <c r="J140" s="186"/>
      <c r="K140" s="186" t="s">
        <v>680</v>
      </c>
      <c r="L140" s="123"/>
      <c r="M140" s="186"/>
      <c r="N140" s="186"/>
      <c r="O140" s="186"/>
      <c r="P140" s="123"/>
      <c r="Q140" s="186"/>
      <c r="R140" s="186"/>
      <c r="S140" s="186">
        <v>10.616899999999999</v>
      </c>
      <c r="T140" s="186" t="s">
        <v>2743</v>
      </c>
      <c r="U140" s="186"/>
      <c r="V140" s="186"/>
      <c r="W140" s="186"/>
      <c r="X140">
        <v>30</v>
      </c>
      <c r="Z140" t="s">
        <v>2645</v>
      </c>
      <c r="AA140" s="30">
        <v>43538</v>
      </c>
      <c r="AB140" t="s">
        <v>2646</v>
      </c>
    </row>
    <row r="141" spans="1:28" ht="25" hidden="1">
      <c r="A141" s="213"/>
      <c r="B141" s="213"/>
      <c r="C141" s="210"/>
      <c r="D141" s="297"/>
      <c r="E141" s="186" t="s">
        <v>55</v>
      </c>
      <c r="F141" s="186" t="s">
        <v>708</v>
      </c>
      <c r="G141" s="186" t="s">
        <v>683</v>
      </c>
      <c r="H141" s="186" t="s">
        <v>682</v>
      </c>
      <c r="I141" s="186"/>
      <c r="J141" s="186"/>
      <c r="K141" s="186" t="s">
        <v>680</v>
      </c>
      <c r="L141" s="123"/>
      <c r="M141" s="186"/>
      <c r="N141" s="186"/>
      <c r="O141" s="186"/>
      <c r="P141" s="123"/>
      <c r="Q141" s="186"/>
      <c r="R141" s="186"/>
      <c r="S141" s="186">
        <v>0</v>
      </c>
      <c r="T141" s="186" t="s">
        <v>2743</v>
      </c>
      <c r="U141" s="186"/>
      <c r="V141" s="186"/>
      <c r="W141" s="186"/>
      <c r="X141">
        <v>16</v>
      </c>
      <c r="Z141" t="s">
        <v>2645</v>
      </c>
      <c r="AA141" s="30">
        <v>43538</v>
      </c>
      <c r="AB141" t="s">
        <v>2646</v>
      </c>
    </row>
    <row r="142" spans="1:28" ht="25" hidden="1">
      <c r="A142" s="213"/>
      <c r="B142" s="213"/>
      <c r="C142" s="210"/>
      <c r="D142" s="297"/>
      <c r="E142" s="186" t="s">
        <v>55</v>
      </c>
      <c r="F142" s="186" t="s">
        <v>738</v>
      </c>
      <c r="G142" s="186" t="s">
        <v>683</v>
      </c>
      <c r="H142" s="186" t="s">
        <v>682</v>
      </c>
      <c r="I142" s="186"/>
      <c r="J142" s="186"/>
      <c r="K142" s="186" t="s">
        <v>680</v>
      </c>
      <c r="L142" s="123"/>
      <c r="M142" s="186"/>
      <c r="N142" s="186"/>
      <c r="O142" s="186"/>
      <c r="P142" s="123"/>
      <c r="Q142" s="186"/>
      <c r="R142" s="186"/>
      <c r="S142" s="186">
        <v>11.2828</v>
      </c>
      <c r="T142" s="186" t="s">
        <v>2743</v>
      </c>
      <c r="U142" s="186"/>
      <c r="V142" s="186"/>
      <c r="W142" s="186"/>
      <c r="X142">
        <v>31</v>
      </c>
      <c r="Z142" t="s">
        <v>2645</v>
      </c>
      <c r="AA142" s="30">
        <v>43538</v>
      </c>
      <c r="AB142" t="s">
        <v>2646</v>
      </c>
    </row>
    <row r="143" spans="1:28" ht="25" hidden="1">
      <c r="A143" s="213"/>
      <c r="B143" s="213"/>
      <c r="C143" s="210"/>
      <c r="D143" s="297"/>
      <c r="E143" s="186" t="s">
        <v>55</v>
      </c>
      <c r="F143" s="186" t="s">
        <v>710</v>
      </c>
      <c r="G143" s="186" t="s">
        <v>683</v>
      </c>
      <c r="H143" s="186" t="s">
        <v>682</v>
      </c>
      <c r="I143" s="186"/>
      <c r="J143" s="186"/>
      <c r="K143" s="186" t="s">
        <v>680</v>
      </c>
      <c r="L143" s="123"/>
      <c r="M143" s="186"/>
      <c r="N143" s="186"/>
      <c r="O143" s="186"/>
      <c r="P143" s="123"/>
      <c r="Q143" s="186"/>
      <c r="R143" s="186"/>
      <c r="S143" s="186">
        <v>0</v>
      </c>
      <c r="T143" s="186" t="s">
        <v>2743</v>
      </c>
      <c r="U143" s="186"/>
      <c r="V143" s="186"/>
      <c r="W143" s="186"/>
      <c r="X143">
        <v>17</v>
      </c>
      <c r="Z143" t="s">
        <v>2645</v>
      </c>
      <c r="AA143" s="30">
        <v>43538</v>
      </c>
      <c r="AB143" t="s">
        <v>2646</v>
      </c>
    </row>
    <row r="144" spans="1:28" ht="25" hidden="1">
      <c r="A144" s="213"/>
      <c r="B144" s="213"/>
      <c r="C144" s="210"/>
      <c r="D144" s="297"/>
      <c r="E144" s="186" t="s">
        <v>55</v>
      </c>
      <c r="F144" s="186" t="s">
        <v>740</v>
      </c>
      <c r="G144" s="186" t="s">
        <v>683</v>
      </c>
      <c r="H144" s="186" t="s">
        <v>682</v>
      </c>
      <c r="I144" s="186"/>
      <c r="J144" s="186"/>
      <c r="K144" s="186" t="s">
        <v>680</v>
      </c>
      <c r="L144" s="123"/>
      <c r="M144" s="186"/>
      <c r="N144" s="186"/>
      <c r="O144" s="186"/>
      <c r="P144" s="123"/>
      <c r="Q144" s="186"/>
      <c r="R144" s="186"/>
      <c r="S144" s="186">
        <v>10.427199999999999</v>
      </c>
      <c r="T144" s="186" t="s">
        <v>2743</v>
      </c>
      <c r="U144" s="186"/>
      <c r="V144" s="186"/>
      <c r="W144" s="186"/>
      <c r="X144">
        <v>32</v>
      </c>
      <c r="Z144" t="s">
        <v>2645</v>
      </c>
      <c r="AA144" s="30">
        <v>43538</v>
      </c>
      <c r="AB144" t="s">
        <v>2646</v>
      </c>
    </row>
    <row r="145" spans="1:28" ht="25" hidden="1">
      <c r="A145" s="213"/>
      <c r="B145" s="213"/>
      <c r="C145" s="210"/>
      <c r="D145" s="297"/>
      <c r="E145" s="186" t="s">
        <v>55</v>
      </c>
      <c r="F145" s="186" t="s">
        <v>712</v>
      </c>
      <c r="G145" s="186" t="s">
        <v>683</v>
      </c>
      <c r="H145" s="186" t="s">
        <v>682</v>
      </c>
      <c r="I145" s="186"/>
      <c r="J145" s="186"/>
      <c r="K145" s="186" t="s">
        <v>680</v>
      </c>
      <c r="L145" s="123"/>
      <c r="M145" s="186"/>
      <c r="N145" s="186"/>
      <c r="O145" s="186"/>
      <c r="P145" s="123"/>
      <c r="Q145" s="186"/>
      <c r="R145" s="186"/>
      <c r="S145" s="186">
        <v>0</v>
      </c>
      <c r="T145" s="186" t="s">
        <v>2743</v>
      </c>
      <c r="U145" s="186"/>
      <c r="V145" s="186"/>
      <c r="W145" s="186"/>
      <c r="X145">
        <v>18</v>
      </c>
      <c r="Z145" t="s">
        <v>2645</v>
      </c>
      <c r="AA145" s="30">
        <v>43538</v>
      </c>
      <c r="AB145" t="s">
        <v>2646</v>
      </c>
    </row>
    <row r="146" spans="1:28" ht="25" hidden="1">
      <c r="A146" s="213"/>
      <c r="B146" s="213"/>
      <c r="C146" s="210"/>
      <c r="D146" s="297"/>
      <c r="E146" s="186" t="s">
        <v>55</v>
      </c>
      <c r="F146" s="186" t="s">
        <v>742</v>
      </c>
      <c r="G146" s="186" t="s">
        <v>683</v>
      </c>
      <c r="H146" s="186" t="s">
        <v>682</v>
      </c>
      <c r="I146" s="186"/>
      <c r="J146" s="186"/>
      <c r="K146" s="186" t="s">
        <v>680</v>
      </c>
      <c r="L146" s="123"/>
      <c r="M146" s="186"/>
      <c r="N146" s="186"/>
      <c r="O146" s="186"/>
      <c r="P146" s="123"/>
      <c r="Q146" s="186"/>
      <c r="R146" s="186"/>
      <c r="S146" s="186">
        <v>12.0319</v>
      </c>
      <c r="T146" s="186" t="s">
        <v>2743</v>
      </c>
      <c r="U146" s="186"/>
      <c r="V146" s="186"/>
      <c r="W146" s="186"/>
      <c r="X146">
        <v>33</v>
      </c>
      <c r="Z146" t="s">
        <v>2645</v>
      </c>
      <c r="AA146" s="30">
        <v>43538</v>
      </c>
      <c r="AB146" t="s">
        <v>2646</v>
      </c>
    </row>
    <row r="147" spans="1:28" ht="25" hidden="1">
      <c r="A147" s="213"/>
      <c r="B147" s="213"/>
      <c r="C147" s="210"/>
      <c r="D147" s="297" t="s">
        <v>682</v>
      </c>
      <c r="E147" s="186" t="s">
        <v>59</v>
      </c>
      <c r="F147" s="186" t="s">
        <v>720</v>
      </c>
      <c r="G147" s="186" t="s">
        <v>683</v>
      </c>
      <c r="H147" s="186" t="s">
        <v>682</v>
      </c>
      <c r="I147" s="186"/>
      <c r="J147" s="186"/>
      <c r="K147" s="186" t="s">
        <v>680</v>
      </c>
      <c r="L147" s="123"/>
      <c r="M147" s="186"/>
      <c r="N147" s="186"/>
      <c r="O147" s="186"/>
      <c r="P147" s="123"/>
      <c r="Q147" s="186"/>
      <c r="R147" s="186"/>
      <c r="S147" s="186">
        <v>-1.6422000000000001</v>
      </c>
      <c r="T147" s="186" t="s">
        <v>2743</v>
      </c>
      <c r="U147" s="186"/>
      <c r="V147" s="186"/>
      <c r="W147" s="186"/>
      <c r="X147">
        <v>22</v>
      </c>
      <c r="Z147" t="s">
        <v>2645</v>
      </c>
      <c r="AA147" s="30">
        <v>43538</v>
      </c>
      <c r="AB147" t="s">
        <v>2646</v>
      </c>
    </row>
    <row r="148" spans="1:28" ht="12.5" hidden="1">
      <c r="A148" s="299"/>
      <c r="B148" s="299"/>
      <c r="C148" s="299"/>
      <c r="D148" s="299"/>
      <c r="E148" s="186" t="s">
        <v>55</v>
      </c>
      <c r="F148" s="441" t="s">
        <v>2773</v>
      </c>
      <c r="G148" s="441" t="s">
        <v>683</v>
      </c>
      <c r="H148" s="441" t="s">
        <v>682</v>
      </c>
      <c r="I148" s="441"/>
      <c r="J148" s="441"/>
      <c r="K148" s="186" t="s">
        <v>680</v>
      </c>
      <c r="L148" s="123"/>
      <c r="M148" s="441"/>
      <c r="N148" s="441"/>
      <c r="O148" s="441"/>
      <c r="P148" s="441"/>
      <c r="Q148" s="441"/>
      <c r="R148" s="441"/>
      <c r="S148" s="441"/>
      <c r="T148" s="441"/>
      <c r="U148" s="441"/>
      <c r="X148" s="441"/>
      <c r="Y148" s="441"/>
      <c r="Z148" s="441"/>
      <c r="AA148" s="441"/>
      <c r="AB148" s="441"/>
    </row>
    <row r="149" spans="1:28" ht="25" hidden="1">
      <c r="A149" s="213"/>
      <c r="B149" s="213"/>
      <c r="C149" s="210"/>
      <c r="D149" s="297" t="s">
        <v>682</v>
      </c>
      <c r="E149" s="186" t="s">
        <v>59</v>
      </c>
      <c r="F149" s="186" t="s">
        <v>722</v>
      </c>
      <c r="G149" s="186" t="s">
        <v>683</v>
      </c>
      <c r="H149" s="186" t="s">
        <v>682</v>
      </c>
      <c r="I149" s="186"/>
      <c r="J149" s="186"/>
      <c r="K149" s="186" t="s">
        <v>680</v>
      </c>
      <c r="L149" s="123"/>
      <c r="M149" s="186"/>
      <c r="N149" s="186"/>
      <c r="O149" s="186"/>
      <c r="P149" s="123"/>
      <c r="Q149" s="186"/>
      <c r="R149" s="186"/>
      <c r="S149" s="186">
        <v>7.9672999999999998</v>
      </c>
      <c r="T149" s="186" t="s">
        <v>2743</v>
      </c>
      <c r="U149" s="186"/>
      <c r="V149" s="186"/>
      <c r="W149" s="186"/>
      <c r="X149">
        <v>23</v>
      </c>
      <c r="Z149" t="s">
        <v>2645</v>
      </c>
      <c r="AA149" s="30">
        <v>43538</v>
      </c>
      <c r="AB149" t="s">
        <v>2646</v>
      </c>
    </row>
    <row r="150" spans="1:28" ht="12.5" hidden="1">
      <c r="A150" s="213"/>
      <c r="B150" s="213"/>
      <c r="C150" s="210"/>
      <c r="D150" s="297"/>
      <c r="E150" s="186" t="s">
        <v>55</v>
      </c>
      <c r="F150" s="186" t="s">
        <v>2776</v>
      </c>
      <c r="G150" s="186" t="s">
        <v>683</v>
      </c>
      <c r="H150" s="186" t="s">
        <v>682</v>
      </c>
      <c r="I150" s="186"/>
      <c r="J150" s="186"/>
      <c r="K150" s="186" t="s">
        <v>680</v>
      </c>
      <c r="L150" s="186"/>
      <c r="M150" s="186"/>
      <c r="N150" s="186"/>
      <c r="O150" s="186"/>
      <c r="P150" s="186"/>
      <c r="Q150" s="186"/>
      <c r="R150" s="186"/>
      <c r="S150" s="186"/>
      <c r="T150" s="186" t="s">
        <v>2743</v>
      </c>
      <c r="U150" s="186"/>
      <c r="V150" s="186"/>
      <c r="W150" s="186"/>
    </row>
    <row r="151" spans="1:28" ht="25" hidden="1">
      <c r="A151" s="213"/>
      <c r="B151" s="213"/>
      <c r="C151" s="210"/>
      <c r="D151" s="297" t="s">
        <v>682</v>
      </c>
      <c r="E151" s="186" t="s">
        <v>59</v>
      </c>
      <c r="F151" s="186" t="s">
        <v>724</v>
      </c>
      <c r="G151" s="186" t="s">
        <v>683</v>
      </c>
      <c r="H151" s="186" t="s">
        <v>682</v>
      </c>
      <c r="I151" s="186"/>
      <c r="J151" s="186"/>
      <c r="K151" s="186" t="s">
        <v>680</v>
      </c>
      <c r="L151" s="123"/>
      <c r="M151" s="186"/>
      <c r="N151" s="186"/>
      <c r="O151" s="186"/>
      <c r="P151" s="123"/>
      <c r="Q151" s="186"/>
      <c r="R151" s="186"/>
      <c r="S151" s="186">
        <v>7.9672999999999998</v>
      </c>
      <c r="T151" s="186" t="s">
        <v>2743</v>
      </c>
      <c r="U151" s="186"/>
      <c r="V151" s="186"/>
      <c r="W151" s="186"/>
      <c r="X151">
        <v>24</v>
      </c>
      <c r="Z151" t="s">
        <v>2645</v>
      </c>
      <c r="AA151" s="30">
        <v>43538</v>
      </c>
      <c r="AB151" t="s">
        <v>2646</v>
      </c>
    </row>
    <row r="152" spans="1:28" ht="12.5" hidden="1">
      <c r="A152" s="213"/>
      <c r="B152" s="213"/>
      <c r="C152" s="210"/>
      <c r="D152" s="297"/>
      <c r="E152" s="186" t="s">
        <v>59</v>
      </c>
      <c r="F152" s="186" t="s">
        <v>318</v>
      </c>
      <c r="G152" s="186" t="s">
        <v>2778</v>
      </c>
      <c r="H152" s="186" t="s">
        <v>682</v>
      </c>
      <c r="I152" s="186"/>
      <c r="J152" s="186"/>
      <c r="K152" s="186" t="s">
        <v>680</v>
      </c>
      <c r="L152" s="186"/>
      <c r="M152" s="186"/>
      <c r="N152" s="186"/>
      <c r="O152" s="186"/>
      <c r="P152" s="186"/>
      <c r="Q152" s="186"/>
      <c r="R152" s="186"/>
      <c r="S152" s="186"/>
      <c r="T152" s="186" t="s">
        <v>2779</v>
      </c>
      <c r="U152" s="186"/>
      <c r="V152" s="186"/>
      <c r="W152" s="186"/>
    </row>
    <row r="153" spans="1:28" ht="12.5" hidden="1">
      <c r="A153" s="213"/>
      <c r="B153" s="213"/>
      <c r="C153" s="210"/>
      <c r="D153" s="297"/>
      <c r="E153" s="186" t="s">
        <v>55</v>
      </c>
      <c r="F153" s="186" t="s">
        <v>2780</v>
      </c>
      <c r="G153" s="186" t="s">
        <v>683</v>
      </c>
      <c r="H153" s="186" t="s">
        <v>682</v>
      </c>
      <c r="I153" s="186"/>
      <c r="J153" s="186"/>
      <c r="K153" s="186" t="s">
        <v>680</v>
      </c>
      <c r="L153" s="186"/>
      <c r="M153" s="186"/>
      <c r="N153" s="186"/>
      <c r="O153" s="186"/>
      <c r="P153" s="186"/>
      <c r="Q153" s="186"/>
      <c r="R153" s="186"/>
      <c r="S153" s="186"/>
      <c r="T153" s="186" t="s">
        <v>2781</v>
      </c>
      <c r="U153" s="186"/>
      <c r="V153" s="186"/>
      <c r="W153" s="186"/>
    </row>
    <row r="154" spans="1:28" ht="12.5" hidden="1">
      <c r="A154" s="213"/>
      <c r="B154" s="213"/>
      <c r="C154" s="210"/>
      <c r="D154" s="297"/>
      <c r="E154" s="186" t="s">
        <v>55</v>
      </c>
      <c r="F154" s="186" t="s">
        <v>2782</v>
      </c>
      <c r="G154" s="186" t="s">
        <v>683</v>
      </c>
      <c r="H154" s="186" t="s">
        <v>682</v>
      </c>
      <c r="I154" s="186"/>
      <c r="J154" s="186"/>
      <c r="K154" s="186" t="s">
        <v>680</v>
      </c>
      <c r="L154" s="186"/>
      <c r="M154" s="186"/>
      <c r="N154" s="186"/>
      <c r="O154" s="186"/>
      <c r="P154" s="186"/>
      <c r="Q154" s="186"/>
      <c r="R154" s="186"/>
      <c r="S154" s="186"/>
      <c r="T154" s="186" t="s">
        <v>2783</v>
      </c>
      <c r="U154" s="186"/>
      <c r="V154" s="186"/>
      <c r="W154" s="186"/>
    </row>
    <row r="155" spans="1:28" ht="12.5" hidden="1">
      <c r="A155" s="213"/>
      <c r="B155" s="213"/>
      <c r="C155" s="210"/>
      <c r="D155" s="297"/>
      <c r="E155" s="186" t="s">
        <v>55</v>
      </c>
      <c r="F155" s="186" t="s">
        <v>2784</v>
      </c>
      <c r="G155" s="186" t="s">
        <v>683</v>
      </c>
      <c r="H155" s="186" t="s">
        <v>682</v>
      </c>
      <c r="I155" s="186"/>
      <c r="J155" s="186"/>
      <c r="K155" s="186" t="s">
        <v>680</v>
      </c>
      <c r="L155" s="186"/>
      <c r="M155" s="186"/>
      <c r="N155" s="186"/>
      <c r="O155" s="186"/>
      <c r="P155" s="186"/>
      <c r="Q155" s="186"/>
      <c r="R155" s="186"/>
      <c r="S155" s="186"/>
      <c r="T155" s="186" t="s">
        <v>2785</v>
      </c>
      <c r="U155" s="186"/>
      <c r="V155" s="186"/>
      <c r="W155" s="186"/>
    </row>
    <row r="156" spans="1:28" ht="12.5" hidden="1">
      <c r="A156" s="213"/>
      <c r="B156" s="213"/>
      <c r="C156" s="210"/>
      <c r="D156" s="297"/>
      <c r="E156" s="186" t="s">
        <v>55</v>
      </c>
      <c r="F156" s="186" t="s">
        <v>2786</v>
      </c>
      <c r="G156" s="186" t="s">
        <v>683</v>
      </c>
      <c r="H156" s="186" t="s">
        <v>682</v>
      </c>
      <c r="I156" s="186"/>
      <c r="J156" s="186"/>
      <c r="K156" s="186" t="s">
        <v>680</v>
      </c>
      <c r="L156" s="186"/>
      <c r="M156" s="186"/>
      <c r="N156" s="186"/>
      <c r="O156" s="186"/>
      <c r="P156" s="186"/>
      <c r="Q156" s="186"/>
      <c r="R156" s="186"/>
      <c r="S156" s="186"/>
      <c r="T156" s="186" t="s">
        <v>2787</v>
      </c>
      <c r="U156" s="186"/>
      <c r="V156" s="186"/>
      <c r="W156" s="186"/>
    </row>
    <row r="157" spans="1:28" ht="12.5" hidden="1">
      <c r="A157" s="213"/>
      <c r="B157" s="213"/>
      <c r="C157" s="210"/>
      <c r="D157" s="297"/>
      <c r="E157" s="186" t="s">
        <v>55</v>
      </c>
      <c r="F157" s="186" t="s">
        <v>2788</v>
      </c>
      <c r="G157" s="186" t="s">
        <v>683</v>
      </c>
      <c r="H157" s="186" t="s">
        <v>682</v>
      </c>
      <c r="I157" s="186"/>
      <c r="J157" s="186"/>
      <c r="K157" s="186" t="s">
        <v>680</v>
      </c>
      <c r="L157" s="186"/>
      <c r="M157" s="186"/>
      <c r="N157" s="186"/>
      <c r="O157" s="186"/>
      <c r="P157" s="186"/>
      <c r="Q157" s="186"/>
      <c r="R157" s="186"/>
      <c r="S157" s="186"/>
      <c r="T157" s="186" t="s">
        <v>2789</v>
      </c>
      <c r="U157" s="186"/>
      <c r="V157" s="186"/>
      <c r="W157" s="186"/>
    </row>
    <row r="158" spans="1:28" ht="12.5" hidden="1">
      <c r="A158" s="213"/>
      <c r="B158" s="213"/>
      <c r="C158" s="210"/>
      <c r="D158" s="297"/>
      <c r="E158" s="186" t="s">
        <v>53</v>
      </c>
      <c r="F158" s="186" t="s">
        <v>2790</v>
      </c>
      <c r="G158" s="186" t="s">
        <v>897</v>
      </c>
      <c r="H158" s="186" t="s">
        <v>682</v>
      </c>
      <c r="I158" s="186"/>
      <c r="J158" s="186"/>
      <c r="K158" s="186" t="s">
        <v>680</v>
      </c>
      <c r="L158" s="186"/>
      <c r="M158" s="186"/>
      <c r="N158" s="186"/>
      <c r="O158" s="186"/>
      <c r="P158" s="186"/>
      <c r="Q158" s="186"/>
      <c r="R158" s="186"/>
      <c r="S158" s="186"/>
      <c r="T158" s="186" t="s">
        <v>1190</v>
      </c>
      <c r="U158" s="186"/>
      <c r="V158" s="186"/>
      <c r="W158" s="186"/>
    </row>
    <row r="159" spans="1:28" ht="25" hidden="1">
      <c r="A159" s="213"/>
      <c r="B159" s="213" t="s">
        <v>682</v>
      </c>
      <c r="C159" s="210"/>
      <c r="D159" s="297"/>
      <c r="E159" s="186" t="s">
        <v>61</v>
      </c>
      <c r="F159" s="186" t="s">
        <v>160</v>
      </c>
      <c r="G159" s="186" t="s">
        <v>681</v>
      </c>
      <c r="H159" s="186" t="s">
        <v>682</v>
      </c>
      <c r="J159" s="186"/>
      <c r="K159" s="186" t="s">
        <v>680</v>
      </c>
      <c r="L159" s="123"/>
      <c r="M159" s="186"/>
      <c r="N159" s="186"/>
      <c r="O159" s="186"/>
      <c r="P159" s="123"/>
      <c r="Q159" s="186"/>
      <c r="R159" s="186"/>
      <c r="S159" s="186">
        <v>0</v>
      </c>
      <c r="T159" s="186" t="s">
        <v>2792</v>
      </c>
      <c r="U159" s="186"/>
      <c r="V159" s="186"/>
      <c r="W159" s="186"/>
      <c r="X159">
        <v>2</v>
      </c>
      <c r="Z159" t="s">
        <v>2645</v>
      </c>
      <c r="AA159" s="30">
        <v>43538</v>
      </c>
      <c r="AB159" t="s">
        <v>2646</v>
      </c>
    </row>
    <row r="160" spans="1:28" ht="12.5" hidden="1">
      <c r="A160" s="213"/>
      <c r="B160" s="213"/>
      <c r="C160" s="210"/>
      <c r="D160" s="297"/>
      <c r="E160" s="186" t="s">
        <v>53</v>
      </c>
      <c r="F160" s="186" t="s">
        <v>124</v>
      </c>
      <c r="G160" s="186" t="s">
        <v>897</v>
      </c>
      <c r="H160" s="186" t="s">
        <v>680</v>
      </c>
      <c r="I160" s="186"/>
      <c r="J160" s="186"/>
      <c r="K160" s="186" t="s">
        <v>680</v>
      </c>
      <c r="L160" s="186"/>
      <c r="M160" s="186"/>
      <c r="N160" s="186"/>
      <c r="O160" s="186"/>
      <c r="P160" s="186"/>
      <c r="Q160" s="186"/>
      <c r="R160" s="186"/>
      <c r="S160" s="186"/>
      <c r="T160" s="186" t="s">
        <v>1190</v>
      </c>
      <c r="U160" s="186"/>
      <c r="V160" s="186"/>
      <c r="W160" s="186"/>
    </row>
    <row r="161" spans="1:23" ht="12.5" hidden="1">
      <c r="A161" s="213"/>
      <c r="B161" s="213"/>
      <c r="C161" s="210"/>
      <c r="D161" s="297"/>
      <c r="E161" s="186" t="s">
        <v>55</v>
      </c>
      <c r="F161" s="186" t="s">
        <v>2793</v>
      </c>
      <c r="G161" s="186" t="s">
        <v>683</v>
      </c>
      <c r="H161" s="186" t="s">
        <v>682</v>
      </c>
      <c r="I161" s="186"/>
      <c r="J161" s="186"/>
      <c r="K161" s="186" t="s">
        <v>680</v>
      </c>
      <c r="L161" s="186"/>
      <c r="M161" s="186"/>
      <c r="N161" s="186"/>
      <c r="O161" s="186"/>
      <c r="P161" s="186"/>
      <c r="Q161" s="186"/>
      <c r="R161" s="186"/>
      <c r="S161" s="186"/>
      <c r="T161" s="186" t="s">
        <v>2794</v>
      </c>
      <c r="U161" s="186"/>
      <c r="V161" s="186"/>
      <c r="W161" s="186"/>
    </row>
    <row r="162" spans="1:23" ht="12.5" hidden="1">
      <c r="A162" s="213"/>
      <c r="B162" s="213"/>
      <c r="C162" s="210"/>
      <c r="D162" s="297"/>
      <c r="E162" s="186" t="s">
        <v>55</v>
      </c>
      <c r="F162" s="186" t="s">
        <v>2795</v>
      </c>
      <c r="G162" s="186" t="s">
        <v>683</v>
      </c>
      <c r="H162" s="186" t="s">
        <v>682</v>
      </c>
      <c r="I162" s="186"/>
      <c r="J162" s="186"/>
      <c r="K162" s="186" t="s">
        <v>680</v>
      </c>
      <c r="L162" s="186"/>
      <c r="M162" s="186"/>
      <c r="N162" s="186"/>
      <c r="O162" s="186"/>
      <c r="P162" s="186"/>
      <c r="Q162" s="186"/>
      <c r="R162" s="186"/>
      <c r="S162" s="186"/>
      <c r="T162" s="186" t="s">
        <v>2796</v>
      </c>
      <c r="U162" s="186"/>
      <c r="V162" s="186"/>
      <c r="W162" s="186"/>
    </row>
    <row r="163" spans="1:23" ht="12.5" hidden="1">
      <c r="A163" s="213"/>
      <c r="B163" s="213"/>
      <c r="C163" s="210"/>
      <c r="D163" s="297"/>
      <c r="E163" s="186" t="s">
        <v>55</v>
      </c>
      <c r="F163" s="186" t="s">
        <v>2797</v>
      </c>
      <c r="G163" s="186" t="s">
        <v>683</v>
      </c>
      <c r="H163" s="186" t="s">
        <v>682</v>
      </c>
      <c r="I163" s="186"/>
      <c r="J163" s="186"/>
      <c r="K163" s="186" t="s">
        <v>680</v>
      </c>
      <c r="L163" s="186"/>
      <c r="M163" s="186"/>
      <c r="N163" s="186"/>
      <c r="O163" s="186"/>
      <c r="P163" s="186"/>
      <c r="Q163" s="186"/>
      <c r="R163" s="186"/>
      <c r="S163" s="186"/>
      <c r="T163" s="186" t="s">
        <v>2796</v>
      </c>
      <c r="U163" s="186"/>
      <c r="V163" s="186"/>
      <c r="W163" s="186"/>
    </row>
    <row r="164" spans="1:23" ht="12.5" hidden="1">
      <c r="A164" s="213"/>
      <c r="B164" s="213"/>
      <c r="C164" s="210"/>
      <c r="D164" s="297"/>
      <c r="E164" s="186" t="s">
        <v>55</v>
      </c>
      <c r="F164" s="186" t="s">
        <v>2798</v>
      </c>
      <c r="G164" s="186" t="s">
        <v>683</v>
      </c>
      <c r="H164" s="186" t="s">
        <v>682</v>
      </c>
      <c r="I164" s="186"/>
      <c r="J164" s="186"/>
      <c r="K164" s="186" t="s">
        <v>680</v>
      </c>
      <c r="L164" s="186"/>
      <c r="M164" s="186"/>
      <c r="N164" s="186"/>
      <c r="O164" s="186"/>
      <c r="P164" s="186"/>
      <c r="Q164" s="186"/>
      <c r="R164" s="186"/>
      <c r="S164" s="186"/>
      <c r="T164" s="186" t="s">
        <v>2796</v>
      </c>
      <c r="U164" s="186"/>
      <c r="V164" s="186"/>
      <c r="W164" s="186"/>
    </row>
    <row r="165" spans="1:23" ht="12.5" hidden="1">
      <c r="A165" s="213"/>
      <c r="B165" s="213"/>
      <c r="C165" s="210"/>
      <c r="D165" s="297"/>
      <c r="E165" s="186" t="s">
        <v>55</v>
      </c>
      <c r="F165" s="186" t="s">
        <v>2799</v>
      </c>
      <c r="G165" s="186" t="s">
        <v>683</v>
      </c>
      <c r="H165" s="186" t="s">
        <v>682</v>
      </c>
      <c r="I165" s="186"/>
      <c r="J165" s="186"/>
      <c r="K165" s="186" t="s">
        <v>680</v>
      </c>
      <c r="L165" s="186"/>
      <c r="M165" s="186"/>
      <c r="N165" s="186"/>
      <c r="O165" s="186"/>
      <c r="P165" s="186"/>
      <c r="Q165" s="186"/>
      <c r="R165" s="186"/>
      <c r="S165" s="186"/>
      <c r="T165" s="186" t="s">
        <v>2796</v>
      </c>
      <c r="U165" s="186"/>
      <c r="V165" s="186"/>
      <c r="W165" s="186"/>
    </row>
    <row r="166" spans="1:23" ht="12.5" hidden="1">
      <c r="A166" s="213"/>
      <c r="B166" s="213"/>
      <c r="C166" s="210"/>
      <c r="D166" s="297"/>
      <c r="E166" s="186" t="s">
        <v>55</v>
      </c>
      <c r="F166" s="186" t="s">
        <v>2800</v>
      </c>
      <c r="G166" s="186" t="s">
        <v>683</v>
      </c>
      <c r="H166" s="186" t="s">
        <v>682</v>
      </c>
      <c r="I166" s="186"/>
      <c r="J166" s="186"/>
      <c r="K166" s="186" t="s">
        <v>680</v>
      </c>
      <c r="L166" s="186"/>
      <c r="M166" s="186"/>
      <c r="N166" s="186"/>
      <c r="O166" s="186"/>
      <c r="P166" s="186"/>
      <c r="Q166" s="186"/>
      <c r="R166" s="186"/>
      <c r="S166" s="186"/>
      <c r="T166" s="186" t="s">
        <v>2796</v>
      </c>
      <c r="U166" s="186"/>
      <c r="V166" s="186"/>
      <c r="W166" s="186"/>
    </row>
    <row r="167" spans="1:23" ht="12.5" hidden="1">
      <c r="A167" s="213"/>
      <c r="B167" s="213"/>
      <c r="C167" s="210"/>
      <c r="D167" s="297"/>
      <c r="E167" s="186" t="s">
        <v>55</v>
      </c>
      <c r="F167" s="186" t="s">
        <v>2801</v>
      </c>
      <c r="G167" s="186" t="s">
        <v>683</v>
      </c>
      <c r="H167" s="186" t="s">
        <v>682</v>
      </c>
      <c r="I167" s="186"/>
      <c r="J167" s="186"/>
      <c r="K167" s="186" t="s">
        <v>680</v>
      </c>
      <c r="L167" s="186"/>
      <c r="M167" s="186"/>
      <c r="N167" s="186"/>
      <c r="O167" s="186"/>
      <c r="P167" s="186"/>
      <c r="Q167" s="186"/>
      <c r="R167" s="186"/>
      <c r="S167" s="186"/>
      <c r="T167" s="186" t="s">
        <v>2796</v>
      </c>
      <c r="U167" s="186"/>
      <c r="V167" s="186"/>
      <c r="W167" s="186"/>
    </row>
    <row r="168" spans="1:23" ht="12.5" hidden="1">
      <c r="A168" s="213"/>
      <c r="B168" s="213"/>
      <c r="C168" s="210"/>
      <c r="D168" s="297"/>
      <c r="E168" s="186" t="s">
        <v>55</v>
      </c>
      <c r="F168" s="186" t="s">
        <v>2802</v>
      </c>
      <c r="G168" s="186" t="s">
        <v>683</v>
      </c>
      <c r="H168" s="186" t="s">
        <v>682</v>
      </c>
      <c r="I168" s="186"/>
      <c r="J168" s="186"/>
      <c r="K168" s="186" t="s">
        <v>680</v>
      </c>
      <c r="L168" s="186"/>
      <c r="M168" s="186"/>
      <c r="N168" s="186"/>
      <c r="O168" s="186"/>
      <c r="P168" s="186"/>
      <c r="Q168" s="186"/>
      <c r="R168" s="186"/>
      <c r="S168" s="186"/>
      <c r="T168" s="186" t="s">
        <v>2796</v>
      </c>
      <c r="U168" s="186"/>
      <c r="V168" s="186"/>
      <c r="W168" s="186"/>
    </row>
    <row r="169" spans="1:23" ht="12.5" hidden="1">
      <c r="A169" s="213"/>
      <c r="B169" s="213"/>
      <c r="C169" s="210"/>
      <c r="D169" s="297"/>
      <c r="E169" s="186" t="s">
        <v>55</v>
      </c>
      <c r="F169" s="186" t="s">
        <v>2803</v>
      </c>
      <c r="G169" s="186" t="s">
        <v>683</v>
      </c>
      <c r="H169" s="186" t="s">
        <v>682</v>
      </c>
      <c r="I169" s="186"/>
      <c r="J169" s="186"/>
      <c r="K169" s="186" t="s">
        <v>680</v>
      </c>
      <c r="L169" s="186"/>
      <c r="M169" s="186"/>
      <c r="N169" s="186"/>
      <c r="O169" s="186"/>
      <c r="P169" s="186"/>
      <c r="Q169" s="186"/>
      <c r="R169" s="186"/>
      <c r="S169" s="186"/>
      <c r="T169" s="186" t="s">
        <v>2796</v>
      </c>
      <c r="U169" s="186"/>
      <c r="V169" s="186"/>
      <c r="W169" s="186"/>
    </row>
    <row r="170" spans="1:23" ht="12.5" hidden="1">
      <c r="A170" s="213"/>
      <c r="B170" s="213"/>
      <c r="C170" s="210"/>
      <c r="D170" s="297"/>
      <c r="E170" s="186" t="s">
        <v>55</v>
      </c>
      <c r="F170" s="186" t="s">
        <v>2804</v>
      </c>
      <c r="G170" s="186" t="s">
        <v>683</v>
      </c>
      <c r="H170" s="186" t="s">
        <v>682</v>
      </c>
      <c r="I170" s="186"/>
      <c r="J170" s="186"/>
      <c r="K170" s="186" t="s">
        <v>680</v>
      </c>
      <c r="L170" s="186"/>
      <c r="M170" s="186"/>
      <c r="N170" s="186"/>
      <c r="O170" s="186"/>
      <c r="P170" s="186"/>
      <c r="Q170" s="186"/>
      <c r="R170" s="186"/>
      <c r="S170" s="186"/>
      <c r="T170" s="186" t="s">
        <v>2796</v>
      </c>
      <c r="U170" s="186"/>
      <c r="V170" s="186"/>
      <c r="W170" s="186"/>
    </row>
    <row r="171" spans="1:23" ht="12.5" hidden="1">
      <c r="A171" s="213"/>
      <c r="B171" s="213"/>
      <c r="C171" s="210"/>
      <c r="D171" s="297"/>
      <c r="E171" s="186" t="s">
        <v>55</v>
      </c>
      <c r="F171" s="186" t="s">
        <v>2805</v>
      </c>
      <c r="G171" s="186" t="s">
        <v>683</v>
      </c>
      <c r="H171" s="186" t="s">
        <v>682</v>
      </c>
      <c r="I171" s="186"/>
      <c r="J171" s="186"/>
      <c r="K171" s="186" t="s">
        <v>680</v>
      </c>
      <c r="L171" s="186"/>
      <c r="M171" s="186"/>
      <c r="N171" s="186"/>
      <c r="O171" s="186"/>
      <c r="P171" s="186"/>
      <c r="Q171" s="186"/>
      <c r="R171" s="186"/>
      <c r="S171" s="186"/>
      <c r="T171" s="186" t="s">
        <v>2796</v>
      </c>
      <c r="U171" s="186"/>
      <c r="V171" s="186"/>
      <c r="W171" s="186"/>
    </row>
    <row r="172" spans="1:23" ht="12.5" hidden="1">
      <c r="A172" s="213"/>
      <c r="B172" s="213"/>
      <c r="C172" s="210"/>
      <c r="D172" s="297"/>
      <c r="E172" s="186" t="s">
        <v>55</v>
      </c>
      <c r="F172" s="186" t="s">
        <v>2806</v>
      </c>
      <c r="G172" s="186" t="s">
        <v>683</v>
      </c>
      <c r="H172" s="186" t="s">
        <v>682</v>
      </c>
      <c r="I172" s="186"/>
      <c r="J172" s="186"/>
      <c r="K172" s="186" t="s">
        <v>680</v>
      </c>
      <c r="L172" s="186"/>
      <c r="M172" s="186"/>
      <c r="N172" s="186"/>
      <c r="O172" s="186"/>
      <c r="P172" s="186"/>
      <c r="Q172" s="186"/>
      <c r="R172" s="186"/>
      <c r="S172" s="186"/>
      <c r="T172" s="186" t="s">
        <v>2796</v>
      </c>
      <c r="U172" s="186"/>
      <c r="V172" s="186"/>
      <c r="W172" s="186"/>
    </row>
    <row r="173" spans="1:23" ht="12.5" hidden="1">
      <c r="A173" s="213"/>
      <c r="B173" s="213"/>
      <c r="C173" s="210"/>
      <c r="D173" s="297"/>
      <c r="E173" s="186" t="s">
        <v>55</v>
      </c>
      <c r="F173" s="186" t="s">
        <v>2807</v>
      </c>
      <c r="G173" s="186" t="s">
        <v>683</v>
      </c>
      <c r="H173" s="186" t="s">
        <v>682</v>
      </c>
      <c r="I173" s="186"/>
      <c r="J173" s="186"/>
      <c r="K173" s="186" t="s">
        <v>680</v>
      </c>
      <c r="L173" s="186"/>
      <c r="M173" s="186"/>
      <c r="N173" s="186"/>
      <c r="O173" s="186"/>
      <c r="P173" s="186"/>
      <c r="Q173" s="186"/>
      <c r="R173" s="186"/>
      <c r="S173" s="186"/>
      <c r="T173" s="186" t="s">
        <v>2796</v>
      </c>
      <c r="U173" s="186"/>
      <c r="V173" s="186"/>
      <c r="W173" s="186"/>
    </row>
    <row r="174" spans="1:23" ht="12.5" hidden="1">
      <c r="A174" s="213"/>
      <c r="B174" s="213"/>
      <c r="C174" s="210"/>
      <c r="D174" s="297"/>
      <c r="E174" s="186" t="s">
        <v>55</v>
      </c>
      <c r="F174" s="186" t="s">
        <v>2808</v>
      </c>
      <c r="G174" s="186" t="s">
        <v>683</v>
      </c>
      <c r="H174" s="186" t="s">
        <v>682</v>
      </c>
      <c r="I174" s="186"/>
      <c r="J174" s="186"/>
      <c r="K174" s="186" t="s">
        <v>680</v>
      </c>
      <c r="L174" s="186"/>
      <c r="M174" s="186"/>
      <c r="N174" s="186"/>
      <c r="O174" s="186"/>
      <c r="P174" s="186"/>
      <c r="Q174" s="186"/>
      <c r="R174" s="186"/>
      <c r="S174" s="186"/>
      <c r="T174" s="186" t="s">
        <v>2796</v>
      </c>
      <c r="U174" s="186"/>
      <c r="V174" s="186"/>
      <c r="W174" s="186"/>
    </row>
    <row r="175" spans="1:23" ht="12.5" hidden="1">
      <c r="A175" s="213"/>
      <c r="B175" s="213"/>
      <c r="C175" s="210"/>
      <c r="D175" s="297"/>
      <c r="E175" s="186" t="s">
        <v>55</v>
      </c>
      <c r="F175" s="186" t="s">
        <v>2809</v>
      </c>
      <c r="G175" s="186" t="s">
        <v>683</v>
      </c>
      <c r="H175" s="186" t="s">
        <v>682</v>
      </c>
      <c r="I175" s="186"/>
      <c r="J175" s="186"/>
      <c r="K175" s="186" t="s">
        <v>680</v>
      </c>
      <c r="L175" s="186"/>
      <c r="M175" s="186"/>
      <c r="N175" s="186"/>
      <c r="O175" s="186"/>
      <c r="P175" s="186"/>
      <c r="Q175" s="186"/>
      <c r="R175" s="186"/>
      <c r="S175" s="186"/>
      <c r="T175" s="186" t="s">
        <v>2796</v>
      </c>
      <c r="U175" s="186"/>
      <c r="V175" s="186"/>
      <c r="W175" s="186"/>
    </row>
    <row r="176" spans="1:23" ht="12.5" hidden="1">
      <c r="A176" s="213"/>
      <c r="B176" s="213"/>
      <c r="C176" s="210"/>
      <c r="D176" s="297"/>
      <c r="E176" s="186" t="s">
        <v>59</v>
      </c>
      <c r="F176" s="186" t="s">
        <v>2810</v>
      </c>
      <c r="G176" s="186" t="s">
        <v>679</v>
      </c>
      <c r="H176" s="186" t="s">
        <v>682</v>
      </c>
      <c r="I176" s="186"/>
      <c r="J176" s="186"/>
      <c r="K176" s="186" t="s">
        <v>680</v>
      </c>
      <c r="L176" s="186"/>
      <c r="M176" s="186"/>
      <c r="N176" s="186"/>
      <c r="O176" s="186"/>
      <c r="P176" s="186"/>
      <c r="Q176" s="186"/>
      <c r="R176" s="186"/>
      <c r="S176" s="186"/>
      <c r="T176" s="186" t="s">
        <v>2811</v>
      </c>
      <c r="U176" s="186"/>
      <c r="V176" s="186"/>
      <c r="W176" s="186"/>
    </row>
    <row r="177" spans="1:28" ht="12.5" hidden="1">
      <c r="A177" s="213"/>
      <c r="B177" s="213"/>
      <c r="C177" s="210"/>
      <c r="D177" s="297"/>
      <c r="E177" s="186" t="s">
        <v>59</v>
      </c>
      <c r="F177" s="186" t="s">
        <v>322</v>
      </c>
      <c r="G177" s="186" t="s">
        <v>2812</v>
      </c>
      <c r="H177" s="186" t="s">
        <v>682</v>
      </c>
      <c r="I177" s="186"/>
      <c r="J177" s="186"/>
      <c r="K177" s="186" t="s">
        <v>680</v>
      </c>
      <c r="L177" s="186"/>
      <c r="M177" s="186"/>
      <c r="N177" s="186"/>
      <c r="O177" s="186"/>
      <c r="P177" s="186"/>
      <c r="Q177" s="186"/>
      <c r="R177" s="186"/>
      <c r="S177" s="186"/>
      <c r="T177" s="186" t="s">
        <v>322</v>
      </c>
      <c r="U177" s="186"/>
      <c r="V177" s="186"/>
      <c r="W177" s="186"/>
    </row>
    <row r="178" spans="1:28" ht="12.5" hidden="1">
      <c r="A178" s="213"/>
      <c r="B178" s="213"/>
      <c r="C178" s="210"/>
      <c r="D178" s="297"/>
      <c r="E178" s="186" t="s">
        <v>59</v>
      </c>
      <c r="F178" s="186" t="s">
        <v>129</v>
      </c>
      <c r="G178" s="186" t="s">
        <v>689</v>
      </c>
      <c r="H178" s="186" t="s">
        <v>682</v>
      </c>
      <c r="I178" s="186"/>
      <c r="J178" s="186"/>
      <c r="K178" s="186" t="s">
        <v>680</v>
      </c>
      <c r="L178" s="186"/>
      <c r="M178" s="186"/>
      <c r="N178" s="186"/>
      <c r="O178" s="186"/>
      <c r="P178" s="186"/>
      <c r="Q178" s="186"/>
      <c r="R178" s="186"/>
      <c r="S178" s="186"/>
      <c r="T178" s="186" t="s">
        <v>2813</v>
      </c>
      <c r="U178" s="186"/>
      <c r="V178" s="186"/>
      <c r="W178" s="186"/>
    </row>
    <row r="179" spans="1:28" ht="12.5" hidden="1">
      <c r="A179" s="213"/>
      <c r="B179" s="213"/>
      <c r="C179" s="210"/>
      <c r="D179" s="297"/>
      <c r="E179" s="186" t="s">
        <v>55</v>
      </c>
      <c r="F179" s="186" t="s">
        <v>2814</v>
      </c>
      <c r="G179" s="186" t="s">
        <v>683</v>
      </c>
      <c r="H179" s="186" t="s">
        <v>682</v>
      </c>
      <c r="I179" s="186"/>
      <c r="J179" s="186"/>
      <c r="K179" s="186" t="s">
        <v>680</v>
      </c>
      <c r="L179" s="186"/>
      <c r="M179" s="186"/>
      <c r="N179" s="186"/>
      <c r="O179" s="186"/>
      <c r="P179" s="186"/>
      <c r="Q179" s="186"/>
      <c r="R179" s="186"/>
      <c r="S179" s="186"/>
      <c r="T179" s="186" t="s">
        <v>2815</v>
      </c>
      <c r="U179" s="186"/>
      <c r="V179" s="186"/>
      <c r="W179" s="186"/>
    </row>
    <row r="180" spans="1:28" ht="12.5" hidden="1">
      <c r="A180" s="213"/>
      <c r="B180" s="213"/>
      <c r="C180" s="210"/>
      <c r="D180" s="297"/>
      <c r="E180" s="186" t="s">
        <v>55</v>
      </c>
      <c r="F180" s="186" t="s">
        <v>2816</v>
      </c>
      <c r="G180" s="186" t="s">
        <v>683</v>
      </c>
      <c r="H180" s="186" t="s">
        <v>682</v>
      </c>
      <c r="I180" s="186"/>
      <c r="J180" s="186"/>
      <c r="K180" s="186" t="s">
        <v>680</v>
      </c>
      <c r="L180" s="186"/>
      <c r="M180" s="186"/>
      <c r="N180" s="186"/>
      <c r="O180" s="186"/>
      <c r="P180" s="186"/>
      <c r="Q180" s="186"/>
      <c r="R180" s="186"/>
      <c r="S180" s="186"/>
      <c r="T180" s="186" t="s">
        <v>2817</v>
      </c>
      <c r="U180" s="186"/>
      <c r="V180" s="186"/>
      <c r="W180" s="186"/>
    </row>
    <row r="181" spans="1:28" ht="12.5" hidden="1">
      <c r="A181" s="213"/>
      <c r="B181" s="213"/>
      <c r="C181" s="210"/>
      <c r="D181" s="297"/>
      <c r="E181" s="186" t="s">
        <v>55</v>
      </c>
      <c r="F181" s="186" t="s">
        <v>2818</v>
      </c>
      <c r="G181" s="186" t="s">
        <v>683</v>
      </c>
      <c r="H181" s="186" t="s">
        <v>682</v>
      </c>
      <c r="I181" s="186"/>
      <c r="J181" s="186"/>
      <c r="K181" s="186" t="s">
        <v>680</v>
      </c>
      <c r="L181" s="186"/>
      <c r="M181" s="186"/>
      <c r="N181" s="186"/>
      <c r="O181" s="186"/>
      <c r="P181" s="186"/>
      <c r="Q181" s="186"/>
      <c r="R181" s="186"/>
      <c r="S181" s="186"/>
      <c r="T181" s="186" t="s">
        <v>2819</v>
      </c>
      <c r="U181" s="186"/>
      <c r="V181" s="186"/>
      <c r="W181" s="186"/>
    </row>
    <row r="182" spans="1:28" ht="12.5" hidden="1">
      <c r="A182" s="213"/>
      <c r="B182" s="213"/>
      <c r="C182" s="210"/>
      <c r="D182" s="297"/>
      <c r="E182" s="186" t="s">
        <v>55</v>
      </c>
      <c r="F182" s="186" t="s">
        <v>2820</v>
      </c>
      <c r="G182" s="186" t="s">
        <v>683</v>
      </c>
      <c r="H182" s="186" t="s">
        <v>682</v>
      </c>
      <c r="I182" s="186"/>
      <c r="J182" s="186"/>
      <c r="K182" s="186" t="s">
        <v>680</v>
      </c>
      <c r="L182" s="186"/>
      <c r="M182" s="186"/>
      <c r="N182" s="186"/>
      <c r="O182" s="186"/>
      <c r="P182" s="186"/>
      <c r="Q182" s="186"/>
      <c r="R182" s="186"/>
      <c r="S182" s="186"/>
      <c r="T182" s="186" t="s">
        <v>2821</v>
      </c>
      <c r="U182" s="186"/>
      <c r="V182" s="186"/>
      <c r="W182" s="186"/>
    </row>
    <row r="183" spans="1:28" ht="12.5" hidden="1">
      <c r="A183" s="213"/>
      <c r="B183" s="213"/>
      <c r="C183" s="210"/>
      <c r="D183" s="297"/>
      <c r="E183" s="186" t="s">
        <v>55</v>
      </c>
      <c r="F183" s="186" t="s">
        <v>2822</v>
      </c>
      <c r="G183" s="186" t="s">
        <v>683</v>
      </c>
      <c r="H183" s="186" t="s">
        <v>682</v>
      </c>
      <c r="I183" s="186"/>
      <c r="J183" s="186"/>
      <c r="K183" s="186" t="s">
        <v>680</v>
      </c>
      <c r="L183" s="186"/>
      <c r="M183" s="186"/>
      <c r="N183" s="186"/>
      <c r="O183" s="186"/>
      <c r="P183" s="186"/>
      <c r="Q183" s="186"/>
      <c r="R183" s="186"/>
      <c r="S183" s="186"/>
      <c r="T183" s="186" t="s">
        <v>2823</v>
      </c>
      <c r="U183" s="186"/>
      <c r="V183" s="186"/>
      <c r="W183" s="186"/>
    </row>
    <row r="184" spans="1:28" ht="12.5" hidden="1">
      <c r="A184" s="213"/>
      <c r="B184" s="213"/>
      <c r="C184" s="210"/>
      <c r="D184" s="297"/>
      <c r="E184" s="186" t="s">
        <v>55</v>
      </c>
      <c r="F184" s="186" t="s">
        <v>2824</v>
      </c>
      <c r="G184" s="186" t="s">
        <v>683</v>
      </c>
      <c r="H184" s="186" t="s">
        <v>682</v>
      </c>
      <c r="I184" s="186"/>
      <c r="J184" s="186"/>
      <c r="K184" s="186" t="s">
        <v>680</v>
      </c>
      <c r="L184" s="186"/>
      <c r="M184" s="186"/>
      <c r="N184" s="186"/>
      <c r="O184" s="186"/>
      <c r="P184" s="186"/>
      <c r="Q184" s="186"/>
      <c r="R184" s="186"/>
      <c r="S184" s="186"/>
      <c r="T184" s="186" t="s">
        <v>2823</v>
      </c>
      <c r="U184" s="186"/>
      <c r="V184" s="186"/>
      <c r="W184" s="186"/>
    </row>
    <row r="185" spans="1:28" ht="12.5" hidden="1">
      <c r="A185" s="213"/>
      <c r="B185" s="213"/>
      <c r="C185" s="210"/>
      <c r="D185" s="297"/>
      <c r="E185" s="186" t="s">
        <v>55</v>
      </c>
      <c r="F185" s="186" t="s">
        <v>2825</v>
      </c>
      <c r="G185" s="186" t="s">
        <v>683</v>
      </c>
      <c r="H185" s="186" t="s">
        <v>682</v>
      </c>
      <c r="I185" s="186"/>
      <c r="J185" s="186"/>
      <c r="K185" s="186" t="s">
        <v>680</v>
      </c>
      <c r="L185" s="186"/>
      <c r="M185" s="186"/>
      <c r="N185" s="186"/>
      <c r="O185" s="186"/>
      <c r="P185" s="186"/>
      <c r="Q185" s="186"/>
      <c r="R185" s="186"/>
      <c r="S185" s="186"/>
      <c r="T185" s="186" t="s">
        <v>2823</v>
      </c>
      <c r="U185" s="186"/>
      <c r="V185" s="186"/>
      <c r="W185" s="186"/>
    </row>
    <row r="186" spans="1:28" ht="12.5" hidden="1">
      <c r="A186" s="213"/>
      <c r="B186" s="213"/>
      <c r="C186" s="210"/>
      <c r="D186" s="297"/>
      <c r="E186" s="186" t="s">
        <v>55</v>
      </c>
      <c r="F186" s="186" t="s">
        <v>2826</v>
      </c>
      <c r="G186" s="186" t="s">
        <v>683</v>
      </c>
      <c r="H186" s="186" t="s">
        <v>682</v>
      </c>
      <c r="I186" s="186"/>
      <c r="J186" s="186"/>
      <c r="K186" s="186" t="s">
        <v>680</v>
      </c>
      <c r="L186" s="186"/>
      <c r="M186" s="186"/>
      <c r="N186" s="186"/>
      <c r="O186" s="186"/>
      <c r="P186" s="186"/>
      <c r="Q186" s="186"/>
      <c r="R186" s="186"/>
      <c r="S186" s="186"/>
      <c r="T186" s="186" t="s">
        <v>2823</v>
      </c>
      <c r="U186" s="186"/>
      <c r="V186" s="186"/>
      <c r="W186" s="186"/>
    </row>
    <row r="187" spans="1:28" ht="12.5" hidden="1">
      <c r="A187" s="213"/>
      <c r="B187" s="213"/>
      <c r="C187" s="210"/>
      <c r="D187" s="297"/>
      <c r="E187" s="186" t="s">
        <v>55</v>
      </c>
      <c r="F187" s="186" t="s">
        <v>2827</v>
      </c>
      <c r="G187" s="186" t="s">
        <v>683</v>
      </c>
      <c r="H187" s="186" t="s">
        <v>682</v>
      </c>
      <c r="I187" s="186"/>
      <c r="J187" s="186"/>
      <c r="K187" s="186" t="s">
        <v>680</v>
      </c>
      <c r="L187" s="186"/>
      <c r="M187" s="186"/>
      <c r="N187" s="186"/>
      <c r="O187" s="186"/>
      <c r="P187" s="186"/>
      <c r="Q187" s="186"/>
      <c r="R187" s="186"/>
      <c r="S187" s="186"/>
      <c r="T187" s="186" t="s">
        <v>2823</v>
      </c>
      <c r="U187" s="186"/>
      <c r="V187" s="186"/>
      <c r="W187" s="186"/>
    </row>
    <row r="188" spans="1:28" ht="12.5" hidden="1">
      <c r="A188" s="213"/>
      <c r="B188" s="213"/>
      <c r="C188" s="210"/>
      <c r="D188" s="297"/>
      <c r="E188" s="186" t="s">
        <v>55</v>
      </c>
      <c r="F188" s="186" t="s">
        <v>2828</v>
      </c>
      <c r="G188" s="186" t="s">
        <v>683</v>
      </c>
      <c r="H188" s="186" t="s">
        <v>682</v>
      </c>
      <c r="I188" s="186"/>
      <c r="J188" s="186"/>
      <c r="K188" s="186" t="s">
        <v>680</v>
      </c>
      <c r="L188" s="186"/>
      <c r="M188" s="186"/>
      <c r="N188" s="186"/>
      <c r="O188" s="186"/>
      <c r="P188" s="186"/>
      <c r="Q188" s="186"/>
      <c r="R188" s="186"/>
      <c r="S188" s="186"/>
      <c r="T188" s="186" t="s">
        <v>2823</v>
      </c>
      <c r="U188" s="186"/>
      <c r="V188" s="186"/>
      <c r="W188" s="186"/>
    </row>
    <row r="189" spans="1:28" ht="12.5" hidden="1">
      <c r="A189" s="213"/>
      <c r="B189" s="213"/>
      <c r="C189" s="210"/>
      <c r="D189" s="297"/>
      <c r="E189" s="186" t="s">
        <v>59</v>
      </c>
      <c r="F189" s="186" t="s">
        <v>128</v>
      </c>
      <c r="G189" s="186" t="s">
        <v>2829</v>
      </c>
      <c r="H189" s="186" t="s">
        <v>682</v>
      </c>
      <c r="I189" s="186"/>
      <c r="J189" s="186"/>
      <c r="K189" s="186" t="s">
        <v>680</v>
      </c>
      <c r="L189" s="186"/>
      <c r="M189" s="186"/>
      <c r="N189" s="186"/>
      <c r="O189" s="186"/>
      <c r="P189" s="186"/>
      <c r="Q189" s="186"/>
      <c r="R189" s="186"/>
      <c r="S189" s="186"/>
      <c r="T189" s="186" t="s">
        <v>2830</v>
      </c>
      <c r="U189" s="186"/>
      <c r="V189" s="186"/>
      <c r="W189" s="186"/>
    </row>
    <row r="190" spans="1:28" ht="12.5" hidden="1">
      <c r="A190" s="213"/>
      <c r="B190" s="213"/>
      <c r="C190" s="210"/>
      <c r="D190" s="297"/>
      <c r="E190" s="186" t="s">
        <v>59</v>
      </c>
      <c r="F190" s="186" t="s">
        <v>2831</v>
      </c>
      <c r="G190" s="186" t="s">
        <v>2832</v>
      </c>
      <c r="H190" s="186" t="s">
        <v>682</v>
      </c>
      <c r="I190" s="186"/>
      <c r="J190" s="186"/>
      <c r="K190" s="186" t="s">
        <v>680</v>
      </c>
      <c r="L190" s="186"/>
      <c r="M190" s="186"/>
      <c r="N190" s="186"/>
      <c r="O190" s="186"/>
      <c r="P190" s="186"/>
      <c r="Q190" s="186"/>
      <c r="R190" s="186"/>
      <c r="S190" s="186"/>
      <c r="T190" s="186" t="s">
        <v>2833</v>
      </c>
      <c r="U190" s="186"/>
      <c r="V190" s="186"/>
      <c r="W190" s="186"/>
    </row>
    <row r="191" spans="1:28" ht="37.5">
      <c r="A191" s="213"/>
      <c r="B191" s="213"/>
      <c r="C191" s="210"/>
      <c r="D191" s="297" t="s">
        <v>682</v>
      </c>
      <c r="E191" s="186" t="s">
        <v>61</v>
      </c>
      <c r="F191" s="186" t="s">
        <v>163</v>
      </c>
      <c r="G191" s="186" t="s">
        <v>691</v>
      </c>
      <c r="H191" s="186" t="s">
        <v>682</v>
      </c>
      <c r="I191" s="186"/>
      <c r="J191" s="186"/>
      <c r="K191" s="186" t="s">
        <v>682</v>
      </c>
      <c r="L191" s="123" t="s">
        <v>2997</v>
      </c>
      <c r="M191" s="123" t="s">
        <v>3005</v>
      </c>
      <c r="N191" s="186"/>
      <c r="O191" s="186"/>
      <c r="P191" s="123"/>
      <c r="Q191" s="186"/>
      <c r="R191" s="186"/>
      <c r="S191" s="90" t="s">
        <v>2836</v>
      </c>
      <c r="T191" s="186" t="s">
        <v>2837</v>
      </c>
      <c r="U191" s="186"/>
      <c r="V191" s="186"/>
      <c r="W191" s="186"/>
      <c r="X191">
        <v>7</v>
      </c>
      <c r="Z191" t="s">
        <v>2645</v>
      </c>
      <c r="AA191" s="30">
        <v>43538</v>
      </c>
      <c r="AB191" t="s">
        <v>2646</v>
      </c>
    </row>
    <row r="192" spans="1:28" ht="25">
      <c r="A192" s="213"/>
      <c r="B192" s="213"/>
      <c r="C192" s="210"/>
      <c r="D192" s="297"/>
      <c r="E192" s="186" t="s">
        <v>61</v>
      </c>
      <c r="F192" s="186" t="s">
        <v>164</v>
      </c>
      <c r="G192" s="186" t="s">
        <v>691</v>
      </c>
      <c r="H192" s="186" t="s">
        <v>682</v>
      </c>
      <c r="I192" s="186"/>
      <c r="J192" s="186"/>
      <c r="K192" s="186" t="s">
        <v>682</v>
      </c>
      <c r="L192" s="123" t="s">
        <v>2999</v>
      </c>
      <c r="M192" s="123" t="s">
        <v>3006</v>
      </c>
      <c r="N192" s="186"/>
      <c r="O192" s="186"/>
      <c r="P192" s="123"/>
      <c r="Q192" s="186"/>
      <c r="R192" s="186"/>
      <c r="S192" s="90" t="s">
        <v>2164</v>
      </c>
      <c r="T192" s="186" t="s">
        <v>2839</v>
      </c>
      <c r="U192" s="186"/>
      <c r="V192" s="186"/>
      <c r="W192" s="186"/>
      <c r="X192">
        <v>8</v>
      </c>
      <c r="Z192" t="s">
        <v>2645</v>
      </c>
      <c r="AA192" s="30">
        <v>43538</v>
      </c>
      <c r="AB192" t="s">
        <v>2646</v>
      </c>
    </row>
    <row r="193" spans="1:28" ht="25" hidden="1">
      <c r="A193" s="213"/>
      <c r="B193" s="213"/>
      <c r="C193" s="210"/>
      <c r="D193" s="297"/>
      <c r="E193" s="186" t="s">
        <v>55</v>
      </c>
      <c r="F193" s="79" t="s">
        <v>165</v>
      </c>
      <c r="G193" s="186" t="s">
        <v>683</v>
      </c>
      <c r="H193" s="186" t="s">
        <v>682</v>
      </c>
      <c r="I193" s="186"/>
      <c r="J193" s="186"/>
      <c r="K193" s="186" t="s">
        <v>680</v>
      </c>
      <c r="L193" s="123"/>
      <c r="M193" s="186"/>
      <c r="N193" s="186"/>
      <c r="O193" s="186"/>
      <c r="P193" s="123"/>
      <c r="Q193" s="186"/>
      <c r="R193" s="186"/>
      <c r="S193" s="186">
        <v>1</v>
      </c>
      <c r="T193" s="186" t="s">
        <v>2841</v>
      </c>
      <c r="U193" s="186"/>
      <c r="V193" s="186"/>
      <c r="W193" s="186"/>
      <c r="X193">
        <v>3</v>
      </c>
      <c r="Z193" t="s">
        <v>2645</v>
      </c>
      <c r="AA193" s="30">
        <v>43538</v>
      </c>
      <c r="AB193" t="s">
        <v>2646</v>
      </c>
    </row>
    <row r="194" spans="1:28" ht="18.75" customHeight="1">
      <c r="A194" s="213"/>
      <c r="B194" s="213"/>
      <c r="C194" s="210"/>
      <c r="D194" s="297"/>
      <c r="E194" s="186" t="s">
        <v>61</v>
      </c>
      <c r="F194" s="79" t="s">
        <v>2339</v>
      </c>
      <c r="G194" s="186" t="s">
        <v>3007</v>
      </c>
      <c r="H194" s="186" t="s">
        <v>680</v>
      </c>
      <c r="I194" s="186"/>
      <c r="J194" s="186"/>
      <c r="K194" s="186" t="s">
        <v>682</v>
      </c>
      <c r="L194" s="123" t="s">
        <v>2938</v>
      </c>
      <c r="M194" s="123" t="s">
        <v>3008</v>
      </c>
      <c r="N194" s="186"/>
      <c r="O194" s="186"/>
      <c r="P194" s="123"/>
      <c r="Q194" s="186"/>
      <c r="R194" s="186"/>
      <c r="S194" s="186"/>
      <c r="T194" s="186"/>
      <c r="U194" s="186"/>
      <c r="V194" s="186"/>
      <c r="W194" s="186"/>
      <c r="AA194" s="30"/>
    </row>
    <row r="195" spans="1:28" ht="12" hidden="1" customHeight="1">
      <c r="A195" s="213"/>
      <c r="B195" s="213"/>
      <c r="C195" s="210"/>
      <c r="D195" s="297" t="s">
        <v>682</v>
      </c>
      <c r="E195" s="186" t="s">
        <v>59</v>
      </c>
      <c r="F195" s="186" t="s">
        <v>2842</v>
      </c>
      <c r="G195" s="186" t="s">
        <v>683</v>
      </c>
      <c r="H195" s="186" t="s">
        <v>682</v>
      </c>
      <c r="I195" s="186"/>
      <c r="J195" s="186"/>
      <c r="K195" s="186" t="s">
        <v>680</v>
      </c>
      <c r="L195" s="186"/>
      <c r="M195" s="186"/>
      <c r="N195" s="186"/>
      <c r="O195" s="186"/>
      <c r="P195" s="186"/>
      <c r="Q195" s="186"/>
      <c r="R195" s="186"/>
      <c r="S195" s="186"/>
      <c r="T195" s="186" t="s">
        <v>2843</v>
      </c>
      <c r="U195" s="186"/>
      <c r="V195" s="186"/>
      <c r="W195" s="186"/>
    </row>
    <row r="196" spans="1:28" ht="12" hidden="1" customHeight="1">
      <c r="A196" s="213"/>
      <c r="B196" s="213"/>
      <c r="C196" s="210"/>
      <c r="D196" s="297"/>
      <c r="E196" s="186" t="s">
        <v>55</v>
      </c>
      <c r="F196" s="186" t="s">
        <v>2844</v>
      </c>
      <c r="G196" s="186" t="s">
        <v>683</v>
      </c>
      <c r="H196" s="186" t="s">
        <v>682</v>
      </c>
      <c r="I196" s="186"/>
      <c r="J196" s="186"/>
      <c r="K196" s="186" t="s">
        <v>680</v>
      </c>
      <c r="L196" s="186"/>
      <c r="M196" s="186"/>
      <c r="N196" s="186"/>
      <c r="O196" s="186"/>
      <c r="P196" s="186"/>
      <c r="Q196" s="186"/>
      <c r="R196" s="186"/>
      <c r="S196" s="186"/>
      <c r="T196" s="186" t="s">
        <v>2843</v>
      </c>
      <c r="U196" s="186"/>
      <c r="V196" s="186"/>
      <c r="W196" s="186"/>
    </row>
    <row r="197" spans="1:28" ht="12" hidden="1" customHeight="1">
      <c r="A197" s="213"/>
      <c r="B197" s="213"/>
      <c r="C197" s="210"/>
      <c r="D197" s="297"/>
      <c r="E197" s="186" t="s">
        <v>55</v>
      </c>
      <c r="F197" s="186" t="s">
        <v>2845</v>
      </c>
      <c r="G197" s="186" t="s">
        <v>683</v>
      </c>
      <c r="H197" s="186" t="s">
        <v>682</v>
      </c>
      <c r="I197" s="186"/>
      <c r="J197" s="186"/>
      <c r="K197" s="186" t="s">
        <v>680</v>
      </c>
      <c r="L197" s="186"/>
      <c r="M197" s="186"/>
      <c r="N197" s="186"/>
      <c r="O197" s="186"/>
      <c r="P197" s="186"/>
      <c r="Q197" s="186"/>
      <c r="R197" s="186"/>
      <c r="S197" s="186"/>
      <c r="T197" s="186" t="s">
        <v>2843</v>
      </c>
      <c r="U197" s="186"/>
      <c r="V197" s="186"/>
      <c r="W197" s="186"/>
    </row>
    <row r="198" spans="1:28" ht="12" hidden="1" customHeight="1">
      <c r="A198" s="213"/>
      <c r="B198" s="213"/>
      <c r="C198" s="210"/>
      <c r="D198" s="297"/>
      <c r="E198" s="186" t="s">
        <v>55</v>
      </c>
      <c r="F198" s="186" t="s">
        <v>2846</v>
      </c>
      <c r="G198" s="186" t="s">
        <v>683</v>
      </c>
      <c r="H198" s="186" t="s">
        <v>682</v>
      </c>
      <c r="I198" s="186"/>
      <c r="J198" s="186"/>
      <c r="K198" s="186" t="s">
        <v>680</v>
      </c>
      <c r="L198" s="186"/>
      <c r="M198" s="186"/>
      <c r="N198" s="186"/>
      <c r="O198" s="186"/>
      <c r="P198" s="186"/>
      <c r="Q198" s="186"/>
      <c r="R198" s="186"/>
      <c r="S198" s="186"/>
      <c r="T198" s="186" t="s">
        <v>2843</v>
      </c>
      <c r="U198" s="186"/>
      <c r="V198" s="186"/>
      <c r="W198" s="186"/>
    </row>
    <row r="199" spans="1:28" ht="12" hidden="1" customHeight="1">
      <c r="A199" s="213"/>
      <c r="B199" s="213"/>
      <c r="C199" s="210"/>
      <c r="D199" s="297" t="s">
        <v>682</v>
      </c>
      <c r="E199" s="186" t="s">
        <v>59</v>
      </c>
      <c r="F199" s="186" t="s">
        <v>2847</v>
      </c>
      <c r="G199" s="186" t="s">
        <v>683</v>
      </c>
      <c r="H199" s="186" t="s">
        <v>682</v>
      </c>
      <c r="I199" s="186"/>
      <c r="J199" s="186"/>
      <c r="K199" s="186" t="s">
        <v>680</v>
      </c>
      <c r="L199" s="186"/>
      <c r="M199" s="186"/>
      <c r="N199" s="186"/>
      <c r="O199" s="186"/>
      <c r="P199" s="186"/>
      <c r="Q199" s="186"/>
      <c r="R199" s="186"/>
      <c r="S199" s="186"/>
      <c r="T199" s="186" t="s">
        <v>2843</v>
      </c>
      <c r="U199" s="186"/>
      <c r="V199" s="186"/>
      <c r="W199" s="186"/>
    </row>
    <row r="200" spans="1:28" ht="12" hidden="1" customHeight="1">
      <c r="A200" s="213"/>
      <c r="B200" s="213"/>
      <c r="C200" s="210"/>
      <c r="D200" s="297"/>
      <c r="E200" s="186" t="s">
        <v>55</v>
      </c>
      <c r="F200" s="186" t="s">
        <v>2848</v>
      </c>
      <c r="G200" s="186" t="s">
        <v>683</v>
      </c>
      <c r="H200" s="186" t="s">
        <v>682</v>
      </c>
      <c r="I200" s="186"/>
      <c r="J200" s="186"/>
      <c r="K200" s="186" t="s">
        <v>680</v>
      </c>
      <c r="L200" s="186"/>
      <c r="M200" s="186"/>
      <c r="N200" s="186"/>
      <c r="O200" s="186"/>
      <c r="P200" s="186"/>
      <c r="Q200" s="186"/>
      <c r="R200" s="186"/>
      <c r="S200" s="186"/>
      <c r="T200" s="186" t="s">
        <v>2843</v>
      </c>
      <c r="U200" s="186"/>
      <c r="V200" s="186"/>
      <c r="W200" s="186"/>
    </row>
    <row r="201" spans="1:28" ht="12" hidden="1" customHeight="1">
      <c r="A201" s="213"/>
      <c r="B201" s="213"/>
      <c r="C201" s="210"/>
      <c r="D201" s="297" t="s">
        <v>682</v>
      </c>
      <c r="E201" s="186" t="s">
        <v>59</v>
      </c>
      <c r="F201" s="186" t="s">
        <v>2849</v>
      </c>
      <c r="G201" s="186" t="s">
        <v>683</v>
      </c>
      <c r="H201" s="186" t="s">
        <v>682</v>
      </c>
      <c r="I201" s="186"/>
      <c r="J201" s="186"/>
      <c r="K201" s="186" t="s">
        <v>680</v>
      </c>
      <c r="L201" s="186"/>
      <c r="M201" s="186"/>
      <c r="N201" s="186"/>
      <c r="O201" s="186"/>
      <c r="P201" s="186"/>
      <c r="Q201" s="186"/>
      <c r="R201" s="186"/>
      <c r="S201" s="186"/>
      <c r="T201" s="186" t="s">
        <v>2843</v>
      </c>
      <c r="U201" s="186"/>
      <c r="V201" s="186"/>
      <c r="W201" s="186"/>
    </row>
    <row r="202" spans="1:28" ht="12" hidden="1" customHeight="1">
      <c r="A202" s="213"/>
      <c r="B202" s="213"/>
      <c r="C202" s="210"/>
      <c r="D202" s="297" t="s">
        <v>682</v>
      </c>
      <c r="E202" s="186" t="s">
        <v>59</v>
      </c>
      <c r="F202" s="186" t="s">
        <v>2850</v>
      </c>
      <c r="G202" s="186" t="s">
        <v>683</v>
      </c>
      <c r="H202" s="186" t="s">
        <v>682</v>
      </c>
      <c r="I202" s="186"/>
      <c r="J202" s="186"/>
      <c r="K202" s="186" t="s">
        <v>680</v>
      </c>
      <c r="L202" s="186"/>
      <c r="M202" s="186"/>
      <c r="N202" s="186"/>
      <c r="O202" s="186"/>
      <c r="P202" s="186"/>
      <c r="Q202" s="186"/>
      <c r="R202" s="186"/>
      <c r="S202" s="186"/>
      <c r="T202" s="186" t="s">
        <v>2843</v>
      </c>
      <c r="U202" s="186"/>
      <c r="V202" s="186"/>
      <c r="W202" s="186"/>
    </row>
    <row r="203" spans="1:28" ht="12" hidden="1" customHeight="1">
      <c r="A203" s="213"/>
      <c r="B203" s="213"/>
      <c r="C203" s="210"/>
      <c r="D203" s="297"/>
      <c r="E203" s="186" t="s">
        <v>55</v>
      </c>
      <c r="F203" s="186" t="s">
        <v>2851</v>
      </c>
      <c r="G203" s="186" t="s">
        <v>683</v>
      </c>
      <c r="H203" s="186" t="s">
        <v>682</v>
      </c>
      <c r="I203" s="186"/>
      <c r="J203" s="186"/>
      <c r="K203" s="186" t="s">
        <v>680</v>
      </c>
      <c r="L203" s="186"/>
      <c r="M203" s="186"/>
      <c r="N203" s="186"/>
      <c r="O203" s="186"/>
      <c r="P203" s="186"/>
      <c r="Q203" s="186"/>
      <c r="R203" s="186"/>
      <c r="S203" s="186"/>
      <c r="T203" s="186" t="s">
        <v>2843</v>
      </c>
      <c r="U203" s="186"/>
      <c r="V203" s="186"/>
      <c r="W203" s="186"/>
    </row>
    <row r="204" spans="1:28" ht="12" hidden="1" customHeight="1">
      <c r="A204" s="213"/>
      <c r="B204" s="213"/>
      <c r="C204" s="210"/>
      <c r="D204" s="297"/>
      <c r="E204" s="186" t="s">
        <v>55</v>
      </c>
      <c r="F204" s="186" t="s">
        <v>2852</v>
      </c>
      <c r="G204" s="186" t="s">
        <v>683</v>
      </c>
      <c r="H204" s="186" t="s">
        <v>682</v>
      </c>
      <c r="I204" s="186"/>
      <c r="J204" s="186"/>
      <c r="K204" s="186" t="s">
        <v>680</v>
      </c>
      <c r="L204" s="186"/>
      <c r="M204" s="186"/>
      <c r="N204" s="186"/>
      <c r="O204" s="186"/>
      <c r="P204" s="186"/>
      <c r="Q204" s="186"/>
      <c r="R204" s="186"/>
      <c r="S204" s="186"/>
      <c r="T204" s="186" t="s">
        <v>2843</v>
      </c>
      <c r="U204" s="186"/>
      <c r="V204" s="186"/>
      <c r="W204" s="186"/>
    </row>
    <row r="205" spans="1:28" ht="12" hidden="1" customHeight="1">
      <c r="A205" s="213"/>
      <c r="B205" s="213"/>
      <c r="C205" s="210"/>
      <c r="D205" s="297" t="s">
        <v>682</v>
      </c>
      <c r="E205" s="186" t="s">
        <v>59</v>
      </c>
      <c r="F205" s="186" t="s">
        <v>2853</v>
      </c>
      <c r="G205" s="186" t="s">
        <v>683</v>
      </c>
      <c r="H205" s="186" t="s">
        <v>682</v>
      </c>
      <c r="I205" s="186"/>
      <c r="J205" s="186"/>
      <c r="K205" s="186" t="s">
        <v>680</v>
      </c>
      <c r="L205" s="186"/>
      <c r="M205" s="186"/>
      <c r="N205" s="186"/>
      <c r="O205" s="186"/>
      <c r="P205" s="186"/>
      <c r="Q205" s="186"/>
      <c r="R205" s="186"/>
      <c r="S205" s="186"/>
      <c r="T205" s="186" t="s">
        <v>2843</v>
      </c>
      <c r="U205" s="186"/>
      <c r="V205" s="186"/>
      <c r="W205" s="186"/>
    </row>
    <row r="206" spans="1:28" ht="12" hidden="1" customHeight="1">
      <c r="A206" s="213"/>
      <c r="B206" s="213"/>
      <c r="C206" s="210"/>
      <c r="D206" s="297" t="s">
        <v>682</v>
      </c>
      <c r="E206" s="186" t="s">
        <v>59</v>
      </c>
      <c r="F206" s="186" t="s">
        <v>2854</v>
      </c>
      <c r="G206" s="186" t="s">
        <v>683</v>
      </c>
      <c r="H206" s="186" t="s">
        <v>682</v>
      </c>
      <c r="I206" s="186"/>
      <c r="J206" s="186"/>
      <c r="K206" s="186" t="s">
        <v>680</v>
      </c>
      <c r="L206" s="186"/>
      <c r="M206" s="186"/>
      <c r="N206" s="186"/>
      <c r="O206" s="186"/>
      <c r="P206" s="186"/>
      <c r="Q206" s="186"/>
      <c r="R206" s="186"/>
      <c r="S206" s="186"/>
      <c r="T206" s="186" t="s">
        <v>2843</v>
      </c>
      <c r="U206" s="186"/>
      <c r="V206" s="186"/>
      <c r="W206" s="186"/>
    </row>
    <row r="207" spans="1:28" ht="12" hidden="1" customHeight="1">
      <c r="A207" s="213"/>
      <c r="B207" s="213"/>
      <c r="C207" s="210"/>
      <c r="D207" s="297"/>
      <c r="E207" s="186" t="s">
        <v>55</v>
      </c>
      <c r="F207" s="186" t="s">
        <v>2855</v>
      </c>
      <c r="G207" s="186" t="s">
        <v>683</v>
      </c>
      <c r="H207" s="186" t="s">
        <v>682</v>
      </c>
      <c r="I207" s="186"/>
      <c r="J207" s="186"/>
      <c r="K207" s="186" t="s">
        <v>680</v>
      </c>
      <c r="L207" s="186"/>
      <c r="M207" s="186"/>
      <c r="N207" s="186"/>
      <c r="O207" s="186"/>
      <c r="P207" s="186"/>
      <c r="Q207" s="186"/>
      <c r="R207" s="186"/>
      <c r="S207" s="186"/>
      <c r="T207" s="186" t="s">
        <v>2843</v>
      </c>
      <c r="U207" s="186"/>
      <c r="V207" s="186"/>
      <c r="W207" s="186"/>
    </row>
    <row r="208" spans="1:28" ht="12" hidden="1" customHeight="1">
      <c r="A208" s="213"/>
      <c r="B208" s="213"/>
      <c r="C208" s="210"/>
      <c r="D208" s="297" t="s">
        <v>682</v>
      </c>
      <c r="E208" s="186" t="s">
        <v>59</v>
      </c>
      <c r="F208" s="186" t="s">
        <v>2856</v>
      </c>
      <c r="G208" s="186" t="s">
        <v>683</v>
      </c>
      <c r="H208" s="186" t="s">
        <v>682</v>
      </c>
      <c r="I208" s="186"/>
      <c r="J208" s="186"/>
      <c r="K208" s="186" t="s">
        <v>680</v>
      </c>
      <c r="L208" s="186"/>
      <c r="M208" s="186"/>
      <c r="N208" s="186"/>
      <c r="O208" s="186"/>
      <c r="P208" s="186"/>
      <c r="Q208" s="186"/>
      <c r="R208" s="186"/>
      <c r="S208" s="186"/>
      <c r="T208" s="186" t="s">
        <v>2843</v>
      </c>
      <c r="U208" s="186"/>
      <c r="V208" s="186"/>
      <c r="W208" s="186"/>
    </row>
    <row r="209" spans="1:23" ht="12" hidden="1" customHeight="1">
      <c r="A209" s="213"/>
      <c r="B209" s="213"/>
      <c r="C209" s="210"/>
      <c r="D209" s="297"/>
      <c r="E209" s="186" t="s">
        <v>55</v>
      </c>
      <c r="F209" s="186" t="s">
        <v>2857</v>
      </c>
      <c r="G209" s="186" t="s">
        <v>683</v>
      </c>
      <c r="H209" s="186" t="s">
        <v>682</v>
      </c>
      <c r="I209" s="186"/>
      <c r="J209" s="186"/>
      <c r="K209" s="186" t="s">
        <v>680</v>
      </c>
      <c r="L209" s="186"/>
      <c r="M209" s="186"/>
      <c r="N209" s="186"/>
      <c r="O209" s="186"/>
      <c r="P209" s="186"/>
      <c r="Q209" s="186"/>
      <c r="R209" s="186"/>
      <c r="S209" s="186"/>
      <c r="T209" s="186" t="s">
        <v>2858</v>
      </c>
      <c r="U209" s="186"/>
      <c r="V209" s="186"/>
      <c r="W209" s="186"/>
    </row>
    <row r="210" spans="1:23" ht="12" hidden="1" customHeight="1">
      <c r="A210" s="213"/>
      <c r="B210" s="213"/>
      <c r="C210" s="210"/>
      <c r="D210" s="297"/>
      <c r="E210" s="186" t="s">
        <v>55</v>
      </c>
      <c r="F210" s="186" t="s">
        <v>2859</v>
      </c>
      <c r="G210" s="186" t="s">
        <v>683</v>
      </c>
      <c r="H210" s="186" t="s">
        <v>682</v>
      </c>
      <c r="I210" s="186"/>
      <c r="J210" s="186"/>
      <c r="K210" s="186" t="s">
        <v>680</v>
      </c>
      <c r="L210" s="186"/>
      <c r="M210" s="186"/>
      <c r="N210" s="186"/>
      <c r="O210" s="186"/>
      <c r="P210" s="186"/>
      <c r="Q210" s="186"/>
      <c r="R210" s="186"/>
      <c r="S210" s="186"/>
      <c r="T210" s="186" t="s">
        <v>2858</v>
      </c>
      <c r="U210" s="186"/>
      <c r="V210" s="186"/>
      <c r="W210" s="186"/>
    </row>
    <row r="211" spans="1:23" ht="12" hidden="1" customHeight="1">
      <c r="A211" s="213"/>
      <c r="B211" s="213"/>
      <c r="C211" s="210"/>
      <c r="D211" s="297"/>
      <c r="E211" s="186" t="s">
        <v>55</v>
      </c>
      <c r="F211" s="186" t="s">
        <v>2860</v>
      </c>
      <c r="G211" s="186" t="s">
        <v>683</v>
      </c>
      <c r="H211" s="186" t="s">
        <v>682</v>
      </c>
      <c r="I211" s="186"/>
      <c r="J211" s="186"/>
      <c r="K211" s="186" t="s">
        <v>680</v>
      </c>
      <c r="L211" s="186"/>
      <c r="M211" s="186"/>
      <c r="N211" s="186"/>
      <c r="O211" s="186"/>
      <c r="P211" s="186"/>
      <c r="Q211" s="186"/>
      <c r="R211" s="186"/>
      <c r="S211" s="186"/>
      <c r="T211" s="186" t="s">
        <v>2858</v>
      </c>
      <c r="U211" s="186"/>
      <c r="V211" s="186"/>
      <c r="W211" s="186"/>
    </row>
    <row r="212" spans="1:23" ht="12" hidden="1" customHeight="1">
      <c r="A212" s="213"/>
      <c r="B212" s="213"/>
      <c r="C212" s="210"/>
      <c r="D212" s="297"/>
      <c r="E212" s="186" t="s">
        <v>55</v>
      </c>
      <c r="F212" s="186" t="s">
        <v>2861</v>
      </c>
      <c r="G212" s="186" t="s">
        <v>683</v>
      </c>
      <c r="H212" s="186" t="s">
        <v>682</v>
      </c>
      <c r="I212" s="186"/>
      <c r="J212" s="186"/>
      <c r="K212" s="186" t="s">
        <v>680</v>
      </c>
      <c r="L212" s="186"/>
      <c r="M212" s="186"/>
      <c r="N212" s="186"/>
      <c r="O212" s="186"/>
      <c r="P212" s="186"/>
      <c r="Q212" s="186"/>
      <c r="R212" s="186"/>
      <c r="S212" s="186"/>
      <c r="T212" s="186" t="s">
        <v>2858</v>
      </c>
      <c r="U212" s="186"/>
      <c r="V212" s="186"/>
      <c r="W212" s="186"/>
    </row>
    <row r="213" spans="1:23" ht="12" hidden="1" customHeight="1">
      <c r="A213" s="213"/>
      <c r="B213" s="213"/>
      <c r="C213" s="210"/>
      <c r="D213" s="297"/>
      <c r="E213" s="186" t="s">
        <v>55</v>
      </c>
      <c r="F213" s="186" t="s">
        <v>2862</v>
      </c>
      <c r="G213" s="186" t="s">
        <v>683</v>
      </c>
      <c r="H213" s="186" t="s">
        <v>682</v>
      </c>
      <c r="I213" s="186"/>
      <c r="J213" s="186"/>
      <c r="K213" s="186" t="s">
        <v>680</v>
      </c>
      <c r="L213" s="186"/>
      <c r="M213" s="186"/>
      <c r="N213" s="186"/>
      <c r="O213" s="186"/>
      <c r="P213" s="186"/>
      <c r="Q213" s="186"/>
      <c r="R213" s="186"/>
      <c r="S213" s="186"/>
      <c r="T213" s="186" t="s">
        <v>2858</v>
      </c>
      <c r="U213" s="186"/>
      <c r="V213" s="186"/>
      <c r="W213" s="186"/>
    </row>
    <row r="214" spans="1:23" ht="12" hidden="1" customHeight="1">
      <c r="A214" s="213"/>
      <c r="B214" s="213"/>
      <c r="C214" s="210"/>
      <c r="D214" s="297"/>
      <c r="E214" s="186" t="s">
        <v>55</v>
      </c>
      <c r="F214" s="186" t="s">
        <v>2863</v>
      </c>
      <c r="G214" s="186" t="s">
        <v>683</v>
      </c>
      <c r="H214" s="186" t="s">
        <v>682</v>
      </c>
      <c r="I214" s="186"/>
      <c r="J214" s="186"/>
      <c r="K214" s="186" t="s">
        <v>680</v>
      </c>
      <c r="L214" s="186"/>
      <c r="M214" s="186"/>
      <c r="N214" s="186"/>
      <c r="O214" s="186"/>
      <c r="P214" s="186"/>
      <c r="Q214" s="186"/>
      <c r="R214" s="186"/>
      <c r="S214" s="186"/>
      <c r="T214" s="186" t="s">
        <v>2858</v>
      </c>
      <c r="U214" s="186"/>
      <c r="V214" s="186"/>
      <c r="W214" s="186"/>
    </row>
    <row r="215" spans="1:23" ht="12" hidden="1" customHeight="1">
      <c r="A215" s="213"/>
      <c r="B215" s="213"/>
      <c r="C215" s="210"/>
      <c r="D215" s="297"/>
      <c r="E215" s="186" t="s">
        <v>55</v>
      </c>
      <c r="F215" s="186" t="s">
        <v>2864</v>
      </c>
      <c r="G215" s="186" t="s">
        <v>683</v>
      </c>
      <c r="H215" s="186" t="s">
        <v>682</v>
      </c>
      <c r="I215" s="186"/>
      <c r="J215" s="186"/>
      <c r="K215" s="186" t="s">
        <v>680</v>
      </c>
      <c r="L215" s="186"/>
      <c r="M215" s="186"/>
      <c r="N215" s="186"/>
      <c r="O215" s="186"/>
      <c r="P215" s="186"/>
      <c r="Q215" s="186"/>
      <c r="R215" s="186"/>
      <c r="S215" s="186"/>
      <c r="T215" s="186" t="s">
        <v>2858</v>
      </c>
      <c r="U215" s="186"/>
      <c r="V215" s="186"/>
      <c r="W215" s="186"/>
    </row>
    <row r="216" spans="1:23" ht="12" hidden="1" customHeight="1">
      <c r="A216" s="213"/>
      <c r="B216" s="213"/>
      <c r="C216" s="210"/>
      <c r="D216" s="297"/>
      <c r="E216" s="186" t="s">
        <v>55</v>
      </c>
      <c r="F216" s="186" t="s">
        <v>2865</v>
      </c>
      <c r="G216" s="186" t="s">
        <v>683</v>
      </c>
      <c r="H216" s="186" t="s">
        <v>682</v>
      </c>
      <c r="I216" s="186"/>
      <c r="J216" s="186"/>
      <c r="K216" s="186" t="s">
        <v>680</v>
      </c>
      <c r="L216" s="186"/>
      <c r="M216" s="186"/>
      <c r="N216" s="186"/>
      <c r="O216" s="186"/>
      <c r="P216" s="186"/>
      <c r="Q216" s="186"/>
      <c r="R216" s="186"/>
      <c r="S216" s="186"/>
      <c r="T216" s="186" t="s">
        <v>2858</v>
      </c>
      <c r="U216" s="186"/>
      <c r="V216" s="186"/>
      <c r="W216" s="186"/>
    </row>
    <row r="217" spans="1:23" ht="12" hidden="1" customHeight="1">
      <c r="A217" s="213"/>
      <c r="B217" s="213"/>
      <c r="C217" s="210"/>
      <c r="D217" s="297"/>
      <c r="E217" s="186" t="s">
        <v>55</v>
      </c>
      <c r="F217" s="186" t="s">
        <v>2866</v>
      </c>
      <c r="G217" s="186" t="s">
        <v>683</v>
      </c>
      <c r="H217" s="186" t="s">
        <v>682</v>
      </c>
      <c r="I217" s="186"/>
      <c r="J217" s="186"/>
      <c r="K217" s="186" t="s">
        <v>680</v>
      </c>
      <c r="L217" s="186"/>
      <c r="M217" s="186"/>
      <c r="N217" s="186"/>
      <c r="O217" s="186"/>
      <c r="P217" s="186"/>
      <c r="Q217" s="186"/>
      <c r="R217" s="186"/>
      <c r="S217" s="186"/>
      <c r="T217" s="186" t="s">
        <v>2858</v>
      </c>
      <c r="U217" s="186"/>
      <c r="V217" s="186"/>
      <c r="W217" s="186"/>
    </row>
    <row r="218" spans="1:23" ht="12" hidden="1" customHeight="1">
      <c r="A218" s="213"/>
      <c r="B218" s="213"/>
      <c r="C218" s="210"/>
      <c r="D218" s="297"/>
      <c r="E218" s="186" t="s">
        <v>55</v>
      </c>
      <c r="F218" s="186" t="s">
        <v>2867</v>
      </c>
      <c r="G218" s="186" t="s">
        <v>683</v>
      </c>
      <c r="H218" s="186" t="s">
        <v>682</v>
      </c>
      <c r="I218" s="186"/>
      <c r="J218" s="186"/>
      <c r="K218" s="186" t="s">
        <v>680</v>
      </c>
      <c r="L218" s="186"/>
      <c r="M218" s="186"/>
      <c r="N218" s="186"/>
      <c r="O218" s="186"/>
      <c r="P218" s="186"/>
      <c r="Q218" s="186"/>
      <c r="R218" s="186"/>
      <c r="S218" s="186"/>
      <c r="T218" s="186" t="s">
        <v>2858</v>
      </c>
      <c r="U218" s="186"/>
      <c r="V218" s="186"/>
      <c r="W218" s="186"/>
    </row>
    <row r="219" spans="1:23" ht="12" hidden="1" customHeight="1">
      <c r="A219" s="213"/>
      <c r="B219" s="213"/>
      <c r="C219" s="210"/>
      <c r="D219" s="297"/>
      <c r="E219" s="186" t="s">
        <v>55</v>
      </c>
      <c r="F219" s="186" t="s">
        <v>2868</v>
      </c>
      <c r="G219" s="186" t="s">
        <v>683</v>
      </c>
      <c r="H219" s="186" t="s">
        <v>682</v>
      </c>
      <c r="I219" s="186"/>
      <c r="J219" s="186"/>
      <c r="K219" s="186" t="s">
        <v>680</v>
      </c>
      <c r="L219" s="186"/>
      <c r="M219" s="186"/>
      <c r="N219" s="186"/>
      <c r="O219" s="186"/>
      <c r="P219" s="186"/>
      <c r="Q219" s="186"/>
      <c r="R219" s="186"/>
      <c r="S219" s="186"/>
      <c r="T219" s="186" t="s">
        <v>2858</v>
      </c>
      <c r="U219" s="186"/>
      <c r="V219" s="186"/>
      <c r="W219" s="186"/>
    </row>
    <row r="220" spans="1:23" ht="12" hidden="1" customHeight="1">
      <c r="A220" s="213"/>
      <c r="B220" s="213"/>
      <c r="C220" s="210"/>
      <c r="D220" s="297"/>
      <c r="E220" s="186" t="s">
        <v>55</v>
      </c>
      <c r="F220" s="186" t="s">
        <v>2869</v>
      </c>
      <c r="G220" s="186" t="s">
        <v>683</v>
      </c>
      <c r="H220" s="186" t="s">
        <v>682</v>
      </c>
      <c r="I220" s="186"/>
      <c r="J220" s="186"/>
      <c r="K220" s="186" t="s">
        <v>680</v>
      </c>
      <c r="L220" s="186"/>
      <c r="M220" s="186"/>
      <c r="N220" s="186"/>
      <c r="O220" s="186"/>
      <c r="P220" s="186"/>
      <c r="Q220" s="186"/>
      <c r="R220" s="186"/>
      <c r="S220" s="186"/>
      <c r="T220" s="186" t="s">
        <v>2858</v>
      </c>
      <c r="U220" s="186"/>
      <c r="V220" s="186"/>
      <c r="W220" s="186"/>
    </row>
    <row r="221" spans="1:23" ht="12" hidden="1" customHeight="1">
      <c r="A221" s="213"/>
      <c r="B221" s="213"/>
      <c r="C221" s="210"/>
      <c r="D221" s="297"/>
      <c r="E221" s="186" t="s">
        <v>55</v>
      </c>
      <c r="F221" s="186" t="s">
        <v>2870</v>
      </c>
      <c r="G221" s="186" t="s">
        <v>683</v>
      </c>
      <c r="H221" s="186" t="s">
        <v>682</v>
      </c>
      <c r="I221" s="186"/>
      <c r="J221" s="186"/>
      <c r="K221" s="186" t="s">
        <v>680</v>
      </c>
      <c r="L221" s="186"/>
      <c r="M221" s="186"/>
      <c r="N221" s="186"/>
      <c r="O221" s="186"/>
      <c r="P221" s="186"/>
      <c r="Q221" s="186"/>
      <c r="R221" s="186"/>
      <c r="S221" s="186"/>
      <c r="T221" s="186" t="s">
        <v>2858</v>
      </c>
      <c r="U221" s="186"/>
      <c r="V221" s="186"/>
      <c r="W221" s="186"/>
    </row>
    <row r="222" spans="1:23" ht="12" hidden="1" customHeight="1">
      <c r="A222" s="213"/>
      <c r="B222" s="213"/>
      <c r="C222" s="210"/>
      <c r="D222" s="297"/>
      <c r="E222" s="186" t="s">
        <v>55</v>
      </c>
      <c r="F222" s="186" t="s">
        <v>2871</v>
      </c>
      <c r="G222" s="186" t="s">
        <v>683</v>
      </c>
      <c r="H222" s="186" t="s">
        <v>682</v>
      </c>
      <c r="I222" s="186"/>
      <c r="J222" s="186"/>
      <c r="K222" s="186" t="s">
        <v>680</v>
      </c>
      <c r="L222" s="186"/>
      <c r="M222" s="186"/>
      <c r="N222" s="186"/>
      <c r="O222" s="186"/>
      <c r="P222" s="186"/>
      <c r="Q222" s="186"/>
      <c r="R222" s="186"/>
      <c r="S222" s="186"/>
      <c r="T222" s="186" t="s">
        <v>2858</v>
      </c>
      <c r="U222" s="186"/>
      <c r="V222" s="186"/>
      <c r="W222" s="186"/>
    </row>
    <row r="223" spans="1:23" ht="12" hidden="1" customHeight="1">
      <c r="A223" s="213"/>
      <c r="B223" s="213"/>
      <c r="C223" s="210"/>
      <c r="D223" s="297"/>
      <c r="E223" s="186" t="s">
        <v>55</v>
      </c>
      <c r="F223" s="186" t="s">
        <v>2872</v>
      </c>
      <c r="G223" s="186" t="s">
        <v>683</v>
      </c>
      <c r="H223" s="186" t="s">
        <v>682</v>
      </c>
      <c r="I223" s="186"/>
      <c r="J223" s="186"/>
      <c r="K223" s="186" t="s">
        <v>680</v>
      </c>
      <c r="L223" s="186"/>
      <c r="M223" s="186"/>
      <c r="N223" s="186"/>
      <c r="O223" s="186"/>
      <c r="P223" s="186"/>
      <c r="Q223" s="186"/>
      <c r="R223" s="186"/>
      <c r="S223" s="186"/>
      <c r="T223" s="186" t="s">
        <v>2873</v>
      </c>
      <c r="U223" s="186"/>
      <c r="V223" s="186"/>
      <c r="W223" s="186"/>
    </row>
    <row r="224" spans="1:23" ht="12" hidden="1" customHeight="1">
      <c r="A224" s="213"/>
      <c r="B224" s="213"/>
      <c r="C224" s="210"/>
      <c r="D224" s="297"/>
      <c r="E224" s="186" t="s">
        <v>55</v>
      </c>
      <c r="F224" s="186" t="s">
        <v>2874</v>
      </c>
      <c r="G224" s="186" t="s">
        <v>683</v>
      </c>
      <c r="H224" s="186" t="s">
        <v>682</v>
      </c>
      <c r="I224" s="186"/>
      <c r="J224" s="186"/>
      <c r="K224" s="186" t="s">
        <v>680</v>
      </c>
      <c r="L224" s="186"/>
      <c r="M224" s="186"/>
      <c r="N224" s="186"/>
      <c r="O224" s="186"/>
      <c r="P224" s="186"/>
      <c r="Q224" s="186"/>
      <c r="R224" s="186"/>
      <c r="S224" s="186"/>
      <c r="T224" s="186" t="s">
        <v>2873</v>
      </c>
      <c r="U224" s="186"/>
      <c r="V224" s="186"/>
      <c r="W224" s="186"/>
    </row>
    <row r="225" spans="1:23" ht="12" hidden="1" customHeight="1">
      <c r="A225" s="213"/>
      <c r="B225" s="213"/>
      <c r="C225" s="210"/>
      <c r="D225" s="297"/>
      <c r="E225" s="186" t="s">
        <v>55</v>
      </c>
      <c r="F225" s="186" t="s">
        <v>2875</v>
      </c>
      <c r="G225" s="186" t="s">
        <v>683</v>
      </c>
      <c r="H225" s="186" t="s">
        <v>682</v>
      </c>
      <c r="I225" s="186"/>
      <c r="J225" s="186"/>
      <c r="K225" s="186" t="s">
        <v>680</v>
      </c>
      <c r="L225" s="186"/>
      <c r="M225" s="186"/>
      <c r="N225" s="186"/>
      <c r="O225" s="186"/>
      <c r="P225" s="186"/>
      <c r="Q225" s="186"/>
      <c r="R225" s="186"/>
      <c r="S225" s="186"/>
      <c r="T225" s="186" t="s">
        <v>2873</v>
      </c>
      <c r="U225" s="186"/>
      <c r="V225" s="186"/>
      <c r="W225" s="186"/>
    </row>
    <row r="226" spans="1:23" ht="12" hidden="1" customHeight="1">
      <c r="A226" s="213"/>
      <c r="B226" s="213"/>
      <c r="C226" s="210"/>
      <c r="D226" s="297"/>
      <c r="E226" s="186" t="s">
        <v>55</v>
      </c>
      <c r="F226" s="186" t="s">
        <v>2876</v>
      </c>
      <c r="G226" s="186" t="s">
        <v>683</v>
      </c>
      <c r="H226" s="186" t="s">
        <v>682</v>
      </c>
      <c r="I226" s="186"/>
      <c r="J226" s="186"/>
      <c r="K226" s="186" t="s">
        <v>680</v>
      </c>
      <c r="L226" s="186"/>
      <c r="M226" s="186"/>
      <c r="N226" s="186"/>
      <c r="O226" s="186"/>
      <c r="P226" s="186"/>
      <c r="Q226" s="186"/>
      <c r="R226" s="186"/>
      <c r="S226" s="186"/>
      <c r="T226" s="186" t="s">
        <v>2873</v>
      </c>
      <c r="U226" s="186"/>
      <c r="V226" s="186"/>
      <c r="W226" s="186"/>
    </row>
    <row r="227" spans="1:23" ht="12" hidden="1" customHeight="1">
      <c r="A227" s="213"/>
      <c r="B227" s="213"/>
      <c r="C227" s="210"/>
      <c r="D227" s="297"/>
      <c r="E227" s="186" t="s">
        <v>55</v>
      </c>
      <c r="F227" s="186" t="s">
        <v>2877</v>
      </c>
      <c r="G227" s="186" t="s">
        <v>683</v>
      </c>
      <c r="H227" s="186" t="s">
        <v>682</v>
      </c>
      <c r="I227" s="186"/>
      <c r="J227" s="186"/>
      <c r="K227" s="186" t="s">
        <v>680</v>
      </c>
      <c r="L227" s="186"/>
      <c r="M227" s="186"/>
      <c r="N227" s="186"/>
      <c r="O227" s="186"/>
      <c r="P227" s="186"/>
      <c r="Q227" s="186"/>
      <c r="R227" s="186"/>
      <c r="S227" s="186"/>
      <c r="T227" s="186" t="s">
        <v>2873</v>
      </c>
      <c r="U227" s="186"/>
      <c r="V227" s="186"/>
      <c r="W227" s="186"/>
    </row>
    <row r="228" spans="1:23" ht="12" hidden="1" customHeight="1">
      <c r="A228" s="213"/>
      <c r="B228" s="213"/>
      <c r="C228" s="210"/>
      <c r="D228" s="297"/>
      <c r="E228" s="186" t="s">
        <v>55</v>
      </c>
      <c r="F228" s="186" t="s">
        <v>2878</v>
      </c>
      <c r="G228" s="186" t="s">
        <v>683</v>
      </c>
      <c r="H228" s="186" t="s">
        <v>682</v>
      </c>
      <c r="I228" s="186"/>
      <c r="J228" s="186"/>
      <c r="K228" s="186" t="s">
        <v>680</v>
      </c>
      <c r="L228" s="186"/>
      <c r="M228" s="186"/>
      <c r="N228" s="186"/>
      <c r="O228" s="186"/>
      <c r="P228" s="186"/>
      <c r="Q228" s="186"/>
      <c r="R228" s="186"/>
      <c r="S228" s="186"/>
      <c r="T228" s="186" t="s">
        <v>2873</v>
      </c>
      <c r="U228" s="186"/>
      <c r="V228" s="186"/>
      <c r="W228" s="186"/>
    </row>
    <row r="229" spans="1:23" ht="12" hidden="1" customHeight="1">
      <c r="A229" s="213"/>
      <c r="B229" s="213"/>
      <c r="C229" s="210"/>
      <c r="D229" s="297"/>
      <c r="E229" s="186" t="s">
        <v>55</v>
      </c>
      <c r="F229" s="186" t="s">
        <v>2879</v>
      </c>
      <c r="G229" s="186" t="s">
        <v>683</v>
      </c>
      <c r="H229" s="186" t="s">
        <v>682</v>
      </c>
      <c r="I229" s="186"/>
      <c r="J229" s="186"/>
      <c r="K229" s="186" t="s">
        <v>680</v>
      </c>
      <c r="L229" s="186"/>
      <c r="M229" s="186"/>
      <c r="N229" s="186"/>
      <c r="O229" s="186"/>
      <c r="P229" s="186"/>
      <c r="Q229" s="186"/>
      <c r="R229" s="186"/>
      <c r="S229" s="186"/>
      <c r="T229" s="186" t="s">
        <v>2873</v>
      </c>
      <c r="U229" s="186"/>
      <c r="V229" s="186"/>
      <c r="W229" s="186"/>
    </row>
    <row r="230" spans="1:23" ht="12" hidden="1" customHeight="1">
      <c r="A230" s="213"/>
      <c r="B230" s="213"/>
      <c r="C230" s="210"/>
      <c r="D230" s="297"/>
      <c r="E230" s="186" t="s">
        <v>55</v>
      </c>
      <c r="F230" s="186" t="s">
        <v>2880</v>
      </c>
      <c r="G230" s="186" t="s">
        <v>683</v>
      </c>
      <c r="H230" s="186" t="s">
        <v>682</v>
      </c>
      <c r="I230" s="186"/>
      <c r="J230" s="186"/>
      <c r="K230" s="186" t="s">
        <v>680</v>
      </c>
      <c r="L230" s="186"/>
      <c r="M230" s="186"/>
      <c r="N230" s="186"/>
      <c r="O230" s="186"/>
      <c r="P230" s="186"/>
      <c r="Q230" s="186"/>
      <c r="R230" s="186"/>
      <c r="S230" s="186"/>
      <c r="T230" s="186" t="s">
        <v>2873</v>
      </c>
      <c r="U230" s="186"/>
      <c r="V230" s="186"/>
      <c r="W230" s="186"/>
    </row>
    <row r="231" spans="1:23" ht="12" hidden="1" customHeight="1">
      <c r="A231" s="213"/>
      <c r="B231" s="213"/>
      <c r="C231" s="210"/>
      <c r="D231" s="297"/>
      <c r="E231" s="186" t="s">
        <v>55</v>
      </c>
      <c r="F231" s="186" t="s">
        <v>2881</v>
      </c>
      <c r="G231" s="186" t="s">
        <v>683</v>
      </c>
      <c r="H231" s="186" t="s">
        <v>682</v>
      </c>
      <c r="I231" s="186"/>
      <c r="J231" s="186"/>
      <c r="K231" s="186" t="s">
        <v>680</v>
      </c>
      <c r="L231" s="186"/>
      <c r="M231" s="186"/>
      <c r="N231" s="186"/>
      <c r="O231" s="186"/>
      <c r="P231" s="186"/>
      <c r="Q231" s="186"/>
      <c r="R231" s="186"/>
      <c r="S231" s="186"/>
      <c r="T231" s="186" t="s">
        <v>2873</v>
      </c>
      <c r="U231" s="186"/>
      <c r="V231" s="186"/>
      <c r="W231" s="186"/>
    </row>
    <row r="232" spans="1:23" ht="12" hidden="1" customHeight="1">
      <c r="A232" s="213"/>
      <c r="B232" s="213"/>
      <c r="C232" s="210"/>
      <c r="D232" s="297"/>
      <c r="E232" s="186" t="s">
        <v>55</v>
      </c>
      <c r="F232" s="186" t="s">
        <v>2882</v>
      </c>
      <c r="G232" s="186" t="s">
        <v>683</v>
      </c>
      <c r="H232" s="186" t="s">
        <v>682</v>
      </c>
      <c r="I232" s="186"/>
      <c r="J232" s="186"/>
      <c r="K232" s="186" t="s">
        <v>680</v>
      </c>
      <c r="L232" s="186"/>
      <c r="M232" s="186"/>
      <c r="N232" s="186"/>
      <c r="O232" s="186"/>
      <c r="P232" s="186"/>
      <c r="Q232" s="186"/>
      <c r="R232" s="186"/>
      <c r="S232" s="186"/>
      <c r="T232" s="186" t="s">
        <v>2873</v>
      </c>
      <c r="U232" s="186"/>
      <c r="V232" s="186"/>
      <c r="W232" s="186"/>
    </row>
    <row r="233" spans="1:23" ht="12" hidden="1" customHeight="1">
      <c r="A233" s="213"/>
      <c r="B233" s="213"/>
      <c r="C233" s="210"/>
      <c r="D233" s="297"/>
      <c r="E233" s="186" t="s">
        <v>55</v>
      </c>
      <c r="F233" s="186" t="s">
        <v>2883</v>
      </c>
      <c r="G233" s="186" t="s">
        <v>683</v>
      </c>
      <c r="H233" s="186" t="s">
        <v>682</v>
      </c>
      <c r="I233" s="186"/>
      <c r="J233" s="186"/>
      <c r="K233" s="186" t="s">
        <v>680</v>
      </c>
      <c r="L233" s="186"/>
      <c r="M233" s="186"/>
      <c r="N233" s="186"/>
      <c r="O233" s="186"/>
      <c r="P233" s="186"/>
      <c r="Q233" s="186"/>
      <c r="R233" s="186"/>
      <c r="S233" s="186"/>
      <c r="T233" s="186" t="s">
        <v>2873</v>
      </c>
      <c r="U233" s="186"/>
      <c r="V233" s="186"/>
      <c r="W233" s="186"/>
    </row>
    <row r="234" spans="1:23" ht="12" hidden="1" customHeight="1">
      <c r="A234" s="213"/>
      <c r="B234" s="213"/>
      <c r="C234" s="210"/>
      <c r="D234" s="297"/>
      <c r="E234" s="186" t="s">
        <v>55</v>
      </c>
      <c r="F234" s="186" t="s">
        <v>2884</v>
      </c>
      <c r="G234" s="186" t="s">
        <v>683</v>
      </c>
      <c r="H234" s="186" t="s">
        <v>682</v>
      </c>
      <c r="I234" s="186"/>
      <c r="J234" s="186"/>
      <c r="K234" s="186" t="s">
        <v>680</v>
      </c>
      <c r="L234" s="186"/>
      <c r="M234" s="186"/>
      <c r="N234" s="186"/>
      <c r="O234" s="186"/>
      <c r="P234" s="186"/>
      <c r="Q234" s="186"/>
      <c r="R234" s="186"/>
      <c r="S234" s="186"/>
      <c r="T234" s="186" t="s">
        <v>2873</v>
      </c>
      <c r="U234" s="186"/>
      <c r="V234" s="186"/>
      <c r="W234" s="186"/>
    </row>
    <row r="235" spans="1:23" ht="12" hidden="1" customHeight="1">
      <c r="A235" s="213"/>
      <c r="B235" s="213"/>
      <c r="C235" s="210"/>
      <c r="D235" s="297"/>
      <c r="E235" s="186" t="s">
        <v>55</v>
      </c>
      <c r="F235" s="186" t="s">
        <v>2885</v>
      </c>
      <c r="G235" s="186" t="s">
        <v>683</v>
      </c>
      <c r="H235" s="186" t="s">
        <v>682</v>
      </c>
      <c r="I235" s="186"/>
      <c r="J235" s="186"/>
      <c r="K235" s="186" t="s">
        <v>680</v>
      </c>
      <c r="L235" s="186"/>
      <c r="M235" s="186"/>
      <c r="N235" s="186"/>
      <c r="O235" s="186"/>
      <c r="P235" s="186"/>
      <c r="Q235" s="186"/>
      <c r="R235" s="186"/>
      <c r="S235" s="186"/>
      <c r="T235" s="186" t="s">
        <v>2873</v>
      </c>
      <c r="U235" s="186"/>
      <c r="V235" s="186"/>
      <c r="W235" s="186"/>
    </row>
    <row r="236" spans="1:23" ht="12" hidden="1" customHeight="1">
      <c r="A236" s="213"/>
      <c r="B236" s="213"/>
      <c r="C236" s="210"/>
      <c r="D236" s="297"/>
      <c r="E236" s="186" t="s">
        <v>55</v>
      </c>
      <c r="F236" s="186" t="s">
        <v>2886</v>
      </c>
      <c r="G236" s="186" t="s">
        <v>683</v>
      </c>
      <c r="H236" s="186" t="s">
        <v>682</v>
      </c>
      <c r="I236" s="186"/>
      <c r="J236" s="186"/>
      <c r="K236" s="186" t="s">
        <v>680</v>
      </c>
      <c r="L236" s="186"/>
      <c r="M236" s="186"/>
      <c r="N236" s="186"/>
      <c r="O236" s="186"/>
      <c r="P236" s="186"/>
      <c r="Q236" s="186"/>
      <c r="R236" s="186"/>
      <c r="S236" s="186"/>
      <c r="T236" s="186" t="s">
        <v>2873</v>
      </c>
      <c r="U236" s="186"/>
      <c r="V236" s="186"/>
      <c r="W236" s="186"/>
    </row>
    <row r="237" spans="1:23" ht="12" hidden="1" customHeight="1">
      <c r="A237" s="213"/>
      <c r="B237" s="213"/>
      <c r="C237" s="210"/>
      <c r="D237" s="297"/>
      <c r="E237" s="186" t="s">
        <v>55</v>
      </c>
      <c r="F237" s="186" t="s">
        <v>2887</v>
      </c>
      <c r="G237" s="186" t="s">
        <v>683</v>
      </c>
      <c r="H237" s="186" t="s">
        <v>682</v>
      </c>
      <c r="I237" s="186"/>
      <c r="J237" s="186"/>
      <c r="K237" s="186" t="s">
        <v>680</v>
      </c>
      <c r="L237" s="186"/>
      <c r="M237" s="186"/>
      <c r="N237" s="186"/>
      <c r="O237" s="186"/>
      <c r="P237" s="186"/>
      <c r="Q237" s="186"/>
      <c r="R237" s="186"/>
      <c r="S237" s="186"/>
      <c r="T237" s="186" t="s">
        <v>2888</v>
      </c>
      <c r="U237" s="186"/>
      <c r="V237" s="186"/>
      <c r="W237" s="186"/>
    </row>
    <row r="238" spans="1:23" ht="12" hidden="1" customHeight="1">
      <c r="A238" s="213"/>
      <c r="B238" s="213"/>
      <c r="C238" s="210"/>
      <c r="D238" s="297"/>
      <c r="E238" s="186" t="s">
        <v>55</v>
      </c>
      <c r="F238" s="186" t="s">
        <v>2889</v>
      </c>
      <c r="G238" s="186" t="s">
        <v>683</v>
      </c>
      <c r="H238" s="186" t="s">
        <v>682</v>
      </c>
      <c r="I238" s="186"/>
      <c r="J238" s="186"/>
      <c r="K238" s="186" t="s">
        <v>680</v>
      </c>
      <c r="L238" s="186"/>
      <c r="M238" s="186"/>
      <c r="N238" s="186"/>
      <c r="O238" s="186"/>
      <c r="P238" s="186"/>
      <c r="Q238" s="186"/>
      <c r="R238" s="186"/>
      <c r="S238" s="186"/>
      <c r="T238" s="186" t="s">
        <v>2888</v>
      </c>
      <c r="U238" s="186"/>
      <c r="V238" s="186"/>
      <c r="W238" s="186"/>
    </row>
    <row r="239" spans="1:23" ht="12" hidden="1" customHeight="1">
      <c r="A239" s="213"/>
      <c r="B239" s="213"/>
      <c r="C239" s="210"/>
      <c r="D239" s="297"/>
      <c r="E239" s="186" t="s">
        <v>55</v>
      </c>
      <c r="F239" s="186" t="s">
        <v>2890</v>
      </c>
      <c r="G239" s="186" t="s">
        <v>683</v>
      </c>
      <c r="H239" s="186" t="s">
        <v>682</v>
      </c>
      <c r="I239" s="186"/>
      <c r="J239" s="186"/>
      <c r="K239" s="186" t="s">
        <v>680</v>
      </c>
      <c r="L239" s="186"/>
      <c r="M239" s="186"/>
      <c r="N239" s="186"/>
      <c r="O239" s="186"/>
      <c r="P239" s="186"/>
      <c r="Q239" s="186"/>
      <c r="R239" s="186"/>
      <c r="S239" s="186"/>
      <c r="T239" s="186" t="s">
        <v>2888</v>
      </c>
      <c r="U239" s="186"/>
      <c r="V239" s="186"/>
      <c r="W239" s="186"/>
    </row>
    <row r="240" spans="1:23" ht="12" hidden="1" customHeight="1">
      <c r="A240" s="213"/>
      <c r="B240" s="213"/>
      <c r="C240" s="210"/>
      <c r="D240" s="297"/>
      <c r="E240" s="186" t="s">
        <v>55</v>
      </c>
      <c r="F240" s="186" t="s">
        <v>2891</v>
      </c>
      <c r="G240" s="186" t="s">
        <v>683</v>
      </c>
      <c r="H240" s="186" t="s">
        <v>682</v>
      </c>
      <c r="I240" s="186"/>
      <c r="J240" s="186"/>
      <c r="K240" s="186" t="s">
        <v>680</v>
      </c>
      <c r="L240" s="186"/>
      <c r="M240" s="186"/>
      <c r="N240" s="186"/>
      <c r="O240" s="186"/>
      <c r="P240" s="186"/>
      <c r="Q240" s="186"/>
      <c r="R240" s="186"/>
      <c r="S240" s="186"/>
      <c r="T240" s="186" t="s">
        <v>2888</v>
      </c>
      <c r="U240" s="186"/>
      <c r="V240" s="186"/>
      <c r="W240" s="186"/>
    </row>
    <row r="241" spans="1:23" ht="12" hidden="1" customHeight="1">
      <c r="A241" s="213"/>
      <c r="B241" s="213"/>
      <c r="C241" s="210"/>
      <c r="D241" s="297"/>
      <c r="E241" s="186" t="s">
        <v>55</v>
      </c>
      <c r="F241" s="186" t="s">
        <v>2892</v>
      </c>
      <c r="G241" s="186" t="s">
        <v>683</v>
      </c>
      <c r="H241" s="186" t="s">
        <v>682</v>
      </c>
      <c r="I241" s="186"/>
      <c r="J241" s="186"/>
      <c r="K241" s="186" t="s">
        <v>680</v>
      </c>
      <c r="L241" s="186"/>
      <c r="M241" s="186"/>
      <c r="N241" s="186"/>
      <c r="O241" s="186"/>
      <c r="P241" s="186"/>
      <c r="Q241" s="186"/>
      <c r="R241" s="186"/>
      <c r="S241" s="186"/>
      <c r="T241" s="186" t="s">
        <v>2888</v>
      </c>
      <c r="U241" s="186"/>
      <c r="V241" s="186"/>
      <c r="W241" s="186"/>
    </row>
    <row r="242" spans="1:23" ht="12" hidden="1" customHeight="1">
      <c r="A242" s="213"/>
      <c r="B242" s="213"/>
      <c r="C242" s="210"/>
      <c r="D242" s="297"/>
      <c r="E242" s="186" t="s">
        <v>55</v>
      </c>
      <c r="F242" s="186" t="s">
        <v>2893</v>
      </c>
      <c r="G242" s="186" t="s">
        <v>683</v>
      </c>
      <c r="H242" s="186" t="s">
        <v>682</v>
      </c>
      <c r="I242" s="186"/>
      <c r="J242" s="186"/>
      <c r="K242" s="186" t="s">
        <v>680</v>
      </c>
      <c r="L242" s="186"/>
      <c r="M242" s="186"/>
      <c r="N242" s="186"/>
      <c r="O242" s="186"/>
      <c r="P242" s="186"/>
      <c r="Q242" s="186"/>
      <c r="R242" s="186"/>
      <c r="S242" s="186"/>
      <c r="T242" s="186" t="s">
        <v>2888</v>
      </c>
      <c r="U242" s="186"/>
      <c r="V242" s="186"/>
      <c r="W242" s="186"/>
    </row>
    <row r="243" spans="1:23" ht="12" hidden="1" customHeight="1">
      <c r="A243" s="213"/>
      <c r="B243" s="213"/>
      <c r="C243" s="210"/>
      <c r="D243" s="297"/>
      <c r="E243" s="186" t="s">
        <v>55</v>
      </c>
      <c r="F243" s="186" t="s">
        <v>2894</v>
      </c>
      <c r="G243" s="186" t="s">
        <v>683</v>
      </c>
      <c r="H243" s="186" t="s">
        <v>682</v>
      </c>
      <c r="I243" s="186"/>
      <c r="J243" s="186"/>
      <c r="K243" s="186" t="s">
        <v>680</v>
      </c>
      <c r="L243" s="186"/>
      <c r="M243" s="186"/>
      <c r="N243" s="186"/>
      <c r="O243" s="186"/>
      <c r="P243" s="186"/>
      <c r="Q243" s="186"/>
      <c r="R243" s="186"/>
      <c r="S243" s="186"/>
      <c r="T243" s="186" t="s">
        <v>2888</v>
      </c>
      <c r="U243" s="186"/>
      <c r="V243" s="186"/>
      <c r="W243" s="186"/>
    </row>
    <row r="244" spans="1:23" ht="12" hidden="1" customHeight="1">
      <c r="A244" s="213"/>
      <c r="B244" s="213"/>
      <c r="C244" s="210"/>
      <c r="D244" s="297"/>
      <c r="E244" s="186" t="s">
        <v>55</v>
      </c>
      <c r="F244" s="186" t="s">
        <v>2895</v>
      </c>
      <c r="G244" s="186" t="s">
        <v>683</v>
      </c>
      <c r="H244" s="186" t="s">
        <v>682</v>
      </c>
      <c r="I244" s="186"/>
      <c r="J244" s="186"/>
      <c r="K244" s="186" t="s">
        <v>680</v>
      </c>
      <c r="L244" s="186"/>
      <c r="M244" s="186"/>
      <c r="N244" s="186"/>
      <c r="O244" s="186"/>
      <c r="P244" s="186"/>
      <c r="Q244" s="186"/>
      <c r="R244" s="186"/>
      <c r="S244" s="186"/>
      <c r="T244" s="186" t="s">
        <v>2888</v>
      </c>
      <c r="U244" s="186"/>
      <c r="V244" s="186"/>
      <c r="W244" s="186"/>
    </row>
    <row r="245" spans="1:23" ht="12" hidden="1" customHeight="1">
      <c r="A245" s="213"/>
      <c r="B245" s="213"/>
      <c r="C245" s="210"/>
      <c r="D245" s="297"/>
      <c r="E245" s="186" t="s">
        <v>55</v>
      </c>
      <c r="F245" s="186" t="s">
        <v>2896</v>
      </c>
      <c r="G245" s="186" t="s">
        <v>683</v>
      </c>
      <c r="H245" s="186" t="s">
        <v>682</v>
      </c>
      <c r="I245" s="186"/>
      <c r="J245" s="186"/>
      <c r="K245" s="186" t="s">
        <v>680</v>
      </c>
      <c r="L245" s="186"/>
      <c r="M245" s="186"/>
      <c r="N245" s="186"/>
      <c r="O245" s="186"/>
      <c r="P245" s="186"/>
      <c r="Q245" s="186"/>
      <c r="R245" s="186"/>
      <c r="S245" s="186"/>
      <c r="T245" s="186" t="s">
        <v>2888</v>
      </c>
      <c r="U245" s="186"/>
      <c r="V245" s="186"/>
      <c r="W245" s="186"/>
    </row>
    <row r="246" spans="1:23" ht="12" hidden="1" customHeight="1">
      <c r="A246" s="213"/>
      <c r="B246" s="213"/>
      <c r="C246" s="210"/>
      <c r="D246" s="297"/>
      <c r="E246" s="186" t="s">
        <v>55</v>
      </c>
      <c r="F246" s="186" t="s">
        <v>2897</v>
      </c>
      <c r="G246" s="186" t="s">
        <v>683</v>
      </c>
      <c r="H246" s="186" t="s">
        <v>682</v>
      </c>
      <c r="I246" s="186"/>
      <c r="J246" s="186"/>
      <c r="K246" s="186" t="s">
        <v>680</v>
      </c>
      <c r="L246" s="186"/>
      <c r="M246" s="186"/>
      <c r="N246" s="186"/>
      <c r="O246" s="186"/>
      <c r="P246" s="186"/>
      <c r="Q246" s="186"/>
      <c r="R246" s="186"/>
      <c r="S246" s="186"/>
      <c r="T246" s="186" t="s">
        <v>2888</v>
      </c>
      <c r="U246" s="186"/>
      <c r="V246" s="186"/>
      <c r="W246" s="186"/>
    </row>
    <row r="247" spans="1:23" ht="12" hidden="1" customHeight="1">
      <c r="A247" s="213"/>
      <c r="B247" s="213"/>
      <c r="C247" s="210"/>
      <c r="D247" s="297"/>
      <c r="E247" s="186" t="s">
        <v>55</v>
      </c>
      <c r="F247" s="186" t="s">
        <v>2898</v>
      </c>
      <c r="G247" s="186" t="s">
        <v>683</v>
      </c>
      <c r="H247" s="186" t="s">
        <v>682</v>
      </c>
      <c r="I247" s="186"/>
      <c r="J247" s="186"/>
      <c r="K247" s="186" t="s">
        <v>680</v>
      </c>
      <c r="L247" s="186"/>
      <c r="M247" s="186"/>
      <c r="N247" s="186"/>
      <c r="O247" s="186"/>
      <c r="P247" s="186"/>
      <c r="Q247" s="186"/>
      <c r="R247" s="186"/>
      <c r="S247" s="186"/>
      <c r="T247" s="186" t="s">
        <v>2888</v>
      </c>
      <c r="U247" s="186"/>
      <c r="V247" s="186"/>
      <c r="W247" s="186"/>
    </row>
    <row r="248" spans="1:23" ht="12" hidden="1" customHeight="1">
      <c r="A248" s="213"/>
      <c r="B248" s="213"/>
      <c r="C248" s="210"/>
      <c r="D248" s="297"/>
      <c r="E248" s="186" t="s">
        <v>55</v>
      </c>
      <c r="F248" s="186" t="s">
        <v>2899</v>
      </c>
      <c r="G248" s="186" t="s">
        <v>683</v>
      </c>
      <c r="H248" s="186" t="s">
        <v>682</v>
      </c>
      <c r="I248" s="186"/>
      <c r="J248" s="186"/>
      <c r="K248" s="186" t="s">
        <v>680</v>
      </c>
      <c r="L248" s="186"/>
      <c r="M248" s="186"/>
      <c r="N248" s="186"/>
      <c r="O248" s="186"/>
      <c r="P248" s="186"/>
      <c r="Q248" s="186"/>
      <c r="R248" s="186"/>
      <c r="S248" s="186"/>
      <c r="T248" s="186" t="s">
        <v>2888</v>
      </c>
      <c r="U248" s="186"/>
      <c r="V248" s="186"/>
      <c r="W248" s="186"/>
    </row>
    <row r="249" spans="1:23" ht="12" hidden="1" customHeight="1">
      <c r="A249" s="213"/>
      <c r="B249" s="213"/>
      <c r="C249" s="210"/>
      <c r="D249" s="297"/>
      <c r="E249" s="186" t="s">
        <v>55</v>
      </c>
      <c r="F249" s="186" t="s">
        <v>2900</v>
      </c>
      <c r="G249" s="186" t="s">
        <v>683</v>
      </c>
      <c r="H249" s="186" t="s">
        <v>682</v>
      </c>
      <c r="I249" s="186"/>
      <c r="J249" s="186"/>
      <c r="K249" s="186" t="s">
        <v>680</v>
      </c>
      <c r="L249" s="186"/>
      <c r="M249" s="186"/>
      <c r="N249" s="186"/>
      <c r="O249" s="186"/>
      <c r="P249" s="186"/>
      <c r="Q249" s="186"/>
      <c r="R249" s="186"/>
      <c r="S249" s="186"/>
      <c r="T249" s="186" t="s">
        <v>2888</v>
      </c>
      <c r="U249" s="186"/>
      <c r="V249" s="186"/>
      <c r="W249" s="186"/>
    </row>
    <row r="250" spans="1:23" ht="12" hidden="1" customHeight="1">
      <c r="A250" s="213"/>
      <c r="B250" s="213"/>
      <c r="C250" s="210"/>
      <c r="D250" s="297"/>
      <c r="E250" s="186" t="s">
        <v>55</v>
      </c>
      <c r="F250" s="186" t="s">
        <v>2901</v>
      </c>
      <c r="G250" s="186" t="s">
        <v>683</v>
      </c>
      <c r="H250" s="186" t="s">
        <v>682</v>
      </c>
      <c r="I250" s="186"/>
      <c r="J250" s="186"/>
      <c r="K250" s="186" t="s">
        <v>680</v>
      </c>
      <c r="L250" s="186"/>
      <c r="M250" s="186"/>
      <c r="N250" s="186"/>
      <c r="O250" s="186"/>
      <c r="P250" s="186"/>
      <c r="Q250" s="186"/>
      <c r="R250" s="186"/>
      <c r="S250" s="186"/>
      <c r="T250" s="186" t="s">
        <v>2888</v>
      </c>
      <c r="U250" s="186"/>
      <c r="V250" s="186"/>
      <c r="W250" s="186"/>
    </row>
    <row r="251" spans="1:23" ht="12" hidden="1" customHeight="1">
      <c r="A251" s="213"/>
      <c r="B251" s="213"/>
      <c r="C251" s="210"/>
      <c r="D251" s="297"/>
      <c r="E251" s="186" t="s">
        <v>55</v>
      </c>
      <c r="F251" s="186" t="s">
        <v>2902</v>
      </c>
      <c r="G251" s="186" t="s">
        <v>683</v>
      </c>
      <c r="H251" s="186" t="s">
        <v>682</v>
      </c>
      <c r="I251" s="186"/>
      <c r="J251" s="186"/>
      <c r="K251" s="186" t="s">
        <v>680</v>
      </c>
      <c r="L251" s="186"/>
      <c r="M251" s="186"/>
      <c r="N251" s="186"/>
      <c r="O251" s="186"/>
      <c r="P251" s="186"/>
      <c r="Q251" s="186"/>
      <c r="R251" s="186"/>
      <c r="S251" s="186"/>
      <c r="T251" s="186" t="s">
        <v>2903</v>
      </c>
      <c r="U251" s="186"/>
      <c r="V251" s="186"/>
      <c r="W251" s="186"/>
    </row>
    <row r="252" spans="1:23" ht="12" hidden="1" customHeight="1">
      <c r="A252" s="213"/>
      <c r="B252" s="213"/>
      <c r="C252" s="210"/>
      <c r="D252" s="297"/>
      <c r="E252" s="186" t="s">
        <v>55</v>
      </c>
      <c r="F252" s="186" t="s">
        <v>2904</v>
      </c>
      <c r="G252" s="186" t="s">
        <v>683</v>
      </c>
      <c r="H252" s="186" t="s">
        <v>682</v>
      </c>
      <c r="I252" s="186"/>
      <c r="J252" s="186"/>
      <c r="K252" s="186" t="s">
        <v>680</v>
      </c>
      <c r="L252" s="186"/>
      <c r="M252" s="186"/>
      <c r="N252" s="186"/>
      <c r="O252" s="186"/>
      <c r="P252" s="186"/>
      <c r="Q252" s="186"/>
      <c r="R252" s="186"/>
      <c r="S252" s="186"/>
      <c r="T252" s="186" t="s">
        <v>2905</v>
      </c>
      <c r="U252" s="186"/>
      <c r="V252" s="186"/>
      <c r="W252" s="186"/>
    </row>
    <row r="253" spans="1:23" ht="12" hidden="1" customHeight="1">
      <c r="A253" s="134"/>
      <c r="B253" s="134"/>
      <c r="C253" s="134"/>
      <c r="D253" s="298"/>
      <c r="E253" s="186" t="s">
        <v>59</v>
      </c>
      <c r="F253" s="186" t="s">
        <v>2906</v>
      </c>
      <c r="G253" s="186" t="s">
        <v>2907</v>
      </c>
      <c r="H253" s="186" t="s">
        <v>682</v>
      </c>
      <c r="I253" s="186"/>
      <c r="J253" s="186"/>
      <c r="K253" s="186" t="s">
        <v>680</v>
      </c>
      <c r="L253" s="123"/>
      <c r="M253" s="186"/>
      <c r="N253" s="186"/>
      <c r="O253" s="186"/>
      <c r="P253" s="123"/>
      <c r="Q253" s="186"/>
      <c r="R253" s="186"/>
      <c r="S253" s="186"/>
      <c r="T253" s="186" t="s">
        <v>2909</v>
      </c>
      <c r="U253" s="186"/>
      <c r="V253" s="186"/>
      <c r="W253" s="186"/>
    </row>
    <row r="254" spans="1:23" ht="12" hidden="1" customHeight="1">
      <c r="A254" s="213"/>
      <c r="B254" s="213"/>
      <c r="C254" s="210"/>
      <c r="D254" s="297"/>
      <c r="E254" s="186" t="s">
        <v>59</v>
      </c>
      <c r="F254" s="186" t="s">
        <v>2910</v>
      </c>
      <c r="G254" s="186" t="s">
        <v>685</v>
      </c>
      <c r="H254" s="186" t="s">
        <v>682</v>
      </c>
      <c r="I254" s="186"/>
      <c r="J254" s="186"/>
      <c r="K254" s="186" t="s">
        <v>680</v>
      </c>
      <c r="L254" s="186"/>
      <c r="M254" s="186"/>
      <c r="N254" s="186"/>
      <c r="O254" s="186"/>
      <c r="P254" s="186"/>
      <c r="Q254" s="186"/>
      <c r="R254" s="186"/>
      <c r="S254" s="186"/>
      <c r="T254" s="186" t="s">
        <v>2911</v>
      </c>
      <c r="U254" s="186"/>
      <c r="V254" s="186"/>
      <c r="W254" s="186"/>
    </row>
    <row r="255" spans="1:23" ht="12" hidden="1" customHeight="1">
      <c r="A255" s="213"/>
      <c r="B255" s="213"/>
      <c r="C255" s="210"/>
      <c r="D255" s="297"/>
      <c r="E255" s="186" t="s">
        <v>59</v>
      </c>
      <c r="F255" s="186" t="s">
        <v>153</v>
      </c>
      <c r="G255" s="186" t="s">
        <v>685</v>
      </c>
      <c r="H255" s="186" t="s">
        <v>682</v>
      </c>
      <c r="I255" s="186"/>
      <c r="J255" s="186"/>
      <c r="K255" s="186" t="s">
        <v>680</v>
      </c>
      <c r="L255" s="186"/>
      <c r="M255" s="186"/>
      <c r="N255" s="186"/>
      <c r="O255" s="186"/>
      <c r="P255" s="186"/>
      <c r="Q255" s="186"/>
      <c r="R255" s="186"/>
      <c r="S255" s="186"/>
      <c r="T255" s="186" t="s">
        <v>2912</v>
      </c>
      <c r="U255" s="186"/>
      <c r="V255" s="186"/>
      <c r="W255" s="186"/>
    </row>
    <row r="256" spans="1:23" ht="12" hidden="1" customHeight="1">
      <c r="A256" s="213"/>
      <c r="B256" s="213"/>
      <c r="C256" s="210"/>
      <c r="D256" s="297"/>
      <c r="E256" s="186" t="s">
        <v>53</v>
      </c>
      <c r="F256" s="186" t="s">
        <v>2352</v>
      </c>
      <c r="G256" s="186" t="s">
        <v>897</v>
      </c>
      <c r="H256" s="186" t="s">
        <v>682</v>
      </c>
      <c r="I256" s="186"/>
      <c r="J256" s="186"/>
      <c r="K256" s="186" t="s">
        <v>680</v>
      </c>
      <c r="L256" s="186"/>
      <c r="M256" s="186"/>
      <c r="N256" s="186"/>
      <c r="O256" s="186"/>
      <c r="P256" s="186"/>
      <c r="Q256" s="186"/>
      <c r="R256" s="186"/>
      <c r="S256" s="186"/>
      <c r="T256" s="186" t="s">
        <v>1190</v>
      </c>
      <c r="U256" s="186"/>
      <c r="V256" s="186"/>
      <c r="W256" s="186"/>
    </row>
    <row r="257" spans="1:28" ht="12" hidden="1" customHeight="1">
      <c r="A257" s="213"/>
      <c r="B257" s="213"/>
      <c r="C257" s="210"/>
      <c r="D257" s="297"/>
      <c r="E257" s="186" t="s">
        <v>59</v>
      </c>
      <c r="F257" s="186" t="s">
        <v>320</v>
      </c>
      <c r="G257" s="186" t="s">
        <v>2778</v>
      </c>
      <c r="H257" s="186" t="s">
        <v>682</v>
      </c>
      <c r="I257" s="186"/>
      <c r="J257" s="186"/>
      <c r="K257" s="186" t="s">
        <v>680</v>
      </c>
      <c r="L257" s="186"/>
      <c r="M257" s="186"/>
      <c r="N257" s="186"/>
      <c r="O257" s="186"/>
      <c r="P257" s="186"/>
      <c r="Q257" s="186"/>
      <c r="R257" s="186"/>
      <c r="S257" s="186"/>
      <c r="T257" s="186" t="s">
        <v>320</v>
      </c>
      <c r="U257" s="186"/>
      <c r="V257" s="186"/>
      <c r="W257" s="186"/>
    </row>
    <row r="258" spans="1:28" ht="12" hidden="1" customHeight="1">
      <c r="A258" s="213"/>
      <c r="B258" s="213"/>
      <c r="C258" s="210"/>
      <c r="D258" s="297"/>
      <c r="E258" s="186" t="s">
        <v>55</v>
      </c>
      <c r="F258" s="186" t="s">
        <v>2913</v>
      </c>
      <c r="G258" s="186" t="s">
        <v>683</v>
      </c>
      <c r="H258" s="186" t="s">
        <v>682</v>
      </c>
      <c r="I258" s="186"/>
      <c r="J258" s="186"/>
      <c r="K258" s="186" t="s">
        <v>680</v>
      </c>
      <c r="L258" s="186"/>
      <c r="M258" s="186"/>
      <c r="N258" s="186"/>
      <c r="O258" s="186"/>
      <c r="P258" s="186"/>
      <c r="Q258" s="186"/>
      <c r="R258" s="186"/>
      <c r="S258" s="186"/>
      <c r="T258" s="186" t="s">
        <v>2914</v>
      </c>
      <c r="U258" s="186"/>
      <c r="V258" s="186"/>
      <c r="W258" s="186"/>
    </row>
    <row r="259" spans="1:28" ht="12" hidden="1" customHeight="1">
      <c r="A259" s="213"/>
      <c r="B259" s="213"/>
      <c r="C259" s="210"/>
      <c r="D259" s="297"/>
      <c r="E259" s="186" t="s">
        <v>55</v>
      </c>
      <c r="F259" s="186" t="s">
        <v>2915</v>
      </c>
      <c r="G259" s="186" t="s">
        <v>683</v>
      </c>
      <c r="H259" s="186" t="s">
        <v>682</v>
      </c>
      <c r="I259" s="186"/>
      <c r="J259" s="186"/>
      <c r="K259" s="186" t="s">
        <v>680</v>
      </c>
      <c r="L259" s="186"/>
      <c r="M259" s="186"/>
      <c r="N259" s="186"/>
      <c r="O259" s="186"/>
      <c r="P259" s="186"/>
      <c r="Q259" s="186"/>
      <c r="R259" s="186"/>
      <c r="S259" s="186"/>
      <c r="T259" s="186" t="s">
        <v>2914</v>
      </c>
      <c r="U259" s="186"/>
      <c r="V259" s="186"/>
      <c r="W259" s="186"/>
    </row>
    <row r="260" spans="1:28" ht="12" hidden="1" customHeight="1">
      <c r="A260" s="213"/>
      <c r="B260" s="213"/>
      <c r="C260" s="210"/>
      <c r="D260" s="297"/>
      <c r="E260" s="186" t="s">
        <v>55</v>
      </c>
      <c r="F260" s="186" t="s">
        <v>2916</v>
      </c>
      <c r="G260" s="186" t="s">
        <v>683</v>
      </c>
      <c r="H260" s="186" t="s">
        <v>682</v>
      </c>
      <c r="I260" s="186"/>
      <c r="J260" s="186"/>
      <c r="K260" s="186" t="s">
        <v>680</v>
      </c>
      <c r="L260" s="186"/>
      <c r="M260" s="186"/>
      <c r="N260" s="186"/>
      <c r="O260" s="186"/>
      <c r="P260" s="186"/>
      <c r="Q260" s="186"/>
      <c r="R260" s="186"/>
      <c r="S260" s="186"/>
      <c r="T260" s="186" t="s">
        <v>2914</v>
      </c>
      <c r="U260" s="186"/>
      <c r="V260" s="186"/>
      <c r="W260" s="186"/>
    </row>
    <row r="261" spans="1:28" ht="12" hidden="1" customHeight="1">
      <c r="A261" s="213"/>
      <c r="B261" s="213"/>
      <c r="C261" s="210"/>
      <c r="D261" s="297"/>
      <c r="E261" s="186" t="s">
        <v>55</v>
      </c>
      <c r="F261" s="186" t="s">
        <v>2917</v>
      </c>
      <c r="G261" s="186" t="s">
        <v>683</v>
      </c>
      <c r="H261" s="186" t="s">
        <v>682</v>
      </c>
      <c r="I261" s="186"/>
      <c r="J261" s="186"/>
      <c r="K261" s="186" t="s">
        <v>680</v>
      </c>
      <c r="L261" s="186"/>
      <c r="M261" s="186"/>
      <c r="N261" s="186"/>
      <c r="O261" s="186"/>
      <c r="P261" s="186"/>
      <c r="Q261" s="186"/>
      <c r="R261" s="186"/>
      <c r="S261" s="186"/>
      <c r="T261" s="186" t="s">
        <v>2914</v>
      </c>
      <c r="U261" s="186"/>
      <c r="V261" s="186"/>
      <c r="W261" s="186"/>
    </row>
    <row r="262" spans="1:28" ht="12" hidden="1" customHeight="1">
      <c r="A262" s="213"/>
      <c r="B262" s="213"/>
      <c r="C262" s="210"/>
      <c r="D262" s="297"/>
      <c r="E262" s="186" t="s">
        <v>55</v>
      </c>
      <c r="F262" s="186" t="s">
        <v>2918</v>
      </c>
      <c r="G262" s="186" t="s">
        <v>683</v>
      </c>
      <c r="H262" s="186" t="s">
        <v>682</v>
      </c>
      <c r="I262" s="186"/>
      <c r="J262" s="186"/>
      <c r="K262" s="186" t="s">
        <v>680</v>
      </c>
      <c r="L262" s="186"/>
      <c r="M262" s="186"/>
      <c r="N262" s="186"/>
      <c r="O262" s="186"/>
      <c r="P262" s="186"/>
      <c r="Q262" s="186"/>
      <c r="R262" s="186"/>
      <c r="S262" s="186"/>
      <c r="T262" s="186" t="s">
        <v>2914</v>
      </c>
      <c r="U262" s="186"/>
      <c r="V262" s="186"/>
      <c r="W262" s="186"/>
    </row>
    <row r="263" spans="1:28" ht="12" hidden="1" customHeight="1">
      <c r="A263" s="213"/>
      <c r="B263" s="213"/>
      <c r="C263" s="210"/>
      <c r="D263" s="297"/>
      <c r="E263" s="186" t="s">
        <v>55</v>
      </c>
      <c r="F263" s="186" t="s">
        <v>2919</v>
      </c>
      <c r="G263" s="186" t="s">
        <v>683</v>
      </c>
      <c r="H263" s="186" t="s">
        <v>682</v>
      </c>
      <c r="I263" s="186"/>
      <c r="J263" s="186"/>
      <c r="K263" s="186" t="s">
        <v>680</v>
      </c>
      <c r="L263" s="186"/>
      <c r="M263" s="186"/>
      <c r="N263" s="186"/>
      <c r="O263" s="186"/>
      <c r="P263" s="186"/>
      <c r="Q263" s="186"/>
      <c r="R263" s="186"/>
      <c r="S263" s="186"/>
      <c r="T263" s="186" t="s">
        <v>2914</v>
      </c>
      <c r="U263" s="186"/>
      <c r="V263" s="186"/>
      <c r="W263" s="186"/>
    </row>
    <row r="264" spans="1:28" ht="12" hidden="1" customHeight="1">
      <c r="A264" s="213"/>
      <c r="B264" s="213"/>
      <c r="C264" s="210"/>
      <c r="D264" s="297"/>
      <c r="E264" s="186" t="s">
        <v>55</v>
      </c>
      <c r="F264" s="186" t="s">
        <v>2920</v>
      </c>
      <c r="G264" s="186" t="s">
        <v>683</v>
      </c>
      <c r="H264" s="186" t="s">
        <v>682</v>
      </c>
      <c r="I264" s="186"/>
      <c r="J264" s="186"/>
      <c r="K264" s="186" t="s">
        <v>680</v>
      </c>
      <c r="L264" s="186"/>
      <c r="M264" s="186"/>
      <c r="N264" s="186"/>
      <c r="O264" s="186"/>
      <c r="P264" s="186"/>
      <c r="Q264" s="186"/>
      <c r="R264" s="186"/>
      <c r="S264" s="186"/>
      <c r="T264" s="186" t="s">
        <v>2914</v>
      </c>
      <c r="U264" s="186"/>
      <c r="V264" s="186"/>
      <c r="W264" s="186"/>
    </row>
    <row r="265" spans="1:28" ht="12" hidden="1" customHeight="1">
      <c r="A265" s="213"/>
      <c r="B265" s="213"/>
      <c r="C265" s="210"/>
      <c r="D265" s="297"/>
      <c r="E265" s="186" t="s">
        <v>55</v>
      </c>
      <c r="F265" s="186" t="s">
        <v>2921</v>
      </c>
      <c r="G265" s="186" t="s">
        <v>683</v>
      </c>
      <c r="H265" s="186" t="s">
        <v>682</v>
      </c>
      <c r="I265" s="186"/>
      <c r="J265" s="186"/>
      <c r="K265" s="186" t="s">
        <v>680</v>
      </c>
      <c r="L265" s="186"/>
      <c r="M265" s="186"/>
      <c r="N265" s="186"/>
      <c r="O265" s="186"/>
      <c r="P265" s="186"/>
      <c r="Q265" s="186"/>
      <c r="R265" s="186"/>
      <c r="S265" s="186"/>
      <c r="T265" s="186" t="s">
        <v>2914</v>
      </c>
      <c r="U265" s="186"/>
      <c r="V265" s="186"/>
      <c r="W265" s="186"/>
    </row>
    <row r="266" spans="1:28" ht="12" hidden="1" customHeight="1">
      <c r="A266" s="213"/>
      <c r="B266" s="213"/>
      <c r="C266" s="210"/>
      <c r="D266" s="297"/>
      <c r="E266" s="186" t="s">
        <v>55</v>
      </c>
      <c r="F266" s="186" t="s">
        <v>2922</v>
      </c>
      <c r="G266" s="186" t="s">
        <v>683</v>
      </c>
      <c r="H266" s="186" t="s">
        <v>682</v>
      </c>
      <c r="I266" s="186"/>
      <c r="J266" s="186"/>
      <c r="K266" s="186" t="s">
        <v>680</v>
      </c>
      <c r="L266" s="186"/>
      <c r="M266" s="186"/>
      <c r="N266" s="186"/>
      <c r="O266" s="186"/>
      <c r="P266" s="186"/>
      <c r="Q266" s="186"/>
      <c r="R266" s="186"/>
      <c r="S266" s="186"/>
      <c r="T266" s="186" t="s">
        <v>2914</v>
      </c>
      <c r="U266" s="186"/>
      <c r="V266" s="186"/>
      <c r="W266" s="186"/>
    </row>
    <row r="267" spans="1:28" ht="12" hidden="1" customHeight="1">
      <c r="A267" s="213"/>
      <c r="B267" s="213"/>
      <c r="C267" s="210"/>
      <c r="D267" s="297"/>
      <c r="E267" s="186" t="s">
        <v>55</v>
      </c>
      <c r="F267" s="186" t="s">
        <v>2923</v>
      </c>
      <c r="G267" s="186" t="s">
        <v>683</v>
      </c>
      <c r="H267" s="186" t="s">
        <v>682</v>
      </c>
      <c r="I267" s="186"/>
      <c r="J267" s="186"/>
      <c r="K267" s="186" t="s">
        <v>680</v>
      </c>
      <c r="L267" s="186"/>
      <c r="M267" s="186"/>
      <c r="N267" s="186"/>
      <c r="O267" s="186"/>
      <c r="P267" s="186"/>
      <c r="Q267" s="186"/>
      <c r="R267" s="186"/>
      <c r="S267" s="186"/>
      <c r="T267" s="186" t="s">
        <v>2914</v>
      </c>
      <c r="U267" s="186"/>
      <c r="V267" s="186"/>
      <c r="W267" s="186"/>
    </row>
    <row r="268" spans="1:28" ht="12" hidden="1" customHeight="1">
      <c r="A268" s="213"/>
      <c r="B268" s="213"/>
      <c r="C268" s="210"/>
      <c r="D268" s="297"/>
      <c r="E268" s="186" t="s">
        <v>55</v>
      </c>
      <c r="F268" s="186" t="s">
        <v>2924</v>
      </c>
      <c r="G268" s="186" t="s">
        <v>683</v>
      </c>
      <c r="H268" s="186" t="s">
        <v>682</v>
      </c>
      <c r="I268" s="186"/>
      <c r="J268" s="186"/>
      <c r="K268" s="186" t="s">
        <v>680</v>
      </c>
      <c r="L268" s="186"/>
      <c r="M268" s="186"/>
      <c r="N268" s="186"/>
      <c r="O268" s="186"/>
      <c r="P268" s="186"/>
      <c r="Q268" s="186"/>
      <c r="R268" s="186"/>
      <c r="S268" s="186"/>
      <c r="T268" s="186" t="s">
        <v>2914</v>
      </c>
      <c r="U268" s="186"/>
      <c r="V268" s="186"/>
      <c r="W268" s="186"/>
    </row>
    <row r="269" spans="1:28" ht="12" hidden="1" customHeight="1">
      <c r="A269" s="213"/>
      <c r="B269" s="213"/>
      <c r="C269" s="210"/>
      <c r="D269" s="297"/>
      <c r="E269" s="186" t="s">
        <v>55</v>
      </c>
      <c r="F269" s="186" t="s">
        <v>2925</v>
      </c>
      <c r="G269" s="186" t="s">
        <v>683</v>
      </c>
      <c r="H269" s="186" t="s">
        <v>682</v>
      </c>
      <c r="I269" s="186"/>
      <c r="J269" s="186"/>
      <c r="K269" s="186" t="s">
        <v>680</v>
      </c>
      <c r="L269" s="186"/>
      <c r="M269" s="186"/>
      <c r="N269" s="186"/>
      <c r="O269" s="186"/>
      <c r="P269" s="186"/>
      <c r="Q269" s="186"/>
      <c r="R269" s="186"/>
      <c r="S269" s="186"/>
      <c r="T269" s="186" t="s">
        <v>2914</v>
      </c>
      <c r="U269" s="186"/>
      <c r="V269" s="186"/>
      <c r="W269" s="186"/>
    </row>
    <row r="270" spans="1:28" ht="12" hidden="1" customHeight="1">
      <c r="A270" s="213"/>
      <c r="B270" s="213"/>
      <c r="C270" s="210"/>
      <c r="D270" s="297"/>
      <c r="E270" s="186" t="s">
        <v>55</v>
      </c>
      <c r="F270" s="186" t="s">
        <v>2926</v>
      </c>
      <c r="G270" s="186" t="s">
        <v>683</v>
      </c>
      <c r="H270" s="186" t="s">
        <v>682</v>
      </c>
      <c r="I270" s="186"/>
      <c r="J270" s="186"/>
      <c r="K270" s="186" t="s">
        <v>680</v>
      </c>
      <c r="L270" s="186"/>
      <c r="M270" s="186"/>
      <c r="N270" s="186"/>
      <c r="O270" s="186"/>
      <c r="P270" s="186"/>
      <c r="Q270" s="186"/>
      <c r="R270" s="186"/>
      <c r="S270" s="186"/>
      <c r="T270" s="186" t="s">
        <v>2914</v>
      </c>
      <c r="U270" s="186"/>
      <c r="V270" s="186"/>
      <c r="W270" s="186"/>
    </row>
    <row r="271" spans="1:28" ht="12" hidden="1" customHeight="1">
      <c r="A271" s="213"/>
      <c r="B271" s="213"/>
      <c r="C271" s="210"/>
      <c r="D271" s="297"/>
      <c r="E271" s="186" t="s">
        <v>55</v>
      </c>
      <c r="F271" s="186" t="s">
        <v>2927</v>
      </c>
      <c r="G271" s="186" t="s">
        <v>683</v>
      </c>
      <c r="H271" s="186" t="s">
        <v>682</v>
      </c>
      <c r="I271" s="186"/>
      <c r="J271" s="186"/>
      <c r="K271" s="186" t="s">
        <v>680</v>
      </c>
      <c r="L271" s="186"/>
      <c r="M271" s="186"/>
      <c r="N271" s="186"/>
      <c r="O271" s="186"/>
      <c r="P271" s="186"/>
      <c r="Q271" s="186"/>
      <c r="R271" s="186"/>
      <c r="S271" s="186"/>
      <c r="T271" s="186" t="s">
        <v>2914</v>
      </c>
      <c r="U271" s="186"/>
      <c r="V271" s="186"/>
      <c r="W271" s="186"/>
    </row>
    <row r="272" spans="1:28" ht="12" hidden="1" customHeight="1">
      <c r="A272" s="193"/>
      <c r="B272" s="193"/>
      <c r="C272" s="193"/>
      <c r="D272" s="193"/>
      <c r="E272" t="s">
        <v>850</v>
      </c>
      <c r="F272" t="s">
        <v>855</v>
      </c>
      <c r="G272" t="s">
        <v>852</v>
      </c>
      <c r="H272" t="s">
        <v>682</v>
      </c>
      <c r="K272" s="186" t="s">
        <v>680</v>
      </c>
      <c r="L272" s="123"/>
      <c r="M272" s="186"/>
      <c r="O272" s="186"/>
      <c r="P272" s="123"/>
      <c r="Q272" s="186"/>
      <c r="R272" s="186" t="s">
        <v>2673</v>
      </c>
      <c r="S272" s="186">
        <v>0</v>
      </c>
      <c r="X272">
        <v>88</v>
      </c>
      <c r="Z272" t="s">
        <v>2929</v>
      </c>
      <c r="AA272" s="30">
        <v>43546</v>
      </c>
      <c r="AB272" t="s">
        <v>2930</v>
      </c>
    </row>
    <row r="273" spans="1:28" ht="12" hidden="1" customHeight="1">
      <c r="A273" s="213"/>
      <c r="B273" s="213"/>
      <c r="C273" s="210"/>
      <c r="D273" s="297"/>
      <c r="E273" s="186" t="s">
        <v>55</v>
      </c>
      <c r="F273" s="186" t="s">
        <v>2931</v>
      </c>
      <c r="G273" s="186" t="s">
        <v>683</v>
      </c>
      <c r="H273" s="186" t="s">
        <v>682</v>
      </c>
      <c r="I273" s="186"/>
      <c r="J273" s="186"/>
      <c r="K273" s="186" t="s">
        <v>680</v>
      </c>
      <c r="L273" s="186"/>
      <c r="M273" s="186"/>
      <c r="N273" s="186"/>
      <c r="O273" s="186"/>
      <c r="P273" s="186"/>
      <c r="Q273" s="186"/>
      <c r="R273" s="186"/>
      <c r="S273" s="186"/>
      <c r="T273" s="186" t="s">
        <v>2932</v>
      </c>
      <c r="U273" s="186"/>
      <c r="V273" s="186"/>
      <c r="W273" s="186"/>
    </row>
    <row r="274" spans="1:28" ht="12" hidden="1" customHeight="1">
      <c r="A274" s="213"/>
      <c r="B274" s="213"/>
      <c r="C274" s="210"/>
      <c r="D274" s="297"/>
      <c r="E274" s="186" t="s">
        <v>55</v>
      </c>
      <c r="F274" s="186" t="s">
        <v>2933</v>
      </c>
      <c r="G274" s="186" t="s">
        <v>683</v>
      </c>
      <c r="H274" s="186" t="s">
        <v>682</v>
      </c>
      <c r="I274" s="186"/>
      <c r="J274" s="186"/>
      <c r="K274" s="186" t="s">
        <v>680</v>
      </c>
      <c r="L274" s="186"/>
      <c r="M274" s="186"/>
      <c r="N274" s="186"/>
      <c r="O274" s="186"/>
      <c r="P274" s="186"/>
      <c r="Q274" s="186"/>
      <c r="R274" s="186"/>
      <c r="S274" s="186"/>
      <c r="T274" s="186" t="s">
        <v>2932</v>
      </c>
      <c r="U274" s="186"/>
      <c r="V274" s="186"/>
      <c r="W274" s="186"/>
    </row>
    <row r="275" spans="1:28" ht="12" hidden="1" customHeight="1">
      <c r="A275" s="213"/>
      <c r="B275" s="213"/>
      <c r="C275" s="210"/>
      <c r="D275" s="297"/>
      <c r="E275" s="186" t="s">
        <v>55</v>
      </c>
      <c r="F275" s="186" t="s">
        <v>2934</v>
      </c>
      <c r="G275" s="186" t="s">
        <v>683</v>
      </c>
      <c r="H275" s="186" t="s">
        <v>682</v>
      </c>
      <c r="I275" s="186"/>
      <c r="J275" s="186"/>
      <c r="K275" s="186" t="s">
        <v>680</v>
      </c>
      <c r="L275" s="186"/>
      <c r="M275" s="186"/>
      <c r="N275" s="186"/>
      <c r="O275" s="186"/>
      <c r="P275" s="186"/>
      <c r="Q275" s="186"/>
      <c r="R275" s="186"/>
      <c r="S275" s="186"/>
      <c r="T275" s="186" t="s">
        <v>2932</v>
      </c>
      <c r="U275" s="186"/>
      <c r="V275" s="186"/>
      <c r="W275" s="186"/>
    </row>
    <row r="276" spans="1:28" ht="12" hidden="1" customHeight="1">
      <c r="A276" s="213"/>
      <c r="B276" s="213"/>
      <c r="C276" s="210"/>
      <c r="D276" s="297"/>
      <c r="E276" s="186" t="s">
        <v>55</v>
      </c>
      <c r="F276" s="186" t="s">
        <v>2935</v>
      </c>
      <c r="G276" s="186" t="s">
        <v>683</v>
      </c>
      <c r="H276" s="186" t="s">
        <v>682</v>
      </c>
      <c r="I276" s="186"/>
      <c r="J276" s="186"/>
      <c r="K276" s="186" t="s">
        <v>680</v>
      </c>
      <c r="L276" s="186"/>
      <c r="M276" s="186"/>
      <c r="N276" s="186"/>
      <c r="O276" s="186"/>
      <c r="P276" s="186"/>
      <c r="Q276" s="186"/>
      <c r="R276" s="186"/>
      <c r="S276" s="186"/>
      <c r="T276" s="186" t="s">
        <v>2932</v>
      </c>
      <c r="U276" s="186"/>
      <c r="V276" s="186"/>
      <c r="W276" s="186"/>
    </row>
    <row r="277" spans="1:28" ht="12" hidden="1" customHeight="1">
      <c r="A277" s="213"/>
      <c r="B277" s="213"/>
      <c r="C277" s="210"/>
      <c r="D277" s="297"/>
      <c r="E277" s="186" t="s">
        <v>55</v>
      </c>
      <c r="F277" s="186" t="s">
        <v>2936</v>
      </c>
      <c r="G277" s="186" t="s">
        <v>683</v>
      </c>
      <c r="H277" s="186" t="s">
        <v>682</v>
      </c>
      <c r="I277" s="186"/>
      <c r="J277" s="186"/>
      <c r="K277" s="186" t="s">
        <v>680</v>
      </c>
      <c r="L277" s="186"/>
      <c r="M277" s="186"/>
      <c r="N277" s="186"/>
      <c r="O277" s="186"/>
      <c r="P277" s="186"/>
      <c r="Q277" s="186"/>
      <c r="R277" s="186"/>
      <c r="S277" s="186"/>
      <c r="T277" s="186" t="s">
        <v>2932</v>
      </c>
      <c r="U277" s="186"/>
      <c r="V277" s="186"/>
      <c r="W277" s="186"/>
    </row>
    <row r="278" spans="1:28" ht="12" hidden="1" customHeight="1">
      <c r="A278" s="213"/>
      <c r="B278" s="213"/>
      <c r="C278" s="210"/>
      <c r="D278" s="297"/>
      <c r="E278" s="186" t="s">
        <v>55</v>
      </c>
      <c r="F278" s="186" t="s">
        <v>2937</v>
      </c>
      <c r="G278" s="186" t="s">
        <v>683</v>
      </c>
      <c r="H278" s="186" t="s">
        <v>682</v>
      </c>
      <c r="I278" s="186"/>
      <c r="J278" s="186"/>
      <c r="K278" s="186" t="s">
        <v>680</v>
      </c>
      <c r="L278" s="186"/>
      <c r="M278" s="186"/>
      <c r="N278" s="186"/>
      <c r="O278" s="186"/>
      <c r="P278" s="186"/>
      <c r="Q278" s="186"/>
      <c r="R278" s="186"/>
      <c r="S278" s="186"/>
      <c r="T278" s="186" t="s">
        <v>2932</v>
      </c>
      <c r="U278" s="186"/>
      <c r="V278" s="186"/>
      <c r="W278" s="186"/>
    </row>
    <row r="279" spans="1:28" ht="12" hidden="1" customHeight="1">
      <c r="A279" s="193"/>
      <c r="B279" s="193"/>
      <c r="C279" s="193"/>
      <c r="D279" s="193"/>
      <c r="E279" t="s">
        <v>850</v>
      </c>
      <c r="F279" t="s">
        <v>857</v>
      </c>
      <c r="G279" t="s">
        <v>852</v>
      </c>
      <c r="H279" t="s">
        <v>682</v>
      </c>
      <c r="K279" s="186" t="s">
        <v>680</v>
      </c>
      <c r="L279" s="123"/>
      <c r="M279" s="186"/>
      <c r="O279" s="186"/>
      <c r="P279" s="123"/>
      <c r="Q279" s="186"/>
      <c r="R279" s="186" t="s">
        <v>2673</v>
      </c>
      <c r="S279" s="186">
        <v>0</v>
      </c>
      <c r="X279">
        <v>89</v>
      </c>
      <c r="Z279" t="s">
        <v>2645</v>
      </c>
      <c r="AA279" s="30">
        <v>43538</v>
      </c>
      <c r="AB279" t="s">
        <v>2674</v>
      </c>
    </row>
    <row r="280" spans="1:28" ht="12" hidden="1" customHeight="1">
      <c r="A280" s="213"/>
      <c r="B280" s="213"/>
      <c r="C280" s="210"/>
      <c r="D280" s="297"/>
      <c r="E280" s="186" t="s">
        <v>53</v>
      </c>
      <c r="F280" s="186" t="s">
        <v>1288</v>
      </c>
      <c r="G280" s="186" t="s">
        <v>897</v>
      </c>
      <c r="H280" s="186" t="s">
        <v>682</v>
      </c>
      <c r="I280" s="186"/>
      <c r="J280" s="186"/>
      <c r="K280" s="186" t="s">
        <v>680</v>
      </c>
      <c r="L280" s="186"/>
      <c r="M280" s="186"/>
      <c r="N280" s="186"/>
      <c r="O280" s="186"/>
      <c r="P280" s="186"/>
      <c r="Q280" s="186"/>
      <c r="R280" s="186"/>
      <c r="S280" s="186"/>
      <c r="T280" s="186" t="s">
        <v>1190</v>
      </c>
      <c r="U280" s="186"/>
      <c r="V280" s="186"/>
      <c r="W280" s="186"/>
    </row>
    <row r="281" spans="1:28" ht="12" hidden="1" customHeight="1">
      <c r="A281" s="213"/>
      <c r="B281" s="213"/>
      <c r="C281" s="210"/>
      <c r="D281" s="297"/>
      <c r="E281" s="186" t="s">
        <v>53</v>
      </c>
      <c r="F281" s="186" t="s">
        <v>1289</v>
      </c>
      <c r="G281" s="186" t="s">
        <v>2907</v>
      </c>
      <c r="H281" s="186" t="s">
        <v>682</v>
      </c>
      <c r="I281" s="186"/>
      <c r="J281" s="186"/>
      <c r="K281" s="186" t="s">
        <v>680</v>
      </c>
      <c r="L281" s="186"/>
      <c r="M281" s="186"/>
      <c r="N281" s="186"/>
      <c r="O281" s="186"/>
      <c r="P281" s="186"/>
      <c r="Q281" s="186"/>
      <c r="R281" s="186"/>
      <c r="S281" s="186"/>
      <c r="T281" s="186" t="s">
        <v>1190</v>
      </c>
      <c r="U281" s="186"/>
      <c r="V281" s="186"/>
      <c r="W281" s="186"/>
    </row>
    <row r="282" spans="1:28" ht="12" hidden="1" customHeight="1">
      <c r="A282" s="213"/>
      <c r="B282" s="213"/>
      <c r="C282" s="210"/>
      <c r="D282" s="297"/>
      <c r="E282" s="186" t="s">
        <v>53</v>
      </c>
      <c r="F282" s="186" t="s">
        <v>1290</v>
      </c>
      <c r="G282" s="186" t="s">
        <v>2829</v>
      </c>
      <c r="H282" s="186" t="s">
        <v>682</v>
      </c>
      <c r="I282" s="186"/>
      <c r="J282" s="186"/>
      <c r="K282" s="186" t="s">
        <v>680</v>
      </c>
      <c r="L282" s="186"/>
      <c r="M282" s="186"/>
      <c r="N282" s="186"/>
      <c r="O282" s="186"/>
      <c r="P282" s="186"/>
      <c r="Q282" s="186"/>
      <c r="R282" s="186"/>
      <c r="S282" s="186"/>
      <c r="T282" s="186" t="s">
        <v>1190</v>
      </c>
      <c r="U282" s="186"/>
      <c r="V282" s="186"/>
      <c r="W282" s="186"/>
    </row>
    <row r="283" spans="1:28" ht="12" hidden="1" customHeight="1">
      <c r="A283" s="213"/>
      <c r="B283" s="213"/>
      <c r="C283" s="210"/>
      <c r="D283" s="297"/>
      <c r="E283" s="186" t="s">
        <v>53</v>
      </c>
      <c r="F283" s="186" t="s">
        <v>1291</v>
      </c>
      <c r="G283" s="186" t="s">
        <v>679</v>
      </c>
      <c r="H283" s="186" t="s">
        <v>682</v>
      </c>
      <c r="I283" s="186"/>
      <c r="J283" s="186"/>
      <c r="K283" s="186" t="s">
        <v>680</v>
      </c>
      <c r="L283" s="186"/>
      <c r="M283" s="186"/>
      <c r="N283" s="186"/>
      <c r="O283" s="186"/>
      <c r="P283" s="186"/>
      <c r="Q283" s="186"/>
      <c r="R283" s="186"/>
      <c r="S283" s="186"/>
      <c r="T283" s="186" t="s">
        <v>1190</v>
      </c>
      <c r="U283" s="186"/>
      <c r="V283" s="186"/>
      <c r="W283" s="186"/>
    </row>
    <row r="284" spans="1:28" ht="12" hidden="1" customHeight="1">
      <c r="A284" s="213"/>
      <c r="B284" s="213"/>
      <c r="C284" s="210"/>
      <c r="D284" s="297"/>
      <c r="E284" s="186" t="s">
        <v>53</v>
      </c>
      <c r="F284" s="186" t="s">
        <v>1292</v>
      </c>
      <c r="G284" s="186" t="s">
        <v>897</v>
      </c>
      <c r="H284" s="186" t="s">
        <v>682</v>
      </c>
      <c r="I284" s="186"/>
      <c r="J284" s="186"/>
      <c r="K284" s="186" t="s">
        <v>680</v>
      </c>
      <c r="L284" s="186"/>
      <c r="M284" s="186"/>
      <c r="N284" s="186"/>
      <c r="O284" s="186"/>
      <c r="P284" s="186"/>
      <c r="Q284" s="186"/>
      <c r="R284" s="186"/>
      <c r="S284" s="186"/>
      <c r="T284" s="186" t="s">
        <v>1190</v>
      </c>
      <c r="U284" s="186"/>
      <c r="V284" s="186"/>
      <c r="W284" s="186"/>
    </row>
    <row r="285" spans="1:28" ht="12" hidden="1" customHeight="1">
      <c r="A285" s="213"/>
      <c r="B285" s="213"/>
      <c r="C285" s="210"/>
      <c r="D285" s="297"/>
      <c r="E285" s="186" t="s">
        <v>53</v>
      </c>
      <c r="F285" s="186" t="s">
        <v>1293</v>
      </c>
      <c r="G285" s="186" t="s">
        <v>2829</v>
      </c>
      <c r="H285" s="186" t="s">
        <v>682</v>
      </c>
      <c r="I285" s="186"/>
      <c r="J285" s="186"/>
      <c r="K285" s="186" t="s">
        <v>680</v>
      </c>
      <c r="L285" s="186"/>
      <c r="M285" s="186"/>
      <c r="N285" s="186"/>
      <c r="O285" s="186"/>
      <c r="P285" s="186"/>
      <c r="Q285" s="186"/>
      <c r="R285" s="186"/>
      <c r="S285" s="186"/>
      <c r="T285" s="186" t="s">
        <v>1190</v>
      </c>
      <c r="U285" s="186"/>
      <c r="V285" s="186"/>
      <c r="W285" s="186"/>
    </row>
    <row r="286" spans="1:28" ht="12.5">
      <c r="A286" s="213"/>
      <c r="B286" s="213"/>
      <c r="C286" s="210"/>
      <c r="D286" s="297"/>
      <c r="E286" s="186" t="s">
        <v>53</v>
      </c>
      <c r="F286" s="186" t="s">
        <v>123</v>
      </c>
      <c r="G286" s="186" t="s">
        <v>897</v>
      </c>
      <c r="H286" s="186" t="s">
        <v>682</v>
      </c>
      <c r="I286" s="186"/>
      <c r="J286" s="186"/>
      <c r="K286" s="186" t="s">
        <v>682</v>
      </c>
      <c r="L286" s="123" t="s">
        <v>2938</v>
      </c>
      <c r="M286" s="123" t="s">
        <v>2939</v>
      </c>
      <c r="N286" s="186"/>
      <c r="O286" s="186"/>
      <c r="P286" s="186"/>
      <c r="Q286" s="186"/>
      <c r="R286" s="186"/>
      <c r="S286" s="186"/>
      <c r="T286" s="186" t="s">
        <v>1190</v>
      </c>
      <c r="U286" s="186"/>
      <c r="V286" s="186"/>
      <c r="W286" s="186"/>
    </row>
    <row r="287" spans="1:28" ht="12" customHeight="1">
      <c r="A287" s="213"/>
      <c r="B287" s="213"/>
      <c r="C287" s="210"/>
      <c r="D287" s="297"/>
      <c r="E287" s="186" t="s">
        <v>63</v>
      </c>
      <c r="F287" s="186" t="s">
        <v>122</v>
      </c>
      <c r="G287" s="186" t="s">
        <v>681</v>
      </c>
      <c r="H287" s="186" t="s">
        <v>682</v>
      </c>
      <c r="I287" s="186"/>
      <c r="J287" s="186"/>
      <c r="K287" s="186" t="s">
        <v>682</v>
      </c>
      <c r="L287" s="123" t="s">
        <v>2938</v>
      </c>
      <c r="M287" s="123" t="s">
        <v>2940</v>
      </c>
      <c r="N287" s="186"/>
      <c r="O287" s="186"/>
      <c r="P287" s="186"/>
      <c r="Q287" s="186"/>
      <c r="R287" s="186"/>
      <c r="S287" s="186"/>
      <c r="T287" s="186" t="s">
        <v>1190</v>
      </c>
      <c r="U287" s="186"/>
      <c r="V287" s="186"/>
      <c r="W287" s="186"/>
    </row>
    <row r="288" spans="1:28" ht="12" hidden="1" customHeight="1">
      <c r="A288" s="213"/>
      <c r="B288" s="213"/>
      <c r="C288" s="210"/>
      <c r="D288" s="297"/>
      <c r="E288" s="186" t="s">
        <v>55</v>
      </c>
      <c r="F288" s="186" t="s">
        <v>2941</v>
      </c>
      <c r="G288" s="186" t="s">
        <v>683</v>
      </c>
      <c r="H288" s="186" t="s">
        <v>682</v>
      </c>
      <c r="I288" s="186"/>
      <c r="J288" s="186"/>
      <c r="K288" s="186" t="s">
        <v>680</v>
      </c>
      <c r="L288" s="186"/>
      <c r="M288" s="186"/>
      <c r="N288" s="186"/>
      <c r="O288" s="186"/>
      <c r="P288" s="186"/>
      <c r="Q288" s="186"/>
      <c r="R288" s="186"/>
      <c r="S288" s="186"/>
      <c r="T288" s="186" t="s">
        <v>2942</v>
      </c>
      <c r="U288" s="186"/>
      <c r="V288" s="186"/>
      <c r="W288" s="186"/>
    </row>
    <row r="289" spans="1:29" ht="12" hidden="1" customHeight="1">
      <c r="A289" s="213"/>
      <c r="B289" s="213"/>
      <c r="C289" s="210"/>
      <c r="D289" s="297"/>
      <c r="E289" s="186" t="s">
        <v>55</v>
      </c>
      <c r="F289" s="186" t="s">
        <v>2943</v>
      </c>
      <c r="G289" s="186" t="s">
        <v>683</v>
      </c>
      <c r="H289" s="186" t="s">
        <v>682</v>
      </c>
      <c r="I289" s="186"/>
      <c r="J289" s="186"/>
      <c r="K289" s="186" t="s">
        <v>680</v>
      </c>
      <c r="L289" s="186"/>
      <c r="M289" s="186"/>
      <c r="N289" s="186"/>
      <c r="O289" s="186"/>
      <c r="P289" s="186"/>
      <c r="Q289" s="186"/>
      <c r="R289" s="186"/>
      <c r="S289" s="186"/>
      <c r="T289" s="186" t="s">
        <v>2942</v>
      </c>
      <c r="U289" s="186"/>
      <c r="V289" s="186"/>
      <c r="W289" s="186"/>
    </row>
    <row r="290" spans="1:29" ht="12" hidden="1" customHeight="1">
      <c r="A290" s="213"/>
      <c r="B290" s="213"/>
      <c r="C290" s="210"/>
      <c r="D290" s="297"/>
      <c r="E290" s="186" t="s">
        <v>55</v>
      </c>
      <c r="F290" s="186" t="s">
        <v>2944</v>
      </c>
      <c r="G290" s="186" t="s">
        <v>683</v>
      </c>
      <c r="H290" s="186" t="s">
        <v>682</v>
      </c>
      <c r="I290" s="186"/>
      <c r="J290" s="186"/>
      <c r="K290" s="186" t="s">
        <v>680</v>
      </c>
      <c r="L290" s="186"/>
      <c r="M290" s="186"/>
      <c r="N290" s="186"/>
      <c r="O290" s="186"/>
      <c r="P290" s="186"/>
      <c r="Q290" s="186"/>
      <c r="R290" s="186"/>
      <c r="S290" s="186"/>
      <c r="T290" s="186" t="s">
        <v>2942</v>
      </c>
      <c r="U290" s="186"/>
      <c r="V290" s="186"/>
      <c r="W290" s="186"/>
    </row>
    <row r="291" spans="1:29" ht="12" hidden="1" customHeight="1">
      <c r="A291" s="213"/>
      <c r="B291" s="213"/>
      <c r="C291" s="210"/>
      <c r="D291" s="297"/>
      <c r="E291" s="186" t="s">
        <v>55</v>
      </c>
      <c r="F291" s="186" t="s">
        <v>2945</v>
      </c>
      <c r="G291" s="186" t="s">
        <v>683</v>
      </c>
      <c r="H291" s="186" t="s">
        <v>682</v>
      </c>
      <c r="I291" s="186"/>
      <c r="J291" s="186"/>
      <c r="K291" s="186" t="s">
        <v>680</v>
      </c>
      <c r="L291" s="186"/>
      <c r="M291" s="186"/>
      <c r="N291" s="186"/>
      <c r="O291" s="186"/>
      <c r="P291" s="186"/>
      <c r="Q291" s="186"/>
      <c r="R291" s="186"/>
      <c r="S291" s="186"/>
      <c r="T291" s="186" t="s">
        <v>2942</v>
      </c>
      <c r="U291" s="186"/>
      <c r="V291" s="186"/>
      <c r="W291" s="186"/>
    </row>
    <row r="292" spans="1:29" ht="12" hidden="1" customHeight="1">
      <c r="A292" s="213"/>
      <c r="B292" s="213"/>
      <c r="C292" s="210"/>
      <c r="D292" s="297"/>
      <c r="E292" s="186" t="s">
        <v>55</v>
      </c>
      <c r="F292" s="186" t="s">
        <v>2946</v>
      </c>
      <c r="G292" s="186" t="s">
        <v>683</v>
      </c>
      <c r="H292" s="186" t="s">
        <v>682</v>
      </c>
      <c r="I292" s="186"/>
      <c r="J292" s="186"/>
      <c r="K292" s="186" t="s">
        <v>680</v>
      </c>
      <c r="L292" s="186"/>
      <c r="M292" s="186"/>
      <c r="N292" s="186"/>
      <c r="O292" s="186"/>
      <c r="P292" s="186"/>
      <c r="Q292" s="186"/>
      <c r="R292" s="186"/>
      <c r="S292" s="186"/>
      <c r="T292" s="186" t="s">
        <v>2942</v>
      </c>
      <c r="U292" s="186"/>
      <c r="V292" s="186"/>
      <c r="W292" s="186"/>
    </row>
    <row r="293" spans="1:29" ht="12" hidden="1" customHeight="1">
      <c r="A293" s="213"/>
      <c r="B293" s="213"/>
      <c r="C293" s="210"/>
      <c r="D293" s="297"/>
      <c r="E293" s="186" t="s">
        <v>55</v>
      </c>
      <c r="F293" s="186" t="s">
        <v>2947</v>
      </c>
      <c r="G293" s="186" t="s">
        <v>683</v>
      </c>
      <c r="H293" s="186" t="s">
        <v>682</v>
      </c>
      <c r="I293" s="186"/>
      <c r="J293" s="186"/>
      <c r="K293" s="186" t="s">
        <v>680</v>
      </c>
      <c r="L293" s="186"/>
      <c r="M293" s="186"/>
      <c r="N293" s="186"/>
      <c r="O293" s="186"/>
      <c r="P293" s="186"/>
      <c r="Q293" s="186"/>
      <c r="R293" s="186"/>
      <c r="S293" s="186"/>
      <c r="T293" s="186" t="s">
        <v>2942</v>
      </c>
      <c r="U293" s="186"/>
      <c r="V293" s="186"/>
      <c r="W293" s="186"/>
    </row>
    <row r="294" spans="1:29" ht="12" hidden="1" customHeight="1">
      <c r="A294" s="213"/>
      <c r="B294" s="213"/>
      <c r="C294" s="210"/>
      <c r="D294" s="297"/>
      <c r="E294" s="186" t="s">
        <v>55</v>
      </c>
      <c r="F294" s="186" t="s">
        <v>2948</v>
      </c>
      <c r="G294" s="186" t="s">
        <v>683</v>
      </c>
      <c r="H294" s="186" t="s">
        <v>682</v>
      </c>
      <c r="I294" s="186"/>
      <c r="J294" s="186"/>
      <c r="K294" s="186" t="s">
        <v>680</v>
      </c>
      <c r="L294" s="186"/>
      <c r="M294" s="186"/>
      <c r="N294" s="186"/>
      <c r="O294" s="186"/>
      <c r="P294" s="186"/>
      <c r="Q294" s="186"/>
      <c r="R294" s="186"/>
      <c r="S294" s="186"/>
      <c r="T294" s="186" t="s">
        <v>2949</v>
      </c>
      <c r="U294" s="186"/>
      <c r="V294" s="186"/>
      <c r="W294" s="186"/>
    </row>
    <row r="295" spans="1:29" ht="12" hidden="1" customHeight="1">
      <c r="A295" s="213"/>
      <c r="B295" s="213"/>
      <c r="C295" s="210"/>
      <c r="D295" s="297"/>
      <c r="E295" s="186" t="s">
        <v>55</v>
      </c>
      <c r="F295" s="186" t="s">
        <v>2950</v>
      </c>
      <c r="G295" s="186" t="s">
        <v>683</v>
      </c>
      <c r="H295" s="186" t="s">
        <v>682</v>
      </c>
      <c r="I295" s="186"/>
      <c r="J295" s="186"/>
      <c r="K295" s="186" t="s">
        <v>680</v>
      </c>
      <c r="L295" s="186"/>
      <c r="M295" s="186"/>
      <c r="N295" s="186"/>
      <c r="O295" s="186"/>
      <c r="P295" s="186"/>
      <c r="Q295" s="186"/>
      <c r="R295" s="186"/>
      <c r="S295" s="186"/>
      <c r="T295" s="186" t="s">
        <v>2951</v>
      </c>
      <c r="U295" s="186"/>
      <c r="V295" s="186"/>
      <c r="W295" s="186"/>
    </row>
    <row r="296" spans="1:29" ht="12" hidden="1" customHeight="1">
      <c r="A296" s="213"/>
      <c r="B296" s="213"/>
      <c r="C296" s="210"/>
      <c r="D296" s="297"/>
      <c r="E296" s="186" t="s">
        <v>55</v>
      </c>
      <c r="F296" s="186" t="s">
        <v>2952</v>
      </c>
      <c r="G296" s="186" t="s">
        <v>683</v>
      </c>
      <c r="H296" s="186" t="s">
        <v>682</v>
      </c>
      <c r="I296" s="186"/>
      <c r="J296" s="186"/>
      <c r="K296" s="186" t="s">
        <v>680</v>
      </c>
      <c r="L296" s="186"/>
      <c r="M296" s="186"/>
      <c r="N296" s="186"/>
      <c r="O296" s="186"/>
      <c r="P296" s="186"/>
      <c r="Q296" s="186"/>
      <c r="R296" s="186"/>
      <c r="S296" s="186"/>
      <c r="T296" s="186" t="s">
        <v>2953</v>
      </c>
      <c r="U296" s="186"/>
      <c r="V296" s="186"/>
      <c r="W296" s="186"/>
    </row>
    <row r="297" spans="1:29" ht="12" hidden="1" customHeight="1">
      <c r="A297" s="213"/>
      <c r="B297" s="213"/>
      <c r="C297" s="210"/>
      <c r="D297" s="297"/>
      <c r="E297" s="186" t="s">
        <v>55</v>
      </c>
      <c r="F297" s="186" t="s">
        <v>2954</v>
      </c>
      <c r="G297" s="186" t="s">
        <v>683</v>
      </c>
      <c r="H297" s="186" t="s">
        <v>682</v>
      </c>
      <c r="I297" s="186"/>
      <c r="J297" s="186"/>
      <c r="K297" s="186" t="s">
        <v>680</v>
      </c>
      <c r="L297" s="186"/>
      <c r="M297" s="186"/>
      <c r="N297" s="186"/>
      <c r="O297" s="186"/>
      <c r="P297" s="186"/>
      <c r="Q297" s="186"/>
      <c r="R297" s="186"/>
      <c r="S297" s="186"/>
      <c r="T297" s="186" t="s">
        <v>2955</v>
      </c>
      <c r="U297" s="186"/>
      <c r="V297" s="186"/>
      <c r="W297" s="186"/>
    </row>
    <row r="298" spans="1:29" ht="12" hidden="1" customHeight="1">
      <c r="A298" s="88"/>
      <c r="B298" s="88"/>
      <c r="C298" s="89"/>
      <c r="D298" s="93"/>
      <c r="E298" s="186" t="s">
        <v>55</v>
      </c>
      <c r="F298" s="186" t="s">
        <v>2956</v>
      </c>
      <c r="G298" s="186" t="s">
        <v>683</v>
      </c>
      <c r="H298" s="186" t="s">
        <v>682</v>
      </c>
      <c r="I298" s="186"/>
      <c r="J298" s="186"/>
      <c r="K298" s="186" t="s">
        <v>680</v>
      </c>
      <c r="L298" s="186"/>
      <c r="M298" s="186"/>
      <c r="N298" s="186"/>
      <c r="O298" s="186"/>
      <c r="P298" s="186"/>
      <c r="Q298" s="186"/>
      <c r="R298" s="186"/>
      <c r="S298" s="186"/>
      <c r="T298" s="186" t="s">
        <v>2957</v>
      </c>
      <c r="U298" s="186"/>
      <c r="V298" s="186"/>
      <c r="W298" s="186"/>
    </row>
    <row r="299" spans="1:29" ht="12" customHeight="1">
      <c r="M299" s="441"/>
      <c r="P299" s="441"/>
    </row>
    <row r="300" spans="1:29" ht="15.75" customHeight="1">
      <c r="M300" s="441"/>
      <c r="P300" s="441"/>
    </row>
    <row r="301" spans="1:29" ht="15.75" customHeight="1">
      <c r="M301" s="441"/>
      <c r="P301" s="441"/>
    </row>
    <row r="302" spans="1:29" ht="13">
      <c r="A302" s="453"/>
      <c r="B302" s="453"/>
      <c r="C302" s="453"/>
      <c r="D302" s="453"/>
      <c r="E302" s="180"/>
      <c r="F302" s="180"/>
      <c r="G302" s="180"/>
      <c r="H302" s="696"/>
      <c r="I302" s="692"/>
      <c r="J302" s="692"/>
      <c r="K302" s="692"/>
      <c r="L302" s="469"/>
      <c r="M302" s="180"/>
      <c r="N302" s="149"/>
      <c r="O302" s="441"/>
      <c r="P302" s="441"/>
      <c r="Q302" s="441"/>
      <c r="R302" s="441"/>
      <c r="S302" s="441"/>
      <c r="T302" s="441"/>
      <c r="U302" s="441"/>
      <c r="X302" s="441"/>
      <c r="Y302" s="441"/>
      <c r="Z302" s="441"/>
      <c r="AA302" s="441"/>
      <c r="AB302" s="441"/>
      <c r="AC302" s="441"/>
    </row>
    <row r="303" spans="1:29" ht="12.5">
      <c r="A303" s="453"/>
      <c r="B303" s="453"/>
      <c r="C303" s="453"/>
      <c r="D303" s="453"/>
      <c r="H303" s="695"/>
      <c r="I303" s="692"/>
      <c r="J303" s="692"/>
      <c r="K303" s="692"/>
      <c r="L303" s="129"/>
      <c r="N303" s="441"/>
      <c r="O303" s="441"/>
      <c r="P303" s="382"/>
      <c r="Q303" s="470"/>
      <c r="R303" s="441"/>
      <c r="S303" s="441"/>
      <c r="T303" s="441"/>
      <c r="U303" s="441"/>
      <c r="X303" s="441"/>
      <c r="Y303" s="441"/>
      <c r="Z303" s="441"/>
      <c r="AA303" s="441"/>
      <c r="AB303" s="441"/>
      <c r="AC303" s="441"/>
    </row>
    <row r="304" spans="1:29" ht="12.5">
      <c r="A304" s="453"/>
      <c r="B304" s="453"/>
      <c r="C304" s="453"/>
      <c r="D304" s="453"/>
      <c r="H304" s="695"/>
      <c r="I304" s="692"/>
      <c r="J304" s="692"/>
      <c r="K304" s="692"/>
      <c r="L304" s="129"/>
      <c r="N304" s="441"/>
      <c r="O304" s="441"/>
      <c r="P304" s="441"/>
      <c r="Q304" s="441"/>
      <c r="R304" s="441"/>
      <c r="S304" s="441"/>
      <c r="T304" s="441"/>
      <c r="U304" s="441"/>
      <c r="X304" s="441"/>
      <c r="Y304" s="441"/>
      <c r="Z304" s="441"/>
      <c r="AA304" s="441"/>
      <c r="AB304" s="441"/>
      <c r="AC304" s="441"/>
    </row>
    <row r="305" spans="1:29" ht="12.5">
      <c r="A305" s="453"/>
      <c r="B305" s="453"/>
      <c r="C305" s="453"/>
      <c r="D305" s="453"/>
      <c r="E305" s="441"/>
      <c r="H305" s="695"/>
      <c r="I305" s="692"/>
      <c r="J305" s="692"/>
      <c r="K305" s="692"/>
      <c r="L305" s="129"/>
      <c r="N305" s="441"/>
      <c r="O305" s="441"/>
      <c r="P305" s="441"/>
      <c r="Q305" s="441"/>
      <c r="R305" s="441"/>
      <c r="S305" s="441"/>
      <c r="T305" s="441"/>
      <c r="U305" s="441"/>
      <c r="X305" s="441"/>
      <c r="Y305" s="441"/>
      <c r="Z305" s="441"/>
      <c r="AA305" s="441"/>
      <c r="AB305" s="441"/>
      <c r="AC305" s="441"/>
    </row>
    <row r="306" spans="1:29" ht="12.5">
      <c r="A306" s="453"/>
      <c r="B306" s="453"/>
      <c r="C306" s="453"/>
      <c r="D306" s="453"/>
      <c r="E306" s="441"/>
      <c r="H306" s="695"/>
      <c r="I306" s="692"/>
      <c r="J306" s="692"/>
      <c r="K306" s="692"/>
      <c r="L306" s="129"/>
      <c r="N306" s="441"/>
      <c r="O306" s="441"/>
      <c r="P306" s="441"/>
      <c r="Q306" s="441"/>
      <c r="R306" s="441"/>
      <c r="S306" s="441"/>
      <c r="T306" s="441"/>
      <c r="U306" s="441"/>
      <c r="X306" s="441"/>
      <c r="Y306" s="441"/>
      <c r="Z306" s="441"/>
      <c r="AA306" s="441"/>
      <c r="AB306" s="441"/>
      <c r="AC306" s="441"/>
    </row>
    <row r="308" spans="1:29" ht="15.75" customHeight="1">
      <c r="H308" s="695"/>
      <c r="I308" s="692"/>
      <c r="J308" s="692"/>
      <c r="K308" s="692"/>
      <c r="L308" s="129"/>
    </row>
    <row r="309" spans="1:29" ht="15.75" customHeight="1">
      <c r="H309" s="695"/>
      <c r="I309" s="692"/>
      <c r="J309" s="692"/>
      <c r="K309" s="692"/>
      <c r="L309" s="129"/>
    </row>
    <row r="310" spans="1:29" ht="15.75" customHeight="1">
      <c r="H310" s="695"/>
      <c r="I310" s="692"/>
      <c r="J310" s="692"/>
      <c r="K310" s="692"/>
      <c r="L310" s="129"/>
    </row>
    <row r="311" spans="1:29" ht="15.75" customHeight="1">
      <c r="H311" s="695"/>
      <c r="I311" s="692"/>
      <c r="J311" s="692"/>
      <c r="K311" s="692"/>
      <c r="L311" s="129"/>
    </row>
    <row r="312" spans="1:29" ht="15.75" customHeight="1">
      <c r="E312" s="441"/>
      <c r="F312" s="441"/>
      <c r="G312" s="441"/>
      <c r="H312" s="691"/>
      <c r="I312" s="692"/>
      <c r="J312" s="692"/>
      <c r="K312" s="692"/>
      <c r="L312" s="439"/>
      <c r="M312" s="441"/>
    </row>
    <row r="313" spans="1:29" ht="15.75" customHeight="1">
      <c r="E313" s="441"/>
      <c r="F313" s="441"/>
      <c r="G313" s="441"/>
      <c r="H313" s="691"/>
      <c r="I313" s="692"/>
      <c r="J313" s="692"/>
      <c r="K313" s="692"/>
      <c r="L313" s="439"/>
      <c r="M313" s="441"/>
    </row>
    <row r="314" spans="1:29" ht="15.75" customHeight="1">
      <c r="E314" s="441"/>
      <c r="F314" s="441"/>
      <c r="G314" s="441"/>
      <c r="H314" s="441"/>
      <c r="I314" s="441"/>
      <c r="J314" s="441"/>
      <c r="K314" s="441"/>
      <c r="L314" s="441"/>
      <c r="M314" s="441"/>
    </row>
    <row r="315" spans="1:29" ht="15.75" customHeight="1">
      <c r="E315" s="149"/>
      <c r="F315" s="441"/>
      <c r="G315" s="441"/>
      <c r="H315" s="441"/>
      <c r="I315" s="441"/>
      <c r="J315" s="441"/>
      <c r="K315" s="441"/>
      <c r="L315" s="441"/>
      <c r="M315" s="441"/>
    </row>
    <row r="316" spans="1:29" ht="15.75" customHeight="1">
      <c r="E316" s="439"/>
      <c r="F316" s="441"/>
      <c r="G316" s="441"/>
      <c r="H316" s="441"/>
      <c r="I316" s="441"/>
      <c r="J316" s="441"/>
      <c r="K316" s="441"/>
      <c r="L316" s="441"/>
      <c r="M316" s="441"/>
    </row>
    <row r="317" spans="1:29" ht="15.75" customHeight="1">
      <c r="E317" s="439"/>
      <c r="F317" s="441"/>
      <c r="G317" s="441"/>
      <c r="H317" s="441"/>
      <c r="I317" s="441"/>
      <c r="J317" s="441"/>
      <c r="K317" s="441"/>
      <c r="L317" s="441"/>
      <c r="M317" s="441"/>
    </row>
  </sheetData>
  <autoFilter ref="A3:AC298" xr:uid="{00000000-0001-0000-0E00-000000000000}">
    <filterColumn colId="10">
      <filters>
        <filter val="Y"/>
      </filters>
    </filterColumn>
  </autoFilter>
  <mergeCells count="12">
    <mergeCell ref="H309:K309"/>
    <mergeCell ref="H310:K310"/>
    <mergeCell ref="H311:K311"/>
    <mergeCell ref="H312:K312"/>
    <mergeCell ref="H313:K313"/>
    <mergeCell ref="E1:L1"/>
    <mergeCell ref="H308:K308"/>
    <mergeCell ref="H302:K302"/>
    <mergeCell ref="H303:K303"/>
    <mergeCell ref="H304:K304"/>
    <mergeCell ref="H305:K305"/>
    <mergeCell ref="H306:K306"/>
  </mergeCells>
  <pageMargins left="0.7" right="0.7" top="0.75" bottom="0.75" header="0" footer="0"/>
  <pageSetup orientation="landscape"/>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filterMode="1">
    <outlinePr summaryBelow="0" summaryRight="0"/>
  </sheetPr>
  <dimension ref="A1:AB101"/>
  <sheetViews>
    <sheetView workbookViewId="0">
      <pane xSplit="2" ySplit="2" topLeftCell="H3" activePane="bottomRight" state="frozen"/>
      <selection pane="topRight" activeCell="C1" sqref="C1"/>
      <selection pane="bottomLeft" activeCell="A3" sqref="A3"/>
      <selection pane="bottomRight" activeCell="H5" sqref="H5"/>
    </sheetView>
  </sheetViews>
  <sheetFormatPr defaultColWidth="14.453125" defaultRowHeight="15" customHeight="1"/>
  <cols>
    <col min="1" max="4" width="17.26953125" hidden="1" customWidth="1"/>
    <col min="5" max="5" width="21.453125" customWidth="1"/>
    <col min="6" max="6" width="29.453125" customWidth="1"/>
    <col min="7" max="7" width="20.453125" customWidth="1"/>
    <col min="8" max="8" width="9.26953125" customWidth="1"/>
    <col min="9" max="9" width="5.26953125" customWidth="1"/>
    <col min="10" max="10" width="7.81640625" customWidth="1"/>
    <col min="11" max="11" width="17.1796875" customWidth="1"/>
    <col min="12" max="12" width="41.1796875" customWidth="1"/>
    <col min="13" max="13" width="26.1796875" customWidth="1"/>
    <col min="14" max="14" width="12.1796875" customWidth="1"/>
    <col min="15" max="16" width="12.7265625" customWidth="1"/>
    <col min="17" max="17" width="20.453125" customWidth="1"/>
    <col min="18" max="18" width="38.7265625" customWidth="1"/>
    <col min="19" max="19" width="15.1796875" customWidth="1"/>
    <col min="20" max="20" width="62.26953125" customWidth="1"/>
    <col min="21" max="23" width="9.1796875" customWidth="1"/>
    <col min="24" max="24" width="9.453125" customWidth="1"/>
    <col min="25" max="25" width="16.1796875" customWidth="1"/>
    <col min="26" max="26" width="38.7265625" customWidth="1"/>
    <col min="27" max="27" width="14.7265625" customWidth="1"/>
    <col min="28" max="28" width="48.7265625" customWidth="1"/>
  </cols>
  <sheetData>
    <row r="1" spans="1:28" ht="12.75" customHeight="1">
      <c r="A1" s="5"/>
      <c r="B1" s="5"/>
      <c r="C1" s="5"/>
      <c r="D1" s="5"/>
      <c r="E1" s="300" t="s">
        <v>3009</v>
      </c>
      <c r="F1" s="301"/>
      <c r="G1" s="301"/>
      <c r="H1" s="301"/>
      <c r="I1" s="301"/>
      <c r="J1" s="301"/>
      <c r="K1" s="256" t="s">
        <v>1038</v>
      </c>
      <c r="L1" s="240"/>
      <c r="M1" s="256"/>
      <c r="N1" s="256"/>
      <c r="O1" s="256"/>
      <c r="P1" s="256"/>
      <c r="Q1" s="256"/>
      <c r="R1" s="301"/>
      <c r="S1" s="302"/>
      <c r="T1" s="301"/>
      <c r="U1" s="301"/>
      <c r="V1" s="187"/>
      <c r="W1" s="187"/>
      <c r="X1" s="56"/>
      <c r="Y1" s="56"/>
      <c r="Z1" s="252" t="s">
        <v>1039</v>
      </c>
      <c r="AA1" s="253"/>
      <c r="AB1" s="254"/>
    </row>
    <row r="2" spans="1:28" ht="12.75" customHeight="1">
      <c r="A2" s="5"/>
      <c r="B2" s="5"/>
      <c r="C2" s="5"/>
      <c r="D2" s="5"/>
      <c r="E2" s="533" t="s">
        <v>224</v>
      </c>
      <c r="F2" s="533" t="s">
        <v>225</v>
      </c>
      <c r="G2" s="533" t="s">
        <v>226</v>
      </c>
      <c r="H2" s="533" t="s">
        <v>227</v>
      </c>
      <c r="I2" s="533" t="s">
        <v>1044</v>
      </c>
      <c r="J2" s="533" t="s">
        <v>1045</v>
      </c>
      <c r="K2" s="533" t="s">
        <v>1046</v>
      </c>
      <c r="L2" s="351" t="s">
        <v>100</v>
      </c>
      <c r="M2" s="533" t="s">
        <v>101</v>
      </c>
      <c r="N2" s="533" t="s">
        <v>102</v>
      </c>
      <c r="O2" s="533" t="s">
        <v>103</v>
      </c>
      <c r="P2" s="533" t="s">
        <v>104</v>
      </c>
      <c r="Q2" s="533" t="s">
        <v>105</v>
      </c>
      <c r="R2" s="533" t="s">
        <v>111</v>
      </c>
      <c r="S2" s="534" t="s">
        <v>112</v>
      </c>
      <c r="T2" s="533" t="s">
        <v>113</v>
      </c>
      <c r="U2" s="535" t="s">
        <v>1326</v>
      </c>
      <c r="V2" s="536"/>
      <c r="W2" s="536"/>
      <c r="X2" s="359" t="s">
        <v>1049</v>
      </c>
      <c r="Y2" s="359" t="s">
        <v>1050</v>
      </c>
      <c r="Z2" s="359" t="s">
        <v>237</v>
      </c>
      <c r="AA2" s="360" t="s">
        <v>1</v>
      </c>
      <c r="AB2" s="537" t="s">
        <v>238</v>
      </c>
    </row>
    <row r="3" spans="1:28" ht="38.5">
      <c r="A3" s="5"/>
      <c r="B3" s="5"/>
      <c r="C3" s="5"/>
      <c r="D3" s="5"/>
      <c r="E3" s="439" t="s">
        <v>61</v>
      </c>
      <c r="F3" s="439" t="s">
        <v>316</v>
      </c>
      <c r="G3" s="439" t="s">
        <v>264</v>
      </c>
      <c r="H3" s="439" t="s">
        <v>864</v>
      </c>
      <c r="I3" s="439"/>
      <c r="J3" s="315">
        <v>56</v>
      </c>
      <c r="K3" s="439" t="s">
        <v>682</v>
      </c>
      <c r="L3" s="441" t="s">
        <v>3010</v>
      </c>
      <c r="M3" s="129" t="s">
        <v>865</v>
      </c>
      <c r="N3" s="439"/>
      <c r="O3" s="439"/>
      <c r="P3" s="439" t="s">
        <v>3011</v>
      </c>
      <c r="Q3" s="439" t="s">
        <v>865</v>
      </c>
      <c r="R3" s="538" t="s">
        <v>3012</v>
      </c>
      <c r="S3" s="120">
        <v>5930295185</v>
      </c>
      <c r="T3" s="439" t="s">
        <v>3013</v>
      </c>
      <c r="U3" s="439"/>
      <c r="V3" s="439"/>
      <c r="W3" s="439"/>
      <c r="X3" s="439">
        <v>1</v>
      </c>
      <c r="Y3" s="439"/>
      <c r="Z3" s="123" t="s">
        <v>1521</v>
      </c>
      <c r="AA3" s="361">
        <v>43538</v>
      </c>
      <c r="AB3" s="362" t="s">
        <v>3014</v>
      </c>
    </row>
    <row r="4" spans="1:28" ht="38.5">
      <c r="A4" s="5"/>
      <c r="B4" s="5"/>
      <c r="C4" s="5"/>
      <c r="D4" s="5"/>
      <c r="E4" s="439" t="s">
        <v>59</v>
      </c>
      <c r="F4" s="439" t="s">
        <v>866</v>
      </c>
      <c r="G4" s="439" t="s">
        <v>867</v>
      </c>
      <c r="H4" s="439" t="s">
        <v>864</v>
      </c>
      <c r="I4" s="439"/>
      <c r="J4" s="315">
        <v>70</v>
      </c>
      <c r="K4" s="439" t="s">
        <v>682</v>
      </c>
      <c r="L4" s="441" t="s">
        <v>3010</v>
      </c>
      <c r="M4" s="129" t="s">
        <v>868</v>
      </c>
      <c r="N4" s="439"/>
      <c r="O4" s="439"/>
      <c r="P4" s="439" t="s">
        <v>3011</v>
      </c>
      <c r="Q4" s="439" t="s">
        <v>868</v>
      </c>
      <c r="R4" s="538"/>
      <c r="S4" s="120" t="s">
        <v>3015</v>
      </c>
      <c r="T4" s="439" t="s">
        <v>3016</v>
      </c>
      <c r="U4" s="439"/>
      <c r="V4" s="439"/>
      <c r="W4" s="439"/>
      <c r="X4" s="439">
        <v>2</v>
      </c>
      <c r="Y4" s="439"/>
      <c r="Z4" s="123" t="s">
        <v>1521</v>
      </c>
      <c r="AA4" s="361">
        <v>43538</v>
      </c>
      <c r="AB4" s="362" t="s">
        <v>3014</v>
      </c>
    </row>
    <row r="5" spans="1:28" ht="38.5">
      <c r="A5" s="5"/>
      <c r="B5" s="5"/>
      <c r="C5" s="5"/>
      <c r="D5" s="5"/>
      <c r="E5" s="439" t="s">
        <v>55</v>
      </c>
      <c r="F5" s="439" t="s">
        <v>869</v>
      </c>
      <c r="G5" s="439" t="s">
        <v>255</v>
      </c>
      <c r="H5" s="439" t="s">
        <v>864</v>
      </c>
      <c r="I5" s="439"/>
      <c r="J5" s="315">
        <v>75</v>
      </c>
      <c r="K5" s="439" t="s">
        <v>682</v>
      </c>
      <c r="L5" s="441" t="s">
        <v>3010</v>
      </c>
      <c r="M5" s="439" t="s">
        <v>692</v>
      </c>
      <c r="N5" s="439" t="s">
        <v>1925</v>
      </c>
      <c r="O5" s="439"/>
      <c r="P5" s="439"/>
      <c r="Q5" s="439" t="s">
        <v>692</v>
      </c>
      <c r="R5" s="538" t="s">
        <v>3017</v>
      </c>
      <c r="S5" s="539">
        <v>38961</v>
      </c>
      <c r="T5" s="439" t="s">
        <v>3018</v>
      </c>
      <c r="U5" s="439"/>
      <c r="V5" s="439"/>
      <c r="W5" s="439"/>
      <c r="X5" s="439">
        <v>3</v>
      </c>
      <c r="Y5" s="439"/>
      <c r="Z5" s="123" t="s">
        <v>1521</v>
      </c>
      <c r="AA5" s="361">
        <v>43538</v>
      </c>
      <c r="AB5" s="362" t="s">
        <v>3014</v>
      </c>
    </row>
    <row r="6" spans="1:28" ht="38.5">
      <c r="A6" s="5"/>
      <c r="B6" s="5"/>
      <c r="C6" s="5"/>
      <c r="D6" s="5"/>
      <c r="E6" s="439" t="s">
        <v>61</v>
      </c>
      <c r="F6" s="439" t="s">
        <v>870</v>
      </c>
      <c r="G6" s="439" t="s">
        <v>252</v>
      </c>
      <c r="H6" s="439" t="s">
        <v>864</v>
      </c>
      <c r="I6" s="439"/>
      <c r="J6" s="315">
        <v>32</v>
      </c>
      <c r="K6" s="439" t="s">
        <v>682</v>
      </c>
      <c r="L6" s="441" t="s">
        <v>3010</v>
      </c>
      <c r="M6" s="439" t="s">
        <v>871</v>
      </c>
      <c r="N6" s="439" t="s">
        <v>1925</v>
      </c>
      <c r="O6" s="439"/>
      <c r="P6" s="439" t="s">
        <v>3019</v>
      </c>
      <c r="Q6" s="439" t="s">
        <v>871</v>
      </c>
      <c r="R6" s="538"/>
      <c r="S6" s="539">
        <v>43476</v>
      </c>
      <c r="T6" s="362" t="s">
        <v>3020</v>
      </c>
      <c r="U6" s="362"/>
      <c r="V6" s="362"/>
      <c r="W6" s="362"/>
      <c r="X6" s="439">
        <v>4</v>
      </c>
      <c r="Y6" s="439"/>
      <c r="Z6" s="123" t="s">
        <v>1521</v>
      </c>
      <c r="AA6" s="361">
        <v>43538</v>
      </c>
      <c r="AB6" s="362" t="s">
        <v>3014</v>
      </c>
    </row>
    <row r="7" spans="1:28" ht="37.5">
      <c r="A7" s="5"/>
      <c r="B7" s="5"/>
      <c r="C7" s="5"/>
      <c r="D7" s="5"/>
      <c r="E7" s="439" t="s">
        <v>55</v>
      </c>
      <c r="F7" s="439" t="s">
        <v>872</v>
      </c>
      <c r="G7" s="439" t="s">
        <v>329</v>
      </c>
      <c r="H7" s="439" t="s">
        <v>243</v>
      </c>
      <c r="I7" s="439"/>
      <c r="J7" s="315">
        <v>28</v>
      </c>
      <c r="K7" s="439" t="s">
        <v>682</v>
      </c>
      <c r="L7" s="441" t="s">
        <v>3010</v>
      </c>
      <c r="M7" s="439" t="s">
        <v>695</v>
      </c>
      <c r="N7" s="439" t="s">
        <v>2741</v>
      </c>
      <c r="O7" s="439"/>
      <c r="P7" s="439"/>
      <c r="Q7" s="439" t="s">
        <v>695</v>
      </c>
      <c r="R7" s="439"/>
      <c r="S7" s="120">
        <v>-1.4500000000000001E-2</v>
      </c>
      <c r="T7" s="439"/>
      <c r="U7" s="439"/>
      <c r="V7" s="439"/>
      <c r="W7" s="439"/>
      <c r="X7" s="439">
        <v>5</v>
      </c>
      <c r="Y7" s="439"/>
      <c r="Z7" s="123" t="s">
        <v>1521</v>
      </c>
      <c r="AA7" s="361">
        <v>43538</v>
      </c>
      <c r="AB7" s="439" t="s">
        <v>3021</v>
      </c>
    </row>
    <row r="8" spans="1:28" ht="37.5" customHeight="1">
      <c r="A8" s="5"/>
      <c r="B8" s="5"/>
      <c r="C8" s="5"/>
      <c r="D8" s="5"/>
      <c r="E8" s="439" t="s">
        <v>59</v>
      </c>
      <c r="F8" s="439" t="s">
        <v>873</v>
      </c>
      <c r="G8" s="439" t="s">
        <v>329</v>
      </c>
      <c r="H8" s="439" t="s">
        <v>864</v>
      </c>
      <c r="I8" s="439"/>
      <c r="J8" s="315">
        <v>21</v>
      </c>
      <c r="K8" s="439" t="s">
        <v>682</v>
      </c>
      <c r="L8" s="441" t="s">
        <v>3010</v>
      </c>
      <c r="M8" s="439" t="s">
        <v>697</v>
      </c>
      <c r="N8" s="439" t="s">
        <v>2741</v>
      </c>
      <c r="O8" s="439"/>
      <c r="P8" s="439"/>
      <c r="Q8" s="439" t="s">
        <v>697</v>
      </c>
      <c r="R8" s="538"/>
      <c r="S8" s="120">
        <v>-9.0290999999999997</v>
      </c>
      <c r="T8" s="362" t="s">
        <v>3022</v>
      </c>
      <c r="U8" s="362"/>
      <c r="V8" s="362"/>
      <c r="W8" s="362"/>
      <c r="X8" s="439">
        <v>6</v>
      </c>
      <c r="Y8" s="439"/>
      <c r="Z8" s="123" t="s">
        <v>1521</v>
      </c>
      <c r="AA8" s="361">
        <v>43538</v>
      </c>
      <c r="AB8" s="362" t="s">
        <v>3014</v>
      </c>
    </row>
    <row r="9" spans="1:28" ht="37.5" customHeight="1">
      <c r="A9" s="5"/>
      <c r="B9" s="5"/>
      <c r="C9" s="5"/>
      <c r="D9" s="5"/>
      <c r="E9" s="439" t="s">
        <v>55</v>
      </c>
      <c r="F9" s="439" t="s">
        <v>874</v>
      </c>
      <c r="G9" s="439" t="s">
        <v>329</v>
      </c>
      <c r="H9" s="439" t="s">
        <v>243</v>
      </c>
      <c r="I9" s="439"/>
      <c r="J9" s="315">
        <v>92</v>
      </c>
      <c r="K9" s="439" t="s">
        <v>682</v>
      </c>
      <c r="L9" s="441" t="s">
        <v>3010</v>
      </c>
      <c r="M9" s="439" t="s">
        <v>699</v>
      </c>
      <c r="N9" s="439" t="s">
        <v>2741</v>
      </c>
      <c r="O9" s="439"/>
      <c r="P9" s="439"/>
      <c r="Q9" s="439" t="s">
        <v>699</v>
      </c>
      <c r="R9" s="439"/>
      <c r="S9" s="120"/>
      <c r="T9" s="439"/>
      <c r="U9" s="439"/>
      <c r="V9" s="439"/>
      <c r="W9" s="439"/>
      <c r="X9" s="439">
        <v>7</v>
      </c>
      <c r="Y9" s="439"/>
      <c r="Z9" s="123" t="s">
        <v>1521</v>
      </c>
      <c r="AA9" s="361">
        <v>43538</v>
      </c>
      <c r="AB9" s="362" t="s">
        <v>3014</v>
      </c>
    </row>
    <row r="10" spans="1:28" ht="37.5" customHeight="1">
      <c r="A10" s="5"/>
      <c r="B10" s="5"/>
      <c r="C10" s="5"/>
      <c r="D10" s="5"/>
      <c r="E10" s="439" t="s">
        <v>59</v>
      </c>
      <c r="F10" s="439" t="s">
        <v>875</v>
      </c>
      <c r="G10" s="439" t="s">
        <v>329</v>
      </c>
      <c r="H10" s="439" t="s">
        <v>864</v>
      </c>
      <c r="I10" s="439"/>
      <c r="J10" s="315">
        <v>23</v>
      </c>
      <c r="K10" s="439" t="s">
        <v>682</v>
      </c>
      <c r="L10" s="441" t="s">
        <v>3010</v>
      </c>
      <c r="M10" s="439" t="s">
        <v>701</v>
      </c>
      <c r="N10" s="439" t="s">
        <v>2741</v>
      </c>
      <c r="O10" s="439"/>
      <c r="P10" s="439"/>
      <c r="Q10" s="439" t="s">
        <v>701</v>
      </c>
      <c r="R10" s="538"/>
      <c r="S10" s="120">
        <v>-13.5198</v>
      </c>
      <c r="T10" s="439" t="s">
        <v>3023</v>
      </c>
      <c r="U10" s="439"/>
      <c r="V10" s="439"/>
      <c r="W10" s="439"/>
      <c r="X10" s="439">
        <v>8</v>
      </c>
      <c r="Y10" s="439"/>
      <c r="Z10" s="123" t="s">
        <v>1521</v>
      </c>
      <c r="AA10" s="361">
        <v>43538</v>
      </c>
      <c r="AB10" s="362" t="s">
        <v>3014</v>
      </c>
    </row>
    <row r="11" spans="1:28" ht="37.5" customHeight="1">
      <c r="A11" s="5"/>
      <c r="B11" s="5"/>
      <c r="C11" s="5"/>
      <c r="D11" s="5"/>
      <c r="E11" s="439" t="s">
        <v>55</v>
      </c>
      <c r="F11" s="439" t="s">
        <v>876</v>
      </c>
      <c r="G11" s="439" t="s">
        <v>329</v>
      </c>
      <c r="H11" s="439" t="s">
        <v>243</v>
      </c>
      <c r="I11" s="439"/>
      <c r="J11" s="315">
        <v>93</v>
      </c>
      <c r="K11" s="439" t="s">
        <v>682</v>
      </c>
      <c r="L11" s="441" t="s">
        <v>3010</v>
      </c>
      <c r="M11" s="439" t="s">
        <v>703</v>
      </c>
      <c r="N11" s="439" t="s">
        <v>2741</v>
      </c>
      <c r="O11" s="439"/>
      <c r="P11" s="439"/>
      <c r="Q11" s="439" t="s">
        <v>703</v>
      </c>
      <c r="R11" s="439"/>
      <c r="S11" s="120"/>
      <c r="T11" s="439"/>
      <c r="U11" s="439"/>
      <c r="V11" s="439"/>
      <c r="W11" s="439"/>
      <c r="X11" s="439">
        <v>9</v>
      </c>
      <c r="Y11" s="439"/>
      <c r="Z11" s="123" t="s">
        <v>1521</v>
      </c>
      <c r="AA11" s="361">
        <v>43538</v>
      </c>
      <c r="AB11" s="439" t="s">
        <v>3021</v>
      </c>
    </row>
    <row r="12" spans="1:28" ht="37.5" customHeight="1">
      <c r="A12" s="5"/>
      <c r="B12" s="5"/>
      <c r="C12" s="5"/>
      <c r="D12" s="5"/>
      <c r="E12" s="439" t="s">
        <v>55</v>
      </c>
      <c r="F12" s="439" t="s">
        <v>877</v>
      </c>
      <c r="G12" s="439" t="s">
        <v>329</v>
      </c>
      <c r="H12" s="439" t="s">
        <v>243</v>
      </c>
      <c r="I12" s="439"/>
      <c r="J12" s="315">
        <v>94</v>
      </c>
      <c r="K12" s="439" t="s">
        <v>682</v>
      </c>
      <c r="L12" s="441" t="s">
        <v>3010</v>
      </c>
      <c r="M12" s="439" t="s">
        <v>705</v>
      </c>
      <c r="N12" s="439" t="s">
        <v>2741</v>
      </c>
      <c r="O12" s="439"/>
      <c r="P12" s="439"/>
      <c r="Q12" s="439" t="s">
        <v>705</v>
      </c>
      <c r="R12" s="439"/>
      <c r="S12" s="120"/>
      <c r="T12" s="439"/>
      <c r="U12" s="439"/>
      <c r="V12" s="439"/>
      <c r="W12" s="439"/>
      <c r="X12" s="439">
        <v>10</v>
      </c>
      <c r="Y12" s="439"/>
      <c r="Z12" s="123" t="s">
        <v>1521</v>
      </c>
      <c r="AA12" s="361">
        <v>43538</v>
      </c>
      <c r="AB12" s="439" t="s">
        <v>3021</v>
      </c>
    </row>
    <row r="13" spans="1:28" ht="37.5" customHeight="1">
      <c r="A13" s="5"/>
      <c r="B13" s="5"/>
      <c r="C13" s="5"/>
      <c r="D13" s="5"/>
      <c r="E13" s="439" t="s">
        <v>59</v>
      </c>
      <c r="F13" s="439" t="s">
        <v>878</v>
      </c>
      <c r="G13" s="439" t="s">
        <v>329</v>
      </c>
      <c r="H13" s="439" t="s">
        <v>243</v>
      </c>
      <c r="I13" s="439"/>
      <c r="J13" s="315">
        <v>26</v>
      </c>
      <c r="K13" s="439" t="s">
        <v>682</v>
      </c>
      <c r="L13" s="441" t="s">
        <v>3010</v>
      </c>
      <c r="M13" s="439" t="s">
        <v>707</v>
      </c>
      <c r="N13" s="439" t="s">
        <v>2741</v>
      </c>
      <c r="O13" s="439"/>
      <c r="P13" s="439"/>
      <c r="Q13" s="439" t="s">
        <v>707</v>
      </c>
      <c r="R13" s="439"/>
      <c r="S13" s="120">
        <v>-6.8514999999999997</v>
      </c>
      <c r="T13" s="439" t="s">
        <v>3024</v>
      </c>
      <c r="U13" s="439"/>
      <c r="V13" s="439"/>
      <c r="W13" s="439"/>
      <c r="X13" s="439">
        <v>11</v>
      </c>
      <c r="Y13" s="439"/>
      <c r="Z13" s="123" t="s">
        <v>1521</v>
      </c>
      <c r="AA13" s="361">
        <v>43538</v>
      </c>
      <c r="AB13" s="439" t="s">
        <v>3021</v>
      </c>
    </row>
    <row r="14" spans="1:28" ht="37.5" customHeight="1">
      <c r="A14" s="5"/>
      <c r="B14" s="5"/>
      <c r="C14" s="5"/>
      <c r="D14" s="5"/>
      <c r="E14" s="439" t="s">
        <v>55</v>
      </c>
      <c r="F14" s="439" t="s">
        <v>879</v>
      </c>
      <c r="G14" s="439" t="s">
        <v>329</v>
      </c>
      <c r="H14" s="439" t="s">
        <v>243</v>
      </c>
      <c r="I14" s="439"/>
      <c r="J14" s="315">
        <v>95</v>
      </c>
      <c r="K14" s="439" t="s">
        <v>682</v>
      </c>
      <c r="L14" s="441" t="s">
        <v>3010</v>
      </c>
      <c r="M14" s="439" t="s">
        <v>709</v>
      </c>
      <c r="N14" s="439" t="s">
        <v>2741</v>
      </c>
      <c r="O14" s="439"/>
      <c r="P14" s="439"/>
      <c r="Q14" s="439" t="s">
        <v>709</v>
      </c>
      <c r="R14" s="439"/>
      <c r="S14" s="120"/>
      <c r="T14" s="439"/>
      <c r="U14" s="439"/>
      <c r="V14" s="439"/>
      <c r="W14" s="439"/>
      <c r="X14" s="439">
        <v>12</v>
      </c>
      <c r="Y14" s="439"/>
      <c r="Z14" s="123" t="s">
        <v>1521</v>
      </c>
      <c r="AA14" s="361">
        <v>43538</v>
      </c>
      <c r="AB14" s="439" t="s">
        <v>3021</v>
      </c>
    </row>
    <row r="15" spans="1:28" ht="37.5" customHeight="1">
      <c r="A15" s="5"/>
      <c r="B15" s="5"/>
      <c r="C15" s="5"/>
      <c r="D15" s="5"/>
      <c r="E15" s="439" t="s">
        <v>55</v>
      </c>
      <c r="F15" s="439" t="s">
        <v>880</v>
      </c>
      <c r="G15" s="439" t="s">
        <v>329</v>
      </c>
      <c r="H15" s="439" t="s">
        <v>243</v>
      </c>
      <c r="I15" s="439"/>
      <c r="J15" s="315">
        <v>96</v>
      </c>
      <c r="K15" s="439" t="s">
        <v>682</v>
      </c>
      <c r="L15" s="441" t="s">
        <v>3010</v>
      </c>
      <c r="M15" s="439" t="s">
        <v>711</v>
      </c>
      <c r="N15" s="439" t="s">
        <v>2741</v>
      </c>
      <c r="O15" s="439"/>
      <c r="P15" s="439"/>
      <c r="Q15" s="439" t="s">
        <v>711</v>
      </c>
      <c r="R15" s="439"/>
      <c r="S15" s="120"/>
      <c r="T15" s="439"/>
      <c r="U15" s="439"/>
      <c r="V15" s="439"/>
      <c r="W15" s="439"/>
      <c r="X15" s="439">
        <v>13</v>
      </c>
      <c r="Y15" s="439"/>
      <c r="Z15" s="123" t="s">
        <v>1521</v>
      </c>
      <c r="AA15" s="361">
        <v>43538</v>
      </c>
      <c r="AB15" s="439" t="s">
        <v>3021</v>
      </c>
    </row>
    <row r="16" spans="1:28" ht="37.5" customHeight="1">
      <c r="A16" s="5"/>
      <c r="B16" s="5"/>
      <c r="C16" s="5"/>
      <c r="D16" s="5"/>
      <c r="E16" s="439" t="s">
        <v>55</v>
      </c>
      <c r="F16" s="439" t="s">
        <v>881</v>
      </c>
      <c r="G16" s="439" t="s">
        <v>329</v>
      </c>
      <c r="H16" s="439" t="s">
        <v>243</v>
      </c>
      <c r="I16" s="439"/>
      <c r="J16" s="315">
        <v>64</v>
      </c>
      <c r="K16" s="439" t="s">
        <v>682</v>
      </c>
      <c r="L16" s="441" t="s">
        <v>3010</v>
      </c>
      <c r="M16" s="439" t="s">
        <v>713</v>
      </c>
      <c r="N16" s="439" t="s">
        <v>2741</v>
      </c>
      <c r="O16" s="439"/>
      <c r="P16" s="439"/>
      <c r="Q16" s="439" t="s">
        <v>713</v>
      </c>
      <c r="R16" s="439"/>
      <c r="S16" s="120"/>
      <c r="T16" s="439"/>
      <c r="U16" s="439"/>
      <c r="V16" s="439"/>
      <c r="W16" s="439"/>
      <c r="X16" s="439">
        <v>14</v>
      </c>
      <c r="Y16" s="439"/>
      <c r="Z16" s="123" t="s">
        <v>1521</v>
      </c>
      <c r="AA16" s="361">
        <v>43538</v>
      </c>
      <c r="AB16" s="439" t="s">
        <v>3021</v>
      </c>
    </row>
    <row r="17" spans="1:28" ht="37.5" customHeight="1">
      <c r="A17" s="5"/>
      <c r="B17" s="5"/>
      <c r="C17" s="5"/>
      <c r="D17" s="5"/>
      <c r="E17" s="439" t="s">
        <v>55</v>
      </c>
      <c r="F17" s="439" t="s">
        <v>882</v>
      </c>
      <c r="G17" s="439" t="s">
        <v>329</v>
      </c>
      <c r="H17" s="439" t="s">
        <v>243</v>
      </c>
      <c r="I17" s="439"/>
      <c r="J17" s="315">
        <v>97</v>
      </c>
      <c r="K17" s="439" t="s">
        <v>682</v>
      </c>
      <c r="L17" s="441" t="s">
        <v>3010</v>
      </c>
      <c r="M17" s="439" t="s">
        <v>715</v>
      </c>
      <c r="N17" s="439" t="s">
        <v>2741</v>
      </c>
      <c r="O17" s="439"/>
      <c r="P17" s="439"/>
      <c r="Q17" s="439" t="s">
        <v>715</v>
      </c>
      <c r="R17" s="439"/>
      <c r="S17" s="120"/>
      <c r="T17" s="439"/>
      <c r="U17" s="439"/>
      <c r="V17" s="439"/>
      <c r="W17" s="439"/>
      <c r="X17" s="439">
        <v>15</v>
      </c>
      <c r="Y17" s="439"/>
      <c r="Z17" s="123" t="s">
        <v>1521</v>
      </c>
      <c r="AA17" s="361">
        <v>43538</v>
      </c>
      <c r="AB17" s="439" t="s">
        <v>3021</v>
      </c>
    </row>
    <row r="18" spans="1:28" ht="37.5" customHeight="1">
      <c r="A18" s="5"/>
      <c r="B18" s="5"/>
      <c r="C18" s="5"/>
      <c r="D18" s="5"/>
      <c r="E18" s="439" t="s">
        <v>55</v>
      </c>
      <c r="F18" s="439" t="s">
        <v>883</v>
      </c>
      <c r="G18" s="439" t="s">
        <v>329</v>
      </c>
      <c r="H18" s="439" t="s">
        <v>243</v>
      </c>
      <c r="I18" s="439"/>
      <c r="J18" s="315">
        <v>98</v>
      </c>
      <c r="K18" s="439" t="s">
        <v>682</v>
      </c>
      <c r="L18" s="441" t="s">
        <v>3010</v>
      </c>
      <c r="M18" s="439" t="s">
        <v>717</v>
      </c>
      <c r="N18" s="439" t="s">
        <v>2741</v>
      </c>
      <c r="O18" s="439"/>
      <c r="P18" s="439"/>
      <c r="Q18" s="439" t="s">
        <v>717</v>
      </c>
      <c r="R18" s="439"/>
      <c r="S18" s="120"/>
      <c r="T18" s="439"/>
      <c r="U18" s="439"/>
      <c r="V18" s="439"/>
      <c r="W18" s="439"/>
      <c r="X18" s="439">
        <v>16</v>
      </c>
      <c r="Y18" s="439"/>
      <c r="Z18" s="123" t="s">
        <v>1521</v>
      </c>
      <c r="AA18" s="361">
        <v>43538</v>
      </c>
      <c r="AB18" s="439" t="s">
        <v>3021</v>
      </c>
    </row>
    <row r="19" spans="1:28" ht="37.5" customHeight="1">
      <c r="A19" s="5"/>
      <c r="B19" s="5"/>
      <c r="C19" s="5"/>
      <c r="D19" s="5"/>
      <c r="E19" s="439" t="s">
        <v>59</v>
      </c>
      <c r="F19" s="439" t="s">
        <v>884</v>
      </c>
      <c r="G19" s="439" t="s">
        <v>329</v>
      </c>
      <c r="H19" s="439" t="s">
        <v>243</v>
      </c>
      <c r="I19" s="439"/>
      <c r="J19" s="315">
        <v>27</v>
      </c>
      <c r="K19" s="439" t="s">
        <v>682</v>
      </c>
      <c r="L19" s="441" t="s">
        <v>3010</v>
      </c>
      <c r="M19" s="439" t="s">
        <v>721</v>
      </c>
      <c r="N19" s="439" t="s">
        <v>2741</v>
      </c>
      <c r="O19" s="439"/>
      <c r="P19" s="439"/>
      <c r="Q19" s="439" t="s">
        <v>721</v>
      </c>
      <c r="R19" s="439"/>
      <c r="S19" s="120">
        <v>3.63</v>
      </c>
      <c r="T19" s="439" t="s">
        <v>3025</v>
      </c>
      <c r="U19" s="439"/>
      <c r="V19" s="439"/>
      <c r="W19" s="439"/>
      <c r="X19" s="439">
        <v>17</v>
      </c>
      <c r="Y19" s="439"/>
      <c r="Z19" s="123" t="s">
        <v>1521</v>
      </c>
      <c r="AA19" s="361">
        <v>43538</v>
      </c>
      <c r="AB19" s="439" t="s">
        <v>3021</v>
      </c>
    </row>
    <row r="20" spans="1:28" ht="37.5" customHeight="1">
      <c r="A20" s="5"/>
      <c r="B20" s="5"/>
      <c r="C20" s="5"/>
      <c r="D20" s="5"/>
      <c r="E20" s="439" t="s">
        <v>59</v>
      </c>
      <c r="F20" s="439" t="s">
        <v>885</v>
      </c>
      <c r="G20" s="439" t="s">
        <v>329</v>
      </c>
      <c r="H20" s="439" t="s">
        <v>864</v>
      </c>
      <c r="I20" s="439"/>
      <c r="J20" s="315">
        <v>29</v>
      </c>
      <c r="K20" s="439" t="s">
        <v>682</v>
      </c>
      <c r="L20" s="441" t="s">
        <v>3010</v>
      </c>
      <c r="M20" s="439" t="s">
        <v>723</v>
      </c>
      <c r="N20" s="439" t="s">
        <v>2741</v>
      </c>
      <c r="O20" s="439"/>
      <c r="P20" s="439"/>
      <c r="Q20" s="439" t="s">
        <v>723</v>
      </c>
      <c r="R20" s="538"/>
      <c r="S20" s="120">
        <v>3.63</v>
      </c>
      <c r="T20" s="439" t="s">
        <v>3026</v>
      </c>
      <c r="U20" s="439"/>
      <c r="V20" s="439"/>
      <c r="W20" s="439"/>
      <c r="X20" s="439">
        <v>18</v>
      </c>
      <c r="Y20" s="439"/>
      <c r="Z20" s="123" t="s">
        <v>1521</v>
      </c>
      <c r="AA20" s="361">
        <v>43538</v>
      </c>
      <c r="AB20" s="362" t="s">
        <v>3014</v>
      </c>
    </row>
    <row r="21" spans="1:28" ht="37.5" customHeight="1">
      <c r="A21" s="5"/>
      <c r="B21" s="5"/>
      <c r="C21" s="5"/>
      <c r="D21" s="5"/>
      <c r="E21" s="439" t="s">
        <v>59</v>
      </c>
      <c r="F21" s="439" t="s">
        <v>886</v>
      </c>
      <c r="G21" s="439" t="s">
        <v>329</v>
      </c>
      <c r="H21" s="439" t="s">
        <v>864</v>
      </c>
      <c r="I21" s="439"/>
      <c r="J21" s="315">
        <v>31</v>
      </c>
      <c r="K21" s="439" t="s">
        <v>682</v>
      </c>
      <c r="L21" s="441" t="s">
        <v>3010</v>
      </c>
      <c r="M21" s="439" t="s">
        <v>725</v>
      </c>
      <c r="N21" s="439" t="s">
        <v>2741</v>
      </c>
      <c r="O21" s="439"/>
      <c r="P21" s="439"/>
      <c r="Q21" s="439" t="s">
        <v>725</v>
      </c>
      <c r="R21" s="538"/>
      <c r="S21" s="120">
        <v>3.63</v>
      </c>
      <c r="T21" s="439" t="s">
        <v>3027</v>
      </c>
      <c r="U21" s="439"/>
      <c r="V21" s="439"/>
      <c r="W21" s="439"/>
      <c r="X21" s="439">
        <v>19</v>
      </c>
      <c r="Y21" s="439"/>
      <c r="Z21" s="123" t="s">
        <v>1521</v>
      </c>
      <c r="AA21" s="361">
        <v>43538</v>
      </c>
      <c r="AB21" s="362" t="s">
        <v>3014</v>
      </c>
    </row>
    <row r="22" spans="1:28" ht="37.5" customHeight="1">
      <c r="A22" s="5"/>
      <c r="B22" s="5"/>
      <c r="C22" s="5"/>
      <c r="D22" s="5"/>
      <c r="E22" s="439" t="s">
        <v>59</v>
      </c>
      <c r="F22" s="439" t="s">
        <v>887</v>
      </c>
      <c r="G22" s="439" t="s">
        <v>329</v>
      </c>
      <c r="H22" s="439" t="s">
        <v>864</v>
      </c>
      <c r="I22" s="439"/>
      <c r="J22" s="315">
        <v>22</v>
      </c>
      <c r="K22" s="439" t="s">
        <v>682</v>
      </c>
      <c r="L22" s="441" t="s">
        <v>3010</v>
      </c>
      <c r="M22" s="439" t="s">
        <v>727</v>
      </c>
      <c r="N22" s="439" t="s">
        <v>2741</v>
      </c>
      <c r="O22" s="439"/>
      <c r="P22" s="439"/>
      <c r="Q22" s="439" t="s">
        <v>727</v>
      </c>
      <c r="R22" s="538"/>
      <c r="S22" s="120">
        <v>-4.3842999999999996</v>
      </c>
      <c r="T22" s="439" t="s">
        <v>3028</v>
      </c>
      <c r="U22" s="439"/>
      <c r="V22" s="439"/>
      <c r="W22" s="439"/>
      <c r="X22" s="439">
        <v>20</v>
      </c>
      <c r="Y22" s="439"/>
      <c r="Z22" s="123" t="s">
        <v>1521</v>
      </c>
      <c r="AA22" s="361">
        <v>43538</v>
      </c>
      <c r="AB22" s="362" t="s">
        <v>3014</v>
      </c>
    </row>
    <row r="23" spans="1:28" ht="37.5" customHeight="1">
      <c r="A23" s="5"/>
      <c r="B23" s="5"/>
      <c r="C23" s="5"/>
      <c r="D23" s="5"/>
      <c r="E23" s="439" t="s">
        <v>55</v>
      </c>
      <c r="F23" s="439" t="s">
        <v>888</v>
      </c>
      <c r="G23" s="439" t="s">
        <v>329</v>
      </c>
      <c r="H23" s="439" t="s">
        <v>243</v>
      </c>
      <c r="I23" s="439"/>
      <c r="J23" s="315">
        <v>68</v>
      </c>
      <c r="K23" s="439" t="s">
        <v>682</v>
      </c>
      <c r="L23" s="441" t="s">
        <v>3010</v>
      </c>
      <c r="M23" s="439" t="s">
        <v>729</v>
      </c>
      <c r="N23" s="439" t="s">
        <v>2741</v>
      </c>
      <c r="O23" s="439"/>
      <c r="P23" s="439"/>
      <c r="Q23" s="439" t="s">
        <v>729</v>
      </c>
      <c r="R23" s="362"/>
      <c r="S23" s="120">
        <v>7.9306000000000001</v>
      </c>
      <c r="T23" s="439"/>
      <c r="U23" s="439"/>
      <c r="V23" s="439"/>
      <c r="W23" s="439"/>
      <c r="X23" s="439">
        <v>21</v>
      </c>
      <c r="Y23" s="439"/>
      <c r="Z23" s="123" t="s">
        <v>1521</v>
      </c>
      <c r="AA23" s="361">
        <v>43538</v>
      </c>
      <c r="AB23" s="439" t="s">
        <v>3021</v>
      </c>
    </row>
    <row r="24" spans="1:28" ht="37.5" customHeight="1">
      <c r="A24" s="5"/>
      <c r="B24" s="5"/>
      <c r="C24" s="5"/>
      <c r="D24" s="5"/>
      <c r="E24" s="439" t="s">
        <v>59</v>
      </c>
      <c r="F24" s="439" t="s">
        <v>889</v>
      </c>
      <c r="G24" s="439" t="s">
        <v>329</v>
      </c>
      <c r="H24" s="439" t="s">
        <v>864</v>
      </c>
      <c r="I24" s="439"/>
      <c r="J24" s="315">
        <v>24</v>
      </c>
      <c r="K24" s="439" t="s">
        <v>682</v>
      </c>
      <c r="L24" s="441" t="s">
        <v>3010</v>
      </c>
      <c r="M24" s="439" t="s">
        <v>731</v>
      </c>
      <c r="N24" s="439" t="s">
        <v>2741</v>
      </c>
      <c r="O24" s="439"/>
      <c r="P24" s="439"/>
      <c r="Q24" s="439" t="s">
        <v>731</v>
      </c>
      <c r="R24" s="538"/>
      <c r="S24" s="458">
        <v>9.2573000000000008</v>
      </c>
      <c r="T24" s="439" t="s">
        <v>3029</v>
      </c>
      <c r="U24" s="439"/>
      <c r="V24" s="439"/>
      <c r="W24" s="439"/>
      <c r="X24" s="540">
        <v>22</v>
      </c>
      <c r="Y24" s="124"/>
      <c r="Z24" s="123" t="s">
        <v>3030</v>
      </c>
      <c r="AA24" s="361">
        <v>43539</v>
      </c>
      <c r="AB24" s="362" t="s">
        <v>3031</v>
      </c>
    </row>
    <row r="25" spans="1:28" ht="37.5" customHeight="1">
      <c r="A25" s="5"/>
      <c r="B25" s="5"/>
      <c r="C25" s="5"/>
      <c r="D25" s="5"/>
      <c r="E25" s="439" t="s">
        <v>59</v>
      </c>
      <c r="F25" s="439" t="s">
        <v>890</v>
      </c>
      <c r="G25" s="439" t="s">
        <v>329</v>
      </c>
      <c r="H25" s="439" t="s">
        <v>864</v>
      </c>
      <c r="I25" s="439"/>
      <c r="J25" s="315">
        <v>25</v>
      </c>
      <c r="K25" s="439" t="s">
        <v>682</v>
      </c>
      <c r="L25" s="441" t="s">
        <v>3010</v>
      </c>
      <c r="M25" s="439" t="s">
        <v>735</v>
      </c>
      <c r="N25" s="439" t="s">
        <v>2741</v>
      </c>
      <c r="O25" s="439"/>
      <c r="P25" s="439"/>
      <c r="Q25" s="439" t="s">
        <v>735</v>
      </c>
      <c r="R25" s="538"/>
      <c r="S25" s="120">
        <v>8.4944000000000006</v>
      </c>
      <c r="T25" s="439" t="s">
        <v>3032</v>
      </c>
      <c r="U25" s="439"/>
      <c r="V25" s="439"/>
      <c r="W25" s="439"/>
      <c r="X25" s="439">
        <v>23</v>
      </c>
      <c r="Y25" s="439"/>
      <c r="Z25" s="123" t="s">
        <v>1521</v>
      </c>
      <c r="AA25" s="361">
        <v>43538</v>
      </c>
      <c r="AB25" s="362" t="s">
        <v>3014</v>
      </c>
    </row>
    <row r="26" spans="1:28" ht="37.5" customHeight="1">
      <c r="A26" s="5"/>
      <c r="B26" s="5"/>
      <c r="C26" s="5"/>
      <c r="D26" s="5"/>
      <c r="E26" s="439" t="s">
        <v>55</v>
      </c>
      <c r="F26" s="439" t="s">
        <v>891</v>
      </c>
      <c r="G26" s="439" t="s">
        <v>329</v>
      </c>
      <c r="H26" s="439" t="s">
        <v>243</v>
      </c>
      <c r="I26" s="439"/>
      <c r="J26" s="315">
        <v>73</v>
      </c>
      <c r="K26" s="439" t="s">
        <v>682</v>
      </c>
      <c r="L26" s="441" t="s">
        <v>3010</v>
      </c>
      <c r="M26" s="439" t="s">
        <v>739</v>
      </c>
      <c r="N26" s="439" t="s">
        <v>2741</v>
      </c>
      <c r="O26" s="439"/>
      <c r="P26" s="439"/>
      <c r="Q26" s="439" t="s">
        <v>739</v>
      </c>
      <c r="R26" s="439"/>
      <c r="S26" s="120">
        <v>12.6959</v>
      </c>
      <c r="T26" s="439"/>
      <c r="U26" s="439"/>
      <c r="V26" s="439"/>
      <c r="W26" s="439"/>
      <c r="X26" s="439">
        <v>24</v>
      </c>
      <c r="Y26" s="439"/>
      <c r="Z26" s="123" t="s">
        <v>1521</v>
      </c>
      <c r="AA26" s="361">
        <v>43538</v>
      </c>
      <c r="AB26" s="439" t="s">
        <v>3021</v>
      </c>
    </row>
    <row r="27" spans="1:28" ht="37.5" customHeight="1">
      <c r="A27" s="5"/>
      <c r="B27" s="5"/>
      <c r="C27" s="5"/>
      <c r="D27" s="5"/>
      <c r="E27" s="439" t="s">
        <v>55</v>
      </c>
      <c r="F27" s="439" t="s">
        <v>892</v>
      </c>
      <c r="G27" s="439" t="s">
        <v>329</v>
      </c>
      <c r="H27" s="439" t="s">
        <v>243</v>
      </c>
      <c r="I27" s="439"/>
      <c r="J27" s="315">
        <v>60</v>
      </c>
      <c r="K27" s="439" t="s">
        <v>682</v>
      </c>
      <c r="L27" s="441" t="s">
        <v>3010</v>
      </c>
      <c r="M27" s="439" t="s">
        <v>745</v>
      </c>
      <c r="N27" s="439" t="s">
        <v>2741</v>
      </c>
      <c r="O27" s="439"/>
      <c r="P27" s="439"/>
      <c r="Q27" s="439" t="s">
        <v>745</v>
      </c>
      <c r="R27" s="439"/>
      <c r="S27" s="120">
        <v>13.118600000000001</v>
      </c>
      <c r="T27" s="439" t="s">
        <v>3033</v>
      </c>
      <c r="U27" s="439"/>
      <c r="V27" s="439"/>
      <c r="W27" s="439"/>
      <c r="X27" s="439">
        <v>25</v>
      </c>
      <c r="Y27" s="439"/>
      <c r="Z27" s="123" t="s">
        <v>1521</v>
      </c>
      <c r="AA27" s="361">
        <v>43538</v>
      </c>
      <c r="AB27" s="439" t="s">
        <v>3021</v>
      </c>
    </row>
    <row r="28" spans="1:28" ht="37.5" customHeight="1">
      <c r="A28" s="5"/>
      <c r="B28" s="5"/>
      <c r="C28" s="5"/>
      <c r="D28" s="5"/>
      <c r="E28" s="439" t="s">
        <v>55</v>
      </c>
      <c r="F28" s="439" t="s">
        <v>893</v>
      </c>
      <c r="G28" s="439" t="s">
        <v>329</v>
      </c>
      <c r="H28" s="439" t="s">
        <v>243</v>
      </c>
      <c r="I28" s="439"/>
      <c r="J28" s="315">
        <v>84</v>
      </c>
      <c r="K28" s="439" t="s">
        <v>682</v>
      </c>
      <c r="L28" s="441" t="s">
        <v>3010</v>
      </c>
      <c r="M28" s="439" t="s">
        <v>751</v>
      </c>
      <c r="N28" s="439" t="s">
        <v>2741</v>
      </c>
      <c r="O28" s="439" t="s">
        <v>3034</v>
      </c>
      <c r="P28" s="439"/>
      <c r="Q28" s="439" t="s">
        <v>751</v>
      </c>
      <c r="R28" s="441" t="s">
        <v>3035</v>
      </c>
      <c r="S28" s="120">
        <v>7.9416000000000002</v>
      </c>
      <c r="U28" s="439"/>
      <c r="V28" s="439"/>
      <c r="W28" s="439"/>
      <c r="X28" s="439">
        <v>26</v>
      </c>
      <c r="Y28" s="439" t="s">
        <v>3035</v>
      </c>
      <c r="Z28" s="123" t="s">
        <v>1521</v>
      </c>
      <c r="AA28" s="361">
        <v>43538</v>
      </c>
      <c r="AB28" s="362" t="s">
        <v>3014</v>
      </c>
    </row>
    <row r="29" spans="1:28" ht="12.75" hidden="1" customHeight="1">
      <c r="A29" s="5"/>
      <c r="B29" s="5"/>
      <c r="C29" s="5"/>
      <c r="D29" s="5"/>
      <c r="E29" s="188" t="s">
        <v>55</v>
      </c>
      <c r="F29" s="188" t="s">
        <v>3036</v>
      </c>
      <c r="G29" s="188" t="s">
        <v>329</v>
      </c>
      <c r="H29" s="188" t="s">
        <v>243</v>
      </c>
      <c r="I29" s="188"/>
      <c r="J29" s="306">
        <v>80</v>
      </c>
      <c r="K29" s="188" t="s">
        <v>680</v>
      </c>
      <c r="L29" s="188"/>
      <c r="M29" s="188"/>
      <c r="N29" s="188"/>
      <c r="O29" s="188"/>
      <c r="P29" s="188"/>
      <c r="Q29" s="188"/>
      <c r="R29" s="188"/>
      <c r="S29" s="307"/>
      <c r="T29" s="188"/>
      <c r="U29" s="188"/>
      <c r="V29" s="188"/>
      <c r="W29" s="188"/>
      <c r="X29" s="188"/>
      <c r="Y29" s="188"/>
      <c r="Z29" s="188"/>
      <c r="AA29" s="188"/>
      <c r="AB29" s="188"/>
    </row>
    <row r="30" spans="1:28" ht="12.75" hidden="1" customHeight="1">
      <c r="A30" s="5"/>
      <c r="B30" s="5"/>
      <c r="C30" s="5"/>
      <c r="D30" s="5"/>
      <c r="E30" s="188" t="s">
        <v>55</v>
      </c>
      <c r="F30" s="188" t="s">
        <v>3037</v>
      </c>
      <c r="G30" s="188" t="s">
        <v>329</v>
      </c>
      <c r="H30" s="188" t="s">
        <v>243</v>
      </c>
      <c r="I30" s="188"/>
      <c r="J30" s="306">
        <v>81</v>
      </c>
      <c r="K30" s="188" t="s">
        <v>680</v>
      </c>
      <c r="L30" s="188"/>
      <c r="M30" s="188"/>
      <c r="N30" s="188"/>
      <c r="O30" s="188"/>
      <c r="P30" s="188"/>
      <c r="Q30" s="188"/>
      <c r="R30" s="188"/>
      <c r="S30" s="307"/>
      <c r="T30" s="188"/>
      <c r="U30" s="188"/>
      <c r="V30" s="188"/>
      <c r="W30" s="188"/>
      <c r="X30" s="188"/>
      <c r="Y30" s="188"/>
      <c r="Z30" s="188"/>
      <c r="AA30" s="188"/>
      <c r="AB30" s="188"/>
    </row>
    <row r="31" spans="1:28" ht="12.75" hidden="1" customHeight="1">
      <c r="A31" s="5"/>
      <c r="B31" s="5"/>
      <c r="C31" s="5"/>
      <c r="D31" s="5"/>
      <c r="E31" s="188" t="s">
        <v>55</v>
      </c>
      <c r="F31" s="188" t="s">
        <v>3038</v>
      </c>
      <c r="G31" s="188" t="s">
        <v>329</v>
      </c>
      <c r="H31" s="188" t="s">
        <v>243</v>
      </c>
      <c r="I31" s="188"/>
      <c r="J31" s="306">
        <v>82</v>
      </c>
      <c r="K31" s="188" t="s">
        <v>680</v>
      </c>
      <c r="L31" s="188"/>
      <c r="M31" s="188"/>
      <c r="N31" s="188"/>
      <c r="O31" s="188"/>
      <c r="P31" s="188"/>
      <c r="Q31" s="188"/>
      <c r="R31" s="188"/>
      <c r="S31" s="307"/>
      <c r="T31" s="188"/>
      <c r="U31" s="188"/>
      <c r="V31" s="188"/>
      <c r="W31" s="188"/>
      <c r="X31" s="188"/>
      <c r="Y31" s="188"/>
      <c r="Z31" s="188"/>
      <c r="AA31" s="188"/>
      <c r="AB31" s="188"/>
    </row>
    <row r="32" spans="1:28" ht="12.75" hidden="1" customHeight="1">
      <c r="A32" s="5"/>
      <c r="B32" s="5"/>
      <c r="C32" s="5"/>
      <c r="D32" s="5"/>
      <c r="E32" s="188" t="s">
        <v>55</v>
      </c>
      <c r="F32" s="188" t="s">
        <v>3039</v>
      </c>
      <c r="G32" s="188" t="s">
        <v>329</v>
      </c>
      <c r="H32" s="188" t="s">
        <v>243</v>
      </c>
      <c r="I32" s="188"/>
      <c r="J32" s="306">
        <v>83</v>
      </c>
      <c r="K32" s="188" t="s">
        <v>680</v>
      </c>
      <c r="L32" s="188"/>
      <c r="M32" s="188"/>
      <c r="N32" s="188"/>
      <c r="O32" s="188"/>
      <c r="P32" s="188"/>
      <c r="Q32" s="188"/>
      <c r="R32" s="188"/>
      <c r="S32" s="307"/>
      <c r="T32" s="188"/>
      <c r="U32" s="188"/>
      <c r="V32" s="188"/>
      <c r="W32" s="188"/>
      <c r="X32" s="188"/>
      <c r="Y32" s="188"/>
      <c r="Z32" s="188"/>
      <c r="AA32" s="188"/>
      <c r="AB32" s="188"/>
    </row>
    <row r="33" spans="1:28" ht="12.75" hidden="1" customHeight="1">
      <c r="A33" s="5"/>
      <c r="B33" s="5"/>
      <c r="C33" s="5"/>
      <c r="D33" s="5"/>
      <c r="E33" s="188" t="s">
        <v>55</v>
      </c>
      <c r="F33" s="188" t="s">
        <v>3040</v>
      </c>
      <c r="G33" s="188" t="s">
        <v>329</v>
      </c>
      <c r="H33" s="188" t="s">
        <v>243</v>
      </c>
      <c r="I33" s="188"/>
      <c r="J33" s="306">
        <v>78</v>
      </c>
      <c r="K33" s="188" t="s">
        <v>680</v>
      </c>
      <c r="L33" s="188"/>
      <c r="M33" s="188"/>
      <c r="N33" s="188"/>
      <c r="O33" s="188"/>
      <c r="P33" s="188"/>
      <c r="Q33" s="188"/>
      <c r="R33" s="188"/>
      <c r="S33" s="307"/>
      <c r="T33" s="188"/>
      <c r="U33" s="188"/>
      <c r="V33" s="188"/>
      <c r="W33" s="188"/>
      <c r="X33" s="188"/>
      <c r="Y33" s="188"/>
      <c r="Z33" s="188"/>
      <c r="AA33" s="188"/>
      <c r="AB33" s="188"/>
    </row>
    <row r="34" spans="1:28" ht="12.75" hidden="1" customHeight="1">
      <c r="A34" s="5"/>
      <c r="B34" s="5"/>
      <c r="C34" s="5"/>
      <c r="D34" s="5"/>
      <c r="E34" s="188" t="s">
        <v>55</v>
      </c>
      <c r="F34" s="188" t="s">
        <v>3041</v>
      </c>
      <c r="G34" s="188" t="s">
        <v>329</v>
      </c>
      <c r="H34" s="188" t="s">
        <v>243</v>
      </c>
      <c r="I34" s="188"/>
      <c r="J34" s="306">
        <v>79</v>
      </c>
      <c r="K34" s="188" t="s">
        <v>680</v>
      </c>
      <c r="L34" s="188"/>
      <c r="M34" s="188"/>
      <c r="N34" s="188"/>
      <c r="O34" s="188"/>
      <c r="P34" s="188"/>
      <c r="Q34" s="188"/>
      <c r="R34" s="188"/>
      <c r="S34" s="307"/>
      <c r="T34" s="188"/>
      <c r="U34" s="188"/>
      <c r="V34" s="188"/>
      <c r="W34" s="188"/>
      <c r="X34" s="188"/>
      <c r="Y34" s="188"/>
      <c r="Z34" s="188"/>
      <c r="AA34" s="188"/>
      <c r="AB34" s="188"/>
    </row>
    <row r="35" spans="1:28" ht="12.75" hidden="1" customHeight="1">
      <c r="A35" s="5"/>
      <c r="B35" s="5"/>
      <c r="C35" s="5"/>
      <c r="D35" s="5"/>
      <c r="E35" s="188" t="s">
        <v>55</v>
      </c>
      <c r="F35" s="188" t="s">
        <v>3042</v>
      </c>
      <c r="G35" s="188" t="s">
        <v>329</v>
      </c>
      <c r="H35" s="188" t="s">
        <v>243</v>
      </c>
      <c r="I35" s="188"/>
      <c r="J35" s="306">
        <v>58</v>
      </c>
      <c r="K35" s="188" t="s">
        <v>680</v>
      </c>
      <c r="L35" s="188"/>
      <c r="M35" s="188"/>
      <c r="N35" s="188"/>
      <c r="O35" s="188"/>
      <c r="P35" s="188"/>
      <c r="Q35" s="188"/>
      <c r="R35" s="188"/>
      <c r="S35" s="307"/>
      <c r="T35" s="188"/>
      <c r="U35" s="188"/>
      <c r="V35" s="188"/>
      <c r="W35" s="188"/>
      <c r="X35" s="188"/>
      <c r="Y35" s="188"/>
      <c r="Z35" s="188"/>
      <c r="AA35" s="188"/>
      <c r="AB35" s="188"/>
    </row>
    <row r="36" spans="1:28" ht="12.75" hidden="1" customHeight="1">
      <c r="A36" s="5"/>
      <c r="B36" s="5"/>
      <c r="C36" s="5"/>
      <c r="D36" s="5"/>
      <c r="E36" s="188" t="s">
        <v>55</v>
      </c>
      <c r="F36" s="188" t="s">
        <v>3043</v>
      </c>
      <c r="G36" s="188" t="s">
        <v>329</v>
      </c>
      <c r="H36" s="188" t="s">
        <v>243</v>
      </c>
      <c r="I36" s="188"/>
      <c r="J36" s="306">
        <v>9</v>
      </c>
      <c r="K36" s="188" t="s">
        <v>680</v>
      </c>
      <c r="L36" s="188"/>
      <c r="M36" s="188"/>
      <c r="N36" s="188"/>
      <c r="O36" s="188"/>
      <c r="P36" s="188"/>
      <c r="Q36" s="188"/>
      <c r="R36" s="188"/>
      <c r="S36" s="307"/>
      <c r="T36" s="188"/>
      <c r="U36" s="188"/>
      <c r="V36" s="188"/>
      <c r="W36" s="188"/>
      <c r="X36" s="188"/>
      <c r="Y36" s="188"/>
      <c r="Z36" s="188"/>
      <c r="AA36" s="188"/>
      <c r="AB36" s="188"/>
    </row>
    <row r="37" spans="1:28" ht="15.75" hidden="1" customHeight="1">
      <c r="A37" s="5"/>
      <c r="B37" s="5"/>
      <c r="C37" s="5"/>
      <c r="D37" s="5"/>
      <c r="E37" s="188" t="s">
        <v>55</v>
      </c>
      <c r="F37" s="188" t="s">
        <v>3044</v>
      </c>
      <c r="G37" s="188" t="s">
        <v>329</v>
      </c>
      <c r="H37" s="188" t="s">
        <v>243</v>
      </c>
      <c r="I37" s="188"/>
      <c r="J37" s="306">
        <v>10</v>
      </c>
      <c r="K37" s="188" t="s">
        <v>680</v>
      </c>
      <c r="L37" s="188"/>
      <c r="M37" s="188"/>
      <c r="N37" s="188"/>
      <c r="O37" s="188"/>
      <c r="P37" s="188"/>
      <c r="Q37" s="188"/>
      <c r="R37" s="308"/>
      <c r="S37" s="307"/>
      <c r="T37" s="188"/>
      <c r="U37" s="188"/>
      <c r="V37" s="188"/>
      <c r="W37" s="188"/>
      <c r="X37" s="188"/>
      <c r="Y37" s="188"/>
      <c r="Z37" s="188"/>
      <c r="AA37" s="188"/>
      <c r="AB37" s="188"/>
    </row>
    <row r="38" spans="1:28" ht="12.75" hidden="1" customHeight="1">
      <c r="A38" s="5"/>
      <c r="B38" s="5"/>
      <c r="C38" s="5"/>
      <c r="D38" s="5"/>
      <c r="E38" s="188" t="s">
        <v>55</v>
      </c>
      <c r="F38" s="188" t="s">
        <v>3045</v>
      </c>
      <c r="G38" s="188" t="s">
        <v>329</v>
      </c>
      <c r="H38" s="188" t="s">
        <v>243</v>
      </c>
      <c r="I38" s="188"/>
      <c r="J38" s="306">
        <v>66</v>
      </c>
      <c r="K38" s="188" t="s">
        <v>680</v>
      </c>
      <c r="L38" s="188"/>
      <c r="M38" s="188"/>
      <c r="N38" s="188"/>
      <c r="O38" s="188"/>
      <c r="P38" s="188"/>
      <c r="Q38" s="188"/>
      <c r="R38" s="308"/>
      <c r="S38" s="307"/>
      <c r="T38" s="188"/>
      <c r="U38" s="188"/>
      <c r="V38" s="188"/>
      <c r="W38" s="188"/>
      <c r="X38" s="188"/>
      <c r="Y38" s="188"/>
      <c r="Z38" s="188"/>
      <c r="AA38" s="188"/>
      <c r="AB38" s="188"/>
    </row>
    <row r="39" spans="1:28" ht="12.75" hidden="1" customHeight="1">
      <c r="A39" s="5"/>
      <c r="B39" s="5"/>
      <c r="C39" s="5"/>
      <c r="D39" s="5"/>
      <c r="E39" s="188" t="s">
        <v>55</v>
      </c>
      <c r="F39" s="188" t="s">
        <v>3046</v>
      </c>
      <c r="G39" s="188" t="s">
        <v>329</v>
      </c>
      <c r="H39" s="188" t="s">
        <v>243</v>
      </c>
      <c r="I39" s="188"/>
      <c r="J39" s="306">
        <v>11</v>
      </c>
      <c r="K39" s="188" t="s">
        <v>680</v>
      </c>
      <c r="L39" s="188"/>
      <c r="M39" s="188"/>
      <c r="N39" s="188"/>
      <c r="O39" s="188"/>
      <c r="P39" s="188"/>
      <c r="Q39" s="188"/>
      <c r="R39" s="188"/>
      <c r="S39" s="307"/>
      <c r="T39" s="188"/>
      <c r="U39" s="188"/>
      <c r="V39" s="188"/>
      <c r="W39" s="188"/>
      <c r="X39" s="188"/>
      <c r="Y39" s="188"/>
      <c r="Z39" s="188"/>
      <c r="AA39" s="188"/>
      <c r="AB39" s="188"/>
    </row>
    <row r="40" spans="1:28" ht="12.75" hidden="1" customHeight="1">
      <c r="A40" s="5"/>
      <c r="B40" s="5"/>
      <c r="C40" s="5"/>
      <c r="D40" s="5"/>
      <c r="E40" s="188" t="s">
        <v>55</v>
      </c>
      <c r="F40" s="188" t="s">
        <v>3047</v>
      </c>
      <c r="G40" s="188" t="s">
        <v>329</v>
      </c>
      <c r="H40" s="188" t="s">
        <v>243</v>
      </c>
      <c r="I40" s="188"/>
      <c r="J40" s="306">
        <v>12</v>
      </c>
      <c r="K40" s="188" t="s">
        <v>680</v>
      </c>
      <c r="L40" s="188"/>
      <c r="M40" s="188"/>
      <c r="N40" s="188"/>
      <c r="O40" s="188"/>
      <c r="P40" s="188"/>
      <c r="Q40" s="188"/>
      <c r="R40" s="308"/>
      <c r="S40" s="307"/>
      <c r="T40" s="188"/>
      <c r="U40" s="188"/>
      <c r="V40" s="188"/>
      <c r="W40" s="188"/>
      <c r="X40" s="188"/>
      <c r="Y40" s="188"/>
      <c r="Z40" s="188"/>
      <c r="AA40" s="188"/>
      <c r="AB40" s="188"/>
    </row>
    <row r="41" spans="1:28" ht="12.75" hidden="1" customHeight="1">
      <c r="A41" s="5"/>
      <c r="B41" s="5"/>
      <c r="C41" s="5"/>
      <c r="D41" s="5"/>
      <c r="E41" s="188" t="s">
        <v>55</v>
      </c>
      <c r="F41" s="188" t="s">
        <v>3048</v>
      </c>
      <c r="G41" s="188" t="s">
        <v>329</v>
      </c>
      <c r="H41" s="188" t="s">
        <v>243</v>
      </c>
      <c r="I41" s="188"/>
      <c r="J41" s="306">
        <v>13</v>
      </c>
      <c r="K41" s="188" t="s">
        <v>680</v>
      </c>
      <c r="L41" s="188"/>
      <c r="M41" s="188"/>
      <c r="N41" s="188"/>
      <c r="O41" s="188"/>
      <c r="P41" s="188"/>
      <c r="Q41" s="188"/>
      <c r="R41" s="308"/>
      <c r="S41" s="309"/>
      <c r="T41" s="308"/>
      <c r="U41" s="308"/>
      <c r="V41" s="308"/>
      <c r="W41" s="308"/>
      <c r="X41" s="308"/>
      <c r="Y41" s="308"/>
      <c r="Z41" s="308"/>
      <c r="AA41" s="308"/>
      <c r="AB41" s="308"/>
    </row>
    <row r="42" spans="1:28" ht="12.75" hidden="1" customHeight="1">
      <c r="A42" s="5"/>
      <c r="B42" s="5"/>
      <c r="C42" s="5"/>
      <c r="D42" s="5"/>
      <c r="E42" s="188" t="s">
        <v>55</v>
      </c>
      <c r="F42" s="188" t="s">
        <v>3049</v>
      </c>
      <c r="G42" s="188" t="s">
        <v>329</v>
      </c>
      <c r="H42" s="188" t="s">
        <v>243</v>
      </c>
      <c r="I42" s="188"/>
      <c r="J42" s="306">
        <v>14</v>
      </c>
      <c r="K42" s="188" t="s">
        <v>680</v>
      </c>
      <c r="L42" s="188"/>
      <c r="M42" s="188"/>
      <c r="N42" s="188"/>
      <c r="O42" s="188"/>
      <c r="P42" s="188"/>
      <c r="Q42" s="188"/>
      <c r="R42" s="188"/>
      <c r="S42" s="307"/>
      <c r="T42" s="188"/>
      <c r="U42" s="188"/>
      <c r="V42" s="188"/>
      <c r="W42" s="188"/>
      <c r="X42" s="188"/>
      <c r="Y42" s="188"/>
      <c r="Z42" s="188"/>
      <c r="AA42" s="188"/>
      <c r="AB42" s="188"/>
    </row>
    <row r="43" spans="1:28" ht="12.75" hidden="1" customHeight="1">
      <c r="A43" s="5"/>
      <c r="B43" s="5"/>
      <c r="C43" s="5"/>
      <c r="D43" s="5"/>
      <c r="E43" s="188" t="s">
        <v>55</v>
      </c>
      <c r="F43" s="188" t="s">
        <v>3050</v>
      </c>
      <c r="G43" s="188" t="s">
        <v>329</v>
      </c>
      <c r="H43" s="188" t="s">
        <v>243</v>
      </c>
      <c r="I43" s="188"/>
      <c r="J43" s="306">
        <v>71</v>
      </c>
      <c r="K43" s="188" t="s">
        <v>680</v>
      </c>
      <c r="L43" s="188"/>
      <c r="M43" s="188"/>
      <c r="N43" s="188"/>
      <c r="O43" s="188"/>
      <c r="P43" s="188"/>
      <c r="Q43" s="188"/>
      <c r="R43" s="308"/>
      <c r="S43" s="307"/>
      <c r="T43" s="188"/>
      <c r="U43" s="188"/>
      <c r="V43" s="188"/>
      <c r="W43" s="188"/>
      <c r="X43" s="188"/>
      <c r="Y43" s="188"/>
      <c r="Z43" s="188"/>
      <c r="AA43" s="188"/>
      <c r="AB43" s="188"/>
    </row>
    <row r="44" spans="1:28" ht="12.75" hidden="1" customHeight="1">
      <c r="A44" s="5"/>
      <c r="B44" s="5"/>
      <c r="C44" s="5"/>
      <c r="D44" s="5"/>
      <c r="E44" s="188" t="s">
        <v>55</v>
      </c>
      <c r="F44" s="188" t="s">
        <v>3051</v>
      </c>
      <c r="G44" s="188" t="s">
        <v>329</v>
      </c>
      <c r="H44" s="188" t="s">
        <v>243</v>
      </c>
      <c r="I44" s="188"/>
      <c r="J44" s="306">
        <v>62</v>
      </c>
      <c r="K44" s="188" t="s">
        <v>680</v>
      </c>
      <c r="L44" s="188"/>
      <c r="M44" s="188"/>
      <c r="N44" s="188"/>
      <c r="O44" s="188"/>
      <c r="P44" s="188"/>
      <c r="Q44" s="188"/>
      <c r="R44" s="188"/>
      <c r="S44" s="307"/>
      <c r="T44" s="188"/>
      <c r="U44" s="188"/>
      <c r="V44" s="188"/>
      <c r="W44" s="188"/>
      <c r="X44" s="188"/>
      <c r="Y44" s="188"/>
      <c r="Z44" s="188"/>
      <c r="AA44" s="188"/>
      <c r="AB44" s="188"/>
    </row>
    <row r="45" spans="1:28" ht="12.75" hidden="1" customHeight="1">
      <c r="A45" s="5"/>
      <c r="B45" s="5"/>
      <c r="C45" s="5"/>
      <c r="D45" s="5"/>
      <c r="E45" s="188" t="s">
        <v>55</v>
      </c>
      <c r="F45" s="188" t="s">
        <v>3052</v>
      </c>
      <c r="G45" s="188" t="s">
        <v>329</v>
      </c>
      <c r="H45" s="188" t="s">
        <v>243</v>
      </c>
      <c r="I45" s="188"/>
      <c r="J45" s="306">
        <v>15</v>
      </c>
      <c r="K45" s="188" t="s">
        <v>680</v>
      </c>
      <c r="L45" s="188"/>
      <c r="M45" s="188"/>
      <c r="N45" s="188"/>
      <c r="O45" s="188"/>
      <c r="P45" s="188"/>
      <c r="Q45" s="188"/>
      <c r="R45" s="188"/>
      <c r="S45" s="307"/>
      <c r="T45" s="188"/>
      <c r="U45" s="188"/>
      <c r="V45" s="188"/>
      <c r="W45" s="188"/>
      <c r="X45" s="188"/>
      <c r="Y45" s="188"/>
      <c r="Z45" s="188"/>
      <c r="AA45" s="188"/>
      <c r="AB45" s="188"/>
    </row>
    <row r="46" spans="1:28" ht="12.75" hidden="1" customHeight="1">
      <c r="A46" s="5"/>
      <c r="B46" s="5"/>
      <c r="C46" s="5"/>
      <c r="D46" s="5"/>
      <c r="E46" s="188" t="s">
        <v>55</v>
      </c>
      <c r="F46" s="188" t="s">
        <v>3053</v>
      </c>
      <c r="G46" s="188" t="s">
        <v>329</v>
      </c>
      <c r="H46" s="188" t="s">
        <v>243</v>
      </c>
      <c r="I46" s="188"/>
      <c r="J46" s="306">
        <v>16</v>
      </c>
      <c r="K46" s="188" t="s">
        <v>680</v>
      </c>
      <c r="L46" s="188"/>
      <c r="M46" s="188"/>
      <c r="N46" s="188"/>
      <c r="O46" s="188"/>
      <c r="P46" s="188"/>
      <c r="Q46" s="188"/>
      <c r="R46" s="188"/>
      <c r="S46" s="307"/>
      <c r="T46" s="188"/>
      <c r="U46" s="188"/>
      <c r="V46" s="188"/>
      <c r="W46" s="188"/>
      <c r="X46" s="188"/>
      <c r="Y46" s="188"/>
      <c r="Z46" s="188"/>
      <c r="AA46" s="188"/>
      <c r="AB46" s="188"/>
    </row>
    <row r="47" spans="1:28" ht="12.75" hidden="1" customHeight="1">
      <c r="A47" s="5"/>
      <c r="B47" s="5"/>
      <c r="C47" s="5"/>
      <c r="D47" s="5"/>
      <c r="E47" s="188" t="s">
        <v>55</v>
      </c>
      <c r="F47" s="188" t="s">
        <v>3054</v>
      </c>
      <c r="G47" s="188" t="s">
        <v>329</v>
      </c>
      <c r="H47" s="188" t="s">
        <v>243</v>
      </c>
      <c r="I47" s="188"/>
      <c r="J47" s="306">
        <v>17</v>
      </c>
      <c r="K47" s="188" t="s">
        <v>680</v>
      </c>
      <c r="L47" s="188"/>
      <c r="M47" s="188"/>
      <c r="N47" s="188"/>
      <c r="O47" s="188"/>
      <c r="P47" s="188"/>
      <c r="Q47" s="188"/>
      <c r="R47" s="308"/>
      <c r="S47" s="307"/>
      <c r="T47" s="188"/>
      <c r="U47" s="188"/>
      <c r="V47" s="188"/>
      <c r="W47" s="188"/>
      <c r="X47" s="188"/>
      <c r="Y47" s="188"/>
      <c r="Z47" s="188"/>
      <c r="AA47" s="188"/>
      <c r="AB47" s="188"/>
    </row>
    <row r="48" spans="1:28" ht="12.75" hidden="1" customHeight="1">
      <c r="A48" s="5"/>
      <c r="B48" s="5"/>
      <c r="C48" s="5"/>
      <c r="D48" s="5"/>
      <c r="E48" s="188" t="s">
        <v>55</v>
      </c>
      <c r="F48" s="188" t="s">
        <v>3055</v>
      </c>
      <c r="G48" s="188" t="s">
        <v>329</v>
      </c>
      <c r="H48" s="188" t="s">
        <v>243</v>
      </c>
      <c r="I48" s="188"/>
      <c r="J48" s="306">
        <v>18</v>
      </c>
      <c r="K48" s="188" t="s">
        <v>680</v>
      </c>
      <c r="L48" s="188"/>
      <c r="M48" s="188"/>
      <c r="N48" s="188"/>
      <c r="O48" s="188"/>
      <c r="P48" s="188"/>
      <c r="Q48" s="188"/>
      <c r="R48" s="308"/>
      <c r="S48" s="307"/>
      <c r="T48" s="188"/>
      <c r="U48" s="188"/>
      <c r="V48" s="188"/>
      <c r="W48" s="188"/>
      <c r="X48" s="188"/>
      <c r="Y48" s="188"/>
      <c r="Z48" s="188"/>
      <c r="AA48" s="188"/>
      <c r="AB48" s="188"/>
    </row>
    <row r="49" spans="1:28" ht="12.75" hidden="1" customHeight="1">
      <c r="A49" s="5"/>
      <c r="B49" s="5"/>
      <c r="C49" s="5"/>
      <c r="D49" s="5"/>
      <c r="E49" s="188" t="s">
        <v>55</v>
      </c>
      <c r="F49" s="188" t="s">
        <v>3056</v>
      </c>
      <c r="G49" s="188" t="s">
        <v>329</v>
      </c>
      <c r="H49" s="188" t="s">
        <v>243</v>
      </c>
      <c r="I49" s="188"/>
      <c r="J49" s="306">
        <v>19</v>
      </c>
      <c r="K49" s="188" t="s">
        <v>680</v>
      </c>
      <c r="L49" s="188"/>
      <c r="M49" s="188"/>
      <c r="N49" s="188"/>
      <c r="O49" s="188"/>
      <c r="P49" s="188"/>
      <c r="Q49" s="188"/>
      <c r="R49" s="308"/>
      <c r="S49" s="309"/>
      <c r="T49" s="308"/>
      <c r="U49" s="308"/>
      <c r="V49" s="308"/>
      <c r="W49" s="308"/>
      <c r="X49" s="308"/>
      <c r="Y49" s="308"/>
      <c r="Z49" s="308"/>
      <c r="AA49" s="308"/>
      <c r="AB49" s="308"/>
    </row>
    <row r="50" spans="1:28" ht="12.75" hidden="1" customHeight="1">
      <c r="A50" s="5"/>
      <c r="B50" s="5"/>
      <c r="C50" s="5"/>
      <c r="D50" s="5"/>
      <c r="E50" s="187" t="s">
        <v>55</v>
      </c>
      <c r="F50" s="187" t="s">
        <v>407</v>
      </c>
      <c r="G50" s="187" t="s">
        <v>329</v>
      </c>
      <c r="H50" s="187" t="s">
        <v>243</v>
      </c>
      <c r="I50" s="187"/>
      <c r="J50" s="304">
        <v>20</v>
      </c>
      <c r="K50" s="187" t="s">
        <v>680</v>
      </c>
      <c r="L50" s="188"/>
      <c r="M50" s="187"/>
      <c r="N50" s="187"/>
      <c r="O50" s="187"/>
      <c r="P50" s="187"/>
      <c r="Q50" s="187"/>
      <c r="R50" s="187"/>
      <c r="S50" s="189"/>
      <c r="T50" s="187"/>
      <c r="U50" s="187"/>
      <c r="V50" s="187"/>
      <c r="W50" s="187"/>
      <c r="X50" s="187"/>
      <c r="Y50" s="187"/>
      <c r="Z50" s="187"/>
      <c r="AA50" s="187"/>
      <c r="AB50" s="187"/>
    </row>
    <row r="51" spans="1:28" ht="12.75" hidden="1" customHeight="1">
      <c r="A51" s="5"/>
      <c r="B51" s="5"/>
      <c r="C51" s="5"/>
      <c r="D51" s="5"/>
      <c r="E51" s="188" t="s">
        <v>55</v>
      </c>
      <c r="F51" s="188" t="s">
        <v>3057</v>
      </c>
      <c r="G51" s="188" t="s">
        <v>329</v>
      </c>
      <c r="H51" s="188" t="s">
        <v>243</v>
      </c>
      <c r="I51" s="188"/>
      <c r="J51" s="306">
        <v>30</v>
      </c>
      <c r="K51" s="188" t="s">
        <v>680</v>
      </c>
      <c r="L51" s="188"/>
      <c r="M51" s="188"/>
      <c r="N51" s="188"/>
      <c r="O51" s="188"/>
      <c r="P51" s="188"/>
      <c r="Q51" s="188"/>
      <c r="R51" s="188"/>
      <c r="S51" s="307"/>
      <c r="T51" s="188"/>
      <c r="U51" s="188"/>
      <c r="V51" s="188"/>
      <c r="W51" s="188"/>
      <c r="X51" s="188"/>
      <c r="Y51" s="188"/>
      <c r="Z51" s="188"/>
      <c r="AA51" s="188"/>
      <c r="AB51" s="188"/>
    </row>
    <row r="52" spans="1:28" ht="12.75" hidden="1" customHeight="1">
      <c r="A52" s="5"/>
      <c r="B52" s="5"/>
      <c r="C52" s="5"/>
      <c r="D52" s="5"/>
      <c r="E52" s="188" t="s">
        <v>55</v>
      </c>
      <c r="F52" s="188" t="s">
        <v>3058</v>
      </c>
      <c r="G52" s="188" t="s">
        <v>329</v>
      </c>
      <c r="H52" s="188" t="s">
        <v>243</v>
      </c>
      <c r="I52" s="188"/>
      <c r="J52" s="306">
        <v>87</v>
      </c>
      <c r="K52" s="188" t="s">
        <v>680</v>
      </c>
      <c r="L52" s="188"/>
      <c r="M52" s="188"/>
      <c r="N52" s="188"/>
      <c r="O52" s="188"/>
      <c r="P52" s="188"/>
      <c r="Q52" s="188"/>
      <c r="R52" s="188"/>
      <c r="S52" s="307"/>
      <c r="T52" s="188" t="s">
        <v>3059</v>
      </c>
      <c r="U52" s="188"/>
      <c r="V52" s="188"/>
      <c r="W52" s="188"/>
      <c r="X52" s="188"/>
      <c r="Y52" s="188"/>
      <c r="Z52" s="188"/>
      <c r="AA52" s="188"/>
      <c r="AB52" s="188"/>
    </row>
    <row r="53" spans="1:28" ht="12.75" hidden="1" customHeight="1">
      <c r="A53" s="5"/>
      <c r="B53" s="5"/>
      <c r="C53" s="5"/>
      <c r="D53" s="5"/>
      <c r="E53" s="188" t="s">
        <v>55</v>
      </c>
      <c r="F53" s="188" t="s">
        <v>3060</v>
      </c>
      <c r="G53" s="188" t="s">
        <v>329</v>
      </c>
      <c r="H53" s="188" t="s">
        <v>243</v>
      </c>
      <c r="I53" s="188"/>
      <c r="J53" s="306">
        <v>88</v>
      </c>
      <c r="K53" s="188" t="s">
        <v>680</v>
      </c>
      <c r="L53" s="188"/>
      <c r="M53" s="188"/>
      <c r="N53" s="188"/>
      <c r="O53" s="188"/>
      <c r="P53" s="188"/>
      <c r="Q53" s="188"/>
      <c r="R53" s="188"/>
      <c r="S53" s="307"/>
      <c r="T53" s="188" t="s">
        <v>3061</v>
      </c>
      <c r="U53" s="188"/>
      <c r="V53" s="188"/>
      <c r="W53" s="188"/>
      <c r="X53" s="188"/>
      <c r="Y53" s="188"/>
      <c r="Z53" s="188"/>
      <c r="AA53" s="188"/>
      <c r="AB53" s="188"/>
    </row>
    <row r="54" spans="1:28" ht="12.75" hidden="1" customHeight="1">
      <c r="A54" s="5"/>
      <c r="B54" s="5"/>
      <c r="C54" s="5"/>
      <c r="D54" s="5"/>
      <c r="E54" s="188" t="s">
        <v>55</v>
      </c>
      <c r="F54" s="188" t="s">
        <v>3062</v>
      </c>
      <c r="G54" s="188" t="s">
        <v>329</v>
      </c>
      <c r="H54" s="188" t="s">
        <v>243</v>
      </c>
      <c r="I54" s="188"/>
      <c r="J54" s="306">
        <v>89</v>
      </c>
      <c r="K54" s="188" t="s">
        <v>680</v>
      </c>
      <c r="L54" s="188"/>
      <c r="M54" s="188"/>
      <c r="N54" s="188"/>
      <c r="O54" s="188"/>
      <c r="P54" s="188"/>
      <c r="Q54" s="188"/>
      <c r="R54" s="188"/>
      <c r="S54" s="307"/>
      <c r="T54" s="188" t="s">
        <v>3063</v>
      </c>
      <c r="U54" s="188"/>
      <c r="V54" s="188"/>
      <c r="W54" s="188"/>
      <c r="X54" s="188"/>
      <c r="Y54" s="188"/>
      <c r="Z54" s="188"/>
      <c r="AA54" s="188"/>
      <c r="AB54" s="188"/>
    </row>
    <row r="55" spans="1:28" ht="12.75" hidden="1" customHeight="1">
      <c r="A55" s="5"/>
      <c r="B55" s="5"/>
      <c r="C55" s="5"/>
      <c r="D55" s="5"/>
      <c r="E55" s="188" t="s">
        <v>55</v>
      </c>
      <c r="F55" s="188" t="s">
        <v>3064</v>
      </c>
      <c r="G55" s="188" t="s">
        <v>329</v>
      </c>
      <c r="H55" s="188" t="s">
        <v>243</v>
      </c>
      <c r="I55" s="188"/>
      <c r="J55" s="306">
        <v>90</v>
      </c>
      <c r="K55" s="188" t="s">
        <v>680</v>
      </c>
      <c r="L55" s="188"/>
      <c r="M55" s="188"/>
      <c r="N55" s="188"/>
      <c r="O55" s="188"/>
      <c r="P55" s="188"/>
      <c r="Q55" s="188"/>
      <c r="R55" s="188"/>
      <c r="S55" s="307"/>
      <c r="T55" s="188" t="s">
        <v>3065</v>
      </c>
      <c r="U55" s="188"/>
      <c r="V55" s="188"/>
      <c r="W55" s="188"/>
      <c r="X55" s="188"/>
      <c r="Y55" s="188"/>
      <c r="Z55" s="188"/>
      <c r="AA55" s="188"/>
      <c r="AB55" s="188"/>
    </row>
    <row r="56" spans="1:28" ht="12.75" hidden="1" customHeight="1">
      <c r="A56" s="5"/>
      <c r="B56" s="5"/>
      <c r="C56" s="5"/>
      <c r="D56" s="5"/>
      <c r="E56" s="188" t="s">
        <v>55</v>
      </c>
      <c r="F56" s="188" t="s">
        <v>3066</v>
      </c>
      <c r="G56" s="188" t="s">
        <v>329</v>
      </c>
      <c r="H56" s="188" t="s">
        <v>243</v>
      </c>
      <c r="I56" s="188"/>
      <c r="J56" s="306">
        <v>85</v>
      </c>
      <c r="K56" s="188" t="s">
        <v>680</v>
      </c>
      <c r="L56" s="188"/>
      <c r="M56" s="188"/>
      <c r="N56" s="188"/>
      <c r="O56" s="188"/>
      <c r="P56" s="188"/>
      <c r="Q56" s="188"/>
      <c r="R56" s="188"/>
      <c r="S56" s="307"/>
      <c r="T56" s="188" t="s">
        <v>3067</v>
      </c>
      <c r="U56" s="188"/>
      <c r="V56" s="188"/>
      <c r="W56" s="188"/>
      <c r="X56" s="188"/>
      <c r="Y56" s="188"/>
      <c r="Z56" s="188"/>
      <c r="AA56" s="188"/>
      <c r="AB56" s="188"/>
    </row>
    <row r="57" spans="1:28" ht="12.75" hidden="1" customHeight="1">
      <c r="A57" s="5"/>
      <c r="B57" s="5"/>
      <c r="C57" s="5"/>
      <c r="D57" s="5"/>
      <c r="E57" s="188" t="s">
        <v>55</v>
      </c>
      <c r="F57" s="188" t="s">
        <v>3068</v>
      </c>
      <c r="G57" s="188" t="s">
        <v>329</v>
      </c>
      <c r="H57" s="188" t="s">
        <v>243</v>
      </c>
      <c r="I57" s="188"/>
      <c r="J57" s="306">
        <v>86</v>
      </c>
      <c r="K57" s="188" t="s">
        <v>680</v>
      </c>
      <c r="L57" s="188"/>
      <c r="M57" s="188"/>
      <c r="N57" s="188"/>
      <c r="O57" s="188"/>
      <c r="P57" s="188"/>
      <c r="Q57" s="188"/>
      <c r="R57" s="188"/>
      <c r="S57" s="307"/>
      <c r="T57" s="188" t="s">
        <v>3059</v>
      </c>
      <c r="U57" s="188"/>
      <c r="V57" s="188"/>
      <c r="W57" s="188"/>
      <c r="X57" s="188"/>
      <c r="Y57" s="188"/>
      <c r="Z57" s="188"/>
      <c r="AA57" s="188"/>
      <c r="AB57" s="188"/>
    </row>
    <row r="58" spans="1:28" ht="42" hidden="1" customHeight="1">
      <c r="A58" s="5"/>
      <c r="B58" s="5"/>
      <c r="C58" s="5"/>
      <c r="D58" s="5"/>
      <c r="E58" s="188" t="s">
        <v>55</v>
      </c>
      <c r="F58" s="188" t="s">
        <v>3069</v>
      </c>
      <c r="G58" s="188" t="s">
        <v>329</v>
      </c>
      <c r="H58" s="188" t="s">
        <v>243</v>
      </c>
      <c r="I58" s="188"/>
      <c r="J58" s="306">
        <v>91</v>
      </c>
      <c r="K58" s="188" t="s">
        <v>680</v>
      </c>
      <c r="L58" s="188"/>
      <c r="M58" s="188"/>
      <c r="N58" s="188"/>
      <c r="O58" s="188"/>
      <c r="P58" s="188"/>
      <c r="Q58" s="188"/>
      <c r="R58" s="188"/>
      <c r="S58" s="307"/>
      <c r="T58" s="188" t="s">
        <v>3070</v>
      </c>
      <c r="U58" s="188"/>
      <c r="V58" s="188"/>
      <c r="W58" s="188"/>
      <c r="X58" s="188"/>
      <c r="Y58" s="188"/>
      <c r="Z58" s="188"/>
      <c r="AA58" s="188"/>
      <c r="AB58" s="188"/>
    </row>
    <row r="59" spans="1:28" ht="15.75" hidden="1" customHeight="1">
      <c r="A59" s="5"/>
      <c r="B59" s="5"/>
      <c r="C59" s="5"/>
      <c r="D59" s="5"/>
      <c r="E59" s="188" t="s">
        <v>55</v>
      </c>
      <c r="F59" s="188" t="s">
        <v>750</v>
      </c>
      <c r="G59" s="188" t="s">
        <v>329</v>
      </c>
      <c r="H59" s="188" t="s">
        <v>864</v>
      </c>
      <c r="I59" s="188"/>
      <c r="J59" s="306">
        <v>76</v>
      </c>
      <c r="K59" s="188" t="s">
        <v>680</v>
      </c>
      <c r="L59" s="188"/>
      <c r="M59" s="188"/>
      <c r="N59" s="188"/>
      <c r="O59" s="188"/>
      <c r="P59" s="188"/>
      <c r="Q59" s="188"/>
      <c r="R59" s="96" t="s">
        <v>3071</v>
      </c>
      <c r="S59" s="97"/>
      <c r="T59" s="188" t="s">
        <v>2743</v>
      </c>
      <c r="U59" s="188"/>
      <c r="V59" s="188"/>
      <c r="W59" s="188"/>
      <c r="X59" s="188"/>
      <c r="Y59" s="188"/>
      <c r="Z59" s="188"/>
      <c r="AA59" s="305"/>
      <c r="AB59" s="188"/>
    </row>
    <row r="60" spans="1:28" ht="37.5">
      <c r="A60" s="43"/>
      <c r="B60" s="43"/>
      <c r="C60" s="43"/>
      <c r="D60" s="43"/>
      <c r="E60" s="441" t="s">
        <v>55</v>
      </c>
      <c r="F60" s="441" t="s">
        <v>752</v>
      </c>
      <c r="G60" s="441" t="s">
        <v>329</v>
      </c>
      <c r="H60" s="441" t="s">
        <v>3072</v>
      </c>
      <c r="I60" s="441"/>
      <c r="J60" s="382">
        <v>77</v>
      </c>
      <c r="K60" s="441" t="s">
        <v>682</v>
      </c>
      <c r="L60" s="441" t="s">
        <v>3010</v>
      </c>
      <c r="M60" s="441" t="s">
        <v>753</v>
      </c>
      <c r="N60" s="441"/>
      <c r="O60" s="441"/>
      <c r="P60" s="441"/>
      <c r="Q60" s="441"/>
      <c r="R60" s="441"/>
      <c r="S60" s="148"/>
      <c r="T60" s="441" t="s">
        <v>2743</v>
      </c>
      <c r="U60" s="441"/>
      <c r="V60" s="441"/>
      <c r="W60" s="441"/>
      <c r="X60" s="441"/>
      <c r="Y60" s="441"/>
      <c r="Z60" s="441" t="s">
        <v>3073</v>
      </c>
      <c r="AA60" s="147">
        <v>43647</v>
      </c>
      <c r="AB60" s="441" t="s">
        <v>3074</v>
      </c>
    </row>
    <row r="61" spans="1:28" ht="37.5">
      <c r="A61" s="43"/>
      <c r="B61" s="43"/>
      <c r="C61" s="43"/>
      <c r="D61" s="43"/>
      <c r="E61" s="441" t="s">
        <v>3075</v>
      </c>
      <c r="F61" s="441" t="s">
        <v>3076</v>
      </c>
      <c r="G61" s="441" t="s">
        <v>329</v>
      </c>
      <c r="H61" s="441" t="s">
        <v>3072</v>
      </c>
      <c r="I61" s="441"/>
      <c r="J61" s="382"/>
      <c r="K61" s="441" t="s">
        <v>682</v>
      </c>
      <c r="L61" s="441" t="s">
        <v>3010</v>
      </c>
      <c r="M61" s="441" t="s">
        <v>2774</v>
      </c>
      <c r="N61" s="441"/>
      <c r="O61" s="441"/>
      <c r="P61" s="441"/>
      <c r="Q61" s="441"/>
      <c r="R61" s="441"/>
      <c r="S61" s="148"/>
      <c r="T61" s="441"/>
      <c r="U61" s="441"/>
      <c r="V61" s="441"/>
      <c r="W61" s="441"/>
      <c r="X61" s="441"/>
      <c r="Y61" s="441"/>
      <c r="Z61" s="441" t="s">
        <v>3073</v>
      </c>
      <c r="AA61" s="147">
        <v>43647</v>
      </c>
      <c r="AB61" s="441" t="s">
        <v>3074</v>
      </c>
    </row>
    <row r="62" spans="1:28" ht="12.75" hidden="1" customHeight="1">
      <c r="A62" s="5"/>
      <c r="B62" s="5"/>
      <c r="C62" s="5"/>
      <c r="D62" s="5"/>
      <c r="E62" s="188" t="s">
        <v>55</v>
      </c>
      <c r="F62" s="188" t="s">
        <v>3077</v>
      </c>
      <c r="G62" s="188" t="s">
        <v>329</v>
      </c>
      <c r="H62" s="188" t="s">
        <v>243</v>
      </c>
      <c r="I62" s="188"/>
      <c r="J62" s="306">
        <v>59</v>
      </c>
      <c r="K62" s="188" t="s">
        <v>680</v>
      </c>
      <c r="L62" s="188"/>
      <c r="M62" s="188"/>
      <c r="N62" s="188"/>
      <c r="O62" s="188"/>
      <c r="P62" s="188"/>
      <c r="Q62" s="188"/>
      <c r="R62" s="188"/>
      <c r="S62" s="307"/>
      <c r="T62" s="188"/>
      <c r="U62" s="188"/>
      <c r="V62" s="188"/>
      <c r="W62" s="188"/>
      <c r="X62" s="188"/>
      <c r="Y62" s="188"/>
      <c r="Z62" s="188"/>
      <c r="AA62" s="188"/>
      <c r="AB62" s="188"/>
    </row>
    <row r="63" spans="1:28" ht="12.75" hidden="1" customHeight="1">
      <c r="A63" s="5"/>
      <c r="B63" s="5"/>
      <c r="C63" s="5"/>
      <c r="D63" s="5"/>
      <c r="E63" s="188" t="s">
        <v>55</v>
      </c>
      <c r="F63" s="188" t="s">
        <v>3078</v>
      </c>
      <c r="G63" s="188" t="s">
        <v>329</v>
      </c>
      <c r="H63" s="188" t="s">
        <v>243</v>
      </c>
      <c r="I63" s="188"/>
      <c r="J63" s="306">
        <v>33</v>
      </c>
      <c r="K63" s="188" t="s">
        <v>680</v>
      </c>
      <c r="L63" s="188"/>
      <c r="M63" s="188"/>
      <c r="N63" s="188"/>
      <c r="O63" s="188"/>
      <c r="P63" s="188"/>
      <c r="Q63" s="188"/>
      <c r="R63" s="308"/>
      <c r="S63" s="309"/>
      <c r="T63" s="308"/>
      <c r="U63" s="308"/>
      <c r="V63" s="308"/>
      <c r="W63" s="308"/>
      <c r="X63" s="308"/>
      <c r="Y63" s="308"/>
      <c r="Z63" s="308"/>
      <c r="AA63" s="308"/>
      <c r="AB63" s="308"/>
    </row>
    <row r="64" spans="1:28" ht="12.75" hidden="1" customHeight="1">
      <c r="A64" s="5"/>
      <c r="B64" s="5"/>
      <c r="C64" s="5"/>
      <c r="D64" s="5"/>
      <c r="E64" s="188" t="s">
        <v>55</v>
      </c>
      <c r="F64" s="188" t="s">
        <v>3079</v>
      </c>
      <c r="G64" s="188" t="s">
        <v>329</v>
      </c>
      <c r="H64" s="188" t="s">
        <v>243</v>
      </c>
      <c r="I64" s="188"/>
      <c r="J64" s="306">
        <v>34</v>
      </c>
      <c r="K64" s="188" t="s">
        <v>680</v>
      </c>
      <c r="L64" s="188"/>
      <c r="M64" s="188"/>
      <c r="N64" s="188"/>
      <c r="O64" s="188"/>
      <c r="P64" s="188"/>
      <c r="Q64" s="188"/>
      <c r="R64" s="188"/>
      <c r="S64" s="307"/>
      <c r="T64" s="188"/>
      <c r="U64" s="188"/>
      <c r="V64" s="188"/>
      <c r="W64" s="188"/>
      <c r="X64" s="188"/>
      <c r="Y64" s="188"/>
      <c r="Z64" s="188"/>
      <c r="AA64" s="188"/>
      <c r="AB64" s="188"/>
    </row>
    <row r="65" spans="1:28" ht="12.75" hidden="1" customHeight="1">
      <c r="A65" s="5"/>
      <c r="B65" s="5"/>
      <c r="C65" s="5"/>
      <c r="D65" s="5"/>
      <c r="E65" s="188" t="s">
        <v>55</v>
      </c>
      <c r="F65" s="188" t="s">
        <v>3080</v>
      </c>
      <c r="G65" s="188" t="s">
        <v>329</v>
      </c>
      <c r="H65" s="188" t="s">
        <v>243</v>
      </c>
      <c r="I65" s="188"/>
      <c r="J65" s="306">
        <v>67</v>
      </c>
      <c r="K65" s="188" t="s">
        <v>680</v>
      </c>
      <c r="L65" s="188"/>
      <c r="M65" s="188"/>
      <c r="N65" s="188"/>
      <c r="O65" s="188"/>
      <c r="P65" s="188"/>
      <c r="Q65" s="188"/>
      <c r="R65" s="308"/>
      <c r="S65" s="307"/>
      <c r="T65" s="188"/>
      <c r="U65" s="188"/>
      <c r="V65" s="188"/>
      <c r="W65" s="188"/>
      <c r="X65" s="188"/>
      <c r="Y65" s="188"/>
      <c r="Z65" s="188"/>
      <c r="AA65" s="188"/>
      <c r="AB65" s="188"/>
    </row>
    <row r="66" spans="1:28" ht="12.75" hidden="1" customHeight="1">
      <c r="A66" s="5"/>
      <c r="B66" s="5"/>
      <c r="C66" s="5"/>
      <c r="D66" s="5"/>
      <c r="E66" s="188" t="s">
        <v>55</v>
      </c>
      <c r="F66" s="188" t="s">
        <v>3081</v>
      </c>
      <c r="G66" s="188" t="s">
        <v>329</v>
      </c>
      <c r="H66" s="188" t="s">
        <v>243</v>
      </c>
      <c r="I66" s="188"/>
      <c r="J66" s="306">
        <v>35</v>
      </c>
      <c r="K66" s="188" t="s">
        <v>680</v>
      </c>
      <c r="L66" s="188"/>
      <c r="M66" s="188"/>
      <c r="N66" s="188"/>
      <c r="O66" s="188"/>
      <c r="P66" s="188"/>
      <c r="Q66" s="188"/>
      <c r="R66" s="308"/>
      <c r="S66" s="309"/>
      <c r="T66" s="308"/>
      <c r="U66" s="308"/>
      <c r="V66" s="308"/>
      <c r="W66" s="308"/>
      <c r="X66" s="308"/>
      <c r="Y66" s="308"/>
      <c r="Z66" s="308"/>
      <c r="AA66" s="308"/>
      <c r="AB66" s="308"/>
    </row>
    <row r="67" spans="1:28" ht="12.75" hidden="1" customHeight="1">
      <c r="A67" s="5"/>
      <c r="B67" s="5"/>
      <c r="C67" s="5"/>
      <c r="D67" s="5"/>
      <c r="E67" s="188" t="s">
        <v>55</v>
      </c>
      <c r="F67" s="188" t="s">
        <v>3082</v>
      </c>
      <c r="G67" s="188" t="s">
        <v>329</v>
      </c>
      <c r="H67" s="188" t="s">
        <v>243</v>
      </c>
      <c r="I67" s="188"/>
      <c r="J67" s="306">
        <v>36</v>
      </c>
      <c r="K67" s="188" t="s">
        <v>680</v>
      </c>
      <c r="L67" s="188"/>
      <c r="M67" s="188"/>
      <c r="N67" s="188"/>
      <c r="O67" s="188"/>
      <c r="P67" s="188"/>
      <c r="Q67" s="188"/>
      <c r="R67" s="188"/>
      <c r="S67" s="307"/>
      <c r="T67" s="188"/>
      <c r="U67" s="188"/>
      <c r="V67" s="188"/>
      <c r="W67" s="188"/>
      <c r="X67" s="188"/>
      <c r="Y67" s="188"/>
      <c r="Z67" s="188"/>
      <c r="AA67" s="188"/>
      <c r="AB67" s="188"/>
    </row>
    <row r="68" spans="1:28" ht="12.75" hidden="1" customHeight="1">
      <c r="A68" s="5"/>
      <c r="B68" s="5"/>
      <c r="C68" s="5"/>
      <c r="D68" s="5"/>
      <c r="E68" s="188" t="s">
        <v>55</v>
      </c>
      <c r="F68" s="188" t="s">
        <v>3083</v>
      </c>
      <c r="G68" s="188" t="s">
        <v>329</v>
      </c>
      <c r="H68" s="188" t="s">
        <v>243</v>
      </c>
      <c r="I68" s="188"/>
      <c r="J68" s="306">
        <v>37</v>
      </c>
      <c r="K68" s="188" t="s">
        <v>680</v>
      </c>
      <c r="L68" s="188"/>
      <c r="M68" s="188"/>
      <c r="N68" s="188"/>
      <c r="O68" s="188"/>
      <c r="P68" s="188"/>
      <c r="Q68" s="188"/>
      <c r="R68" s="188"/>
      <c r="S68" s="307"/>
      <c r="T68" s="188"/>
      <c r="U68" s="188"/>
      <c r="V68" s="188"/>
      <c r="W68" s="188"/>
      <c r="X68" s="188"/>
      <c r="Y68" s="188"/>
      <c r="Z68" s="188"/>
      <c r="AA68" s="188"/>
      <c r="AB68" s="188"/>
    </row>
    <row r="69" spans="1:28" ht="12.75" hidden="1" customHeight="1">
      <c r="A69" s="5"/>
      <c r="B69" s="5"/>
      <c r="C69" s="5"/>
      <c r="D69" s="5"/>
      <c r="E69" s="188" t="s">
        <v>55</v>
      </c>
      <c r="F69" s="188" t="s">
        <v>3084</v>
      </c>
      <c r="G69" s="188" t="s">
        <v>329</v>
      </c>
      <c r="H69" s="188" t="s">
        <v>243</v>
      </c>
      <c r="I69" s="188"/>
      <c r="J69" s="306">
        <v>38</v>
      </c>
      <c r="K69" s="188" t="s">
        <v>680</v>
      </c>
      <c r="L69" s="188"/>
      <c r="M69" s="188"/>
      <c r="N69" s="188"/>
      <c r="O69" s="188"/>
      <c r="P69" s="188"/>
      <c r="Q69" s="188"/>
      <c r="R69" s="188"/>
      <c r="S69" s="307"/>
      <c r="T69" s="188"/>
      <c r="U69" s="188"/>
      <c r="V69" s="188"/>
      <c r="W69" s="188"/>
      <c r="X69" s="188"/>
      <c r="Y69" s="188"/>
      <c r="Z69" s="188"/>
      <c r="AA69" s="188"/>
      <c r="AB69" s="188"/>
    </row>
    <row r="70" spans="1:28" ht="12.75" hidden="1" customHeight="1">
      <c r="A70" s="5"/>
      <c r="B70" s="5"/>
      <c r="C70" s="5"/>
      <c r="D70" s="5"/>
      <c r="E70" s="188" t="s">
        <v>55</v>
      </c>
      <c r="F70" s="188" t="s">
        <v>3085</v>
      </c>
      <c r="G70" s="188" t="s">
        <v>329</v>
      </c>
      <c r="H70" s="188" t="s">
        <v>243</v>
      </c>
      <c r="I70" s="188"/>
      <c r="J70" s="306">
        <v>72</v>
      </c>
      <c r="K70" s="188" t="s">
        <v>680</v>
      </c>
      <c r="L70" s="188"/>
      <c r="M70" s="188"/>
      <c r="N70" s="188"/>
      <c r="O70" s="188"/>
      <c r="P70" s="188"/>
      <c r="Q70" s="188"/>
      <c r="R70" s="188"/>
      <c r="S70" s="307"/>
      <c r="T70" s="188"/>
      <c r="U70" s="188"/>
      <c r="V70" s="188"/>
      <c r="W70" s="188"/>
      <c r="X70" s="188"/>
      <c r="Y70" s="188"/>
      <c r="Z70" s="188"/>
      <c r="AA70" s="188"/>
      <c r="AB70" s="188"/>
    </row>
    <row r="71" spans="1:28" ht="12.75" hidden="1" customHeight="1">
      <c r="A71" s="5"/>
      <c r="B71" s="5"/>
      <c r="C71" s="5"/>
      <c r="D71" s="5"/>
      <c r="E71" s="188" t="s">
        <v>55</v>
      </c>
      <c r="F71" s="188" t="s">
        <v>3086</v>
      </c>
      <c r="G71" s="188" t="s">
        <v>329</v>
      </c>
      <c r="H71" s="188" t="s">
        <v>243</v>
      </c>
      <c r="I71" s="188"/>
      <c r="J71" s="306">
        <v>63</v>
      </c>
      <c r="K71" s="188" t="s">
        <v>680</v>
      </c>
      <c r="L71" s="188"/>
      <c r="M71" s="188"/>
      <c r="N71" s="188"/>
      <c r="O71" s="188"/>
      <c r="P71" s="188"/>
      <c r="Q71" s="188"/>
      <c r="R71" s="188"/>
      <c r="S71" s="307"/>
      <c r="T71" s="188"/>
      <c r="U71" s="188"/>
      <c r="V71" s="188"/>
      <c r="W71" s="188"/>
      <c r="X71" s="188"/>
      <c r="Y71" s="188"/>
      <c r="Z71" s="188"/>
      <c r="AA71" s="188"/>
      <c r="AB71" s="188"/>
    </row>
    <row r="72" spans="1:28" ht="12.75" hidden="1" customHeight="1">
      <c r="A72" s="5"/>
      <c r="B72" s="5"/>
      <c r="C72" s="5"/>
      <c r="D72" s="5"/>
      <c r="E72" s="188" t="s">
        <v>55</v>
      </c>
      <c r="F72" s="188" t="s">
        <v>3087</v>
      </c>
      <c r="G72" s="188" t="s">
        <v>329</v>
      </c>
      <c r="H72" s="188" t="s">
        <v>243</v>
      </c>
      <c r="I72" s="188"/>
      <c r="J72" s="306">
        <v>39</v>
      </c>
      <c r="K72" s="188" t="s">
        <v>680</v>
      </c>
      <c r="L72" s="188"/>
      <c r="M72" s="188"/>
      <c r="N72" s="188"/>
      <c r="O72" s="188"/>
      <c r="P72" s="188"/>
      <c r="Q72" s="188"/>
      <c r="R72" s="188"/>
      <c r="S72" s="307"/>
      <c r="T72" s="188"/>
      <c r="U72" s="188"/>
      <c r="V72" s="188"/>
      <c r="W72" s="188"/>
      <c r="X72" s="188"/>
      <c r="Y72" s="188"/>
      <c r="Z72" s="188"/>
      <c r="AA72" s="188"/>
      <c r="AB72" s="188"/>
    </row>
    <row r="73" spans="1:28" ht="12.75" hidden="1" customHeight="1">
      <c r="A73" s="5"/>
      <c r="B73" s="5"/>
      <c r="C73" s="5"/>
      <c r="D73" s="5"/>
      <c r="E73" s="188" t="s">
        <v>55</v>
      </c>
      <c r="F73" s="188" t="s">
        <v>3088</v>
      </c>
      <c r="G73" s="188" t="s">
        <v>329</v>
      </c>
      <c r="H73" s="188" t="s">
        <v>243</v>
      </c>
      <c r="I73" s="188"/>
      <c r="J73" s="306">
        <v>40</v>
      </c>
      <c r="K73" s="188" t="s">
        <v>680</v>
      </c>
      <c r="L73" s="188"/>
      <c r="M73" s="188"/>
      <c r="N73" s="188"/>
      <c r="O73" s="188"/>
      <c r="P73" s="188"/>
      <c r="Q73" s="188"/>
      <c r="R73" s="188"/>
      <c r="S73" s="307"/>
      <c r="T73" s="188"/>
      <c r="U73" s="188"/>
      <c r="V73" s="188"/>
      <c r="W73" s="188"/>
      <c r="X73" s="188"/>
      <c r="Y73" s="188"/>
      <c r="Z73" s="188"/>
      <c r="AA73" s="188"/>
      <c r="AB73" s="188"/>
    </row>
    <row r="74" spans="1:28" ht="12.75" hidden="1" customHeight="1">
      <c r="A74" s="5"/>
      <c r="B74" s="5"/>
      <c r="C74" s="5"/>
      <c r="D74" s="5"/>
      <c r="E74" s="188" t="s">
        <v>55</v>
      </c>
      <c r="F74" s="188" t="s">
        <v>3089</v>
      </c>
      <c r="G74" s="188" t="s">
        <v>329</v>
      </c>
      <c r="H74" s="188" t="s">
        <v>243</v>
      </c>
      <c r="I74" s="188"/>
      <c r="J74" s="306">
        <v>41</v>
      </c>
      <c r="K74" s="188" t="s">
        <v>680</v>
      </c>
      <c r="L74" s="188"/>
      <c r="M74" s="188"/>
      <c r="N74" s="188"/>
      <c r="O74" s="188"/>
      <c r="P74" s="188"/>
      <c r="Q74" s="188"/>
      <c r="R74" s="188"/>
      <c r="S74" s="307"/>
      <c r="T74" s="188"/>
      <c r="U74" s="188"/>
      <c r="V74" s="188"/>
      <c r="W74" s="188"/>
      <c r="X74" s="188"/>
      <c r="Y74" s="188"/>
      <c r="Z74" s="188"/>
      <c r="AA74" s="188"/>
      <c r="AB74" s="188"/>
    </row>
    <row r="75" spans="1:28" ht="12.75" hidden="1" customHeight="1">
      <c r="A75" s="5"/>
      <c r="B75" s="5"/>
      <c r="C75" s="5"/>
      <c r="D75" s="5"/>
      <c r="E75" s="188" t="s">
        <v>55</v>
      </c>
      <c r="F75" s="188" t="s">
        <v>3090</v>
      </c>
      <c r="G75" s="188" t="s">
        <v>329</v>
      </c>
      <c r="H75" s="188" t="s">
        <v>243</v>
      </c>
      <c r="I75" s="188"/>
      <c r="J75" s="306">
        <v>42</v>
      </c>
      <c r="K75" s="188" t="s">
        <v>680</v>
      </c>
      <c r="L75" s="188"/>
      <c r="M75" s="188"/>
      <c r="N75" s="188"/>
      <c r="O75" s="188"/>
      <c r="P75" s="188"/>
      <c r="Q75" s="188"/>
      <c r="R75" s="188"/>
      <c r="S75" s="307"/>
      <c r="T75" s="188"/>
      <c r="U75" s="188"/>
      <c r="V75" s="188"/>
      <c r="W75" s="188"/>
      <c r="X75" s="188"/>
      <c r="Y75" s="188"/>
      <c r="Z75" s="188"/>
      <c r="AA75" s="188"/>
      <c r="AB75" s="188"/>
    </row>
    <row r="76" spans="1:28" ht="12.75" hidden="1" customHeight="1">
      <c r="A76" s="5"/>
      <c r="B76" s="5"/>
      <c r="C76" s="5"/>
      <c r="D76" s="5"/>
      <c r="E76" s="188" t="s">
        <v>55</v>
      </c>
      <c r="F76" s="188" t="s">
        <v>3091</v>
      </c>
      <c r="G76" s="188" t="s">
        <v>329</v>
      </c>
      <c r="H76" s="188" t="s">
        <v>243</v>
      </c>
      <c r="I76" s="188"/>
      <c r="J76" s="306">
        <v>43</v>
      </c>
      <c r="K76" s="188" t="s">
        <v>680</v>
      </c>
      <c r="L76" s="188"/>
      <c r="M76" s="188"/>
      <c r="N76" s="188"/>
      <c r="O76" s="188"/>
      <c r="P76" s="188"/>
      <c r="Q76" s="188"/>
      <c r="R76" s="188"/>
      <c r="S76" s="307"/>
      <c r="T76" s="188"/>
      <c r="U76" s="188"/>
      <c r="V76" s="188"/>
      <c r="W76" s="188"/>
      <c r="X76" s="188"/>
      <c r="Y76" s="188"/>
      <c r="Z76" s="188"/>
      <c r="AA76" s="188"/>
      <c r="AB76" s="188"/>
    </row>
    <row r="77" spans="1:28" ht="12.75" hidden="1" customHeight="1">
      <c r="A77" s="5"/>
      <c r="B77" s="5"/>
      <c r="C77" s="5"/>
      <c r="D77" s="5"/>
      <c r="E77" s="188" t="s">
        <v>55</v>
      </c>
      <c r="F77" s="188" t="s">
        <v>404</v>
      </c>
      <c r="G77" s="188" t="s">
        <v>329</v>
      </c>
      <c r="H77" s="188" t="s">
        <v>243</v>
      </c>
      <c r="I77" s="188"/>
      <c r="J77" s="306">
        <v>44</v>
      </c>
      <c r="K77" s="188" t="s">
        <v>680</v>
      </c>
      <c r="L77" s="188"/>
      <c r="M77" s="188"/>
      <c r="N77" s="188"/>
      <c r="O77" s="188"/>
      <c r="P77" s="188"/>
      <c r="Q77" s="188"/>
      <c r="R77" s="188"/>
      <c r="S77" s="307"/>
      <c r="T77" s="188"/>
      <c r="U77" s="188"/>
      <c r="V77" s="188"/>
      <c r="W77" s="188"/>
      <c r="X77" s="188"/>
      <c r="Y77" s="188"/>
      <c r="Z77" s="188"/>
      <c r="AA77" s="188"/>
      <c r="AB77" s="188"/>
    </row>
    <row r="78" spans="1:28" ht="12.75" hidden="1" customHeight="1">
      <c r="A78" s="5"/>
      <c r="B78" s="5"/>
      <c r="C78" s="5"/>
      <c r="D78" s="5"/>
      <c r="E78" s="188" t="s">
        <v>55</v>
      </c>
      <c r="F78" s="188" t="s">
        <v>3092</v>
      </c>
      <c r="G78" s="188" t="s">
        <v>329</v>
      </c>
      <c r="H78" s="188" t="s">
        <v>243</v>
      </c>
      <c r="I78" s="188"/>
      <c r="J78" s="306">
        <v>61</v>
      </c>
      <c r="K78" s="188" t="s">
        <v>680</v>
      </c>
      <c r="L78" s="188"/>
      <c r="M78" s="188"/>
      <c r="N78" s="188"/>
      <c r="O78" s="188"/>
      <c r="P78" s="188"/>
      <c r="Q78" s="188"/>
      <c r="R78" s="188"/>
      <c r="S78" s="307"/>
      <c r="T78" s="188"/>
      <c r="U78" s="188"/>
      <c r="V78" s="188"/>
      <c r="W78" s="188"/>
      <c r="X78" s="188"/>
      <c r="Y78" s="188"/>
      <c r="Z78" s="188"/>
      <c r="AA78" s="188"/>
      <c r="AB78" s="188"/>
    </row>
    <row r="79" spans="1:28" ht="12.75" hidden="1" customHeight="1">
      <c r="A79" s="5"/>
      <c r="B79" s="5"/>
      <c r="C79" s="5"/>
      <c r="D79" s="5"/>
      <c r="E79" s="188" t="s">
        <v>55</v>
      </c>
      <c r="F79" s="188" t="s">
        <v>3093</v>
      </c>
      <c r="G79" s="188" t="s">
        <v>329</v>
      </c>
      <c r="H79" s="188" t="s">
        <v>243</v>
      </c>
      <c r="I79" s="188"/>
      <c r="J79" s="306">
        <v>45</v>
      </c>
      <c r="K79" s="188" t="s">
        <v>680</v>
      </c>
      <c r="L79" s="188"/>
      <c r="M79" s="188"/>
      <c r="N79" s="188"/>
      <c r="O79" s="188"/>
      <c r="P79" s="188"/>
      <c r="Q79" s="188"/>
      <c r="R79" s="188"/>
      <c r="S79" s="307"/>
      <c r="T79" s="188"/>
      <c r="U79" s="188"/>
      <c r="V79" s="188"/>
      <c r="W79" s="188"/>
      <c r="X79" s="188"/>
      <c r="Y79" s="188"/>
      <c r="Z79" s="188"/>
      <c r="AA79" s="188"/>
      <c r="AB79" s="188"/>
    </row>
    <row r="80" spans="1:28" ht="12.75" hidden="1" customHeight="1">
      <c r="A80" s="5"/>
      <c r="B80" s="5"/>
      <c r="C80" s="5"/>
      <c r="D80" s="5"/>
      <c r="E80" s="188" t="s">
        <v>55</v>
      </c>
      <c r="F80" s="188" t="s">
        <v>3094</v>
      </c>
      <c r="G80" s="188" t="s">
        <v>329</v>
      </c>
      <c r="H80" s="188" t="s">
        <v>243</v>
      </c>
      <c r="I80" s="188"/>
      <c r="J80" s="306">
        <v>46</v>
      </c>
      <c r="K80" s="188" t="s">
        <v>680</v>
      </c>
      <c r="L80" s="188"/>
      <c r="M80" s="188"/>
      <c r="N80" s="188"/>
      <c r="O80" s="188"/>
      <c r="P80" s="188"/>
      <c r="Q80" s="188"/>
      <c r="R80" s="188"/>
      <c r="S80" s="307"/>
      <c r="T80" s="188"/>
      <c r="U80" s="188"/>
      <c r="V80" s="188"/>
      <c r="W80" s="188"/>
      <c r="X80" s="188"/>
      <c r="Y80" s="188"/>
      <c r="Z80" s="188"/>
      <c r="AA80" s="188"/>
      <c r="AB80" s="188"/>
    </row>
    <row r="81" spans="1:28" ht="12.75" hidden="1" customHeight="1">
      <c r="A81" s="5"/>
      <c r="B81" s="5"/>
      <c r="C81" s="5"/>
      <c r="D81" s="5"/>
      <c r="E81" s="188" t="s">
        <v>55</v>
      </c>
      <c r="F81" s="188" t="s">
        <v>3095</v>
      </c>
      <c r="G81" s="188" t="s">
        <v>329</v>
      </c>
      <c r="H81" s="188" t="s">
        <v>243</v>
      </c>
      <c r="I81" s="188"/>
      <c r="J81" s="306">
        <v>69</v>
      </c>
      <c r="K81" s="188" t="s">
        <v>680</v>
      </c>
      <c r="L81" s="188"/>
      <c r="M81" s="188"/>
      <c r="N81" s="188"/>
      <c r="O81" s="188"/>
      <c r="P81" s="188"/>
      <c r="Q81" s="188"/>
      <c r="R81" s="308"/>
      <c r="S81" s="307"/>
      <c r="T81" s="188"/>
      <c r="U81" s="188"/>
      <c r="V81" s="188"/>
      <c r="W81" s="188"/>
      <c r="X81" s="188"/>
      <c r="Y81" s="188"/>
      <c r="Z81" s="188"/>
      <c r="AA81" s="188"/>
      <c r="AB81" s="188"/>
    </row>
    <row r="82" spans="1:28" ht="12.75" hidden="1" customHeight="1">
      <c r="A82" s="5"/>
      <c r="B82" s="5"/>
      <c r="C82" s="5"/>
      <c r="D82" s="5"/>
      <c r="E82" s="188" t="s">
        <v>55</v>
      </c>
      <c r="F82" s="188" t="s">
        <v>3096</v>
      </c>
      <c r="G82" s="188" t="s">
        <v>329</v>
      </c>
      <c r="H82" s="188" t="s">
        <v>243</v>
      </c>
      <c r="I82" s="188"/>
      <c r="J82" s="306">
        <v>47</v>
      </c>
      <c r="K82" s="188" t="s">
        <v>680</v>
      </c>
      <c r="L82" s="188"/>
      <c r="M82" s="188"/>
      <c r="N82" s="188"/>
      <c r="O82" s="188"/>
      <c r="P82" s="188"/>
      <c r="Q82" s="188"/>
      <c r="R82" s="188"/>
      <c r="S82" s="307"/>
      <c r="T82" s="188"/>
      <c r="U82" s="188"/>
      <c r="V82" s="188"/>
      <c r="W82" s="188"/>
      <c r="X82" s="188"/>
      <c r="Y82" s="188"/>
      <c r="Z82" s="188"/>
      <c r="AA82" s="188"/>
      <c r="AB82" s="188"/>
    </row>
    <row r="83" spans="1:28" ht="12.75" hidden="1" customHeight="1">
      <c r="A83" s="5"/>
      <c r="B83" s="5"/>
      <c r="C83" s="5"/>
      <c r="D83" s="5"/>
      <c r="E83" s="188" t="s">
        <v>55</v>
      </c>
      <c r="F83" s="188" t="s">
        <v>3097</v>
      </c>
      <c r="G83" s="188" t="s">
        <v>329</v>
      </c>
      <c r="H83" s="188" t="s">
        <v>243</v>
      </c>
      <c r="I83" s="188"/>
      <c r="J83" s="306">
        <v>48</v>
      </c>
      <c r="K83" s="188" t="s">
        <v>680</v>
      </c>
      <c r="L83" s="188"/>
      <c r="M83" s="188"/>
      <c r="N83" s="188"/>
      <c r="O83" s="188"/>
      <c r="P83" s="188"/>
      <c r="Q83" s="188"/>
      <c r="R83" s="188"/>
      <c r="S83" s="307"/>
      <c r="T83" s="188"/>
      <c r="U83" s="188"/>
      <c r="V83" s="188"/>
      <c r="W83" s="188"/>
      <c r="X83" s="188"/>
      <c r="Y83" s="188"/>
      <c r="Z83" s="188"/>
      <c r="AA83" s="188"/>
      <c r="AB83" s="188"/>
    </row>
    <row r="84" spans="1:28" ht="12.75" hidden="1" customHeight="1">
      <c r="A84" s="5"/>
      <c r="B84" s="5"/>
      <c r="C84" s="5"/>
      <c r="D84" s="5"/>
      <c r="E84" s="188" t="s">
        <v>55</v>
      </c>
      <c r="F84" s="188" t="s">
        <v>3098</v>
      </c>
      <c r="G84" s="188" t="s">
        <v>329</v>
      </c>
      <c r="H84" s="188" t="s">
        <v>243</v>
      </c>
      <c r="I84" s="188"/>
      <c r="J84" s="306">
        <v>49</v>
      </c>
      <c r="K84" s="188" t="s">
        <v>680</v>
      </c>
      <c r="L84" s="188"/>
      <c r="M84" s="188"/>
      <c r="N84" s="188"/>
      <c r="O84" s="188"/>
      <c r="P84" s="188"/>
      <c r="Q84" s="188"/>
      <c r="R84" s="188"/>
      <c r="S84" s="307"/>
      <c r="T84" s="188"/>
      <c r="U84" s="188"/>
      <c r="V84" s="188"/>
      <c r="W84" s="188"/>
      <c r="X84" s="188"/>
      <c r="Y84" s="188"/>
      <c r="Z84" s="188"/>
      <c r="AA84" s="188"/>
      <c r="AB84" s="188"/>
    </row>
    <row r="85" spans="1:28" ht="12.75" hidden="1" customHeight="1">
      <c r="A85" s="5"/>
      <c r="B85" s="5"/>
      <c r="C85" s="5"/>
      <c r="D85" s="5"/>
      <c r="E85" s="188" t="s">
        <v>55</v>
      </c>
      <c r="F85" s="188" t="s">
        <v>3099</v>
      </c>
      <c r="G85" s="188" t="s">
        <v>329</v>
      </c>
      <c r="H85" s="188" t="s">
        <v>243</v>
      </c>
      <c r="I85" s="188"/>
      <c r="J85" s="306">
        <v>50</v>
      </c>
      <c r="K85" s="188" t="s">
        <v>680</v>
      </c>
      <c r="L85" s="188"/>
      <c r="M85" s="188"/>
      <c r="N85" s="188"/>
      <c r="O85" s="188"/>
      <c r="P85" s="188"/>
      <c r="Q85" s="188"/>
      <c r="R85" s="188"/>
      <c r="S85" s="307"/>
      <c r="T85" s="188"/>
      <c r="U85" s="188"/>
      <c r="V85" s="188"/>
      <c r="W85" s="188"/>
      <c r="X85" s="188"/>
      <c r="Y85" s="188"/>
      <c r="Z85" s="188"/>
      <c r="AA85" s="188"/>
      <c r="AB85" s="188"/>
    </row>
    <row r="86" spans="1:28" ht="12.75" hidden="1" customHeight="1">
      <c r="A86" s="5"/>
      <c r="B86" s="5"/>
      <c r="C86" s="5"/>
      <c r="D86" s="5"/>
      <c r="E86" s="188" t="s">
        <v>55</v>
      </c>
      <c r="F86" s="188" t="s">
        <v>3100</v>
      </c>
      <c r="G86" s="188" t="s">
        <v>329</v>
      </c>
      <c r="H86" s="188" t="s">
        <v>243</v>
      </c>
      <c r="I86" s="188"/>
      <c r="J86" s="306">
        <v>74</v>
      </c>
      <c r="K86" s="188" t="s">
        <v>680</v>
      </c>
      <c r="L86" s="188"/>
      <c r="M86" s="188"/>
      <c r="N86" s="188"/>
      <c r="O86" s="188"/>
      <c r="P86" s="188"/>
      <c r="Q86" s="188"/>
      <c r="R86" s="188"/>
      <c r="S86" s="307"/>
      <c r="T86" s="188"/>
      <c r="U86" s="188"/>
      <c r="V86" s="188"/>
      <c r="W86" s="188"/>
      <c r="X86" s="188"/>
      <c r="Y86" s="188"/>
      <c r="Z86" s="188"/>
      <c r="AA86" s="188"/>
      <c r="AB86" s="188"/>
    </row>
    <row r="87" spans="1:28" ht="12.75" hidden="1" customHeight="1">
      <c r="A87" s="5"/>
      <c r="B87" s="5"/>
      <c r="C87" s="5"/>
      <c r="D87" s="5"/>
      <c r="E87" s="188" t="s">
        <v>55</v>
      </c>
      <c r="F87" s="188" t="s">
        <v>3101</v>
      </c>
      <c r="G87" s="188" t="s">
        <v>329</v>
      </c>
      <c r="H87" s="188" t="s">
        <v>243</v>
      </c>
      <c r="I87" s="188"/>
      <c r="J87" s="306">
        <v>65</v>
      </c>
      <c r="K87" s="188" t="s">
        <v>680</v>
      </c>
      <c r="L87" s="188"/>
      <c r="M87" s="188"/>
      <c r="N87" s="188"/>
      <c r="O87" s="188"/>
      <c r="P87" s="188"/>
      <c r="Q87" s="188"/>
      <c r="R87" s="308"/>
      <c r="S87" s="307"/>
      <c r="T87" s="188"/>
      <c r="U87" s="188"/>
      <c r="V87" s="188"/>
      <c r="W87" s="188"/>
      <c r="X87" s="188"/>
      <c r="Y87" s="188"/>
      <c r="Z87" s="188"/>
      <c r="AA87" s="188"/>
      <c r="AB87" s="188"/>
    </row>
    <row r="88" spans="1:28" ht="12.75" hidden="1" customHeight="1">
      <c r="A88" s="5"/>
      <c r="B88" s="5"/>
      <c r="C88" s="5"/>
      <c r="D88" s="5"/>
      <c r="E88" s="188" t="s">
        <v>55</v>
      </c>
      <c r="F88" s="188" t="s">
        <v>3102</v>
      </c>
      <c r="G88" s="188" t="s">
        <v>329</v>
      </c>
      <c r="H88" s="188" t="s">
        <v>243</v>
      </c>
      <c r="I88" s="188"/>
      <c r="J88" s="306">
        <v>51</v>
      </c>
      <c r="K88" s="188" t="s">
        <v>680</v>
      </c>
      <c r="L88" s="188"/>
      <c r="M88" s="188"/>
      <c r="N88" s="188"/>
      <c r="O88" s="188"/>
      <c r="P88" s="188"/>
      <c r="Q88" s="188"/>
      <c r="R88" s="188"/>
      <c r="S88" s="307"/>
      <c r="T88" s="188"/>
      <c r="U88" s="188"/>
      <c r="V88" s="188"/>
      <c r="W88" s="188"/>
      <c r="X88" s="188"/>
      <c r="Y88" s="188"/>
      <c r="Z88" s="188"/>
      <c r="AA88" s="188"/>
      <c r="AB88" s="188"/>
    </row>
    <row r="89" spans="1:28" ht="12.75" hidden="1" customHeight="1">
      <c r="A89" s="5"/>
      <c r="B89" s="5"/>
      <c r="C89" s="5"/>
      <c r="D89" s="5"/>
      <c r="E89" s="188" t="s">
        <v>55</v>
      </c>
      <c r="F89" s="188" t="s">
        <v>3103</v>
      </c>
      <c r="G89" s="188" t="s">
        <v>329</v>
      </c>
      <c r="H89" s="188" t="s">
        <v>243</v>
      </c>
      <c r="I89" s="188"/>
      <c r="J89" s="306">
        <v>52</v>
      </c>
      <c r="K89" s="188" t="s">
        <v>680</v>
      </c>
      <c r="L89" s="188"/>
      <c r="M89" s="188"/>
      <c r="N89" s="188"/>
      <c r="O89" s="188"/>
      <c r="P89" s="188"/>
      <c r="Q89" s="188"/>
      <c r="R89" s="188"/>
      <c r="S89" s="98">
        <v>201.04</v>
      </c>
      <c r="T89" s="188"/>
      <c r="U89" s="188"/>
      <c r="V89" s="188"/>
      <c r="W89" s="188"/>
      <c r="X89" s="188"/>
      <c r="Y89" s="188"/>
      <c r="Z89" s="188"/>
      <c r="AA89" s="188"/>
      <c r="AB89" s="188"/>
    </row>
    <row r="90" spans="1:28" ht="12.75" hidden="1" customHeight="1">
      <c r="A90" s="5"/>
      <c r="B90" s="5"/>
      <c r="C90" s="5"/>
      <c r="D90" s="5"/>
      <c r="E90" s="188" t="s">
        <v>55</v>
      </c>
      <c r="F90" s="188" t="s">
        <v>3104</v>
      </c>
      <c r="G90" s="188" t="s">
        <v>329</v>
      </c>
      <c r="H90" s="188" t="s">
        <v>243</v>
      </c>
      <c r="I90" s="188"/>
      <c r="J90" s="306">
        <v>53</v>
      </c>
      <c r="K90" s="188" t="s">
        <v>680</v>
      </c>
      <c r="L90" s="188"/>
      <c r="M90" s="188"/>
      <c r="N90" s="188"/>
      <c r="O90" s="188"/>
      <c r="P90" s="188"/>
      <c r="Q90" s="188"/>
      <c r="R90" s="188"/>
      <c r="S90" s="307"/>
      <c r="T90" s="188"/>
      <c r="U90" s="188"/>
      <c r="V90" s="188"/>
      <c r="W90" s="188"/>
      <c r="X90" s="188"/>
      <c r="Y90" s="188"/>
      <c r="Z90" s="188"/>
      <c r="AA90" s="188"/>
      <c r="AB90" s="188"/>
    </row>
    <row r="91" spans="1:28" ht="12.75" hidden="1" customHeight="1">
      <c r="A91" s="5"/>
      <c r="B91" s="5"/>
      <c r="C91" s="5"/>
      <c r="D91" s="5"/>
      <c r="E91" s="188" t="s">
        <v>55</v>
      </c>
      <c r="F91" s="188" t="s">
        <v>3105</v>
      </c>
      <c r="G91" s="188" t="s">
        <v>329</v>
      </c>
      <c r="H91" s="188" t="s">
        <v>243</v>
      </c>
      <c r="I91" s="188"/>
      <c r="J91" s="306">
        <v>54</v>
      </c>
      <c r="K91" s="188" t="s">
        <v>680</v>
      </c>
      <c r="L91" s="188"/>
      <c r="M91" s="188"/>
      <c r="N91" s="188"/>
      <c r="O91" s="188"/>
      <c r="P91" s="188"/>
      <c r="Q91" s="188"/>
      <c r="R91" s="188"/>
      <c r="S91" s="307"/>
      <c r="T91" s="188"/>
      <c r="U91" s="188"/>
      <c r="V91" s="188"/>
      <c r="W91" s="188"/>
      <c r="X91" s="188"/>
      <c r="Y91" s="188"/>
      <c r="Z91" s="188"/>
      <c r="AA91" s="188"/>
      <c r="AB91" s="188"/>
    </row>
    <row r="92" spans="1:28" ht="12.75" hidden="1" customHeight="1">
      <c r="A92" s="5"/>
      <c r="B92" s="5"/>
      <c r="C92" s="5"/>
      <c r="D92" s="5"/>
      <c r="E92" s="188" t="s">
        <v>55</v>
      </c>
      <c r="F92" s="188" t="s">
        <v>3106</v>
      </c>
      <c r="G92" s="188" t="s">
        <v>329</v>
      </c>
      <c r="H92" s="188" t="s">
        <v>243</v>
      </c>
      <c r="I92" s="188"/>
      <c r="J92" s="306">
        <v>55</v>
      </c>
      <c r="K92" s="188" t="s">
        <v>680</v>
      </c>
      <c r="L92" s="188"/>
      <c r="M92" s="188"/>
      <c r="N92" s="188"/>
      <c r="O92" s="188"/>
      <c r="P92" s="188"/>
      <c r="Q92" s="188"/>
      <c r="R92" s="188"/>
      <c r="S92" s="307"/>
      <c r="T92" s="188"/>
      <c r="U92" s="188"/>
      <c r="V92" s="188"/>
      <c r="W92" s="188"/>
      <c r="X92" s="188"/>
      <c r="Y92" s="188"/>
      <c r="Z92" s="188"/>
      <c r="AA92" s="188"/>
      <c r="AB92" s="188"/>
    </row>
    <row r="93" spans="1:28" ht="12.75" hidden="1" customHeight="1">
      <c r="A93" s="5"/>
      <c r="B93" s="5"/>
      <c r="C93" s="5"/>
      <c r="D93" s="5"/>
      <c r="E93" s="188" t="s">
        <v>53</v>
      </c>
      <c r="F93" s="188" t="s">
        <v>1189</v>
      </c>
      <c r="G93" s="188" t="s">
        <v>249</v>
      </c>
      <c r="H93" s="188" t="s">
        <v>243</v>
      </c>
      <c r="I93" s="188"/>
      <c r="J93" s="306">
        <v>2</v>
      </c>
      <c r="K93" s="188" t="s">
        <v>680</v>
      </c>
      <c r="L93" s="188"/>
      <c r="M93" s="188"/>
      <c r="N93" s="188"/>
      <c r="O93" s="188"/>
      <c r="P93" s="188"/>
      <c r="Q93" s="188"/>
      <c r="R93" s="188"/>
      <c r="S93" s="307"/>
      <c r="T93" s="56" t="s">
        <v>1190</v>
      </c>
      <c r="U93" s="188"/>
      <c r="V93" s="188"/>
      <c r="W93" s="188"/>
      <c r="X93" s="188"/>
      <c r="Y93" s="188"/>
      <c r="Z93" s="188"/>
      <c r="AA93" s="188"/>
      <c r="AB93" s="188"/>
    </row>
    <row r="94" spans="1:28" ht="12.75" hidden="1" customHeight="1">
      <c r="A94" s="5"/>
      <c r="B94" s="5"/>
      <c r="C94" s="5"/>
      <c r="D94" s="5"/>
      <c r="E94" s="188" t="s">
        <v>53</v>
      </c>
      <c r="F94" s="188" t="s">
        <v>1191</v>
      </c>
      <c r="G94" s="188" t="s">
        <v>252</v>
      </c>
      <c r="H94" s="188" t="s">
        <v>243</v>
      </c>
      <c r="I94" s="188"/>
      <c r="J94" s="306">
        <v>3</v>
      </c>
      <c r="K94" s="188" t="s">
        <v>680</v>
      </c>
      <c r="L94" s="188"/>
      <c r="M94" s="188"/>
      <c r="N94" s="188"/>
      <c r="O94" s="188"/>
      <c r="P94" s="188"/>
      <c r="Q94" s="188"/>
      <c r="R94" s="188"/>
      <c r="S94" s="307"/>
      <c r="T94" s="56" t="s">
        <v>1190</v>
      </c>
      <c r="U94" s="188"/>
      <c r="V94" s="188"/>
      <c r="W94" s="188"/>
      <c r="X94" s="188"/>
      <c r="Y94" s="188"/>
      <c r="Z94" s="188"/>
      <c r="AA94" s="188"/>
      <c r="AB94" s="188"/>
    </row>
    <row r="95" spans="1:28" ht="12.75" hidden="1" customHeight="1">
      <c r="A95" s="5"/>
      <c r="B95" s="5"/>
      <c r="C95" s="5"/>
      <c r="D95" s="5"/>
      <c r="E95" s="188" t="s">
        <v>53</v>
      </c>
      <c r="F95" s="188" t="s">
        <v>1192</v>
      </c>
      <c r="G95" s="188" t="s">
        <v>242</v>
      </c>
      <c r="H95" s="188" t="s">
        <v>243</v>
      </c>
      <c r="I95" s="188"/>
      <c r="J95" s="306">
        <v>4</v>
      </c>
      <c r="K95" s="188" t="s">
        <v>680</v>
      </c>
      <c r="L95" s="188"/>
      <c r="M95" s="188"/>
      <c r="N95" s="188"/>
      <c r="O95" s="188"/>
      <c r="P95" s="188"/>
      <c r="Q95" s="188"/>
      <c r="R95" s="188"/>
      <c r="S95" s="307"/>
      <c r="T95" s="56" t="s">
        <v>1190</v>
      </c>
      <c r="U95" s="188"/>
      <c r="V95" s="188"/>
      <c r="W95" s="188"/>
      <c r="X95" s="188"/>
      <c r="Y95" s="188"/>
      <c r="Z95" s="188"/>
      <c r="AA95" s="188"/>
      <c r="AB95" s="188"/>
    </row>
    <row r="96" spans="1:28" ht="12.75" hidden="1" customHeight="1">
      <c r="A96" s="5"/>
      <c r="B96" s="5"/>
      <c r="C96" s="5"/>
      <c r="D96" s="5"/>
      <c r="E96" s="188" t="s">
        <v>53</v>
      </c>
      <c r="F96" s="188" t="s">
        <v>1193</v>
      </c>
      <c r="G96" s="188" t="s">
        <v>247</v>
      </c>
      <c r="H96" s="188" t="s">
        <v>243</v>
      </c>
      <c r="I96" s="188"/>
      <c r="J96" s="306">
        <v>5</v>
      </c>
      <c r="K96" s="188" t="s">
        <v>680</v>
      </c>
      <c r="L96" s="188"/>
      <c r="M96" s="188"/>
      <c r="N96" s="188"/>
      <c r="O96" s="188"/>
      <c r="P96" s="188"/>
      <c r="Q96" s="188"/>
      <c r="R96" s="188"/>
      <c r="S96" s="307"/>
      <c r="T96" s="56" t="s">
        <v>1190</v>
      </c>
      <c r="U96" s="188"/>
      <c r="V96" s="188"/>
      <c r="W96" s="188"/>
      <c r="X96" s="188"/>
      <c r="Y96" s="188"/>
      <c r="Z96" s="188"/>
      <c r="AA96" s="188"/>
      <c r="AB96" s="188"/>
    </row>
    <row r="97" spans="1:28" ht="12.75" hidden="1" customHeight="1">
      <c r="A97" s="5"/>
      <c r="B97" s="5"/>
      <c r="C97" s="5"/>
      <c r="D97" s="5"/>
      <c r="E97" s="188" t="s">
        <v>53</v>
      </c>
      <c r="F97" s="188" t="s">
        <v>1194</v>
      </c>
      <c r="G97" s="188" t="s">
        <v>252</v>
      </c>
      <c r="H97" s="188" t="s">
        <v>243</v>
      </c>
      <c r="I97" s="188"/>
      <c r="J97" s="306">
        <v>6</v>
      </c>
      <c r="K97" s="188" t="s">
        <v>680</v>
      </c>
      <c r="L97" s="188"/>
      <c r="M97" s="188"/>
      <c r="N97" s="188"/>
      <c r="O97" s="188"/>
      <c r="P97" s="188"/>
      <c r="Q97" s="188"/>
      <c r="R97" s="188"/>
      <c r="S97" s="307"/>
      <c r="T97" s="56" t="s">
        <v>1190</v>
      </c>
      <c r="U97" s="188"/>
      <c r="V97" s="188"/>
      <c r="W97" s="188"/>
      <c r="X97" s="188"/>
      <c r="Y97" s="188"/>
      <c r="Z97" s="188"/>
      <c r="AA97" s="188"/>
      <c r="AB97" s="188"/>
    </row>
    <row r="98" spans="1:28" ht="12.75" hidden="1" customHeight="1">
      <c r="A98" s="5"/>
      <c r="B98" s="5"/>
      <c r="C98" s="5"/>
      <c r="D98" s="5"/>
      <c r="E98" s="188" t="s">
        <v>53</v>
      </c>
      <c r="F98" s="188" t="s">
        <v>1195</v>
      </c>
      <c r="G98" s="188" t="s">
        <v>247</v>
      </c>
      <c r="H98" s="188" t="s">
        <v>243</v>
      </c>
      <c r="I98" s="188"/>
      <c r="J98" s="306">
        <v>7</v>
      </c>
      <c r="K98" s="188" t="s">
        <v>680</v>
      </c>
      <c r="L98" s="188"/>
      <c r="M98" s="188"/>
      <c r="N98" s="188"/>
      <c r="O98" s="188"/>
      <c r="P98" s="188"/>
      <c r="Q98" s="188"/>
      <c r="R98" s="308"/>
      <c r="S98" s="307"/>
      <c r="T98" s="56" t="s">
        <v>1190</v>
      </c>
      <c r="U98" s="188"/>
      <c r="V98" s="188"/>
      <c r="W98" s="188"/>
      <c r="X98" s="188"/>
      <c r="Y98" s="188"/>
      <c r="Z98" s="188"/>
      <c r="AA98" s="188"/>
      <c r="AB98" s="188"/>
    </row>
    <row r="99" spans="1:28" ht="12.75" hidden="1" customHeight="1">
      <c r="A99" s="5"/>
      <c r="B99" s="5"/>
      <c r="C99" s="5"/>
      <c r="D99" s="5"/>
      <c r="E99" s="188" t="s">
        <v>53</v>
      </c>
      <c r="F99" s="188" t="s">
        <v>1196</v>
      </c>
      <c r="G99" s="188" t="s">
        <v>535</v>
      </c>
      <c r="H99" s="188" t="s">
        <v>903</v>
      </c>
      <c r="I99" s="188"/>
      <c r="J99" s="306">
        <v>8</v>
      </c>
      <c r="K99" s="188" t="s">
        <v>680</v>
      </c>
      <c r="L99" s="188"/>
      <c r="M99" s="188"/>
      <c r="N99" s="188"/>
      <c r="O99" s="188"/>
      <c r="P99" s="188"/>
      <c r="Q99" s="188"/>
      <c r="R99" s="308"/>
      <c r="S99" s="307"/>
      <c r="T99" s="56" t="s">
        <v>1190</v>
      </c>
      <c r="U99" s="188"/>
      <c r="V99" s="188"/>
      <c r="W99" s="188"/>
      <c r="X99" s="188"/>
      <c r="Y99" s="188"/>
      <c r="Z99" s="188"/>
      <c r="AA99" s="188"/>
      <c r="AB99" s="188"/>
    </row>
    <row r="100" spans="1:28" ht="12.75" hidden="1" customHeight="1">
      <c r="A100" s="5"/>
      <c r="B100" s="5"/>
      <c r="C100" s="5"/>
      <c r="D100" s="5"/>
      <c r="E100" s="188" t="s">
        <v>53</v>
      </c>
      <c r="F100" s="188" t="s">
        <v>124</v>
      </c>
      <c r="G100" s="188" t="s">
        <v>535</v>
      </c>
      <c r="H100" s="188" t="s">
        <v>903</v>
      </c>
      <c r="I100" s="188"/>
      <c r="J100" s="306">
        <v>1</v>
      </c>
      <c r="K100" s="188" t="s">
        <v>680</v>
      </c>
      <c r="L100" s="188"/>
      <c r="M100" s="188"/>
      <c r="N100" s="188"/>
      <c r="O100" s="188"/>
      <c r="P100" s="188"/>
      <c r="Q100" s="188"/>
      <c r="R100" s="188"/>
      <c r="S100" s="307"/>
      <c r="T100" s="56" t="s">
        <v>1190</v>
      </c>
      <c r="U100" s="188"/>
      <c r="V100" s="188"/>
      <c r="W100" s="188"/>
      <c r="X100" s="188"/>
      <c r="Y100" s="188"/>
      <c r="Z100" s="188"/>
      <c r="AA100" s="188"/>
      <c r="AB100" s="188"/>
    </row>
    <row r="101" spans="1:28" ht="25">
      <c r="A101" s="43"/>
      <c r="B101" s="43"/>
      <c r="C101" s="43"/>
      <c r="D101" s="43"/>
      <c r="E101" s="441" t="s">
        <v>53</v>
      </c>
      <c r="F101" s="441" t="s">
        <v>2352</v>
      </c>
      <c r="G101" s="441" t="s">
        <v>535</v>
      </c>
      <c r="H101" s="441" t="s">
        <v>903</v>
      </c>
      <c r="I101" s="441"/>
      <c r="J101" s="382">
        <v>57</v>
      </c>
      <c r="K101" s="441" t="s">
        <v>682</v>
      </c>
      <c r="L101" s="441" t="s">
        <v>2997</v>
      </c>
      <c r="M101" s="441" t="s">
        <v>3107</v>
      </c>
      <c r="N101" s="441"/>
      <c r="O101" s="441"/>
      <c r="P101" s="441"/>
      <c r="Q101" s="441"/>
      <c r="R101" s="441"/>
      <c r="S101" s="148"/>
      <c r="T101" s="441" t="s">
        <v>1190</v>
      </c>
      <c r="U101" s="441"/>
      <c r="V101" s="441"/>
      <c r="W101" s="441"/>
      <c r="X101" s="441"/>
      <c r="Y101" s="441"/>
      <c r="Z101" s="441" t="s">
        <v>3108</v>
      </c>
      <c r="AA101" s="441"/>
      <c r="AB101" s="441" t="s">
        <v>3109</v>
      </c>
    </row>
  </sheetData>
  <autoFilter ref="A2:AB101" xr:uid="{00000000-0009-0000-0000-00000F000000}">
    <filterColumn colId="10">
      <filters>
        <filter val="Y"/>
      </filters>
    </filterColumn>
  </autoFilter>
  <customSheetViews>
    <customSheetView guid="{5AED5CC6-BADE-4D41-B3E1-C21683AD65CD}" filter="1" showAutoFilter="1">
      <pageMargins left="0" right="0" top="0" bottom="0" header="0" footer="0"/>
      <autoFilter ref="E1:U101" xr:uid="{2D8C2596-923F-4B92-B3F1-247E24560D0F}">
        <filterColumn colId="7">
          <filters>
            <filter val="BM_STD_MMDDYYYYHHmmSS, BM_NONSTD_MMDDYYYYHHmmSS, BM_ACCTPRODUCT_MMDDYYYYHHmmSS"/>
            <filter val="FileName or Source"/>
            <filter val="Lookup"/>
          </filters>
        </filterColumn>
      </autoFilter>
      <extLst>
        <ext uri="GoogleSheetsCustomDataVersion1">
          <go:sheetsCustomData xmlns:go="http://customooxmlschemas.google.com/" filterViewId="302966266"/>
        </ext>
      </extLst>
    </customSheetView>
  </customSheetViews>
  <conditionalFormatting sqref="I10:J10 O10 Q10 I14:J14 O14 Q14 I16:J20 O16:O20 Q16:Q20">
    <cfRule type="cellIs" dxfId="17" priority="1" operator="equal">
      <formula>1</formula>
    </cfRule>
  </conditionalFormatting>
  <pageMargins left="0.7" right="0.7" top="0.75" bottom="0.75" header="0" footer="0"/>
  <pageSetup orientation="landscape"/>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filterMode="1">
    <outlinePr summaryBelow="0" summaryRight="0"/>
  </sheetPr>
  <dimension ref="A1:AB193"/>
  <sheetViews>
    <sheetView workbookViewId="0">
      <selection activeCell="C1" sqref="C1"/>
    </sheetView>
  </sheetViews>
  <sheetFormatPr defaultColWidth="14.453125" defaultRowHeight="15" customHeight="1"/>
  <cols>
    <col min="1" max="1" width="26.1796875" customWidth="1"/>
    <col min="2" max="2" width="32.7265625" customWidth="1"/>
    <col min="3" max="3" width="21.7265625" customWidth="1"/>
    <col min="8" max="8" width="21.453125" customWidth="1"/>
    <col min="9" max="9" width="38.453125" customWidth="1"/>
    <col min="10" max="10" width="45.453125" customWidth="1"/>
    <col min="13" max="13" width="49.453125" customWidth="1"/>
  </cols>
  <sheetData>
    <row r="1" spans="1:28" ht="13">
      <c r="A1" s="99" t="s">
        <v>3110</v>
      </c>
      <c r="B1" s="100"/>
      <c r="C1" s="100"/>
      <c r="D1" s="100"/>
      <c r="E1" s="100"/>
      <c r="F1" s="100"/>
      <c r="G1" s="100"/>
      <c r="H1" s="100"/>
      <c r="I1" s="100"/>
      <c r="J1" s="100"/>
      <c r="K1" s="100"/>
      <c r="L1" s="100"/>
      <c r="M1" s="100"/>
      <c r="N1" s="100"/>
      <c r="O1" s="100"/>
      <c r="P1" s="100"/>
      <c r="Q1" s="100"/>
      <c r="R1" s="100"/>
      <c r="S1" s="100"/>
      <c r="T1" s="100"/>
      <c r="U1" s="100"/>
      <c r="V1" s="100"/>
      <c r="W1" s="100"/>
      <c r="X1" s="100"/>
      <c r="Y1" s="100"/>
      <c r="Z1" s="100"/>
      <c r="AA1" s="100"/>
      <c r="AB1" s="100"/>
    </row>
    <row r="2" spans="1:28" ht="13">
      <c r="A2" s="100"/>
      <c r="B2" s="100"/>
      <c r="C2" s="100"/>
      <c r="D2" s="100"/>
      <c r="E2" s="100"/>
      <c r="F2" s="100"/>
      <c r="G2" s="310"/>
      <c r="H2" s="310"/>
      <c r="I2" s="310"/>
      <c r="J2" s="310"/>
      <c r="K2" s="100"/>
      <c r="L2" s="100"/>
      <c r="M2" s="100"/>
      <c r="N2" s="100"/>
      <c r="O2" s="100"/>
      <c r="P2" s="100"/>
      <c r="Q2" s="100"/>
      <c r="R2" s="100"/>
      <c r="S2" s="100"/>
      <c r="T2" s="100"/>
      <c r="U2" s="100"/>
      <c r="V2" s="100"/>
      <c r="W2" s="100"/>
      <c r="X2" s="100"/>
      <c r="Y2" s="100"/>
      <c r="Z2" s="100"/>
      <c r="AA2" s="100"/>
      <c r="AB2" s="100"/>
    </row>
    <row r="3" spans="1:28" ht="13">
      <c r="A3" s="311" t="s">
        <v>3009</v>
      </c>
      <c r="B3" s="310"/>
      <c r="C3" s="310"/>
      <c r="D3" s="310"/>
      <c r="E3" s="310"/>
      <c r="F3" s="310"/>
      <c r="G3" s="310"/>
      <c r="H3" s="312" t="s">
        <v>107</v>
      </c>
      <c r="I3" s="310"/>
      <c r="J3" s="310"/>
      <c r="K3" s="310"/>
      <c r="L3" s="310"/>
      <c r="M3" s="310"/>
      <c r="N3" s="310"/>
      <c r="O3" s="100"/>
      <c r="P3" s="100"/>
      <c r="Q3" s="100"/>
      <c r="R3" s="100"/>
      <c r="S3" s="100"/>
      <c r="T3" s="100"/>
      <c r="U3" s="100"/>
      <c r="V3" s="100"/>
      <c r="W3" s="100"/>
      <c r="X3" s="100"/>
      <c r="Y3" s="100"/>
      <c r="Z3" s="100"/>
      <c r="AA3" s="100"/>
      <c r="AB3" s="100"/>
    </row>
    <row r="4" spans="1:28" ht="26">
      <c r="A4" s="313" t="s">
        <v>224</v>
      </c>
      <c r="B4" s="313" t="s">
        <v>225</v>
      </c>
      <c r="C4" s="314" t="s">
        <v>226</v>
      </c>
      <c r="D4" s="314" t="s">
        <v>227</v>
      </c>
      <c r="E4" s="314" t="s">
        <v>1044</v>
      </c>
      <c r="F4" s="314" t="s">
        <v>1045</v>
      </c>
      <c r="G4" s="313" t="s">
        <v>1891</v>
      </c>
      <c r="H4" s="313" t="s">
        <v>3111</v>
      </c>
      <c r="I4" s="313" t="s">
        <v>109</v>
      </c>
      <c r="J4" s="313" t="s">
        <v>110</v>
      </c>
      <c r="K4" s="313" t="s">
        <v>111</v>
      </c>
      <c r="L4" s="313" t="s">
        <v>112</v>
      </c>
      <c r="M4" s="313" t="s">
        <v>113</v>
      </c>
      <c r="N4" s="313" t="s">
        <v>1326</v>
      </c>
      <c r="O4" s="100"/>
      <c r="P4" s="100"/>
      <c r="Q4" s="100"/>
      <c r="R4" s="100"/>
      <c r="S4" s="100"/>
      <c r="T4" s="100"/>
      <c r="U4" s="100"/>
      <c r="V4" s="100"/>
      <c r="W4" s="100"/>
      <c r="X4" s="100"/>
      <c r="Y4" s="100"/>
      <c r="Z4" s="100"/>
      <c r="AA4" s="100"/>
      <c r="AB4" s="100"/>
    </row>
    <row r="5" spans="1:28" ht="13" hidden="1">
      <c r="A5" s="123" t="s">
        <v>53</v>
      </c>
      <c r="B5" s="123" t="s">
        <v>1189</v>
      </c>
      <c r="C5" s="123" t="s">
        <v>249</v>
      </c>
      <c r="D5" s="123" t="s">
        <v>243</v>
      </c>
      <c r="E5" s="123"/>
      <c r="F5" s="176">
        <v>2</v>
      </c>
      <c r="G5" s="101"/>
      <c r="H5" s="455" t="s">
        <v>3112</v>
      </c>
      <c r="I5" s="101"/>
      <c r="J5" s="101"/>
      <c r="K5" s="101"/>
      <c r="L5" s="101"/>
      <c r="M5" s="186" t="s">
        <v>1190</v>
      </c>
      <c r="N5" s="101"/>
      <c r="O5" s="186"/>
      <c r="P5" s="101"/>
      <c r="Q5" s="101"/>
      <c r="R5" s="186"/>
      <c r="S5" s="186"/>
      <c r="T5" s="186"/>
      <c r="U5" s="186"/>
      <c r="V5" s="186"/>
      <c r="W5" s="186"/>
      <c r="X5" s="186"/>
      <c r="Y5" s="186"/>
      <c r="Z5" s="186"/>
      <c r="AA5" s="186"/>
      <c r="AB5" s="186"/>
    </row>
    <row r="6" spans="1:28" ht="13" hidden="1">
      <c r="A6" s="123" t="s">
        <v>53</v>
      </c>
      <c r="B6" s="123" t="s">
        <v>1191</v>
      </c>
      <c r="C6" s="123" t="s">
        <v>252</v>
      </c>
      <c r="D6" s="123" t="s">
        <v>243</v>
      </c>
      <c r="E6" s="123"/>
      <c r="F6" s="176">
        <v>3</v>
      </c>
      <c r="G6" s="101"/>
      <c r="H6" s="455" t="s">
        <v>3112</v>
      </c>
      <c r="I6" s="101"/>
      <c r="J6" s="101"/>
      <c r="K6" s="101"/>
      <c r="L6" s="101"/>
      <c r="M6" s="186" t="s">
        <v>1190</v>
      </c>
      <c r="N6" s="101"/>
      <c r="O6" s="186"/>
      <c r="P6" s="101"/>
      <c r="Q6" s="101"/>
      <c r="R6" s="186"/>
      <c r="S6" s="186"/>
      <c r="T6" s="186"/>
      <c r="U6" s="186"/>
      <c r="V6" s="186"/>
      <c r="W6" s="186"/>
      <c r="X6" s="186"/>
      <c r="Y6" s="186"/>
      <c r="Z6" s="186"/>
      <c r="AA6" s="186"/>
      <c r="AB6" s="186"/>
    </row>
    <row r="7" spans="1:28" ht="13" hidden="1">
      <c r="A7" s="123" t="s">
        <v>53</v>
      </c>
      <c r="B7" s="123" t="s">
        <v>1192</v>
      </c>
      <c r="C7" s="123" t="s">
        <v>242</v>
      </c>
      <c r="D7" s="123" t="s">
        <v>243</v>
      </c>
      <c r="E7" s="123"/>
      <c r="F7" s="176">
        <v>4</v>
      </c>
      <c r="G7" s="101"/>
      <c r="H7" s="455" t="s">
        <v>3112</v>
      </c>
      <c r="I7" s="101"/>
      <c r="J7" s="101"/>
      <c r="K7" s="101"/>
      <c r="L7" s="101"/>
      <c r="M7" s="186" t="s">
        <v>1190</v>
      </c>
      <c r="N7" s="101"/>
      <c r="O7" s="186"/>
      <c r="P7" s="101"/>
      <c r="Q7" s="101"/>
      <c r="R7" s="186"/>
      <c r="S7" s="186"/>
      <c r="T7" s="186"/>
      <c r="U7" s="186"/>
      <c r="V7" s="186"/>
      <c r="W7" s="186"/>
      <c r="X7" s="186"/>
      <c r="Y7" s="186"/>
      <c r="Z7" s="186"/>
      <c r="AA7" s="186"/>
      <c r="AB7" s="186"/>
    </row>
    <row r="8" spans="1:28" ht="13" hidden="1">
      <c r="A8" s="123" t="s">
        <v>53</v>
      </c>
      <c r="B8" s="123" t="s">
        <v>1193</v>
      </c>
      <c r="C8" s="123" t="s">
        <v>247</v>
      </c>
      <c r="D8" s="123" t="s">
        <v>243</v>
      </c>
      <c r="E8" s="123"/>
      <c r="F8" s="176">
        <v>5</v>
      </c>
      <c r="G8" s="101"/>
      <c r="H8" s="455" t="s">
        <v>3112</v>
      </c>
      <c r="I8" s="101"/>
      <c r="J8" s="101"/>
      <c r="K8" s="101"/>
      <c r="L8" s="101"/>
      <c r="M8" s="186" t="s">
        <v>1190</v>
      </c>
      <c r="N8" s="101"/>
      <c r="O8" s="186"/>
      <c r="P8" s="101"/>
      <c r="Q8" s="101"/>
      <c r="R8" s="186"/>
      <c r="S8" s="186"/>
      <c r="T8" s="186"/>
      <c r="U8" s="186"/>
      <c r="V8" s="186"/>
      <c r="W8" s="186"/>
      <c r="X8" s="186"/>
      <c r="Y8" s="186"/>
      <c r="Z8" s="186"/>
      <c r="AA8" s="186"/>
      <c r="AB8" s="186"/>
    </row>
    <row r="9" spans="1:28" ht="13" hidden="1">
      <c r="A9" s="123" t="s">
        <v>53</v>
      </c>
      <c r="B9" s="123" t="s">
        <v>1194</v>
      </c>
      <c r="C9" s="123" t="s">
        <v>252</v>
      </c>
      <c r="D9" s="123" t="s">
        <v>243</v>
      </c>
      <c r="E9" s="123"/>
      <c r="F9" s="176">
        <v>6</v>
      </c>
      <c r="G9" s="101"/>
      <c r="H9" s="455" t="s">
        <v>3112</v>
      </c>
      <c r="I9" s="101"/>
      <c r="J9" s="101"/>
      <c r="K9" s="101"/>
      <c r="L9" s="101"/>
      <c r="M9" s="186" t="s">
        <v>1190</v>
      </c>
      <c r="N9" s="101"/>
      <c r="O9" s="186"/>
      <c r="P9" s="101"/>
      <c r="Q9" s="101"/>
      <c r="R9" s="186"/>
      <c r="S9" s="186"/>
      <c r="T9" s="186"/>
      <c r="U9" s="186"/>
      <c r="V9" s="186"/>
      <c r="W9" s="186"/>
      <c r="X9" s="186"/>
      <c r="Y9" s="186"/>
      <c r="Z9" s="186"/>
      <c r="AA9" s="186"/>
      <c r="AB9" s="186"/>
    </row>
    <row r="10" spans="1:28" ht="13" hidden="1">
      <c r="A10" s="123" t="s">
        <v>53</v>
      </c>
      <c r="B10" s="123" t="s">
        <v>1195</v>
      </c>
      <c r="C10" s="123" t="s">
        <v>247</v>
      </c>
      <c r="D10" s="123" t="s">
        <v>243</v>
      </c>
      <c r="E10" s="123"/>
      <c r="F10" s="176">
        <v>7</v>
      </c>
      <c r="G10" s="101"/>
      <c r="H10" s="455" t="s">
        <v>3112</v>
      </c>
      <c r="I10" s="101"/>
      <c r="J10" s="101"/>
      <c r="K10" s="101"/>
      <c r="L10" s="101"/>
      <c r="M10" s="186" t="s">
        <v>1190</v>
      </c>
      <c r="N10" s="101"/>
      <c r="O10" s="186"/>
      <c r="P10" s="101"/>
      <c r="Q10" s="101"/>
      <c r="R10" s="186"/>
      <c r="S10" s="186"/>
      <c r="T10" s="186"/>
      <c r="U10" s="186"/>
      <c r="V10" s="186"/>
      <c r="W10" s="186"/>
      <c r="X10" s="186"/>
      <c r="Y10" s="186"/>
      <c r="Z10" s="186"/>
      <c r="AA10" s="186"/>
      <c r="AB10" s="186"/>
    </row>
    <row r="11" spans="1:28" ht="13" hidden="1">
      <c r="A11" s="123" t="s">
        <v>53</v>
      </c>
      <c r="B11" s="123" t="s">
        <v>1196</v>
      </c>
      <c r="C11" s="123" t="s">
        <v>535</v>
      </c>
      <c r="D11" s="123" t="s">
        <v>903</v>
      </c>
      <c r="E11" s="123"/>
      <c r="F11" s="176">
        <v>8</v>
      </c>
      <c r="G11" s="101"/>
      <c r="H11" s="455" t="s">
        <v>3112</v>
      </c>
      <c r="I11" s="101"/>
      <c r="J11" s="101"/>
      <c r="K11" s="101"/>
      <c r="L11" s="101"/>
      <c r="M11" s="186" t="s">
        <v>1190</v>
      </c>
      <c r="N11" s="101"/>
      <c r="O11" s="186"/>
      <c r="P11" s="101"/>
      <c r="Q11" s="101"/>
      <c r="R11" s="186"/>
      <c r="S11" s="186"/>
      <c r="T11" s="186"/>
      <c r="U11" s="186"/>
      <c r="V11" s="186"/>
      <c r="W11" s="186"/>
      <c r="X11" s="186"/>
      <c r="Y11" s="186"/>
      <c r="Z11" s="186"/>
      <c r="AA11" s="186"/>
      <c r="AB11" s="186"/>
    </row>
    <row r="12" spans="1:28" ht="13" hidden="1">
      <c r="A12" s="123" t="s">
        <v>53</v>
      </c>
      <c r="B12" s="123" t="s">
        <v>1189</v>
      </c>
      <c r="C12" s="123" t="s">
        <v>249</v>
      </c>
      <c r="D12" s="123" t="s">
        <v>243</v>
      </c>
      <c r="E12" s="101"/>
      <c r="F12" s="176">
        <v>2</v>
      </c>
      <c r="G12" s="101"/>
      <c r="H12" s="455" t="s">
        <v>3112</v>
      </c>
      <c r="I12" s="101"/>
      <c r="J12" s="101"/>
      <c r="K12" s="101"/>
      <c r="L12" s="101"/>
      <c r="M12" s="186" t="s">
        <v>1190</v>
      </c>
      <c r="N12" s="101"/>
      <c r="O12" s="101"/>
      <c r="P12" s="101"/>
      <c r="Q12" s="101"/>
      <c r="R12" s="186"/>
      <c r="S12" s="186"/>
      <c r="T12" s="186"/>
      <c r="U12" s="186"/>
      <c r="V12" s="186"/>
      <c r="W12" s="186"/>
      <c r="X12" s="186"/>
      <c r="Y12" s="186"/>
      <c r="Z12" s="186"/>
      <c r="AA12" s="186"/>
      <c r="AB12" s="186"/>
    </row>
    <row r="13" spans="1:28" ht="13" hidden="1">
      <c r="A13" s="123" t="s">
        <v>59</v>
      </c>
      <c r="B13" s="123" t="s">
        <v>890</v>
      </c>
      <c r="C13" s="123" t="s">
        <v>329</v>
      </c>
      <c r="D13" s="123" t="s">
        <v>243</v>
      </c>
      <c r="E13" s="123"/>
      <c r="F13" s="176">
        <v>25</v>
      </c>
      <c r="G13" s="101"/>
      <c r="H13" s="455" t="s">
        <v>3112</v>
      </c>
      <c r="I13" s="101"/>
      <c r="J13" s="102"/>
      <c r="K13" s="101"/>
      <c r="L13" s="101"/>
      <c r="M13" s="101" t="s">
        <v>3032</v>
      </c>
      <c r="N13" s="101"/>
      <c r="O13" s="186"/>
      <c r="P13" s="101"/>
      <c r="Q13" s="101"/>
      <c r="R13" s="186"/>
      <c r="S13" s="186"/>
      <c r="T13" s="186"/>
      <c r="U13" s="186"/>
      <c r="V13" s="186"/>
      <c r="W13" s="186"/>
      <c r="X13" s="186"/>
      <c r="Y13" s="186"/>
      <c r="Z13" s="186"/>
      <c r="AA13" s="186"/>
      <c r="AB13" s="186"/>
    </row>
    <row r="14" spans="1:28" ht="13" hidden="1">
      <c r="A14" s="123" t="s">
        <v>55</v>
      </c>
      <c r="B14" s="123" t="s">
        <v>3042</v>
      </c>
      <c r="C14" s="123" t="s">
        <v>329</v>
      </c>
      <c r="D14" s="123" t="s">
        <v>243</v>
      </c>
      <c r="E14" s="123"/>
      <c r="F14" s="176">
        <v>58</v>
      </c>
      <c r="G14" s="101"/>
      <c r="H14" s="455" t="s">
        <v>3112</v>
      </c>
      <c r="I14" s="101"/>
      <c r="J14" s="101"/>
      <c r="K14" s="101"/>
      <c r="L14" s="101"/>
      <c r="M14" s="101" t="s">
        <v>3113</v>
      </c>
      <c r="N14" s="186"/>
      <c r="O14" s="186"/>
      <c r="P14" s="101"/>
      <c r="Q14" s="101"/>
      <c r="R14" s="186"/>
      <c r="S14" s="186"/>
      <c r="T14" s="186"/>
      <c r="U14" s="186"/>
      <c r="V14" s="186"/>
      <c r="W14" s="186"/>
      <c r="X14" s="186"/>
      <c r="Y14" s="186"/>
      <c r="Z14" s="186"/>
      <c r="AA14" s="186"/>
      <c r="AB14" s="186"/>
    </row>
    <row r="15" spans="1:28" ht="13" hidden="1">
      <c r="A15" s="123" t="s">
        <v>55</v>
      </c>
      <c r="B15" s="123" t="s">
        <v>3043</v>
      </c>
      <c r="C15" s="123" t="s">
        <v>329</v>
      </c>
      <c r="D15" s="123" t="s">
        <v>243</v>
      </c>
      <c r="E15" s="123"/>
      <c r="F15" s="176">
        <v>9</v>
      </c>
      <c r="G15" s="101"/>
      <c r="H15" s="455" t="s">
        <v>3112</v>
      </c>
      <c r="I15" s="101"/>
      <c r="J15" s="101"/>
      <c r="K15" s="101"/>
      <c r="L15" s="101"/>
      <c r="M15" s="101" t="s">
        <v>3114</v>
      </c>
      <c r="N15" s="101"/>
      <c r="O15" s="186"/>
      <c r="P15" s="101"/>
      <c r="Q15" s="101"/>
      <c r="R15" s="186"/>
      <c r="S15" s="186"/>
      <c r="T15" s="186"/>
      <c r="U15" s="186"/>
      <c r="V15" s="186"/>
      <c r="W15" s="186"/>
      <c r="X15" s="186"/>
      <c r="Y15" s="186"/>
      <c r="Z15" s="186"/>
      <c r="AA15" s="186"/>
      <c r="AB15" s="186"/>
    </row>
    <row r="16" spans="1:28" ht="13" hidden="1">
      <c r="A16" s="123" t="s">
        <v>55</v>
      </c>
      <c r="B16" s="123" t="s">
        <v>3044</v>
      </c>
      <c r="C16" s="123" t="s">
        <v>329</v>
      </c>
      <c r="D16" s="123" t="s">
        <v>243</v>
      </c>
      <c r="E16" s="123"/>
      <c r="F16" s="176">
        <v>10</v>
      </c>
      <c r="G16" s="101"/>
      <c r="H16" s="455" t="s">
        <v>3112</v>
      </c>
      <c r="I16" s="101"/>
      <c r="J16" s="101"/>
      <c r="K16" s="101"/>
      <c r="L16" s="101"/>
      <c r="M16" s="101" t="s">
        <v>3115</v>
      </c>
      <c r="N16" s="101"/>
      <c r="O16" s="186"/>
      <c r="P16" s="101"/>
      <c r="Q16" s="101"/>
      <c r="R16" s="186"/>
      <c r="S16" s="186"/>
      <c r="T16" s="186"/>
      <c r="U16" s="186"/>
      <c r="V16" s="186"/>
      <c r="W16" s="186"/>
      <c r="X16" s="186"/>
      <c r="Y16" s="186"/>
      <c r="Z16" s="186"/>
      <c r="AA16" s="186"/>
      <c r="AB16" s="186"/>
    </row>
    <row r="17" spans="1:28" ht="13" hidden="1">
      <c r="A17" s="123" t="s">
        <v>55</v>
      </c>
      <c r="B17" s="123" t="s">
        <v>3045</v>
      </c>
      <c r="C17" s="123" t="s">
        <v>329</v>
      </c>
      <c r="D17" s="123" t="s">
        <v>243</v>
      </c>
      <c r="E17" s="123"/>
      <c r="F17" s="176">
        <v>66</v>
      </c>
      <c r="G17" s="101"/>
      <c r="H17" s="455" t="s">
        <v>3112</v>
      </c>
      <c r="I17" s="101"/>
      <c r="J17" s="101"/>
      <c r="K17" s="123"/>
      <c r="L17" s="101"/>
      <c r="M17" s="101" t="s">
        <v>3116</v>
      </c>
      <c r="N17" s="186"/>
      <c r="O17" s="186"/>
      <c r="P17" s="101"/>
      <c r="Q17" s="101"/>
      <c r="R17" s="186"/>
      <c r="S17" s="186"/>
      <c r="T17" s="186"/>
      <c r="U17" s="186"/>
      <c r="V17" s="186"/>
      <c r="W17" s="186"/>
      <c r="X17" s="186"/>
      <c r="Y17" s="186"/>
      <c r="Z17" s="186"/>
      <c r="AA17" s="186"/>
      <c r="AB17" s="186"/>
    </row>
    <row r="18" spans="1:28" ht="13" hidden="1">
      <c r="A18" s="123" t="s">
        <v>55</v>
      </c>
      <c r="B18" s="123" t="s">
        <v>3046</v>
      </c>
      <c r="C18" s="123" t="s">
        <v>329</v>
      </c>
      <c r="D18" s="123" t="s">
        <v>243</v>
      </c>
      <c r="E18" s="123"/>
      <c r="F18" s="176">
        <v>11</v>
      </c>
      <c r="G18" s="101"/>
      <c r="H18" s="455" t="s">
        <v>3112</v>
      </c>
      <c r="I18" s="101"/>
      <c r="J18" s="101"/>
      <c r="K18" s="101"/>
      <c r="L18" s="101"/>
      <c r="M18" s="101" t="s">
        <v>3117</v>
      </c>
      <c r="N18" s="101"/>
      <c r="O18" s="186"/>
      <c r="P18" s="101"/>
      <c r="Q18" s="101"/>
      <c r="R18" s="186"/>
      <c r="S18" s="186"/>
      <c r="T18" s="186"/>
      <c r="U18" s="186"/>
      <c r="V18" s="186"/>
      <c r="W18" s="186"/>
      <c r="X18" s="186"/>
      <c r="Y18" s="186"/>
      <c r="Z18" s="186"/>
      <c r="AA18" s="186"/>
      <c r="AB18" s="186"/>
    </row>
    <row r="19" spans="1:28" ht="13" hidden="1">
      <c r="A19" s="123" t="s">
        <v>55</v>
      </c>
      <c r="B19" s="123" t="s">
        <v>3047</v>
      </c>
      <c r="C19" s="123" t="s">
        <v>329</v>
      </c>
      <c r="D19" s="123" t="s">
        <v>243</v>
      </c>
      <c r="E19" s="123"/>
      <c r="F19" s="176">
        <v>12</v>
      </c>
      <c r="G19" s="101"/>
      <c r="H19" s="455" t="s">
        <v>3112</v>
      </c>
      <c r="I19" s="101"/>
      <c r="J19" s="101"/>
      <c r="K19" s="101"/>
      <c r="L19" s="101"/>
      <c r="M19" s="101" t="s">
        <v>3118</v>
      </c>
      <c r="N19" s="101"/>
      <c r="O19" s="186"/>
      <c r="P19" s="101"/>
      <c r="Q19" s="101"/>
      <c r="R19" s="186"/>
      <c r="S19" s="186"/>
      <c r="T19" s="186"/>
      <c r="U19" s="186"/>
      <c r="V19" s="186"/>
      <c r="W19" s="186"/>
      <c r="X19" s="186"/>
      <c r="Y19" s="186"/>
      <c r="Z19" s="186"/>
      <c r="AA19" s="186"/>
      <c r="AB19" s="186"/>
    </row>
    <row r="20" spans="1:28" ht="13" hidden="1">
      <c r="A20" s="123" t="s">
        <v>55</v>
      </c>
      <c r="B20" s="123" t="s">
        <v>3048</v>
      </c>
      <c r="C20" s="123" t="s">
        <v>329</v>
      </c>
      <c r="D20" s="123" t="s">
        <v>243</v>
      </c>
      <c r="E20" s="123"/>
      <c r="F20" s="176">
        <v>13</v>
      </c>
      <c r="G20" s="101"/>
      <c r="H20" s="455" t="s">
        <v>3112</v>
      </c>
      <c r="I20" s="101"/>
      <c r="J20" s="101"/>
      <c r="K20" s="101"/>
      <c r="L20" s="101"/>
      <c r="M20" s="101" t="s">
        <v>3119</v>
      </c>
      <c r="N20" s="101"/>
      <c r="O20" s="186"/>
      <c r="P20" s="186"/>
      <c r="Q20" s="186"/>
      <c r="R20" s="186"/>
      <c r="S20" s="186"/>
      <c r="T20" s="186"/>
      <c r="U20" s="186"/>
      <c r="V20" s="186"/>
      <c r="W20" s="186"/>
      <c r="X20" s="186"/>
      <c r="Y20" s="186"/>
      <c r="Z20" s="186"/>
      <c r="AA20" s="186"/>
      <c r="AB20" s="186"/>
    </row>
    <row r="21" spans="1:28" ht="13" hidden="1">
      <c r="A21" s="123" t="s">
        <v>55</v>
      </c>
      <c r="B21" s="123" t="s">
        <v>3049</v>
      </c>
      <c r="C21" s="123" t="s">
        <v>329</v>
      </c>
      <c r="D21" s="123" t="s">
        <v>243</v>
      </c>
      <c r="E21" s="123"/>
      <c r="F21" s="176">
        <v>14</v>
      </c>
      <c r="G21" s="101"/>
      <c r="H21" s="455" t="s">
        <v>3112</v>
      </c>
      <c r="I21" s="101"/>
      <c r="J21" s="101"/>
      <c r="K21" s="101"/>
      <c r="L21" s="101"/>
      <c r="M21" s="101" t="s">
        <v>3120</v>
      </c>
      <c r="N21" s="101"/>
      <c r="O21" s="186"/>
      <c r="P21" s="186"/>
      <c r="Q21" s="186"/>
      <c r="R21" s="186"/>
      <c r="S21" s="186"/>
      <c r="T21" s="186"/>
      <c r="U21" s="186"/>
      <c r="V21" s="186"/>
      <c r="W21" s="186"/>
      <c r="X21" s="186"/>
      <c r="Y21" s="186"/>
      <c r="Z21" s="186"/>
      <c r="AA21" s="186"/>
      <c r="AB21" s="186"/>
    </row>
    <row r="22" spans="1:28" ht="13" hidden="1">
      <c r="A22" s="123" t="s">
        <v>55</v>
      </c>
      <c r="B22" s="439" t="s">
        <v>3050</v>
      </c>
      <c r="C22" s="439" t="s">
        <v>329</v>
      </c>
      <c r="D22" s="123" t="s">
        <v>243</v>
      </c>
      <c r="E22" s="123"/>
      <c r="F22" s="315">
        <v>71</v>
      </c>
      <c r="G22" s="101"/>
      <c r="H22" s="455" t="s">
        <v>3112</v>
      </c>
      <c r="I22" s="101"/>
      <c r="J22" s="102"/>
      <c r="K22" s="101"/>
      <c r="L22" s="101"/>
      <c r="M22" s="101"/>
      <c r="N22" s="101"/>
      <c r="O22" s="186"/>
      <c r="P22" s="186"/>
      <c r="Q22" s="186"/>
      <c r="R22" s="186"/>
      <c r="S22" s="186"/>
      <c r="T22" s="186"/>
      <c r="U22" s="186"/>
      <c r="V22" s="186"/>
      <c r="W22" s="186"/>
      <c r="X22" s="186"/>
      <c r="Y22" s="186"/>
      <c r="Z22" s="186"/>
      <c r="AA22" s="186"/>
      <c r="AB22" s="186"/>
    </row>
    <row r="23" spans="1:28" ht="13" hidden="1">
      <c r="A23" s="123" t="s">
        <v>55</v>
      </c>
      <c r="B23" s="123" t="s">
        <v>3051</v>
      </c>
      <c r="C23" s="123" t="s">
        <v>329</v>
      </c>
      <c r="D23" s="123" t="s">
        <v>243</v>
      </c>
      <c r="E23" s="123"/>
      <c r="F23" s="176">
        <v>62</v>
      </c>
      <c r="G23" s="101"/>
      <c r="H23" s="455" t="s">
        <v>3112</v>
      </c>
      <c r="I23" s="101"/>
      <c r="J23" s="101"/>
      <c r="K23" s="123"/>
      <c r="L23" s="101"/>
      <c r="M23" s="101" t="s">
        <v>3121</v>
      </c>
      <c r="N23" s="186"/>
      <c r="O23" s="186"/>
      <c r="P23" s="186"/>
      <c r="Q23" s="186"/>
      <c r="R23" s="186"/>
      <c r="S23" s="186"/>
      <c r="T23" s="186"/>
      <c r="U23" s="186"/>
      <c r="V23" s="186"/>
      <c r="W23" s="186"/>
      <c r="X23" s="186"/>
      <c r="Y23" s="186"/>
      <c r="Z23" s="186"/>
      <c r="AA23" s="186"/>
      <c r="AB23" s="186"/>
    </row>
    <row r="24" spans="1:28" ht="13" hidden="1">
      <c r="A24" s="123" t="s">
        <v>55</v>
      </c>
      <c r="B24" s="123" t="s">
        <v>3052</v>
      </c>
      <c r="C24" s="123" t="s">
        <v>329</v>
      </c>
      <c r="D24" s="123" t="s">
        <v>243</v>
      </c>
      <c r="E24" s="123"/>
      <c r="F24" s="176">
        <v>15</v>
      </c>
      <c r="G24" s="101"/>
      <c r="H24" s="455" t="s">
        <v>3112</v>
      </c>
      <c r="I24" s="101"/>
      <c r="J24" s="101"/>
      <c r="K24" s="101"/>
      <c r="L24" s="101"/>
      <c r="M24" s="101" t="s">
        <v>3122</v>
      </c>
      <c r="N24" s="101"/>
      <c r="O24" s="186"/>
      <c r="P24" s="186"/>
      <c r="Q24" s="186"/>
      <c r="R24" s="186"/>
      <c r="S24" s="186"/>
      <c r="T24" s="186"/>
      <c r="U24" s="186"/>
      <c r="V24" s="186"/>
      <c r="W24" s="186"/>
      <c r="X24" s="186"/>
      <c r="Y24" s="186"/>
      <c r="Z24" s="186"/>
      <c r="AA24" s="186"/>
      <c r="AB24" s="186"/>
    </row>
    <row r="25" spans="1:28" ht="13" hidden="1">
      <c r="A25" s="123" t="s">
        <v>55</v>
      </c>
      <c r="B25" s="123" t="s">
        <v>3053</v>
      </c>
      <c r="C25" s="123" t="s">
        <v>329</v>
      </c>
      <c r="D25" s="123" t="s">
        <v>243</v>
      </c>
      <c r="E25" s="123"/>
      <c r="F25" s="176">
        <v>16</v>
      </c>
      <c r="G25" s="101"/>
      <c r="H25" s="455" t="s">
        <v>3112</v>
      </c>
      <c r="I25" s="101"/>
      <c r="J25" s="101"/>
      <c r="K25" s="101"/>
      <c r="L25" s="101"/>
      <c r="M25" s="101" t="s">
        <v>3123</v>
      </c>
      <c r="N25" s="101"/>
      <c r="O25" s="123"/>
      <c r="P25" s="123"/>
      <c r="Q25" s="123"/>
      <c r="R25" s="123"/>
      <c r="S25" s="123"/>
      <c r="T25" s="123"/>
      <c r="U25" s="123"/>
      <c r="V25" s="123"/>
      <c r="W25" s="123"/>
      <c r="X25" s="123"/>
      <c r="Y25" s="123"/>
      <c r="Z25" s="123"/>
      <c r="AA25" s="123"/>
      <c r="AB25" s="123"/>
    </row>
    <row r="26" spans="1:28" ht="13" hidden="1">
      <c r="A26" s="123" t="s">
        <v>55</v>
      </c>
      <c r="B26" s="123" t="s">
        <v>3054</v>
      </c>
      <c r="C26" s="123" t="s">
        <v>329</v>
      </c>
      <c r="D26" s="123" t="s">
        <v>243</v>
      </c>
      <c r="E26" s="123"/>
      <c r="F26" s="176">
        <v>17</v>
      </c>
      <c r="G26" s="101"/>
      <c r="H26" s="455" t="s">
        <v>3112</v>
      </c>
      <c r="I26" s="101"/>
      <c r="J26" s="101"/>
      <c r="K26" s="101"/>
      <c r="L26" s="101"/>
      <c r="M26" s="101" t="s">
        <v>3124</v>
      </c>
      <c r="N26" s="101"/>
      <c r="O26" s="186"/>
      <c r="P26" s="101"/>
      <c r="Q26" s="101"/>
      <c r="R26" s="186"/>
      <c r="S26" s="186"/>
      <c r="T26" s="186"/>
      <c r="U26" s="186"/>
      <c r="V26" s="186"/>
      <c r="W26" s="186"/>
      <c r="X26" s="186"/>
      <c r="Y26" s="186"/>
      <c r="Z26" s="186"/>
      <c r="AA26" s="186"/>
      <c r="AB26" s="186"/>
    </row>
    <row r="27" spans="1:28" ht="13" hidden="1">
      <c r="A27" s="123" t="s">
        <v>55</v>
      </c>
      <c r="B27" s="123" t="s">
        <v>3055</v>
      </c>
      <c r="C27" s="123" t="s">
        <v>329</v>
      </c>
      <c r="D27" s="123" t="s">
        <v>243</v>
      </c>
      <c r="E27" s="123"/>
      <c r="F27" s="176">
        <v>18</v>
      </c>
      <c r="G27" s="101"/>
      <c r="H27" s="455" t="s">
        <v>3112</v>
      </c>
      <c r="I27" s="101"/>
      <c r="J27" s="101"/>
      <c r="K27" s="101"/>
      <c r="L27" s="101"/>
      <c r="M27" s="101" t="s">
        <v>3125</v>
      </c>
      <c r="N27" s="101"/>
      <c r="O27" s="186"/>
      <c r="P27" s="101"/>
      <c r="Q27" s="101"/>
      <c r="R27" s="186"/>
      <c r="S27" s="186"/>
      <c r="T27" s="186"/>
      <c r="U27" s="186"/>
      <c r="V27" s="186"/>
      <c r="W27" s="186"/>
      <c r="X27" s="186"/>
      <c r="Y27" s="186"/>
      <c r="Z27" s="186"/>
      <c r="AA27" s="186"/>
      <c r="AB27" s="186"/>
    </row>
    <row r="28" spans="1:28" ht="13" hidden="1">
      <c r="A28" s="123" t="s">
        <v>55</v>
      </c>
      <c r="B28" s="123" t="s">
        <v>3056</v>
      </c>
      <c r="C28" s="123" t="s">
        <v>329</v>
      </c>
      <c r="D28" s="123" t="s">
        <v>243</v>
      </c>
      <c r="E28" s="123"/>
      <c r="F28" s="176">
        <v>19</v>
      </c>
      <c r="G28" s="101"/>
      <c r="H28" s="455" t="s">
        <v>3112</v>
      </c>
      <c r="I28" s="101"/>
      <c r="J28" s="101"/>
      <c r="K28" s="101"/>
      <c r="L28" s="101"/>
      <c r="M28" s="101" t="s">
        <v>3126</v>
      </c>
      <c r="N28" s="101"/>
      <c r="O28" s="186"/>
      <c r="P28" s="101"/>
      <c r="Q28" s="101"/>
      <c r="R28" s="186"/>
      <c r="S28" s="186"/>
      <c r="T28" s="186"/>
      <c r="U28" s="186"/>
      <c r="V28" s="186"/>
      <c r="W28" s="186"/>
      <c r="X28" s="186"/>
      <c r="Y28" s="186"/>
      <c r="Z28" s="186"/>
      <c r="AA28" s="186"/>
      <c r="AB28" s="186"/>
    </row>
    <row r="29" spans="1:28" ht="13" hidden="1">
      <c r="A29" s="123" t="s">
        <v>53</v>
      </c>
      <c r="B29" s="123" t="s">
        <v>1191</v>
      </c>
      <c r="C29" s="123" t="s">
        <v>252</v>
      </c>
      <c r="D29" s="123" t="s">
        <v>243</v>
      </c>
      <c r="E29" s="101"/>
      <c r="F29" s="176">
        <v>3</v>
      </c>
      <c r="G29" s="101"/>
      <c r="H29" s="455" t="s">
        <v>3112</v>
      </c>
      <c r="I29" s="101"/>
      <c r="J29" s="101"/>
      <c r="K29" s="101"/>
      <c r="L29" s="101"/>
      <c r="M29" s="186" t="s">
        <v>1190</v>
      </c>
      <c r="N29" s="101"/>
      <c r="O29" s="101"/>
      <c r="P29" s="101"/>
      <c r="Q29" s="101"/>
      <c r="R29" s="186"/>
      <c r="S29" s="186"/>
      <c r="T29" s="186"/>
      <c r="U29" s="186"/>
      <c r="V29" s="186"/>
      <c r="W29" s="186"/>
      <c r="X29" s="186"/>
      <c r="Y29" s="186"/>
      <c r="Z29" s="186"/>
      <c r="AA29" s="186"/>
      <c r="AB29" s="186"/>
    </row>
    <row r="30" spans="1:28" ht="13" hidden="1">
      <c r="A30" s="123" t="s">
        <v>55</v>
      </c>
      <c r="B30" s="123" t="s">
        <v>892</v>
      </c>
      <c r="C30" s="123" t="s">
        <v>329</v>
      </c>
      <c r="D30" s="123" t="s">
        <v>243</v>
      </c>
      <c r="E30" s="123"/>
      <c r="F30" s="176">
        <v>60</v>
      </c>
      <c r="G30" s="101"/>
      <c r="H30" s="455" t="s">
        <v>3112</v>
      </c>
      <c r="I30" s="101"/>
      <c r="J30" s="102"/>
      <c r="K30" s="123"/>
      <c r="L30" s="101"/>
      <c r="M30" s="101" t="s">
        <v>3033</v>
      </c>
      <c r="N30" s="186"/>
      <c r="O30" s="186"/>
      <c r="P30" s="101"/>
      <c r="Q30" s="101"/>
      <c r="R30" s="186"/>
      <c r="S30" s="186"/>
      <c r="T30" s="186"/>
      <c r="U30" s="186"/>
      <c r="V30" s="186"/>
      <c r="W30" s="186"/>
      <c r="X30" s="186"/>
      <c r="Y30" s="186"/>
      <c r="Z30" s="186"/>
      <c r="AA30" s="186"/>
      <c r="AB30" s="186"/>
    </row>
    <row r="31" spans="1:28" ht="13" hidden="1">
      <c r="A31" s="123" t="s">
        <v>59</v>
      </c>
      <c r="B31" s="123" t="s">
        <v>873</v>
      </c>
      <c r="C31" s="123" t="s">
        <v>329</v>
      </c>
      <c r="D31" s="123" t="s">
        <v>243</v>
      </c>
      <c r="E31" s="123"/>
      <c r="F31" s="176">
        <v>21</v>
      </c>
      <c r="G31" s="101"/>
      <c r="H31" s="455" t="s">
        <v>3112</v>
      </c>
      <c r="I31" s="101"/>
      <c r="J31" s="102"/>
      <c r="K31" s="101"/>
      <c r="L31" s="101"/>
      <c r="M31" s="101" t="s">
        <v>3022</v>
      </c>
      <c r="N31" s="101"/>
      <c r="O31" s="186"/>
      <c r="P31" s="101"/>
      <c r="Q31" s="101"/>
      <c r="R31" s="186"/>
      <c r="S31" s="186"/>
      <c r="T31" s="186"/>
      <c r="U31" s="186"/>
      <c r="V31" s="186"/>
      <c r="W31" s="186"/>
      <c r="X31" s="186"/>
      <c r="Y31" s="186"/>
      <c r="Z31" s="186"/>
      <c r="AA31" s="186"/>
      <c r="AB31" s="186"/>
    </row>
    <row r="32" spans="1:28" ht="13" hidden="1">
      <c r="A32" s="123" t="s">
        <v>59</v>
      </c>
      <c r="B32" s="123" t="s">
        <v>887</v>
      </c>
      <c r="C32" s="123" t="s">
        <v>329</v>
      </c>
      <c r="D32" s="123" t="s">
        <v>243</v>
      </c>
      <c r="E32" s="123"/>
      <c r="F32" s="176">
        <v>22</v>
      </c>
      <c r="G32" s="101"/>
      <c r="H32" s="455" t="s">
        <v>3112</v>
      </c>
      <c r="I32" s="101"/>
      <c r="J32" s="102"/>
      <c r="K32" s="101"/>
      <c r="L32" s="101"/>
      <c r="M32" s="101" t="s">
        <v>3028</v>
      </c>
      <c r="N32" s="101"/>
      <c r="O32" s="186"/>
      <c r="P32" s="101"/>
      <c r="Q32" s="101"/>
      <c r="R32" s="186"/>
      <c r="S32" s="186"/>
      <c r="T32" s="186"/>
      <c r="U32" s="186"/>
      <c r="V32" s="186"/>
      <c r="W32" s="186"/>
      <c r="X32" s="186"/>
      <c r="Y32" s="186"/>
      <c r="Z32" s="186"/>
      <c r="AA32" s="186"/>
      <c r="AB32" s="186"/>
    </row>
    <row r="33" spans="1:28" ht="13" hidden="1">
      <c r="A33" s="123" t="s">
        <v>55</v>
      </c>
      <c r="B33" s="123" t="s">
        <v>888</v>
      </c>
      <c r="C33" s="123" t="s">
        <v>329</v>
      </c>
      <c r="D33" s="123" t="s">
        <v>243</v>
      </c>
      <c r="E33" s="123"/>
      <c r="F33" s="176">
        <v>68</v>
      </c>
      <c r="G33" s="101"/>
      <c r="H33" s="455" t="s">
        <v>3112</v>
      </c>
      <c r="I33" s="101"/>
      <c r="J33" s="101"/>
      <c r="K33" s="123"/>
      <c r="L33" s="101"/>
      <c r="M33" s="101" t="s">
        <v>3127</v>
      </c>
      <c r="N33" s="186"/>
      <c r="O33" s="186"/>
      <c r="P33" s="101"/>
      <c r="Q33" s="101"/>
      <c r="R33" s="186"/>
      <c r="S33" s="186"/>
      <c r="T33" s="186"/>
      <c r="U33" s="186"/>
      <c r="V33" s="186"/>
      <c r="W33" s="186"/>
      <c r="X33" s="186"/>
      <c r="Y33" s="186"/>
      <c r="Z33" s="186"/>
      <c r="AA33" s="186"/>
      <c r="AB33" s="186"/>
    </row>
    <row r="34" spans="1:28" ht="13" hidden="1">
      <c r="A34" s="123" t="s">
        <v>59</v>
      </c>
      <c r="B34" s="123" t="s">
        <v>875</v>
      </c>
      <c r="C34" s="123" t="s">
        <v>329</v>
      </c>
      <c r="D34" s="123" t="s">
        <v>243</v>
      </c>
      <c r="E34" s="123"/>
      <c r="F34" s="176">
        <v>23</v>
      </c>
      <c r="G34" s="101"/>
      <c r="H34" s="455" t="s">
        <v>3112</v>
      </c>
      <c r="I34" s="101"/>
      <c r="J34" s="102"/>
      <c r="K34" s="101"/>
      <c r="L34" s="101"/>
      <c r="M34" s="101" t="s">
        <v>3023</v>
      </c>
      <c r="N34" s="101"/>
      <c r="O34" s="186"/>
      <c r="P34" s="101"/>
      <c r="Q34" s="101"/>
      <c r="R34" s="186"/>
      <c r="S34" s="186"/>
      <c r="T34" s="186"/>
      <c r="U34" s="186"/>
      <c r="V34" s="186"/>
      <c r="W34" s="186"/>
      <c r="X34" s="186"/>
      <c r="Y34" s="186"/>
      <c r="Z34" s="186"/>
      <c r="AA34" s="186"/>
      <c r="AB34" s="186"/>
    </row>
    <row r="35" spans="1:28" ht="13" hidden="1">
      <c r="A35" s="123" t="s">
        <v>59</v>
      </c>
      <c r="B35" s="123" t="s">
        <v>889</v>
      </c>
      <c r="C35" s="123" t="s">
        <v>329</v>
      </c>
      <c r="D35" s="123" t="s">
        <v>243</v>
      </c>
      <c r="E35" s="123"/>
      <c r="F35" s="176">
        <v>24</v>
      </c>
      <c r="G35" s="101"/>
      <c r="H35" s="455" t="s">
        <v>3112</v>
      </c>
      <c r="I35" s="101"/>
      <c r="J35" s="102"/>
      <c r="K35" s="101"/>
      <c r="L35" s="101"/>
      <c r="M35" s="101" t="s">
        <v>3029</v>
      </c>
      <c r="N35" s="101"/>
      <c r="O35" s="186"/>
      <c r="P35" s="101"/>
      <c r="Q35" s="101"/>
      <c r="R35" s="186"/>
      <c r="S35" s="186"/>
      <c r="T35" s="186"/>
      <c r="U35" s="186"/>
      <c r="V35" s="186"/>
      <c r="W35" s="186"/>
      <c r="X35" s="186"/>
      <c r="Y35" s="186"/>
      <c r="Z35" s="186"/>
      <c r="AA35" s="186"/>
      <c r="AB35" s="186"/>
    </row>
    <row r="36" spans="1:28" ht="13" hidden="1">
      <c r="A36" s="123" t="s">
        <v>59</v>
      </c>
      <c r="B36" s="123" t="s">
        <v>878</v>
      </c>
      <c r="C36" s="123" t="s">
        <v>329</v>
      </c>
      <c r="D36" s="123" t="s">
        <v>243</v>
      </c>
      <c r="E36" s="123"/>
      <c r="F36" s="176">
        <v>26</v>
      </c>
      <c r="G36" s="101"/>
      <c r="H36" s="455" t="s">
        <v>3112</v>
      </c>
      <c r="I36" s="101"/>
      <c r="J36" s="102"/>
      <c r="K36" s="101"/>
      <c r="L36" s="101"/>
      <c r="M36" s="101" t="s">
        <v>3024</v>
      </c>
      <c r="N36" s="101"/>
      <c r="O36" s="186"/>
      <c r="P36" s="101"/>
      <c r="Q36" s="101"/>
      <c r="R36" s="186"/>
      <c r="S36" s="186"/>
      <c r="T36" s="186"/>
      <c r="U36" s="186"/>
      <c r="V36" s="186"/>
      <c r="W36" s="186"/>
      <c r="X36" s="186"/>
      <c r="Y36" s="186"/>
      <c r="Z36" s="186"/>
      <c r="AA36" s="186"/>
      <c r="AB36" s="186"/>
    </row>
    <row r="37" spans="1:28" ht="13" hidden="1">
      <c r="A37" s="123" t="s">
        <v>55</v>
      </c>
      <c r="B37" s="439" t="s">
        <v>891</v>
      </c>
      <c r="C37" s="439" t="s">
        <v>329</v>
      </c>
      <c r="D37" s="123" t="s">
        <v>243</v>
      </c>
      <c r="E37" s="123"/>
      <c r="F37" s="315">
        <v>73</v>
      </c>
      <c r="G37" s="101"/>
      <c r="H37" s="455" t="s">
        <v>3112</v>
      </c>
      <c r="I37" s="101"/>
      <c r="J37" s="102"/>
      <c r="K37" s="101"/>
      <c r="L37" s="101"/>
      <c r="M37" s="101"/>
      <c r="N37" s="101"/>
      <c r="O37" s="186"/>
      <c r="P37" s="101"/>
      <c r="Q37" s="101"/>
      <c r="R37" s="186"/>
      <c r="S37" s="186"/>
      <c r="T37" s="186"/>
      <c r="U37" s="186"/>
      <c r="V37" s="186"/>
      <c r="W37" s="186"/>
      <c r="X37" s="186"/>
      <c r="Y37" s="186"/>
      <c r="Z37" s="186"/>
      <c r="AA37" s="186"/>
      <c r="AB37" s="186"/>
    </row>
    <row r="38" spans="1:28" ht="13" hidden="1">
      <c r="A38" s="123" t="s">
        <v>55</v>
      </c>
      <c r="B38" s="123" t="s">
        <v>881</v>
      </c>
      <c r="C38" s="123" t="s">
        <v>329</v>
      </c>
      <c r="D38" s="123" t="s">
        <v>243</v>
      </c>
      <c r="E38" s="123"/>
      <c r="F38" s="176">
        <v>64</v>
      </c>
      <c r="G38" s="101"/>
      <c r="H38" s="455" t="s">
        <v>3112</v>
      </c>
      <c r="I38" s="101"/>
      <c r="J38" s="101"/>
      <c r="K38" s="123"/>
      <c r="L38" s="101"/>
      <c r="M38" s="101" t="s">
        <v>3128</v>
      </c>
      <c r="N38" s="186"/>
      <c r="O38" s="186"/>
      <c r="P38" s="101"/>
      <c r="Q38" s="101"/>
      <c r="R38" s="186"/>
      <c r="S38" s="186"/>
      <c r="T38" s="186"/>
      <c r="U38" s="186"/>
      <c r="V38" s="186"/>
      <c r="W38" s="186"/>
      <c r="X38" s="186"/>
      <c r="Y38" s="186"/>
      <c r="Z38" s="186"/>
      <c r="AA38" s="186"/>
      <c r="AB38" s="186"/>
    </row>
    <row r="39" spans="1:28" ht="13" hidden="1">
      <c r="A39" s="123" t="s">
        <v>59</v>
      </c>
      <c r="B39" s="123" t="s">
        <v>884</v>
      </c>
      <c r="C39" s="123" t="s">
        <v>329</v>
      </c>
      <c r="D39" s="123" t="s">
        <v>243</v>
      </c>
      <c r="E39" s="123"/>
      <c r="F39" s="176">
        <v>27</v>
      </c>
      <c r="G39" s="101"/>
      <c r="H39" s="455" t="s">
        <v>3112</v>
      </c>
      <c r="I39" s="101"/>
      <c r="J39" s="102"/>
      <c r="K39" s="101"/>
      <c r="L39" s="101"/>
      <c r="M39" s="101" t="s">
        <v>3025</v>
      </c>
      <c r="N39" s="101"/>
      <c r="O39" s="186"/>
      <c r="P39" s="101"/>
      <c r="Q39" s="101"/>
      <c r="R39" s="186"/>
      <c r="S39" s="186"/>
      <c r="T39" s="186"/>
      <c r="U39" s="186"/>
      <c r="V39" s="186"/>
      <c r="W39" s="186"/>
      <c r="X39" s="186"/>
      <c r="Y39" s="186"/>
      <c r="Z39" s="186"/>
      <c r="AA39" s="186"/>
      <c r="AB39" s="186"/>
    </row>
    <row r="40" spans="1:28" ht="13" hidden="1">
      <c r="A40" s="123" t="s">
        <v>53</v>
      </c>
      <c r="B40" s="123" t="s">
        <v>1192</v>
      </c>
      <c r="C40" s="123" t="s">
        <v>242</v>
      </c>
      <c r="D40" s="123" t="s">
        <v>243</v>
      </c>
      <c r="E40" s="101"/>
      <c r="F40" s="176">
        <v>4</v>
      </c>
      <c r="G40" s="101"/>
      <c r="H40" s="455" t="s">
        <v>3112</v>
      </c>
      <c r="I40" s="101"/>
      <c r="J40" s="101"/>
      <c r="K40" s="101"/>
      <c r="L40" s="101"/>
      <c r="M40" s="186" t="s">
        <v>1190</v>
      </c>
      <c r="N40" s="101"/>
      <c r="O40" s="101"/>
      <c r="P40" s="101"/>
      <c r="Q40" s="105"/>
      <c r="R40" s="105"/>
      <c r="S40" s="105"/>
      <c r="T40" s="105"/>
      <c r="U40" s="105"/>
      <c r="V40" s="105"/>
      <c r="W40" s="105"/>
      <c r="X40" s="105"/>
      <c r="Y40" s="105"/>
      <c r="Z40" s="105"/>
      <c r="AA40" s="105"/>
      <c r="AB40" s="105"/>
    </row>
    <row r="41" spans="1:28" ht="13" hidden="1">
      <c r="A41" s="123" t="s">
        <v>59</v>
      </c>
      <c r="B41" s="123" t="s">
        <v>885</v>
      </c>
      <c r="C41" s="123" t="s">
        <v>329</v>
      </c>
      <c r="D41" s="123" t="s">
        <v>243</v>
      </c>
      <c r="E41" s="123"/>
      <c r="F41" s="176">
        <v>29</v>
      </c>
      <c r="G41" s="101"/>
      <c r="H41" s="455" t="s">
        <v>3112</v>
      </c>
      <c r="I41" s="101"/>
      <c r="J41" s="102"/>
      <c r="K41" s="101"/>
      <c r="L41" s="101"/>
      <c r="M41" s="101" t="s">
        <v>3026</v>
      </c>
      <c r="N41" s="101"/>
      <c r="O41" s="186"/>
      <c r="P41" s="101"/>
      <c r="Q41" s="101"/>
      <c r="R41" s="186"/>
      <c r="S41" s="186"/>
      <c r="T41" s="186"/>
      <c r="U41" s="186"/>
      <c r="V41" s="186"/>
      <c r="W41" s="186"/>
      <c r="X41" s="186"/>
      <c r="Y41" s="186"/>
      <c r="Z41" s="186"/>
      <c r="AA41" s="186"/>
      <c r="AB41" s="186"/>
    </row>
    <row r="42" spans="1:28" ht="13" hidden="1">
      <c r="A42" s="123" t="s">
        <v>59</v>
      </c>
      <c r="B42" s="123" t="s">
        <v>3057</v>
      </c>
      <c r="C42" s="123" t="s">
        <v>329</v>
      </c>
      <c r="D42" s="123" t="s">
        <v>243</v>
      </c>
      <c r="E42" s="123"/>
      <c r="F42" s="176">
        <v>30</v>
      </c>
      <c r="G42" s="101"/>
      <c r="H42" s="455" t="s">
        <v>3112</v>
      </c>
      <c r="I42" s="101"/>
      <c r="J42" s="101"/>
      <c r="K42" s="101"/>
      <c r="L42" s="101"/>
      <c r="M42" s="101" t="s">
        <v>3129</v>
      </c>
      <c r="N42" s="101"/>
      <c r="O42" s="186"/>
      <c r="P42" s="101"/>
      <c r="Q42" s="101"/>
      <c r="R42" s="186"/>
      <c r="S42" s="186"/>
      <c r="T42" s="186"/>
      <c r="U42" s="186"/>
      <c r="V42" s="186"/>
      <c r="W42" s="186"/>
      <c r="X42" s="186"/>
      <c r="Y42" s="186"/>
      <c r="Z42" s="186"/>
      <c r="AA42" s="186"/>
      <c r="AB42" s="186"/>
    </row>
    <row r="43" spans="1:28" ht="13" hidden="1">
      <c r="A43" s="123" t="s">
        <v>59</v>
      </c>
      <c r="B43" s="123" t="s">
        <v>886</v>
      </c>
      <c r="C43" s="123" t="s">
        <v>329</v>
      </c>
      <c r="D43" s="123" t="s">
        <v>243</v>
      </c>
      <c r="E43" s="123"/>
      <c r="F43" s="176">
        <v>31</v>
      </c>
      <c r="G43" s="101"/>
      <c r="H43" s="455" t="s">
        <v>3112</v>
      </c>
      <c r="I43" s="101"/>
      <c r="J43" s="102"/>
      <c r="K43" s="101"/>
      <c r="L43" s="101"/>
      <c r="M43" s="101" t="s">
        <v>3027</v>
      </c>
      <c r="N43" s="101"/>
      <c r="O43" s="186"/>
      <c r="P43" s="101"/>
      <c r="Q43" s="101"/>
      <c r="R43" s="186"/>
      <c r="S43" s="186"/>
      <c r="T43" s="186"/>
      <c r="U43" s="186"/>
      <c r="V43" s="186"/>
      <c r="W43" s="186"/>
      <c r="X43" s="186"/>
      <c r="Y43" s="186"/>
      <c r="Z43" s="186"/>
      <c r="AA43" s="186"/>
      <c r="AB43" s="186"/>
    </row>
    <row r="44" spans="1:28" ht="13" hidden="1">
      <c r="A44" s="441" t="s">
        <v>55</v>
      </c>
      <c r="B44" s="441" t="s">
        <v>3058</v>
      </c>
      <c r="C44" s="441" t="s">
        <v>329</v>
      </c>
      <c r="D44" s="441" t="s">
        <v>243</v>
      </c>
      <c r="E44" s="101"/>
      <c r="F44" s="441"/>
      <c r="G44" s="101"/>
      <c r="H44" s="455" t="s">
        <v>3112</v>
      </c>
      <c r="I44" s="101"/>
      <c r="J44" s="441"/>
      <c r="K44" s="101"/>
      <c r="L44" s="101"/>
      <c r="M44" s="188" t="s">
        <v>3059</v>
      </c>
      <c r="N44" s="186"/>
      <c r="O44" s="186"/>
      <c r="P44" s="101"/>
      <c r="Q44" s="101"/>
      <c r="R44" s="186"/>
      <c r="S44" s="186"/>
      <c r="T44" s="186"/>
      <c r="U44" s="186"/>
      <c r="V44" s="186"/>
      <c r="W44" s="186"/>
      <c r="X44" s="186"/>
      <c r="Y44" s="186"/>
      <c r="Z44" s="186"/>
      <c r="AA44" s="186"/>
      <c r="AB44" s="186"/>
    </row>
    <row r="45" spans="1:28" ht="13" hidden="1">
      <c r="A45" s="441" t="s">
        <v>55</v>
      </c>
      <c r="B45" s="441" t="s">
        <v>3060</v>
      </c>
      <c r="C45" s="441" t="s">
        <v>329</v>
      </c>
      <c r="D45" s="441" t="s">
        <v>243</v>
      </c>
      <c r="E45" s="101"/>
      <c r="F45" s="441"/>
      <c r="G45" s="101"/>
      <c r="H45" s="455" t="s">
        <v>3112</v>
      </c>
      <c r="I45" s="101"/>
      <c r="J45" s="441"/>
      <c r="K45" s="101"/>
      <c r="L45" s="101"/>
      <c r="M45" s="188" t="s">
        <v>3061</v>
      </c>
      <c r="N45" s="186"/>
      <c r="O45" s="186"/>
      <c r="P45" s="101"/>
      <c r="Q45" s="101"/>
      <c r="R45" s="186"/>
      <c r="S45" s="186"/>
      <c r="T45" s="186"/>
      <c r="U45" s="186"/>
      <c r="V45" s="186"/>
      <c r="W45" s="186"/>
      <c r="X45" s="186"/>
      <c r="Y45" s="186"/>
      <c r="Z45" s="186"/>
      <c r="AA45" s="186"/>
      <c r="AB45" s="186"/>
    </row>
    <row r="46" spans="1:28" ht="13" hidden="1">
      <c r="A46" s="441" t="s">
        <v>55</v>
      </c>
      <c r="B46" s="441" t="s">
        <v>3062</v>
      </c>
      <c r="C46" s="441" t="s">
        <v>329</v>
      </c>
      <c r="D46" s="441" t="s">
        <v>243</v>
      </c>
      <c r="E46" s="101"/>
      <c r="F46" s="441"/>
      <c r="G46" s="101"/>
      <c r="H46" s="455" t="s">
        <v>3112</v>
      </c>
      <c r="I46" s="101"/>
      <c r="J46" s="441"/>
      <c r="K46" s="101"/>
      <c r="L46" s="101"/>
      <c r="M46" s="188" t="s">
        <v>3063</v>
      </c>
      <c r="N46" s="186"/>
      <c r="O46" s="186"/>
      <c r="P46" s="101"/>
      <c r="Q46" s="101"/>
      <c r="R46" s="186"/>
      <c r="S46" s="186"/>
      <c r="T46" s="186"/>
      <c r="U46" s="186"/>
      <c r="V46" s="186"/>
      <c r="W46" s="186"/>
      <c r="X46" s="186"/>
      <c r="Y46" s="186"/>
      <c r="Z46" s="186"/>
      <c r="AA46" s="186"/>
      <c r="AB46" s="186"/>
    </row>
    <row r="47" spans="1:28" ht="13" hidden="1">
      <c r="A47" s="441" t="s">
        <v>55</v>
      </c>
      <c r="B47" s="441" t="s">
        <v>3064</v>
      </c>
      <c r="C47" s="441" t="s">
        <v>329</v>
      </c>
      <c r="D47" s="441" t="s">
        <v>243</v>
      </c>
      <c r="E47" s="101"/>
      <c r="F47" s="441"/>
      <c r="G47" s="101"/>
      <c r="H47" s="455" t="s">
        <v>3112</v>
      </c>
      <c r="I47" s="101"/>
      <c r="J47" s="441"/>
      <c r="K47" s="101"/>
      <c r="L47" s="101"/>
      <c r="M47" s="188" t="s">
        <v>3065</v>
      </c>
      <c r="N47" s="186"/>
      <c r="O47" s="186"/>
      <c r="P47" s="101"/>
      <c r="Q47" s="101"/>
      <c r="R47" s="186"/>
      <c r="S47" s="186"/>
      <c r="T47" s="186"/>
      <c r="U47" s="186"/>
      <c r="V47" s="186"/>
      <c r="W47" s="186"/>
      <c r="X47" s="186"/>
      <c r="Y47" s="186"/>
      <c r="Z47" s="186"/>
      <c r="AA47" s="186"/>
      <c r="AB47" s="186"/>
    </row>
    <row r="48" spans="1:28" ht="13" hidden="1">
      <c r="A48" s="441" t="s">
        <v>55</v>
      </c>
      <c r="B48" s="441" t="s">
        <v>3066</v>
      </c>
      <c r="C48" s="441" t="s">
        <v>329</v>
      </c>
      <c r="D48" s="441" t="s">
        <v>243</v>
      </c>
      <c r="E48" s="101"/>
      <c r="F48" s="441"/>
      <c r="G48" s="101"/>
      <c r="H48" s="455" t="s">
        <v>3112</v>
      </c>
      <c r="I48" s="101"/>
      <c r="J48" s="441"/>
      <c r="K48" s="101"/>
      <c r="L48" s="101"/>
      <c r="M48" s="101"/>
      <c r="N48" s="186"/>
      <c r="O48" s="186"/>
      <c r="P48" s="101"/>
      <c r="Q48" s="101"/>
      <c r="R48" s="186"/>
      <c r="S48" s="186"/>
      <c r="T48" s="186"/>
      <c r="U48" s="186"/>
      <c r="V48" s="186"/>
      <c r="W48" s="186"/>
      <c r="X48" s="186"/>
      <c r="Y48" s="186"/>
      <c r="Z48" s="186"/>
      <c r="AA48" s="186"/>
      <c r="AB48" s="186"/>
    </row>
    <row r="49" spans="1:28" ht="13" hidden="1">
      <c r="A49" s="441" t="s">
        <v>55</v>
      </c>
      <c r="B49" s="441" t="s">
        <v>3068</v>
      </c>
      <c r="C49" s="441" t="s">
        <v>329</v>
      </c>
      <c r="D49" s="441" t="s">
        <v>243</v>
      </c>
      <c r="E49" s="101"/>
      <c r="F49" s="441"/>
      <c r="G49" s="101"/>
      <c r="H49" s="455" t="s">
        <v>3112</v>
      </c>
      <c r="I49" s="101"/>
      <c r="J49" s="441"/>
      <c r="K49" s="101"/>
      <c r="L49" s="101"/>
      <c r="M49" s="188" t="s">
        <v>3067</v>
      </c>
      <c r="N49" s="186"/>
      <c r="O49" s="186"/>
      <c r="P49" s="101"/>
      <c r="Q49" s="101"/>
      <c r="R49" s="186"/>
      <c r="S49" s="186"/>
      <c r="T49" s="186"/>
      <c r="U49" s="186"/>
      <c r="V49" s="186"/>
      <c r="W49" s="186"/>
      <c r="X49" s="186"/>
      <c r="Y49" s="186"/>
      <c r="Z49" s="186"/>
      <c r="AA49" s="186"/>
      <c r="AB49" s="186"/>
    </row>
    <row r="50" spans="1:28" ht="13" hidden="1">
      <c r="A50" s="441" t="s">
        <v>55</v>
      </c>
      <c r="B50" s="441" t="s">
        <v>3069</v>
      </c>
      <c r="C50" s="441" t="s">
        <v>329</v>
      </c>
      <c r="D50" s="441" t="s">
        <v>243</v>
      </c>
      <c r="E50" s="101"/>
      <c r="F50" s="441"/>
      <c r="G50" s="101"/>
      <c r="H50" s="455" t="s">
        <v>3112</v>
      </c>
      <c r="I50" s="101"/>
      <c r="J50" s="441"/>
      <c r="K50" s="101"/>
      <c r="L50" s="101"/>
      <c r="M50" s="188" t="s">
        <v>3070</v>
      </c>
      <c r="N50" s="186"/>
      <c r="O50" s="186"/>
      <c r="P50" s="101"/>
      <c r="Q50" s="101"/>
      <c r="R50" s="186"/>
      <c r="S50" s="186"/>
      <c r="T50" s="186"/>
      <c r="U50" s="186"/>
      <c r="V50" s="186"/>
      <c r="W50" s="186"/>
      <c r="X50" s="186"/>
      <c r="Y50" s="186"/>
      <c r="Z50" s="186"/>
      <c r="AA50" s="186"/>
      <c r="AB50" s="186"/>
    </row>
    <row r="51" spans="1:28" ht="13" hidden="1">
      <c r="A51" s="316" t="s">
        <v>55</v>
      </c>
      <c r="B51" s="316" t="s">
        <v>3130</v>
      </c>
      <c r="C51" s="316" t="s">
        <v>329</v>
      </c>
      <c r="D51" s="316" t="s">
        <v>243</v>
      </c>
      <c r="E51" s="101"/>
      <c r="F51" s="316"/>
      <c r="G51" s="101"/>
      <c r="H51" s="455" t="s">
        <v>3112</v>
      </c>
      <c r="I51" s="101"/>
      <c r="J51" s="316"/>
      <c r="K51" s="101"/>
      <c r="L51" s="101"/>
      <c r="M51" s="317" t="s">
        <v>3070</v>
      </c>
      <c r="N51" s="101"/>
      <c r="O51" s="101"/>
      <c r="P51" s="101"/>
      <c r="Q51" s="101"/>
      <c r="R51" s="101"/>
      <c r="S51" s="101"/>
      <c r="T51" s="101"/>
      <c r="U51" s="101"/>
      <c r="V51" s="101"/>
      <c r="W51" s="101"/>
      <c r="X51" s="101"/>
      <c r="Y51" s="101"/>
      <c r="Z51" s="101"/>
      <c r="AA51" s="101"/>
      <c r="AB51" s="101"/>
    </row>
    <row r="52" spans="1:28" ht="13" hidden="1">
      <c r="A52" s="123" t="s">
        <v>55</v>
      </c>
      <c r="B52" s="123" t="s">
        <v>750</v>
      </c>
      <c r="C52" s="123" t="s">
        <v>329</v>
      </c>
      <c r="D52" s="123" t="s">
        <v>243</v>
      </c>
      <c r="E52" s="123"/>
      <c r="F52" s="123"/>
      <c r="G52" s="101"/>
      <c r="H52" s="455" t="s">
        <v>3112</v>
      </c>
      <c r="I52" s="101"/>
      <c r="J52" s="101"/>
      <c r="K52" s="101"/>
      <c r="L52" s="101"/>
      <c r="M52" s="123" t="s">
        <v>2743</v>
      </c>
      <c r="N52" s="186"/>
      <c r="O52" s="186"/>
      <c r="P52" s="101"/>
      <c r="Q52" s="101"/>
      <c r="R52" s="186"/>
      <c r="S52" s="186"/>
      <c r="T52" s="186"/>
      <c r="U52" s="186"/>
      <c r="V52" s="186"/>
      <c r="W52" s="186"/>
      <c r="X52" s="186"/>
      <c r="Y52" s="186"/>
      <c r="Z52" s="186"/>
      <c r="AA52" s="186"/>
      <c r="AB52" s="186"/>
    </row>
    <row r="53" spans="1:28" ht="13" hidden="1">
      <c r="A53" s="123" t="s">
        <v>53</v>
      </c>
      <c r="B53" s="123" t="s">
        <v>1193</v>
      </c>
      <c r="C53" s="123" t="s">
        <v>247</v>
      </c>
      <c r="D53" s="123" t="s">
        <v>243</v>
      </c>
      <c r="E53" s="101"/>
      <c r="F53" s="176">
        <v>5</v>
      </c>
      <c r="G53" s="101"/>
      <c r="H53" s="455" t="s">
        <v>3112</v>
      </c>
      <c r="I53" s="101"/>
      <c r="J53" s="101"/>
      <c r="K53" s="101"/>
      <c r="L53" s="101"/>
      <c r="M53" s="186" t="s">
        <v>1190</v>
      </c>
      <c r="N53" s="101"/>
      <c r="O53" s="101"/>
      <c r="P53" s="101"/>
      <c r="Q53" s="101"/>
      <c r="R53" s="186"/>
      <c r="S53" s="186"/>
      <c r="T53" s="186"/>
      <c r="U53" s="186"/>
      <c r="V53" s="186"/>
      <c r="W53" s="186"/>
      <c r="X53" s="186"/>
      <c r="Y53" s="186"/>
      <c r="Z53" s="186"/>
      <c r="AA53" s="186"/>
      <c r="AB53" s="186"/>
    </row>
    <row r="54" spans="1:28" ht="13" hidden="1">
      <c r="A54" s="123" t="s">
        <v>53</v>
      </c>
      <c r="B54" s="123" t="s">
        <v>1194</v>
      </c>
      <c r="C54" s="123" t="s">
        <v>252</v>
      </c>
      <c r="D54" s="123" t="s">
        <v>243</v>
      </c>
      <c r="E54" s="101"/>
      <c r="F54" s="176">
        <v>6</v>
      </c>
      <c r="G54" s="101"/>
      <c r="H54" s="455" t="s">
        <v>3112</v>
      </c>
      <c r="I54" s="101"/>
      <c r="J54" s="101"/>
      <c r="K54" s="101"/>
      <c r="L54" s="101"/>
      <c r="M54" s="186" t="s">
        <v>1190</v>
      </c>
      <c r="N54" s="101"/>
      <c r="O54" s="101"/>
      <c r="P54" s="101"/>
      <c r="Q54" s="101"/>
      <c r="R54" s="186"/>
      <c r="S54" s="186"/>
      <c r="T54" s="186"/>
      <c r="U54" s="186"/>
      <c r="V54" s="186"/>
      <c r="W54" s="186"/>
      <c r="X54" s="186"/>
      <c r="Y54" s="186"/>
      <c r="Z54" s="186"/>
      <c r="AA54" s="186"/>
      <c r="AB54" s="186"/>
    </row>
    <row r="55" spans="1:28" ht="13" hidden="1">
      <c r="A55" s="123" t="s">
        <v>53</v>
      </c>
      <c r="B55" s="123" t="s">
        <v>124</v>
      </c>
      <c r="C55" s="123" t="s">
        <v>535</v>
      </c>
      <c r="D55" s="123" t="s">
        <v>903</v>
      </c>
      <c r="E55" s="123"/>
      <c r="F55" s="176">
        <v>1</v>
      </c>
      <c r="G55" s="101"/>
      <c r="H55" s="455" t="s">
        <v>3112</v>
      </c>
      <c r="I55" s="101"/>
      <c r="J55" s="101"/>
      <c r="K55" s="123"/>
      <c r="L55" s="101"/>
      <c r="M55" s="101" t="s">
        <v>1190</v>
      </c>
      <c r="N55" s="186"/>
      <c r="O55" s="186"/>
      <c r="P55" s="101"/>
      <c r="Q55" s="101"/>
      <c r="R55" s="186"/>
      <c r="S55" s="186"/>
      <c r="T55" s="186"/>
      <c r="U55" s="186"/>
      <c r="V55" s="186"/>
      <c r="W55" s="186"/>
      <c r="X55" s="186"/>
      <c r="Y55" s="186"/>
      <c r="Z55" s="186"/>
      <c r="AA55" s="186"/>
      <c r="AB55" s="186"/>
    </row>
    <row r="56" spans="1:28" ht="13" hidden="1">
      <c r="A56" s="123" t="s">
        <v>55</v>
      </c>
      <c r="B56" s="123" t="s">
        <v>869</v>
      </c>
      <c r="C56" s="123" t="s">
        <v>329</v>
      </c>
      <c r="D56" s="123" t="s">
        <v>243</v>
      </c>
      <c r="E56" s="123"/>
      <c r="F56" s="123"/>
      <c r="G56" s="101"/>
      <c r="H56" s="455" t="s">
        <v>3112</v>
      </c>
      <c r="I56" s="101"/>
      <c r="J56" s="101"/>
      <c r="K56" s="101"/>
      <c r="L56" s="101"/>
      <c r="M56" s="123" t="s">
        <v>3018</v>
      </c>
      <c r="N56" s="186"/>
      <c r="O56" s="186"/>
      <c r="P56" s="101"/>
      <c r="Q56" s="101"/>
      <c r="R56" s="186"/>
      <c r="S56" s="186"/>
      <c r="T56" s="186"/>
      <c r="U56" s="186"/>
      <c r="V56" s="186"/>
      <c r="W56" s="186"/>
      <c r="X56" s="186"/>
      <c r="Y56" s="186"/>
      <c r="Z56" s="186"/>
      <c r="AA56" s="186"/>
      <c r="AB56" s="186"/>
    </row>
    <row r="57" spans="1:28" ht="13" hidden="1">
      <c r="A57" s="123" t="s">
        <v>55</v>
      </c>
      <c r="B57" s="123" t="s">
        <v>3077</v>
      </c>
      <c r="C57" s="123" t="s">
        <v>329</v>
      </c>
      <c r="D57" s="123" t="s">
        <v>243</v>
      </c>
      <c r="E57" s="123"/>
      <c r="F57" s="176">
        <v>59</v>
      </c>
      <c r="G57" s="101"/>
      <c r="H57" s="455" t="s">
        <v>3112</v>
      </c>
      <c r="I57" s="101"/>
      <c r="J57" s="101"/>
      <c r="K57" s="123"/>
      <c r="L57" s="101"/>
      <c r="M57" s="101" t="s">
        <v>3131</v>
      </c>
      <c r="N57" s="186"/>
      <c r="O57" s="186"/>
      <c r="P57" s="101"/>
      <c r="Q57" s="101"/>
      <c r="R57" s="186"/>
      <c r="S57" s="186"/>
      <c r="T57" s="186"/>
      <c r="U57" s="186"/>
      <c r="V57" s="186"/>
      <c r="W57" s="186"/>
      <c r="X57" s="186"/>
      <c r="Y57" s="186"/>
      <c r="Z57" s="186"/>
      <c r="AA57" s="186"/>
      <c r="AB57" s="186"/>
    </row>
    <row r="58" spans="1:28" ht="13" hidden="1">
      <c r="A58" s="123" t="s">
        <v>59</v>
      </c>
      <c r="B58" s="123" t="s">
        <v>3078</v>
      </c>
      <c r="C58" s="123" t="s">
        <v>329</v>
      </c>
      <c r="D58" s="123" t="s">
        <v>243</v>
      </c>
      <c r="E58" s="123"/>
      <c r="F58" s="176">
        <v>33</v>
      </c>
      <c r="G58" s="101"/>
      <c r="H58" s="455" t="s">
        <v>3112</v>
      </c>
      <c r="I58" s="101"/>
      <c r="J58" s="101"/>
      <c r="K58" s="101"/>
      <c r="L58" s="101"/>
      <c r="M58" s="101" t="s">
        <v>3132</v>
      </c>
      <c r="N58" s="101"/>
      <c r="O58" s="186"/>
      <c r="P58" s="101"/>
      <c r="Q58" s="101"/>
      <c r="R58" s="186"/>
      <c r="S58" s="186"/>
      <c r="T58" s="186"/>
      <c r="U58" s="186"/>
      <c r="V58" s="186"/>
      <c r="W58" s="186"/>
      <c r="X58" s="186"/>
      <c r="Y58" s="186"/>
      <c r="Z58" s="186"/>
      <c r="AA58" s="186"/>
      <c r="AB58" s="186"/>
    </row>
    <row r="59" spans="1:28" ht="13" hidden="1">
      <c r="A59" s="123" t="s">
        <v>55</v>
      </c>
      <c r="B59" s="123" t="s">
        <v>3079</v>
      </c>
      <c r="C59" s="123" t="s">
        <v>329</v>
      </c>
      <c r="D59" s="123" t="s">
        <v>243</v>
      </c>
      <c r="E59" s="123"/>
      <c r="F59" s="176">
        <v>34</v>
      </c>
      <c r="G59" s="101"/>
      <c r="H59" s="455" t="s">
        <v>3112</v>
      </c>
      <c r="I59" s="101"/>
      <c r="J59" s="101"/>
      <c r="K59" s="101"/>
      <c r="L59" s="101"/>
      <c r="M59" s="101" t="s">
        <v>3133</v>
      </c>
      <c r="N59" s="101"/>
      <c r="O59" s="186"/>
      <c r="P59" s="101"/>
      <c r="Q59" s="101"/>
      <c r="R59" s="186"/>
      <c r="S59" s="186"/>
      <c r="T59" s="186"/>
      <c r="U59" s="186"/>
      <c r="V59" s="186"/>
      <c r="W59" s="186"/>
      <c r="X59" s="186"/>
      <c r="Y59" s="186"/>
      <c r="Z59" s="186"/>
      <c r="AA59" s="186"/>
      <c r="AB59" s="186"/>
    </row>
    <row r="60" spans="1:28" ht="13" hidden="1">
      <c r="A60" s="123" t="s">
        <v>55</v>
      </c>
      <c r="B60" s="123" t="s">
        <v>3080</v>
      </c>
      <c r="C60" s="123" t="s">
        <v>329</v>
      </c>
      <c r="D60" s="123" t="s">
        <v>243</v>
      </c>
      <c r="E60" s="123"/>
      <c r="F60" s="176">
        <v>67</v>
      </c>
      <c r="G60" s="101"/>
      <c r="H60" s="455" t="s">
        <v>3112</v>
      </c>
      <c r="I60" s="101"/>
      <c r="J60" s="101"/>
      <c r="K60" s="123"/>
      <c r="L60" s="101"/>
      <c r="M60" s="101" t="s">
        <v>3134</v>
      </c>
      <c r="N60" s="186"/>
      <c r="O60" s="186"/>
      <c r="P60" s="101"/>
      <c r="Q60" s="101"/>
      <c r="R60" s="186"/>
      <c r="S60" s="186"/>
      <c r="T60" s="186"/>
      <c r="U60" s="186"/>
      <c r="V60" s="186"/>
      <c r="W60" s="186"/>
      <c r="X60" s="186"/>
      <c r="Y60" s="186"/>
      <c r="Z60" s="186"/>
      <c r="AA60" s="186"/>
      <c r="AB60" s="186"/>
    </row>
    <row r="61" spans="1:28" ht="13" hidden="1">
      <c r="A61" s="123" t="s">
        <v>55</v>
      </c>
      <c r="B61" s="123" t="s">
        <v>3081</v>
      </c>
      <c r="C61" s="123" t="s">
        <v>329</v>
      </c>
      <c r="D61" s="123" t="s">
        <v>243</v>
      </c>
      <c r="E61" s="123"/>
      <c r="F61" s="176">
        <v>35</v>
      </c>
      <c r="G61" s="101"/>
      <c r="H61" s="455" t="s">
        <v>3112</v>
      </c>
      <c r="I61" s="101"/>
      <c r="J61" s="101"/>
      <c r="K61" s="101"/>
      <c r="L61" s="101"/>
      <c r="M61" s="101" t="s">
        <v>3135</v>
      </c>
      <c r="N61" s="101"/>
      <c r="O61" s="186"/>
      <c r="P61" s="186"/>
      <c r="Q61" s="186"/>
      <c r="R61" s="186"/>
      <c r="S61" s="186"/>
      <c r="T61" s="186"/>
      <c r="U61" s="186"/>
      <c r="V61" s="186"/>
      <c r="W61" s="186"/>
      <c r="X61" s="186"/>
      <c r="Y61" s="186"/>
      <c r="Z61" s="186"/>
      <c r="AA61" s="186"/>
      <c r="AB61" s="186"/>
    </row>
    <row r="62" spans="1:28" ht="13" hidden="1">
      <c r="A62" s="123" t="s">
        <v>55</v>
      </c>
      <c r="B62" s="123" t="s">
        <v>3082</v>
      </c>
      <c r="C62" s="123" t="s">
        <v>329</v>
      </c>
      <c r="D62" s="123" t="s">
        <v>243</v>
      </c>
      <c r="E62" s="123"/>
      <c r="F62" s="176">
        <v>36</v>
      </c>
      <c r="G62" s="101"/>
      <c r="H62" s="455" t="s">
        <v>3112</v>
      </c>
      <c r="I62" s="101"/>
      <c r="J62" s="101"/>
      <c r="K62" s="101"/>
      <c r="L62" s="101"/>
      <c r="M62" s="101" t="s">
        <v>3136</v>
      </c>
      <c r="N62" s="101"/>
      <c r="O62" s="186"/>
      <c r="P62" s="186"/>
      <c r="Q62" s="186"/>
      <c r="R62" s="186"/>
      <c r="S62" s="186"/>
      <c r="T62" s="186"/>
      <c r="U62" s="186"/>
      <c r="V62" s="186"/>
      <c r="W62" s="186"/>
      <c r="X62" s="186"/>
      <c r="Y62" s="186"/>
      <c r="Z62" s="186"/>
      <c r="AA62" s="186"/>
      <c r="AB62" s="186"/>
    </row>
    <row r="63" spans="1:28" ht="13" hidden="1">
      <c r="A63" s="123" t="s">
        <v>55</v>
      </c>
      <c r="B63" s="123" t="s">
        <v>3083</v>
      </c>
      <c r="C63" s="123" t="s">
        <v>329</v>
      </c>
      <c r="D63" s="123" t="s">
        <v>243</v>
      </c>
      <c r="E63" s="123"/>
      <c r="F63" s="176">
        <v>37</v>
      </c>
      <c r="G63" s="101"/>
      <c r="H63" s="455" t="s">
        <v>3112</v>
      </c>
      <c r="I63" s="101"/>
      <c r="J63" s="101"/>
      <c r="K63" s="101"/>
      <c r="L63" s="101"/>
      <c r="M63" s="101" t="s">
        <v>3137</v>
      </c>
      <c r="N63" s="101"/>
      <c r="O63" s="186"/>
      <c r="P63" s="186"/>
      <c r="Q63" s="186"/>
      <c r="R63" s="186"/>
      <c r="S63" s="186"/>
      <c r="T63" s="186"/>
      <c r="U63" s="186"/>
      <c r="V63" s="186"/>
      <c r="W63" s="186"/>
      <c r="X63" s="186"/>
      <c r="Y63" s="186"/>
      <c r="Z63" s="186"/>
      <c r="AA63" s="186"/>
      <c r="AB63" s="186"/>
    </row>
    <row r="64" spans="1:28" ht="13" hidden="1">
      <c r="A64" s="123" t="s">
        <v>55</v>
      </c>
      <c r="B64" s="123" t="s">
        <v>3084</v>
      </c>
      <c r="C64" s="123" t="s">
        <v>329</v>
      </c>
      <c r="D64" s="123" t="s">
        <v>243</v>
      </c>
      <c r="E64" s="123"/>
      <c r="F64" s="176">
        <v>38</v>
      </c>
      <c r="G64" s="101"/>
      <c r="H64" s="455" t="s">
        <v>3112</v>
      </c>
      <c r="I64" s="101"/>
      <c r="J64" s="101"/>
      <c r="K64" s="101"/>
      <c r="L64" s="101"/>
      <c r="M64" s="101" t="s">
        <v>3138</v>
      </c>
      <c r="N64" s="101"/>
      <c r="O64" s="186"/>
      <c r="P64" s="186"/>
      <c r="Q64" s="186"/>
      <c r="R64" s="186"/>
      <c r="S64" s="186"/>
      <c r="T64" s="186"/>
      <c r="U64" s="186"/>
      <c r="V64" s="186"/>
      <c r="W64" s="186"/>
      <c r="X64" s="186"/>
      <c r="Y64" s="186"/>
      <c r="Z64" s="186"/>
      <c r="AA64" s="186"/>
      <c r="AB64" s="186"/>
    </row>
    <row r="65" spans="1:28" ht="13" hidden="1">
      <c r="A65" s="123" t="s">
        <v>55</v>
      </c>
      <c r="B65" s="439" t="s">
        <v>3085</v>
      </c>
      <c r="C65" s="439" t="s">
        <v>329</v>
      </c>
      <c r="D65" s="123" t="s">
        <v>243</v>
      </c>
      <c r="E65" s="123"/>
      <c r="F65" s="315">
        <v>72</v>
      </c>
      <c r="G65" s="101"/>
      <c r="H65" s="455" t="s">
        <v>3112</v>
      </c>
      <c r="I65" s="101"/>
      <c r="J65" s="102"/>
      <c r="K65" s="101"/>
      <c r="L65" s="101"/>
      <c r="M65" s="101"/>
      <c r="N65" s="101"/>
      <c r="O65" s="186"/>
      <c r="P65" s="186"/>
      <c r="Q65" s="186"/>
      <c r="R65" s="186"/>
      <c r="S65" s="186"/>
      <c r="T65" s="186"/>
      <c r="U65" s="186"/>
      <c r="V65" s="186"/>
      <c r="W65" s="186"/>
      <c r="X65" s="186"/>
      <c r="Y65" s="186"/>
      <c r="Z65" s="186"/>
      <c r="AA65" s="186"/>
      <c r="AB65" s="186"/>
    </row>
    <row r="66" spans="1:28" ht="13" hidden="1">
      <c r="A66" s="123" t="s">
        <v>55</v>
      </c>
      <c r="B66" s="123" t="s">
        <v>3086</v>
      </c>
      <c r="C66" s="123" t="s">
        <v>329</v>
      </c>
      <c r="D66" s="123" t="s">
        <v>243</v>
      </c>
      <c r="E66" s="123"/>
      <c r="F66" s="176">
        <v>63</v>
      </c>
      <c r="G66" s="101"/>
      <c r="H66" s="455" t="s">
        <v>3112</v>
      </c>
      <c r="I66" s="101"/>
      <c r="J66" s="101"/>
      <c r="K66" s="123"/>
      <c r="L66" s="101"/>
      <c r="M66" s="101" t="s">
        <v>3139</v>
      </c>
      <c r="N66" s="186"/>
      <c r="O66" s="186"/>
      <c r="P66" s="186"/>
      <c r="Q66" s="186"/>
      <c r="R66" s="186"/>
      <c r="S66" s="186"/>
      <c r="T66" s="186"/>
      <c r="U66" s="186"/>
      <c r="V66" s="186"/>
      <c r="W66" s="186"/>
      <c r="X66" s="186"/>
      <c r="Y66" s="186"/>
      <c r="Z66" s="186"/>
      <c r="AA66" s="186"/>
      <c r="AB66" s="186"/>
    </row>
    <row r="67" spans="1:28" ht="13" hidden="1">
      <c r="A67" s="123" t="s">
        <v>55</v>
      </c>
      <c r="B67" s="123" t="s">
        <v>3087</v>
      </c>
      <c r="C67" s="123" t="s">
        <v>329</v>
      </c>
      <c r="D67" s="123" t="s">
        <v>243</v>
      </c>
      <c r="E67" s="123"/>
      <c r="F67" s="176">
        <v>39</v>
      </c>
      <c r="G67" s="101"/>
      <c r="H67" s="455" t="s">
        <v>3112</v>
      </c>
      <c r="I67" s="101"/>
      <c r="J67" s="101"/>
      <c r="K67" s="101"/>
      <c r="L67" s="101"/>
      <c r="M67" s="101" t="s">
        <v>3140</v>
      </c>
      <c r="N67" s="101"/>
      <c r="O67" s="186"/>
      <c r="P67" s="186"/>
      <c r="Q67" s="186"/>
      <c r="R67" s="186"/>
      <c r="S67" s="186"/>
      <c r="T67" s="186"/>
      <c r="U67" s="186"/>
      <c r="V67" s="186"/>
      <c r="W67" s="186"/>
      <c r="X67" s="186"/>
      <c r="Y67" s="186"/>
      <c r="Z67" s="186"/>
      <c r="AA67" s="186"/>
      <c r="AB67" s="186"/>
    </row>
    <row r="68" spans="1:28" ht="13" hidden="1">
      <c r="A68" s="123" t="s">
        <v>55</v>
      </c>
      <c r="B68" s="123" t="s">
        <v>3088</v>
      </c>
      <c r="C68" s="123" t="s">
        <v>329</v>
      </c>
      <c r="D68" s="123" t="s">
        <v>243</v>
      </c>
      <c r="E68" s="123"/>
      <c r="F68" s="176">
        <v>40</v>
      </c>
      <c r="G68" s="101"/>
      <c r="H68" s="455" t="s">
        <v>3112</v>
      </c>
      <c r="I68" s="101"/>
      <c r="J68" s="101"/>
      <c r="K68" s="101"/>
      <c r="L68" s="101"/>
      <c r="M68" s="101" t="s">
        <v>3141</v>
      </c>
      <c r="N68" s="101"/>
      <c r="O68" s="186"/>
      <c r="P68" s="186"/>
      <c r="Q68" s="186"/>
      <c r="R68" s="186"/>
      <c r="S68" s="186"/>
      <c r="T68" s="186"/>
      <c r="U68" s="186"/>
      <c r="V68" s="186"/>
      <c r="W68" s="186"/>
      <c r="X68" s="186"/>
      <c r="Y68" s="186"/>
      <c r="Z68" s="186"/>
      <c r="AA68" s="186"/>
      <c r="AB68" s="186"/>
    </row>
    <row r="69" spans="1:28" ht="13" hidden="1">
      <c r="A69" s="123" t="s">
        <v>55</v>
      </c>
      <c r="B69" s="123" t="s">
        <v>3089</v>
      </c>
      <c r="C69" s="123" t="s">
        <v>329</v>
      </c>
      <c r="D69" s="123" t="s">
        <v>243</v>
      </c>
      <c r="E69" s="123"/>
      <c r="F69" s="176">
        <v>41</v>
      </c>
      <c r="G69" s="101"/>
      <c r="H69" s="455" t="s">
        <v>3112</v>
      </c>
      <c r="I69" s="101"/>
      <c r="J69" s="101"/>
      <c r="K69" s="101"/>
      <c r="L69" s="101"/>
      <c r="M69" s="101" t="s">
        <v>3142</v>
      </c>
      <c r="N69" s="101"/>
      <c r="O69" s="123"/>
      <c r="P69" s="123"/>
      <c r="Q69" s="123"/>
      <c r="R69" s="123"/>
      <c r="S69" s="123"/>
      <c r="T69" s="123"/>
      <c r="U69" s="123"/>
      <c r="V69" s="123"/>
      <c r="W69" s="123"/>
      <c r="X69" s="123"/>
      <c r="Y69" s="123"/>
      <c r="Z69" s="123"/>
      <c r="AA69" s="123"/>
      <c r="AB69" s="123"/>
    </row>
    <row r="70" spans="1:28" ht="13" hidden="1">
      <c r="A70" s="123" t="s">
        <v>55</v>
      </c>
      <c r="B70" s="123" t="s">
        <v>3090</v>
      </c>
      <c r="C70" s="123" t="s">
        <v>329</v>
      </c>
      <c r="D70" s="123" t="s">
        <v>243</v>
      </c>
      <c r="E70" s="123"/>
      <c r="F70" s="176">
        <v>42</v>
      </c>
      <c r="G70" s="101"/>
      <c r="H70" s="455" t="s">
        <v>3112</v>
      </c>
      <c r="I70" s="101"/>
      <c r="J70" s="101"/>
      <c r="K70" s="101"/>
      <c r="L70" s="101"/>
      <c r="M70" s="101" t="s">
        <v>3143</v>
      </c>
      <c r="N70" s="101"/>
      <c r="O70" s="186"/>
      <c r="P70" s="186"/>
      <c r="Q70" s="186"/>
      <c r="R70" s="186"/>
      <c r="S70" s="186"/>
      <c r="T70" s="186"/>
      <c r="U70" s="186"/>
      <c r="V70" s="186"/>
      <c r="W70" s="186"/>
      <c r="X70" s="186"/>
      <c r="Y70" s="186"/>
      <c r="Z70" s="186"/>
      <c r="AA70" s="186"/>
      <c r="AB70" s="186"/>
    </row>
    <row r="71" spans="1:28" ht="13" hidden="1">
      <c r="A71" s="123" t="s">
        <v>55</v>
      </c>
      <c r="B71" s="123" t="s">
        <v>3091</v>
      </c>
      <c r="C71" s="123" t="s">
        <v>329</v>
      </c>
      <c r="D71" s="123" t="s">
        <v>243</v>
      </c>
      <c r="E71" s="123"/>
      <c r="F71" s="176">
        <v>43</v>
      </c>
      <c r="G71" s="101"/>
      <c r="H71" s="455" t="s">
        <v>3112</v>
      </c>
      <c r="I71" s="101"/>
      <c r="J71" s="101"/>
      <c r="K71" s="101"/>
      <c r="L71" s="101"/>
      <c r="M71" s="101" t="s">
        <v>3144</v>
      </c>
      <c r="N71" s="101"/>
      <c r="O71" s="186"/>
      <c r="P71" s="186"/>
      <c r="Q71" s="186"/>
      <c r="R71" s="186"/>
      <c r="S71" s="186"/>
      <c r="T71" s="186"/>
      <c r="U71" s="186"/>
      <c r="V71" s="186"/>
      <c r="W71" s="186"/>
      <c r="X71" s="186"/>
      <c r="Y71" s="186"/>
      <c r="Z71" s="186"/>
      <c r="AA71" s="186"/>
      <c r="AB71" s="186"/>
    </row>
    <row r="72" spans="1:28" ht="13" hidden="1">
      <c r="A72" s="123" t="s">
        <v>55</v>
      </c>
      <c r="B72" s="123" t="s">
        <v>404</v>
      </c>
      <c r="C72" s="123" t="s">
        <v>329</v>
      </c>
      <c r="D72" s="123" t="s">
        <v>243</v>
      </c>
      <c r="E72" s="123"/>
      <c r="F72" s="176">
        <v>44</v>
      </c>
      <c r="G72" s="101"/>
      <c r="H72" s="455" t="s">
        <v>3112</v>
      </c>
      <c r="I72" s="101"/>
      <c r="J72" s="101"/>
      <c r="K72" s="101"/>
      <c r="L72" s="101"/>
      <c r="M72" s="101" t="s">
        <v>3145</v>
      </c>
      <c r="N72" s="101"/>
      <c r="O72" s="186"/>
      <c r="P72" s="101"/>
      <c r="Q72" s="101"/>
      <c r="R72" s="186"/>
      <c r="S72" s="186"/>
      <c r="T72" s="186"/>
      <c r="U72" s="186"/>
      <c r="V72" s="186"/>
      <c r="W72" s="186"/>
      <c r="X72" s="186"/>
      <c r="Y72" s="186"/>
      <c r="Z72" s="186"/>
      <c r="AA72" s="186"/>
      <c r="AB72" s="186"/>
    </row>
    <row r="73" spans="1:28" ht="13" hidden="1">
      <c r="A73" s="123" t="s">
        <v>55</v>
      </c>
      <c r="B73" s="123" t="s">
        <v>3092</v>
      </c>
      <c r="C73" s="123" t="s">
        <v>329</v>
      </c>
      <c r="D73" s="123" t="s">
        <v>243</v>
      </c>
      <c r="E73" s="123"/>
      <c r="F73" s="176">
        <v>61</v>
      </c>
      <c r="G73" s="101"/>
      <c r="H73" s="455" t="s">
        <v>3112</v>
      </c>
      <c r="I73" s="101"/>
      <c r="J73" s="101"/>
      <c r="K73" s="123"/>
      <c r="L73" s="101"/>
      <c r="M73" s="101" t="s">
        <v>3146</v>
      </c>
      <c r="N73" s="186"/>
      <c r="O73" s="186"/>
      <c r="P73" s="101"/>
      <c r="Q73" s="101"/>
      <c r="R73" s="186"/>
      <c r="S73" s="186"/>
      <c r="T73" s="186"/>
      <c r="U73" s="186"/>
      <c r="V73" s="186"/>
      <c r="W73" s="186"/>
      <c r="X73" s="186"/>
      <c r="Y73" s="186"/>
      <c r="Z73" s="186"/>
      <c r="AA73" s="186"/>
      <c r="AB73" s="186"/>
    </row>
    <row r="74" spans="1:28" ht="13" hidden="1">
      <c r="A74" s="123" t="s">
        <v>55</v>
      </c>
      <c r="B74" s="123" t="s">
        <v>3093</v>
      </c>
      <c r="C74" s="123" t="s">
        <v>329</v>
      </c>
      <c r="D74" s="123" t="s">
        <v>243</v>
      </c>
      <c r="E74" s="123"/>
      <c r="F74" s="176">
        <v>45</v>
      </c>
      <c r="G74" s="101"/>
      <c r="H74" s="455" t="s">
        <v>3112</v>
      </c>
      <c r="I74" s="101"/>
      <c r="J74" s="101"/>
      <c r="K74" s="101"/>
      <c r="L74" s="101"/>
      <c r="M74" s="101" t="s">
        <v>3147</v>
      </c>
      <c r="N74" s="101"/>
      <c r="O74" s="186"/>
      <c r="P74" s="101"/>
      <c r="Q74" s="101"/>
      <c r="R74" s="186"/>
      <c r="S74" s="186"/>
      <c r="T74" s="186"/>
      <c r="U74" s="186"/>
      <c r="V74" s="186"/>
      <c r="W74" s="186"/>
      <c r="X74" s="186"/>
      <c r="Y74" s="186"/>
      <c r="Z74" s="186"/>
      <c r="AA74" s="186"/>
      <c r="AB74" s="186"/>
    </row>
    <row r="75" spans="1:28" ht="13" hidden="1">
      <c r="A75" s="123" t="s">
        <v>55</v>
      </c>
      <c r="B75" s="123" t="s">
        <v>3094</v>
      </c>
      <c r="C75" s="123" t="s">
        <v>329</v>
      </c>
      <c r="D75" s="123" t="s">
        <v>243</v>
      </c>
      <c r="E75" s="123"/>
      <c r="F75" s="176">
        <v>46</v>
      </c>
      <c r="G75" s="101"/>
      <c r="H75" s="455" t="s">
        <v>3112</v>
      </c>
      <c r="I75" s="101"/>
      <c r="J75" s="101"/>
      <c r="K75" s="101"/>
      <c r="L75" s="101"/>
      <c r="M75" s="101" t="s">
        <v>3148</v>
      </c>
      <c r="N75" s="101"/>
      <c r="O75" s="186"/>
      <c r="P75" s="101"/>
      <c r="Q75" s="101"/>
      <c r="R75" s="186"/>
      <c r="S75" s="186"/>
      <c r="T75" s="186"/>
      <c r="U75" s="186"/>
      <c r="V75" s="186"/>
      <c r="W75" s="186"/>
      <c r="X75" s="186"/>
      <c r="Y75" s="186"/>
      <c r="Z75" s="186"/>
      <c r="AA75" s="186"/>
      <c r="AB75" s="186"/>
    </row>
    <row r="76" spans="1:28" ht="13" hidden="1">
      <c r="A76" s="123" t="s">
        <v>55</v>
      </c>
      <c r="B76" s="123" t="s">
        <v>3095</v>
      </c>
      <c r="C76" s="123" t="s">
        <v>329</v>
      </c>
      <c r="D76" s="123" t="s">
        <v>243</v>
      </c>
      <c r="E76" s="123"/>
      <c r="F76" s="176">
        <v>69</v>
      </c>
      <c r="G76" s="101"/>
      <c r="H76" s="455" t="s">
        <v>3112</v>
      </c>
      <c r="I76" s="101"/>
      <c r="J76" s="101"/>
      <c r="K76" s="123"/>
      <c r="L76" s="101"/>
      <c r="M76" s="101" t="s">
        <v>3149</v>
      </c>
      <c r="N76" s="186"/>
      <c r="O76" s="186"/>
      <c r="P76" s="101"/>
      <c r="Q76" s="101"/>
      <c r="R76" s="186"/>
      <c r="S76" s="186"/>
      <c r="T76" s="186"/>
      <c r="U76" s="186"/>
      <c r="V76" s="186"/>
      <c r="W76" s="186"/>
      <c r="X76" s="186"/>
      <c r="Y76" s="186"/>
      <c r="Z76" s="186"/>
      <c r="AA76" s="186"/>
      <c r="AB76" s="186"/>
    </row>
    <row r="77" spans="1:28" ht="13" hidden="1">
      <c r="A77" s="123" t="s">
        <v>55</v>
      </c>
      <c r="B77" s="123" t="s">
        <v>3096</v>
      </c>
      <c r="C77" s="123" t="s">
        <v>329</v>
      </c>
      <c r="D77" s="123" t="s">
        <v>243</v>
      </c>
      <c r="E77" s="123"/>
      <c r="F77" s="176">
        <v>47</v>
      </c>
      <c r="G77" s="101"/>
      <c r="H77" s="455" t="s">
        <v>3112</v>
      </c>
      <c r="I77" s="101"/>
      <c r="J77" s="101"/>
      <c r="K77" s="101"/>
      <c r="L77" s="101"/>
      <c r="M77" s="101" t="s">
        <v>3150</v>
      </c>
      <c r="N77" s="101"/>
      <c r="O77" s="186"/>
      <c r="P77" s="101"/>
      <c r="Q77" s="101"/>
      <c r="R77" s="186"/>
      <c r="S77" s="186"/>
      <c r="T77" s="186"/>
      <c r="U77" s="186"/>
      <c r="V77" s="186"/>
      <c r="W77" s="186"/>
      <c r="X77" s="186"/>
      <c r="Y77" s="186"/>
      <c r="Z77" s="186"/>
      <c r="AA77" s="186"/>
      <c r="AB77" s="186"/>
    </row>
    <row r="78" spans="1:28" ht="13" hidden="1">
      <c r="A78" s="123" t="s">
        <v>55</v>
      </c>
      <c r="B78" s="123" t="s">
        <v>3097</v>
      </c>
      <c r="C78" s="123" t="s">
        <v>329</v>
      </c>
      <c r="D78" s="123" t="s">
        <v>243</v>
      </c>
      <c r="E78" s="123"/>
      <c r="F78" s="176">
        <v>48</v>
      </c>
      <c r="G78" s="101"/>
      <c r="H78" s="455" t="s">
        <v>3112</v>
      </c>
      <c r="I78" s="101"/>
      <c r="J78" s="101"/>
      <c r="K78" s="101"/>
      <c r="L78" s="101"/>
      <c r="M78" s="101" t="s">
        <v>3151</v>
      </c>
      <c r="N78" s="101"/>
      <c r="O78" s="186"/>
      <c r="P78" s="101"/>
      <c r="Q78" s="101"/>
      <c r="R78" s="186"/>
      <c r="S78" s="186"/>
      <c r="T78" s="186"/>
      <c r="U78" s="186"/>
      <c r="V78" s="186"/>
      <c r="W78" s="186"/>
      <c r="X78" s="186"/>
      <c r="Y78" s="186"/>
      <c r="Z78" s="186"/>
      <c r="AA78" s="186"/>
      <c r="AB78" s="186"/>
    </row>
    <row r="79" spans="1:28" ht="13" hidden="1">
      <c r="A79" s="123" t="s">
        <v>55</v>
      </c>
      <c r="B79" s="123" t="s">
        <v>3098</v>
      </c>
      <c r="C79" s="123" t="s">
        <v>329</v>
      </c>
      <c r="D79" s="123" t="s">
        <v>243</v>
      </c>
      <c r="E79" s="123"/>
      <c r="F79" s="176">
        <v>49</v>
      </c>
      <c r="G79" s="101"/>
      <c r="H79" s="455" t="s">
        <v>3112</v>
      </c>
      <c r="I79" s="101"/>
      <c r="J79" s="101"/>
      <c r="K79" s="101"/>
      <c r="L79" s="101"/>
      <c r="M79" s="101" t="s">
        <v>3152</v>
      </c>
      <c r="N79" s="101"/>
      <c r="O79" s="186"/>
      <c r="P79" s="101"/>
      <c r="Q79" s="101"/>
      <c r="R79" s="186"/>
      <c r="S79" s="186"/>
      <c r="T79" s="186"/>
      <c r="U79" s="186"/>
      <c r="V79" s="186"/>
      <c r="W79" s="186"/>
      <c r="X79" s="186"/>
      <c r="Y79" s="186"/>
      <c r="Z79" s="186"/>
      <c r="AA79" s="186"/>
      <c r="AB79" s="186"/>
    </row>
    <row r="80" spans="1:28" ht="13" hidden="1">
      <c r="A80" s="123" t="s">
        <v>55</v>
      </c>
      <c r="B80" s="123" t="s">
        <v>3099</v>
      </c>
      <c r="C80" s="123" t="s">
        <v>329</v>
      </c>
      <c r="D80" s="123" t="s">
        <v>243</v>
      </c>
      <c r="E80" s="123"/>
      <c r="F80" s="176">
        <v>50</v>
      </c>
      <c r="G80" s="101"/>
      <c r="H80" s="455" t="s">
        <v>3112</v>
      </c>
      <c r="I80" s="101"/>
      <c r="J80" s="101"/>
      <c r="K80" s="101"/>
      <c r="L80" s="101"/>
      <c r="M80" s="101" t="s">
        <v>3153</v>
      </c>
      <c r="N80" s="101"/>
      <c r="O80" s="186"/>
      <c r="P80" s="101"/>
      <c r="Q80" s="101"/>
      <c r="R80" s="186"/>
      <c r="S80" s="186"/>
      <c r="T80" s="186"/>
      <c r="U80" s="186"/>
      <c r="V80" s="186"/>
      <c r="W80" s="186"/>
      <c r="X80" s="186"/>
      <c r="Y80" s="186"/>
      <c r="Z80" s="186"/>
      <c r="AA80" s="186"/>
      <c r="AB80" s="186"/>
    </row>
    <row r="81" spans="1:28" ht="13" hidden="1">
      <c r="A81" s="123" t="s">
        <v>55</v>
      </c>
      <c r="B81" s="439" t="s">
        <v>3100</v>
      </c>
      <c r="C81" s="439" t="s">
        <v>329</v>
      </c>
      <c r="D81" s="123" t="s">
        <v>243</v>
      </c>
      <c r="E81" s="123"/>
      <c r="F81" s="315">
        <v>74</v>
      </c>
      <c r="G81" s="101"/>
      <c r="H81" s="455" t="s">
        <v>3112</v>
      </c>
      <c r="I81" s="101"/>
      <c r="J81" s="102"/>
      <c r="K81" s="101"/>
      <c r="L81" s="101"/>
      <c r="M81" s="101"/>
      <c r="N81" s="101"/>
      <c r="O81" s="186"/>
      <c r="P81" s="101"/>
      <c r="Q81" s="101"/>
      <c r="R81" s="186"/>
      <c r="S81" s="186"/>
      <c r="T81" s="186"/>
      <c r="U81" s="186"/>
      <c r="V81" s="186"/>
      <c r="W81" s="186"/>
      <c r="X81" s="186"/>
      <c r="Y81" s="186"/>
      <c r="Z81" s="186"/>
      <c r="AA81" s="186"/>
      <c r="AB81" s="186"/>
    </row>
    <row r="82" spans="1:28" ht="13" hidden="1">
      <c r="A82" s="123" t="s">
        <v>55</v>
      </c>
      <c r="B82" s="123" t="s">
        <v>3101</v>
      </c>
      <c r="C82" s="123" t="s">
        <v>329</v>
      </c>
      <c r="D82" s="123" t="s">
        <v>243</v>
      </c>
      <c r="E82" s="123"/>
      <c r="F82" s="176">
        <v>65</v>
      </c>
      <c r="G82" s="101"/>
      <c r="H82" s="455" t="s">
        <v>3112</v>
      </c>
      <c r="I82" s="101"/>
      <c r="J82" s="101"/>
      <c r="K82" s="123"/>
      <c r="L82" s="101"/>
      <c r="M82" s="101" t="s">
        <v>3154</v>
      </c>
      <c r="N82" s="186"/>
      <c r="O82" s="186"/>
      <c r="P82" s="101"/>
      <c r="Q82" s="101"/>
      <c r="R82" s="186"/>
      <c r="S82" s="186"/>
      <c r="T82" s="186"/>
      <c r="U82" s="186"/>
      <c r="V82" s="186"/>
      <c r="W82" s="186"/>
      <c r="X82" s="186"/>
      <c r="Y82" s="186"/>
      <c r="Z82" s="186"/>
      <c r="AA82" s="186"/>
      <c r="AB82" s="186"/>
    </row>
    <row r="83" spans="1:28" ht="13" hidden="1">
      <c r="A83" s="123" t="s">
        <v>55</v>
      </c>
      <c r="B83" s="123" t="s">
        <v>3102</v>
      </c>
      <c r="C83" s="123" t="s">
        <v>329</v>
      </c>
      <c r="D83" s="123" t="s">
        <v>243</v>
      </c>
      <c r="E83" s="123"/>
      <c r="F83" s="176">
        <v>51</v>
      </c>
      <c r="G83" s="101"/>
      <c r="H83" s="455" t="s">
        <v>3112</v>
      </c>
      <c r="I83" s="101"/>
      <c r="J83" s="101"/>
      <c r="K83" s="101"/>
      <c r="L83" s="101"/>
      <c r="M83" s="101" t="s">
        <v>3155</v>
      </c>
      <c r="N83" s="101"/>
      <c r="O83" s="186"/>
      <c r="P83" s="101"/>
      <c r="Q83" s="101"/>
      <c r="R83" s="186"/>
      <c r="S83" s="186"/>
      <c r="T83" s="186"/>
      <c r="U83" s="186"/>
      <c r="V83" s="186"/>
      <c r="W83" s="186"/>
      <c r="X83" s="186"/>
      <c r="Y83" s="186"/>
      <c r="Z83" s="186"/>
      <c r="AA83" s="186"/>
      <c r="AB83" s="186"/>
    </row>
    <row r="84" spans="1:28" ht="13" hidden="1">
      <c r="A84" s="123" t="s">
        <v>55</v>
      </c>
      <c r="B84" s="123" t="s">
        <v>3103</v>
      </c>
      <c r="C84" s="123" t="s">
        <v>329</v>
      </c>
      <c r="D84" s="123" t="s">
        <v>243</v>
      </c>
      <c r="E84" s="123"/>
      <c r="F84" s="176">
        <v>52</v>
      </c>
      <c r="G84" s="101"/>
      <c r="H84" s="455" t="s">
        <v>3112</v>
      </c>
      <c r="I84" s="101"/>
      <c r="J84" s="101"/>
      <c r="K84" s="101"/>
      <c r="L84" s="101"/>
      <c r="M84" s="101" t="s">
        <v>3156</v>
      </c>
      <c r="N84" s="101"/>
      <c r="O84" s="186"/>
      <c r="P84" s="101"/>
      <c r="Q84" s="101"/>
      <c r="R84" s="186"/>
      <c r="S84" s="186"/>
      <c r="T84" s="186"/>
      <c r="U84" s="186"/>
      <c r="V84" s="186"/>
      <c r="W84" s="186"/>
      <c r="X84" s="186"/>
      <c r="Y84" s="186"/>
      <c r="Z84" s="186"/>
      <c r="AA84" s="186"/>
      <c r="AB84" s="186"/>
    </row>
    <row r="85" spans="1:28" ht="13" hidden="1">
      <c r="A85" s="123" t="s">
        <v>55</v>
      </c>
      <c r="B85" s="123" t="s">
        <v>3104</v>
      </c>
      <c r="C85" s="123" t="s">
        <v>329</v>
      </c>
      <c r="D85" s="123" t="s">
        <v>243</v>
      </c>
      <c r="E85" s="123"/>
      <c r="F85" s="176">
        <v>53</v>
      </c>
      <c r="G85" s="101"/>
      <c r="H85" s="455" t="s">
        <v>3112</v>
      </c>
      <c r="I85" s="101"/>
      <c r="J85" s="101"/>
      <c r="K85" s="101"/>
      <c r="L85" s="101"/>
      <c r="M85" s="101" t="s">
        <v>3157</v>
      </c>
      <c r="N85" s="101"/>
      <c r="O85" s="186"/>
      <c r="P85" s="101"/>
      <c r="Q85" s="101"/>
      <c r="R85" s="186"/>
      <c r="S85" s="186"/>
      <c r="T85" s="186"/>
      <c r="U85" s="186"/>
      <c r="V85" s="186"/>
      <c r="W85" s="186"/>
      <c r="X85" s="186"/>
      <c r="Y85" s="186"/>
      <c r="Z85" s="186"/>
      <c r="AA85" s="186"/>
      <c r="AB85" s="186"/>
    </row>
    <row r="86" spans="1:28" ht="13" hidden="1">
      <c r="A86" s="123" t="s">
        <v>55</v>
      </c>
      <c r="B86" s="123" t="s">
        <v>3105</v>
      </c>
      <c r="C86" s="123" t="s">
        <v>329</v>
      </c>
      <c r="D86" s="123" t="s">
        <v>243</v>
      </c>
      <c r="E86" s="123"/>
      <c r="F86" s="176">
        <v>54</v>
      </c>
      <c r="G86" s="101"/>
      <c r="H86" s="455" t="s">
        <v>3112</v>
      </c>
      <c r="I86" s="101"/>
      <c r="J86" s="101"/>
      <c r="K86" s="101"/>
      <c r="L86" s="101"/>
      <c r="M86" s="101" t="s">
        <v>3158</v>
      </c>
      <c r="N86" s="101"/>
      <c r="O86" s="186"/>
      <c r="P86" s="101"/>
      <c r="Q86" s="101"/>
      <c r="R86" s="186"/>
      <c r="S86" s="186"/>
      <c r="T86" s="186"/>
      <c r="U86" s="186"/>
      <c r="V86" s="186"/>
      <c r="W86" s="186"/>
      <c r="X86" s="186"/>
      <c r="Y86" s="186"/>
      <c r="Z86" s="186"/>
      <c r="AA86" s="186"/>
      <c r="AB86" s="186"/>
    </row>
    <row r="87" spans="1:28" ht="13" hidden="1">
      <c r="A87" s="123" t="s">
        <v>55</v>
      </c>
      <c r="B87" s="123" t="s">
        <v>3106</v>
      </c>
      <c r="C87" s="123" t="s">
        <v>329</v>
      </c>
      <c r="D87" s="123" t="s">
        <v>243</v>
      </c>
      <c r="E87" s="123"/>
      <c r="F87" s="176">
        <v>55</v>
      </c>
      <c r="G87" s="101"/>
      <c r="H87" s="455" t="s">
        <v>3112</v>
      </c>
      <c r="I87" s="101"/>
      <c r="J87" s="101"/>
      <c r="K87" s="101"/>
      <c r="L87" s="101"/>
      <c r="M87" s="101" t="s">
        <v>3159</v>
      </c>
      <c r="N87" s="101"/>
      <c r="O87" s="186"/>
      <c r="P87" s="101"/>
      <c r="Q87" s="101"/>
      <c r="R87" s="186"/>
      <c r="S87" s="186"/>
      <c r="T87" s="186"/>
      <c r="U87" s="186"/>
      <c r="V87" s="186"/>
      <c r="W87" s="186"/>
      <c r="X87" s="186"/>
      <c r="Y87" s="186"/>
      <c r="Z87" s="186"/>
      <c r="AA87" s="186"/>
      <c r="AB87" s="186"/>
    </row>
    <row r="88" spans="1:28" ht="13" hidden="1">
      <c r="A88" s="123" t="s">
        <v>53</v>
      </c>
      <c r="B88" s="123" t="s">
        <v>1195</v>
      </c>
      <c r="C88" s="123" t="s">
        <v>247</v>
      </c>
      <c r="D88" s="123" t="s">
        <v>243</v>
      </c>
      <c r="E88" s="101"/>
      <c r="F88" s="176">
        <v>7</v>
      </c>
      <c r="G88" s="101"/>
      <c r="H88" s="455" t="s">
        <v>3112</v>
      </c>
      <c r="I88" s="101"/>
      <c r="J88" s="101"/>
      <c r="K88" s="101"/>
      <c r="L88" s="101"/>
      <c r="M88" s="186" t="s">
        <v>1190</v>
      </c>
      <c r="N88" s="101"/>
      <c r="O88" s="101"/>
      <c r="P88" s="101"/>
      <c r="Q88" s="101"/>
      <c r="R88" s="101"/>
      <c r="S88" s="101"/>
      <c r="T88" s="101"/>
      <c r="U88" s="101"/>
      <c r="V88" s="101"/>
      <c r="W88" s="101"/>
      <c r="X88" s="101"/>
      <c r="Y88" s="101"/>
      <c r="Z88" s="101"/>
      <c r="AA88" s="101"/>
      <c r="AB88" s="101"/>
    </row>
    <row r="89" spans="1:28" ht="13" hidden="1">
      <c r="A89" s="123" t="s">
        <v>53</v>
      </c>
      <c r="B89" s="123" t="s">
        <v>1196</v>
      </c>
      <c r="C89" s="123" t="s">
        <v>535</v>
      </c>
      <c r="D89" s="123" t="s">
        <v>903</v>
      </c>
      <c r="E89" s="101"/>
      <c r="F89" s="176">
        <v>8</v>
      </c>
      <c r="G89" s="101"/>
      <c r="H89" s="455" t="s">
        <v>3112</v>
      </c>
      <c r="I89" s="101"/>
      <c r="J89" s="101"/>
      <c r="K89" s="101"/>
      <c r="L89" s="101"/>
      <c r="M89" s="186" t="s">
        <v>1190</v>
      </c>
      <c r="N89" s="101"/>
      <c r="O89" s="101"/>
      <c r="P89" s="101"/>
      <c r="Q89" s="100"/>
      <c r="R89" s="100"/>
      <c r="S89" s="100"/>
      <c r="T89" s="100"/>
      <c r="U89" s="100"/>
      <c r="V89" s="100"/>
      <c r="W89" s="100"/>
      <c r="X89" s="100"/>
      <c r="Y89" s="100"/>
      <c r="Z89" s="100"/>
      <c r="AA89" s="100"/>
      <c r="AB89" s="100"/>
    </row>
    <row r="90" spans="1:28" ht="13">
      <c r="A90" s="183" t="s">
        <v>59</v>
      </c>
      <c r="B90" s="111" t="s">
        <v>866</v>
      </c>
      <c r="C90" s="111" t="s">
        <v>867</v>
      </c>
      <c r="D90" s="183" t="s">
        <v>243</v>
      </c>
      <c r="E90" s="105"/>
      <c r="F90" s="103">
        <v>70</v>
      </c>
      <c r="G90" s="104">
        <v>1</v>
      </c>
      <c r="H90" s="111" t="s">
        <v>3112</v>
      </c>
      <c r="I90" s="183" t="s">
        <v>866</v>
      </c>
      <c r="J90" s="106"/>
      <c r="K90" s="105"/>
      <c r="L90" s="105"/>
      <c r="M90" s="105" t="s">
        <v>3160</v>
      </c>
      <c r="N90" s="105"/>
      <c r="O90" s="105"/>
      <c r="P90" s="105"/>
      <c r="Q90" s="101"/>
      <c r="R90" s="186"/>
      <c r="S90" s="186"/>
      <c r="T90" s="186"/>
      <c r="U90" s="186"/>
      <c r="V90" s="186"/>
      <c r="W90" s="186"/>
      <c r="X90" s="186"/>
      <c r="Y90" s="186"/>
      <c r="Z90" s="186"/>
      <c r="AA90" s="186"/>
      <c r="AB90" s="186"/>
    </row>
    <row r="91" spans="1:28" ht="13">
      <c r="A91" s="183" t="s">
        <v>59</v>
      </c>
      <c r="B91" s="318" t="s">
        <v>3161</v>
      </c>
      <c r="C91" s="318" t="s">
        <v>867</v>
      </c>
      <c r="D91" s="183" t="s">
        <v>243</v>
      </c>
      <c r="E91" s="105"/>
      <c r="F91" s="319">
        <v>70</v>
      </c>
      <c r="G91" s="104">
        <v>1</v>
      </c>
      <c r="H91" s="111" t="s">
        <v>3112</v>
      </c>
      <c r="I91" s="183" t="s">
        <v>3161</v>
      </c>
      <c r="J91" s="106"/>
      <c r="K91" s="105"/>
      <c r="L91" s="105"/>
      <c r="M91" s="318" t="s">
        <v>3162</v>
      </c>
      <c r="N91" s="105"/>
      <c r="O91" s="105"/>
      <c r="P91" s="105"/>
      <c r="Q91" s="105"/>
      <c r="R91" s="105"/>
      <c r="S91" s="105"/>
      <c r="T91" s="105"/>
      <c r="U91" s="105"/>
      <c r="V91" s="105"/>
      <c r="W91" s="105"/>
      <c r="X91" s="105"/>
      <c r="Y91" s="105"/>
      <c r="Z91" s="105"/>
      <c r="AA91" s="105"/>
      <c r="AB91" s="105"/>
    </row>
    <row r="92" spans="1:28" ht="13" hidden="1">
      <c r="A92" s="123" t="s">
        <v>59</v>
      </c>
      <c r="B92" s="123" t="s">
        <v>890</v>
      </c>
      <c r="C92" s="123" t="s">
        <v>329</v>
      </c>
      <c r="D92" s="123" t="s">
        <v>243</v>
      </c>
      <c r="E92" s="101"/>
      <c r="F92" s="176">
        <v>25</v>
      </c>
      <c r="G92" s="101"/>
      <c r="H92" s="455" t="s">
        <v>3112</v>
      </c>
      <c r="I92" s="101"/>
      <c r="J92" s="102"/>
      <c r="K92" s="101"/>
      <c r="L92" s="101"/>
      <c r="M92" s="698" t="s">
        <v>3032</v>
      </c>
      <c r="N92" s="692"/>
      <c r="O92" s="101"/>
      <c r="P92" s="101"/>
      <c r="Q92" s="101"/>
      <c r="R92" s="186"/>
      <c r="S92" s="186"/>
      <c r="T92" s="186"/>
      <c r="U92" s="186"/>
      <c r="V92" s="186"/>
      <c r="W92" s="186"/>
      <c r="X92" s="186"/>
      <c r="Y92" s="186"/>
      <c r="Z92" s="186"/>
      <c r="AA92" s="186"/>
      <c r="AB92" s="186"/>
    </row>
    <row r="93" spans="1:28" ht="13" hidden="1">
      <c r="A93" s="123" t="s">
        <v>55</v>
      </c>
      <c r="B93" s="123" t="s">
        <v>3042</v>
      </c>
      <c r="C93" s="123" t="s">
        <v>329</v>
      </c>
      <c r="D93" s="123" t="s">
        <v>243</v>
      </c>
      <c r="E93" s="101"/>
      <c r="F93" s="176">
        <v>58</v>
      </c>
      <c r="G93" s="101"/>
      <c r="H93" s="455" t="s">
        <v>3112</v>
      </c>
      <c r="I93" s="101"/>
      <c r="J93" s="101"/>
      <c r="K93" s="101"/>
      <c r="L93" s="101"/>
      <c r="M93" s="698" t="s">
        <v>3113</v>
      </c>
      <c r="N93" s="692"/>
      <c r="O93" s="101"/>
      <c r="P93" s="101"/>
      <c r="Q93" s="101"/>
      <c r="R93" s="186"/>
      <c r="S93" s="186"/>
      <c r="T93" s="186"/>
      <c r="U93" s="186"/>
      <c r="V93" s="186"/>
      <c r="W93" s="186"/>
      <c r="X93" s="186"/>
      <c r="Y93" s="186"/>
      <c r="Z93" s="186"/>
      <c r="AA93" s="186"/>
      <c r="AB93" s="186"/>
    </row>
    <row r="94" spans="1:28" ht="13" hidden="1">
      <c r="A94" s="123" t="s">
        <v>55</v>
      </c>
      <c r="B94" s="123" t="s">
        <v>3043</v>
      </c>
      <c r="C94" s="123" t="s">
        <v>329</v>
      </c>
      <c r="D94" s="123" t="s">
        <v>243</v>
      </c>
      <c r="E94" s="101"/>
      <c r="F94" s="176">
        <v>9</v>
      </c>
      <c r="G94" s="101"/>
      <c r="H94" s="455" t="s">
        <v>3112</v>
      </c>
      <c r="I94" s="101"/>
      <c r="J94" s="101"/>
      <c r="K94" s="101"/>
      <c r="L94" s="101"/>
      <c r="M94" s="698" t="s">
        <v>3114</v>
      </c>
      <c r="N94" s="692"/>
      <c r="O94" s="101"/>
      <c r="P94" s="101"/>
      <c r="Q94" s="101"/>
      <c r="R94" s="186"/>
      <c r="S94" s="186"/>
      <c r="T94" s="186"/>
      <c r="U94" s="186"/>
      <c r="V94" s="186"/>
      <c r="W94" s="186"/>
      <c r="X94" s="186"/>
      <c r="Y94" s="186"/>
      <c r="Z94" s="186"/>
      <c r="AA94" s="186"/>
      <c r="AB94" s="186"/>
    </row>
    <row r="95" spans="1:28" ht="13" hidden="1">
      <c r="A95" s="123" t="s">
        <v>55</v>
      </c>
      <c r="B95" s="123" t="s">
        <v>3044</v>
      </c>
      <c r="C95" s="123" t="s">
        <v>329</v>
      </c>
      <c r="D95" s="123" t="s">
        <v>243</v>
      </c>
      <c r="E95" s="101"/>
      <c r="F95" s="176">
        <v>10</v>
      </c>
      <c r="G95" s="101"/>
      <c r="H95" s="455" t="s">
        <v>3112</v>
      </c>
      <c r="I95" s="101"/>
      <c r="J95" s="101"/>
      <c r="K95" s="101"/>
      <c r="L95" s="101"/>
      <c r="M95" s="698" t="s">
        <v>3115</v>
      </c>
      <c r="N95" s="692"/>
      <c r="O95" s="101"/>
      <c r="P95" s="101"/>
      <c r="Q95" s="101"/>
      <c r="R95" s="186"/>
      <c r="S95" s="186"/>
      <c r="T95" s="186"/>
      <c r="U95" s="186"/>
      <c r="V95" s="186"/>
      <c r="W95" s="186"/>
      <c r="X95" s="186"/>
      <c r="Y95" s="186"/>
      <c r="Z95" s="186"/>
      <c r="AA95" s="186"/>
      <c r="AB95" s="186"/>
    </row>
    <row r="96" spans="1:28" ht="13" hidden="1">
      <c r="A96" s="123" t="s">
        <v>55</v>
      </c>
      <c r="B96" s="123" t="s">
        <v>3045</v>
      </c>
      <c r="C96" s="123" t="s">
        <v>329</v>
      </c>
      <c r="D96" s="123" t="s">
        <v>243</v>
      </c>
      <c r="E96" s="101"/>
      <c r="F96" s="176">
        <v>66</v>
      </c>
      <c r="G96" s="101"/>
      <c r="H96" s="455" t="s">
        <v>3112</v>
      </c>
      <c r="I96" s="101"/>
      <c r="J96" s="101"/>
      <c r="K96" s="101"/>
      <c r="L96" s="101"/>
      <c r="M96" s="698" t="s">
        <v>3116</v>
      </c>
      <c r="N96" s="692"/>
      <c r="O96" s="101"/>
      <c r="P96" s="101"/>
      <c r="Q96" s="101"/>
      <c r="R96" s="186"/>
      <c r="S96" s="186"/>
      <c r="T96" s="186"/>
      <c r="U96" s="186"/>
      <c r="V96" s="186"/>
      <c r="W96" s="186"/>
      <c r="X96" s="186"/>
      <c r="Y96" s="186"/>
      <c r="Z96" s="186"/>
      <c r="AA96" s="186"/>
      <c r="AB96" s="186"/>
    </row>
    <row r="97" spans="1:28" ht="13" hidden="1">
      <c r="A97" s="123" t="s">
        <v>55</v>
      </c>
      <c r="B97" s="123" t="s">
        <v>3046</v>
      </c>
      <c r="C97" s="123" t="s">
        <v>329</v>
      </c>
      <c r="D97" s="123" t="s">
        <v>243</v>
      </c>
      <c r="E97" s="101"/>
      <c r="F97" s="176">
        <v>11</v>
      </c>
      <c r="G97" s="101"/>
      <c r="H97" s="455" t="s">
        <v>3112</v>
      </c>
      <c r="I97" s="101"/>
      <c r="J97" s="101"/>
      <c r="K97" s="101"/>
      <c r="L97" s="101"/>
      <c r="M97" s="698" t="s">
        <v>3117</v>
      </c>
      <c r="N97" s="692"/>
      <c r="O97" s="107"/>
      <c r="P97" s="101"/>
      <c r="Q97" s="320"/>
      <c r="R97" s="186"/>
      <c r="S97" s="186"/>
      <c r="T97" s="186"/>
      <c r="U97" s="186"/>
      <c r="V97" s="186"/>
      <c r="W97" s="186"/>
      <c r="X97" s="186"/>
      <c r="Y97" s="186"/>
      <c r="Z97" s="186"/>
      <c r="AA97" s="186"/>
      <c r="AB97" s="186"/>
    </row>
    <row r="98" spans="1:28" ht="13" hidden="1">
      <c r="A98" s="123" t="s">
        <v>55</v>
      </c>
      <c r="B98" s="123" t="s">
        <v>3047</v>
      </c>
      <c r="C98" s="123" t="s">
        <v>329</v>
      </c>
      <c r="D98" s="123" t="s">
        <v>243</v>
      </c>
      <c r="E98" s="101"/>
      <c r="F98" s="176">
        <v>12</v>
      </c>
      <c r="G98" s="101"/>
      <c r="H98" s="455" t="s">
        <v>3112</v>
      </c>
      <c r="I98" s="101"/>
      <c r="J98" s="108"/>
      <c r="K98" s="108"/>
      <c r="L98" s="108"/>
      <c r="M98" s="698" t="s">
        <v>3118</v>
      </c>
      <c r="N98" s="692"/>
      <c r="O98" s="107"/>
      <c r="P98" s="101"/>
      <c r="Q98" s="101"/>
      <c r="R98" s="186"/>
      <c r="S98" s="186"/>
      <c r="T98" s="186"/>
      <c r="U98" s="186"/>
      <c r="V98" s="186"/>
      <c r="W98" s="186"/>
      <c r="X98" s="186"/>
      <c r="Y98" s="186"/>
      <c r="Z98" s="186"/>
      <c r="AA98" s="186"/>
      <c r="AB98" s="186"/>
    </row>
    <row r="99" spans="1:28" ht="13" hidden="1">
      <c r="A99" s="123" t="s">
        <v>55</v>
      </c>
      <c r="B99" s="123" t="s">
        <v>3048</v>
      </c>
      <c r="C99" s="123" t="s">
        <v>329</v>
      </c>
      <c r="D99" s="123" t="s">
        <v>243</v>
      </c>
      <c r="E99" s="101"/>
      <c r="F99" s="176">
        <v>13</v>
      </c>
      <c r="G99" s="101"/>
      <c r="H99" s="455" t="s">
        <v>3112</v>
      </c>
      <c r="I99" s="101"/>
      <c r="J99" s="108"/>
      <c r="K99" s="108"/>
      <c r="L99" s="108"/>
      <c r="M99" s="698" t="s">
        <v>3119</v>
      </c>
      <c r="N99" s="692"/>
      <c r="O99" s="107"/>
      <c r="P99" s="101"/>
      <c r="Q99" s="101"/>
      <c r="R99" s="186"/>
      <c r="S99" s="186"/>
      <c r="T99" s="186"/>
      <c r="U99" s="186"/>
      <c r="V99" s="186"/>
      <c r="W99" s="186"/>
      <c r="X99" s="186"/>
      <c r="Y99" s="186"/>
      <c r="Z99" s="186"/>
      <c r="AA99" s="186"/>
      <c r="AB99" s="186"/>
    </row>
    <row r="100" spans="1:28" ht="13" hidden="1">
      <c r="A100" s="123" t="s">
        <v>55</v>
      </c>
      <c r="B100" s="123" t="s">
        <v>3049</v>
      </c>
      <c r="C100" s="123" t="s">
        <v>329</v>
      </c>
      <c r="D100" s="123" t="s">
        <v>243</v>
      </c>
      <c r="E100" s="101"/>
      <c r="F100" s="176">
        <v>14</v>
      </c>
      <c r="G100" s="101"/>
      <c r="H100" s="455" t="s">
        <v>3112</v>
      </c>
      <c r="I100" s="101"/>
      <c r="J100" s="101"/>
      <c r="K100" s="101"/>
      <c r="L100" s="101"/>
      <c r="M100" s="698" t="s">
        <v>3120</v>
      </c>
      <c r="N100" s="692"/>
      <c r="O100" s="107"/>
      <c r="P100" s="101"/>
      <c r="Q100" s="320"/>
      <c r="R100" s="320"/>
      <c r="S100" s="320"/>
      <c r="T100" s="320"/>
      <c r="U100" s="320"/>
      <c r="V100" s="320"/>
      <c r="W100" s="320"/>
      <c r="X100" s="320"/>
      <c r="Y100" s="186"/>
      <c r="Z100" s="186"/>
      <c r="AA100" s="186"/>
      <c r="AB100" s="186"/>
    </row>
    <row r="101" spans="1:28" ht="13" hidden="1">
      <c r="A101" s="123" t="s">
        <v>55</v>
      </c>
      <c r="B101" s="455" t="s">
        <v>3050</v>
      </c>
      <c r="C101" s="455" t="s">
        <v>329</v>
      </c>
      <c r="D101" s="123" t="s">
        <v>243</v>
      </c>
      <c r="E101" s="101"/>
      <c r="F101" s="109">
        <v>71</v>
      </c>
      <c r="G101" s="101"/>
      <c r="H101" s="455" t="s">
        <v>3112</v>
      </c>
      <c r="I101" s="101"/>
      <c r="J101" s="102"/>
      <c r="K101" s="101"/>
      <c r="L101" s="101"/>
      <c r="M101" s="101"/>
      <c r="N101" s="101"/>
      <c r="O101" s="101"/>
      <c r="P101" s="101"/>
      <c r="Q101" s="101"/>
      <c r="R101" s="186"/>
      <c r="S101" s="186"/>
      <c r="T101" s="186"/>
      <c r="U101" s="186"/>
      <c r="V101" s="186"/>
      <c r="W101" s="186"/>
      <c r="X101" s="186"/>
      <c r="Y101" s="186"/>
      <c r="Z101" s="186"/>
      <c r="AA101" s="186"/>
      <c r="AB101" s="186"/>
    </row>
    <row r="102" spans="1:28" ht="13" hidden="1">
      <c r="A102" s="123" t="s">
        <v>55</v>
      </c>
      <c r="B102" s="123" t="s">
        <v>3051</v>
      </c>
      <c r="C102" s="123" t="s">
        <v>329</v>
      </c>
      <c r="D102" s="123" t="s">
        <v>243</v>
      </c>
      <c r="E102" s="101"/>
      <c r="F102" s="176">
        <v>62</v>
      </c>
      <c r="G102" s="101"/>
      <c r="H102" s="455" t="s">
        <v>3112</v>
      </c>
      <c r="I102" s="101"/>
      <c r="J102" s="101"/>
      <c r="K102" s="101"/>
      <c r="L102" s="101"/>
      <c r="M102" s="698" t="s">
        <v>3121</v>
      </c>
      <c r="N102" s="692"/>
      <c r="O102" s="101"/>
      <c r="P102" s="101"/>
      <c r="Q102" s="101"/>
      <c r="R102" s="186"/>
      <c r="S102" s="186"/>
      <c r="T102" s="186"/>
      <c r="U102" s="186"/>
      <c r="V102" s="186"/>
      <c r="W102" s="186"/>
      <c r="X102" s="186"/>
      <c r="Y102" s="186"/>
      <c r="Z102" s="186"/>
      <c r="AA102" s="186"/>
      <c r="AB102" s="186"/>
    </row>
    <row r="103" spans="1:28" ht="13" hidden="1">
      <c r="A103" s="123" t="s">
        <v>55</v>
      </c>
      <c r="B103" s="123" t="s">
        <v>3052</v>
      </c>
      <c r="C103" s="123" t="s">
        <v>329</v>
      </c>
      <c r="D103" s="123" t="s">
        <v>243</v>
      </c>
      <c r="E103" s="101"/>
      <c r="F103" s="176">
        <v>15</v>
      </c>
      <c r="G103" s="101"/>
      <c r="H103" s="455" t="s">
        <v>3112</v>
      </c>
      <c r="I103" s="101"/>
      <c r="J103" s="101"/>
      <c r="K103" s="101"/>
      <c r="L103" s="101"/>
      <c r="M103" s="698" t="s">
        <v>3122</v>
      </c>
      <c r="N103" s="692"/>
      <c r="O103" s="101"/>
      <c r="P103" s="101"/>
      <c r="Q103" s="101"/>
      <c r="R103" s="186"/>
      <c r="S103" s="186"/>
      <c r="T103" s="186"/>
      <c r="U103" s="186"/>
      <c r="V103" s="186"/>
      <c r="W103" s="186"/>
      <c r="X103" s="186"/>
      <c r="Y103" s="186"/>
      <c r="Z103" s="186"/>
      <c r="AA103" s="186"/>
      <c r="AB103" s="186"/>
    </row>
    <row r="104" spans="1:28" ht="13" hidden="1">
      <c r="A104" s="123" t="s">
        <v>55</v>
      </c>
      <c r="B104" s="123" t="s">
        <v>3053</v>
      </c>
      <c r="C104" s="123" t="s">
        <v>329</v>
      </c>
      <c r="D104" s="123" t="s">
        <v>243</v>
      </c>
      <c r="E104" s="101"/>
      <c r="F104" s="176">
        <v>16</v>
      </c>
      <c r="G104" s="101"/>
      <c r="H104" s="455" t="s">
        <v>3112</v>
      </c>
      <c r="I104" s="101"/>
      <c r="J104" s="101"/>
      <c r="K104" s="101"/>
      <c r="L104" s="101"/>
      <c r="M104" s="698" t="s">
        <v>3123</v>
      </c>
      <c r="N104" s="692"/>
      <c r="O104" s="101"/>
      <c r="P104" s="101"/>
      <c r="Q104" s="101"/>
      <c r="R104" s="186"/>
      <c r="S104" s="186"/>
      <c r="T104" s="186"/>
      <c r="U104" s="186"/>
      <c r="V104" s="186"/>
      <c r="W104" s="186"/>
      <c r="X104" s="186"/>
      <c r="Y104" s="186"/>
      <c r="Z104" s="186"/>
      <c r="AA104" s="186"/>
      <c r="AB104" s="186"/>
    </row>
    <row r="105" spans="1:28" ht="13" hidden="1">
      <c r="A105" s="123" t="s">
        <v>55</v>
      </c>
      <c r="B105" s="123" t="s">
        <v>3054</v>
      </c>
      <c r="C105" s="123" t="s">
        <v>329</v>
      </c>
      <c r="D105" s="123" t="s">
        <v>243</v>
      </c>
      <c r="E105" s="101"/>
      <c r="F105" s="176">
        <v>17</v>
      </c>
      <c r="G105" s="101"/>
      <c r="H105" s="455" t="s">
        <v>3112</v>
      </c>
      <c r="I105" s="101"/>
      <c r="J105" s="101"/>
      <c r="K105" s="101"/>
      <c r="L105" s="101"/>
      <c r="M105" s="698" t="s">
        <v>3124</v>
      </c>
      <c r="N105" s="692"/>
      <c r="O105" s="101"/>
      <c r="P105" s="101"/>
      <c r="Q105" s="101"/>
      <c r="R105" s="186"/>
      <c r="S105" s="186"/>
      <c r="T105" s="186"/>
      <c r="U105" s="186"/>
      <c r="V105" s="186"/>
      <c r="W105" s="186"/>
      <c r="X105" s="186"/>
      <c r="Y105" s="186"/>
      <c r="Z105" s="186"/>
      <c r="AA105" s="186"/>
      <c r="AB105" s="186"/>
    </row>
    <row r="106" spans="1:28" ht="13" hidden="1">
      <c r="A106" s="123" t="s">
        <v>55</v>
      </c>
      <c r="B106" s="123" t="s">
        <v>3055</v>
      </c>
      <c r="C106" s="123" t="s">
        <v>329</v>
      </c>
      <c r="D106" s="123" t="s">
        <v>243</v>
      </c>
      <c r="E106" s="101"/>
      <c r="F106" s="176">
        <v>18</v>
      </c>
      <c r="G106" s="101"/>
      <c r="H106" s="455" t="s">
        <v>3112</v>
      </c>
      <c r="I106" s="101"/>
      <c r="J106" s="101"/>
      <c r="K106" s="101"/>
      <c r="L106" s="101"/>
      <c r="M106" s="698" t="s">
        <v>3125</v>
      </c>
      <c r="N106" s="692"/>
      <c r="O106" s="107"/>
      <c r="P106" s="101"/>
      <c r="Q106" s="101"/>
      <c r="R106" s="186"/>
      <c r="S106" s="186"/>
      <c r="T106" s="186"/>
      <c r="U106" s="186"/>
      <c r="V106" s="186"/>
      <c r="W106" s="186"/>
      <c r="X106" s="186"/>
      <c r="Y106" s="186"/>
      <c r="Z106" s="186"/>
      <c r="AA106" s="186"/>
      <c r="AB106" s="186"/>
    </row>
    <row r="107" spans="1:28" ht="13" hidden="1">
      <c r="A107" s="123" t="s">
        <v>55</v>
      </c>
      <c r="B107" s="123" t="s">
        <v>3056</v>
      </c>
      <c r="C107" s="123" t="s">
        <v>329</v>
      </c>
      <c r="D107" s="123" t="s">
        <v>243</v>
      </c>
      <c r="E107" s="101"/>
      <c r="F107" s="176">
        <v>19</v>
      </c>
      <c r="G107" s="101"/>
      <c r="H107" s="455" t="s">
        <v>3112</v>
      </c>
      <c r="I107" s="101"/>
      <c r="J107" s="101"/>
      <c r="K107" s="101"/>
      <c r="L107" s="101"/>
      <c r="M107" s="698" t="s">
        <v>3126</v>
      </c>
      <c r="N107" s="692"/>
      <c r="O107" s="107"/>
      <c r="P107" s="101"/>
      <c r="Q107" s="101"/>
      <c r="R107" s="186"/>
      <c r="S107" s="186"/>
      <c r="T107" s="186"/>
      <c r="U107" s="186"/>
      <c r="V107" s="186"/>
      <c r="W107" s="186"/>
      <c r="X107" s="186"/>
      <c r="Y107" s="186"/>
      <c r="Z107" s="186"/>
      <c r="AA107" s="186"/>
      <c r="AB107" s="186"/>
    </row>
    <row r="108" spans="1:28" ht="13" hidden="1">
      <c r="A108" s="123" t="s">
        <v>55</v>
      </c>
      <c r="B108" s="123" t="s">
        <v>407</v>
      </c>
      <c r="C108" s="123" t="s">
        <v>329</v>
      </c>
      <c r="D108" s="123" t="s">
        <v>243</v>
      </c>
      <c r="E108" s="101"/>
      <c r="F108" s="176">
        <v>20</v>
      </c>
      <c r="G108" s="101"/>
      <c r="H108" s="455" t="s">
        <v>3112</v>
      </c>
      <c r="I108" s="101"/>
      <c r="J108" s="101"/>
      <c r="K108" s="101"/>
      <c r="L108" s="101"/>
      <c r="M108" s="699" t="s">
        <v>3163</v>
      </c>
      <c r="N108" s="692"/>
      <c r="O108" s="107"/>
      <c r="P108" s="101"/>
      <c r="Q108" s="101"/>
      <c r="R108" s="186"/>
      <c r="S108" s="186"/>
      <c r="T108" s="186"/>
      <c r="U108" s="186"/>
      <c r="V108" s="186"/>
      <c r="W108" s="186"/>
      <c r="X108" s="186"/>
      <c r="Y108" s="186"/>
      <c r="Z108" s="186"/>
      <c r="AA108" s="186"/>
      <c r="AB108" s="186"/>
    </row>
    <row r="109" spans="1:28" ht="13" hidden="1">
      <c r="A109" s="123" t="s">
        <v>55</v>
      </c>
      <c r="B109" s="123" t="s">
        <v>892</v>
      </c>
      <c r="C109" s="123" t="s">
        <v>329</v>
      </c>
      <c r="D109" s="123" t="s">
        <v>243</v>
      </c>
      <c r="E109" s="101"/>
      <c r="F109" s="176">
        <v>60</v>
      </c>
      <c r="G109" s="101"/>
      <c r="H109" s="455" t="s">
        <v>3112</v>
      </c>
      <c r="I109" s="101"/>
      <c r="J109" s="102"/>
      <c r="K109" s="101"/>
      <c r="L109" s="101"/>
      <c r="M109" s="698" t="s">
        <v>3033</v>
      </c>
      <c r="N109" s="692"/>
      <c r="O109" s="107"/>
      <c r="P109" s="101"/>
      <c r="Q109" s="101"/>
      <c r="R109" s="186"/>
      <c r="S109" s="186"/>
      <c r="T109" s="186"/>
      <c r="U109" s="186"/>
      <c r="V109" s="186"/>
      <c r="W109" s="186"/>
      <c r="X109" s="186"/>
      <c r="Y109" s="186"/>
      <c r="Z109" s="186"/>
      <c r="AA109" s="186"/>
      <c r="AB109" s="186"/>
    </row>
    <row r="110" spans="1:28" ht="13" hidden="1">
      <c r="A110" s="123" t="s">
        <v>59</v>
      </c>
      <c r="B110" s="123" t="s">
        <v>873</v>
      </c>
      <c r="C110" s="123" t="s">
        <v>329</v>
      </c>
      <c r="D110" s="123" t="s">
        <v>243</v>
      </c>
      <c r="E110" s="101"/>
      <c r="F110" s="176">
        <v>21</v>
      </c>
      <c r="G110" s="101"/>
      <c r="H110" s="455" t="s">
        <v>3112</v>
      </c>
      <c r="I110" s="101"/>
      <c r="J110" s="102"/>
      <c r="K110" s="101"/>
      <c r="L110" s="101"/>
      <c r="M110" s="698" t="s">
        <v>3022</v>
      </c>
      <c r="N110" s="692"/>
      <c r="O110" s="101"/>
      <c r="P110" s="101"/>
      <c r="Q110" s="101"/>
      <c r="R110" s="186"/>
      <c r="S110" s="186"/>
      <c r="T110" s="186"/>
      <c r="U110" s="186"/>
      <c r="V110" s="186"/>
      <c r="W110" s="186"/>
      <c r="X110" s="186"/>
      <c r="Y110" s="186"/>
      <c r="Z110" s="186"/>
      <c r="AA110" s="186"/>
      <c r="AB110" s="186"/>
    </row>
    <row r="111" spans="1:28" ht="13" hidden="1">
      <c r="A111" s="123" t="s">
        <v>59</v>
      </c>
      <c r="B111" s="123" t="s">
        <v>887</v>
      </c>
      <c r="C111" s="123" t="s">
        <v>329</v>
      </c>
      <c r="D111" s="123" t="s">
        <v>243</v>
      </c>
      <c r="E111" s="101"/>
      <c r="F111" s="176">
        <v>22</v>
      </c>
      <c r="G111" s="101"/>
      <c r="H111" s="455" t="s">
        <v>3112</v>
      </c>
      <c r="I111" s="101"/>
      <c r="J111" s="102"/>
      <c r="K111" s="101"/>
      <c r="L111" s="101"/>
      <c r="M111" s="698" t="s">
        <v>3028</v>
      </c>
      <c r="N111" s="692"/>
      <c r="O111" s="101"/>
      <c r="P111" s="101"/>
      <c r="Q111" s="101"/>
      <c r="R111" s="186"/>
      <c r="S111" s="186"/>
      <c r="T111" s="186"/>
      <c r="U111" s="186"/>
      <c r="V111" s="186"/>
      <c r="W111" s="186"/>
      <c r="X111" s="186"/>
      <c r="Y111" s="186"/>
      <c r="Z111" s="186"/>
      <c r="AA111" s="186"/>
      <c r="AB111" s="186"/>
    </row>
    <row r="112" spans="1:28" ht="13" hidden="1">
      <c r="A112" s="123" t="s">
        <v>55</v>
      </c>
      <c r="B112" s="123" t="s">
        <v>888</v>
      </c>
      <c r="C112" s="123" t="s">
        <v>329</v>
      </c>
      <c r="D112" s="123" t="s">
        <v>243</v>
      </c>
      <c r="E112" s="101"/>
      <c r="F112" s="176">
        <v>68</v>
      </c>
      <c r="G112" s="101"/>
      <c r="H112" s="455" t="s">
        <v>3112</v>
      </c>
      <c r="I112" s="101"/>
      <c r="J112" s="101"/>
      <c r="K112" s="101"/>
      <c r="L112" s="101"/>
      <c r="M112" s="698" t="s">
        <v>3127</v>
      </c>
      <c r="N112" s="692"/>
      <c r="O112" s="101"/>
      <c r="P112" s="101"/>
      <c r="Q112" s="101"/>
      <c r="R112" s="186"/>
      <c r="S112" s="186"/>
      <c r="T112" s="186"/>
      <c r="U112" s="186"/>
      <c r="V112" s="186"/>
      <c r="W112" s="186"/>
      <c r="X112" s="186"/>
      <c r="Y112" s="186"/>
      <c r="Z112" s="186"/>
      <c r="AA112" s="186"/>
      <c r="AB112" s="186"/>
    </row>
    <row r="113" spans="1:28" ht="13" hidden="1">
      <c r="A113" s="123" t="s">
        <v>59</v>
      </c>
      <c r="B113" s="123" t="s">
        <v>875</v>
      </c>
      <c r="C113" s="123" t="s">
        <v>329</v>
      </c>
      <c r="D113" s="123" t="s">
        <v>243</v>
      </c>
      <c r="E113" s="101"/>
      <c r="F113" s="176">
        <v>23</v>
      </c>
      <c r="G113" s="101"/>
      <c r="H113" s="455" t="s">
        <v>3112</v>
      </c>
      <c r="I113" s="101"/>
      <c r="J113" s="102"/>
      <c r="K113" s="101"/>
      <c r="L113" s="101"/>
      <c r="M113" s="698" t="s">
        <v>3023</v>
      </c>
      <c r="N113" s="692"/>
      <c r="O113" s="101"/>
      <c r="P113" s="101"/>
      <c r="Q113" s="101"/>
      <c r="R113" s="186"/>
      <c r="S113" s="186"/>
      <c r="T113" s="186"/>
      <c r="U113" s="186"/>
      <c r="V113" s="186"/>
      <c r="W113" s="186"/>
      <c r="X113" s="186"/>
      <c r="Y113" s="186"/>
      <c r="Z113" s="186"/>
      <c r="AA113" s="186"/>
      <c r="AB113" s="186"/>
    </row>
    <row r="114" spans="1:28" ht="13" hidden="1">
      <c r="A114" s="123" t="s">
        <v>59</v>
      </c>
      <c r="B114" s="123" t="s">
        <v>889</v>
      </c>
      <c r="C114" s="123" t="s">
        <v>329</v>
      </c>
      <c r="D114" s="123" t="s">
        <v>243</v>
      </c>
      <c r="E114" s="101"/>
      <c r="F114" s="176">
        <v>24</v>
      </c>
      <c r="G114" s="101"/>
      <c r="H114" s="455" t="s">
        <v>3112</v>
      </c>
      <c r="I114" s="101"/>
      <c r="J114" s="102"/>
      <c r="K114" s="101"/>
      <c r="L114" s="101"/>
      <c r="M114" s="698" t="s">
        <v>3029</v>
      </c>
      <c r="N114" s="692"/>
      <c r="O114" s="101"/>
      <c r="P114" s="101"/>
      <c r="Q114" s="101"/>
      <c r="R114" s="101"/>
      <c r="S114" s="101"/>
      <c r="T114" s="101"/>
      <c r="U114" s="101"/>
      <c r="V114" s="101"/>
      <c r="W114" s="101"/>
      <c r="X114" s="101"/>
      <c r="Y114" s="101"/>
      <c r="Z114" s="101"/>
      <c r="AA114" s="101"/>
      <c r="AB114" s="101"/>
    </row>
    <row r="115" spans="1:28" ht="13" hidden="1">
      <c r="A115" s="123" t="s">
        <v>59</v>
      </c>
      <c r="B115" s="123" t="s">
        <v>878</v>
      </c>
      <c r="C115" s="123" t="s">
        <v>329</v>
      </c>
      <c r="D115" s="123" t="s">
        <v>243</v>
      </c>
      <c r="E115" s="101"/>
      <c r="F115" s="176">
        <v>26</v>
      </c>
      <c r="G115" s="101"/>
      <c r="H115" s="455" t="s">
        <v>3112</v>
      </c>
      <c r="I115" s="101"/>
      <c r="J115" s="102"/>
      <c r="K115" s="101"/>
      <c r="L115" s="101"/>
      <c r="M115" s="698" t="s">
        <v>3024</v>
      </c>
      <c r="N115" s="692"/>
      <c r="O115" s="101"/>
      <c r="P115" s="101"/>
      <c r="Q115" s="101"/>
      <c r="R115" s="101"/>
      <c r="S115" s="101"/>
      <c r="T115" s="101"/>
      <c r="U115" s="101"/>
      <c r="V115" s="101"/>
      <c r="W115" s="101"/>
      <c r="X115" s="101"/>
      <c r="Y115" s="101"/>
      <c r="Z115" s="101"/>
      <c r="AA115" s="101"/>
      <c r="AB115" s="101"/>
    </row>
    <row r="116" spans="1:28" ht="13" hidden="1">
      <c r="A116" s="123" t="s">
        <v>55</v>
      </c>
      <c r="B116" s="455" t="s">
        <v>891</v>
      </c>
      <c r="C116" s="455" t="s">
        <v>329</v>
      </c>
      <c r="D116" s="123" t="s">
        <v>243</v>
      </c>
      <c r="E116" s="101"/>
      <c r="F116" s="109">
        <v>73</v>
      </c>
      <c r="G116" s="101"/>
      <c r="H116" s="455" t="s">
        <v>3112</v>
      </c>
      <c r="I116" s="101"/>
      <c r="J116" s="102"/>
      <c r="K116" s="101"/>
      <c r="L116" s="101"/>
      <c r="M116" s="101"/>
      <c r="N116" s="101"/>
      <c r="O116" s="101"/>
      <c r="P116" s="101"/>
      <c r="Q116" s="101"/>
      <c r="R116" s="101"/>
      <c r="S116" s="101"/>
      <c r="T116" s="101"/>
      <c r="U116" s="101"/>
      <c r="V116" s="101"/>
      <c r="W116" s="101"/>
      <c r="X116" s="101"/>
      <c r="Y116" s="101"/>
      <c r="Z116" s="101"/>
      <c r="AA116" s="101"/>
      <c r="AB116" s="101"/>
    </row>
    <row r="117" spans="1:28" ht="13" hidden="1">
      <c r="A117" s="123" t="s">
        <v>55</v>
      </c>
      <c r="B117" s="123" t="s">
        <v>881</v>
      </c>
      <c r="C117" s="123" t="s">
        <v>329</v>
      </c>
      <c r="D117" s="123" t="s">
        <v>243</v>
      </c>
      <c r="E117" s="101"/>
      <c r="F117" s="176">
        <v>64</v>
      </c>
      <c r="G117" s="101"/>
      <c r="H117" s="455" t="s">
        <v>3112</v>
      </c>
      <c r="I117" s="101"/>
      <c r="J117" s="101"/>
      <c r="K117" s="101"/>
      <c r="L117" s="101"/>
      <c r="M117" s="698" t="s">
        <v>3128</v>
      </c>
      <c r="N117" s="692"/>
      <c r="O117" s="101"/>
      <c r="P117" s="101"/>
      <c r="Q117" s="101"/>
      <c r="R117" s="101"/>
      <c r="S117" s="101"/>
      <c r="T117" s="101"/>
      <c r="U117" s="101"/>
      <c r="V117" s="101"/>
      <c r="W117" s="101"/>
      <c r="X117" s="101"/>
      <c r="Y117" s="101"/>
      <c r="Z117" s="101"/>
      <c r="AA117" s="101"/>
      <c r="AB117" s="101"/>
    </row>
    <row r="118" spans="1:28" ht="13" hidden="1">
      <c r="A118" s="123" t="s">
        <v>59</v>
      </c>
      <c r="B118" s="123" t="s">
        <v>884</v>
      </c>
      <c r="C118" s="123" t="s">
        <v>329</v>
      </c>
      <c r="D118" s="123" t="s">
        <v>243</v>
      </c>
      <c r="E118" s="101"/>
      <c r="F118" s="176">
        <v>27</v>
      </c>
      <c r="G118" s="101"/>
      <c r="H118" s="455" t="s">
        <v>3112</v>
      </c>
      <c r="I118" s="101"/>
      <c r="J118" s="102"/>
      <c r="K118" s="101"/>
      <c r="L118" s="101"/>
      <c r="M118" s="698" t="s">
        <v>3025</v>
      </c>
      <c r="N118" s="692"/>
      <c r="O118" s="101"/>
      <c r="P118" s="101"/>
      <c r="Q118" s="101"/>
      <c r="R118" s="101"/>
      <c r="S118" s="101"/>
      <c r="T118" s="101"/>
      <c r="U118" s="101"/>
      <c r="V118" s="101"/>
      <c r="W118" s="101"/>
      <c r="X118" s="101"/>
      <c r="Y118" s="101"/>
      <c r="Z118" s="101"/>
      <c r="AA118" s="101"/>
      <c r="AB118" s="101"/>
    </row>
    <row r="119" spans="1:28" ht="13" hidden="1">
      <c r="A119" s="123" t="s">
        <v>55</v>
      </c>
      <c r="B119" s="123" t="s">
        <v>872</v>
      </c>
      <c r="C119" s="123" t="s">
        <v>329</v>
      </c>
      <c r="D119" s="123" t="s">
        <v>243</v>
      </c>
      <c r="E119" s="101"/>
      <c r="F119" s="176">
        <v>28</v>
      </c>
      <c r="G119" s="101"/>
      <c r="H119" s="455" t="s">
        <v>3112</v>
      </c>
      <c r="I119" s="101"/>
      <c r="J119" s="101"/>
      <c r="K119" s="101"/>
      <c r="L119" s="101"/>
      <c r="M119" s="699" t="s">
        <v>3164</v>
      </c>
      <c r="N119" s="692"/>
      <c r="O119" s="101"/>
      <c r="P119" s="101"/>
      <c r="Q119" s="101"/>
      <c r="R119" s="101"/>
      <c r="S119" s="101"/>
      <c r="T119" s="101"/>
      <c r="U119" s="101"/>
      <c r="V119" s="101"/>
      <c r="W119" s="101"/>
      <c r="X119" s="101"/>
      <c r="Y119" s="101"/>
      <c r="Z119" s="101"/>
      <c r="AA119" s="101"/>
      <c r="AB119" s="101"/>
    </row>
    <row r="120" spans="1:28" ht="13" hidden="1">
      <c r="A120" s="123" t="s">
        <v>59</v>
      </c>
      <c r="B120" s="123" t="s">
        <v>885</v>
      </c>
      <c r="C120" s="123" t="s">
        <v>329</v>
      </c>
      <c r="D120" s="123" t="s">
        <v>243</v>
      </c>
      <c r="E120" s="101"/>
      <c r="F120" s="176">
        <v>29</v>
      </c>
      <c r="G120" s="101"/>
      <c r="H120" s="455" t="s">
        <v>3112</v>
      </c>
      <c r="I120" s="101"/>
      <c r="J120" s="102"/>
      <c r="K120" s="101"/>
      <c r="L120" s="101"/>
      <c r="M120" s="698" t="s">
        <v>3026</v>
      </c>
      <c r="N120" s="692"/>
      <c r="O120" s="101"/>
      <c r="P120" s="101"/>
      <c r="Q120" s="101"/>
      <c r="R120" s="101"/>
      <c r="S120" s="101"/>
      <c r="T120" s="101"/>
      <c r="U120" s="101"/>
      <c r="V120" s="101"/>
      <c r="W120" s="101"/>
      <c r="X120" s="101"/>
      <c r="Y120" s="101"/>
      <c r="Z120" s="101"/>
      <c r="AA120" s="101"/>
      <c r="AB120" s="101"/>
    </row>
    <row r="121" spans="1:28" ht="13" hidden="1">
      <c r="A121" s="123" t="s">
        <v>59</v>
      </c>
      <c r="B121" s="123" t="s">
        <v>3057</v>
      </c>
      <c r="C121" s="123" t="s">
        <v>329</v>
      </c>
      <c r="D121" s="123" t="s">
        <v>243</v>
      </c>
      <c r="E121" s="101"/>
      <c r="F121" s="176">
        <v>30</v>
      </c>
      <c r="G121" s="101"/>
      <c r="H121" s="455" t="s">
        <v>3112</v>
      </c>
      <c r="I121" s="101"/>
      <c r="J121" s="101"/>
      <c r="K121" s="101"/>
      <c r="L121" s="101"/>
      <c r="M121" s="698" t="s">
        <v>3129</v>
      </c>
      <c r="N121" s="692"/>
      <c r="O121" s="101"/>
      <c r="P121" s="101"/>
      <c r="Q121" s="101"/>
      <c r="R121" s="101"/>
      <c r="S121" s="101"/>
      <c r="T121" s="101"/>
      <c r="U121" s="101"/>
      <c r="V121" s="101"/>
      <c r="W121" s="101"/>
      <c r="X121" s="101"/>
      <c r="Y121" s="101"/>
      <c r="Z121" s="101"/>
      <c r="AA121" s="101"/>
      <c r="AB121" s="101"/>
    </row>
    <row r="122" spans="1:28" ht="13" hidden="1">
      <c r="A122" s="123" t="s">
        <v>59</v>
      </c>
      <c r="B122" s="123" t="s">
        <v>886</v>
      </c>
      <c r="C122" s="123" t="s">
        <v>329</v>
      </c>
      <c r="D122" s="123" t="s">
        <v>243</v>
      </c>
      <c r="E122" s="101"/>
      <c r="F122" s="176">
        <v>31</v>
      </c>
      <c r="G122" s="101"/>
      <c r="H122" s="455" t="s">
        <v>3112</v>
      </c>
      <c r="I122" s="101"/>
      <c r="J122" s="102"/>
      <c r="K122" s="101"/>
      <c r="L122" s="101"/>
      <c r="M122" s="698" t="s">
        <v>3027</v>
      </c>
      <c r="N122" s="692"/>
      <c r="O122" s="101"/>
      <c r="P122" s="101"/>
      <c r="Q122" s="101"/>
      <c r="R122" s="101"/>
      <c r="S122" s="101"/>
      <c r="T122" s="101"/>
      <c r="U122" s="101"/>
      <c r="V122" s="101"/>
      <c r="W122" s="101"/>
      <c r="X122" s="101"/>
      <c r="Y122" s="101"/>
      <c r="Z122" s="101"/>
      <c r="AA122" s="101"/>
      <c r="AB122" s="101"/>
    </row>
    <row r="123" spans="1:28" ht="13" hidden="1">
      <c r="A123" s="116" t="s">
        <v>55</v>
      </c>
      <c r="B123" s="116" t="s">
        <v>3058</v>
      </c>
      <c r="C123" s="116" t="s">
        <v>329</v>
      </c>
      <c r="D123" s="116" t="s">
        <v>243</v>
      </c>
      <c r="E123" s="101"/>
      <c r="F123" s="101"/>
      <c r="G123" s="101"/>
      <c r="H123" s="455" t="s">
        <v>3112</v>
      </c>
      <c r="I123" s="101"/>
      <c r="J123" s="101"/>
      <c r="K123" s="101"/>
      <c r="L123" s="101"/>
      <c r="M123" s="110" t="s">
        <v>3059</v>
      </c>
      <c r="N123" s="101"/>
      <c r="O123" s="101"/>
      <c r="P123" s="101"/>
      <c r="Q123" s="101"/>
      <c r="R123" s="101"/>
      <c r="S123" s="101"/>
      <c r="T123" s="101"/>
      <c r="U123" s="101"/>
      <c r="V123" s="101"/>
      <c r="W123" s="101"/>
      <c r="X123" s="101"/>
      <c r="Y123" s="101"/>
      <c r="Z123" s="101"/>
      <c r="AA123" s="101"/>
      <c r="AB123" s="101"/>
    </row>
    <row r="124" spans="1:28" ht="13" hidden="1">
      <c r="A124" s="116" t="s">
        <v>55</v>
      </c>
      <c r="B124" s="116" t="s">
        <v>3060</v>
      </c>
      <c r="C124" s="116" t="s">
        <v>329</v>
      </c>
      <c r="D124" s="116" t="s">
        <v>243</v>
      </c>
      <c r="E124" s="101"/>
      <c r="F124" s="101"/>
      <c r="G124" s="101"/>
      <c r="H124" s="455" t="s">
        <v>3112</v>
      </c>
      <c r="I124" s="101"/>
      <c r="J124" s="101"/>
      <c r="K124" s="101"/>
      <c r="L124" s="101"/>
      <c r="M124" s="110" t="s">
        <v>3061</v>
      </c>
      <c r="N124" s="101"/>
      <c r="O124" s="101"/>
      <c r="P124" s="101"/>
      <c r="Q124" s="101"/>
      <c r="R124" s="101"/>
      <c r="S124" s="101"/>
      <c r="T124" s="101"/>
      <c r="U124" s="101"/>
      <c r="V124" s="101"/>
      <c r="W124" s="101"/>
      <c r="X124" s="101"/>
      <c r="Y124" s="101"/>
      <c r="Z124" s="101"/>
      <c r="AA124" s="101"/>
      <c r="AB124" s="101"/>
    </row>
    <row r="125" spans="1:28" ht="13" hidden="1">
      <c r="A125" s="116" t="s">
        <v>55</v>
      </c>
      <c r="B125" s="116" t="s">
        <v>3062</v>
      </c>
      <c r="C125" s="116" t="s">
        <v>329</v>
      </c>
      <c r="D125" s="116" t="s">
        <v>243</v>
      </c>
      <c r="E125" s="101"/>
      <c r="F125" s="101"/>
      <c r="G125" s="101"/>
      <c r="H125" s="455" t="s">
        <v>3112</v>
      </c>
      <c r="I125" s="101"/>
      <c r="J125" s="101"/>
      <c r="K125" s="101"/>
      <c r="L125" s="101"/>
      <c r="M125" s="110" t="s">
        <v>3063</v>
      </c>
      <c r="N125" s="101"/>
      <c r="O125" s="101"/>
      <c r="P125" s="101"/>
      <c r="Q125" s="101"/>
      <c r="R125" s="101"/>
      <c r="S125" s="101"/>
      <c r="T125" s="101"/>
      <c r="U125" s="101"/>
      <c r="V125" s="101"/>
      <c r="W125" s="101"/>
      <c r="X125" s="101"/>
      <c r="Y125" s="101"/>
      <c r="Z125" s="101"/>
      <c r="AA125" s="101"/>
      <c r="AB125" s="101"/>
    </row>
    <row r="126" spans="1:28" ht="13" hidden="1">
      <c r="A126" s="116" t="s">
        <v>55</v>
      </c>
      <c r="B126" s="116" t="s">
        <v>3064</v>
      </c>
      <c r="C126" s="116" t="s">
        <v>329</v>
      </c>
      <c r="D126" s="116" t="s">
        <v>243</v>
      </c>
      <c r="E126" s="101"/>
      <c r="F126" s="101"/>
      <c r="G126" s="101"/>
      <c r="H126" s="455" t="s">
        <v>3112</v>
      </c>
      <c r="I126" s="101"/>
      <c r="J126" s="101"/>
      <c r="K126" s="101"/>
      <c r="L126" s="101"/>
      <c r="M126" s="110" t="s">
        <v>3065</v>
      </c>
      <c r="N126" s="101"/>
      <c r="O126" s="101"/>
      <c r="P126" s="101"/>
      <c r="Q126" s="101"/>
      <c r="R126" s="101"/>
      <c r="S126" s="101"/>
      <c r="T126" s="101"/>
      <c r="U126" s="101"/>
      <c r="V126" s="101"/>
      <c r="W126" s="101"/>
      <c r="X126" s="101"/>
      <c r="Y126" s="101"/>
      <c r="Z126" s="101"/>
      <c r="AA126" s="101"/>
      <c r="AB126" s="101"/>
    </row>
    <row r="127" spans="1:28" ht="13" hidden="1">
      <c r="A127" s="116" t="s">
        <v>55</v>
      </c>
      <c r="B127" s="116" t="s">
        <v>3066</v>
      </c>
      <c r="C127" s="116" t="s">
        <v>329</v>
      </c>
      <c r="D127" s="116" t="s">
        <v>243</v>
      </c>
      <c r="E127" s="101"/>
      <c r="F127" s="101"/>
      <c r="G127" s="101"/>
      <c r="H127" s="455" t="s">
        <v>3112</v>
      </c>
      <c r="I127" s="101"/>
      <c r="J127" s="101"/>
      <c r="K127" s="101"/>
      <c r="L127" s="101"/>
      <c r="M127" s="101"/>
      <c r="N127" s="101"/>
      <c r="O127" s="101"/>
      <c r="P127" s="101"/>
      <c r="Q127" s="101"/>
      <c r="R127" s="101"/>
      <c r="S127" s="101"/>
      <c r="T127" s="101"/>
      <c r="U127" s="101"/>
      <c r="V127" s="101"/>
      <c r="W127" s="101"/>
      <c r="X127" s="101"/>
      <c r="Y127" s="101"/>
      <c r="Z127" s="101"/>
      <c r="AA127" s="101"/>
      <c r="AB127" s="101"/>
    </row>
    <row r="128" spans="1:28" ht="13" hidden="1">
      <c r="A128" s="116" t="s">
        <v>55</v>
      </c>
      <c r="B128" s="116" t="s">
        <v>3068</v>
      </c>
      <c r="C128" s="116" t="s">
        <v>329</v>
      </c>
      <c r="D128" s="116" t="s">
        <v>243</v>
      </c>
      <c r="E128" s="101"/>
      <c r="F128" s="101"/>
      <c r="G128" s="101"/>
      <c r="H128" s="455" t="s">
        <v>3112</v>
      </c>
      <c r="I128" s="101"/>
      <c r="J128" s="101"/>
      <c r="K128" s="101"/>
      <c r="L128" s="101"/>
      <c r="M128" s="110" t="s">
        <v>3067</v>
      </c>
      <c r="N128" s="101"/>
      <c r="O128" s="101"/>
      <c r="P128" s="101"/>
      <c r="Q128" s="101"/>
      <c r="R128" s="101"/>
      <c r="S128" s="101"/>
      <c r="T128" s="101"/>
      <c r="U128" s="101"/>
      <c r="V128" s="101"/>
      <c r="W128" s="101"/>
      <c r="X128" s="101"/>
      <c r="Y128" s="101"/>
      <c r="Z128" s="101"/>
      <c r="AA128" s="101"/>
      <c r="AB128" s="101"/>
    </row>
    <row r="129" spans="1:28" ht="13" hidden="1">
      <c r="A129" s="116" t="s">
        <v>55</v>
      </c>
      <c r="B129" s="116" t="s">
        <v>3069</v>
      </c>
      <c r="C129" s="116" t="s">
        <v>329</v>
      </c>
      <c r="D129" s="116" t="s">
        <v>243</v>
      </c>
      <c r="E129" s="101"/>
      <c r="F129" s="101"/>
      <c r="G129" s="101"/>
      <c r="H129" s="455" t="s">
        <v>3112</v>
      </c>
      <c r="I129" s="101"/>
      <c r="J129" s="101"/>
      <c r="K129" s="101"/>
      <c r="L129" s="101"/>
      <c r="M129" s="110" t="s">
        <v>3070</v>
      </c>
      <c r="N129" s="101"/>
      <c r="O129" s="101"/>
      <c r="P129" s="101"/>
      <c r="Q129" s="101"/>
      <c r="R129" s="101"/>
      <c r="S129" s="101"/>
      <c r="T129" s="101"/>
      <c r="U129" s="101"/>
      <c r="V129" s="101"/>
      <c r="W129" s="101"/>
      <c r="X129" s="101"/>
      <c r="Y129" s="101"/>
      <c r="Z129" s="101"/>
      <c r="AA129" s="101"/>
      <c r="AB129" s="101"/>
    </row>
    <row r="130" spans="1:28" ht="13" hidden="1">
      <c r="A130" s="321" t="s">
        <v>55</v>
      </c>
      <c r="B130" s="321" t="s">
        <v>3130</v>
      </c>
      <c r="C130" s="321" t="s">
        <v>329</v>
      </c>
      <c r="D130" s="321" t="s">
        <v>243</v>
      </c>
      <c r="E130" s="101"/>
      <c r="F130" s="101"/>
      <c r="G130" s="101"/>
      <c r="H130" s="455" t="s">
        <v>3112</v>
      </c>
      <c r="I130" s="101"/>
      <c r="J130" s="101"/>
      <c r="K130" s="101"/>
      <c r="L130" s="101"/>
      <c r="M130" s="322" t="s">
        <v>3070</v>
      </c>
      <c r="N130" s="101"/>
      <c r="O130" s="101"/>
      <c r="P130" s="101"/>
      <c r="Q130" s="101"/>
      <c r="R130" s="101"/>
      <c r="S130" s="101"/>
      <c r="T130" s="101"/>
      <c r="U130" s="101"/>
      <c r="V130" s="101"/>
      <c r="W130" s="101"/>
      <c r="X130" s="101"/>
      <c r="Y130" s="101"/>
      <c r="Z130" s="101"/>
      <c r="AA130" s="101"/>
      <c r="AB130" s="101"/>
    </row>
    <row r="131" spans="1:28" ht="13" hidden="1">
      <c r="A131" s="123" t="s">
        <v>55</v>
      </c>
      <c r="B131" s="123" t="s">
        <v>750</v>
      </c>
      <c r="C131" s="123" t="s">
        <v>329</v>
      </c>
      <c r="D131" s="123" t="s">
        <v>243</v>
      </c>
      <c r="E131" s="101"/>
      <c r="F131" s="101"/>
      <c r="G131" s="101"/>
      <c r="H131" s="455" t="s">
        <v>3112</v>
      </c>
      <c r="I131" s="101"/>
      <c r="J131" s="101"/>
      <c r="K131" s="101"/>
      <c r="L131" s="101"/>
      <c r="M131" s="123" t="s">
        <v>2743</v>
      </c>
      <c r="N131" s="101"/>
      <c r="O131" s="101"/>
      <c r="P131" s="101"/>
      <c r="Q131" s="101"/>
      <c r="R131" s="101"/>
      <c r="S131" s="101"/>
      <c r="T131" s="101"/>
      <c r="U131" s="101"/>
      <c r="V131" s="101"/>
      <c r="W131" s="101"/>
      <c r="X131" s="101"/>
      <c r="Y131" s="101"/>
      <c r="Z131" s="101"/>
      <c r="AA131" s="101"/>
      <c r="AB131" s="101"/>
    </row>
    <row r="132" spans="1:28" ht="13">
      <c r="A132" s="183" t="s">
        <v>55</v>
      </c>
      <c r="B132" s="183" t="s">
        <v>752</v>
      </c>
      <c r="C132" s="183" t="s">
        <v>329</v>
      </c>
      <c r="D132" s="183" t="s">
        <v>243</v>
      </c>
      <c r="E132" s="105"/>
      <c r="F132" s="105"/>
      <c r="G132" s="104">
        <v>1</v>
      </c>
      <c r="H132" s="111" t="s">
        <v>3112</v>
      </c>
      <c r="I132" s="183" t="s">
        <v>752</v>
      </c>
      <c r="J132" s="105"/>
      <c r="K132" s="105"/>
      <c r="L132" s="105"/>
      <c r="M132" s="183" t="s">
        <v>2743</v>
      </c>
      <c r="N132" s="105"/>
      <c r="O132" s="105"/>
      <c r="P132" s="105"/>
      <c r="Q132" s="101"/>
      <c r="R132" s="101"/>
      <c r="S132" s="101"/>
      <c r="T132" s="101"/>
      <c r="U132" s="101"/>
      <c r="V132" s="101"/>
      <c r="W132" s="101"/>
      <c r="X132" s="101"/>
      <c r="Y132" s="101"/>
      <c r="Z132" s="101"/>
      <c r="AA132" s="101"/>
      <c r="AB132" s="101"/>
    </row>
    <row r="133" spans="1:28" ht="13">
      <c r="A133" s="183" t="s">
        <v>61</v>
      </c>
      <c r="B133" s="183" t="s">
        <v>870</v>
      </c>
      <c r="C133" s="183" t="s">
        <v>252</v>
      </c>
      <c r="D133" s="183" t="s">
        <v>903</v>
      </c>
      <c r="E133" s="105"/>
      <c r="F133" s="323">
        <v>32</v>
      </c>
      <c r="G133" s="104">
        <v>1</v>
      </c>
      <c r="H133" s="111" t="s">
        <v>3112</v>
      </c>
      <c r="I133" s="183" t="s">
        <v>870</v>
      </c>
      <c r="J133" s="105"/>
      <c r="K133" s="105"/>
      <c r="L133" s="105"/>
      <c r="M133" s="318" t="s">
        <v>3020</v>
      </c>
      <c r="N133" s="105"/>
      <c r="O133" s="105"/>
      <c r="P133" s="105"/>
      <c r="Q133" s="101"/>
      <c r="R133" s="101"/>
      <c r="S133" s="101"/>
      <c r="T133" s="101"/>
      <c r="U133" s="101"/>
      <c r="V133" s="101"/>
      <c r="W133" s="101"/>
      <c r="X133" s="101"/>
      <c r="Y133" s="101"/>
      <c r="Z133" s="101"/>
      <c r="AA133" s="101"/>
      <c r="AB133" s="101"/>
    </row>
    <row r="134" spans="1:28" ht="13" hidden="1">
      <c r="A134" s="123" t="s">
        <v>53</v>
      </c>
      <c r="B134" s="123" t="s">
        <v>124</v>
      </c>
      <c r="C134" s="123" t="s">
        <v>535</v>
      </c>
      <c r="D134" s="123" t="s">
        <v>903</v>
      </c>
      <c r="E134" s="101"/>
      <c r="F134" s="176">
        <v>1</v>
      </c>
      <c r="G134" s="101"/>
      <c r="H134" s="455" t="s">
        <v>3112</v>
      </c>
      <c r="I134" s="101"/>
      <c r="J134" s="101"/>
      <c r="K134" s="101"/>
      <c r="L134" s="101"/>
      <c r="M134" s="455" t="s">
        <v>1190</v>
      </c>
      <c r="N134" s="101"/>
      <c r="O134" s="101"/>
      <c r="P134" s="101"/>
      <c r="Q134" s="101"/>
      <c r="R134" s="101"/>
      <c r="S134" s="101"/>
      <c r="T134" s="101"/>
      <c r="U134" s="101"/>
      <c r="V134" s="101"/>
      <c r="W134" s="101"/>
      <c r="X134" s="101"/>
      <c r="Y134" s="101"/>
      <c r="Z134" s="101"/>
      <c r="AA134" s="101"/>
      <c r="AB134" s="101"/>
    </row>
    <row r="135" spans="1:28" ht="13" hidden="1">
      <c r="A135" s="123" t="s">
        <v>55</v>
      </c>
      <c r="B135" s="123" t="s">
        <v>869</v>
      </c>
      <c r="C135" s="123" t="s">
        <v>329</v>
      </c>
      <c r="D135" s="123" t="s">
        <v>243</v>
      </c>
      <c r="E135" s="101"/>
      <c r="F135" s="101"/>
      <c r="G135" s="101"/>
      <c r="H135" s="455" t="s">
        <v>3112</v>
      </c>
      <c r="I135" s="101"/>
      <c r="J135" s="101"/>
      <c r="K135" s="101"/>
      <c r="L135" s="101"/>
      <c r="M135" s="123" t="s">
        <v>3018</v>
      </c>
      <c r="N135" s="101"/>
      <c r="O135" s="101"/>
      <c r="P135" s="101"/>
      <c r="Q135" s="101"/>
      <c r="R135" s="101"/>
      <c r="S135" s="101"/>
      <c r="T135" s="101"/>
      <c r="U135" s="101"/>
      <c r="V135" s="101"/>
      <c r="W135" s="101"/>
      <c r="X135" s="101"/>
      <c r="Y135" s="101"/>
      <c r="Z135" s="101"/>
      <c r="AA135" s="101"/>
      <c r="AB135" s="101"/>
    </row>
    <row r="136" spans="1:28" ht="13" hidden="1">
      <c r="A136" s="123" t="s">
        <v>55</v>
      </c>
      <c r="B136" s="123" t="s">
        <v>3077</v>
      </c>
      <c r="C136" s="123" t="s">
        <v>329</v>
      </c>
      <c r="D136" s="123" t="s">
        <v>243</v>
      </c>
      <c r="E136" s="101"/>
      <c r="F136" s="176">
        <v>59</v>
      </c>
      <c r="G136" s="101"/>
      <c r="H136" s="455" t="s">
        <v>3112</v>
      </c>
      <c r="I136" s="101"/>
      <c r="J136" s="101"/>
      <c r="K136" s="101"/>
      <c r="L136" s="101"/>
      <c r="M136" s="698" t="s">
        <v>3131</v>
      </c>
      <c r="N136" s="692"/>
      <c r="O136" s="101"/>
      <c r="P136" s="101"/>
      <c r="Q136" s="101"/>
      <c r="R136" s="101"/>
      <c r="S136" s="101"/>
      <c r="T136" s="101"/>
      <c r="U136" s="101"/>
      <c r="V136" s="101"/>
      <c r="W136" s="101"/>
      <c r="X136" s="101"/>
      <c r="Y136" s="101"/>
      <c r="Z136" s="101"/>
      <c r="AA136" s="101"/>
      <c r="AB136" s="101"/>
    </row>
    <row r="137" spans="1:28" ht="13" hidden="1">
      <c r="A137" s="123" t="s">
        <v>59</v>
      </c>
      <c r="B137" s="123" t="s">
        <v>3078</v>
      </c>
      <c r="C137" s="123" t="s">
        <v>329</v>
      </c>
      <c r="D137" s="123" t="s">
        <v>243</v>
      </c>
      <c r="E137" s="101"/>
      <c r="F137" s="176">
        <v>33</v>
      </c>
      <c r="G137" s="101"/>
      <c r="H137" s="455" t="s">
        <v>3112</v>
      </c>
      <c r="I137" s="101"/>
      <c r="J137" s="101"/>
      <c r="K137" s="101"/>
      <c r="L137" s="101"/>
      <c r="M137" s="698" t="s">
        <v>3132</v>
      </c>
      <c r="N137" s="692"/>
      <c r="O137" s="101"/>
      <c r="P137" s="101"/>
      <c r="Q137" s="101"/>
      <c r="R137" s="101"/>
      <c r="S137" s="101"/>
      <c r="T137" s="101"/>
      <c r="U137" s="101"/>
      <c r="V137" s="101"/>
      <c r="W137" s="101"/>
      <c r="X137" s="101"/>
      <c r="Y137" s="101"/>
      <c r="Z137" s="101"/>
      <c r="AA137" s="101"/>
      <c r="AB137" s="101"/>
    </row>
    <row r="138" spans="1:28" ht="13" hidden="1">
      <c r="A138" s="123" t="s">
        <v>55</v>
      </c>
      <c r="B138" s="123" t="s">
        <v>3079</v>
      </c>
      <c r="C138" s="123" t="s">
        <v>329</v>
      </c>
      <c r="D138" s="123" t="s">
        <v>243</v>
      </c>
      <c r="E138" s="101"/>
      <c r="F138" s="176">
        <v>34</v>
      </c>
      <c r="G138" s="101"/>
      <c r="H138" s="455" t="s">
        <v>3112</v>
      </c>
      <c r="I138" s="101"/>
      <c r="J138" s="101"/>
      <c r="K138" s="101"/>
      <c r="L138" s="101"/>
      <c r="M138" s="698" t="s">
        <v>3133</v>
      </c>
      <c r="N138" s="692"/>
      <c r="O138" s="101"/>
      <c r="P138" s="101"/>
      <c r="Q138" s="101"/>
      <c r="R138" s="101"/>
      <c r="S138" s="101"/>
      <c r="T138" s="101"/>
      <c r="U138" s="101"/>
      <c r="V138" s="101"/>
      <c r="W138" s="101"/>
      <c r="X138" s="101"/>
      <c r="Y138" s="101"/>
      <c r="Z138" s="101"/>
      <c r="AA138" s="101"/>
      <c r="AB138" s="101"/>
    </row>
    <row r="139" spans="1:28" ht="13" hidden="1">
      <c r="A139" s="123" t="s">
        <v>55</v>
      </c>
      <c r="B139" s="123" t="s">
        <v>3080</v>
      </c>
      <c r="C139" s="123" t="s">
        <v>329</v>
      </c>
      <c r="D139" s="123" t="s">
        <v>243</v>
      </c>
      <c r="E139" s="101"/>
      <c r="F139" s="176">
        <v>67</v>
      </c>
      <c r="G139" s="101"/>
      <c r="H139" s="455" t="s">
        <v>3112</v>
      </c>
      <c r="I139" s="101"/>
      <c r="J139" s="101"/>
      <c r="K139" s="101"/>
      <c r="L139" s="101"/>
      <c r="M139" s="698" t="s">
        <v>3134</v>
      </c>
      <c r="N139" s="692"/>
      <c r="O139" s="101"/>
      <c r="P139" s="101"/>
      <c r="Q139" s="101"/>
      <c r="R139" s="101"/>
      <c r="S139" s="101"/>
      <c r="T139" s="101"/>
      <c r="U139" s="101"/>
      <c r="V139" s="101"/>
      <c r="W139" s="101"/>
      <c r="X139" s="101"/>
      <c r="Y139" s="101"/>
      <c r="Z139" s="101"/>
      <c r="AA139" s="101"/>
      <c r="AB139" s="101"/>
    </row>
    <row r="140" spans="1:28" ht="13" hidden="1">
      <c r="A140" s="123" t="s">
        <v>55</v>
      </c>
      <c r="B140" s="123" t="s">
        <v>3081</v>
      </c>
      <c r="C140" s="123" t="s">
        <v>329</v>
      </c>
      <c r="D140" s="123" t="s">
        <v>243</v>
      </c>
      <c r="E140" s="101"/>
      <c r="F140" s="176">
        <v>35</v>
      </c>
      <c r="G140" s="101"/>
      <c r="H140" s="455" t="s">
        <v>3112</v>
      </c>
      <c r="I140" s="101"/>
      <c r="J140" s="101"/>
      <c r="K140" s="101"/>
      <c r="L140" s="101"/>
      <c r="M140" s="698" t="s">
        <v>3135</v>
      </c>
      <c r="N140" s="692"/>
      <c r="O140" s="101"/>
      <c r="P140" s="101"/>
      <c r="Q140" s="101"/>
      <c r="R140" s="101"/>
      <c r="S140" s="101"/>
      <c r="T140" s="101"/>
      <c r="U140" s="101"/>
      <c r="V140" s="101"/>
      <c r="W140" s="101"/>
      <c r="X140" s="101"/>
      <c r="Y140" s="101"/>
      <c r="Z140" s="101"/>
      <c r="AA140" s="101"/>
      <c r="AB140" s="101"/>
    </row>
    <row r="141" spans="1:28" ht="13" hidden="1">
      <c r="A141" s="123" t="s">
        <v>55</v>
      </c>
      <c r="B141" s="123" t="s">
        <v>3082</v>
      </c>
      <c r="C141" s="123" t="s">
        <v>329</v>
      </c>
      <c r="D141" s="123" t="s">
        <v>243</v>
      </c>
      <c r="E141" s="101"/>
      <c r="F141" s="176">
        <v>36</v>
      </c>
      <c r="G141" s="101"/>
      <c r="H141" s="455" t="s">
        <v>3112</v>
      </c>
      <c r="I141" s="101"/>
      <c r="J141" s="101"/>
      <c r="K141" s="101"/>
      <c r="L141" s="101"/>
      <c r="M141" s="698" t="s">
        <v>3136</v>
      </c>
      <c r="N141" s="692"/>
      <c r="O141" s="101"/>
      <c r="P141" s="101"/>
      <c r="Q141" s="101"/>
      <c r="R141" s="101"/>
      <c r="S141" s="101"/>
      <c r="T141" s="101"/>
      <c r="U141" s="101"/>
      <c r="V141" s="101"/>
      <c r="W141" s="101"/>
      <c r="X141" s="101"/>
      <c r="Y141" s="101"/>
      <c r="Z141" s="101"/>
      <c r="AA141" s="101"/>
      <c r="AB141" s="101"/>
    </row>
    <row r="142" spans="1:28" ht="13" hidden="1">
      <c r="A142" s="123" t="s">
        <v>55</v>
      </c>
      <c r="B142" s="123" t="s">
        <v>3083</v>
      </c>
      <c r="C142" s="123" t="s">
        <v>329</v>
      </c>
      <c r="D142" s="123" t="s">
        <v>243</v>
      </c>
      <c r="E142" s="101"/>
      <c r="F142" s="176">
        <v>37</v>
      </c>
      <c r="G142" s="101"/>
      <c r="H142" s="455" t="s">
        <v>3112</v>
      </c>
      <c r="I142" s="101"/>
      <c r="J142" s="101"/>
      <c r="K142" s="101"/>
      <c r="L142" s="101"/>
      <c r="M142" s="698" t="s">
        <v>3137</v>
      </c>
      <c r="N142" s="692"/>
      <c r="O142" s="101"/>
      <c r="P142" s="101"/>
      <c r="Q142" s="101"/>
      <c r="R142" s="101"/>
      <c r="S142" s="101"/>
      <c r="T142" s="101"/>
      <c r="U142" s="101"/>
      <c r="V142" s="101"/>
      <c r="W142" s="101"/>
      <c r="X142" s="101"/>
      <c r="Y142" s="101"/>
      <c r="Z142" s="101"/>
      <c r="AA142" s="101"/>
      <c r="AB142" s="101"/>
    </row>
    <row r="143" spans="1:28" ht="13" hidden="1">
      <c r="A143" s="123" t="s">
        <v>55</v>
      </c>
      <c r="B143" s="123" t="s">
        <v>3084</v>
      </c>
      <c r="C143" s="123" t="s">
        <v>329</v>
      </c>
      <c r="D143" s="123" t="s">
        <v>243</v>
      </c>
      <c r="E143" s="101"/>
      <c r="F143" s="176">
        <v>38</v>
      </c>
      <c r="G143" s="101"/>
      <c r="H143" s="455" t="s">
        <v>3112</v>
      </c>
      <c r="I143" s="101"/>
      <c r="J143" s="101"/>
      <c r="K143" s="101"/>
      <c r="L143" s="101"/>
      <c r="M143" s="698" t="s">
        <v>3138</v>
      </c>
      <c r="N143" s="692"/>
      <c r="O143" s="101"/>
      <c r="P143" s="101"/>
      <c r="Q143" s="101"/>
      <c r="R143" s="101"/>
      <c r="S143" s="101"/>
      <c r="T143" s="101"/>
      <c r="U143" s="101"/>
      <c r="V143" s="101"/>
      <c r="W143" s="101"/>
      <c r="X143" s="101"/>
      <c r="Y143" s="101"/>
      <c r="Z143" s="101"/>
      <c r="AA143" s="101"/>
      <c r="AB143" s="101"/>
    </row>
    <row r="144" spans="1:28" ht="13" hidden="1">
      <c r="A144" s="123" t="s">
        <v>55</v>
      </c>
      <c r="B144" s="455" t="s">
        <v>3085</v>
      </c>
      <c r="C144" s="455" t="s">
        <v>329</v>
      </c>
      <c r="D144" s="123" t="s">
        <v>243</v>
      </c>
      <c r="E144" s="101"/>
      <c r="F144" s="109">
        <v>72</v>
      </c>
      <c r="G144" s="101"/>
      <c r="H144" s="455" t="s">
        <v>3112</v>
      </c>
      <c r="I144" s="101"/>
      <c r="J144" s="102"/>
      <c r="K144" s="101"/>
      <c r="L144" s="101"/>
      <c r="M144" s="101"/>
      <c r="N144" s="101"/>
      <c r="O144" s="101"/>
      <c r="P144" s="101"/>
      <c r="Q144" s="101"/>
      <c r="R144" s="101"/>
      <c r="S144" s="101"/>
      <c r="T144" s="101"/>
      <c r="U144" s="101"/>
      <c r="V144" s="101"/>
      <c r="W144" s="101"/>
      <c r="X144" s="101"/>
      <c r="Y144" s="101"/>
      <c r="Z144" s="101"/>
      <c r="AA144" s="101"/>
      <c r="AB144" s="101"/>
    </row>
    <row r="145" spans="1:28" ht="13" hidden="1">
      <c r="A145" s="123" t="s">
        <v>55</v>
      </c>
      <c r="B145" s="123" t="s">
        <v>3086</v>
      </c>
      <c r="C145" s="123" t="s">
        <v>329</v>
      </c>
      <c r="D145" s="123" t="s">
        <v>243</v>
      </c>
      <c r="E145" s="101"/>
      <c r="F145" s="176">
        <v>63</v>
      </c>
      <c r="G145" s="101"/>
      <c r="H145" s="455" t="s">
        <v>3112</v>
      </c>
      <c r="I145" s="101"/>
      <c r="J145" s="101"/>
      <c r="K145" s="101"/>
      <c r="L145" s="101"/>
      <c r="M145" s="698" t="s">
        <v>3139</v>
      </c>
      <c r="N145" s="692"/>
      <c r="O145" s="101"/>
      <c r="P145" s="101"/>
      <c r="Q145" s="101"/>
      <c r="R145" s="101"/>
      <c r="S145" s="101"/>
      <c r="T145" s="101"/>
      <c r="U145" s="101"/>
      <c r="V145" s="101"/>
      <c r="W145" s="101"/>
      <c r="X145" s="101"/>
      <c r="Y145" s="101"/>
      <c r="Z145" s="101"/>
      <c r="AA145" s="101"/>
      <c r="AB145" s="101"/>
    </row>
    <row r="146" spans="1:28" ht="13" hidden="1">
      <c r="A146" s="123" t="s">
        <v>55</v>
      </c>
      <c r="B146" s="123" t="s">
        <v>3087</v>
      </c>
      <c r="C146" s="123" t="s">
        <v>329</v>
      </c>
      <c r="D146" s="123" t="s">
        <v>243</v>
      </c>
      <c r="E146" s="101"/>
      <c r="F146" s="176">
        <v>39</v>
      </c>
      <c r="G146" s="101"/>
      <c r="H146" s="455" t="s">
        <v>3112</v>
      </c>
      <c r="I146" s="101"/>
      <c r="J146" s="101"/>
      <c r="K146" s="101"/>
      <c r="L146" s="101"/>
      <c r="M146" s="698" t="s">
        <v>3140</v>
      </c>
      <c r="N146" s="692"/>
      <c r="O146" s="101"/>
      <c r="P146" s="101"/>
      <c r="Q146" s="101"/>
      <c r="R146" s="101"/>
      <c r="S146" s="101"/>
      <c r="T146" s="101"/>
      <c r="U146" s="101"/>
      <c r="V146" s="101"/>
      <c r="W146" s="101"/>
      <c r="X146" s="101"/>
      <c r="Y146" s="101"/>
      <c r="Z146" s="101"/>
      <c r="AA146" s="101"/>
      <c r="AB146" s="101"/>
    </row>
    <row r="147" spans="1:28" ht="13" hidden="1">
      <c r="A147" s="123" t="s">
        <v>55</v>
      </c>
      <c r="B147" s="123" t="s">
        <v>3088</v>
      </c>
      <c r="C147" s="123" t="s">
        <v>329</v>
      </c>
      <c r="D147" s="123" t="s">
        <v>243</v>
      </c>
      <c r="E147" s="101"/>
      <c r="F147" s="176">
        <v>40</v>
      </c>
      <c r="G147" s="101"/>
      <c r="H147" s="455" t="s">
        <v>3112</v>
      </c>
      <c r="I147" s="101"/>
      <c r="J147" s="101"/>
      <c r="K147" s="101"/>
      <c r="L147" s="101"/>
      <c r="M147" s="698" t="s">
        <v>3141</v>
      </c>
      <c r="N147" s="692"/>
      <c r="O147" s="101"/>
      <c r="P147" s="101"/>
      <c r="Q147" s="101"/>
      <c r="R147" s="101"/>
      <c r="S147" s="101"/>
      <c r="T147" s="101"/>
      <c r="U147" s="101"/>
      <c r="V147" s="101"/>
      <c r="W147" s="101"/>
      <c r="X147" s="101"/>
      <c r="Y147" s="101"/>
      <c r="Z147" s="101"/>
      <c r="AA147" s="101"/>
      <c r="AB147" s="101"/>
    </row>
    <row r="148" spans="1:28" ht="13" hidden="1">
      <c r="A148" s="123" t="s">
        <v>55</v>
      </c>
      <c r="B148" s="123" t="s">
        <v>3089</v>
      </c>
      <c r="C148" s="123" t="s">
        <v>329</v>
      </c>
      <c r="D148" s="123" t="s">
        <v>243</v>
      </c>
      <c r="E148" s="101"/>
      <c r="F148" s="176">
        <v>41</v>
      </c>
      <c r="G148" s="101"/>
      <c r="H148" s="455" t="s">
        <v>3112</v>
      </c>
      <c r="I148" s="101"/>
      <c r="J148" s="101"/>
      <c r="K148" s="101"/>
      <c r="L148" s="101"/>
      <c r="M148" s="698" t="s">
        <v>3142</v>
      </c>
      <c r="N148" s="692"/>
      <c r="O148" s="101"/>
      <c r="P148" s="101"/>
      <c r="Q148" s="101"/>
      <c r="R148" s="101"/>
      <c r="S148" s="101"/>
      <c r="T148" s="101"/>
      <c r="U148" s="101"/>
      <c r="V148" s="101"/>
      <c r="W148" s="101"/>
      <c r="X148" s="101"/>
      <c r="Y148" s="101"/>
      <c r="Z148" s="101"/>
      <c r="AA148" s="101"/>
      <c r="AB148" s="101"/>
    </row>
    <row r="149" spans="1:28" ht="13" hidden="1">
      <c r="A149" s="123" t="s">
        <v>55</v>
      </c>
      <c r="B149" s="123" t="s">
        <v>3090</v>
      </c>
      <c r="C149" s="123" t="s">
        <v>329</v>
      </c>
      <c r="D149" s="123" t="s">
        <v>243</v>
      </c>
      <c r="E149" s="101"/>
      <c r="F149" s="176">
        <v>42</v>
      </c>
      <c r="G149" s="101"/>
      <c r="H149" s="455" t="s">
        <v>3112</v>
      </c>
      <c r="I149" s="101"/>
      <c r="J149" s="101"/>
      <c r="K149" s="101"/>
      <c r="L149" s="101"/>
      <c r="M149" s="698" t="s">
        <v>3143</v>
      </c>
      <c r="N149" s="692"/>
      <c r="O149" s="101"/>
      <c r="P149" s="101"/>
      <c r="Q149" s="101"/>
      <c r="R149" s="101"/>
      <c r="S149" s="101"/>
      <c r="T149" s="101"/>
      <c r="U149" s="101"/>
      <c r="V149" s="101"/>
      <c r="W149" s="101"/>
      <c r="X149" s="101"/>
      <c r="Y149" s="101"/>
      <c r="Z149" s="101"/>
      <c r="AA149" s="101"/>
      <c r="AB149" s="101"/>
    </row>
    <row r="150" spans="1:28" ht="13" hidden="1">
      <c r="A150" s="123" t="s">
        <v>55</v>
      </c>
      <c r="B150" s="123" t="s">
        <v>3091</v>
      </c>
      <c r="C150" s="123" t="s">
        <v>329</v>
      </c>
      <c r="D150" s="123" t="s">
        <v>243</v>
      </c>
      <c r="E150" s="101"/>
      <c r="F150" s="176">
        <v>43</v>
      </c>
      <c r="G150" s="101"/>
      <c r="H150" s="455" t="s">
        <v>3112</v>
      </c>
      <c r="I150" s="101"/>
      <c r="J150" s="101"/>
      <c r="K150" s="101"/>
      <c r="L150" s="101"/>
      <c r="M150" s="698" t="s">
        <v>3144</v>
      </c>
      <c r="N150" s="692"/>
      <c r="O150" s="101"/>
      <c r="P150" s="101"/>
      <c r="Q150" s="101"/>
      <c r="R150" s="101"/>
      <c r="S150" s="101"/>
      <c r="T150" s="101"/>
      <c r="U150" s="101"/>
      <c r="V150" s="101"/>
      <c r="W150" s="101"/>
      <c r="X150" s="101"/>
      <c r="Y150" s="101"/>
      <c r="Z150" s="101"/>
      <c r="AA150" s="101"/>
      <c r="AB150" s="101"/>
    </row>
    <row r="151" spans="1:28" ht="13" hidden="1">
      <c r="A151" s="123" t="s">
        <v>55</v>
      </c>
      <c r="B151" s="123" t="s">
        <v>404</v>
      </c>
      <c r="C151" s="123" t="s">
        <v>329</v>
      </c>
      <c r="D151" s="123" t="s">
        <v>243</v>
      </c>
      <c r="E151" s="101"/>
      <c r="F151" s="176">
        <v>44</v>
      </c>
      <c r="G151" s="101"/>
      <c r="H151" s="455" t="s">
        <v>3112</v>
      </c>
      <c r="I151" s="101"/>
      <c r="J151" s="101"/>
      <c r="K151" s="101"/>
      <c r="L151" s="101"/>
      <c r="M151" s="698" t="s">
        <v>3145</v>
      </c>
      <c r="N151" s="692"/>
      <c r="O151" s="101"/>
      <c r="P151" s="101"/>
      <c r="Q151" s="101"/>
      <c r="R151" s="101"/>
      <c r="S151" s="101"/>
      <c r="T151" s="101"/>
      <c r="U151" s="101"/>
      <c r="V151" s="101"/>
      <c r="W151" s="101"/>
      <c r="X151" s="101"/>
      <c r="Y151" s="101"/>
      <c r="Z151" s="101"/>
      <c r="AA151" s="101"/>
      <c r="AB151" s="101"/>
    </row>
    <row r="152" spans="1:28" ht="13" hidden="1">
      <c r="A152" s="123" t="s">
        <v>55</v>
      </c>
      <c r="B152" s="123" t="s">
        <v>3092</v>
      </c>
      <c r="C152" s="123" t="s">
        <v>329</v>
      </c>
      <c r="D152" s="123" t="s">
        <v>243</v>
      </c>
      <c r="E152" s="101"/>
      <c r="F152" s="176">
        <v>61</v>
      </c>
      <c r="G152" s="101"/>
      <c r="H152" s="455" t="s">
        <v>3112</v>
      </c>
      <c r="I152" s="101"/>
      <c r="J152" s="101"/>
      <c r="K152" s="101"/>
      <c r="L152" s="101"/>
      <c r="M152" s="698" t="s">
        <v>3146</v>
      </c>
      <c r="N152" s="692"/>
      <c r="O152" s="101"/>
      <c r="P152" s="101"/>
      <c r="Q152" s="101"/>
      <c r="R152" s="101"/>
      <c r="S152" s="101"/>
      <c r="T152" s="101"/>
      <c r="U152" s="101"/>
      <c r="V152" s="101"/>
      <c r="W152" s="101"/>
      <c r="X152" s="101"/>
      <c r="Y152" s="101"/>
      <c r="Z152" s="101"/>
      <c r="AA152" s="101"/>
      <c r="AB152" s="101"/>
    </row>
    <row r="153" spans="1:28" ht="13" hidden="1">
      <c r="A153" s="123" t="s">
        <v>55</v>
      </c>
      <c r="B153" s="123" t="s">
        <v>3093</v>
      </c>
      <c r="C153" s="123" t="s">
        <v>329</v>
      </c>
      <c r="D153" s="123" t="s">
        <v>243</v>
      </c>
      <c r="E153" s="101"/>
      <c r="F153" s="176">
        <v>45</v>
      </c>
      <c r="G153" s="101"/>
      <c r="H153" s="455" t="s">
        <v>3112</v>
      </c>
      <c r="I153" s="101"/>
      <c r="J153" s="101"/>
      <c r="K153" s="101"/>
      <c r="L153" s="101"/>
      <c r="M153" s="698" t="s">
        <v>3147</v>
      </c>
      <c r="N153" s="692"/>
      <c r="O153" s="101"/>
      <c r="P153" s="101"/>
      <c r="Q153" s="101"/>
      <c r="R153" s="101"/>
      <c r="S153" s="101"/>
      <c r="T153" s="101"/>
      <c r="U153" s="101"/>
      <c r="V153" s="101"/>
      <c r="W153" s="101"/>
      <c r="X153" s="101"/>
      <c r="Y153" s="101"/>
      <c r="Z153" s="101"/>
      <c r="AA153" s="101"/>
      <c r="AB153" s="101"/>
    </row>
    <row r="154" spans="1:28" ht="13" hidden="1">
      <c r="A154" s="123" t="s">
        <v>55</v>
      </c>
      <c r="B154" s="123" t="s">
        <v>3094</v>
      </c>
      <c r="C154" s="123" t="s">
        <v>329</v>
      </c>
      <c r="D154" s="123" t="s">
        <v>243</v>
      </c>
      <c r="E154" s="101"/>
      <c r="F154" s="176">
        <v>46</v>
      </c>
      <c r="G154" s="101"/>
      <c r="H154" s="455" t="s">
        <v>3112</v>
      </c>
      <c r="I154" s="101"/>
      <c r="J154" s="101"/>
      <c r="K154" s="101"/>
      <c r="L154" s="101"/>
      <c r="M154" s="698" t="s">
        <v>3148</v>
      </c>
      <c r="N154" s="692"/>
      <c r="O154" s="101"/>
      <c r="P154" s="101"/>
      <c r="Q154" s="101"/>
      <c r="R154" s="101"/>
      <c r="S154" s="101"/>
      <c r="T154" s="101"/>
      <c r="U154" s="101"/>
      <c r="V154" s="101"/>
      <c r="W154" s="101"/>
      <c r="X154" s="101"/>
      <c r="Y154" s="101"/>
      <c r="Z154" s="101"/>
      <c r="AA154" s="101"/>
      <c r="AB154" s="101"/>
    </row>
    <row r="155" spans="1:28" ht="13" hidden="1">
      <c r="A155" s="123" t="s">
        <v>55</v>
      </c>
      <c r="B155" s="123" t="s">
        <v>3095</v>
      </c>
      <c r="C155" s="123" t="s">
        <v>329</v>
      </c>
      <c r="D155" s="123" t="s">
        <v>243</v>
      </c>
      <c r="E155" s="101"/>
      <c r="F155" s="176">
        <v>69</v>
      </c>
      <c r="G155" s="101"/>
      <c r="H155" s="455" t="s">
        <v>3112</v>
      </c>
      <c r="I155" s="101"/>
      <c r="J155" s="101"/>
      <c r="K155" s="101"/>
      <c r="L155" s="101"/>
      <c r="M155" s="698" t="s">
        <v>3149</v>
      </c>
      <c r="N155" s="692"/>
      <c r="O155" s="101"/>
      <c r="P155" s="101"/>
      <c r="Q155" s="101"/>
      <c r="R155" s="101"/>
      <c r="S155" s="101"/>
      <c r="T155" s="101"/>
      <c r="U155" s="101"/>
      <c r="V155" s="101"/>
      <c r="W155" s="101"/>
      <c r="X155" s="101"/>
      <c r="Y155" s="101"/>
      <c r="Z155" s="101"/>
      <c r="AA155" s="101"/>
      <c r="AB155" s="101"/>
    </row>
    <row r="156" spans="1:28" ht="13" hidden="1">
      <c r="A156" s="123" t="s">
        <v>55</v>
      </c>
      <c r="B156" s="123" t="s">
        <v>3096</v>
      </c>
      <c r="C156" s="123" t="s">
        <v>329</v>
      </c>
      <c r="D156" s="123" t="s">
        <v>243</v>
      </c>
      <c r="E156" s="101"/>
      <c r="F156" s="176">
        <v>47</v>
      </c>
      <c r="G156" s="101"/>
      <c r="H156" s="455" t="s">
        <v>3112</v>
      </c>
      <c r="I156" s="101"/>
      <c r="J156" s="101"/>
      <c r="K156" s="101"/>
      <c r="L156" s="101"/>
      <c r="M156" s="698" t="s">
        <v>3150</v>
      </c>
      <c r="N156" s="692"/>
      <c r="O156" s="101"/>
      <c r="P156" s="101"/>
      <c r="Q156" s="101"/>
      <c r="R156" s="101"/>
      <c r="S156" s="101"/>
      <c r="T156" s="101"/>
      <c r="U156" s="101"/>
      <c r="V156" s="101"/>
      <c r="W156" s="101"/>
      <c r="X156" s="101"/>
      <c r="Y156" s="101"/>
      <c r="Z156" s="101"/>
      <c r="AA156" s="101"/>
      <c r="AB156" s="101"/>
    </row>
    <row r="157" spans="1:28" ht="13" hidden="1">
      <c r="A157" s="123" t="s">
        <v>55</v>
      </c>
      <c r="B157" s="123" t="s">
        <v>3097</v>
      </c>
      <c r="C157" s="123" t="s">
        <v>329</v>
      </c>
      <c r="D157" s="123" t="s">
        <v>243</v>
      </c>
      <c r="E157" s="101"/>
      <c r="F157" s="176">
        <v>48</v>
      </c>
      <c r="G157" s="101"/>
      <c r="H157" s="455" t="s">
        <v>3112</v>
      </c>
      <c r="I157" s="101"/>
      <c r="J157" s="101"/>
      <c r="K157" s="101"/>
      <c r="L157" s="101"/>
      <c r="M157" s="698" t="s">
        <v>3151</v>
      </c>
      <c r="N157" s="692"/>
      <c r="O157" s="101"/>
      <c r="P157" s="101"/>
      <c r="Q157" s="101"/>
      <c r="R157" s="101"/>
      <c r="S157" s="101"/>
      <c r="T157" s="101"/>
      <c r="U157" s="101"/>
      <c r="V157" s="101"/>
      <c r="W157" s="101"/>
      <c r="X157" s="101"/>
      <c r="Y157" s="101"/>
      <c r="Z157" s="101"/>
      <c r="AA157" s="101"/>
      <c r="AB157" s="101"/>
    </row>
    <row r="158" spans="1:28" ht="13" hidden="1">
      <c r="A158" s="123" t="s">
        <v>55</v>
      </c>
      <c r="B158" s="123" t="s">
        <v>3098</v>
      </c>
      <c r="C158" s="123" t="s">
        <v>329</v>
      </c>
      <c r="D158" s="123" t="s">
        <v>243</v>
      </c>
      <c r="E158" s="101"/>
      <c r="F158" s="176">
        <v>49</v>
      </c>
      <c r="G158" s="101"/>
      <c r="H158" s="455" t="s">
        <v>3112</v>
      </c>
      <c r="I158" s="101"/>
      <c r="J158" s="101"/>
      <c r="K158" s="101"/>
      <c r="L158" s="101"/>
      <c r="M158" s="698" t="s">
        <v>3152</v>
      </c>
      <c r="N158" s="692"/>
      <c r="O158" s="101"/>
      <c r="P158" s="101"/>
      <c r="Q158" s="101"/>
      <c r="R158" s="101"/>
      <c r="S158" s="101"/>
      <c r="T158" s="101"/>
      <c r="U158" s="101"/>
      <c r="V158" s="101"/>
      <c r="W158" s="101"/>
      <c r="X158" s="101"/>
      <c r="Y158" s="101"/>
      <c r="Z158" s="101"/>
      <c r="AA158" s="101"/>
      <c r="AB158" s="101"/>
    </row>
    <row r="159" spans="1:28" ht="13" hidden="1">
      <c r="A159" s="123" t="s">
        <v>55</v>
      </c>
      <c r="B159" s="123" t="s">
        <v>3099</v>
      </c>
      <c r="C159" s="123" t="s">
        <v>329</v>
      </c>
      <c r="D159" s="123" t="s">
        <v>243</v>
      </c>
      <c r="E159" s="101"/>
      <c r="F159" s="176">
        <v>50</v>
      </c>
      <c r="G159" s="101"/>
      <c r="H159" s="455" t="s">
        <v>3112</v>
      </c>
      <c r="I159" s="101"/>
      <c r="J159" s="101"/>
      <c r="K159" s="101"/>
      <c r="L159" s="101"/>
      <c r="M159" s="698" t="s">
        <v>3153</v>
      </c>
      <c r="N159" s="692"/>
      <c r="O159" s="101"/>
      <c r="P159" s="101"/>
      <c r="Q159" s="101"/>
      <c r="R159" s="101"/>
      <c r="S159" s="101"/>
      <c r="T159" s="101"/>
      <c r="U159" s="101"/>
      <c r="V159" s="101"/>
      <c r="W159" s="101"/>
      <c r="X159" s="101"/>
      <c r="Y159" s="101"/>
      <c r="Z159" s="101"/>
      <c r="AA159" s="101"/>
      <c r="AB159" s="101"/>
    </row>
    <row r="160" spans="1:28" ht="13" hidden="1">
      <c r="A160" s="123" t="s">
        <v>55</v>
      </c>
      <c r="B160" s="455" t="s">
        <v>3100</v>
      </c>
      <c r="C160" s="455" t="s">
        <v>329</v>
      </c>
      <c r="D160" s="123" t="s">
        <v>243</v>
      </c>
      <c r="E160" s="101"/>
      <c r="F160" s="109">
        <v>74</v>
      </c>
      <c r="G160" s="101"/>
      <c r="H160" s="455" t="s">
        <v>3112</v>
      </c>
      <c r="I160" s="101"/>
      <c r="J160" s="102"/>
      <c r="K160" s="101"/>
      <c r="L160" s="101"/>
      <c r="M160" s="101"/>
      <c r="N160" s="101"/>
      <c r="O160" s="101"/>
      <c r="P160" s="101"/>
      <c r="Q160" s="101"/>
      <c r="R160" s="101"/>
      <c r="S160" s="101"/>
      <c r="T160" s="101"/>
      <c r="U160" s="101"/>
      <c r="V160" s="101"/>
      <c r="W160" s="101"/>
      <c r="X160" s="101"/>
      <c r="Y160" s="101"/>
      <c r="Z160" s="101"/>
      <c r="AA160" s="101"/>
      <c r="AB160" s="101"/>
    </row>
    <row r="161" spans="1:28" ht="13" hidden="1">
      <c r="A161" s="123" t="s">
        <v>55</v>
      </c>
      <c r="B161" s="123" t="s">
        <v>3101</v>
      </c>
      <c r="C161" s="123" t="s">
        <v>329</v>
      </c>
      <c r="D161" s="123" t="s">
        <v>243</v>
      </c>
      <c r="E161" s="101"/>
      <c r="F161" s="176">
        <v>65</v>
      </c>
      <c r="G161" s="101"/>
      <c r="H161" s="455" t="s">
        <v>3112</v>
      </c>
      <c r="I161" s="101"/>
      <c r="J161" s="101"/>
      <c r="K161" s="101"/>
      <c r="L161" s="101"/>
      <c r="M161" s="698" t="s">
        <v>3154</v>
      </c>
      <c r="N161" s="692"/>
      <c r="O161" s="101"/>
      <c r="P161" s="101"/>
      <c r="Q161" s="101"/>
      <c r="R161" s="101"/>
      <c r="S161" s="101"/>
      <c r="T161" s="101"/>
      <c r="U161" s="101"/>
      <c r="V161" s="101"/>
      <c r="W161" s="101"/>
      <c r="X161" s="101"/>
      <c r="Y161" s="101"/>
      <c r="Z161" s="101"/>
      <c r="AA161" s="101"/>
      <c r="AB161" s="101"/>
    </row>
    <row r="162" spans="1:28" ht="13" hidden="1">
      <c r="A162" s="123" t="s">
        <v>55</v>
      </c>
      <c r="B162" s="123" t="s">
        <v>3102</v>
      </c>
      <c r="C162" s="123" t="s">
        <v>329</v>
      </c>
      <c r="D162" s="123" t="s">
        <v>243</v>
      </c>
      <c r="E162" s="101"/>
      <c r="F162" s="176">
        <v>51</v>
      </c>
      <c r="G162" s="101"/>
      <c r="H162" s="455" t="s">
        <v>3112</v>
      </c>
      <c r="I162" s="101"/>
      <c r="J162" s="101"/>
      <c r="K162" s="101"/>
      <c r="L162" s="101"/>
      <c r="M162" s="698" t="s">
        <v>3155</v>
      </c>
      <c r="N162" s="692"/>
      <c r="O162" s="101"/>
      <c r="P162" s="101"/>
      <c r="Q162" s="101"/>
      <c r="R162" s="101"/>
      <c r="S162" s="101"/>
      <c r="T162" s="101"/>
      <c r="U162" s="101"/>
      <c r="V162" s="101"/>
      <c r="W162" s="101"/>
      <c r="X162" s="101"/>
      <c r="Y162" s="101"/>
      <c r="Z162" s="101"/>
      <c r="AA162" s="101"/>
      <c r="AB162" s="101"/>
    </row>
    <row r="163" spans="1:28" ht="13" hidden="1">
      <c r="A163" s="123" t="s">
        <v>55</v>
      </c>
      <c r="B163" s="123" t="s">
        <v>3103</v>
      </c>
      <c r="C163" s="123" t="s">
        <v>329</v>
      </c>
      <c r="D163" s="123" t="s">
        <v>243</v>
      </c>
      <c r="E163" s="101"/>
      <c r="F163" s="176">
        <v>52</v>
      </c>
      <c r="G163" s="101"/>
      <c r="H163" s="455" t="s">
        <v>3112</v>
      </c>
      <c r="I163" s="101"/>
      <c r="J163" s="101"/>
      <c r="K163" s="101"/>
      <c r="L163" s="101"/>
      <c r="M163" s="698" t="s">
        <v>3156</v>
      </c>
      <c r="N163" s="692"/>
      <c r="O163" s="101"/>
      <c r="P163" s="101"/>
      <c r="Q163" s="101"/>
      <c r="R163" s="101"/>
      <c r="S163" s="101"/>
      <c r="T163" s="101"/>
      <c r="U163" s="101"/>
      <c r="V163" s="101"/>
      <c r="W163" s="101"/>
      <c r="X163" s="101"/>
      <c r="Y163" s="101"/>
      <c r="Z163" s="101"/>
      <c r="AA163" s="101"/>
      <c r="AB163" s="101"/>
    </row>
    <row r="164" spans="1:28" ht="13" hidden="1">
      <c r="A164" s="123" t="s">
        <v>55</v>
      </c>
      <c r="B164" s="123" t="s">
        <v>3104</v>
      </c>
      <c r="C164" s="123" t="s">
        <v>329</v>
      </c>
      <c r="D164" s="123" t="s">
        <v>243</v>
      </c>
      <c r="E164" s="101"/>
      <c r="F164" s="176">
        <v>53</v>
      </c>
      <c r="G164" s="101"/>
      <c r="H164" s="455" t="s">
        <v>3112</v>
      </c>
      <c r="I164" s="101"/>
      <c r="J164" s="101"/>
      <c r="K164" s="101"/>
      <c r="L164" s="101"/>
      <c r="M164" s="698" t="s">
        <v>3157</v>
      </c>
      <c r="N164" s="692"/>
      <c r="O164" s="101"/>
      <c r="P164" s="101"/>
      <c r="Q164" s="101"/>
      <c r="R164" s="101"/>
      <c r="S164" s="101"/>
      <c r="T164" s="101"/>
      <c r="U164" s="101"/>
      <c r="V164" s="101"/>
      <c r="W164" s="101"/>
      <c r="X164" s="101"/>
      <c r="Y164" s="101"/>
      <c r="Z164" s="101"/>
      <c r="AA164" s="101"/>
      <c r="AB164" s="101"/>
    </row>
    <row r="165" spans="1:28" ht="13" hidden="1">
      <c r="A165" s="123" t="s">
        <v>55</v>
      </c>
      <c r="B165" s="123" t="s">
        <v>3105</v>
      </c>
      <c r="C165" s="123" t="s">
        <v>329</v>
      </c>
      <c r="D165" s="123" t="s">
        <v>243</v>
      </c>
      <c r="E165" s="101"/>
      <c r="F165" s="176">
        <v>54</v>
      </c>
      <c r="G165" s="101"/>
      <c r="H165" s="455" t="s">
        <v>3112</v>
      </c>
      <c r="I165" s="101"/>
      <c r="J165" s="101"/>
      <c r="K165" s="101"/>
      <c r="L165" s="101"/>
      <c r="M165" s="698" t="s">
        <v>3158</v>
      </c>
      <c r="N165" s="692"/>
      <c r="O165" s="101"/>
      <c r="P165" s="101"/>
      <c r="Q165" s="101"/>
      <c r="R165" s="101"/>
      <c r="S165" s="101"/>
      <c r="T165" s="101"/>
      <c r="U165" s="101"/>
      <c r="V165" s="101"/>
      <c r="W165" s="101"/>
      <c r="X165" s="101"/>
      <c r="Y165" s="101"/>
      <c r="Z165" s="101"/>
      <c r="AA165" s="101"/>
      <c r="AB165" s="101"/>
    </row>
    <row r="166" spans="1:28" ht="13" hidden="1">
      <c r="A166" s="123" t="s">
        <v>55</v>
      </c>
      <c r="B166" s="123" t="s">
        <v>3106</v>
      </c>
      <c r="C166" s="123" t="s">
        <v>329</v>
      </c>
      <c r="D166" s="123" t="s">
        <v>243</v>
      </c>
      <c r="E166" s="101"/>
      <c r="F166" s="176">
        <v>55</v>
      </c>
      <c r="G166" s="101"/>
      <c r="H166" s="455" t="s">
        <v>3112</v>
      </c>
      <c r="I166" s="101"/>
      <c r="J166" s="101"/>
      <c r="K166" s="101"/>
      <c r="L166" s="101"/>
      <c r="M166" s="698" t="s">
        <v>3159</v>
      </c>
      <c r="N166" s="692"/>
      <c r="O166" s="101"/>
      <c r="P166" s="101"/>
      <c r="Q166" s="101"/>
      <c r="R166" s="101"/>
      <c r="S166" s="101"/>
      <c r="T166" s="101"/>
      <c r="U166" s="101"/>
      <c r="V166" s="101"/>
      <c r="W166" s="101"/>
      <c r="X166" s="101"/>
      <c r="Y166" s="101"/>
      <c r="Z166" s="101"/>
      <c r="AA166" s="101"/>
      <c r="AB166" s="101"/>
    </row>
    <row r="167" spans="1:28" ht="13">
      <c r="A167" s="183" t="s">
        <v>61</v>
      </c>
      <c r="B167" s="183" t="s">
        <v>316</v>
      </c>
      <c r="C167" s="183" t="s">
        <v>264</v>
      </c>
      <c r="D167" s="183" t="s">
        <v>243</v>
      </c>
      <c r="E167" s="105"/>
      <c r="F167" s="323">
        <v>57</v>
      </c>
      <c r="G167" s="104">
        <v>1</v>
      </c>
      <c r="H167" s="111" t="s">
        <v>3112</v>
      </c>
      <c r="I167" s="183" t="s">
        <v>316</v>
      </c>
      <c r="J167" s="106"/>
      <c r="K167" s="105"/>
      <c r="L167" s="105"/>
      <c r="M167" s="456" t="s">
        <v>3013</v>
      </c>
      <c r="N167" s="105"/>
      <c r="O167" s="105"/>
      <c r="P167" s="105"/>
      <c r="Q167" s="101"/>
      <c r="R167" s="101"/>
      <c r="S167" s="101"/>
      <c r="T167" s="101"/>
      <c r="U167" s="101"/>
      <c r="V167" s="101"/>
      <c r="W167" s="101"/>
      <c r="X167" s="101"/>
      <c r="Y167" s="101"/>
      <c r="Z167" s="101"/>
      <c r="AA167" s="101"/>
      <c r="AB167" s="101"/>
    </row>
    <row r="168" spans="1:28" ht="89.25" customHeight="1">
      <c r="A168" s="182" t="s">
        <v>53</v>
      </c>
      <c r="B168" s="182" t="s">
        <v>2352</v>
      </c>
      <c r="C168" s="182" t="s">
        <v>535</v>
      </c>
      <c r="D168" s="182" t="s">
        <v>903</v>
      </c>
      <c r="E168" s="105"/>
      <c r="F168" s="324">
        <v>58</v>
      </c>
      <c r="G168" s="103">
        <v>1</v>
      </c>
      <c r="H168" s="111" t="s">
        <v>3112</v>
      </c>
      <c r="I168" s="111" t="s">
        <v>3165</v>
      </c>
      <c r="J168" s="456" t="s">
        <v>3166</v>
      </c>
      <c r="K168" s="437"/>
      <c r="L168" s="437"/>
      <c r="M168" s="182" t="s">
        <v>1190</v>
      </c>
      <c r="N168" s="105"/>
      <c r="O168" s="105"/>
      <c r="P168" s="105"/>
      <c r="Q168" s="105"/>
      <c r="R168" s="105"/>
      <c r="S168" s="105"/>
      <c r="T168" s="105"/>
      <c r="U168" s="105"/>
      <c r="V168" s="105"/>
      <c r="W168" s="105"/>
      <c r="X168" s="105"/>
      <c r="Y168" s="105"/>
      <c r="Z168" s="105"/>
      <c r="AA168" s="105"/>
      <c r="AB168" s="105"/>
    </row>
    <row r="169" spans="1:28" ht="13">
      <c r="A169" s="101"/>
      <c r="B169" s="101"/>
      <c r="C169" s="101"/>
      <c r="D169" s="101"/>
      <c r="E169" s="101"/>
      <c r="F169" s="101"/>
      <c r="G169" s="101"/>
      <c r="H169" s="101"/>
      <c r="I169" s="101"/>
      <c r="J169" s="101"/>
      <c r="K169" s="101"/>
      <c r="L169" s="101"/>
      <c r="M169" s="101"/>
      <c r="N169" s="101"/>
      <c r="O169" s="101"/>
      <c r="P169" s="101"/>
      <c r="Q169" s="101"/>
      <c r="R169" s="101"/>
      <c r="S169" s="101"/>
      <c r="T169" s="101"/>
      <c r="U169" s="101"/>
      <c r="V169" s="101"/>
      <c r="W169" s="101"/>
      <c r="X169" s="101"/>
      <c r="Y169" s="101"/>
      <c r="Z169" s="101"/>
      <c r="AA169" s="101"/>
      <c r="AB169" s="101"/>
    </row>
    <row r="173" spans="1:28" ht="25">
      <c r="A173" s="441" t="s">
        <v>3167</v>
      </c>
    </row>
    <row r="177" spans="1:9" ht="13">
      <c r="A177" s="31" t="s">
        <v>3168</v>
      </c>
      <c r="B177" s="325"/>
      <c r="C177" s="325"/>
      <c r="D177" s="325"/>
      <c r="E177" s="441"/>
      <c r="F177" s="441"/>
      <c r="G177" s="441"/>
      <c r="H177" s="441"/>
      <c r="I177" s="441"/>
    </row>
    <row r="178" spans="1:9" ht="12.5">
      <c r="A178" s="326" t="s">
        <v>61</v>
      </c>
      <c r="B178" s="326" t="s">
        <v>153</v>
      </c>
      <c r="C178" s="326" t="s">
        <v>324</v>
      </c>
      <c r="D178" s="326" t="s">
        <v>243</v>
      </c>
      <c r="E178" s="327"/>
      <c r="F178" s="327"/>
      <c r="G178" s="112">
        <v>1</v>
      </c>
      <c r="H178" s="117" t="s">
        <v>3112</v>
      </c>
      <c r="I178" s="457" t="s">
        <v>3169</v>
      </c>
    </row>
    <row r="179" spans="1:9" ht="12.5">
      <c r="A179" s="441" t="s">
        <v>53</v>
      </c>
      <c r="B179" s="441" t="s">
        <v>2352</v>
      </c>
      <c r="C179" s="441" t="s">
        <v>535</v>
      </c>
      <c r="D179" s="441" t="s">
        <v>903</v>
      </c>
      <c r="E179" s="441"/>
      <c r="F179" s="176">
        <v>57</v>
      </c>
      <c r="G179" s="113">
        <v>1</v>
      </c>
      <c r="H179" s="455" t="s">
        <v>3112</v>
      </c>
      <c r="I179" s="441"/>
    </row>
    <row r="180" spans="1:9" ht="12.5">
      <c r="A180" s="441" t="s">
        <v>61</v>
      </c>
      <c r="B180" s="441" t="s">
        <v>316</v>
      </c>
      <c r="C180" s="441" t="s">
        <v>264</v>
      </c>
      <c r="D180" s="441" t="s">
        <v>243</v>
      </c>
      <c r="E180" s="441"/>
      <c r="F180" s="176">
        <v>56</v>
      </c>
      <c r="G180" s="113">
        <v>1</v>
      </c>
      <c r="H180" s="455" t="s">
        <v>3112</v>
      </c>
      <c r="I180" s="441" t="s">
        <v>316</v>
      </c>
    </row>
    <row r="181" spans="1:9" ht="12.5">
      <c r="A181" s="186" t="s">
        <v>61</v>
      </c>
      <c r="B181" s="186" t="s">
        <v>126</v>
      </c>
      <c r="C181" s="186" t="s">
        <v>242</v>
      </c>
      <c r="D181" s="186" t="s">
        <v>243</v>
      </c>
      <c r="E181" s="186"/>
      <c r="F181" s="72">
        <v>31</v>
      </c>
      <c r="G181" s="72">
        <v>1</v>
      </c>
      <c r="H181" s="455" t="s">
        <v>3112</v>
      </c>
      <c r="I181" s="186" t="s">
        <v>3170</v>
      </c>
    </row>
    <row r="182" spans="1:9" ht="12.5">
      <c r="A182" s="186" t="s">
        <v>61</v>
      </c>
      <c r="B182" s="186" t="s">
        <v>152</v>
      </c>
      <c r="C182" s="186" t="s">
        <v>247</v>
      </c>
      <c r="D182" s="186" t="s">
        <v>243</v>
      </c>
      <c r="E182" s="186"/>
      <c r="F182" s="72">
        <v>44</v>
      </c>
      <c r="G182" s="72">
        <v>1</v>
      </c>
      <c r="H182" s="455" t="s">
        <v>3112</v>
      </c>
      <c r="I182" s="441" t="s">
        <v>316</v>
      </c>
    </row>
    <row r="183" spans="1:9" ht="12.5">
      <c r="A183" s="328" t="s">
        <v>61</v>
      </c>
      <c r="B183" s="328" t="s">
        <v>157</v>
      </c>
      <c r="C183" s="328" t="s">
        <v>324</v>
      </c>
      <c r="D183" s="328" t="s">
        <v>243</v>
      </c>
      <c r="E183" s="328"/>
      <c r="F183" s="329">
        <v>49</v>
      </c>
      <c r="G183" s="329">
        <v>1</v>
      </c>
      <c r="H183" s="117" t="s">
        <v>3112</v>
      </c>
      <c r="I183" s="457" t="s">
        <v>3169</v>
      </c>
    </row>
    <row r="184" spans="1:9" ht="12.5">
      <c r="A184" s="186" t="s">
        <v>61</v>
      </c>
      <c r="B184" s="186" t="s">
        <v>158</v>
      </c>
      <c r="C184" s="186" t="s">
        <v>264</v>
      </c>
      <c r="D184" s="186" t="s">
        <v>243</v>
      </c>
      <c r="E184" s="186"/>
      <c r="F184" s="72">
        <v>53</v>
      </c>
      <c r="G184" s="72">
        <v>1</v>
      </c>
      <c r="H184" s="455" t="s">
        <v>3112</v>
      </c>
      <c r="I184" s="330" t="s">
        <v>3171</v>
      </c>
    </row>
    <row r="185" spans="1:9" ht="16.5">
      <c r="A185" s="328" t="s">
        <v>59</v>
      </c>
      <c r="B185" s="331" t="s">
        <v>318</v>
      </c>
      <c r="C185" s="328" t="s">
        <v>264</v>
      </c>
      <c r="D185" s="114" t="s">
        <v>243</v>
      </c>
      <c r="E185" s="327"/>
      <c r="F185" s="327"/>
      <c r="G185" s="112">
        <v>1</v>
      </c>
      <c r="H185" s="117" t="s">
        <v>3112</v>
      </c>
      <c r="I185" s="457" t="s">
        <v>316</v>
      </c>
    </row>
    <row r="186" spans="1:9" ht="16.5">
      <c r="A186" s="123" t="s">
        <v>59</v>
      </c>
      <c r="B186" s="123" t="s">
        <v>3161</v>
      </c>
      <c r="C186" s="116" t="s">
        <v>249</v>
      </c>
      <c r="D186" s="115" t="s">
        <v>243</v>
      </c>
      <c r="E186" s="441"/>
      <c r="F186" s="441"/>
      <c r="G186" s="441"/>
      <c r="H186" s="441"/>
      <c r="I186" s="116" t="s">
        <v>3172</v>
      </c>
    </row>
    <row r="187" spans="1:9" ht="12.5">
      <c r="A187" s="441" t="s">
        <v>61</v>
      </c>
      <c r="B187" s="441"/>
      <c r="C187" s="441"/>
      <c r="D187" s="441"/>
      <c r="E187" s="441"/>
      <c r="F187" s="441"/>
      <c r="G187" s="441"/>
      <c r="H187" s="441"/>
      <c r="I187" s="441"/>
    </row>
    <row r="188" spans="1:9" ht="12.5">
      <c r="A188" s="441"/>
      <c r="B188" s="441"/>
      <c r="C188" s="441"/>
      <c r="D188" s="441"/>
      <c r="E188" s="441"/>
      <c r="F188" s="441"/>
      <c r="G188" s="441"/>
      <c r="H188" s="441"/>
      <c r="I188" s="441"/>
    </row>
    <row r="189" spans="1:9" ht="26">
      <c r="A189" s="31" t="s">
        <v>3173</v>
      </c>
      <c r="B189" s="441"/>
      <c r="C189" s="441"/>
      <c r="D189" s="441"/>
      <c r="E189" s="441"/>
      <c r="F189" s="441"/>
      <c r="G189" s="441"/>
      <c r="H189" s="441"/>
      <c r="I189" s="441"/>
    </row>
    <row r="190" spans="1:9" ht="12.5">
      <c r="A190" s="186" t="s">
        <v>61</v>
      </c>
      <c r="B190" s="186" t="s">
        <v>3174</v>
      </c>
      <c r="C190" s="186" t="s">
        <v>247</v>
      </c>
      <c r="D190" s="186" t="s">
        <v>903</v>
      </c>
      <c r="E190" s="186"/>
      <c r="F190" s="186"/>
      <c r="G190" s="186"/>
      <c r="H190" s="455" t="s">
        <v>3112</v>
      </c>
      <c r="I190" s="186" t="s">
        <v>3170</v>
      </c>
    </row>
    <row r="191" spans="1:9" ht="12.5">
      <c r="A191" s="186" t="s">
        <v>61</v>
      </c>
      <c r="B191" s="186" t="s">
        <v>3175</v>
      </c>
      <c r="C191" s="186" t="s">
        <v>247</v>
      </c>
      <c r="D191" s="186" t="s">
        <v>903</v>
      </c>
      <c r="E191" s="186"/>
      <c r="F191" s="186"/>
      <c r="G191" s="186"/>
      <c r="H191" s="455" t="s">
        <v>3112</v>
      </c>
      <c r="I191" s="441" t="s">
        <v>316</v>
      </c>
    </row>
    <row r="192" spans="1:9" ht="12.5">
      <c r="A192" s="186" t="s">
        <v>61</v>
      </c>
      <c r="B192" s="186" t="s">
        <v>3176</v>
      </c>
      <c r="C192" s="186" t="s">
        <v>324</v>
      </c>
      <c r="D192" s="186" t="s">
        <v>903</v>
      </c>
      <c r="E192" s="186"/>
      <c r="F192" s="186"/>
      <c r="G192" s="186"/>
      <c r="H192" s="455" t="s">
        <v>3112</v>
      </c>
      <c r="I192" s="328" t="s">
        <v>3169</v>
      </c>
    </row>
    <row r="193" spans="1:9" ht="12.5">
      <c r="A193" s="186" t="s">
        <v>61</v>
      </c>
      <c r="B193" s="186" t="s">
        <v>3177</v>
      </c>
      <c r="C193" s="186" t="s">
        <v>264</v>
      </c>
      <c r="D193" s="186" t="s">
        <v>903</v>
      </c>
      <c r="E193" s="186"/>
      <c r="F193" s="186"/>
      <c r="G193" s="186"/>
      <c r="H193" s="116"/>
      <c r="I193" s="330" t="s">
        <v>3171</v>
      </c>
    </row>
  </sheetData>
  <autoFilter ref="A4:AB168" xr:uid="{00000000-0009-0000-0000-000010000000}">
    <filterColumn colId="6">
      <filters>
        <filter val="1"/>
      </filters>
    </filterColumn>
  </autoFilter>
  <mergeCells count="58">
    <mergeCell ref="M153:N153"/>
    <mergeCell ref="M154:N154"/>
    <mergeCell ref="M155:N155"/>
    <mergeCell ref="M156:N156"/>
    <mergeCell ref="M148:N148"/>
    <mergeCell ref="M149:N149"/>
    <mergeCell ref="M150:N150"/>
    <mergeCell ref="M151:N151"/>
    <mergeCell ref="M152:N152"/>
    <mergeCell ref="M142:N142"/>
    <mergeCell ref="M143:N143"/>
    <mergeCell ref="M145:N145"/>
    <mergeCell ref="M146:N146"/>
    <mergeCell ref="M147:N147"/>
    <mergeCell ref="M137:N137"/>
    <mergeCell ref="M138:N138"/>
    <mergeCell ref="M139:N139"/>
    <mergeCell ref="M140:N140"/>
    <mergeCell ref="M141:N141"/>
    <mergeCell ref="M119:N119"/>
    <mergeCell ref="M120:N120"/>
    <mergeCell ref="M121:N121"/>
    <mergeCell ref="M122:N122"/>
    <mergeCell ref="M136:N136"/>
    <mergeCell ref="M113:N113"/>
    <mergeCell ref="M114:N114"/>
    <mergeCell ref="M115:N115"/>
    <mergeCell ref="M117:N117"/>
    <mergeCell ref="M118:N118"/>
    <mergeCell ref="M108:N108"/>
    <mergeCell ref="M109:N109"/>
    <mergeCell ref="M110:N110"/>
    <mergeCell ref="M111:N111"/>
    <mergeCell ref="M112:N112"/>
    <mergeCell ref="M103:N103"/>
    <mergeCell ref="M104:N104"/>
    <mergeCell ref="M105:N105"/>
    <mergeCell ref="M106:N106"/>
    <mergeCell ref="M107:N107"/>
    <mergeCell ref="M97:N97"/>
    <mergeCell ref="M98:N98"/>
    <mergeCell ref="M99:N99"/>
    <mergeCell ref="M100:N100"/>
    <mergeCell ref="M102:N102"/>
    <mergeCell ref="M92:N92"/>
    <mergeCell ref="M93:N93"/>
    <mergeCell ref="M94:N94"/>
    <mergeCell ref="M95:N95"/>
    <mergeCell ref="M96:N96"/>
    <mergeCell ref="M165:N165"/>
    <mergeCell ref="M166:N166"/>
    <mergeCell ref="M157:N157"/>
    <mergeCell ref="M158:N158"/>
    <mergeCell ref="M159:N159"/>
    <mergeCell ref="M161:N161"/>
    <mergeCell ref="M162:N162"/>
    <mergeCell ref="M163:N163"/>
    <mergeCell ref="M164:N164"/>
  </mergeCells>
  <pageMargins left="0" right="0" top="0" bottom="0" header="0" footer="0"/>
  <legacy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filterMode="1">
    <outlinePr summaryBelow="0" summaryRight="0"/>
  </sheetPr>
  <dimension ref="A1:S66"/>
  <sheetViews>
    <sheetView topLeftCell="E1" workbookViewId="0"/>
  </sheetViews>
  <sheetFormatPr defaultColWidth="14.453125" defaultRowHeight="15" customHeight="1"/>
  <cols>
    <col min="1" max="1" width="26.1796875" hidden="1" customWidth="1"/>
    <col min="2" max="2" width="32.7265625" hidden="1" customWidth="1"/>
    <col min="3" max="4" width="14.453125" hidden="1"/>
    <col min="6" max="6" width="27.26953125" customWidth="1"/>
    <col min="8" max="8" width="21.453125" customWidth="1"/>
    <col min="9" max="9" width="10.54296875" customWidth="1"/>
    <col min="10" max="10" width="16.453125" customWidth="1"/>
    <col min="12" max="12" width="53.26953125" customWidth="1"/>
    <col min="13" max="13" width="75.7265625" customWidth="1"/>
  </cols>
  <sheetData>
    <row r="1" spans="1:19" ht="25">
      <c r="A1" s="332"/>
      <c r="B1" s="332"/>
      <c r="C1" s="332"/>
      <c r="D1" s="332"/>
      <c r="E1" s="333" t="s">
        <v>1322</v>
      </c>
      <c r="F1" s="332"/>
      <c r="G1" s="332"/>
      <c r="H1" s="332"/>
      <c r="I1" s="332"/>
      <c r="J1" s="332"/>
      <c r="K1" s="334"/>
      <c r="L1" s="335" t="s">
        <v>1038</v>
      </c>
      <c r="M1" s="335"/>
      <c r="N1" s="335"/>
      <c r="O1" s="335"/>
      <c r="P1" s="335"/>
      <c r="Q1" s="335"/>
      <c r="R1" s="335"/>
      <c r="S1" s="335"/>
    </row>
    <row r="2" spans="1:19" ht="39">
      <c r="A2" s="336" t="s">
        <v>1040</v>
      </c>
      <c r="B2" s="336" t="s">
        <v>1041</v>
      </c>
      <c r="C2" s="336" t="s">
        <v>1042</v>
      </c>
      <c r="D2" s="336" t="s">
        <v>1043</v>
      </c>
      <c r="E2" s="337" t="s">
        <v>224</v>
      </c>
      <c r="F2" s="337" t="s">
        <v>225</v>
      </c>
      <c r="G2" s="337" t="s">
        <v>226</v>
      </c>
      <c r="H2" s="337" t="s">
        <v>227</v>
      </c>
      <c r="I2" s="337" t="s">
        <v>1044</v>
      </c>
      <c r="J2" s="337" t="s">
        <v>1045</v>
      </c>
      <c r="K2" s="338" t="s">
        <v>1891</v>
      </c>
      <c r="L2" s="338" t="s">
        <v>100</v>
      </c>
      <c r="M2" s="338" t="s">
        <v>101</v>
      </c>
      <c r="N2" s="338" t="s">
        <v>102</v>
      </c>
      <c r="O2" s="338" t="s">
        <v>104</v>
      </c>
      <c r="P2" s="338" t="s">
        <v>105</v>
      </c>
      <c r="Q2" s="338" t="s">
        <v>111</v>
      </c>
      <c r="R2" s="338" t="s">
        <v>112</v>
      </c>
      <c r="S2" s="338" t="s">
        <v>103</v>
      </c>
    </row>
    <row r="3" spans="1:19" ht="12.5" hidden="1">
      <c r="A3" s="339"/>
      <c r="B3" s="339"/>
      <c r="C3" s="340"/>
      <c r="D3" s="340"/>
      <c r="E3" s="186" t="s">
        <v>63</v>
      </c>
      <c r="F3" s="186" t="s">
        <v>124</v>
      </c>
      <c r="G3" s="186" t="s">
        <v>535</v>
      </c>
      <c r="H3" s="186" t="s">
        <v>903</v>
      </c>
      <c r="I3" s="441"/>
      <c r="J3" s="72">
        <v>1</v>
      </c>
      <c r="K3" s="441"/>
      <c r="L3" s="441"/>
      <c r="M3" s="186"/>
      <c r="N3" s="341"/>
      <c r="O3" s="341"/>
      <c r="P3" s="186"/>
      <c r="Q3" s="186"/>
      <c r="R3" s="186"/>
      <c r="S3" s="134" t="s">
        <v>1190</v>
      </c>
    </row>
    <row r="4" spans="1:19" ht="25" hidden="1">
      <c r="A4" s="339"/>
      <c r="B4" s="339"/>
      <c r="C4" s="340"/>
      <c r="D4" s="340"/>
      <c r="E4" s="123" t="s">
        <v>55</v>
      </c>
      <c r="F4" s="123" t="s">
        <v>3178</v>
      </c>
      <c r="G4" s="123" t="s">
        <v>329</v>
      </c>
      <c r="H4" s="123" t="s">
        <v>243</v>
      </c>
      <c r="I4" s="441"/>
      <c r="J4" s="176">
        <v>2</v>
      </c>
      <c r="K4" s="123"/>
      <c r="L4" s="123"/>
      <c r="M4" s="441"/>
      <c r="N4" s="341"/>
      <c r="O4" s="341"/>
      <c r="P4" s="441"/>
      <c r="Q4" s="123"/>
      <c r="R4" s="123"/>
      <c r="S4" s="123" t="s">
        <v>3179</v>
      </c>
    </row>
    <row r="5" spans="1:19" ht="37.5" hidden="1">
      <c r="A5" s="339"/>
      <c r="B5" s="339"/>
      <c r="C5" s="340"/>
      <c r="D5" s="340"/>
      <c r="E5" s="123" t="s">
        <v>55</v>
      </c>
      <c r="F5" s="123" t="s">
        <v>3180</v>
      </c>
      <c r="G5" s="123" t="s">
        <v>329</v>
      </c>
      <c r="H5" s="123" t="s">
        <v>243</v>
      </c>
      <c r="I5" s="441"/>
      <c r="J5" s="176">
        <v>3</v>
      </c>
      <c r="K5" s="123"/>
      <c r="L5" s="123"/>
      <c r="M5" s="441"/>
      <c r="N5" s="341"/>
      <c r="O5" s="341"/>
      <c r="P5" s="441"/>
      <c r="Q5" s="123"/>
      <c r="R5" s="123"/>
      <c r="S5" s="123" t="s">
        <v>3181</v>
      </c>
    </row>
    <row r="6" spans="1:19" ht="12.5" hidden="1">
      <c r="A6" s="339"/>
      <c r="B6" s="339"/>
      <c r="C6" s="340"/>
      <c r="D6" s="340"/>
      <c r="E6" s="186" t="s">
        <v>55</v>
      </c>
      <c r="F6" s="186" t="s">
        <v>3182</v>
      </c>
      <c r="G6" s="186" t="s">
        <v>329</v>
      </c>
      <c r="H6" s="186" t="s">
        <v>243</v>
      </c>
      <c r="I6" s="441"/>
      <c r="J6" s="72">
        <v>4</v>
      </c>
      <c r="K6" s="441"/>
      <c r="L6" s="441"/>
      <c r="M6" s="186"/>
      <c r="N6" s="341"/>
      <c r="O6" s="341"/>
      <c r="P6" s="186"/>
      <c r="Q6" s="186"/>
      <c r="R6" s="186"/>
      <c r="S6" s="134" t="s">
        <v>3183</v>
      </c>
    </row>
    <row r="7" spans="1:19" ht="37.5" hidden="1">
      <c r="A7" s="339"/>
      <c r="B7" s="339"/>
      <c r="C7" s="340"/>
      <c r="D7" s="340"/>
      <c r="E7" s="123" t="s">
        <v>55</v>
      </c>
      <c r="F7" s="123" t="s">
        <v>3184</v>
      </c>
      <c r="G7" s="123" t="s">
        <v>329</v>
      </c>
      <c r="H7" s="123" t="s">
        <v>243</v>
      </c>
      <c r="I7" s="441"/>
      <c r="J7" s="176">
        <v>5</v>
      </c>
      <c r="K7" s="123"/>
      <c r="L7" s="123"/>
      <c r="M7" s="441"/>
      <c r="N7" s="341"/>
      <c r="O7" s="341"/>
      <c r="P7" s="441"/>
      <c r="Q7" s="123"/>
      <c r="R7" s="123"/>
      <c r="S7" s="123" t="s">
        <v>3185</v>
      </c>
    </row>
    <row r="8" spans="1:19" ht="37.5" hidden="1">
      <c r="A8" s="339"/>
      <c r="B8" s="339"/>
      <c r="C8" s="340"/>
      <c r="D8" s="340"/>
      <c r="E8" s="123" t="s">
        <v>55</v>
      </c>
      <c r="F8" s="123" t="s">
        <v>3186</v>
      </c>
      <c r="G8" s="123" t="s">
        <v>329</v>
      </c>
      <c r="H8" s="123" t="s">
        <v>243</v>
      </c>
      <c r="I8" s="441"/>
      <c r="J8" s="176">
        <v>6</v>
      </c>
      <c r="K8" s="123"/>
      <c r="L8" s="123"/>
      <c r="M8" s="441"/>
      <c r="N8" s="341"/>
      <c r="O8" s="341"/>
      <c r="P8" s="441"/>
      <c r="Q8" s="123"/>
      <c r="R8" s="123"/>
      <c r="S8" s="123" t="s">
        <v>3187</v>
      </c>
    </row>
    <row r="9" spans="1:19" ht="25" hidden="1">
      <c r="A9" s="339"/>
      <c r="B9" s="339"/>
      <c r="C9" s="340"/>
      <c r="D9" s="340"/>
      <c r="E9" s="123" t="s">
        <v>55</v>
      </c>
      <c r="F9" s="123" t="s">
        <v>3188</v>
      </c>
      <c r="G9" s="123" t="s">
        <v>329</v>
      </c>
      <c r="H9" s="123" t="s">
        <v>243</v>
      </c>
      <c r="I9" s="441"/>
      <c r="J9" s="176">
        <v>7</v>
      </c>
      <c r="K9" s="123"/>
      <c r="L9" s="123"/>
      <c r="M9" s="441"/>
      <c r="N9" s="341"/>
      <c r="O9" s="341"/>
      <c r="P9" s="441"/>
      <c r="Q9" s="123"/>
      <c r="R9" s="123"/>
      <c r="S9" s="123" t="s">
        <v>3189</v>
      </c>
    </row>
    <row r="10" spans="1:19" ht="25" hidden="1">
      <c r="A10" s="339"/>
      <c r="B10" s="339"/>
      <c r="C10" s="340"/>
      <c r="D10" s="340"/>
      <c r="E10" s="123" t="s">
        <v>55</v>
      </c>
      <c r="F10" s="123" t="s">
        <v>3190</v>
      </c>
      <c r="G10" s="123" t="s">
        <v>329</v>
      </c>
      <c r="H10" s="123" t="s">
        <v>243</v>
      </c>
      <c r="I10" s="441"/>
      <c r="J10" s="176">
        <v>8</v>
      </c>
      <c r="K10" s="123"/>
      <c r="L10" s="123"/>
      <c r="M10" s="441"/>
      <c r="N10" s="341"/>
      <c r="O10" s="341"/>
      <c r="P10" s="441"/>
      <c r="Q10" s="123"/>
      <c r="R10" s="123"/>
      <c r="S10" s="123" t="s">
        <v>3191</v>
      </c>
    </row>
    <row r="11" spans="1:19" ht="12.5" hidden="1">
      <c r="A11" s="339"/>
      <c r="B11" s="339"/>
      <c r="C11" s="340"/>
      <c r="D11" s="340"/>
      <c r="E11" s="186" t="s">
        <v>53</v>
      </c>
      <c r="F11" s="186" t="s">
        <v>1189</v>
      </c>
      <c r="G11" s="186" t="s">
        <v>249</v>
      </c>
      <c r="H11" s="186" t="s">
        <v>243</v>
      </c>
      <c r="I11" s="441"/>
      <c r="J11" s="72">
        <v>9</v>
      </c>
      <c r="K11" s="441"/>
      <c r="L11" s="441"/>
      <c r="M11" s="186"/>
      <c r="N11" s="341"/>
      <c r="O11" s="341"/>
      <c r="P11" s="186"/>
      <c r="Q11" s="186"/>
      <c r="R11" s="186"/>
      <c r="S11" s="134" t="s">
        <v>1190</v>
      </c>
    </row>
    <row r="12" spans="1:19" ht="12.5" hidden="1">
      <c r="A12" s="339"/>
      <c r="B12" s="339"/>
      <c r="C12" s="340"/>
      <c r="D12" s="340"/>
      <c r="E12" s="186" t="s">
        <v>53</v>
      </c>
      <c r="F12" s="186" t="s">
        <v>1191</v>
      </c>
      <c r="G12" s="186" t="s">
        <v>252</v>
      </c>
      <c r="H12" s="186" t="s">
        <v>243</v>
      </c>
      <c r="I12" s="441"/>
      <c r="J12" s="72">
        <v>10</v>
      </c>
      <c r="K12" s="441"/>
      <c r="L12" s="441"/>
      <c r="M12" s="186"/>
      <c r="N12" s="341"/>
      <c r="O12" s="341"/>
      <c r="P12" s="186"/>
      <c r="Q12" s="186"/>
      <c r="R12" s="186"/>
      <c r="S12" s="134" t="s">
        <v>1190</v>
      </c>
    </row>
    <row r="13" spans="1:19" ht="12.5" hidden="1">
      <c r="A13" s="339"/>
      <c r="B13" s="339"/>
      <c r="C13" s="340"/>
      <c r="D13" s="340"/>
      <c r="E13" s="186" t="s">
        <v>53</v>
      </c>
      <c r="F13" s="186" t="s">
        <v>1192</v>
      </c>
      <c r="G13" s="186" t="s">
        <v>242</v>
      </c>
      <c r="H13" s="186" t="s">
        <v>243</v>
      </c>
      <c r="I13" s="441"/>
      <c r="J13" s="72">
        <v>11</v>
      </c>
      <c r="K13" s="441"/>
      <c r="L13" s="441"/>
      <c r="M13" s="186"/>
      <c r="N13" s="341"/>
      <c r="O13" s="341"/>
      <c r="P13" s="186"/>
      <c r="Q13" s="186"/>
      <c r="R13" s="186"/>
      <c r="S13" s="134" t="s">
        <v>1190</v>
      </c>
    </row>
    <row r="14" spans="1:19" ht="12.5" hidden="1">
      <c r="A14" s="339"/>
      <c r="B14" s="339"/>
      <c r="C14" s="340"/>
      <c r="D14" s="340"/>
      <c r="E14" s="186" t="s">
        <v>53</v>
      </c>
      <c r="F14" s="186" t="s">
        <v>1193</v>
      </c>
      <c r="G14" s="186" t="s">
        <v>247</v>
      </c>
      <c r="H14" s="186" t="s">
        <v>243</v>
      </c>
      <c r="I14" s="441"/>
      <c r="J14" s="72">
        <v>12</v>
      </c>
      <c r="K14" s="441"/>
      <c r="L14" s="441"/>
      <c r="M14" s="186"/>
      <c r="N14" s="341"/>
      <c r="O14" s="341"/>
      <c r="P14" s="186"/>
      <c r="Q14" s="186"/>
      <c r="R14" s="186"/>
      <c r="S14" s="134" t="s">
        <v>1190</v>
      </c>
    </row>
    <row r="15" spans="1:19" ht="12.5" hidden="1">
      <c r="A15" s="339"/>
      <c r="B15" s="339"/>
      <c r="C15" s="340"/>
      <c r="D15" s="340"/>
      <c r="E15" s="186" t="s">
        <v>53</v>
      </c>
      <c r="F15" s="186" t="s">
        <v>1194</v>
      </c>
      <c r="G15" s="186" t="s">
        <v>252</v>
      </c>
      <c r="H15" s="186" t="s">
        <v>243</v>
      </c>
      <c r="I15" s="441"/>
      <c r="J15" s="72">
        <v>13</v>
      </c>
      <c r="K15" s="441"/>
      <c r="L15" s="441"/>
      <c r="M15" s="186"/>
      <c r="N15" s="341"/>
      <c r="O15" s="341"/>
      <c r="P15" s="186"/>
      <c r="Q15" s="186"/>
      <c r="R15" s="186"/>
      <c r="S15" s="134" t="s">
        <v>1190</v>
      </c>
    </row>
    <row r="16" spans="1:19" ht="12.5" hidden="1">
      <c r="A16" s="339"/>
      <c r="B16" s="339"/>
      <c r="C16" s="340"/>
      <c r="D16" s="340"/>
      <c r="E16" s="186" t="s">
        <v>53</v>
      </c>
      <c r="F16" s="186" t="s">
        <v>1195</v>
      </c>
      <c r="G16" s="186" t="s">
        <v>247</v>
      </c>
      <c r="H16" s="186" t="s">
        <v>243</v>
      </c>
      <c r="I16" s="441"/>
      <c r="J16" s="72">
        <v>14</v>
      </c>
      <c r="K16" s="441"/>
      <c r="L16" s="441"/>
      <c r="M16" s="186"/>
      <c r="N16" s="341"/>
      <c r="O16" s="341"/>
      <c r="P16" s="186"/>
      <c r="Q16" s="186"/>
      <c r="R16" s="186"/>
      <c r="S16" s="134" t="s">
        <v>1190</v>
      </c>
    </row>
    <row r="17" spans="1:19" ht="12.5" hidden="1">
      <c r="A17" s="339"/>
      <c r="B17" s="339"/>
      <c r="C17" s="340"/>
      <c r="D17" s="340"/>
      <c r="E17" s="186" t="s">
        <v>53</v>
      </c>
      <c r="F17" s="186" t="s">
        <v>1196</v>
      </c>
      <c r="G17" s="186" t="s">
        <v>535</v>
      </c>
      <c r="H17" s="186" t="s">
        <v>903</v>
      </c>
      <c r="I17" s="441"/>
      <c r="J17" s="72">
        <v>15</v>
      </c>
      <c r="K17" s="441"/>
      <c r="L17" s="441"/>
      <c r="M17" s="186"/>
      <c r="N17" s="341"/>
      <c r="O17" s="341"/>
      <c r="P17" s="186"/>
      <c r="Q17" s="186"/>
      <c r="R17" s="186"/>
      <c r="S17" s="134" t="s">
        <v>1190</v>
      </c>
    </row>
    <row r="18" spans="1:19" ht="25" hidden="1">
      <c r="A18" s="339"/>
      <c r="B18" s="339"/>
      <c r="C18" s="340"/>
      <c r="D18" s="340"/>
      <c r="E18" s="123" t="s">
        <v>55</v>
      </c>
      <c r="F18" s="123" t="s">
        <v>3192</v>
      </c>
      <c r="G18" s="123" t="s">
        <v>329</v>
      </c>
      <c r="H18" s="123" t="s">
        <v>243</v>
      </c>
      <c r="I18" s="441"/>
      <c r="J18" s="176">
        <v>16</v>
      </c>
      <c r="K18" s="123"/>
      <c r="L18" s="123"/>
      <c r="M18" s="441"/>
      <c r="N18" s="341"/>
      <c r="O18" s="341"/>
      <c r="P18" s="441"/>
      <c r="Q18" s="123"/>
      <c r="R18" s="123"/>
      <c r="S18" s="123" t="s">
        <v>3193</v>
      </c>
    </row>
    <row r="19" spans="1:19" ht="25">
      <c r="A19" s="342"/>
      <c r="B19" s="342"/>
      <c r="C19" s="342"/>
      <c r="D19" s="342"/>
      <c r="E19" s="331" t="s">
        <v>224</v>
      </c>
      <c r="F19" s="331" t="s">
        <v>3194</v>
      </c>
      <c r="G19" s="331" t="s">
        <v>250</v>
      </c>
      <c r="H19" s="331" t="s">
        <v>243</v>
      </c>
      <c r="I19" s="327"/>
      <c r="J19" s="343">
        <v>17</v>
      </c>
      <c r="K19" s="343">
        <v>1</v>
      </c>
      <c r="L19" s="331" t="s">
        <v>1184</v>
      </c>
      <c r="M19" s="331" t="s">
        <v>3195</v>
      </c>
      <c r="N19" s="344"/>
      <c r="O19" s="344"/>
      <c r="P19" s="327"/>
      <c r="Q19" s="331"/>
      <c r="R19" s="331"/>
      <c r="S19" s="331" t="s">
        <v>3196</v>
      </c>
    </row>
    <row r="20" spans="1:19" ht="25" hidden="1">
      <c r="A20" s="339"/>
      <c r="B20" s="339"/>
      <c r="C20" s="340"/>
      <c r="D20" s="340"/>
      <c r="E20" s="123" t="s">
        <v>55</v>
      </c>
      <c r="F20" s="123" t="s">
        <v>3197</v>
      </c>
      <c r="G20" s="123" t="s">
        <v>329</v>
      </c>
      <c r="H20" s="123" t="s">
        <v>243</v>
      </c>
      <c r="I20" s="441"/>
      <c r="J20" s="176">
        <v>18</v>
      </c>
      <c r="K20" s="123"/>
      <c r="L20" s="123"/>
      <c r="M20" s="441"/>
      <c r="N20" s="341"/>
      <c r="O20" s="341"/>
      <c r="P20" s="441"/>
      <c r="Q20" s="341"/>
      <c r="R20" s="341"/>
      <c r="S20" s="341" t="s">
        <v>3198</v>
      </c>
    </row>
    <row r="21" spans="1:19" ht="25" hidden="1">
      <c r="A21" s="339"/>
      <c r="B21" s="339"/>
      <c r="C21" s="340"/>
      <c r="D21" s="340"/>
      <c r="E21" s="123" t="s">
        <v>55</v>
      </c>
      <c r="F21" s="123" t="s">
        <v>3199</v>
      </c>
      <c r="G21" s="123" t="s">
        <v>329</v>
      </c>
      <c r="H21" s="123" t="s">
        <v>243</v>
      </c>
      <c r="I21" s="441"/>
      <c r="J21" s="176">
        <v>19</v>
      </c>
      <c r="K21" s="123"/>
      <c r="L21" s="123"/>
      <c r="M21" s="441"/>
      <c r="N21" s="341"/>
      <c r="O21" s="341"/>
      <c r="P21" s="441"/>
      <c r="Q21" s="123"/>
      <c r="R21" s="123"/>
      <c r="S21" s="123" t="s">
        <v>3200</v>
      </c>
    </row>
    <row r="22" spans="1:19" ht="25" hidden="1">
      <c r="A22" s="339"/>
      <c r="B22" s="339"/>
      <c r="C22" s="340"/>
      <c r="D22" s="340"/>
      <c r="E22" s="123" t="s">
        <v>55</v>
      </c>
      <c r="F22" s="123" t="s">
        <v>3201</v>
      </c>
      <c r="G22" s="123" t="s">
        <v>329</v>
      </c>
      <c r="H22" s="123" t="s">
        <v>243</v>
      </c>
      <c r="I22" s="441"/>
      <c r="J22" s="176">
        <v>20</v>
      </c>
      <c r="K22" s="123"/>
      <c r="L22" s="123"/>
      <c r="M22" s="441"/>
      <c r="N22" s="341"/>
      <c r="O22" s="341"/>
      <c r="P22" s="441"/>
      <c r="Q22" s="341"/>
      <c r="R22" s="341"/>
      <c r="S22" s="341" t="s">
        <v>3202</v>
      </c>
    </row>
    <row r="23" spans="1:19" ht="12.5" hidden="1">
      <c r="A23" s="339"/>
      <c r="B23" s="339"/>
      <c r="C23" s="340"/>
      <c r="D23" s="340"/>
      <c r="E23" s="123" t="s">
        <v>55</v>
      </c>
      <c r="F23" s="123" t="s">
        <v>3203</v>
      </c>
      <c r="G23" s="123" t="s">
        <v>329</v>
      </c>
      <c r="H23" s="123" t="s">
        <v>243</v>
      </c>
      <c r="I23" s="441"/>
      <c r="J23" s="176">
        <v>21</v>
      </c>
      <c r="K23" s="123"/>
      <c r="L23" s="123"/>
      <c r="M23" s="441"/>
      <c r="N23" s="341"/>
      <c r="O23" s="341"/>
      <c r="P23" s="441"/>
      <c r="Q23" s="341"/>
      <c r="R23" s="341"/>
      <c r="S23" s="341" t="s">
        <v>3204</v>
      </c>
    </row>
    <row r="24" spans="1:19" ht="26">
      <c r="A24" s="327"/>
      <c r="B24" s="327"/>
      <c r="C24" s="327"/>
      <c r="D24" s="327"/>
      <c r="E24" s="331" t="s">
        <v>55</v>
      </c>
      <c r="F24" s="331" t="s">
        <v>3205</v>
      </c>
      <c r="G24" s="331" t="s">
        <v>250</v>
      </c>
      <c r="H24" s="331" t="s">
        <v>243</v>
      </c>
      <c r="I24" s="327"/>
      <c r="J24" s="343">
        <v>22</v>
      </c>
      <c r="K24" s="343">
        <v>1</v>
      </c>
      <c r="L24" s="117" t="s">
        <v>3206</v>
      </c>
      <c r="M24" s="118" t="s">
        <v>3161</v>
      </c>
      <c r="N24" s="344"/>
      <c r="O24" s="344"/>
      <c r="P24" s="327"/>
      <c r="Q24" s="344"/>
      <c r="R24" s="344"/>
      <c r="S24" s="344" t="s">
        <v>3207</v>
      </c>
    </row>
    <row r="25" spans="1:19" ht="25" hidden="1">
      <c r="A25" s="345"/>
      <c r="B25" s="345"/>
      <c r="C25" s="346"/>
      <c r="D25" s="346"/>
      <c r="E25" s="123" t="s">
        <v>55</v>
      </c>
      <c r="F25" s="123" t="s">
        <v>3208</v>
      </c>
      <c r="G25" s="123" t="s">
        <v>329</v>
      </c>
      <c r="H25" s="123" t="s">
        <v>243</v>
      </c>
      <c r="I25" s="441"/>
      <c r="J25" s="176">
        <v>23</v>
      </c>
      <c r="K25" s="123"/>
      <c r="L25" s="123"/>
      <c r="M25" s="441"/>
      <c r="N25" s="341"/>
      <c r="O25" s="341"/>
      <c r="P25" s="441"/>
      <c r="Q25" s="341"/>
      <c r="R25" s="341"/>
      <c r="S25" s="341" t="s">
        <v>3209</v>
      </c>
    </row>
    <row r="26" spans="1:19" ht="25" hidden="1">
      <c r="A26" s="345"/>
      <c r="B26" s="345"/>
      <c r="C26" s="346"/>
      <c r="D26" s="346"/>
      <c r="E26" s="123" t="s">
        <v>55</v>
      </c>
      <c r="F26" s="123" t="s">
        <v>3210</v>
      </c>
      <c r="G26" s="123" t="s">
        <v>255</v>
      </c>
      <c r="H26" s="123" t="s">
        <v>243</v>
      </c>
      <c r="I26" s="441"/>
      <c r="J26" s="176">
        <v>24</v>
      </c>
      <c r="K26" s="123"/>
      <c r="L26" s="123"/>
      <c r="M26" s="441"/>
      <c r="N26" s="341"/>
      <c r="O26" s="341"/>
      <c r="P26" s="441"/>
      <c r="Q26" s="341"/>
      <c r="R26" s="341"/>
      <c r="S26" s="341" t="s">
        <v>3211</v>
      </c>
    </row>
    <row r="27" spans="1:19" ht="25" hidden="1">
      <c r="A27" s="345"/>
      <c r="B27" s="345"/>
      <c r="C27" s="346"/>
      <c r="D27" s="346"/>
      <c r="E27" s="123" t="s">
        <v>55</v>
      </c>
      <c r="F27" s="123" t="s">
        <v>3212</v>
      </c>
      <c r="G27" s="123" t="s">
        <v>329</v>
      </c>
      <c r="H27" s="123" t="s">
        <v>243</v>
      </c>
      <c r="I27" s="441"/>
      <c r="J27" s="176">
        <v>25</v>
      </c>
      <c r="K27" s="123"/>
      <c r="L27" s="123"/>
      <c r="M27" s="441"/>
      <c r="N27" s="341"/>
      <c r="O27" s="341"/>
      <c r="P27" s="441"/>
      <c r="Q27" s="341"/>
      <c r="R27" s="341"/>
      <c r="S27" s="341" t="s">
        <v>3213</v>
      </c>
    </row>
    <row r="28" spans="1:19" ht="25" hidden="1">
      <c r="A28" s="345"/>
      <c r="B28" s="345"/>
      <c r="C28" s="346"/>
      <c r="D28" s="346"/>
      <c r="E28" s="123" t="s">
        <v>55</v>
      </c>
      <c r="F28" s="123" t="s">
        <v>3214</v>
      </c>
      <c r="G28" s="123" t="s">
        <v>255</v>
      </c>
      <c r="H28" s="123" t="s">
        <v>243</v>
      </c>
      <c r="I28" s="441"/>
      <c r="J28" s="176">
        <v>26</v>
      </c>
      <c r="K28" s="123"/>
      <c r="L28" s="123"/>
      <c r="M28" s="441"/>
      <c r="N28" s="341"/>
      <c r="O28" s="341"/>
      <c r="P28" s="441"/>
      <c r="Q28" s="341"/>
      <c r="R28" s="341"/>
      <c r="S28" s="341" t="s">
        <v>3215</v>
      </c>
    </row>
    <row r="29" spans="1:19" ht="37.5" hidden="1">
      <c r="A29" s="345"/>
      <c r="B29" s="345"/>
      <c r="C29" s="346"/>
      <c r="D29" s="346"/>
      <c r="E29" s="123" t="s">
        <v>55</v>
      </c>
      <c r="F29" s="123" t="s">
        <v>3216</v>
      </c>
      <c r="G29" s="123" t="s">
        <v>329</v>
      </c>
      <c r="H29" s="123" t="s">
        <v>243</v>
      </c>
      <c r="I29" s="441"/>
      <c r="J29" s="176">
        <v>27</v>
      </c>
      <c r="K29" s="123"/>
      <c r="L29" s="123"/>
      <c r="M29" s="441"/>
      <c r="N29" s="341"/>
      <c r="O29" s="341"/>
      <c r="P29" s="441"/>
      <c r="Q29" s="341"/>
      <c r="R29" s="341"/>
      <c r="S29" s="341" t="s">
        <v>3217</v>
      </c>
    </row>
    <row r="30" spans="1:19" ht="12.5" hidden="1">
      <c r="A30" s="184"/>
      <c r="B30" s="184"/>
      <c r="C30" s="184"/>
      <c r="D30" s="184"/>
      <c r="E30" s="182" t="s">
        <v>55</v>
      </c>
      <c r="F30" s="182" t="s">
        <v>3218</v>
      </c>
      <c r="G30" s="182" t="s">
        <v>329</v>
      </c>
      <c r="H30" s="182" t="s">
        <v>243</v>
      </c>
      <c r="I30" s="184"/>
      <c r="J30" s="324">
        <v>28</v>
      </c>
      <c r="K30" s="184"/>
      <c r="L30" s="184"/>
      <c r="M30" s="182"/>
      <c r="N30" s="347"/>
      <c r="O30" s="347"/>
      <c r="P30" s="184"/>
      <c r="Q30" s="347"/>
      <c r="R30" s="347"/>
      <c r="S30" s="348" t="s">
        <v>3219</v>
      </c>
    </row>
    <row r="31" spans="1:19" ht="15.5">
      <c r="A31" s="327"/>
      <c r="B31" s="327"/>
      <c r="C31" s="327"/>
      <c r="D31" s="327"/>
      <c r="E31" s="328" t="s">
        <v>55</v>
      </c>
      <c r="F31" s="328" t="s">
        <v>3220</v>
      </c>
      <c r="G31" s="328" t="s">
        <v>329</v>
      </c>
      <c r="H31" s="328" t="s">
        <v>243</v>
      </c>
      <c r="I31" s="327"/>
      <c r="J31" s="329">
        <v>29</v>
      </c>
      <c r="K31" s="112">
        <v>1</v>
      </c>
      <c r="L31" s="117" t="s">
        <v>3206</v>
      </c>
      <c r="M31" s="118" t="s">
        <v>752</v>
      </c>
      <c r="N31" s="344"/>
      <c r="O31" s="344"/>
      <c r="P31" s="327"/>
      <c r="Q31" s="344"/>
      <c r="R31" s="344"/>
      <c r="S31" s="349" t="s">
        <v>3221</v>
      </c>
    </row>
    <row r="32" spans="1:19" ht="12.5" hidden="1">
      <c r="A32" s="184"/>
      <c r="B32" s="184"/>
      <c r="C32" s="184"/>
      <c r="D32" s="184"/>
      <c r="E32" s="182" t="s">
        <v>55</v>
      </c>
      <c r="F32" s="182" t="s">
        <v>3222</v>
      </c>
      <c r="G32" s="182" t="s">
        <v>329</v>
      </c>
      <c r="H32" s="182" t="s">
        <v>243</v>
      </c>
      <c r="I32" s="184"/>
      <c r="J32" s="324">
        <v>30</v>
      </c>
      <c r="K32" s="184"/>
      <c r="L32" s="184"/>
      <c r="M32" s="182"/>
      <c r="N32" s="347"/>
      <c r="O32" s="347"/>
      <c r="P32" s="184"/>
      <c r="Q32" s="347"/>
      <c r="R32" s="347"/>
      <c r="S32" s="348" t="s">
        <v>3223</v>
      </c>
    </row>
    <row r="33" spans="1:19" ht="12.5" hidden="1">
      <c r="A33" s="184"/>
      <c r="B33" s="184"/>
      <c r="C33" s="184"/>
      <c r="D33" s="184"/>
      <c r="E33" s="182" t="s">
        <v>55</v>
      </c>
      <c r="F33" s="182" t="s">
        <v>3224</v>
      </c>
      <c r="G33" s="182" t="s">
        <v>329</v>
      </c>
      <c r="H33" s="182" t="s">
        <v>243</v>
      </c>
      <c r="I33" s="184"/>
      <c r="J33" s="324">
        <v>31</v>
      </c>
      <c r="K33" s="184"/>
      <c r="L33" s="184"/>
      <c r="M33" s="182"/>
      <c r="N33" s="347"/>
      <c r="O33" s="347"/>
      <c r="P33" s="184"/>
      <c r="Q33" s="347"/>
      <c r="R33" s="347"/>
      <c r="S33" s="348" t="s">
        <v>3225</v>
      </c>
    </row>
    <row r="34" spans="1:19" ht="25" hidden="1">
      <c r="A34" s="345"/>
      <c r="B34" s="345"/>
      <c r="C34" s="346"/>
      <c r="D34" s="346"/>
      <c r="E34" s="186" t="s">
        <v>55</v>
      </c>
      <c r="F34" s="186" t="s">
        <v>3226</v>
      </c>
      <c r="G34" s="186" t="s">
        <v>329</v>
      </c>
      <c r="H34" s="186" t="s">
        <v>243</v>
      </c>
      <c r="I34" s="441"/>
      <c r="J34" s="72">
        <v>32</v>
      </c>
      <c r="K34" s="441"/>
      <c r="L34" s="441"/>
      <c r="M34" s="186"/>
      <c r="N34" s="341"/>
      <c r="O34" s="341"/>
      <c r="P34" s="186"/>
      <c r="Q34" s="341"/>
      <c r="R34" s="341"/>
      <c r="S34" s="341" t="s">
        <v>3227</v>
      </c>
    </row>
    <row r="35" spans="1:19" ht="25" hidden="1">
      <c r="A35" s="345"/>
      <c r="B35" s="345"/>
      <c r="C35" s="346"/>
      <c r="D35" s="346"/>
      <c r="E35" s="186" t="s">
        <v>55</v>
      </c>
      <c r="F35" s="186" t="s">
        <v>3228</v>
      </c>
      <c r="G35" s="186" t="s">
        <v>329</v>
      </c>
      <c r="H35" s="186" t="s">
        <v>243</v>
      </c>
      <c r="I35" s="441"/>
      <c r="J35" s="72">
        <v>33</v>
      </c>
      <c r="K35" s="441"/>
      <c r="L35" s="441"/>
      <c r="M35" s="186"/>
      <c r="N35" s="341"/>
      <c r="O35" s="341"/>
      <c r="P35" s="186"/>
      <c r="Q35" s="341"/>
      <c r="R35" s="341"/>
      <c r="S35" s="341" t="s">
        <v>3229</v>
      </c>
    </row>
    <row r="36" spans="1:19" ht="25" hidden="1">
      <c r="A36" s="345"/>
      <c r="B36" s="345"/>
      <c r="C36" s="346"/>
      <c r="D36" s="346"/>
      <c r="E36" s="186" t="s">
        <v>55</v>
      </c>
      <c r="F36" s="186" t="s">
        <v>3230</v>
      </c>
      <c r="G36" s="186" t="s">
        <v>329</v>
      </c>
      <c r="H36" s="186" t="s">
        <v>243</v>
      </c>
      <c r="I36" s="441"/>
      <c r="J36" s="72">
        <v>34</v>
      </c>
      <c r="K36" s="441"/>
      <c r="L36" s="441"/>
      <c r="M36" s="186"/>
      <c r="N36" s="341"/>
      <c r="O36" s="341"/>
      <c r="P36" s="186"/>
      <c r="Q36" s="341"/>
      <c r="R36" s="341"/>
      <c r="S36" s="341" t="s">
        <v>3231</v>
      </c>
    </row>
    <row r="37" spans="1:19" ht="12.5" hidden="1">
      <c r="A37" s="345"/>
      <c r="B37" s="345"/>
      <c r="C37" s="346"/>
      <c r="D37" s="346"/>
      <c r="E37" s="186" t="s">
        <v>55</v>
      </c>
      <c r="F37" s="186" t="s">
        <v>3232</v>
      </c>
      <c r="G37" s="186" t="s">
        <v>329</v>
      </c>
      <c r="H37" s="186" t="s">
        <v>243</v>
      </c>
      <c r="I37" s="441"/>
      <c r="J37" s="72">
        <v>35</v>
      </c>
      <c r="K37" s="441"/>
      <c r="L37" s="441"/>
      <c r="M37" s="186"/>
      <c r="N37" s="341"/>
      <c r="O37" s="341"/>
      <c r="P37" s="186"/>
      <c r="Q37" s="341"/>
      <c r="R37" s="341"/>
      <c r="S37" s="350" t="s">
        <v>3233</v>
      </c>
    </row>
    <row r="38" spans="1:19" ht="12.5" hidden="1">
      <c r="A38" s="345"/>
      <c r="B38" s="345"/>
      <c r="C38" s="346"/>
      <c r="D38" s="346"/>
      <c r="E38" s="186" t="s">
        <v>55</v>
      </c>
      <c r="F38" s="186" t="s">
        <v>3234</v>
      </c>
      <c r="G38" s="186" t="s">
        <v>329</v>
      </c>
      <c r="H38" s="186" t="s">
        <v>243</v>
      </c>
      <c r="I38" s="441"/>
      <c r="J38" s="72">
        <v>36</v>
      </c>
      <c r="K38" s="441"/>
      <c r="L38" s="441"/>
      <c r="M38" s="186"/>
      <c r="N38" s="341"/>
      <c r="O38" s="341"/>
      <c r="P38" s="186"/>
      <c r="Q38" s="341"/>
      <c r="R38" s="341"/>
      <c r="S38" s="350" t="s">
        <v>3235</v>
      </c>
    </row>
    <row r="39" spans="1:19" ht="25" hidden="1">
      <c r="A39" s="345"/>
      <c r="B39" s="345"/>
      <c r="C39" s="346"/>
      <c r="D39" s="346"/>
      <c r="E39" s="186" t="s">
        <v>55</v>
      </c>
      <c r="F39" s="186" t="s">
        <v>3236</v>
      </c>
      <c r="G39" s="186" t="s">
        <v>329</v>
      </c>
      <c r="H39" s="186" t="s">
        <v>243</v>
      </c>
      <c r="I39" s="441"/>
      <c r="J39" s="72">
        <v>37</v>
      </c>
      <c r="K39" s="441"/>
      <c r="L39" s="441"/>
      <c r="M39" s="186"/>
      <c r="N39" s="341"/>
      <c r="O39" s="341"/>
      <c r="P39" s="186"/>
      <c r="Q39" s="341"/>
      <c r="R39" s="341"/>
      <c r="S39" s="341" t="s">
        <v>3237</v>
      </c>
    </row>
    <row r="40" spans="1:19" ht="25" hidden="1">
      <c r="A40" s="345"/>
      <c r="B40" s="345"/>
      <c r="C40" s="346"/>
      <c r="D40" s="346"/>
      <c r="E40" s="186" t="s">
        <v>55</v>
      </c>
      <c r="F40" s="186" t="s">
        <v>3238</v>
      </c>
      <c r="G40" s="186" t="s">
        <v>329</v>
      </c>
      <c r="H40" s="186" t="s">
        <v>243</v>
      </c>
      <c r="I40" s="441"/>
      <c r="J40" s="72">
        <v>38</v>
      </c>
      <c r="K40" s="441"/>
      <c r="L40" s="441"/>
      <c r="M40" s="186"/>
      <c r="N40" s="341"/>
      <c r="O40" s="341"/>
      <c r="P40" s="186"/>
      <c r="Q40" s="341"/>
      <c r="R40" s="341"/>
      <c r="S40" s="341" t="s">
        <v>3239</v>
      </c>
    </row>
    <row r="41" spans="1:19" ht="25" hidden="1">
      <c r="A41" s="345"/>
      <c r="B41" s="345"/>
      <c r="C41" s="346"/>
      <c r="D41" s="346"/>
      <c r="E41" s="186" t="s">
        <v>55</v>
      </c>
      <c r="F41" s="186" t="s">
        <v>3240</v>
      </c>
      <c r="G41" s="186" t="s">
        <v>329</v>
      </c>
      <c r="H41" s="186" t="s">
        <v>243</v>
      </c>
      <c r="I41" s="441"/>
      <c r="J41" s="72">
        <v>39</v>
      </c>
      <c r="K41" s="441"/>
      <c r="L41" s="441"/>
      <c r="M41" s="186"/>
      <c r="N41" s="341"/>
      <c r="O41" s="341"/>
      <c r="P41" s="186"/>
      <c r="Q41" s="341"/>
      <c r="R41" s="341"/>
      <c r="S41" s="341" t="s">
        <v>3241</v>
      </c>
    </row>
    <row r="42" spans="1:19" ht="25" hidden="1">
      <c r="A42" s="345"/>
      <c r="B42" s="345"/>
      <c r="C42" s="346"/>
      <c r="D42" s="346"/>
      <c r="E42" s="186" t="s">
        <v>55</v>
      </c>
      <c r="F42" s="186" t="s">
        <v>3242</v>
      </c>
      <c r="G42" s="186" t="s">
        <v>329</v>
      </c>
      <c r="H42" s="186" t="s">
        <v>243</v>
      </c>
      <c r="I42" s="441"/>
      <c r="J42" s="72">
        <v>40</v>
      </c>
      <c r="K42" s="441"/>
      <c r="L42" s="441"/>
      <c r="M42" s="186"/>
      <c r="N42" s="341"/>
      <c r="O42" s="341"/>
      <c r="P42" s="186"/>
      <c r="Q42" s="341"/>
      <c r="R42" s="341"/>
      <c r="S42" s="341" t="s">
        <v>3243</v>
      </c>
    </row>
    <row r="43" spans="1:19" ht="25" hidden="1">
      <c r="A43" s="345"/>
      <c r="B43" s="345"/>
      <c r="C43" s="346"/>
      <c r="D43" s="346"/>
      <c r="E43" s="186" t="s">
        <v>55</v>
      </c>
      <c r="F43" s="186" t="s">
        <v>3244</v>
      </c>
      <c r="G43" s="186" t="s">
        <v>329</v>
      </c>
      <c r="H43" s="186" t="s">
        <v>243</v>
      </c>
      <c r="I43" s="441"/>
      <c r="J43" s="72">
        <v>41</v>
      </c>
      <c r="K43" s="441"/>
      <c r="L43" s="441"/>
      <c r="M43" s="186"/>
      <c r="N43" s="341"/>
      <c r="O43" s="341"/>
      <c r="P43" s="186"/>
      <c r="Q43" s="341"/>
      <c r="R43" s="341"/>
      <c r="S43" s="341" t="s">
        <v>3245</v>
      </c>
    </row>
    <row r="44" spans="1:19" ht="12.5" hidden="1">
      <c r="A44" s="345"/>
      <c r="B44" s="345"/>
      <c r="C44" s="346"/>
      <c r="D44" s="346"/>
      <c r="E44" s="186" t="s">
        <v>55</v>
      </c>
      <c r="F44" s="186" t="s">
        <v>3246</v>
      </c>
      <c r="G44" s="186" t="s">
        <v>329</v>
      </c>
      <c r="H44" s="186" t="s">
        <v>243</v>
      </c>
      <c r="I44" s="441"/>
      <c r="J44" s="72">
        <v>42</v>
      </c>
      <c r="K44" s="441"/>
      <c r="L44" s="441"/>
      <c r="M44" s="186"/>
      <c r="N44" s="341"/>
      <c r="O44" s="341"/>
      <c r="P44" s="186"/>
      <c r="Q44" s="341"/>
      <c r="R44" s="341"/>
      <c r="S44" s="341" t="s">
        <v>3247</v>
      </c>
    </row>
    <row r="45" spans="1:19" ht="12.5" hidden="1">
      <c r="A45" s="345"/>
      <c r="B45" s="345"/>
      <c r="C45" s="346"/>
      <c r="D45" s="346"/>
      <c r="E45" s="186" t="s">
        <v>55</v>
      </c>
      <c r="F45" s="186" t="s">
        <v>3248</v>
      </c>
      <c r="G45" s="186" t="s">
        <v>329</v>
      </c>
      <c r="H45" s="186" t="s">
        <v>243</v>
      </c>
      <c r="I45" s="441"/>
      <c r="J45" s="72">
        <v>43</v>
      </c>
      <c r="K45" s="441"/>
      <c r="L45" s="441"/>
      <c r="M45" s="186"/>
      <c r="N45" s="341"/>
      <c r="O45" s="341"/>
      <c r="P45" s="186"/>
      <c r="Q45" s="341"/>
      <c r="R45" s="341"/>
      <c r="S45" s="341" t="s">
        <v>3249</v>
      </c>
    </row>
    <row r="46" spans="1:19" ht="38.5">
      <c r="A46" s="327"/>
      <c r="B46" s="327"/>
      <c r="C46" s="327"/>
      <c r="D46" s="327"/>
      <c r="E46" s="328" t="s">
        <v>224</v>
      </c>
      <c r="F46" s="328" t="s">
        <v>1678</v>
      </c>
      <c r="G46" s="328" t="s">
        <v>255</v>
      </c>
      <c r="H46" s="328" t="s">
        <v>243</v>
      </c>
      <c r="I46" s="327"/>
      <c r="J46" s="329">
        <v>44</v>
      </c>
      <c r="K46" s="329">
        <v>1</v>
      </c>
      <c r="L46" s="117" t="s">
        <v>3206</v>
      </c>
      <c r="M46" s="118" t="s">
        <v>870</v>
      </c>
      <c r="N46" s="344"/>
      <c r="O46" s="344"/>
      <c r="P46" s="327"/>
      <c r="Q46" s="344" t="s">
        <v>3250</v>
      </c>
      <c r="R46" s="344"/>
      <c r="S46" s="344" t="s">
        <v>3251</v>
      </c>
    </row>
    <row r="47" spans="1:19" ht="25" hidden="1">
      <c r="A47" s="345"/>
      <c r="B47" s="345"/>
      <c r="C47" s="346"/>
      <c r="D47" s="346"/>
      <c r="E47" s="186" t="s">
        <v>55</v>
      </c>
      <c r="F47" s="186" t="s">
        <v>3252</v>
      </c>
      <c r="G47" s="186" t="s">
        <v>329</v>
      </c>
      <c r="H47" s="186" t="s">
        <v>243</v>
      </c>
      <c r="I47" s="441"/>
      <c r="J47" s="72">
        <v>45</v>
      </c>
      <c r="K47" s="441"/>
      <c r="L47" s="441"/>
      <c r="M47" s="186"/>
      <c r="N47" s="341"/>
      <c r="O47" s="341"/>
      <c r="P47" s="186"/>
      <c r="Q47" s="341"/>
      <c r="R47" s="341"/>
      <c r="S47" s="341" t="s">
        <v>3253</v>
      </c>
    </row>
    <row r="48" spans="1:19" ht="25" hidden="1">
      <c r="A48" s="345"/>
      <c r="B48" s="345"/>
      <c r="C48" s="346"/>
      <c r="D48" s="346"/>
      <c r="E48" s="186" t="s">
        <v>55</v>
      </c>
      <c r="F48" s="186" t="s">
        <v>3254</v>
      </c>
      <c r="G48" s="186" t="s">
        <v>329</v>
      </c>
      <c r="H48" s="186" t="s">
        <v>243</v>
      </c>
      <c r="I48" s="441"/>
      <c r="J48" s="72">
        <v>46</v>
      </c>
      <c r="K48" s="441"/>
      <c r="L48" s="441"/>
      <c r="M48" s="186"/>
      <c r="N48" s="341"/>
      <c r="O48" s="341"/>
      <c r="P48" s="186"/>
      <c r="Q48" s="341"/>
      <c r="R48" s="341"/>
      <c r="S48" s="341" t="s">
        <v>3255</v>
      </c>
    </row>
    <row r="49" spans="1:19" ht="25" hidden="1">
      <c r="A49" s="345"/>
      <c r="B49" s="345"/>
      <c r="C49" s="346"/>
      <c r="D49" s="346"/>
      <c r="E49" s="186" t="s">
        <v>55</v>
      </c>
      <c r="F49" s="186" t="s">
        <v>3256</v>
      </c>
      <c r="G49" s="186" t="s">
        <v>329</v>
      </c>
      <c r="H49" s="186" t="s">
        <v>243</v>
      </c>
      <c r="I49" s="441"/>
      <c r="J49" s="72">
        <v>47</v>
      </c>
      <c r="K49" s="441"/>
      <c r="L49" s="441"/>
      <c r="M49" s="186"/>
      <c r="N49" s="341"/>
      <c r="O49" s="341"/>
      <c r="P49" s="186"/>
      <c r="Q49" s="341"/>
      <c r="R49" s="341"/>
      <c r="S49" s="341" t="s">
        <v>3257</v>
      </c>
    </row>
    <row r="50" spans="1:19" ht="25" hidden="1">
      <c r="A50" s="345"/>
      <c r="B50" s="345"/>
      <c r="C50" s="346"/>
      <c r="D50" s="346"/>
      <c r="E50" s="186" t="s">
        <v>55</v>
      </c>
      <c r="F50" s="186" t="s">
        <v>3258</v>
      </c>
      <c r="G50" s="186" t="s">
        <v>255</v>
      </c>
      <c r="H50" s="186" t="s">
        <v>243</v>
      </c>
      <c r="I50" s="441"/>
      <c r="J50" s="72">
        <v>48</v>
      </c>
      <c r="K50" s="441"/>
      <c r="L50" s="441"/>
      <c r="M50" s="186"/>
      <c r="N50" s="341"/>
      <c r="O50" s="341"/>
      <c r="P50" s="186"/>
      <c r="Q50" s="341"/>
      <c r="R50" s="341"/>
      <c r="S50" s="341" t="s">
        <v>3259</v>
      </c>
    </row>
    <row r="51" spans="1:19" ht="26">
      <c r="A51" s="327"/>
      <c r="B51" s="327"/>
      <c r="C51" s="327"/>
      <c r="D51" s="327"/>
      <c r="E51" s="331" t="s">
        <v>224</v>
      </c>
      <c r="F51" s="331" t="s">
        <v>152</v>
      </c>
      <c r="G51" s="331" t="s">
        <v>247</v>
      </c>
      <c r="H51" s="331" t="s">
        <v>243</v>
      </c>
      <c r="I51" s="327"/>
      <c r="J51" s="343">
        <v>49</v>
      </c>
      <c r="K51" s="343">
        <v>1</v>
      </c>
      <c r="L51" s="117" t="s">
        <v>3206</v>
      </c>
      <c r="M51" s="118" t="s">
        <v>316</v>
      </c>
      <c r="N51" s="344"/>
      <c r="O51" s="344"/>
      <c r="P51" s="327"/>
      <c r="Q51" s="344"/>
      <c r="R51" s="344"/>
      <c r="S51" s="344" t="s">
        <v>3260</v>
      </c>
    </row>
    <row r="52" spans="1:19" ht="12.5" hidden="1">
      <c r="A52" s="345"/>
      <c r="B52" s="345"/>
      <c r="C52" s="346"/>
      <c r="D52" s="346"/>
      <c r="E52" s="186" t="s">
        <v>53</v>
      </c>
      <c r="F52" s="186" t="s">
        <v>1290</v>
      </c>
      <c r="G52" s="186" t="s">
        <v>432</v>
      </c>
      <c r="H52" s="186" t="s">
        <v>243</v>
      </c>
      <c r="I52" s="441"/>
      <c r="J52" s="72">
        <v>50</v>
      </c>
      <c r="K52" s="441"/>
      <c r="L52" s="441"/>
      <c r="M52" s="186"/>
      <c r="N52" s="341"/>
      <c r="O52" s="341"/>
      <c r="P52" s="186"/>
      <c r="Q52" s="186"/>
      <c r="R52" s="186"/>
      <c r="S52" s="134" t="s">
        <v>1190</v>
      </c>
    </row>
    <row r="53" spans="1:19" ht="12.5" hidden="1">
      <c r="A53" s="345"/>
      <c r="B53" s="345"/>
      <c r="C53" s="346"/>
      <c r="D53" s="346"/>
      <c r="E53" s="186" t="s">
        <v>53</v>
      </c>
      <c r="F53" s="186" t="s">
        <v>1291</v>
      </c>
      <c r="G53" s="186" t="s">
        <v>247</v>
      </c>
      <c r="H53" s="186" t="s">
        <v>243</v>
      </c>
      <c r="I53" s="441"/>
      <c r="J53" s="72">
        <v>51</v>
      </c>
      <c r="K53" s="441"/>
      <c r="L53" s="441"/>
      <c r="M53" s="186"/>
      <c r="N53" s="341"/>
      <c r="O53" s="341"/>
      <c r="P53" s="186"/>
      <c r="Q53" s="186"/>
      <c r="R53" s="186"/>
      <c r="S53" s="134" t="s">
        <v>1190</v>
      </c>
    </row>
    <row r="54" spans="1:19" ht="12.5" hidden="1">
      <c r="A54" s="345"/>
      <c r="B54" s="345"/>
      <c r="C54" s="346"/>
      <c r="D54" s="346"/>
      <c r="E54" s="186" t="s">
        <v>53</v>
      </c>
      <c r="F54" s="186" t="s">
        <v>1292</v>
      </c>
      <c r="G54" s="186" t="s">
        <v>535</v>
      </c>
      <c r="H54" s="186" t="s">
        <v>243</v>
      </c>
      <c r="I54" s="441"/>
      <c r="J54" s="72">
        <v>52</v>
      </c>
      <c r="K54" s="441"/>
      <c r="L54" s="441"/>
      <c r="M54" s="186"/>
      <c r="N54" s="341"/>
      <c r="O54" s="341"/>
      <c r="P54" s="186"/>
      <c r="Q54" s="186"/>
      <c r="R54" s="186"/>
      <c r="S54" s="134" t="s">
        <v>1190</v>
      </c>
    </row>
    <row r="55" spans="1:19" ht="25" hidden="1">
      <c r="A55" s="345"/>
      <c r="B55" s="345"/>
      <c r="C55" s="346"/>
      <c r="D55" s="346"/>
      <c r="E55" s="186" t="s">
        <v>55</v>
      </c>
      <c r="F55" s="186" t="s">
        <v>2515</v>
      </c>
      <c r="G55" s="186" t="s">
        <v>329</v>
      </c>
      <c r="H55" s="186" t="s">
        <v>243</v>
      </c>
      <c r="I55" s="441"/>
      <c r="J55" s="72">
        <v>53</v>
      </c>
      <c r="K55" s="441"/>
      <c r="L55" s="441"/>
      <c r="M55" s="186"/>
      <c r="N55" s="341"/>
      <c r="O55" s="341"/>
      <c r="P55" s="186"/>
      <c r="Q55" s="341"/>
      <c r="R55" s="341"/>
      <c r="S55" s="341" t="s">
        <v>2516</v>
      </c>
    </row>
    <row r="56" spans="1:19" ht="12.5" hidden="1">
      <c r="A56" s="345"/>
      <c r="B56" s="345"/>
      <c r="C56" s="346"/>
      <c r="D56" s="346"/>
      <c r="E56" s="186" t="s">
        <v>53</v>
      </c>
      <c r="F56" s="186" t="s">
        <v>1289</v>
      </c>
      <c r="G56" s="186" t="s">
        <v>324</v>
      </c>
      <c r="H56" s="186" t="s">
        <v>243</v>
      </c>
      <c r="I56" s="441"/>
      <c r="J56" s="72">
        <v>54</v>
      </c>
      <c r="K56" s="441"/>
      <c r="L56" s="441"/>
      <c r="M56" s="186"/>
      <c r="N56" s="341"/>
      <c r="O56" s="341"/>
      <c r="P56" s="186"/>
      <c r="Q56" s="186"/>
      <c r="R56" s="186"/>
      <c r="S56" s="134" t="s">
        <v>1190</v>
      </c>
    </row>
    <row r="57" spans="1:19" ht="12.5" hidden="1">
      <c r="A57" s="345"/>
      <c r="B57" s="345"/>
      <c r="C57" s="346"/>
      <c r="D57" s="346"/>
      <c r="E57" s="186" t="s">
        <v>53</v>
      </c>
      <c r="F57" s="186" t="s">
        <v>1293</v>
      </c>
      <c r="G57" s="186" t="s">
        <v>432</v>
      </c>
      <c r="H57" s="186" t="s">
        <v>243</v>
      </c>
      <c r="I57" s="441"/>
      <c r="J57" s="72">
        <v>55</v>
      </c>
      <c r="K57" s="441"/>
      <c r="L57" s="441"/>
      <c r="M57" s="186"/>
      <c r="N57" s="341"/>
      <c r="O57" s="341"/>
      <c r="P57" s="186"/>
      <c r="Q57" s="186"/>
      <c r="R57" s="186"/>
      <c r="S57" s="134" t="s">
        <v>1190</v>
      </c>
    </row>
    <row r="58" spans="1:19" ht="12.5" hidden="1">
      <c r="A58" s="345"/>
      <c r="B58" s="345"/>
      <c r="C58" s="346"/>
      <c r="D58" s="346"/>
      <c r="E58" s="186" t="s">
        <v>55</v>
      </c>
      <c r="F58" s="186" t="s">
        <v>316</v>
      </c>
      <c r="G58" s="186" t="s">
        <v>264</v>
      </c>
      <c r="H58" s="186" t="s">
        <v>243</v>
      </c>
      <c r="I58" s="441"/>
      <c r="J58" s="72">
        <v>56</v>
      </c>
      <c r="K58" s="441"/>
      <c r="L58" s="441"/>
      <c r="M58" s="186"/>
      <c r="N58" s="341"/>
      <c r="O58" s="341"/>
      <c r="P58" s="186"/>
      <c r="Q58" s="341"/>
      <c r="R58" s="341"/>
      <c r="S58" s="341" t="s">
        <v>1589</v>
      </c>
    </row>
    <row r="59" spans="1:19" ht="12.5" hidden="1">
      <c r="A59" s="345"/>
      <c r="B59" s="345"/>
      <c r="C59" s="346"/>
      <c r="D59" s="346"/>
      <c r="E59" s="186" t="s">
        <v>55</v>
      </c>
      <c r="F59" s="186" t="s">
        <v>3261</v>
      </c>
      <c r="G59" s="186" t="s">
        <v>329</v>
      </c>
      <c r="H59" s="186" t="s">
        <v>243</v>
      </c>
      <c r="I59" s="441"/>
      <c r="J59" s="72">
        <v>57</v>
      </c>
      <c r="K59" s="441"/>
      <c r="L59" s="441"/>
      <c r="M59" s="186"/>
      <c r="N59" s="341"/>
      <c r="O59" s="341"/>
      <c r="P59" s="186"/>
      <c r="Q59" s="341"/>
      <c r="R59" s="341"/>
      <c r="S59" s="341" t="s">
        <v>3262</v>
      </c>
    </row>
    <row r="60" spans="1:19" ht="25" hidden="1">
      <c r="A60" s="345"/>
      <c r="B60" s="345"/>
      <c r="C60" s="346"/>
      <c r="D60" s="346"/>
      <c r="E60" s="186" t="s">
        <v>55</v>
      </c>
      <c r="F60" s="186" t="s">
        <v>3263</v>
      </c>
      <c r="G60" s="186" t="s">
        <v>329</v>
      </c>
      <c r="H60" s="186" t="s">
        <v>243</v>
      </c>
      <c r="I60" s="441"/>
      <c r="J60" s="72">
        <v>58</v>
      </c>
      <c r="K60" s="441"/>
      <c r="L60" s="441"/>
      <c r="M60" s="186"/>
      <c r="N60" s="341"/>
      <c r="O60" s="341"/>
      <c r="P60" s="186"/>
      <c r="Q60" s="341"/>
      <c r="R60" s="341"/>
      <c r="S60" s="341" t="s">
        <v>3264</v>
      </c>
    </row>
    <row r="61" spans="1:19" ht="25" hidden="1">
      <c r="A61" s="345"/>
      <c r="B61" s="345"/>
      <c r="C61" s="346"/>
      <c r="D61" s="346"/>
      <c r="E61" s="186" t="s">
        <v>55</v>
      </c>
      <c r="F61" s="186" t="s">
        <v>3265</v>
      </c>
      <c r="G61" s="186" t="s">
        <v>329</v>
      </c>
      <c r="H61" s="186" t="s">
        <v>243</v>
      </c>
      <c r="I61" s="441"/>
      <c r="J61" s="72">
        <v>59</v>
      </c>
      <c r="K61" s="441"/>
      <c r="L61" s="441"/>
      <c r="M61" s="186"/>
      <c r="N61" s="341"/>
      <c r="O61" s="341"/>
      <c r="P61" s="186"/>
      <c r="Q61" s="341"/>
      <c r="R61" s="341"/>
      <c r="S61" s="341" t="s">
        <v>3266</v>
      </c>
    </row>
    <row r="62" spans="1:19" ht="25" hidden="1">
      <c r="A62" s="345"/>
      <c r="B62" s="345"/>
      <c r="C62" s="346"/>
      <c r="D62" s="346"/>
      <c r="E62" s="186" t="s">
        <v>55</v>
      </c>
      <c r="F62" s="186" t="s">
        <v>3267</v>
      </c>
      <c r="G62" s="186" t="s">
        <v>329</v>
      </c>
      <c r="H62" s="186" t="s">
        <v>243</v>
      </c>
      <c r="I62" s="441"/>
      <c r="J62" s="72">
        <v>60</v>
      </c>
      <c r="K62" s="441"/>
      <c r="L62" s="441"/>
      <c r="M62" s="186"/>
      <c r="N62" s="341"/>
      <c r="O62" s="341"/>
      <c r="P62" s="186"/>
      <c r="Q62" s="341"/>
      <c r="R62" s="341"/>
      <c r="S62" s="341" t="s">
        <v>3245</v>
      </c>
    </row>
    <row r="63" spans="1:19" ht="25" hidden="1">
      <c r="A63" s="345"/>
      <c r="B63" s="345"/>
      <c r="C63" s="346"/>
      <c r="D63" s="346"/>
      <c r="E63" s="186" t="s">
        <v>55</v>
      </c>
      <c r="F63" s="186" t="s">
        <v>3268</v>
      </c>
      <c r="G63" s="186" t="s">
        <v>329</v>
      </c>
      <c r="H63" s="186" t="s">
        <v>243</v>
      </c>
      <c r="I63" s="441"/>
      <c r="J63" s="72">
        <v>61</v>
      </c>
      <c r="K63" s="441"/>
      <c r="L63" s="441"/>
      <c r="M63" s="186"/>
      <c r="N63" s="341"/>
      <c r="O63" s="341"/>
      <c r="P63" s="186"/>
      <c r="Q63" s="341"/>
      <c r="R63" s="341"/>
      <c r="S63" s="341" t="s">
        <v>3264</v>
      </c>
    </row>
    <row r="64" spans="1:19" ht="12.5" hidden="1">
      <c r="A64" s="345"/>
      <c r="B64" s="345"/>
      <c r="C64" s="346"/>
      <c r="D64" s="346"/>
      <c r="E64" s="186" t="s">
        <v>53</v>
      </c>
      <c r="F64" s="186" t="s">
        <v>1288</v>
      </c>
      <c r="G64" s="186" t="s">
        <v>535</v>
      </c>
      <c r="H64" s="186" t="s">
        <v>903</v>
      </c>
      <c r="I64" s="441"/>
      <c r="J64" s="72">
        <v>62</v>
      </c>
      <c r="K64" s="441"/>
      <c r="L64" s="441"/>
      <c r="M64" s="186"/>
      <c r="N64" s="341"/>
      <c r="O64" s="341"/>
      <c r="P64" s="186"/>
      <c r="Q64" s="186"/>
      <c r="R64" s="186"/>
      <c r="S64" s="134" t="s">
        <v>1190</v>
      </c>
    </row>
    <row r="65" spans="1:19" ht="25">
      <c r="A65" s="327"/>
      <c r="B65" s="327"/>
      <c r="C65" s="327"/>
      <c r="D65" s="327"/>
      <c r="E65" s="327" t="s">
        <v>53</v>
      </c>
      <c r="F65" s="331" t="s">
        <v>2352</v>
      </c>
      <c r="G65" s="331" t="s">
        <v>535</v>
      </c>
      <c r="H65" s="331" t="s">
        <v>243</v>
      </c>
      <c r="I65" s="327"/>
      <c r="J65" s="343">
        <v>63</v>
      </c>
      <c r="K65" s="343">
        <v>1</v>
      </c>
      <c r="L65" s="117" t="s">
        <v>3206</v>
      </c>
      <c r="M65" s="700" t="s">
        <v>3166</v>
      </c>
      <c r="N65" s="692"/>
      <c r="O65" s="692"/>
      <c r="P65" s="327"/>
      <c r="Q65" s="331"/>
      <c r="R65" s="331"/>
      <c r="S65" s="331" t="s">
        <v>3269</v>
      </c>
    </row>
    <row r="66" spans="1:19" ht="12.5" hidden="1">
      <c r="A66" s="345"/>
      <c r="B66" s="345"/>
      <c r="C66" s="346"/>
      <c r="D66" s="346"/>
      <c r="E66" s="186" t="s">
        <v>53</v>
      </c>
      <c r="F66" s="186" t="s">
        <v>3270</v>
      </c>
      <c r="G66" s="186" t="s">
        <v>535</v>
      </c>
      <c r="H66" s="186" t="s">
        <v>243</v>
      </c>
      <c r="I66" s="441"/>
      <c r="J66" s="72">
        <v>64</v>
      </c>
      <c r="K66" s="441"/>
      <c r="L66" s="441"/>
      <c r="M66" s="186"/>
      <c r="N66" s="341"/>
      <c r="O66" s="341"/>
      <c r="P66" s="186"/>
      <c r="Q66" s="186"/>
      <c r="R66" s="186"/>
      <c r="S66" s="134" t="s">
        <v>1190</v>
      </c>
    </row>
  </sheetData>
  <autoFilter ref="E2:S66" xr:uid="{00000000-0009-0000-0000-000011000000}">
    <filterColumn colId="6">
      <filters>
        <filter val="1"/>
      </filters>
    </filterColumn>
  </autoFilter>
  <mergeCells count="1">
    <mergeCell ref="M65:O65"/>
  </mergeCells>
  <pageMargins left="0" right="0" top="0" bottom="0" header="0" footer="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filterMode="1">
    <outlinePr summaryBelow="0" summaryRight="0"/>
  </sheetPr>
  <dimension ref="A1:AB22"/>
  <sheetViews>
    <sheetView workbookViewId="0">
      <pane xSplit="2" ySplit="4" topLeftCell="L12" activePane="bottomRight" state="frozen"/>
      <selection pane="topRight" activeCell="C1" sqref="C1"/>
      <selection pane="bottomLeft" activeCell="A5" sqref="A5"/>
      <selection pane="bottomRight" activeCell="L12" sqref="L12"/>
    </sheetView>
  </sheetViews>
  <sheetFormatPr defaultColWidth="14.453125" defaultRowHeight="15" customHeight="1"/>
  <cols>
    <col min="1" max="4" width="17.26953125" hidden="1" customWidth="1"/>
    <col min="5" max="5" width="12.453125" customWidth="1"/>
    <col min="6" max="6" width="36" customWidth="1"/>
    <col min="7" max="7" width="22.26953125" customWidth="1"/>
    <col min="8" max="8" width="12.1796875" customWidth="1"/>
    <col min="9" max="9" width="12.7265625" customWidth="1"/>
    <col min="10" max="10" width="7.81640625" customWidth="1"/>
    <col min="11" max="11" width="13.26953125" customWidth="1"/>
    <col min="12" max="12" width="47.7265625" customWidth="1"/>
    <col min="13" max="13" width="55.26953125" customWidth="1"/>
    <col min="14" max="14" width="41.81640625" customWidth="1"/>
    <col min="15" max="15" width="15.7265625" customWidth="1"/>
    <col min="16" max="17" width="12.7265625" customWidth="1"/>
    <col min="18" max="18" width="15.7265625" customWidth="1"/>
    <col min="19" max="19" width="15.1796875" customWidth="1"/>
    <col min="20" max="20" width="32.453125" customWidth="1"/>
    <col min="21" max="23" width="9.1796875" customWidth="1"/>
    <col min="24" max="24" width="6.26953125" customWidth="1"/>
    <col min="25" max="25" width="16.1796875" customWidth="1"/>
    <col min="26" max="26" width="38.7265625" customWidth="1"/>
    <col min="27" max="27" width="14.7265625" customWidth="1"/>
    <col min="28" max="28" width="48.7265625" customWidth="1"/>
  </cols>
  <sheetData>
    <row r="1" spans="1:28" s="510" customFormat="1" ht="18" customHeight="1">
      <c r="E1" s="511" t="s">
        <v>3271</v>
      </c>
      <c r="F1" s="512"/>
      <c r="G1" s="512"/>
      <c r="H1" s="513"/>
      <c r="I1" s="512"/>
      <c r="J1" s="512"/>
      <c r="K1" s="514"/>
      <c r="L1" s="509"/>
      <c r="M1" s="509"/>
      <c r="N1" s="509"/>
      <c r="O1" s="514"/>
      <c r="P1" s="514"/>
      <c r="Q1" s="514"/>
      <c r="R1" s="512"/>
      <c r="S1" s="513"/>
      <c r="T1" s="512"/>
      <c r="U1" s="512"/>
      <c r="V1" s="515"/>
      <c r="W1" s="515"/>
      <c r="X1" s="515"/>
      <c r="Y1" s="515"/>
      <c r="Z1" s="515"/>
      <c r="AA1" s="516"/>
      <c r="AB1" s="517"/>
    </row>
    <row r="2" spans="1:28" ht="12.5">
      <c r="A2" s="5"/>
      <c r="B2" s="5"/>
      <c r="C2" s="5"/>
      <c r="D2" s="5"/>
      <c r="E2" s="17"/>
      <c r="F2" s="187"/>
      <c r="G2" s="187"/>
      <c r="H2" s="189"/>
      <c r="I2" s="187"/>
      <c r="J2" s="187"/>
      <c r="K2" s="46"/>
      <c r="L2" s="459"/>
      <c r="M2" s="459"/>
      <c r="N2" s="45"/>
      <c r="O2" s="46"/>
      <c r="P2" s="46"/>
      <c r="Q2" s="46"/>
      <c r="R2" s="187"/>
      <c r="S2" s="189"/>
      <c r="T2" s="187"/>
      <c r="U2" s="187"/>
      <c r="V2" s="186"/>
      <c r="W2" s="186"/>
      <c r="X2" s="56"/>
      <c r="Y2" s="56"/>
      <c r="Z2" s="85"/>
      <c r="AA2" s="86"/>
      <c r="AB2" s="87"/>
    </row>
    <row r="3" spans="1:28" ht="13">
      <c r="A3" s="5"/>
      <c r="B3" s="5"/>
      <c r="C3" s="5"/>
      <c r="D3" s="5"/>
      <c r="E3" s="518" t="s">
        <v>3009</v>
      </c>
      <c r="F3" s="519"/>
      <c r="G3" s="519"/>
      <c r="H3" s="520"/>
      <c r="I3" s="519"/>
      <c r="J3" s="519"/>
      <c r="K3" s="521" t="s">
        <v>1038</v>
      </c>
      <c r="L3" s="522"/>
      <c r="M3" s="522"/>
      <c r="N3" s="523"/>
      <c r="O3" s="521"/>
      <c r="P3" s="521"/>
      <c r="Q3" s="521"/>
      <c r="R3" s="519"/>
      <c r="S3" s="520"/>
      <c r="T3" s="519"/>
      <c r="U3" s="519"/>
      <c r="V3" s="178"/>
      <c r="W3" s="178"/>
      <c r="X3" s="524"/>
      <c r="Y3" s="524"/>
      <c r="Z3" s="525" t="s">
        <v>1039</v>
      </c>
      <c r="AA3" s="526"/>
      <c r="AB3" s="527"/>
    </row>
    <row r="4" spans="1:28" ht="13">
      <c r="A4" s="5"/>
      <c r="B4" s="5"/>
      <c r="C4" s="5"/>
      <c r="D4" s="5"/>
      <c r="E4" s="521" t="s">
        <v>224</v>
      </c>
      <c r="F4" s="521" t="s">
        <v>225</v>
      </c>
      <c r="G4" s="521" t="s">
        <v>226</v>
      </c>
      <c r="H4" s="528" t="s">
        <v>227</v>
      </c>
      <c r="I4" s="521" t="s">
        <v>1044</v>
      </c>
      <c r="J4" s="521" t="s">
        <v>1045</v>
      </c>
      <c r="K4" s="521" t="s">
        <v>1046</v>
      </c>
      <c r="L4" s="522" t="s">
        <v>100</v>
      </c>
      <c r="M4" s="522" t="s">
        <v>101</v>
      </c>
      <c r="N4" s="523" t="s">
        <v>105</v>
      </c>
      <c r="O4" s="521" t="s">
        <v>102</v>
      </c>
      <c r="P4" s="521" t="s">
        <v>103</v>
      </c>
      <c r="Q4" s="521" t="s">
        <v>104</v>
      </c>
      <c r="R4" s="521" t="s">
        <v>111</v>
      </c>
      <c r="S4" s="528" t="s">
        <v>112</v>
      </c>
      <c r="T4" s="521" t="s">
        <v>113</v>
      </c>
      <c r="U4" s="303"/>
      <c r="V4" s="287"/>
      <c r="W4" s="288"/>
      <c r="X4" s="529" t="s">
        <v>1049</v>
      </c>
      <c r="Y4" s="529" t="s">
        <v>1050</v>
      </c>
      <c r="Z4" s="529" t="s">
        <v>237</v>
      </c>
      <c r="AA4" s="530" t="s">
        <v>1</v>
      </c>
      <c r="AB4" s="531" t="s">
        <v>238</v>
      </c>
    </row>
    <row r="5" spans="1:28" ht="12.5" hidden="1">
      <c r="A5" s="5"/>
      <c r="B5" s="5"/>
      <c r="C5" s="5"/>
      <c r="D5" s="5"/>
      <c r="E5" s="439" t="s">
        <v>53</v>
      </c>
      <c r="F5" s="439" t="s">
        <v>1406</v>
      </c>
      <c r="G5" s="439" t="s">
        <v>535</v>
      </c>
      <c r="H5" s="189"/>
      <c r="I5" s="187"/>
      <c r="J5" s="187"/>
      <c r="K5" s="187"/>
      <c r="L5" s="441"/>
      <c r="M5" s="441"/>
      <c r="N5" s="187"/>
      <c r="O5" s="187"/>
      <c r="P5" s="187"/>
      <c r="Q5" s="187"/>
      <c r="R5" s="187"/>
      <c r="S5" s="189"/>
      <c r="T5" s="187"/>
      <c r="U5" s="187"/>
      <c r="V5" s="187"/>
      <c r="W5" s="187"/>
      <c r="X5" s="187"/>
      <c r="Y5" s="187"/>
      <c r="Z5" s="187"/>
      <c r="AA5" s="187"/>
      <c r="AB5" s="187"/>
    </row>
    <row r="6" spans="1:28" ht="12.5" hidden="1">
      <c r="A6" s="5"/>
      <c r="B6" s="5"/>
      <c r="C6" s="5"/>
      <c r="D6" s="5"/>
      <c r="E6" s="439" t="s">
        <v>53</v>
      </c>
      <c r="F6" s="439" t="s">
        <v>1191</v>
      </c>
      <c r="G6" s="439" t="s">
        <v>252</v>
      </c>
      <c r="H6" s="189"/>
      <c r="I6" s="187"/>
      <c r="J6" s="187"/>
      <c r="K6" s="187"/>
      <c r="L6" s="441"/>
      <c r="M6" s="441"/>
      <c r="N6" s="187"/>
      <c r="O6" s="187"/>
      <c r="P6" s="187"/>
      <c r="Q6" s="187"/>
      <c r="R6" s="187"/>
      <c r="S6" s="189"/>
      <c r="T6" s="187"/>
      <c r="U6" s="187"/>
      <c r="V6" s="187"/>
      <c r="W6" s="187"/>
      <c r="X6" s="187"/>
      <c r="Y6" s="187"/>
      <c r="Z6" s="187"/>
      <c r="AA6" s="187"/>
      <c r="AB6" s="187"/>
    </row>
    <row r="7" spans="1:28" ht="12.5" hidden="1">
      <c r="A7" s="5"/>
      <c r="B7" s="5"/>
      <c r="C7" s="5"/>
      <c r="D7" s="5"/>
      <c r="E7" s="439" t="s">
        <v>53</v>
      </c>
      <c r="F7" s="439" t="s">
        <v>1192</v>
      </c>
      <c r="G7" s="439" t="s">
        <v>242</v>
      </c>
      <c r="H7" s="189"/>
      <c r="I7" s="187"/>
      <c r="J7" s="187"/>
      <c r="K7" s="187"/>
      <c r="L7" s="441"/>
      <c r="M7" s="441"/>
      <c r="N7" s="187"/>
      <c r="O7" s="187"/>
      <c r="P7" s="187"/>
      <c r="Q7" s="187"/>
      <c r="R7" s="187"/>
      <c r="S7" s="189"/>
      <c r="T7" s="187"/>
      <c r="U7" s="187"/>
      <c r="V7" s="187"/>
      <c r="W7" s="187"/>
      <c r="X7" s="187"/>
      <c r="Y7" s="187"/>
      <c r="Z7" s="187"/>
      <c r="AA7" s="187"/>
      <c r="AB7" s="187"/>
    </row>
    <row r="8" spans="1:28" ht="12.5" hidden="1">
      <c r="A8" s="5"/>
      <c r="B8" s="5"/>
      <c r="C8" s="5"/>
      <c r="D8" s="5"/>
      <c r="E8" s="439" t="s">
        <v>53</v>
      </c>
      <c r="F8" s="439" t="s">
        <v>1193</v>
      </c>
      <c r="G8" s="439" t="s">
        <v>249</v>
      </c>
      <c r="H8" s="189"/>
      <c r="I8" s="187"/>
      <c r="J8" s="187"/>
      <c r="K8" s="187"/>
      <c r="L8" s="441"/>
      <c r="M8" s="441"/>
      <c r="N8" s="187"/>
      <c r="O8" s="187"/>
      <c r="P8" s="187"/>
      <c r="Q8" s="187"/>
      <c r="R8" s="187"/>
      <c r="S8" s="189"/>
      <c r="T8" s="187"/>
      <c r="U8" s="187"/>
      <c r="V8" s="187"/>
      <c r="W8" s="187"/>
      <c r="X8" s="187"/>
      <c r="Y8" s="187"/>
      <c r="Z8" s="187"/>
      <c r="AA8" s="187"/>
      <c r="AB8" s="187"/>
    </row>
    <row r="9" spans="1:28" ht="12.5" hidden="1">
      <c r="A9" s="5"/>
      <c r="B9" s="5"/>
      <c r="C9" s="5"/>
      <c r="D9" s="5"/>
      <c r="E9" s="439" t="s">
        <v>53</v>
      </c>
      <c r="F9" s="186" t="s">
        <v>1194</v>
      </c>
      <c r="G9" s="376" t="s">
        <v>252</v>
      </c>
      <c r="H9" s="189"/>
      <c r="I9" s="187"/>
      <c r="J9" s="187"/>
      <c r="K9" s="187"/>
      <c r="L9" s="441"/>
      <c r="M9" s="441"/>
      <c r="N9" s="187"/>
      <c r="O9" s="187"/>
      <c r="P9" s="187"/>
      <c r="Q9" s="187"/>
      <c r="R9" s="187"/>
      <c r="S9" s="189"/>
      <c r="T9" s="187"/>
      <c r="U9" s="187"/>
      <c r="V9" s="187"/>
      <c r="W9" s="187"/>
      <c r="X9" s="187"/>
      <c r="Y9" s="187"/>
      <c r="Z9" s="187"/>
      <c r="AA9" s="187"/>
      <c r="AB9" s="187"/>
    </row>
    <row r="10" spans="1:28" ht="12.5" hidden="1">
      <c r="A10" s="5"/>
      <c r="B10" s="5"/>
      <c r="C10" s="5"/>
      <c r="D10" s="5"/>
      <c r="E10" s="439" t="s">
        <v>53</v>
      </c>
      <c r="F10" s="439" t="s">
        <v>1195</v>
      </c>
      <c r="G10" s="439" t="s">
        <v>247</v>
      </c>
      <c r="H10" s="187"/>
      <c r="I10" s="187"/>
      <c r="J10" s="187"/>
      <c r="K10" s="187"/>
      <c r="L10" s="441"/>
      <c r="M10" s="441"/>
      <c r="N10" s="187"/>
      <c r="O10" s="187"/>
      <c r="P10" s="187"/>
      <c r="Q10" s="187"/>
      <c r="R10" s="187"/>
      <c r="S10" s="189"/>
      <c r="T10" s="187"/>
      <c r="U10" s="187"/>
      <c r="V10" s="187"/>
      <c r="W10" s="187"/>
      <c r="X10" s="187"/>
      <c r="Y10" s="187"/>
      <c r="Z10" s="187"/>
      <c r="AA10" s="187"/>
      <c r="AB10" s="187"/>
    </row>
    <row r="11" spans="1:28" ht="81" customHeight="1">
      <c r="A11" s="43"/>
      <c r="B11" s="43"/>
      <c r="C11" s="43"/>
      <c r="D11" s="43"/>
      <c r="E11" s="439" t="s">
        <v>53</v>
      </c>
      <c r="F11" s="439" t="s">
        <v>1956</v>
      </c>
      <c r="G11" s="439" t="s">
        <v>252</v>
      </c>
      <c r="H11" s="376"/>
      <c r="I11" s="439"/>
      <c r="J11" s="439"/>
      <c r="K11" s="439" t="s">
        <v>682</v>
      </c>
      <c r="L11" s="441" t="s">
        <v>3272</v>
      </c>
      <c r="M11" s="441" t="s">
        <v>3273</v>
      </c>
      <c r="N11" s="439"/>
      <c r="O11" s="187"/>
      <c r="P11" s="187"/>
      <c r="Q11" s="187"/>
      <c r="R11" s="187"/>
      <c r="S11" s="189"/>
      <c r="T11" s="187"/>
      <c r="U11" s="187"/>
      <c r="V11" s="187"/>
      <c r="W11" s="187"/>
      <c r="X11" s="187"/>
      <c r="Y11" s="187"/>
      <c r="Z11" s="187"/>
      <c r="AA11" s="461"/>
      <c r="AB11" s="461"/>
    </row>
    <row r="12" spans="1:28" ht="50">
      <c r="A12" s="43"/>
      <c r="B12" s="43"/>
      <c r="C12" s="43"/>
      <c r="D12" s="43"/>
      <c r="E12" s="439" t="s">
        <v>53</v>
      </c>
      <c r="F12" s="439" t="s">
        <v>1957</v>
      </c>
      <c r="G12" s="439" t="s">
        <v>252</v>
      </c>
      <c r="H12" s="376"/>
      <c r="I12" s="439"/>
      <c r="J12" s="439"/>
      <c r="K12" s="439" t="s">
        <v>682</v>
      </c>
      <c r="L12" s="441" t="s">
        <v>3272</v>
      </c>
      <c r="M12" s="441" t="s">
        <v>3274</v>
      </c>
      <c r="N12" s="439"/>
      <c r="O12" s="187"/>
      <c r="P12" s="187"/>
      <c r="Q12" s="187"/>
      <c r="R12" s="187"/>
      <c r="S12" s="189"/>
      <c r="T12" s="187"/>
      <c r="U12" s="187"/>
      <c r="V12" s="187"/>
      <c r="W12" s="187"/>
      <c r="X12" s="187"/>
      <c r="Y12" s="187"/>
      <c r="Z12" s="187"/>
      <c r="AA12" s="461"/>
      <c r="AB12" s="461"/>
    </row>
    <row r="13" spans="1:28" ht="12.5" hidden="1">
      <c r="A13" s="5"/>
      <c r="B13" s="5"/>
      <c r="C13" s="5"/>
      <c r="D13" s="5"/>
      <c r="E13" s="439" t="s">
        <v>53</v>
      </c>
      <c r="F13" s="439" t="s">
        <v>1196</v>
      </c>
      <c r="G13" s="439" t="s">
        <v>535</v>
      </c>
      <c r="H13" s="376"/>
      <c r="I13" s="439"/>
      <c r="J13" s="187"/>
      <c r="K13" s="187"/>
      <c r="L13" s="441"/>
      <c r="M13" s="441"/>
      <c r="N13" s="187"/>
      <c r="O13" s="187"/>
      <c r="P13" s="187"/>
      <c r="Q13" s="187"/>
      <c r="R13" s="187"/>
      <c r="S13" s="189"/>
      <c r="T13" s="187"/>
      <c r="U13" s="187"/>
      <c r="V13" s="187"/>
      <c r="W13" s="187"/>
      <c r="X13" s="187"/>
      <c r="Y13" s="187"/>
      <c r="Z13" s="187"/>
      <c r="AA13" s="187"/>
      <c r="AB13" s="187"/>
    </row>
    <row r="14" spans="1:28" ht="37.5">
      <c r="A14" s="5"/>
      <c r="B14" s="5"/>
      <c r="C14" s="5"/>
      <c r="D14" s="5"/>
      <c r="E14" s="439" t="s">
        <v>61</v>
      </c>
      <c r="F14" s="439" t="s">
        <v>3275</v>
      </c>
      <c r="G14" s="439" t="s">
        <v>535</v>
      </c>
      <c r="H14" s="376"/>
      <c r="I14" s="439"/>
      <c r="J14" s="439"/>
      <c r="K14" s="439" t="s">
        <v>682</v>
      </c>
      <c r="L14" s="441" t="s">
        <v>3272</v>
      </c>
      <c r="M14" s="441" t="s">
        <v>3276</v>
      </c>
      <c r="N14" s="441"/>
      <c r="O14" s="187"/>
      <c r="P14" s="187"/>
      <c r="Q14" s="187"/>
      <c r="R14" s="187"/>
      <c r="S14" s="189"/>
      <c r="T14" s="187"/>
      <c r="U14" s="187"/>
      <c r="V14" s="187"/>
      <c r="W14" s="187"/>
      <c r="X14" s="187"/>
      <c r="Y14" s="187"/>
      <c r="Z14" s="187"/>
      <c r="AA14" s="187"/>
      <c r="AB14" s="187"/>
    </row>
    <row r="15" spans="1:28" ht="37.5">
      <c r="A15" s="5"/>
      <c r="B15" s="5"/>
      <c r="C15" s="5"/>
      <c r="D15" s="5"/>
      <c r="E15" s="439" t="s">
        <v>55</v>
      </c>
      <c r="F15" s="439" t="s">
        <v>3004</v>
      </c>
      <c r="G15" s="439" t="s">
        <v>3277</v>
      </c>
      <c r="H15" s="376"/>
      <c r="I15" s="439"/>
      <c r="J15" s="439"/>
      <c r="K15" s="439" t="s">
        <v>682</v>
      </c>
      <c r="L15" s="441" t="s">
        <v>3272</v>
      </c>
      <c r="M15" s="441" t="s">
        <v>490</v>
      </c>
      <c r="N15" s="441"/>
      <c r="O15" s="187"/>
      <c r="P15" s="187"/>
      <c r="Q15" s="187"/>
      <c r="R15" s="187"/>
      <c r="S15" s="189"/>
      <c r="T15" s="187"/>
      <c r="U15" s="187"/>
      <c r="V15" s="187"/>
      <c r="W15" s="187"/>
      <c r="X15" s="187"/>
      <c r="Y15" s="187"/>
      <c r="Z15" s="187"/>
      <c r="AA15" s="187"/>
      <c r="AB15" s="187"/>
    </row>
    <row r="16" spans="1:28" ht="75.5">
      <c r="A16" s="5"/>
      <c r="B16" s="5"/>
      <c r="C16" s="5"/>
      <c r="D16" s="5"/>
      <c r="E16" s="439" t="s">
        <v>55</v>
      </c>
      <c r="F16" s="439" t="s">
        <v>3278</v>
      </c>
      <c r="G16" s="439" t="s">
        <v>1855</v>
      </c>
      <c r="H16" s="376"/>
      <c r="I16" s="439"/>
      <c r="J16" s="439"/>
      <c r="K16" s="439" t="s">
        <v>682</v>
      </c>
      <c r="L16" s="441" t="s">
        <v>3272</v>
      </c>
      <c r="M16" t="s">
        <v>3279</v>
      </c>
      <c r="N16" s="532" t="s">
        <v>3280</v>
      </c>
      <c r="O16" s="187"/>
      <c r="P16" s="187"/>
      <c r="Q16" s="187"/>
      <c r="R16" s="187"/>
      <c r="S16" s="189"/>
      <c r="T16" s="187"/>
      <c r="U16" s="187"/>
      <c r="V16" s="187"/>
      <c r="W16" s="187"/>
      <c r="X16" s="187"/>
      <c r="Y16" s="187"/>
      <c r="Z16" s="187"/>
      <c r="AA16" s="187"/>
      <c r="AB16" s="187"/>
    </row>
    <row r="17" spans="1:28" ht="12.5" hidden="1">
      <c r="A17" s="5"/>
      <c r="B17" s="5"/>
      <c r="C17" s="5"/>
      <c r="D17" s="5"/>
      <c r="E17" s="439" t="s">
        <v>53</v>
      </c>
      <c r="F17" s="439" t="s">
        <v>124</v>
      </c>
      <c r="G17" s="439" t="s">
        <v>535</v>
      </c>
      <c r="H17" s="440"/>
      <c r="I17" s="439"/>
      <c r="J17" s="187"/>
      <c r="K17" s="187"/>
      <c r="L17" s="441"/>
      <c r="M17" s="441"/>
      <c r="N17" s="187"/>
      <c r="O17" s="187"/>
      <c r="P17" s="187"/>
      <c r="Q17" s="187"/>
      <c r="R17" s="187"/>
      <c r="S17" s="189"/>
      <c r="T17" s="187"/>
      <c r="U17" s="187"/>
      <c r="V17" s="187"/>
      <c r="W17" s="187"/>
      <c r="X17" s="187"/>
      <c r="Y17" s="187"/>
      <c r="Z17" s="187"/>
      <c r="AA17" s="187"/>
      <c r="AB17" s="187"/>
    </row>
    <row r="18" spans="1:28" ht="87.5">
      <c r="A18" s="5"/>
      <c r="B18" s="5"/>
      <c r="C18" s="5"/>
      <c r="D18" s="5"/>
      <c r="E18" s="439" t="s">
        <v>61</v>
      </c>
      <c r="F18" s="439" t="s">
        <v>3281</v>
      </c>
      <c r="G18" s="439" t="s">
        <v>535</v>
      </c>
      <c r="H18" s="376"/>
      <c r="I18" s="439"/>
      <c r="J18" s="439"/>
      <c r="K18" s="439" t="s">
        <v>682</v>
      </c>
      <c r="L18" s="441" t="s">
        <v>3272</v>
      </c>
      <c r="M18" s="441" t="s">
        <v>3282</v>
      </c>
      <c r="N18" s="468"/>
      <c r="O18" s="187"/>
      <c r="P18" s="187"/>
      <c r="Q18" s="187"/>
      <c r="R18" s="187"/>
      <c r="S18" s="189"/>
      <c r="T18" s="187"/>
      <c r="U18" s="187"/>
      <c r="V18" s="187"/>
      <c r="W18" s="187"/>
      <c r="X18" s="187"/>
      <c r="Y18" s="187"/>
      <c r="Z18" s="187"/>
      <c r="AA18" s="187"/>
      <c r="AB18" s="187"/>
    </row>
    <row r="19" spans="1:28" ht="50">
      <c r="A19" s="5"/>
      <c r="B19" s="5"/>
      <c r="C19" s="5"/>
      <c r="D19" s="5"/>
      <c r="E19" s="439" t="s">
        <v>61</v>
      </c>
      <c r="F19" s="439" t="s">
        <v>3283</v>
      </c>
      <c r="G19" s="439" t="s">
        <v>1855</v>
      </c>
      <c r="H19" s="376"/>
      <c r="I19" s="439"/>
      <c r="J19" s="439"/>
      <c r="K19" s="439" t="s">
        <v>682</v>
      </c>
      <c r="L19" s="441" t="s">
        <v>3272</v>
      </c>
      <c r="M19" s="441" t="s">
        <v>3284</v>
      </c>
      <c r="N19" s="441"/>
      <c r="O19" s="187"/>
      <c r="P19" s="187"/>
      <c r="Q19" s="187"/>
      <c r="R19" s="187"/>
      <c r="S19" s="189"/>
      <c r="T19" s="187"/>
      <c r="U19" s="187"/>
      <c r="V19" s="187"/>
      <c r="W19" s="187"/>
      <c r="X19" s="187"/>
      <c r="Y19" s="187"/>
      <c r="Z19" s="187"/>
      <c r="AA19" s="187"/>
      <c r="AB19" s="187"/>
    </row>
    <row r="20" spans="1:28" ht="87.5">
      <c r="A20" s="5"/>
      <c r="B20" s="5"/>
      <c r="C20" s="5"/>
      <c r="D20" s="5"/>
      <c r="E20" s="439" t="s">
        <v>55</v>
      </c>
      <c r="F20" s="439" t="s">
        <v>3285</v>
      </c>
      <c r="G20" s="439" t="s">
        <v>535</v>
      </c>
      <c r="H20" s="440"/>
      <c r="I20" s="439"/>
      <c r="J20" s="439"/>
      <c r="K20" s="439" t="s">
        <v>682</v>
      </c>
      <c r="L20" s="441" t="s">
        <v>3286</v>
      </c>
      <c r="M20" s="441" t="s">
        <v>3287</v>
      </c>
      <c r="N20" s="441"/>
      <c r="O20" s="187"/>
      <c r="P20" s="187"/>
      <c r="Q20" s="187"/>
      <c r="R20" s="187"/>
      <c r="S20" s="189"/>
      <c r="T20" s="187"/>
      <c r="U20" s="187"/>
      <c r="V20" s="187"/>
      <c r="W20" s="187"/>
      <c r="X20" s="187"/>
      <c r="Y20" s="187"/>
      <c r="Z20" s="187"/>
      <c r="AA20" s="187"/>
      <c r="AB20" s="187"/>
    </row>
    <row r="21" spans="1:28" ht="37.5">
      <c r="A21" s="5"/>
      <c r="B21" s="5"/>
      <c r="C21" s="5"/>
      <c r="D21" s="5"/>
      <c r="E21" s="439" t="s">
        <v>55</v>
      </c>
      <c r="F21" s="439" t="s">
        <v>896</v>
      </c>
      <c r="G21" s="439" t="s">
        <v>535</v>
      </c>
      <c r="H21" s="376"/>
      <c r="I21" s="439"/>
      <c r="J21" s="439"/>
      <c r="K21" s="439" t="s">
        <v>682</v>
      </c>
      <c r="L21" s="441" t="s">
        <v>3272</v>
      </c>
      <c r="M21" s="441" t="s">
        <v>898</v>
      </c>
      <c r="N21" s="441"/>
      <c r="O21" s="187"/>
      <c r="P21" s="187"/>
      <c r="Q21" s="187"/>
      <c r="R21" s="187"/>
      <c r="S21" s="189"/>
      <c r="T21" s="187"/>
      <c r="U21" s="187"/>
      <c r="V21" s="187"/>
      <c r="W21" s="187"/>
      <c r="X21" s="187"/>
      <c r="Y21" s="187"/>
      <c r="Z21" s="187"/>
      <c r="AA21" s="187"/>
      <c r="AB21" s="187"/>
    </row>
    <row r="22" spans="1:28" ht="12.5">
      <c r="A22" s="5"/>
      <c r="B22" s="5"/>
      <c r="C22" s="5"/>
      <c r="D22" s="5"/>
      <c r="E22" s="439" t="s">
        <v>61</v>
      </c>
      <c r="F22" s="439" t="s">
        <v>123</v>
      </c>
      <c r="G22" s="439" t="s">
        <v>535</v>
      </c>
      <c r="H22" s="376"/>
      <c r="I22" s="439"/>
      <c r="J22" s="439"/>
      <c r="K22" s="439" t="s">
        <v>682</v>
      </c>
      <c r="L22" s="441" t="s">
        <v>1184</v>
      </c>
      <c r="M22" s="441" t="s">
        <v>3288</v>
      </c>
      <c r="N22" s="441"/>
      <c r="O22" s="187"/>
      <c r="P22" s="187"/>
      <c r="Q22" s="187"/>
      <c r="R22" s="187"/>
      <c r="S22" s="189"/>
      <c r="T22" s="187"/>
      <c r="U22" s="187"/>
      <c r="V22" s="187"/>
      <c r="W22" s="187"/>
      <c r="X22" s="187"/>
      <c r="Y22" s="187"/>
      <c r="Z22" s="187"/>
      <c r="AA22" s="187"/>
      <c r="AB22" s="187"/>
    </row>
  </sheetData>
  <autoFilter ref="A4:AB22" xr:uid="{00000000-0009-0000-0000-000012000000}">
    <filterColumn colId="10">
      <filters>
        <filter val="Y"/>
      </filters>
    </filterColumn>
  </autoFilter>
  <hyperlinks>
    <hyperlink ref="N16" r:id="rId1" xr:uid="{00000000-0004-0000-1200-000000000000}"/>
  </hyperlinks>
  <pageMargins left="0.7" right="0.7" top="0.75" bottom="0.75" header="0" footer="0"/>
  <pageSetup orientation="landscape"/>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792AD4-744B-429D-8AC9-4CF703E31A40}">
  <sheetPr filterMode="1">
    <outlinePr summaryBelow="0" summaryRight="0"/>
  </sheetPr>
  <dimension ref="A2:AB30"/>
  <sheetViews>
    <sheetView workbookViewId="0">
      <pane xSplit="2" ySplit="3" topLeftCell="E10" activePane="bottomRight" state="frozen"/>
      <selection pane="topRight" activeCell="C1" sqref="C1"/>
      <selection pane="bottomLeft" activeCell="A5" sqref="A5"/>
      <selection pane="bottomRight" activeCell="L10" sqref="L10"/>
    </sheetView>
  </sheetViews>
  <sheetFormatPr defaultColWidth="14.453125" defaultRowHeight="15" customHeight="1"/>
  <cols>
    <col min="1" max="4" width="17.26953125" hidden="1" customWidth="1"/>
    <col min="5" max="5" width="12.453125" customWidth="1"/>
    <col min="6" max="6" width="36" customWidth="1"/>
    <col min="7" max="7" width="22.26953125" customWidth="1"/>
    <col min="8" max="8" width="12.1796875" customWidth="1"/>
    <col min="9" max="9" width="12.7265625" customWidth="1"/>
    <col min="10" max="10" width="7.81640625" customWidth="1"/>
    <col min="11" max="11" width="13.26953125" customWidth="1"/>
    <col min="12" max="12" width="47.7265625" customWidth="1"/>
    <col min="13" max="13" width="55.26953125" customWidth="1"/>
    <col min="14" max="14" width="41.81640625" customWidth="1"/>
    <col min="15" max="15" width="15.7265625" customWidth="1"/>
    <col min="16" max="17" width="12.7265625" customWidth="1"/>
    <col min="18" max="18" width="15.7265625" customWidth="1"/>
    <col min="19" max="19" width="15.1796875" customWidth="1"/>
    <col min="20" max="20" width="32.453125" customWidth="1"/>
    <col min="21" max="23" width="9.1796875" customWidth="1"/>
    <col min="24" max="24" width="6.26953125" customWidth="1"/>
    <col min="25" max="25" width="16.1796875" customWidth="1"/>
    <col min="26" max="26" width="38.7265625" customWidth="1"/>
    <col min="27" max="27" width="14.7265625" customWidth="1"/>
    <col min="28" max="28" width="48.7265625" customWidth="1"/>
  </cols>
  <sheetData>
    <row r="2" spans="1:28" ht="13">
      <c r="A2" s="5"/>
      <c r="B2" s="5"/>
      <c r="C2" s="5"/>
      <c r="D2" s="5"/>
      <c r="E2" s="518" t="s">
        <v>3009</v>
      </c>
      <c r="F2" s="519"/>
      <c r="G2" s="519"/>
      <c r="H2" s="520"/>
      <c r="I2" s="519"/>
      <c r="J2" s="519"/>
      <c r="K2" s="521" t="s">
        <v>1038</v>
      </c>
      <c r="L2" s="522"/>
      <c r="M2" s="522"/>
      <c r="N2" s="523"/>
      <c r="O2" s="521"/>
      <c r="P2" s="521"/>
      <c r="Q2" s="521"/>
      <c r="R2" s="519"/>
      <c r="S2" s="520"/>
      <c r="T2" s="519"/>
      <c r="U2" s="519"/>
      <c r="V2" s="178"/>
      <c r="W2" s="178"/>
      <c r="X2" s="524"/>
      <c r="Y2" s="524"/>
      <c r="Z2" s="525" t="s">
        <v>1039</v>
      </c>
      <c r="AA2" s="526"/>
      <c r="AB2" s="527"/>
    </row>
    <row r="3" spans="1:28" ht="13">
      <c r="A3" s="5"/>
      <c r="B3" s="5"/>
      <c r="C3" s="5"/>
      <c r="D3" s="5"/>
      <c r="E3" s="521" t="s">
        <v>224</v>
      </c>
      <c r="F3" s="521" t="s">
        <v>225</v>
      </c>
      <c r="G3" s="521" t="s">
        <v>226</v>
      </c>
      <c r="H3" s="528" t="s">
        <v>227</v>
      </c>
      <c r="I3" s="521" t="s">
        <v>1044</v>
      </c>
      <c r="J3" s="521" t="s">
        <v>1045</v>
      </c>
      <c r="K3" s="521" t="s">
        <v>1046</v>
      </c>
      <c r="L3" s="522" t="s">
        <v>100</v>
      </c>
      <c r="M3" s="522" t="s">
        <v>101</v>
      </c>
      <c r="N3" s="523" t="s">
        <v>105</v>
      </c>
      <c r="O3" s="521" t="s">
        <v>102</v>
      </c>
      <c r="P3" s="521" t="s">
        <v>103</v>
      </c>
      <c r="Q3" s="521" t="s">
        <v>104</v>
      </c>
      <c r="R3" s="521" t="s">
        <v>111</v>
      </c>
      <c r="S3" s="528" t="s">
        <v>112</v>
      </c>
      <c r="T3" s="521" t="s">
        <v>113</v>
      </c>
      <c r="U3" s="303"/>
      <c r="V3" s="287"/>
      <c r="W3" s="288"/>
      <c r="X3" s="529" t="s">
        <v>1049</v>
      </c>
      <c r="Y3" s="529" t="s">
        <v>1050</v>
      </c>
      <c r="Z3" s="529" t="s">
        <v>237</v>
      </c>
      <c r="AA3" s="530" t="s">
        <v>1</v>
      </c>
      <c r="AB3" s="531" t="s">
        <v>238</v>
      </c>
    </row>
    <row r="4" spans="1:28" ht="12.5" hidden="1">
      <c r="A4" s="5"/>
      <c r="B4" s="5"/>
      <c r="C4" s="5"/>
      <c r="D4" s="5"/>
      <c r="E4" s="439" t="s">
        <v>53</v>
      </c>
      <c r="F4" s="439" t="s">
        <v>1406</v>
      </c>
      <c r="G4" s="439" t="s">
        <v>535</v>
      </c>
      <c r="H4" s="189"/>
      <c r="I4" s="187"/>
      <c r="J4" s="187"/>
      <c r="K4" s="187"/>
      <c r="L4" s="441"/>
      <c r="M4" s="441"/>
      <c r="N4" s="187"/>
      <c r="O4" s="187"/>
      <c r="P4" s="187"/>
      <c r="Q4" s="187"/>
      <c r="R4" s="187"/>
      <c r="S4" s="189"/>
      <c r="T4" s="187"/>
      <c r="U4" s="187"/>
      <c r="V4" s="187"/>
      <c r="W4" s="187"/>
      <c r="X4" s="187"/>
      <c r="Y4" s="187"/>
      <c r="Z4" s="187"/>
      <c r="AA4" s="187"/>
      <c r="AB4" s="187"/>
    </row>
    <row r="5" spans="1:28" ht="12.5" hidden="1">
      <c r="A5" s="5"/>
      <c r="B5" s="5"/>
      <c r="C5" s="5"/>
      <c r="D5" s="5"/>
      <c r="E5" s="439" t="s">
        <v>53</v>
      </c>
      <c r="F5" s="439" t="s">
        <v>1191</v>
      </c>
      <c r="G5" s="439" t="s">
        <v>252</v>
      </c>
      <c r="H5" s="189"/>
      <c r="I5" s="187"/>
      <c r="J5" s="187"/>
      <c r="K5" s="187"/>
      <c r="L5" s="441"/>
      <c r="M5" s="441"/>
      <c r="N5" s="187"/>
      <c r="O5" s="187"/>
      <c r="P5" s="187"/>
      <c r="Q5" s="187"/>
      <c r="R5" s="187"/>
      <c r="S5" s="189"/>
      <c r="T5" s="187"/>
      <c r="U5" s="187"/>
      <c r="V5" s="187"/>
      <c r="W5" s="187"/>
      <c r="X5" s="187"/>
      <c r="Y5" s="187"/>
      <c r="Z5" s="187"/>
      <c r="AA5" s="187"/>
      <c r="AB5" s="187"/>
    </row>
    <row r="6" spans="1:28" ht="12.5" hidden="1">
      <c r="A6" s="5"/>
      <c r="B6" s="5"/>
      <c r="C6" s="5"/>
      <c r="D6" s="5"/>
      <c r="E6" s="439" t="s">
        <v>53</v>
      </c>
      <c r="F6" s="439" t="s">
        <v>1192</v>
      </c>
      <c r="G6" s="439" t="s">
        <v>242</v>
      </c>
      <c r="H6" s="189"/>
      <c r="I6" s="187"/>
      <c r="J6" s="187"/>
      <c r="K6" s="187"/>
      <c r="L6" s="441"/>
      <c r="M6" s="441"/>
      <c r="N6" s="187"/>
      <c r="O6" s="187"/>
      <c r="P6" s="187"/>
      <c r="Q6" s="187"/>
      <c r="R6" s="187"/>
      <c r="S6" s="189"/>
      <c r="T6" s="187"/>
      <c r="U6" s="187"/>
      <c r="V6" s="187"/>
      <c r="W6" s="187"/>
      <c r="X6" s="187"/>
      <c r="Y6" s="187"/>
      <c r="Z6" s="187"/>
      <c r="AA6" s="187"/>
      <c r="AB6" s="187"/>
    </row>
    <row r="7" spans="1:28" ht="12.5" hidden="1">
      <c r="A7" s="5"/>
      <c r="B7" s="5"/>
      <c r="C7" s="5"/>
      <c r="D7" s="5"/>
      <c r="E7" s="439" t="s">
        <v>53</v>
      </c>
      <c r="F7" s="439" t="s">
        <v>1193</v>
      </c>
      <c r="G7" s="439" t="s">
        <v>249</v>
      </c>
      <c r="H7" s="189"/>
      <c r="I7" s="187"/>
      <c r="J7" s="187"/>
      <c r="K7" s="187"/>
      <c r="L7" s="441"/>
      <c r="M7" s="441"/>
      <c r="N7" s="187"/>
      <c r="O7" s="187"/>
      <c r="P7" s="187"/>
      <c r="Q7" s="187"/>
      <c r="R7" s="187"/>
      <c r="S7" s="189"/>
      <c r="T7" s="187"/>
      <c r="U7" s="187"/>
      <c r="V7" s="187"/>
      <c r="W7" s="187"/>
      <c r="X7" s="187"/>
      <c r="Y7" s="187"/>
      <c r="Z7" s="187"/>
      <c r="AA7" s="187"/>
      <c r="AB7" s="187"/>
    </row>
    <row r="8" spans="1:28" ht="12.5" hidden="1">
      <c r="A8" s="5"/>
      <c r="B8" s="5"/>
      <c r="C8" s="5"/>
      <c r="D8" s="5"/>
      <c r="E8" s="439" t="s">
        <v>53</v>
      </c>
      <c r="F8" s="186" t="s">
        <v>1194</v>
      </c>
      <c r="G8" s="376" t="s">
        <v>252</v>
      </c>
      <c r="H8" s="189"/>
      <c r="I8" s="187"/>
      <c r="J8" s="187"/>
      <c r="K8" s="187"/>
      <c r="L8" s="441"/>
      <c r="M8" s="441"/>
      <c r="N8" s="187"/>
      <c r="O8" s="187"/>
      <c r="P8" s="187"/>
      <c r="Q8" s="187"/>
      <c r="R8" s="187"/>
      <c r="S8" s="189"/>
      <c r="T8" s="187"/>
      <c r="U8" s="187"/>
      <c r="V8" s="187"/>
      <c r="W8" s="187"/>
      <c r="X8" s="187"/>
      <c r="Y8" s="187"/>
      <c r="Z8" s="187"/>
      <c r="AA8" s="187"/>
      <c r="AB8" s="187"/>
    </row>
    <row r="9" spans="1:28" ht="12.5" hidden="1">
      <c r="A9" s="5"/>
      <c r="B9" s="5"/>
      <c r="C9" s="5"/>
      <c r="D9" s="5"/>
      <c r="E9" s="439" t="s">
        <v>53</v>
      </c>
      <c r="F9" s="439" t="s">
        <v>1195</v>
      </c>
      <c r="G9" s="439" t="s">
        <v>247</v>
      </c>
      <c r="H9" s="187"/>
      <c r="I9" s="187"/>
      <c r="J9" s="187"/>
      <c r="K9" s="187"/>
      <c r="L9" s="441"/>
      <c r="M9" s="441"/>
      <c r="N9" s="187"/>
      <c r="O9" s="187"/>
      <c r="P9" s="187"/>
      <c r="Q9" s="187"/>
      <c r="R9" s="187"/>
      <c r="S9" s="189"/>
      <c r="T9" s="187"/>
      <c r="U9" s="187"/>
      <c r="V9" s="187"/>
      <c r="W9" s="187"/>
      <c r="X9" s="187"/>
      <c r="Y9" s="187"/>
      <c r="Z9" s="187"/>
      <c r="AA9" s="187"/>
      <c r="AB9" s="187"/>
    </row>
    <row r="10" spans="1:28" ht="50">
      <c r="A10" s="43"/>
      <c r="B10" s="43"/>
      <c r="C10" s="43"/>
      <c r="D10" s="43"/>
      <c r="E10" s="439" t="s">
        <v>53</v>
      </c>
      <c r="F10" s="439" t="s">
        <v>1956</v>
      </c>
      <c r="G10" s="439" t="s">
        <v>252</v>
      </c>
      <c r="H10" s="376"/>
      <c r="I10" s="439"/>
      <c r="J10" s="439"/>
      <c r="K10" s="439" t="s">
        <v>682</v>
      </c>
      <c r="L10" s="441" t="s">
        <v>3289</v>
      </c>
      <c r="M10" s="441" t="s">
        <v>3290</v>
      </c>
      <c r="N10" s="439"/>
      <c r="O10" s="187"/>
      <c r="P10" s="187"/>
      <c r="Q10" s="187"/>
      <c r="R10" s="187"/>
      <c r="S10" s="189"/>
      <c r="T10" s="187"/>
      <c r="U10" s="187"/>
      <c r="V10" s="187"/>
      <c r="W10" s="187"/>
      <c r="X10" s="187"/>
      <c r="Y10" s="187"/>
      <c r="Z10" s="187"/>
      <c r="AA10" s="461"/>
      <c r="AB10" s="461"/>
    </row>
    <row r="11" spans="1:28" ht="50">
      <c r="A11" s="43"/>
      <c r="B11" s="43"/>
      <c r="C11" s="43"/>
      <c r="D11" s="43"/>
      <c r="E11" s="439" t="s">
        <v>53</v>
      </c>
      <c r="F11" s="439" t="s">
        <v>1957</v>
      </c>
      <c r="G11" s="439" t="s">
        <v>252</v>
      </c>
      <c r="H11" s="376"/>
      <c r="I11" s="439"/>
      <c r="J11" s="439"/>
      <c r="K11" s="439" t="s">
        <v>682</v>
      </c>
      <c r="L11" s="441" t="s">
        <v>3289</v>
      </c>
      <c r="M11" s="441" t="s">
        <v>3291</v>
      </c>
      <c r="N11" s="439"/>
      <c r="O11" s="187"/>
      <c r="P11" s="187"/>
      <c r="Q11" s="187"/>
      <c r="R11" s="187"/>
      <c r="S11" s="189"/>
      <c r="T11" s="187"/>
      <c r="U11" s="187"/>
      <c r="V11" s="187"/>
      <c r="W11" s="187"/>
      <c r="X11" s="187"/>
      <c r="Y11" s="187"/>
      <c r="Z11" s="187"/>
      <c r="AA11" s="461"/>
      <c r="AB11" s="461"/>
    </row>
    <row r="12" spans="1:28" ht="12.5" hidden="1">
      <c r="A12" s="5"/>
      <c r="B12" s="5"/>
      <c r="C12" s="5"/>
      <c r="D12" s="5"/>
      <c r="E12" s="439" t="s">
        <v>53</v>
      </c>
      <c r="F12" s="439" t="s">
        <v>1196</v>
      </c>
      <c r="G12" s="439" t="s">
        <v>535</v>
      </c>
      <c r="H12" s="376"/>
      <c r="I12" s="439"/>
      <c r="J12" s="187"/>
      <c r="K12" s="187"/>
      <c r="L12" s="441"/>
      <c r="M12" s="441"/>
      <c r="N12" s="187"/>
      <c r="O12" s="187"/>
      <c r="P12" s="187"/>
      <c r="Q12" s="187"/>
      <c r="R12" s="187"/>
      <c r="S12" s="189"/>
      <c r="T12" s="187"/>
      <c r="U12" s="187"/>
      <c r="V12" s="187"/>
      <c r="W12" s="187"/>
      <c r="X12" s="187"/>
      <c r="Y12" s="187"/>
      <c r="Z12" s="187"/>
      <c r="AA12" s="187"/>
      <c r="AB12" s="187"/>
    </row>
    <row r="13" spans="1:28" ht="68.25" customHeight="1">
      <c r="A13" s="5"/>
      <c r="B13" s="5"/>
      <c r="C13" s="5"/>
      <c r="D13" s="5"/>
      <c r="E13" s="439" t="s">
        <v>61</v>
      </c>
      <c r="F13" s="439" t="s">
        <v>3275</v>
      </c>
      <c r="G13" s="439" t="s">
        <v>535</v>
      </c>
      <c r="H13" s="376"/>
      <c r="I13" s="439"/>
      <c r="J13" s="439"/>
      <c r="K13" s="439" t="s">
        <v>682</v>
      </c>
      <c r="L13" s="441" t="s">
        <v>3289</v>
      </c>
      <c r="M13" s="441" t="s">
        <v>3292</v>
      </c>
      <c r="N13" s="441"/>
      <c r="O13" s="187"/>
      <c r="P13" s="187"/>
      <c r="Q13" s="187"/>
      <c r="R13" s="187"/>
      <c r="S13" s="189"/>
      <c r="T13" s="187"/>
      <c r="U13" s="187"/>
      <c r="V13" s="187"/>
      <c r="W13" s="187"/>
      <c r="X13" s="187"/>
      <c r="Y13" s="187"/>
      <c r="Z13" s="187"/>
      <c r="AA13" s="187"/>
      <c r="AB13" s="187"/>
    </row>
    <row r="14" spans="1:28" ht="50">
      <c r="A14" s="5"/>
      <c r="B14" s="5"/>
      <c r="C14" s="5"/>
      <c r="D14" s="5"/>
      <c r="E14" s="439" t="s">
        <v>55</v>
      </c>
      <c r="F14" s="439" t="s">
        <v>3004</v>
      </c>
      <c r="G14" s="439" t="s">
        <v>3277</v>
      </c>
      <c r="H14" s="376"/>
      <c r="I14" s="439"/>
      <c r="J14" s="439"/>
      <c r="K14" s="439" t="s">
        <v>682</v>
      </c>
      <c r="L14" s="441" t="s">
        <v>3289</v>
      </c>
      <c r="M14" s="441" t="s">
        <v>490</v>
      </c>
      <c r="N14" s="441"/>
      <c r="O14" s="187"/>
      <c r="P14" s="187"/>
      <c r="Q14" s="187"/>
      <c r="R14" s="187"/>
      <c r="S14" s="189"/>
      <c r="T14" s="187"/>
      <c r="U14" s="187"/>
      <c r="V14" s="187"/>
      <c r="W14" s="187"/>
      <c r="X14" s="187"/>
      <c r="Y14" s="187"/>
      <c r="Z14" s="187"/>
      <c r="AA14" s="187"/>
      <c r="AB14" s="187"/>
    </row>
    <row r="15" spans="1:28" ht="105.75" customHeight="1">
      <c r="A15" s="5"/>
      <c r="B15" s="5"/>
      <c r="C15" s="5"/>
      <c r="D15" s="5"/>
      <c r="E15" s="439" t="s">
        <v>55</v>
      </c>
      <c r="F15" s="439" t="s">
        <v>3278</v>
      </c>
      <c r="G15" s="439" t="s">
        <v>1855</v>
      </c>
      <c r="H15" s="376"/>
      <c r="I15" s="439"/>
      <c r="J15" s="439"/>
      <c r="K15" s="439" t="s">
        <v>682</v>
      </c>
      <c r="L15" s="441" t="s">
        <v>3289</v>
      </c>
      <c r="M15" t="s">
        <v>3293</v>
      </c>
      <c r="N15" s="532"/>
      <c r="O15" s="187"/>
      <c r="P15" s="187"/>
      <c r="Q15" s="187"/>
      <c r="R15" s="187"/>
      <c r="S15" s="189"/>
      <c r="T15" s="187"/>
      <c r="U15" s="187"/>
      <c r="V15" s="187"/>
      <c r="W15" s="187"/>
      <c r="X15" s="187"/>
      <c r="Y15" s="187"/>
      <c r="Z15" s="187"/>
      <c r="AA15" s="187"/>
      <c r="AB15" s="187"/>
    </row>
    <row r="16" spans="1:28" ht="12.5" hidden="1">
      <c r="A16" s="5"/>
      <c r="B16" s="5"/>
      <c r="C16" s="5"/>
      <c r="D16" s="5"/>
      <c r="E16" s="439" t="s">
        <v>53</v>
      </c>
      <c r="F16" s="439" t="s">
        <v>124</v>
      </c>
      <c r="G16" s="439" t="s">
        <v>535</v>
      </c>
      <c r="H16" s="440"/>
      <c r="I16" s="439"/>
      <c r="J16" s="187"/>
      <c r="K16" s="187"/>
      <c r="L16" s="441"/>
      <c r="M16" s="441"/>
      <c r="N16" s="187"/>
      <c r="O16" s="187"/>
      <c r="P16" s="187"/>
      <c r="Q16" s="187"/>
      <c r="R16" s="187"/>
      <c r="S16" s="189"/>
      <c r="T16" s="187"/>
      <c r="U16" s="187"/>
      <c r="V16" s="187"/>
      <c r="W16" s="187"/>
      <c r="X16" s="187"/>
      <c r="Y16" s="187"/>
      <c r="Z16" s="187"/>
      <c r="AA16" s="187"/>
      <c r="AB16" s="187"/>
    </row>
    <row r="17" spans="1:28" ht="87.5">
      <c r="A17" s="5"/>
      <c r="B17" s="5"/>
      <c r="C17" s="5"/>
      <c r="D17" s="5"/>
      <c r="E17" s="439" t="s">
        <v>61</v>
      </c>
      <c r="F17" s="439" t="s">
        <v>3281</v>
      </c>
      <c r="G17" s="439" t="s">
        <v>535</v>
      </c>
      <c r="H17" s="376"/>
      <c r="I17" s="439"/>
      <c r="J17" s="439"/>
      <c r="K17" s="439" t="s">
        <v>682</v>
      </c>
      <c r="L17" s="441" t="s">
        <v>3289</v>
      </c>
      <c r="M17" s="441" t="s">
        <v>3282</v>
      </c>
      <c r="N17" s="468"/>
      <c r="O17" s="187"/>
      <c r="P17" s="187"/>
      <c r="Q17" s="187"/>
      <c r="R17" s="187"/>
      <c r="S17" s="189"/>
      <c r="T17" s="187"/>
      <c r="U17" s="187"/>
      <c r="V17" s="187"/>
      <c r="W17" s="187"/>
      <c r="X17" s="187"/>
      <c r="Y17" s="187"/>
      <c r="Z17" s="187"/>
      <c r="AA17" s="187"/>
      <c r="AB17" s="187"/>
    </row>
    <row r="18" spans="1:28" ht="50">
      <c r="A18" s="5"/>
      <c r="B18" s="5"/>
      <c r="C18" s="5"/>
      <c r="D18" s="5"/>
      <c r="E18" s="439" t="s">
        <v>61</v>
      </c>
      <c r="F18" s="439" t="s">
        <v>3283</v>
      </c>
      <c r="G18" s="439" t="s">
        <v>1855</v>
      </c>
      <c r="H18" s="376"/>
      <c r="I18" s="439"/>
      <c r="J18" s="439"/>
      <c r="K18" s="439" t="s">
        <v>682</v>
      </c>
      <c r="L18" s="441" t="s">
        <v>3289</v>
      </c>
      <c r="M18" s="441" t="s">
        <v>3294</v>
      </c>
      <c r="N18" s="441"/>
      <c r="O18" s="187"/>
      <c r="P18" s="187"/>
      <c r="Q18" s="187"/>
      <c r="R18" s="187"/>
      <c r="S18" s="189"/>
      <c r="T18" s="187"/>
      <c r="U18" s="187"/>
      <c r="V18" s="187"/>
      <c r="W18" s="187"/>
      <c r="X18" s="187"/>
      <c r="Y18" s="187"/>
      <c r="Z18" s="187"/>
      <c r="AA18" s="187"/>
      <c r="AB18" s="187"/>
    </row>
    <row r="19" spans="1:28" ht="100">
      <c r="A19" s="5"/>
      <c r="B19" s="5"/>
      <c r="C19" s="5"/>
      <c r="D19" s="5"/>
      <c r="E19" s="439" t="s">
        <v>55</v>
      </c>
      <c r="F19" s="439" t="s">
        <v>3285</v>
      </c>
      <c r="G19" s="439" t="s">
        <v>535</v>
      </c>
      <c r="H19" s="440"/>
      <c r="I19" s="439"/>
      <c r="J19" s="439"/>
      <c r="K19" s="439" t="s">
        <v>682</v>
      </c>
      <c r="L19" s="441" t="s">
        <v>3289</v>
      </c>
      <c r="M19" s="441" t="s">
        <v>3295</v>
      </c>
      <c r="N19" s="441"/>
      <c r="O19" s="187"/>
      <c r="P19" s="187"/>
      <c r="Q19" s="187"/>
      <c r="R19" s="187"/>
      <c r="S19" s="189"/>
      <c r="T19" s="187"/>
      <c r="U19" s="187"/>
      <c r="V19" s="187"/>
      <c r="W19" s="187"/>
      <c r="X19" s="187"/>
      <c r="Y19" s="187"/>
      <c r="Z19" s="187"/>
      <c r="AA19" s="187"/>
      <c r="AB19" s="187"/>
    </row>
    <row r="20" spans="1:28" ht="50">
      <c r="A20" s="5"/>
      <c r="B20" s="5"/>
      <c r="C20" s="5"/>
      <c r="D20" s="5"/>
      <c r="E20" s="439" t="s">
        <v>55</v>
      </c>
      <c r="F20" s="439" t="s">
        <v>896</v>
      </c>
      <c r="G20" s="439" t="s">
        <v>535</v>
      </c>
      <c r="H20" s="376"/>
      <c r="I20" s="439"/>
      <c r="J20" s="439"/>
      <c r="K20" s="439" t="s">
        <v>682</v>
      </c>
      <c r="L20" s="441" t="s">
        <v>3289</v>
      </c>
      <c r="M20" s="441" t="s">
        <v>898</v>
      </c>
      <c r="N20" s="441"/>
      <c r="O20" s="187"/>
      <c r="P20" s="187"/>
      <c r="Q20" s="187"/>
      <c r="R20" s="187"/>
      <c r="S20" s="189"/>
      <c r="T20" s="187"/>
      <c r="U20" s="187"/>
      <c r="V20" s="187"/>
      <c r="W20" s="187"/>
      <c r="X20" s="187"/>
      <c r="Y20" s="187"/>
      <c r="Z20" s="187"/>
      <c r="AA20" s="187"/>
      <c r="AB20" s="187"/>
    </row>
    <row r="21" spans="1:28" ht="12.5">
      <c r="A21" s="5"/>
      <c r="B21" s="5"/>
      <c r="C21" s="5"/>
      <c r="D21" s="5"/>
      <c r="E21" s="439" t="s">
        <v>61</v>
      </c>
      <c r="F21" s="439" t="s">
        <v>123</v>
      </c>
      <c r="G21" s="439" t="s">
        <v>535</v>
      </c>
      <c r="H21" s="376"/>
      <c r="I21" s="439"/>
      <c r="J21" s="439"/>
      <c r="K21" s="439" t="s">
        <v>682</v>
      </c>
      <c r="L21" s="441" t="s">
        <v>1184</v>
      </c>
      <c r="M21" s="441" t="s">
        <v>3288</v>
      </c>
      <c r="N21" s="441"/>
      <c r="O21" s="187"/>
      <c r="P21" s="187"/>
      <c r="Q21" s="187"/>
      <c r="R21" s="187"/>
      <c r="S21" s="189"/>
      <c r="T21" s="187"/>
      <c r="U21" s="187"/>
      <c r="V21" s="187"/>
      <c r="W21" s="187"/>
      <c r="X21" s="187"/>
      <c r="Y21" s="187"/>
      <c r="Z21" s="187"/>
      <c r="AA21" s="187"/>
      <c r="AB21" s="187"/>
    </row>
    <row r="22" spans="1:28" ht="12.75" customHeight="1">
      <c r="A22" s="5"/>
      <c r="B22" s="5"/>
      <c r="C22" s="5"/>
      <c r="D22" s="5"/>
      <c r="E22" s="439"/>
      <c r="F22" s="439"/>
      <c r="G22" s="439"/>
      <c r="H22" s="376"/>
      <c r="I22" s="439"/>
      <c r="J22" s="187"/>
      <c r="K22" s="187"/>
      <c r="L22" s="441"/>
      <c r="M22" s="441"/>
      <c r="N22" s="188"/>
      <c r="O22" s="187"/>
      <c r="P22" s="187"/>
      <c r="Q22" s="187"/>
      <c r="R22" s="187"/>
      <c r="S22" s="189"/>
      <c r="T22" s="187"/>
      <c r="U22" s="187"/>
      <c r="V22" s="187"/>
      <c r="W22" s="187"/>
      <c r="X22" s="187"/>
      <c r="Y22" s="187"/>
      <c r="Z22" s="187"/>
      <c r="AA22" s="187"/>
      <c r="AB22" s="187"/>
    </row>
    <row r="23" spans="1:28" ht="12.75" customHeight="1">
      <c r="A23" s="5"/>
      <c r="B23" s="5"/>
      <c r="C23" s="5"/>
      <c r="D23" s="5"/>
      <c r="E23" s="439"/>
      <c r="F23" s="439"/>
      <c r="G23" s="439"/>
      <c r="H23" s="376"/>
      <c r="I23" s="439"/>
      <c r="J23" s="187"/>
      <c r="K23" s="187"/>
      <c r="L23" s="441"/>
      <c r="M23" s="441"/>
      <c r="N23" s="188"/>
      <c r="O23" s="187"/>
      <c r="P23" s="187"/>
      <c r="Q23" s="187"/>
      <c r="R23" s="187"/>
      <c r="S23" s="189"/>
      <c r="T23" s="187"/>
      <c r="U23" s="187"/>
      <c r="V23" s="187"/>
      <c r="W23" s="187"/>
      <c r="X23" s="187"/>
      <c r="Y23" s="187"/>
      <c r="Z23" s="187"/>
      <c r="AA23" s="187"/>
      <c r="AB23" s="187"/>
    </row>
    <row r="24" spans="1:28" s="551" customFormat="1" ht="18.75" customHeight="1">
      <c r="A24" s="5"/>
      <c r="B24" s="5"/>
      <c r="C24" s="5"/>
      <c r="D24" s="5"/>
      <c r="E24" s="545" t="s">
        <v>3296</v>
      </c>
      <c r="F24" s="545"/>
      <c r="G24" s="545"/>
      <c r="H24" s="546"/>
      <c r="I24" s="545"/>
      <c r="J24" s="547"/>
      <c r="K24" s="547"/>
      <c r="L24" s="548"/>
      <c r="M24" s="548"/>
      <c r="N24" s="549"/>
      <c r="O24" s="547"/>
      <c r="P24" s="547"/>
      <c r="Q24" s="547"/>
      <c r="R24" s="547"/>
      <c r="S24" s="550"/>
      <c r="T24" s="547"/>
      <c r="U24" s="547"/>
      <c r="V24" s="547"/>
      <c r="W24" s="547"/>
      <c r="X24" s="547"/>
      <c r="Y24" s="547"/>
      <c r="Z24" s="547"/>
      <c r="AA24" s="547"/>
      <c r="AB24" s="547"/>
    </row>
    <row r="25" spans="1:28" ht="12.75" customHeight="1">
      <c r="A25" s="5"/>
      <c r="B25" s="5"/>
      <c r="C25" s="5"/>
      <c r="D25" s="5"/>
      <c r="E25" s="439" t="s">
        <v>3297</v>
      </c>
      <c r="F25" s="439"/>
      <c r="G25" s="439"/>
      <c r="H25" s="376"/>
      <c r="I25" s="439"/>
      <c r="J25" s="187"/>
      <c r="K25" s="187"/>
      <c r="L25" s="441"/>
      <c r="M25" s="441"/>
      <c r="N25" s="188"/>
      <c r="O25" s="187"/>
      <c r="P25" s="187"/>
      <c r="Q25" s="187"/>
      <c r="R25" s="187"/>
      <c r="S25" s="189"/>
      <c r="T25" s="187"/>
      <c r="U25" s="187"/>
      <c r="V25" s="187"/>
      <c r="W25" s="187"/>
      <c r="X25" s="187"/>
      <c r="Y25" s="187"/>
      <c r="Z25" s="187"/>
      <c r="AA25" s="187"/>
      <c r="AB25" s="187"/>
    </row>
    <row r="26" spans="1:28" ht="12.75" customHeight="1">
      <c r="A26" s="5"/>
      <c r="B26" s="5"/>
      <c r="C26" s="5"/>
      <c r="D26" s="5"/>
      <c r="E26" s="439"/>
      <c r="F26" s="439"/>
      <c r="G26" s="439"/>
      <c r="H26" s="376"/>
      <c r="I26" s="439"/>
      <c r="J26" s="187"/>
      <c r="K26" s="187"/>
      <c r="L26" s="441"/>
      <c r="M26" s="441"/>
      <c r="N26" s="188"/>
      <c r="O26" s="187"/>
      <c r="P26" s="187"/>
      <c r="Q26" s="187"/>
      <c r="R26" s="187"/>
      <c r="S26" s="189"/>
      <c r="T26" s="187"/>
      <c r="U26" s="187"/>
      <c r="V26" s="187"/>
      <c r="W26" s="187"/>
      <c r="X26" s="187"/>
      <c r="Y26" s="187"/>
      <c r="Z26" s="187"/>
      <c r="AA26" s="187"/>
      <c r="AB26" s="187"/>
    </row>
    <row r="27" spans="1:28" ht="12.75" customHeight="1">
      <c r="A27" s="5"/>
      <c r="B27" s="5"/>
      <c r="C27" s="5"/>
      <c r="D27" s="5"/>
      <c r="E27" s="439" t="s">
        <v>3298</v>
      </c>
      <c r="F27" s="439"/>
      <c r="G27" s="439"/>
      <c r="H27" s="376"/>
      <c r="I27" s="439"/>
      <c r="J27" s="187"/>
      <c r="K27" s="187"/>
      <c r="L27" s="441"/>
      <c r="M27" s="441"/>
      <c r="N27" s="188"/>
      <c r="O27" s="187"/>
      <c r="P27" s="187"/>
      <c r="Q27" s="187"/>
      <c r="R27" s="187"/>
      <c r="S27" s="189"/>
      <c r="T27" s="187"/>
      <c r="U27" s="187"/>
      <c r="V27" s="187"/>
      <c r="W27" s="187"/>
      <c r="X27" s="187"/>
      <c r="Y27" s="187"/>
      <c r="Z27" s="187"/>
      <c r="AA27" s="187"/>
      <c r="AB27" s="187"/>
    </row>
    <row r="28" spans="1:28" ht="12.75" customHeight="1">
      <c r="A28" s="5"/>
      <c r="B28" s="5"/>
      <c r="C28" s="5"/>
      <c r="D28" s="5"/>
      <c r="E28" s="439" t="s">
        <v>3299</v>
      </c>
      <c r="F28" s="439"/>
      <c r="G28" s="439"/>
      <c r="H28" s="376"/>
      <c r="I28" s="439"/>
      <c r="J28" s="187"/>
      <c r="K28" s="187"/>
      <c r="L28" s="441"/>
      <c r="M28" s="441"/>
      <c r="N28" s="188"/>
      <c r="O28" s="187"/>
      <c r="P28" s="187"/>
      <c r="Q28" s="187"/>
      <c r="R28" s="187"/>
      <c r="S28" s="189"/>
      <c r="T28" s="187"/>
      <c r="U28" s="187"/>
      <c r="V28" s="187"/>
      <c r="W28" s="187"/>
      <c r="X28" s="187"/>
      <c r="Y28" s="187"/>
      <c r="Z28" s="187"/>
      <c r="AA28" s="187"/>
      <c r="AB28" s="187"/>
    </row>
    <row r="29" spans="1:28" ht="12.75" customHeight="1">
      <c r="A29" s="5"/>
      <c r="B29" s="5"/>
      <c r="C29" s="5"/>
      <c r="D29" s="5"/>
      <c r="E29" s="439" t="s">
        <v>3300</v>
      </c>
      <c r="F29" s="439"/>
      <c r="G29" s="439"/>
      <c r="H29" s="376"/>
      <c r="I29" s="439"/>
      <c r="J29" s="187"/>
      <c r="K29" s="187"/>
      <c r="L29" s="441"/>
      <c r="M29" s="441"/>
      <c r="N29" s="188"/>
      <c r="O29" s="187"/>
      <c r="P29" s="187"/>
      <c r="Q29" s="187"/>
      <c r="R29" s="187"/>
      <c r="S29" s="189"/>
      <c r="T29" s="187"/>
      <c r="U29" s="187"/>
      <c r="V29" s="187"/>
      <c r="W29" s="187"/>
      <c r="X29" s="187"/>
      <c r="Y29" s="187"/>
      <c r="Z29" s="187"/>
      <c r="AA29" s="187"/>
      <c r="AB29" s="187"/>
    </row>
    <row r="30" spans="1:28" ht="12.75" customHeight="1">
      <c r="A30" s="5"/>
      <c r="B30" s="5"/>
      <c r="C30" s="5"/>
      <c r="D30" s="5"/>
      <c r="E30" s="439" t="s">
        <v>3301</v>
      </c>
      <c r="F30" s="439"/>
      <c r="G30" s="439"/>
      <c r="H30" s="376"/>
      <c r="I30" s="439"/>
      <c r="J30" s="187"/>
      <c r="K30" s="187"/>
      <c r="L30" s="441"/>
      <c r="M30" s="441"/>
      <c r="N30" s="188"/>
      <c r="O30" s="187"/>
      <c r="P30" s="187"/>
      <c r="Q30" s="187"/>
      <c r="R30" s="187"/>
      <c r="S30" s="189"/>
      <c r="T30" s="187"/>
      <c r="U30" s="187"/>
      <c r="V30" s="187"/>
      <c r="W30" s="187"/>
      <c r="X30" s="187"/>
      <c r="Y30" s="187"/>
      <c r="Z30" s="187"/>
      <c r="AA30" s="187"/>
      <c r="AB30" s="187"/>
    </row>
  </sheetData>
  <autoFilter ref="A3:AB21" xr:uid="{00000000-0009-0000-0000-000012000000}">
    <filterColumn colId="10">
      <filters>
        <filter val="Y"/>
      </filters>
    </filterColumn>
  </autoFilter>
  <pageMargins left="0.7" right="0.7" top="0.75" bottom="0.75" header="0" footer="0"/>
  <pageSetup orientation="landscape"/>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CA78F6-7F46-4BF0-837C-462ABCA700EB}">
  <sheetPr filterMode="1">
    <outlinePr summaryBelow="0" summaryRight="0"/>
  </sheetPr>
  <dimension ref="A2:AB21"/>
  <sheetViews>
    <sheetView workbookViewId="0">
      <pane xSplit="2" ySplit="3" topLeftCell="E10" activePane="bottomRight" state="frozen"/>
      <selection pane="topRight" activeCell="C1" sqref="C1"/>
      <selection pane="bottomLeft" activeCell="A5" sqref="A5"/>
      <selection pane="bottomRight" activeCell="I37" sqref="I37"/>
    </sheetView>
  </sheetViews>
  <sheetFormatPr defaultColWidth="14.453125" defaultRowHeight="15" customHeight="1"/>
  <cols>
    <col min="1" max="4" width="17.26953125" hidden="1" customWidth="1"/>
    <col min="5" max="5" width="12.453125" customWidth="1"/>
    <col min="6" max="6" width="36" customWidth="1"/>
    <col min="7" max="7" width="22.26953125" customWidth="1"/>
    <col min="8" max="8" width="12.1796875" customWidth="1"/>
    <col min="9" max="9" width="12.7265625" customWidth="1"/>
    <col min="10" max="10" width="7.81640625" customWidth="1"/>
    <col min="11" max="11" width="13.26953125" customWidth="1"/>
    <col min="12" max="12" width="22.81640625" customWidth="1"/>
    <col min="13" max="13" width="55.26953125" customWidth="1"/>
    <col min="14" max="14" width="41.81640625" customWidth="1"/>
    <col min="15" max="15" width="15.7265625" customWidth="1"/>
    <col min="16" max="17" width="12.7265625" customWidth="1"/>
    <col min="18" max="18" width="15.7265625" customWidth="1"/>
    <col min="19" max="19" width="15.1796875" customWidth="1"/>
    <col min="20" max="20" width="32.453125" customWidth="1"/>
    <col min="21" max="23" width="9.1796875" customWidth="1"/>
    <col min="24" max="24" width="6.26953125" customWidth="1"/>
    <col min="25" max="25" width="16.1796875" customWidth="1"/>
    <col min="26" max="26" width="38.7265625" customWidth="1"/>
    <col min="27" max="27" width="14.7265625" customWidth="1"/>
    <col min="28" max="28" width="48.7265625" customWidth="1"/>
  </cols>
  <sheetData>
    <row r="2" spans="1:28" ht="13">
      <c r="A2" s="5"/>
      <c r="B2" s="5"/>
      <c r="C2" s="5"/>
      <c r="D2" s="5"/>
      <c r="E2" s="518" t="s">
        <v>3009</v>
      </c>
      <c r="F2" s="519"/>
      <c r="G2" s="519"/>
      <c r="H2" s="520"/>
      <c r="I2" s="519"/>
      <c r="J2" s="519"/>
      <c r="K2" s="521" t="s">
        <v>1038</v>
      </c>
      <c r="L2" s="522"/>
      <c r="M2" s="522"/>
      <c r="N2" s="523"/>
      <c r="O2" s="521"/>
      <c r="P2" s="521"/>
      <c r="Q2" s="521"/>
      <c r="R2" s="519"/>
      <c r="S2" s="520"/>
      <c r="T2" s="519"/>
      <c r="U2" s="519"/>
      <c r="V2" s="178"/>
      <c r="W2" s="178"/>
      <c r="X2" s="524"/>
      <c r="Y2" s="524"/>
      <c r="Z2" s="525" t="s">
        <v>1039</v>
      </c>
      <c r="AA2" s="526"/>
      <c r="AB2" s="527"/>
    </row>
    <row r="3" spans="1:28" ht="13">
      <c r="A3" s="5"/>
      <c r="B3" s="5"/>
      <c r="C3" s="5"/>
      <c r="D3" s="5"/>
      <c r="E3" s="521" t="s">
        <v>224</v>
      </c>
      <c r="F3" s="521" t="s">
        <v>225</v>
      </c>
      <c r="G3" s="521" t="s">
        <v>226</v>
      </c>
      <c r="H3" s="528" t="s">
        <v>227</v>
      </c>
      <c r="I3" s="521" t="s">
        <v>1044</v>
      </c>
      <c r="J3" s="521" t="s">
        <v>1045</v>
      </c>
      <c r="K3" s="521" t="s">
        <v>1046</v>
      </c>
      <c r="L3" s="522" t="s">
        <v>100</v>
      </c>
      <c r="M3" s="522" t="s">
        <v>101</v>
      </c>
      <c r="N3" s="523" t="s">
        <v>105</v>
      </c>
      <c r="O3" s="521" t="s">
        <v>102</v>
      </c>
      <c r="P3" s="521" t="s">
        <v>103</v>
      </c>
      <c r="Q3" s="521" t="s">
        <v>104</v>
      </c>
      <c r="R3" s="521" t="s">
        <v>111</v>
      </c>
      <c r="S3" s="528" t="s">
        <v>112</v>
      </c>
      <c r="T3" s="521" t="s">
        <v>113</v>
      </c>
      <c r="U3" s="303"/>
      <c r="V3" s="287"/>
      <c r="W3" s="288"/>
      <c r="X3" s="529" t="s">
        <v>1049</v>
      </c>
      <c r="Y3" s="529" t="s">
        <v>1050</v>
      </c>
      <c r="Z3" s="529" t="s">
        <v>237</v>
      </c>
      <c r="AA3" s="530" t="s">
        <v>1</v>
      </c>
      <c r="AB3" s="531" t="s">
        <v>238</v>
      </c>
    </row>
    <row r="4" spans="1:28" ht="12.5" hidden="1">
      <c r="A4" s="5"/>
      <c r="B4" s="5"/>
      <c r="C4" s="5"/>
      <c r="D4" s="5"/>
      <c r="E4" s="439" t="s">
        <v>53</v>
      </c>
      <c r="F4" s="439" t="s">
        <v>1406</v>
      </c>
      <c r="G4" s="439" t="s">
        <v>535</v>
      </c>
      <c r="H4" s="189"/>
      <c r="I4" s="187"/>
      <c r="J4" s="187"/>
      <c r="K4" s="187"/>
      <c r="L4" s="441"/>
      <c r="M4" s="441"/>
      <c r="N4" s="187"/>
      <c r="O4" s="187"/>
      <c r="P4" s="187"/>
      <c r="Q4" s="187"/>
      <c r="R4" s="187"/>
      <c r="S4" s="189"/>
      <c r="T4" s="187"/>
      <c r="U4" s="187"/>
      <c r="V4" s="187"/>
      <c r="W4" s="187"/>
      <c r="X4" s="187"/>
      <c r="Y4" s="187"/>
      <c r="Z4" s="187"/>
      <c r="AA4" s="187"/>
      <c r="AB4" s="187"/>
    </row>
    <row r="5" spans="1:28" ht="12.5" hidden="1">
      <c r="A5" s="5"/>
      <c r="B5" s="5"/>
      <c r="C5" s="5"/>
      <c r="D5" s="5"/>
      <c r="E5" s="439" t="s">
        <v>53</v>
      </c>
      <c r="F5" s="439" t="s">
        <v>1191</v>
      </c>
      <c r="G5" s="439" t="s">
        <v>252</v>
      </c>
      <c r="H5" s="189"/>
      <c r="I5" s="187"/>
      <c r="J5" s="187"/>
      <c r="K5" s="187"/>
      <c r="L5" s="441"/>
      <c r="M5" s="441"/>
      <c r="N5" s="187"/>
      <c r="O5" s="187"/>
      <c r="P5" s="187"/>
      <c r="Q5" s="187"/>
      <c r="R5" s="187"/>
      <c r="S5" s="189"/>
      <c r="T5" s="187"/>
      <c r="U5" s="187"/>
      <c r="V5" s="187"/>
      <c r="W5" s="187"/>
      <c r="X5" s="187"/>
      <c r="Y5" s="187"/>
      <c r="Z5" s="187"/>
      <c r="AA5" s="187"/>
      <c r="AB5" s="187"/>
    </row>
    <row r="6" spans="1:28" ht="12.5" hidden="1">
      <c r="A6" s="5"/>
      <c r="B6" s="5"/>
      <c r="C6" s="5"/>
      <c r="D6" s="5"/>
      <c r="E6" s="439" t="s">
        <v>53</v>
      </c>
      <c r="F6" s="439" t="s">
        <v>1192</v>
      </c>
      <c r="G6" s="439" t="s">
        <v>242</v>
      </c>
      <c r="H6" s="189"/>
      <c r="I6" s="187"/>
      <c r="J6" s="187"/>
      <c r="K6" s="187"/>
      <c r="L6" s="441"/>
      <c r="M6" s="441"/>
      <c r="N6" s="187"/>
      <c r="O6" s="187"/>
      <c r="P6" s="187"/>
      <c r="Q6" s="187"/>
      <c r="R6" s="187"/>
      <c r="S6" s="189"/>
      <c r="T6" s="187"/>
      <c r="U6" s="187"/>
      <c r="V6" s="187"/>
      <c r="W6" s="187"/>
      <c r="X6" s="187"/>
      <c r="Y6" s="187"/>
      <c r="Z6" s="187"/>
      <c r="AA6" s="187"/>
      <c r="AB6" s="187"/>
    </row>
    <row r="7" spans="1:28" ht="12.5" hidden="1">
      <c r="A7" s="5"/>
      <c r="B7" s="5"/>
      <c r="C7" s="5"/>
      <c r="D7" s="5"/>
      <c r="E7" s="439" t="s">
        <v>53</v>
      </c>
      <c r="F7" s="439" t="s">
        <v>1193</v>
      </c>
      <c r="G7" s="439" t="s">
        <v>249</v>
      </c>
      <c r="H7" s="189"/>
      <c r="I7" s="187"/>
      <c r="J7" s="187"/>
      <c r="K7" s="187"/>
      <c r="L7" s="441"/>
      <c r="M7" s="441"/>
      <c r="N7" s="187"/>
      <c r="O7" s="187"/>
      <c r="P7" s="187"/>
      <c r="Q7" s="187"/>
      <c r="R7" s="187"/>
      <c r="S7" s="189"/>
      <c r="T7" s="187"/>
      <c r="U7" s="187"/>
      <c r="V7" s="187"/>
      <c r="W7" s="187"/>
      <c r="X7" s="187"/>
      <c r="Y7" s="187"/>
      <c r="Z7" s="187"/>
      <c r="AA7" s="187"/>
      <c r="AB7" s="187"/>
    </row>
    <row r="8" spans="1:28" ht="12.5" hidden="1">
      <c r="A8" s="5"/>
      <c r="B8" s="5"/>
      <c r="C8" s="5"/>
      <c r="D8" s="5"/>
      <c r="E8" s="439" t="s">
        <v>53</v>
      </c>
      <c r="F8" s="186" t="s">
        <v>1194</v>
      </c>
      <c r="G8" s="376" t="s">
        <v>252</v>
      </c>
      <c r="H8" s="189"/>
      <c r="I8" s="187"/>
      <c r="J8" s="187"/>
      <c r="K8" s="187"/>
      <c r="L8" s="441"/>
      <c r="M8" s="441"/>
      <c r="N8" s="187"/>
      <c r="O8" s="187"/>
      <c r="P8" s="187"/>
      <c r="Q8" s="187"/>
      <c r="R8" s="187"/>
      <c r="S8" s="189"/>
      <c r="T8" s="187"/>
      <c r="U8" s="187"/>
      <c r="V8" s="187"/>
      <c r="W8" s="187"/>
      <c r="X8" s="187"/>
      <c r="Y8" s="187"/>
      <c r="Z8" s="187"/>
      <c r="AA8" s="187"/>
      <c r="AB8" s="187"/>
    </row>
    <row r="9" spans="1:28" ht="12.5" hidden="1">
      <c r="A9" s="5"/>
      <c r="B9" s="5"/>
      <c r="C9" s="5"/>
      <c r="D9" s="5"/>
      <c r="E9" s="439" t="s">
        <v>53</v>
      </c>
      <c r="F9" s="439" t="s">
        <v>1195</v>
      </c>
      <c r="G9" s="439" t="s">
        <v>247</v>
      </c>
      <c r="H9" s="187"/>
      <c r="I9" s="187"/>
      <c r="J9" s="187"/>
      <c r="K9" s="187"/>
      <c r="L9" s="441"/>
      <c r="M9" s="441"/>
      <c r="N9" s="187"/>
      <c r="O9" s="187"/>
      <c r="P9" s="187"/>
      <c r="Q9" s="187"/>
      <c r="R9" s="187"/>
      <c r="S9" s="189"/>
      <c r="T9" s="187"/>
      <c r="U9" s="187"/>
      <c r="V9" s="187"/>
      <c r="W9" s="187"/>
      <c r="X9" s="187"/>
      <c r="Y9" s="187"/>
      <c r="Z9" s="187"/>
      <c r="AA9" s="187"/>
      <c r="AB9" s="187"/>
    </row>
    <row r="10" spans="1:28" ht="12.5">
      <c r="A10" s="43"/>
      <c r="B10" s="43"/>
      <c r="C10" s="43"/>
      <c r="D10" s="43"/>
      <c r="E10" s="439" t="s">
        <v>53</v>
      </c>
      <c r="F10" s="439" t="s">
        <v>1956</v>
      </c>
      <c r="G10" s="439" t="s">
        <v>252</v>
      </c>
      <c r="H10" s="376"/>
      <c r="I10" s="439"/>
      <c r="J10" s="439"/>
      <c r="K10" s="439" t="s">
        <v>682</v>
      </c>
      <c r="L10" s="441" t="s">
        <v>1184</v>
      </c>
      <c r="M10" s="441" t="s">
        <v>3302</v>
      </c>
      <c r="N10" s="439"/>
      <c r="O10" s="187"/>
      <c r="P10" s="187"/>
      <c r="Q10" s="187"/>
      <c r="R10" s="187"/>
      <c r="S10" s="189"/>
      <c r="T10" s="187"/>
      <c r="U10" s="187"/>
      <c r="V10" s="187"/>
      <c r="W10" s="187"/>
      <c r="X10" s="187"/>
      <c r="Y10" s="187"/>
      <c r="Z10" s="187"/>
      <c r="AA10" s="461"/>
      <c r="AB10" s="461"/>
    </row>
    <row r="11" spans="1:28" ht="12.5" hidden="1">
      <c r="A11" s="43"/>
      <c r="B11" s="43"/>
      <c r="C11" s="43"/>
      <c r="D11" s="43"/>
      <c r="E11" s="439" t="s">
        <v>53</v>
      </c>
      <c r="F11" s="439" t="s">
        <v>1957</v>
      </c>
      <c r="G11" s="439" t="s">
        <v>252</v>
      </c>
      <c r="H11" s="376"/>
      <c r="I11" s="439"/>
      <c r="J11" s="439"/>
      <c r="K11" s="439" t="s">
        <v>680</v>
      </c>
      <c r="L11" s="441"/>
      <c r="M11" s="441"/>
      <c r="N11" s="439"/>
      <c r="O11" s="187"/>
      <c r="P11" s="187"/>
      <c r="Q11" s="187"/>
      <c r="R11" s="187"/>
      <c r="S11" s="189"/>
      <c r="T11" s="187"/>
      <c r="U11" s="187"/>
      <c r="V11" s="187"/>
      <c r="W11" s="187"/>
      <c r="X11" s="187"/>
      <c r="Y11" s="187"/>
      <c r="Z11" s="187"/>
      <c r="AA11" s="461"/>
      <c r="AB11" s="461"/>
    </row>
    <row r="12" spans="1:28" ht="12.5" hidden="1">
      <c r="A12" s="5"/>
      <c r="B12" s="5"/>
      <c r="C12" s="5"/>
      <c r="D12" s="5"/>
      <c r="E12" s="439" t="s">
        <v>53</v>
      </c>
      <c r="F12" s="439" t="s">
        <v>1196</v>
      </c>
      <c r="G12" s="439" t="s">
        <v>535</v>
      </c>
      <c r="H12" s="376"/>
      <c r="I12" s="439"/>
      <c r="J12" s="187"/>
      <c r="K12" s="187"/>
      <c r="L12" s="441"/>
      <c r="M12" s="441"/>
      <c r="N12" s="187"/>
      <c r="O12" s="187"/>
      <c r="P12" s="187"/>
      <c r="Q12" s="187"/>
      <c r="R12" s="187"/>
      <c r="S12" s="189"/>
      <c r="T12" s="187"/>
      <c r="U12" s="187"/>
      <c r="V12" s="187"/>
      <c r="W12" s="187"/>
      <c r="X12" s="187"/>
      <c r="Y12" s="187"/>
      <c r="Z12" s="187"/>
      <c r="AA12" s="187"/>
      <c r="AB12" s="187"/>
    </row>
    <row r="13" spans="1:28" ht="12.5">
      <c r="A13" s="5"/>
      <c r="B13" s="5"/>
      <c r="C13" s="5"/>
      <c r="D13" s="5"/>
      <c r="E13" s="439" t="s">
        <v>61</v>
      </c>
      <c r="F13" s="439" t="s">
        <v>3275</v>
      </c>
      <c r="G13" s="439" t="s">
        <v>535</v>
      </c>
      <c r="H13" s="376"/>
      <c r="I13" s="439"/>
      <c r="J13" s="439"/>
      <c r="K13" s="439" t="s">
        <v>682</v>
      </c>
      <c r="L13" s="441" t="s">
        <v>3303</v>
      </c>
      <c r="M13" s="439" t="s">
        <v>3304</v>
      </c>
      <c r="N13" s="441"/>
      <c r="O13" s="187"/>
      <c r="P13" s="187"/>
      <c r="Q13" s="187"/>
      <c r="R13" s="187"/>
      <c r="S13" s="189"/>
      <c r="T13" s="187"/>
      <c r="U13" s="187"/>
      <c r="V13" s="187"/>
      <c r="W13" s="187"/>
      <c r="X13" s="187"/>
      <c r="Y13" s="187"/>
      <c r="Z13" s="187"/>
      <c r="AA13" s="187"/>
      <c r="AB13" s="187"/>
    </row>
    <row r="14" spans="1:28" ht="12.5" hidden="1">
      <c r="A14" s="5"/>
      <c r="B14" s="5"/>
      <c r="C14" s="5"/>
      <c r="D14" s="5"/>
      <c r="E14" s="439" t="s">
        <v>55</v>
      </c>
      <c r="F14" s="439" t="s">
        <v>3004</v>
      </c>
      <c r="G14" s="439" t="s">
        <v>3277</v>
      </c>
      <c r="H14" s="376"/>
      <c r="I14" s="439"/>
      <c r="J14" s="439"/>
      <c r="K14" s="439" t="s">
        <v>680</v>
      </c>
      <c r="L14" s="441"/>
      <c r="M14" s="441"/>
      <c r="N14" s="441"/>
      <c r="O14" s="187"/>
      <c r="P14" s="187"/>
      <c r="Q14" s="187"/>
      <c r="R14" s="187"/>
      <c r="S14" s="189"/>
      <c r="T14" s="187"/>
      <c r="U14" s="187"/>
      <c r="V14" s="187"/>
      <c r="W14" s="187"/>
      <c r="X14" s="187"/>
      <c r="Y14" s="187"/>
      <c r="Z14" s="187"/>
      <c r="AA14" s="187"/>
      <c r="AB14" s="187"/>
    </row>
    <row r="15" spans="1:28" ht="12.5" hidden="1">
      <c r="A15" s="5"/>
      <c r="B15" s="5"/>
      <c r="C15" s="5"/>
      <c r="D15" s="5"/>
      <c r="E15" s="439" t="s">
        <v>55</v>
      </c>
      <c r="F15" s="439" t="s">
        <v>3278</v>
      </c>
      <c r="G15" s="439" t="s">
        <v>1855</v>
      </c>
      <c r="H15" s="376"/>
      <c r="I15" s="439"/>
      <c r="J15" s="439"/>
      <c r="K15" s="439" t="s">
        <v>680</v>
      </c>
      <c r="L15" s="441"/>
      <c r="N15" s="532"/>
      <c r="O15" s="187"/>
      <c r="P15" s="187"/>
      <c r="Q15" s="187"/>
      <c r="R15" s="187"/>
      <c r="S15" s="189"/>
      <c r="T15" s="187"/>
      <c r="U15" s="187"/>
      <c r="V15" s="187"/>
      <c r="W15" s="187"/>
      <c r="X15" s="187"/>
      <c r="Y15" s="187"/>
      <c r="Z15" s="187"/>
      <c r="AA15" s="187"/>
      <c r="AB15" s="187"/>
    </row>
    <row r="16" spans="1:28" ht="12.5" hidden="1">
      <c r="A16" s="5"/>
      <c r="B16" s="5"/>
      <c r="C16" s="5"/>
      <c r="D16" s="5"/>
      <c r="E16" s="439" t="s">
        <v>53</v>
      </c>
      <c r="F16" s="439" t="s">
        <v>124</v>
      </c>
      <c r="G16" s="439" t="s">
        <v>535</v>
      </c>
      <c r="H16" s="440"/>
      <c r="I16" s="439"/>
      <c r="J16" s="187"/>
      <c r="K16" s="187"/>
      <c r="L16" s="441"/>
      <c r="M16" s="441"/>
      <c r="N16" s="187"/>
      <c r="O16" s="187"/>
      <c r="P16" s="187"/>
      <c r="Q16" s="187"/>
      <c r="R16" s="187"/>
      <c r="S16" s="189"/>
      <c r="T16" s="187"/>
      <c r="U16" s="187"/>
      <c r="V16" s="187"/>
      <c r="W16" s="187"/>
      <c r="X16" s="187"/>
      <c r="Y16" s="187"/>
      <c r="Z16" s="187"/>
      <c r="AA16" s="187"/>
      <c r="AB16" s="187"/>
    </row>
    <row r="17" spans="1:28" ht="12.5">
      <c r="A17" s="5"/>
      <c r="B17" s="5"/>
      <c r="C17" s="5"/>
      <c r="D17" s="5"/>
      <c r="E17" s="439" t="s">
        <v>61</v>
      </c>
      <c r="F17" s="439" t="s">
        <v>3281</v>
      </c>
      <c r="G17" s="439" t="s">
        <v>535</v>
      </c>
      <c r="H17" s="376"/>
      <c r="I17" s="439"/>
      <c r="J17" s="439"/>
      <c r="K17" s="439" t="s">
        <v>682</v>
      </c>
      <c r="L17" s="441" t="s">
        <v>3303</v>
      </c>
      <c r="M17" s="441" t="s">
        <v>3305</v>
      </c>
      <c r="N17" s="468"/>
      <c r="O17" s="187"/>
      <c r="P17" s="187"/>
      <c r="Q17" s="187"/>
      <c r="R17" s="187"/>
      <c r="S17" s="189"/>
      <c r="T17" s="187"/>
      <c r="U17" s="187"/>
      <c r="V17" s="187"/>
      <c r="W17" s="187"/>
      <c r="X17" s="187"/>
      <c r="Y17" s="187"/>
      <c r="Z17" s="187"/>
      <c r="AA17" s="187"/>
      <c r="AB17" s="187"/>
    </row>
    <row r="18" spans="1:28" ht="12.5">
      <c r="A18" s="5"/>
      <c r="B18" s="5"/>
      <c r="C18" s="5"/>
      <c r="D18" s="5"/>
      <c r="E18" s="439" t="s">
        <v>61</v>
      </c>
      <c r="F18" s="439" t="s">
        <v>3283</v>
      </c>
      <c r="G18" s="439" t="s">
        <v>1855</v>
      </c>
      <c r="H18" s="376"/>
      <c r="I18" s="439"/>
      <c r="J18" s="439"/>
      <c r="K18" s="439" t="s">
        <v>682</v>
      </c>
      <c r="L18" s="441" t="s">
        <v>3303</v>
      </c>
      <c r="M18" s="441" t="s">
        <v>3306</v>
      </c>
      <c r="N18" s="441"/>
      <c r="O18" s="187"/>
      <c r="P18" s="187"/>
      <c r="Q18" s="187"/>
      <c r="R18" s="187"/>
      <c r="S18" s="189"/>
      <c r="T18" s="187"/>
      <c r="U18" s="187"/>
      <c r="V18" s="187"/>
      <c r="W18" s="187"/>
      <c r="X18" s="187"/>
      <c r="Y18" s="187"/>
      <c r="Z18" s="187"/>
      <c r="AA18" s="187"/>
      <c r="AB18" s="187"/>
    </row>
    <row r="19" spans="1:28" ht="12.5" hidden="1">
      <c r="A19" s="5"/>
      <c r="B19" s="5"/>
      <c r="C19" s="5"/>
      <c r="D19" s="5"/>
      <c r="E19" s="439" t="s">
        <v>55</v>
      </c>
      <c r="F19" s="439" t="s">
        <v>3285</v>
      </c>
      <c r="G19" s="439" t="s">
        <v>535</v>
      </c>
      <c r="H19" s="440"/>
      <c r="I19" s="439"/>
      <c r="J19" s="439"/>
      <c r="K19" s="439" t="s">
        <v>680</v>
      </c>
      <c r="L19" s="441"/>
      <c r="M19" s="441"/>
      <c r="N19" s="441"/>
      <c r="O19" s="187"/>
      <c r="P19" s="187"/>
      <c r="Q19" s="187"/>
      <c r="R19" s="187"/>
      <c r="S19" s="189"/>
      <c r="T19" s="187"/>
      <c r="U19" s="187"/>
      <c r="V19" s="187"/>
      <c r="W19" s="187"/>
      <c r="X19" s="187"/>
      <c r="Y19" s="187"/>
      <c r="Z19" s="187"/>
      <c r="AA19" s="187"/>
      <c r="AB19" s="187"/>
    </row>
    <row r="20" spans="1:28" ht="12.5">
      <c r="A20" s="5"/>
      <c r="B20" s="5"/>
      <c r="C20" s="5"/>
      <c r="D20" s="5"/>
      <c r="E20" s="439" t="s">
        <v>55</v>
      </c>
      <c r="F20" s="439" t="s">
        <v>896</v>
      </c>
      <c r="G20" s="439" t="s">
        <v>535</v>
      </c>
      <c r="H20" s="376"/>
      <c r="I20" s="439"/>
      <c r="J20" s="439"/>
      <c r="K20" s="439" t="s">
        <v>682</v>
      </c>
      <c r="L20" s="441" t="s">
        <v>3303</v>
      </c>
      <c r="M20" s="441" t="s">
        <v>3307</v>
      </c>
      <c r="N20" s="441"/>
      <c r="O20" s="187"/>
      <c r="P20" s="187"/>
      <c r="Q20" s="187"/>
      <c r="R20" s="187"/>
      <c r="S20" s="189"/>
      <c r="T20" s="187"/>
      <c r="U20" s="187"/>
      <c r="V20" s="187"/>
      <c r="W20" s="187"/>
      <c r="X20" s="187"/>
      <c r="Y20" s="187"/>
      <c r="Z20" s="187"/>
      <c r="AA20" s="187"/>
      <c r="AB20" s="187"/>
    </row>
    <row r="21" spans="1:28" ht="12.5">
      <c r="A21" s="5"/>
      <c r="B21" s="5"/>
      <c r="C21" s="5"/>
      <c r="D21" s="5"/>
      <c r="E21" s="439" t="s">
        <v>61</v>
      </c>
      <c r="F21" s="439" t="s">
        <v>123</v>
      </c>
      <c r="G21" s="439" t="s">
        <v>535</v>
      </c>
      <c r="H21" s="376"/>
      <c r="I21" s="439"/>
      <c r="J21" s="439"/>
      <c r="K21" s="439" t="s">
        <v>682</v>
      </c>
      <c r="L21" s="441" t="s">
        <v>1184</v>
      </c>
      <c r="M21" s="441" t="s">
        <v>3288</v>
      </c>
      <c r="N21" s="441"/>
      <c r="O21" s="187"/>
      <c r="P21" s="187"/>
      <c r="Q21" s="187"/>
      <c r="R21" s="187"/>
      <c r="S21" s="189"/>
      <c r="T21" s="187"/>
      <c r="U21" s="187"/>
      <c r="V21" s="187"/>
      <c r="W21" s="187"/>
      <c r="X21" s="187"/>
      <c r="Y21" s="187"/>
      <c r="Z21" s="187"/>
      <c r="AA21" s="187"/>
      <c r="AB21" s="187"/>
    </row>
  </sheetData>
  <autoFilter ref="A3:AB21" xr:uid="{00000000-0009-0000-0000-000012000000}">
    <filterColumn colId="10">
      <filters>
        <filter val="Y"/>
      </filters>
    </filterColumn>
  </autoFilter>
  <pageMargins left="0.7" right="0.7" top="0.75" bottom="0.75" header="0" footer="0"/>
  <pageSetup orientation="landscape"/>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E0F861-0B16-4322-BBE9-4ED3AEB2F6DC}">
  <sheetPr>
    <outlinePr summaryBelow="0" summaryRight="0"/>
  </sheetPr>
  <dimension ref="A2:AD99"/>
  <sheetViews>
    <sheetView workbookViewId="0">
      <pane ySplit="3" topLeftCell="A4" activePane="bottomLeft" state="frozen"/>
      <selection pane="bottomLeft" activeCell="M9" sqref="M9"/>
    </sheetView>
  </sheetViews>
  <sheetFormatPr defaultColWidth="14.453125" defaultRowHeight="15" customHeight="1"/>
  <cols>
    <col min="1" max="1" width="13.26953125" hidden="1" customWidth="1"/>
    <col min="2" max="2" width="12" hidden="1" customWidth="1"/>
    <col min="3" max="3" width="17.7265625" hidden="1" customWidth="1"/>
    <col min="4" max="4" width="9.7265625" hidden="1" customWidth="1"/>
    <col min="5" max="5" width="19.7265625" customWidth="1"/>
    <col min="6" max="6" width="34.7265625" customWidth="1"/>
    <col min="7" max="7" width="23.7265625" customWidth="1"/>
    <col min="8" max="8" width="11.54296875" customWidth="1"/>
    <col min="9" max="9" width="10.81640625" customWidth="1"/>
    <col min="10" max="10" width="7.453125" customWidth="1"/>
    <col min="11" max="11" width="10" customWidth="1"/>
    <col min="12" max="12" width="50.81640625" customWidth="1"/>
    <col min="13" max="13" width="55" customWidth="1"/>
    <col min="14" max="14" width="20.453125" customWidth="1"/>
    <col min="15" max="15" width="30.1796875" customWidth="1"/>
    <col min="16" max="16" width="32.7265625" customWidth="1"/>
    <col min="17" max="17" width="81.81640625" customWidth="1"/>
    <col min="18" max="18" width="8.26953125" customWidth="1"/>
    <col min="19" max="19" width="25.7265625" customWidth="1"/>
    <col min="20" max="20" width="57.1796875" customWidth="1"/>
    <col min="21" max="21" width="11.81640625" customWidth="1"/>
    <col min="22" max="22" width="35.453125" customWidth="1"/>
    <col min="23" max="23" width="75.81640625" customWidth="1"/>
    <col min="24" max="24" width="6.26953125" customWidth="1"/>
    <col min="25" max="25" width="23.26953125" customWidth="1"/>
    <col min="26" max="26" width="26.1796875" customWidth="1"/>
    <col min="27" max="27" width="9.7265625" customWidth="1"/>
    <col min="28" max="30" width="71" customWidth="1"/>
  </cols>
  <sheetData>
    <row r="2" spans="1:30" s="490" customFormat="1" ht="18.75" customHeight="1">
      <c r="A2" s="489"/>
      <c r="B2" s="489"/>
      <c r="C2" s="489"/>
      <c r="D2" s="489"/>
      <c r="E2" s="491"/>
      <c r="F2" s="487"/>
      <c r="G2" s="487"/>
      <c r="H2" s="487"/>
      <c r="I2" s="487"/>
      <c r="J2" s="487"/>
      <c r="K2" s="492" t="s">
        <v>1038</v>
      </c>
      <c r="L2" s="493"/>
      <c r="M2" s="493"/>
      <c r="N2" s="493"/>
      <c r="O2" s="493"/>
      <c r="P2" s="493"/>
      <c r="Q2" s="493"/>
      <c r="R2" s="487"/>
      <c r="S2" s="494"/>
      <c r="T2" s="487"/>
      <c r="U2" s="487"/>
      <c r="V2" s="487"/>
      <c r="W2" s="487"/>
      <c r="X2" s="489"/>
      <c r="Y2" s="489"/>
      <c r="Z2" s="489" t="s">
        <v>1039</v>
      </c>
      <c r="AA2" s="495"/>
      <c r="AB2" s="489"/>
      <c r="AC2" s="489"/>
      <c r="AD2" s="489"/>
    </row>
    <row r="3" spans="1:30" s="490" customFormat="1" ht="30" customHeight="1">
      <c r="A3" s="496" t="s">
        <v>1040</v>
      </c>
      <c r="B3" s="496" t="s">
        <v>1041</v>
      </c>
      <c r="C3" s="496" t="s">
        <v>1042</v>
      </c>
      <c r="D3" s="496" t="s">
        <v>1043</v>
      </c>
      <c r="E3" s="497" t="s">
        <v>224</v>
      </c>
      <c r="F3" s="497" t="s">
        <v>225</v>
      </c>
      <c r="G3" s="497" t="s">
        <v>226</v>
      </c>
      <c r="H3" s="497" t="s">
        <v>227</v>
      </c>
      <c r="I3" s="497" t="s">
        <v>1044</v>
      </c>
      <c r="J3" s="497" t="s">
        <v>1045</v>
      </c>
      <c r="K3" s="497" t="s">
        <v>1046</v>
      </c>
      <c r="L3" s="497" t="s">
        <v>100</v>
      </c>
      <c r="M3" s="497" t="s">
        <v>101</v>
      </c>
      <c r="N3" s="497" t="s">
        <v>102</v>
      </c>
      <c r="O3" s="497" t="s">
        <v>103</v>
      </c>
      <c r="P3" s="497" t="s">
        <v>104</v>
      </c>
      <c r="Q3" s="497" t="s">
        <v>105</v>
      </c>
      <c r="R3" s="497" t="s">
        <v>111</v>
      </c>
      <c r="S3" s="498" t="s">
        <v>112</v>
      </c>
      <c r="T3" s="497" t="s">
        <v>113</v>
      </c>
      <c r="U3" s="497"/>
      <c r="V3" s="487" t="s">
        <v>1047</v>
      </c>
      <c r="W3" s="488" t="s">
        <v>1048</v>
      </c>
      <c r="X3" s="487" t="s">
        <v>1049</v>
      </c>
      <c r="Y3" s="489" t="s">
        <v>1050</v>
      </c>
      <c r="Z3" s="489" t="s">
        <v>237</v>
      </c>
      <c r="AA3" s="495" t="s">
        <v>1</v>
      </c>
      <c r="AB3" s="489" t="s">
        <v>238</v>
      </c>
      <c r="AC3" s="489"/>
      <c r="AD3" s="489"/>
    </row>
    <row r="4" spans="1:30" ht="31.5" customHeight="1">
      <c r="A4" s="123"/>
      <c r="B4" s="123"/>
      <c r="C4" s="123"/>
      <c r="D4" s="123"/>
      <c r="E4" s="246" t="s">
        <v>61</v>
      </c>
      <c r="F4" s="246" t="s">
        <v>1010</v>
      </c>
      <c r="G4" s="246" t="s">
        <v>3308</v>
      </c>
      <c r="H4" s="246" t="s">
        <v>903</v>
      </c>
      <c r="I4" s="246"/>
      <c r="J4" s="246"/>
      <c r="K4" s="246" t="s">
        <v>682</v>
      </c>
      <c r="L4" s="246" t="s">
        <v>3309</v>
      </c>
      <c r="M4" s="193" t="s">
        <v>3310</v>
      </c>
      <c r="N4" s="246"/>
      <c r="O4" s="246"/>
      <c r="P4" s="246"/>
      <c r="Q4" s="246"/>
      <c r="R4" s="246"/>
      <c r="S4" s="450"/>
      <c r="T4" s="246"/>
      <c r="U4" s="246"/>
      <c r="V4" s="246"/>
      <c r="W4" s="246"/>
      <c r="X4" s="123"/>
      <c r="Y4" s="123"/>
      <c r="Z4" s="123"/>
      <c r="AA4" s="39"/>
      <c r="AB4" s="123"/>
      <c r="AC4" s="123"/>
      <c r="AD4" s="123"/>
    </row>
    <row r="5" spans="1:30" ht="25">
      <c r="A5" s="123"/>
      <c r="B5" s="123"/>
      <c r="C5" s="123"/>
      <c r="D5" s="123"/>
      <c r="E5" s="246" t="s">
        <v>61</v>
      </c>
      <c r="F5" s="246" t="s">
        <v>123</v>
      </c>
      <c r="G5" s="246" t="s">
        <v>3308</v>
      </c>
      <c r="H5" s="246" t="s">
        <v>903</v>
      </c>
      <c r="I5" s="246"/>
      <c r="J5" s="246"/>
      <c r="K5" s="246" t="s">
        <v>682</v>
      </c>
      <c r="L5" s="246" t="s">
        <v>3309</v>
      </c>
      <c r="M5" s="193" t="s">
        <v>3311</v>
      </c>
      <c r="N5" s="246"/>
      <c r="O5" s="246"/>
      <c r="P5" s="246"/>
      <c r="Q5" s="246"/>
      <c r="R5" s="246"/>
      <c r="S5" s="450"/>
      <c r="T5" s="246"/>
      <c r="U5" s="246"/>
      <c r="V5" s="246"/>
      <c r="W5" s="246"/>
      <c r="X5" s="123"/>
      <c r="Y5" s="123"/>
      <c r="Z5" s="123"/>
      <c r="AA5" s="39"/>
      <c r="AB5" s="123"/>
      <c r="AC5" s="123"/>
      <c r="AD5" s="123"/>
    </row>
    <row r="6" spans="1:30" ht="68.25" customHeight="1">
      <c r="A6" s="186"/>
      <c r="B6" s="186"/>
      <c r="C6" s="186"/>
      <c r="D6" s="186"/>
      <c r="E6" s="123" t="s">
        <v>61</v>
      </c>
      <c r="F6" s="186" t="s">
        <v>125</v>
      </c>
      <c r="G6" s="123" t="s">
        <v>3308</v>
      </c>
      <c r="H6" s="123" t="s">
        <v>903</v>
      </c>
      <c r="I6" s="186"/>
      <c r="J6" s="186"/>
      <c r="K6" s="123" t="s">
        <v>682</v>
      </c>
      <c r="L6" s="246" t="s">
        <v>3309</v>
      </c>
      <c r="M6" t="s">
        <v>3312</v>
      </c>
      <c r="O6" s="186"/>
      <c r="Q6" s="123"/>
      <c r="R6" s="186"/>
      <c r="S6" s="122"/>
      <c r="T6" s="90"/>
      <c r="U6" s="90"/>
      <c r="V6" s="186"/>
      <c r="W6" s="186"/>
      <c r="X6" s="186"/>
      <c r="Y6" s="186"/>
      <c r="Z6" s="186"/>
      <c r="AA6" s="33"/>
      <c r="AB6" s="186"/>
      <c r="AC6" s="186"/>
      <c r="AD6" s="186"/>
    </row>
    <row r="7" spans="1:30" ht="40.5" customHeight="1">
      <c r="A7" s="123"/>
      <c r="B7" s="123"/>
      <c r="C7" s="123"/>
      <c r="D7" s="123"/>
      <c r="E7" s="123" t="s">
        <v>61</v>
      </c>
      <c r="F7" s="123" t="s">
        <v>3313</v>
      </c>
      <c r="G7" s="123" t="s">
        <v>1184</v>
      </c>
      <c r="H7" s="123" t="s">
        <v>903</v>
      </c>
      <c r="I7" s="123"/>
      <c r="J7" s="123"/>
      <c r="K7" s="123" t="s">
        <v>682</v>
      </c>
      <c r="L7" s="246" t="s">
        <v>3309</v>
      </c>
      <c r="M7" t="s">
        <v>3314</v>
      </c>
      <c r="N7" s="123"/>
      <c r="O7" s="123"/>
      <c r="P7" s="123"/>
      <c r="Q7" s="123"/>
      <c r="R7" s="123"/>
      <c r="S7" s="121"/>
      <c r="T7" s="121"/>
      <c r="U7" s="121"/>
      <c r="V7" s="123"/>
      <c r="W7" s="123"/>
      <c r="X7" s="123"/>
      <c r="Y7" s="123"/>
      <c r="Z7" s="123"/>
      <c r="AA7" s="39"/>
      <c r="AB7" s="123"/>
      <c r="AC7" s="123"/>
      <c r="AD7" s="123"/>
    </row>
    <row r="8" spans="1:30" ht="25">
      <c r="A8" s="123"/>
      <c r="B8" s="123"/>
      <c r="C8" s="123"/>
      <c r="D8" s="123"/>
      <c r="E8" s="123" t="s">
        <v>61</v>
      </c>
      <c r="F8" s="123" t="s">
        <v>2339</v>
      </c>
      <c r="G8" s="123" t="s">
        <v>1184</v>
      </c>
      <c r="H8" s="123" t="s">
        <v>903</v>
      </c>
      <c r="I8" s="123"/>
      <c r="J8" s="123"/>
      <c r="K8" s="123" t="s">
        <v>682</v>
      </c>
      <c r="L8" s="246" t="s">
        <v>3309</v>
      </c>
      <c r="M8" t="s">
        <v>3315</v>
      </c>
      <c r="N8" s="123"/>
      <c r="O8" s="123"/>
      <c r="P8" s="123"/>
      <c r="Q8" s="123"/>
      <c r="R8" s="123"/>
      <c r="S8" s="121"/>
      <c r="T8" s="121"/>
      <c r="U8" s="121"/>
      <c r="V8" s="123"/>
      <c r="W8" s="123"/>
      <c r="X8" s="123"/>
      <c r="Y8" s="123"/>
      <c r="Z8" s="123"/>
      <c r="AA8" s="39"/>
      <c r="AB8" s="123"/>
      <c r="AC8" s="123"/>
      <c r="AD8" s="123"/>
    </row>
    <row r="9" spans="1:30" ht="18.75" customHeight="1">
      <c r="A9" s="123"/>
      <c r="B9" s="123"/>
      <c r="C9" s="123"/>
      <c r="D9" s="123"/>
      <c r="E9" s="123"/>
      <c r="F9" s="123"/>
      <c r="G9" s="123"/>
      <c r="H9" s="123"/>
      <c r="I9" s="123"/>
      <c r="J9" s="123"/>
      <c r="K9" s="123"/>
      <c r="L9" s="123"/>
      <c r="N9" s="123"/>
      <c r="O9" s="123"/>
      <c r="P9" s="123"/>
      <c r="Q9" s="123"/>
      <c r="R9" s="123"/>
      <c r="S9" s="121"/>
      <c r="T9" s="123"/>
      <c r="U9" s="123"/>
      <c r="V9" s="123"/>
      <c r="W9" s="123"/>
      <c r="X9" s="123"/>
      <c r="Y9" s="123"/>
      <c r="Z9" s="123"/>
      <c r="AA9" s="39"/>
      <c r="AB9" s="123"/>
      <c r="AC9" s="123"/>
      <c r="AD9" s="123"/>
    </row>
    <row r="10" spans="1:30" ht="18.75" customHeight="1">
      <c r="A10" s="186"/>
      <c r="B10" s="186"/>
      <c r="C10" s="186"/>
      <c r="D10" s="186"/>
      <c r="E10" s="186"/>
      <c r="F10" s="186"/>
      <c r="G10" s="186"/>
      <c r="H10" s="186"/>
      <c r="I10" s="186"/>
      <c r="J10" s="186"/>
      <c r="K10" s="186"/>
      <c r="Q10" s="123"/>
      <c r="R10" s="186"/>
      <c r="S10" s="122"/>
      <c r="T10" s="90"/>
      <c r="U10" s="90"/>
      <c r="V10" s="186"/>
      <c r="W10" s="186"/>
      <c r="X10" s="186"/>
      <c r="Y10" s="186"/>
      <c r="Z10" s="186"/>
      <c r="AA10" s="33"/>
      <c r="AB10" s="186"/>
      <c r="AC10" s="186"/>
      <c r="AD10" s="186"/>
    </row>
    <row r="11" spans="1:30" ht="12.5">
      <c r="A11" s="123"/>
      <c r="B11" s="123"/>
      <c r="C11" s="123"/>
      <c r="D11" s="123"/>
      <c r="E11" s="123"/>
      <c r="F11" s="123"/>
      <c r="G11" s="123"/>
      <c r="H11" s="123"/>
      <c r="I11" s="123"/>
      <c r="J11" s="123"/>
      <c r="K11" s="123"/>
      <c r="L11" s="123"/>
      <c r="N11" s="123"/>
      <c r="O11" s="123"/>
      <c r="P11" s="123"/>
      <c r="Q11" s="123"/>
      <c r="R11" s="123"/>
      <c r="S11" s="121"/>
      <c r="T11" s="123"/>
      <c r="U11" s="123"/>
      <c r="V11" s="123"/>
      <c r="W11" s="123"/>
      <c r="X11" s="123"/>
      <c r="Y11" s="123"/>
      <c r="Z11" s="123"/>
      <c r="AA11" s="39"/>
      <c r="AB11" s="123"/>
      <c r="AC11" s="123"/>
      <c r="AD11" s="123"/>
    </row>
    <row r="12" spans="1:30" ht="18.75" customHeight="1">
      <c r="A12" s="123"/>
      <c r="B12" s="123"/>
      <c r="C12" s="123"/>
      <c r="D12" s="123"/>
      <c r="E12" s="123"/>
      <c r="F12" s="123"/>
      <c r="G12" s="123"/>
      <c r="H12" s="123"/>
      <c r="I12" s="123"/>
      <c r="J12" s="123"/>
      <c r="K12" s="123"/>
      <c r="L12" s="123"/>
      <c r="M12" s="552"/>
      <c r="N12" s="123"/>
      <c r="Q12" s="123"/>
      <c r="R12" s="123"/>
      <c r="S12" s="123"/>
      <c r="T12" s="121"/>
      <c r="U12" s="121"/>
      <c r="V12" s="123"/>
      <c r="W12" s="123"/>
      <c r="X12" s="123"/>
      <c r="Y12" s="123"/>
      <c r="Z12" s="123"/>
      <c r="AA12" s="39"/>
      <c r="AB12" s="123"/>
      <c r="AC12" s="123"/>
      <c r="AD12" s="123"/>
    </row>
    <row r="13" spans="1:30" ht="12.5">
      <c r="A13" s="123"/>
      <c r="B13" s="123"/>
      <c r="C13" s="123"/>
      <c r="D13" s="123"/>
      <c r="E13" s="123"/>
      <c r="F13" s="123"/>
      <c r="G13" s="123"/>
      <c r="H13" s="123"/>
      <c r="I13" s="123"/>
      <c r="J13" s="123"/>
      <c r="K13" s="123"/>
      <c r="L13" s="123"/>
      <c r="N13" s="123"/>
      <c r="O13" s="123"/>
      <c r="P13" s="123"/>
      <c r="Q13" s="123"/>
      <c r="R13" s="123"/>
      <c r="S13" s="121"/>
      <c r="T13" s="123"/>
      <c r="U13" s="123"/>
      <c r="V13" s="123"/>
      <c r="W13" s="123"/>
      <c r="X13" s="123"/>
      <c r="Y13" s="123"/>
      <c r="Z13" s="123"/>
      <c r="AA13" s="39"/>
      <c r="AB13" s="123"/>
      <c r="AC13" s="123"/>
      <c r="AD13" s="123"/>
    </row>
    <row r="14" spans="1:30" ht="18.75" customHeight="1">
      <c r="A14" s="123"/>
      <c r="B14" s="123"/>
      <c r="C14" s="123"/>
      <c r="D14" s="123"/>
      <c r="E14" s="123"/>
      <c r="F14" s="123"/>
      <c r="G14" s="123"/>
      <c r="H14" s="123"/>
      <c r="I14" s="123"/>
      <c r="J14" s="123"/>
      <c r="K14" s="123"/>
      <c r="L14" s="123"/>
      <c r="N14" s="123"/>
      <c r="O14" s="123"/>
      <c r="P14" s="123"/>
      <c r="Q14" s="123"/>
      <c r="R14" s="123"/>
      <c r="S14" s="121"/>
      <c r="T14" s="123"/>
      <c r="U14" s="123"/>
      <c r="V14" s="123"/>
      <c r="W14" s="123"/>
      <c r="X14" s="123"/>
      <c r="Y14" s="123"/>
      <c r="Z14" s="123"/>
      <c r="AA14" s="39"/>
      <c r="AB14" s="123"/>
      <c r="AC14" s="123"/>
      <c r="AD14" s="123"/>
    </row>
    <row r="15" spans="1:30" s="129" customFormat="1" ht="13">
      <c r="A15" s="186"/>
      <c r="B15" s="186"/>
      <c r="C15" s="186"/>
      <c r="D15" s="186"/>
      <c r="E15" s="455"/>
      <c r="F15" s="455"/>
      <c r="G15" s="455"/>
      <c r="H15" s="186"/>
      <c r="I15" s="186"/>
      <c r="J15" s="186"/>
      <c r="K15" s="186"/>
      <c r="L15" s="464"/>
      <c r="M15" s="464"/>
      <c r="N15" s="186"/>
      <c r="O15" s="186"/>
      <c r="P15" s="439"/>
      <c r="Q15" s="186"/>
      <c r="R15" s="186"/>
      <c r="S15" s="465"/>
      <c r="T15" s="186"/>
      <c r="U15" s="186"/>
      <c r="V15" s="466"/>
      <c r="W15" s="467"/>
      <c r="X15" s="467"/>
      <c r="Y15" s="467"/>
      <c r="Z15" s="467"/>
      <c r="AA15" s="466"/>
      <c r="AB15" s="467"/>
      <c r="AC15" s="467"/>
      <c r="AD15" s="467"/>
    </row>
    <row r="16" spans="1:30" ht="12.5">
      <c r="A16" s="123"/>
      <c r="B16" s="123"/>
      <c r="C16" s="123"/>
      <c r="D16" s="123"/>
      <c r="E16" s="123"/>
      <c r="F16" s="123"/>
      <c r="G16" s="123"/>
      <c r="H16" s="123"/>
      <c r="I16" s="123"/>
      <c r="J16" s="123"/>
      <c r="K16" s="123"/>
      <c r="L16" s="123"/>
      <c r="N16" s="123"/>
      <c r="O16" s="123"/>
      <c r="P16" s="123"/>
      <c r="Q16" s="123"/>
      <c r="R16" s="123"/>
      <c r="S16" s="121"/>
      <c r="T16" s="123"/>
      <c r="U16" s="123"/>
      <c r="V16" s="123"/>
      <c r="W16" s="123"/>
      <c r="X16" s="123"/>
      <c r="Y16" s="123"/>
      <c r="Z16" s="123"/>
      <c r="AA16" s="39"/>
      <c r="AB16" s="123"/>
      <c r="AC16" s="123"/>
      <c r="AD16" s="123"/>
    </row>
    <row r="17" spans="1:30" ht="12.5">
      <c r="A17" s="123"/>
      <c r="B17" s="123"/>
      <c r="C17" s="123"/>
      <c r="D17" s="123"/>
      <c r="E17" s="123"/>
      <c r="F17" s="123"/>
      <c r="G17" s="123"/>
      <c r="H17" s="123"/>
      <c r="I17" s="123"/>
      <c r="J17" s="123"/>
      <c r="K17" s="123"/>
      <c r="L17" s="123"/>
      <c r="N17" s="123"/>
      <c r="O17" s="123"/>
      <c r="P17" s="123"/>
      <c r="Q17" s="123"/>
      <c r="R17" s="123"/>
      <c r="S17" s="121"/>
      <c r="T17" s="123"/>
      <c r="U17" s="123"/>
      <c r="V17" s="123"/>
      <c r="W17" s="123"/>
      <c r="X17" s="123"/>
      <c r="Y17" s="123"/>
      <c r="Z17" s="123"/>
      <c r="AA17" s="39"/>
      <c r="AB17" s="123"/>
      <c r="AC17" s="123"/>
      <c r="AD17" s="123"/>
    </row>
    <row r="18" spans="1:30" ht="18.75" customHeight="1">
      <c r="A18" s="123"/>
      <c r="B18" s="123"/>
      <c r="C18" s="123"/>
      <c r="D18" s="123"/>
      <c r="E18" s="123"/>
      <c r="F18" s="123"/>
      <c r="G18" s="123"/>
      <c r="H18" s="123"/>
      <c r="I18" s="123"/>
      <c r="J18" s="123"/>
      <c r="K18" s="123"/>
      <c r="L18" s="123"/>
      <c r="N18" s="123"/>
      <c r="O18" s="123"/>
      <c r="P18" s="123"/>
      <c r="Q18" s="123"/>
      <c r="R18" s="123"/>
      <c r="S18" s="121"/>
      <c r="T18" s="123"/>
      <c r="U18" s="123"/>
      <c r="V18" s="123"/>
      <c r="W18" s="123"/>
      <c r="X18" s="123"/>
      <c r="Y18" s="123"/>
      <c r="Z18" s="123"/>
      <c r="AA18" s="39"/>
      <c r="AB18" s="123"/>
      <c r="AC18" s="123"/>
      <c r="AD18" s="123"/>
    </row>
    <row r="19" spans="1:30" ht="18.75" customHeight="1">
      <c r="A19" s="186"/>
      <c r="B19" s="186"/>
      <c r="C19" s="186"/>
      <c r="D19" s="186"/>
      <c r="E19" s="186"/>
      <c r="F19" s="186"/>
      <c r="G19" s="186"/>
      <c r="H19" s="186"/>
      <c r="I19" s="186"/>
      <c r="J19" s="186"/>
      <c r="K19" s="186"/>
      <c r="Q19" s="123"/>
      <c r="R19" s="186"/>
      <c r="S19" s="122"/>
      <c r="T19" s="186"/>
      <c r="U19" s="186"/>
      <c r="V19" s="186"/>
      <c r="W19" s="186"/>
      <c r="X19" s="186"/>
      <c r="Y19" s="186"/>
      <c r="Z19" s="186"/>
      <c r="AA19" s="33"/>
      <c r="AB19" s="186"/>
      <c r="AC19" s="186"/>
      <c r="AD19" s="186"/>
    </row>
    <row r="20" spans="1:30" ht="12.5">
      <c r="A20" s="123"/>
      <c r="B20" s="123"/>
      <c r="C20" s="123"/>
      <c r="D20" s="123"/>
      <c r="E20" s="123"/>
      <c r="F20" s="123"/>
      <c r="G20" s="123"/>
      <c r="H20" s="123"/>
      <c r="I20" s="123"/>
      <c r="J20" s="123"/>
      <c r="K20" s="123"/>
      <c r="L20" s="123"/>
      <c r="N20" s="123"/>
      <c r="O20" s="123"/>
      <c r="P20" s="123"/>
      <c r="Q20" s="123"/>
      <c r="R20" s="123"/>
      <c r="S20" s="121"/>
      <c r="T20" s="123"/>
      <c r="U20" s="123"/>
      <c r="V20" s="123"/>
      <c r="W20" s="123"/>
      <c r="X20" s="123"/>
      <c r="Y20" s="123"/>
      <c r="Z20" s="123"/>
      <c r="AA20" s="39"/>
      <c r="AB20" s="123"/>
      <c r="AC20" s="123"/>
      <c r="AD20" s="123"/>
    </row>
    <row r="21" spans="1:30" ht="12.5">
      <c r="A21" s="123"/>
      <c r="B21" s="123"/>
      <c r="C21" s="123"/>
      <c r="D21" s="123"/>
      <c r="E21" s="123"/>
      <c r="F21" s="123"/>
      <c r="G21" s="123"/>
      <c r="H21" s="123"/>
      <c r="I21" s="123"/>
      <c r="J21" s="123"/>
      <c r="K21" s="123"/>
      <c r="L21" s="123"/>
      <c r="Q21" s="123"/>
      <c r="R21" s="123"/>
      <c r="S21" s="442"/>
      <c r="T21" s="121"/>
      <c r="U21" s="121"/>
      <c r="V21" s="123"/>
      <c r="W21" s="123"/>
      <c r="X21" s="123"/>
      <c r="Y21" s="123"/>
      <c r="Z21" s="123"/>
      <c r="AA21" s="39"/>
      <c r="AB21" s="123"/>
      <c r="AC21" s="123"/>
      <c r="AD21" s="123"/>
    </row>
    <row r="22" spans="1:30" ht="12.5">
      <c r="A22" s="186"/>
      <c r="B22" s="186"/>
      <c r="C22" s="186"/>
      <c r="D22" s="186"/>
      <c r="E22" s="186"/>
      <c r="F22" s="186"/>
      <c r="G22" s="186"/>
      <c r="H22" s="186"/>
      <c r="I22" s="186"/>
      <c r="J22" s="186"/>
      <c r="K22" s="186"/>
      <c r="Q22" s="123"/>
      <c r="R22" s="186"/>
      <c r="S22" s="122"/>
      <c r="T22" s="186"/>
      <c r="U22" s="186"/>
      <c r="V22" s="186"/>
      <c r="W22" s="186"/>
      <c r="X22" s="186"/>
      <c r="Y22" s="186"/>
      <c r="Z22" s="186"/>
      <c r="AA22" s="33"/>
      <c r="AB22" s="186"/>
      <c r="AC22" s="186"/>
      <c r="AD22" s="186"/>
    </row>
    <row r="23" spans="1:30" ht="18.75" customHeight="1">
      <c r="A23" s="123"/>
      <c r="B23" s="123"/>
      <c r="C23" s="123"/>
      <c r="D23" s="123"/>
      <c r="E23" s="123"/>
      <c r="F23" s="123"/>
      <c r="G23" s="123"/>
      <c r="H23" s="123"/>
      <c r="I23" s="123"/>
      <c r="J23" s="123"/>
      <c r="K23" s="123"/>
      <c r="L23" s="123"/>
      <c r="N23" s="123"/>
      <c r="O23" s="123"/>
      <c r="P23" s="123"/>
      <c r="Q23" s="123"/>
      <c r="R23" s="123"/>
      <c r="S23" s="121"/>
      <c r="T23" s="123"/>
      <c r="U23" s="123"/>
      <c r="V23" s="123"/>
      <c r="W23" s="123"/>
      <c r="X23" s="123"/>
      <c r="Y23" s="123"/>
      <c r="Z23" s="123"/>
      <c r="AA23" s="39"/>
      <c r="AB23" s="123"/>
      <c r="AC23" s="123"/>
      <c r="AD23" s="123"/>
    </row>
    <row r="24" spans="1:30" ht="12.5">
      <c r="A24" s="123"/>
      <c r="B24" s="123"/>
      <c r="C24" s="123"/>
      <c r="D24" s="123"/>
      <c r="E24" s="123"/>
      <c r="F24" s="123"/>
      <c r="G24" s="123"/>
      <c r="H24" s="123"/>
      <c r="I24" s="123"/>
      <c r="J24" s="123"/>
      <c r="K24" s="123"/>
      <c r="L24" s="123"/>
      <c r="N24" s="123"/>
      <c r="O24" s="123"/>
      <c r="P24" s="123"/>
      <c r="Q24" s="123"/>
      <c r="R24" s="123"/>
      <c r="S24" s="121"/>
      <c r="T24" s="123"/>
      <c r="U24" s="123"/>
      <c r="V24" s="123"/>
      <c r="W24" s="123"/>
      <c r="X24" s="123"/>
      <c r="Y24" s="123"/>
      <c r="Z24" s="123"/>
      <c r="AA24" s="39"/>
      <c r="AB24" s="123"/>
      <c r="AC24" s="123"/>
      <c r="AD24" s="123"/>
    </row>
    <row r="25" spans="1:30" ht="185.25" customHeight="1">
      <c r="A25" s="123"/>
      <c r="B25" s="123"/>
      <c r="C25" s="123"/>
      <c r="D25" s="123"/>
      <c r="E25" s="123"/>
      <c r="F25" s="123"/>
      <c r="G25" s="123"/>
      <c r="H25" s="123"/>
      <c r="I25" s="123"/>
      <c r="J25" s="123"/>
      <c r="K25" s="123"/>
      <c r="L25" s="444"/>
      <c r="M25" s="444"/>
      <c r="Q25" s="123"/>
      <c r="R25" s="123"/>
      <c r="S25" s="123"/>
      <c r="T25" s="121"/>
      <c r="U25" s="121"/>
      <c r="V25" s="123"/>
      <c r="W25" s="123"/>
      <c r="X25" s="123"/>
      <c r="Y25" s="123"/>
      <c r="Z25" s="123"/>
      <c r="AA25" s="39"/>
      <c r="AB25" s="123"/>
      <c r="AC25" s="123"/>
      <c r="AD25" s="123"/>
    </row>
    <row r="26" spans="1:30" ht="181.5" customHeight="1">
      <c r="A26" s="123"/>
      <c r="B26" s="123"/>
      <c r="C26" s="123"/>
      <c r="D26" s="123"/>
      <c r="E26" s="123"/>
      <c r="F26" s="123"/>
      <c r="G26" s="123"/>
      <c r="H26" s="123"/>
      <c r="I26" s="123"/>
      <c r="J26" s="123"/>
      <c r="K26" s="123"/>
      <c r="L26" s="444"/>
      <c r="M26" s="444"/>
      <c r="Q26" s="123"/>
      <c r="R26" s="123"/>
      <c r="S26" s="101"/>
      <c r="T26" s="121"/>
      <c r="U26" s="121"/>
      <c r="V26" s="123"/>
      <c r="W26" s="123"/>
      <c r="X26" s="123"/>
      <c r="Y26" s="123"/>
      <c r="Z26" s="123"/>
      <c r="AA26" s="39"/>
      <c r="AB26" s="123"/>
      <c r="AC26" s="123"/>
      <c r="AD26" s="123"/>
    </row>
    <row r="27" spans="1:30" ht="183" customHeight="1">
      <c r="A27" s="123"/>
      <c r="B27" s="123"/>
      <c r="C27" s="123"/>
      <c r="D27" s="123"/>
      <c r="E27" s="123"/>
      <c r="F27" s="123"/>
      <c r="G27" s="123"/>
      <c r="H27" s="123"/>
      <c r="I27" s="123"/>
      <c r="J27" s="123"/>
      <c r="K27" s="123"/>
      <c r="L27" s="445"/>
      <c r="M27" s="445"/>
      <c r="N27" s="123"/>
      <c r="O27" s="123"/>
      <c r="P27" s="123"/>
      <c r="Q27" s="123"/>
      <c r="R27" s="123"/>
      <c r="S27" s="441"/>
      <c r="T27" s="123"/>
      <c r="U27" s="123"/>
      <c r="V27" s="446"/>
      <c r="W27" s="123"/>
      <c r="X27" s="101"/>
      <c r="Y27" s="101"/>
      <c r="Z27" s="101"/>
      <c r="AA27" s="446"/>
      <c r="AB27" s="101"/>
      <c r="AC27" s="101"/>
      <c r="AD27" s="101"/>
    </row>
    <row r="28" spans="1:30" ht="18.75" customHeight="1">
      <c r="A28" s="123"/>
      <c r="B28" s="123"/>
      <c r="C28" s="123"/>
      <c r="D28" s="123"/>
      <c r="E28" s="123"/>
      <c r="F28" s="123"/>
      <c r="G28" s="123"/>
      <c r="H28" s="123"/>
      <c r="I28" s="123"/>
      <c r="J28" s="123"/>
      <c r="K28" s="123"/>
      <c r="L28" s="123"/>
      <c r="N28" s="123"/>
      <c r="O28" s="123"/>
      <c r="P28" s="123"/>
      <c r="Q28" s="123"/>
      <c r="R28" s="123"/>
      <c r="S28" s="121"/>
      <c r="T28" s="123"/>
      <c r="U28" s="123"/>
      <c r="V28" s="123"/>
      <c r="W28" s="123"/>
      <c r="X28" s="123"/>
      <c r="Y28" s="123"/>
      <c r="Z28" s="123"/>
      <c r="AA28" s="39"/>
      <c r="AB28" s="123"/>
      <c r="AC28" s="123"/>
      <c r="AD28" s="123"/>
    </row>
    <row r="29" spans="1:30" ht="12.5">
      <c r="A29" s="123"/>
      <c r="B29" s="123"/>
      <c r="C29" s="123"/>
      <c r="D29" s="123"/>
      <c r="E29" s="123"/>
      <c r="F29" s="123"/>
      <c r="G29" s="123"/>
      <c r="H29" s="123"/>
      <c r="I29" s="123"/>
      <c r="J29" s="123"/>
      <c r="K29" s="123"/>
      <c r="L29" s="123"/>
      <c r="Q29" s="123"/>
      <c r="R29" s="123"/>
      <c r="S29" s="442"/>
      <c r="T29" s="123"/>
      <c r="U29" s="123"/>
      <c r="V29" s="123"/>
      <c r="W29" s="123"/>
      <c r="X29" s="123"/>
      <c r="Y29" s="123"/>
      <c r="Z29" s="123"/>
      <c r="AA29" s="39"/>
      <c r="AB29" s="123"/>
      <c r="AC29" s="123"/>
      <c r="AD29" s="123"/>
    </row>
    <row r="30" spans="1:30" ht="12.5">
      <c r="A30" s="123"/>
      <c r="B30" s="123"/>
      <c r="C30" s="123"/>
      <c r="D30" s="123"/>
      <c r="E30" s="123"/>
      <c r="F30" s="123"/>
      <c r="G30" s="123"/>
      <c r="H30" s="123"/>
      <c r="I30" s="123"/>
      <c r="J30" s="123"/>
      <c r="K30" s="123"/>
      <c r="L30" s="123"/>
      <c r="Q30" s="123"/>
      <c r="R30" s="123"/>
      <c r="S30" s="442"/>
      <c r="T30" s="123"/>
      <c r="U30" s="123"/>
      <c r="V30" s="123"/>
      <c r="W30" s="123"/>
      <c r="X30" s="123"/>
      <c r="Y30" s="123"/>
      <c r="Z30" s="123"/>
      <c r="AA30" s="39"/>
      <c r="AB30" s="123"/>
      <c r="AC30" s="123"/>
      <c r="AD30" s="123"/>
    </row>
    <row r="31" spans="1:30" ht="18.75" customHeight="1">
      <c r="A31" s="123"/>
      <c r="B31" s="123"/>
      <c r="C31" s="123"/>
      <c r="D31" s="123"/>
      <c r="E31" s="123"/>
      <c r="F31" s="123"/>
      <c r="G31" s="123"/>
      <c r="H31" s="123"/>
      <c r="I31" s="123"/>
      <c r="J31" s="123"/>
      <c r="K31" s="123"/>
      <c r="L31" s="123"/>
      <c r="N31" s="123"/>
      <c r="O31" s="123"/>
      <c r="P31" s="123"/>
      <c r="Q31" s="123"/>
      <c r="R31" s="123"/>
      <c r="S31" s="121"/>
      <c r="T31" s="123"/>
      <c r="U31" s="123"/>
      <c r="V31" s="123"/>
      <c r="W31" s="123"/>
      <c r="X31" s="123"/>
      <c r="Y31" s="123"/>
      <c r="Z31" s="123"/>
      <c r="AA31" s="39"/>
      <c r="AB31" s="123"/>
      <c r="AC31" s="123"/>
      <c r="AD31" s="123"/>
    </row>
    <row r="32" spans="1:30" ht="18.75" customHeight="1">
      <c r="A32" s="123"/>
      <c r="B32" s="123"/>
      <c r="C32" s="123"/>
      <c r="D32" s="123"/>
      <c r="E32" s="123"/>
      <c r="F32" s="123"/>
      <c r="G32" s="123"/>
      <c r="H32" s="123"/>
      <c r="I32" s="123"/>
      <c r="J32" s="123"/>
      <c r="K32" s="123"/>
      <c r="L32" s="123"/>
      <c r="M32" s="123"/>
      <c r="Q32" s="123"/>
      <c r="R32" s="123"/>
      <c r="S32" s="442"/>
      <c r="T32" s="123"/>
      <c r="U32" s="123"/>
      <c r="V32" s="123"/>
      <c r="W32" s="123"/>
      <c r="X32" s="123"/>
      <c r="Y32" s="123"/>
      <c r="Z32" s="123"/>
      <c r="AA32" s="39"/>
      <c r="AB32" s="123"/>
      <c r="AC32" s="123"/>
      <c r="AD32" s="123"/>
    </row>
    <row r="33" spans="1:30" ht="147" customHeight="1">
      <c r="A33" s="123"/>
      <c r="B33" s="123"/>
      <c r="C33" s="123"/>
      <c r="D33" s="123"/>
      <c r="E33" s="123"/>
      <c r="F33" s="123"/>
      <c r="G33" s="123"/>
      <c r="H33" s="123"/>
      <c r="I33" s="123"/>
      <c r="J33" s="123"/>
      <c r="K33" s="123"/>
      <c r="L33" s="445"/>
      <c r="M33" s="444"/>
      <c r="Q33" s="123"/>
      <c r="R33" s="123"/>
      <c r="S33" s="123"/>
      <c r="T33" s="31"/>
      <c r="U33" s="123"/>
      <c r="V33" s="123"/>
      <c r="W33" s="123"/>
      <c r="X33" s="123"/>
      <c r="Y33" s="123"/>
      <c r="Z33" s="123"/>
      <c r="AA33" s="39"/>
      <c r="AB33" s="123"/>
      <c r="AC33" s="123"/>
      <c r="AD33" s="123"/>
    </row>
    <row r="34" spans="1:30" ht="12.5">
      <c r="A34" s="123"/>
      <c r="B34" s="123"/>
      <c r="C34" s="123"/>
      <c r="D34" s="123"/>
      <c r="E34" s="123"/>
      <c r="F34" s="123"/>
      <c r="G34" s="123"/>
      <c r="H34" s="123"/>
      <c r="I34" s="123"/>
      <c r="J34" s="123"/>
      <c r="K34" s="123"/>
      <c r="L34" s="123"/>
      <c r="M34" s="123"/>
      <c r="Q34" s="123"/>
      <c r="R34" s="123"/>
      <c r="S34" s="442"/>
      <c r="T34" s="123"/>
      <c r="U34" s="123"/>
      <c r="V34" s="123"/>
      <c r="W34" s="123"/>
      <c r="X34" s="123"/>
      <c r="Y34" s="123"/>
      <c r="Z34" s="123"/>
      <c r="AA34" s="39"/>
      <c r="AB34" s="123"/>
      <c r="AC34" s="123"/>
      <c r="AD34" s="123"/>
    </row>
    <row r="35" spans="1:30" ht="15.75" customHeight="1">
      <c r="A35" s="246"/>
      <c r="B35" s="246"/>
      <c r="C35" s="246"/>
      <c r="D35" s="246"/>
      <c r="E35" s="246"/>
      <c r="F35" s="246"/>
      <c r="G35" s="246"/>
      <c r="H35" s="246"/>
      <c r="I35" s="246"/>
      <c r="J35" s="246"/>
      <c r="K35" s="246"/>
      <c r="L35" s="123"/>
      <c r="M35" s="123"/>
      <c r="N35" s="193"/>
      <c r="O35" s="193"/>
      <c r="P35" s="193"/>
      <c r="Q35" s="123"/>
      <c r="R35" s="246"/>
      <c r="S35" s="443"/>
      <c r="T35" s="246"/>
      <c r="U35" s="246"/>
      <c r="V35" s="246"/>
      <c r="W35" s="246"/>
      <c r="X35" s="246"/>
      <c r="Y35" s="246"/>
      <c r="Z35" s="246"/>
      <c r="AA35" s="447"/>
      <c r="AB35" s="246"/>
      <c r="AC35" s="123"/>
      <c r="AD35" s="123"/>
    </row>
    <row r="36" spans="1:30" ht="13">
      <c r="A36" s="123"/>
      <c r="B36" s="123"/>
      <c r="C36" s="123"/>
      <c r="D36" s="123"/>
      <c r="E36" s="123"/>
      <c r="F36" s="123"/>
      <c r="G36" s="123"/>
      <c r="H36" s="123"/>
      <c r="I36" s="123"/>
      <c r="J36" s="123"/>
      <c r="K36" s="123"/>
      <c r="L36" s="444"/>
      <c r="M36" s="444"/>
      <c r="Q36" s="123"/>
      <c r="R36" s="123"/>
      <c r="S36" s="123"/>
      <c r="T36" s="123"/>
      <c r="U36" s="123"/>
      <c r="V36" s="123"/>
      <c r="W36" s="123"/>
      <c r="X36" s="123"/>
      <c r="Y36" s="123"/>
      <c r="Z36" s="123"/>
      <c r="AA36" s="39"/>
      <c r="AB36" s="123"/>
      <c r="AC36" s="123"/>
      <c r="AD36" s="123"/>
    </row>
    <row r="37" spans="1:30" ht="35.25" customHeight="1">
      <c r="A37" s="246"/>
      <c r="B37" s="246"/>
      <c r="C37" s="246"/>
      <c r="D37" s="246"/>
      <c r="E37" s="123"/>
      <c r="F37" s="123"/>
      <c r="G37" s="123"/>
      <c r="H37" s="123"/>
      <c r="I37" s="123"/>
      <c r="J37" s="123"/>
      <c r="K37" s="123"/>
      <c r="L37" s="444"/>
      <c r="M37" s="444"/>
      <c r="Q37" s="123"/>
      <c r="R37" s="246"/>
      <c r="S37" s="246"/>
      <c r="T37" s="246"/>
      <c r="U37" s="246"/>
      <c r="V37" s="246"/>
      <c r="W37" s="246"/>
      <c r="X37" s="246"/>
      <c r="Y37" s="246"/>
      <c r="Z37" s="246"/>
      <c r="AA37" s="447"/>
      <c r="AB37" s="246"/>
      <c r="AC37" s="123"/>
      <c r="AD37" s="123"/>
    </row>
    <row r="38" spans="1:30" ht="12.5">
      <c r="A38" s="246"/>
      <c r="B38" s="246"/>
      <c r="C38" s="246"/>
      <c r="D38" s="246"/>
      <c r="E38" s="123"/>
      <c r="F38" s="123"/>
      <c r="G38" s="123"/>
      <c r="H38" s="123"/>
      <c r="I38" s="123"/>
      <c r="J38" s="123"/>
      <c r="K38" s="123"/>
      <c r="L38" s="123"/>
      <c r="M38" s="123"/>
      <c r="N38" s="123"/>
      <c r="O38" s="123"/>
      <c r="P38" s="123"/>
      <c r="Q38" s="123"/>
      <c r="R38" s="246"/>
      <c r="S38" s="443"/>
      <c r="T38" s="246"/>
      <c r="U38" s="246"/>
      <c r="V38" s="246"/>
      <c r="W38" s="246"/>
      <c r="X38" s="246"/>
      <c r="Y38" s="246"/>
      <c r="Z38" s="246"/>
      <c r="AA38" s="447"/>
      <c r="AB38" s="246"/>
      <c r="AC38" s="123"/>
      <c r="AD38" s="123"/>
    </row>
    <row r="39" spans="1:30" ht="12.5">
      <c r="A39" s="123"/>
      <c r="B39" s="123"/>
      <c r="C39" s="123"/>
      <c r="D39" s="123"/>
      <c r="E39" s="123"/>
      <c r="F39" s="123"/>
      <c r="G39" s="123"/>
      <c r="H39" s="123"/>
      <c r="I39" s="123"/>
      <c r="J39" s="123"/>
      <c r="K39" s="123"/>
      <c r="L39" s="123"/>
      <c r="M39" s="123"/>
      <c r="N39" s="123"/>
      <c r="O39" s="123"/>
      <c r="P39" s="123"/>
      <c r="Q39" s="123"/>
      <c r="R39" s="123"/>
      <c r="S39" s="442"/>
      <c r="T39" s="123"/>
      <c r="U39" s="123"/>
      <c r="V39" s="123"/>
      <c r="W39" s="123"/>
      <c r="X39" s="123"/>
      <c r="Y39" s="123"/>
      <c r="Z39" s="123"/>
      <c r="AA39" s="39"/>
      <c r="AB39" s="123"/>
      <c r="AC39" s="123"/>
      <c r="AD39" s="123"/>
    </row>
    <row r="40" spans="1:30" ht="15.75" customHeight="1">
      <c r="A40" s="186"/>
      <c r="B40" s="186"/>
      <c r="C40" s="186"/>
      <c r="D40" s="186"/>
      <c r="E40" s="186"/>
      <c r="F40" s="186"/>
      <c r="G40" s="186"/>
      <c r="H40" s="186"/>
      <c r="I40" s="186"/>
      <c r="J40" s="186"/>
      <c r="K40" s="186"/>
      <c r="L40" s="186"/>
      <c r="M40" s="186"/>
      <c r="N40" s="186"/>
      <c r="O40" s="186"/>
      <c r="P40" s="186"/>
      <c r="Q40" s="186"/>
      <c r="R40" s="186"/>
      <c r="S40" s="122"/>
      <c r="T40" s="186"/>
      <c r="U40" s="186"/>
      <c r="V40" s="186"/>
      <c r="W40" s="186"/>
      <c r="X40" s="186"/>
      <c r="Y40" s="186"/>
      <c r="Z40" s="186"/>
      <c r="AA40" s="33"/>
      <c r="AB40" s="186"/>
      <c r="AC40" s="186"/>
      <c r="AD40" s="186"/>
    </row>
    <row r="41" spans="1:30" ht="15.75" customHeight="1">
      <c r="A41" s="134"/>
      <c r="B41" s="134"/>
      <c r="C41" s="134"/>
      <c r="D41" s="134"/>
      <c r="E41" s="186"/>
      <c r="F41" s="186"/>
      <c r="G41" s="186"/>
      <c r="H41" s="186"/>
      <c r="I41" s="186"/>
      <c r="J41" s="186"/>
      <c r="K41" s="186"/>
      <c r="L41" s="186"/>
      <c r="M41" s="186"/>
      <c r="N41" s="186"/>
      <c r="O41" s="186"/>
      <c r="P41" s="186"/>
      <c r="Q41" s="186"/>
      <c r="R41" s="134"/>
      <c r="S41" s="243"/>
      <c r="T41" s="134"/>
      <c r="U41" s="134"/>
      <c r="V41" s="134"/>
      <c r="W41" s="134"/>
      <c r="X41" s="134"/>
      <c r="Y41" s="134"/>
      <c r="Z41" s="134"/>
      <c r="AA41" s="245"/>
      <c r="AB41" s="134"/>
      <c r="AC41" s="186"/>
      <c r="AD41" s="186"/>
    </row>
    <row r="42" spans="1:30" ht="15.75" customHeight="1">
      <c r="A42" s="134"/>
      <c r="B42" s="134"/>
      <c r="C42" s="134"/>
      <c r="D42" s="134"/>
      <c r="E42" s="186"/>
      <c r="F42" s="186"/>
      <c r="G42" s="186"/>
      <c r="H42" s="186"/>
      <c r="I42" s="186"/>
      <c r="J42" s="186"/>
      <c r="K42" s="186"/>
      <c r="L42" s="186"/>
      <c r="M42" s="186"/>
      <c r="N42" s="186"/>
      <c r="O42" s="186"/>
      <c r="P42" s="186"/>
      <c r="Q42" s="186"/>
      <c r="R42" s="134"/>
      <c r="S42" s="243"/>
      <c r="T42" s="134"/>
      <c r="U42" s="134"/>
      <c r="V42" s="134"/>
      <c r="W42" s="134"/>
      <c r="X42" s="134"/>
      <c r="Y42" s="134"/>
      <c r="Z42" s="134"/>
      <c r="AA42" s="245"/>
      <c r="AB42" s="134"/>
      <c r="AC42" s="186"/>
      <c r="AD42" s="186"/>
    </row>
    <row r="43" spans="1:30" ht="15.75" customHeight="1">
      <c r="A43" s="186"/>
      <c r="B43" s="186"/>
      <c r="C43" s="186"/>
      <c r="D43" s="186"/>
      <c r="E43" s="186"/>
      <c r="F43" s="186"/>
      <c r="G43" s="186"/>
      <c r="H43" s="186"/>
      <c r="I43" s="186"/>
      <c r="J43" s="186"/>
      <c r="K43" s="186"/>
      <c r="L43" s="186"/>
      <c r="M43" s="186"/>
      <c r="N43" s="186"/>
      <c r="O43" s="186"/>
      <c r="P43" s="186"/>
      <c r="Q43" s="186"/>
      <c r="R43" s="186"/>
      <c r="S43" s="122"/>
      <c r="T43" s="186"/>
      <c r="U43" s="186"/>
      <c r="V43" s="186"/>
      <c r="W43" s="186"/>
      <c r="X43" s="186"/>
      <c r="Y43" s="186"/>
      <c r="Z43" s="186"/>
      <c r="AA43" s="33"/>
      <c r="AB43" s="186"/>
      <c r="AC43" s="186"/>
      <c r="AD43" s="186"/>
    </row>
    <row r="44" spans="1:30" ht="15.75" customHeight="1">
      <c r="A44" s="186"/>
      <c r="B44" s="186"/>
      <c r="C44" s="186"/>
      <c r="D44" s="186"/>
      <c r="E44" s="186"/>
      <c r="F44" s="186"/>
      <c r="G44" s="186"/>
      <c r="H44" s="186"/>
      <c r="I44" s="186"/>
      <c r="J44" s="186"/>
      <c r="K44" s="186"/>
      <c r="L44" s="186"/>
      <c r="M44" s="186"/>
      <c r="N44" s="186"/>
      <c r="O44" s="186"/>
      <c r="P44" s="186"/>
      <c r="Q44" s="186"/>
      <c r="R44" s="186"/>
      <c r="S44" s="122"/>
      <c r="T44" s="186"/>
      <c r="U44" s="186"/>
      <c r="V44" s="186"/>
      <c r="W44" s="186"/>
      <c r="X44" s="186"/>
      <c r="Y44" s="186"/>
      <c r="Z44" s="186"/>
      <c r="AA44" s="33"/>
      <c r="AB44" s="186"/>
      <c r="AC44" s="186"/>
      <c r="AD44" s="186"/>
    </row>
    <row r="45" spans="1:30" ht="18.75" customHeight="1">
      <c r="A45" s="186"/>
      <c r="B45" s="186"/>
      <c r="C45" s="186"/>
      <c r="D45" s="186"/>
      <c r="E45" s="186"/>
      <c r="F45" s="186"/>
      <c r="G45" s="186"/>
      <c r="H45" s="186"/>
      <c r="I45" s="186"/>
      <c r="J45" s="186"/>
      <c r="K45" s="186"/>
      <c r="L45" s="186"/>
      <c r="M45" s="186"/>
      <c r="N45" s="186"/>
      <c r="O45" s="186"/>
      <c r="P45" s="186"/>
      <c r="Q45" s="186"/>
      <c r="R45" s="186"/>
      <c r="S45" s="122"/>
      <c r="T45" s="186"/>
      <c r="U45" s="186"/>
      <c r="V45" s="186"/>
      <c r="W45" s="186"/>
      <c r="X45" s="186"/>
      <c r="Y45" s="186"/>
      <c r="Z45" s="186"/>
      <c r="AA45" s="33"/>
      <c r="AB45" s="186"/>
      <c r="AC45" s="186"/>
      <c r="AD45" s="186"/>
    </row>
    <row r="46" spans="1:30" ht="18.75" customHeight="1">
      <c r="A46" s="186"/>
      <c r="B46" s="186"/>
      <c r="C46" s="186"/>
      <c r="D46" s="186"/>
      <c r="E46" s="186"/>
      <c r="F46" s="186"/>
      <c r="G46" s="186"/>
      <c r="H46" s="186"/>
      <c r="I46" s="186"/>
      <c r="J46" s="186"/>
      <c r="K46" s="186"/>
      <c r="Q46" s="123"/>
      <c r="R46" s="186"/>
      <c r="S46" s="122"/>
      <c r="T46" s="186"/>
      <c r="U46" s="186"/>
      <c r="V46" s="186"/>
      <c r="W46" s="186"/>
      <c r="X46" s="186"/>
      <c r="Y46" s="186"/>
      <c r="Z46" s="186"/>
      <c r="AA46" s="33"/>
      <c r="AB46" s="186"/>
      <c r="AC46" s="186"/>
      <c r="AD46" s="186"/>
    </row>
    <row r="47" spans="1:30" ht="14">
      <c r="A47" s="123"/>
      <c r="B47" s="123"/>
      <c r="C47" s="123"/>
      <c r="D47" s="123"/>
      <c r="E47" s="123"/>
      <c r="F47" s="123"/>
      <c r="G47" s="448"/>
      <c r="H47" s="123"/>
      <c r="I47" s="123"/>
      <c r="J47" s="123"/>
      <c r="K47" s="123"/>
      <c r="L47" s="123"/>
      <c r="M47" s="123"/>
      <c r="N47" s="123"/>
      <c r="O47" s="123"/>
      <c r="P47" s="123"/>
      <c r="Q47" s="123"/>
      <c r="R47" s="123"/>
      <c r="S47" s="121"/>
      <c r="T47" s="121"/>
      <c r="U47" s="121"/>
      <c r="V47" s="123"/>
      <c r="W47" s="123"/>
      <c r="X47" s="123"/>
      <c r="Y47" s="123"/>
      <c r="Z47" s="123"/>
      <c r="AA47" s="39"/>
      <c r="AB47" s="123"/>
      <c r="AC47" s="123"/>
      <c r="AD47" s="123"/>
    </row>
    <row r="48" spans="1:30" ht="12.5">
      <c r="A48" s="123"/>
      <c r="B48" s="123"/>
      <c r="C48" s="123"/>
      <c r="D48" s="123"/>
      <c r="E48" s="123"/>
      <c r="F48" s="123"/>
      <c r="G48" s="123"/>
      <c r="H48" s="123"/>
      <c r="I48" s="123"/>
      <c r="J48" s="123"/>
      <c r="K48" s="123"/>
      <c r="L48" s="123"/>
      <c r="N48" s="123"/>
      <c r="O48" s="123"/>
      <c r="P48" s="123"/>
      <c r="Q48" s="123"/>
      <c r="R48" s="123"/>
      <c r="S48" s="121"/>
      <c r="T48" s="123"/>
      <c r="U48" s="123"/>
      <c r="V48" s="123"/>
      <c r="W48" s="123"/>
      <c r="X48" s="123"/>
      <c r="Y48" s="123"/>
      <c r="Z48" s="123"/>
      <c r="AA48" s="39"/>
      <c r="AB48" s="123"/>
      <c r="AC48" s="123"/>
      <c r="AD48" s="123"/>
    </row>
    <row r="49" spans="1:30" ht="97.5" customHeight="1">
      <c r="A49" s="123"/>
      <c r="B49" s="123"/>
      <c r="C49" s="123"/>
      <c r="D49" s="123"/>
      <c r="E49" s="123"/>
      <c r="F49" s="123"/>
      <c r="G49" s="123"/>
      <c r="H49" s="123"/>
      <c r="I49" s="123"/>
      <c r="J49" s="123"/>
      <c r="K49" s="123"/>
      <c r="L49" s="444"/>
      <c r="M49" s="444"/>
      <c r="Q49" s="123"/>
      <c r="R49" s="123"/>
      <c r="S49" s="442"/>
      <c r="T49" s="123"/>
      <c r="U49" s="123"/>
      <c r="V49" s="123"/>
      <c r="W49" s="123"/>
      <c r="X49" s="123"/>
      <c r="Y49" s="123"/>
      <c r="Z49" s="123"/>
      <c r="AA49" s="39"/>
      <c r="AB49" s="123"/>
      <c r="AC49" s="123"/>
      <c r="AD49" s="123"/>
    </row>
    <row r="50" spans="1:30" ht="13">
      <c r="A50" s="123"/>
      <c r="B50" s="123"/>
      <c r="C50" s="123"/>
      <c r="D50" s="123"/>
      <c r="E50" s="123"/>
      <c r="F50" s="123"/>
      <c r="G50" s="123"/>
      <c r="H50" s="123"/>
      <c r="I50" s="123"/>
      <c r="J50" s="123"/>
      <c r="K50" s="123"/>
      <c r="L50" s="444"/>
      <c r="M50" s="444"/>
      <c r="Q50" s="123"/>
      <c r="R50" s="123"/>
      <c r="S50" s="449"/>
      <c r="T50" s="123"/>
      <c r="U50" s="123"/>
      <c r="V50" s="123"/>
      <c r="W50" s="123"/>
      <c r="X50" s="123"/>
      <c r="Y50" s="123"/>
      <c r="Z50" s="123"/>
      <c r="AA50" s="39"/>
      <c r="AB50" s="123"/>
      <c r="AC50" s="123"/>
      <c r="AD50" s="123"/>
    </row>
    <row r="51" spans="1:30" ht="12.5">
      <c r="A51" s="186"/>
      <c r="B51" s="186"/>
      <c r="C51" s="186"/>
      <c r="D51" s="186"/>
      <c r="E51" s="186"/>
      <c r="F51" s="186"/>
      <c r="G51" s="186"/>
      <c r="H51" s="186"/>
      <c r="I51" s="186"/>
      <c r="J51" s="186"/>
      <c r="K51" s="186"/>
      <c r="Q51" s="123"/>
      <c r="R51" s="186"/>
      <c r="S51" s="122"/>
      <c r="T51" s="186"/>
      <c r="U51" s="186"/>
      <c r="V51" s="186"/>
      <c r="W51" s="186"/>
      <c r="X51" s="186"/>
      <c r="Y51" s="186"/>
      <c r="Z51" s="186"/>
      <c r="AA51" s="33"/>
      <c r="AB51" s="186"/>
      <c r="AC51" s="186"/>
      <c r="AD51" s="186"/>
    </row>
    <row r="52" spans="1:30" ht="12.5">
      <c r="A52" s="186"/>
      <c r="B52" s="186"/>
      <c r="C52" s="186"/>
      <c r="D52" s="186"/>
      <c r="E52" s="186"/>
      <c r="F52" s="186"/>
      <c r="G52" s="186"/>
      <c r="H52" s="186"/>
      <c r="I52" s="186"/>
      <c r="J52" s="186"/>
      <c r="K52" s="186"/>
      <c r="Q52" s="123"/>
      <c r="R52" s="186"/>
      <c r="S52" s="122"/>
      <c r="T52" s="90"/>
      <c r="U52" s="90"/>
      <c r="V52" s="186"/>
      <c r="W52" s="186"/>
      <c r="X52" s="186"/>
      <c r="Y52" s="186"/>
      <c r="Z52" s="186"/>
      <c r="AA52" s="33"/>
      <c r="AB52" s="186"/>
      <c r="AC52" s="186"/>
      <c r="AD52" s="186"/>
    </row>
    <row r="53" spans="1:30" ht="12.5">
      <c r="A53" s="123"/>
      <c r="B53" s="123"/>
      <c r="C53" s="123"/>
      <c r="D53" s="123"/>
      <c r="E53" s="123"/>
      <c r="F53" s="123"/>
      <c r="G53" s="123"/>
      <c r="H53" s="123"/>
      <c r="I53" s="123"/>
      <c r="J53" s="123"/>
      <c r="K53" s="123"/>
      <c r="L53" s="123"/>
      <c r="N53" s="123"/>
      <c r="O53" s="123"/>
      <c r="P53" s="123"/>
      <c r="Q53" s="123"/>
      <c r="R53" s="123"/>
      <c r="S53" s="121"/>
      <c r="T53" s="123"/>
      <c r="U53" s="123"/>
      <c r="V53" s="123"/>
      <c r="W53" s="123"/>
      <c r="X53" s="123"/>
      <c r="Y53" s="123"/>
      <c r="Z53" s="123"/>
      <c r="AA53" s="39"/>
      <c r="AB53" s="123"/>
      <c r="AC53" s="123"/>
      <c r="AD53" s="123"/>
    </row>
    <row r="54" spans="1:30" ht="13">
      <c r="A54" s="123"/>
      <c r="B54" s="123"/>
      <c r="C54" s="123"/>
      <c r="D54" s="123"/>
      <c r="E54" s="123"/>
      <c r="F54" s="123"/>
      <c r="G54" s="123"/>
      <c r="H54" s="123"/>
      <c r="I54" s="123"/>
      <c r="J54" s="123"/>
      <c r="K54" s="123"/>
      <c r="L54" s="445"/>
      <c r="M54" s="444"/>
      <c r="N54" s="123"/>
      <c r="O54" s="123"/>
      <c r="P54" s="123"/>
      <c r="Q54" s="123"/>
      <c r="R54" s="123"/>
      <c r="S54" s="121"/>
      <c r="T54" s="123"/>
      <c r="U54" s="123"/>
      <c r="V54" s="123"/>
      <c r="W54" s="123"/>
      <c r="X54" s="123"/>
      <c r="Y54" s="123"/>
      <c r="Z54" s="123"/>
      <c r="AA54" s="39"/>
      <c r="AB54" s="123"/>
      <c r="AC54" s="123"/>
      <c r="AD54" s="123"/>
    </row>
    <row r="55" spans="1:30" ht="13">
      <c r="A55" s="123"/>
      <c r="B55" s="123"/>
      <c r="C55" s="123"/>
      <c r="D55" s="123"/>
      <c r="E55" s="123"/>
      <c r="F55" s="123"/>
      <c r="G55" s="123"/>
      <c r="H55" s="123"/>
      <c r="I55" s="123"/>
      <c r="J55" s="123"/>
      <c r="K55" s="123"/>
      <c r="L55" s="444"/>
      <c r="M55" s="444"/>
      <c r="Q55" s="123"/>
      <c r="R55" s="123"/>
      <c r="S55" s="123"/>
      <c r="T55" s="123"/>
      <c r="U55" s="123"/>
      <c r="V55" s="123"/>
      <c r="W55" s="123"/>
      <c r="X55" s="123"/>
      <c r="Y55" s="123"/>
      <c r="Z55" s="123"/>
      <c r="AA55" s="39"/>
      <c r="AB55" s="123"/>
      <c r="AC55" s="123"/>
      <c r="AD55" s="123"/>
    </row>
    <row r="56" spans="1:30" ht="162.75" customHeight="1">
      <c r="A56" s="123"/>
      <c r="B56" s="123"/>
      <c r="C56" s="123"/>
      <c r="D56" s="123"/>
      <c r="E56" s="123"/>
      <c r="F56" s="123"/>
      <c r="G56" s="123"/>
      <c r="H56" s="123"/>
      <c r="I56" s="123"/>
      <c r="J56" s="123"/>
      <c r="K56" s="123"/>
      <c r="L56" s="444"/>
      <c r="M56" s="444"/>
      <c r="Q56" s="123"/>
      <c r="R56" s="123"/>
      <c r="S56" s="123"/>
      <c r="T56" s="123"/>
      <c r="U56" s="123"/>
      <c r="V56" s="123"/>
      <c r="W56" s="123"/>
      <c r="X56" s="123"/>
      <c r="Y56" s="123"/>
      <c r="Z56" s="123"/>
      <c r="AA56" s="39"/>
      <c r="AB56" s="123"/>
      <c r="AC56" s="123"/>
      <c r="AD56" s="123"/>
    </row>
    <row r="57" spans="1:30" ht="168" customHeight="1">
      <c r="A57" s="123"/>
      <c r="B57" s="123"/>
      <c r="C57" s="123"/>
      <c r="D57" s="123"/>
      <c r="E57" s="123"/>
      <c r="F57" s="123"/>
      <c r="G57" s="123"/>
      <c r="H57" s="123"/>
      <c r="I57" s="123"/>
      <c r="J57" s="123"/>
      <c r="K57" s="123"/>
      <c r="L57" s="444"/>
      <c r="M57" s="444"/>
      <c r="Q57" s="123"/>
      <c r="R57" s="123"/>
      <c r="S57" s="123"/>
      <c r="T57" s="121"/>
      <c r="U57" s="121"/>
      <c r="V57" s="123"/>
      <c r="W57" s="123"/>
      <c r="X57" s="123"/>
      <c r="Y57" s="123"/>
      <c r="Z57" s="123"/>
      <c r="AA57" s="39"/>
      <c r="AB57" s="123"/>
      <c r="AC57" s="123"/>
      <c r="AD57" s="123"/>
    </row>
    <row r="58" spans="1:30" ht="12.5">
      <c r="A58" s="123"/>
      <c r="B58" s="123"/>
      <c r="C58" s="123"/>
      <c r="D58" s="123"/>
      <c r="E58" s="123"/>
      <c r="F58" s="123"/>
      <c r="G58" s="123"/>
      <c r="H58" s="123"/>
      <c r="I58" s="123"/>
      <c r="J58" s="123"/>
      <c r="K58" s="123"/>
      <c r="L58" s="123"/>
      <c r="N58" s="123"/>
      <c r="O58" s="123"/>
      <c r="P58" s="123"/>
      <c r="Q58" s="123"/>
      <c r="R58" s="123"/>
      <c r="S58" s="121"/>
      <c r="T58" s="121"/>
      <c r="U58" s="121"/>
      <c r="V58" s="123"/>
      <c r="W58" s="123"/>
      <c r="X58" s="123"/>
      <c r="Y58" s="123"/>
      <c r="Z58" s="123"/>
      <c r="AA58" s="39"/>
      <c r="AB58" s="123"/>
      <c r="AC58" s="123"/>
      <c r="AD58" s="123"/>
    </row>
    <row r="59" spans="1:30" ht="18.75" customHeight="1">
      <c r="A59" s="123"/>
      <c r="B59" s="123"/>
      <c r="C59" s="123"/>
      <c r="D59" s="123"/>
      <c r="E59" s="123"/>
      <c r="F59" s="123"/>
      <c r="G59" s="123"/>
      <c r="H59" s="123"/>
      <c r="I59" s="123"/>
      <c r="J59" s="123"/>
      <c r="K59" s="123"/>
      <c r="L59" s="123"/>
      <c r="N59" s="123"/>
      <c r="O59" s="123"/>
      <c r="P59" s="123"/>
      <c r="Q59" s="123"/>
      <c r="R59" s="123"/>
      <c r="S59" s="121"/>
      <c r="T59" s="123"/>
      <c r="U59" s="123"/>
      <c r="V59" s="123"/>
      <c r="W59" s="123"/>
      <c r="X59" s="123"/>
      <c r="Y59" s="123"/>
      <c r="Z59" s="123"/>
      <c r="AA59" s="39"/>
      <c r="AB59" s="123"/>
      <c r="AC59" s="123"/>
      <c r="AD59" s="123"/>
    </row>
    <row r="60" spans="1:30" ht="18.75" customHeight="1">
      <c r="A60" s="123"/>
      <c r="B60" s="123"/>
      <c r="C60" s="123"/>
      <c r="D60" s="123"/>
      <c r="E60" s="123"/>
      <c r="F60" s="123"/>
      <c r="G60" s="123"/>
      <c r="H60" s="123"/>
      <c r="I60" s="123"/>
      <c r="J60" s="123"/>
      <c r="K60" s="123"/>
      <c r="L60" s="123"/>
      <c r="N60" s="123"/>
      <c r="O60" s="123"/>
      <c r="P60" s="123"/>
      <c r="Q60" s="123"/>
      <c r="R60" s="123"/>
      <c r="S60" s="121"/>
      <c r="T60" s="121"/>
      <c r="U60" s="121"/>
      <c r="V60" s="123"/>
      <c r="W60" s="123"/>
      <c r="X60" s="123"/>
      <c r="Y60" s="123"/>
      <c r="Z60" s="123"/>
      <c r="AA60" s="39"/>
      <c r="AB60" s="123"/>
      <c r="AC60" s="123"/>
      <c r="AD60" s="123"/>
    </row>
    <row r="61" spans="1:30" ht="18.75" customHeight="1">
      <c r="A61" s="123"/>
      <c r="B61" s="123"/>
      <c r="C61" s="123"/>
      <c r="D61" s="123"/>
      <c r="E61" s="123"/>
      <c r="F61" s="123"/>
      <c r="G61" s="123"/>
      <c r="H61" s="123"/>
      <c r="I61" s="123"/>
      <c r="J61" s="123"/>
      <c r="K61" s="123"/>
      <c r="L61" s="123"/>
      <c r="N61" s="123"/>
      <c r="O61" s="123"/>
      <c r="P61" s="123"/>
      <c r="Q61" s="123"/>
      <c r="R61" s="123"/>
      <c r="S61" s="121"/>
      <c r="T61" s="123"/>
      <c r="U61" s="123"/>
      <c r="V61" s="123"/>
      <c r="W61" s="123"/>
      <c r="X61" s="123"/>
      <c r="Y61" s="123"/>
      <c r="Z61" s="123"/>
      <c r="AA61" s="39"/>
      <c r="AB61" s="123"/>
      <c r="AC61" s="123"/>
      <c r="AD61" s="123"/>
    </row>
    <row r="62" spans="1:30" ht="18.75" customHeight="1">
      <c r="A62" s="123"/>
      <c r="B62" s="123"/>
      <c r="C62" s="123"/>
      <c r="D62" s="123"/>
      <c r="E62" s="123"/>
      <c r="F62" s="123"/>
      <c r="G62" s="123"/>
      <c r="H62" s="123"/>
      <c r="I62" s="123"/>
      <c r="J62" s="123"/>
      <c r="K62" s="123"/>
      <c r="L62" s="123"/>
      <c r="N62" s="123"/>
      <c r="O62" s="123"/>
      <c r="P62" s="123"/>
      <c r="Q62" s="123"/>
      <c r="R62" s="123"/>
      <c r="S62" s="121"/>
      <c r="T62" s="121"/>
      <c r="U62" s="121"/>
      <c r="V62" s="123"/>
      <c r="W62" s="123"/>
      <c r="X62" s="123"/>
      <c r="Y62" s="123"/>
      <c r="Z62" s="123"/>
      <c r="AA62" s="39"/>
      <c r="AB62" s="123"/>
      <c r="AC62" s="123"/>
      <c r="AD62" s="123"/>
    </row>
    <row r="63" spans="1:30" ht="18.75" customHeight="1">
      <c r="A63" s="186"/>
      <c r="B63" s="186"/>
      <c r="C63" s="186"/>
      <c r="D63" s="186"/>
      <c r="E63" s="186"/>
      <c r="F63" s="186"/>
      <c r="G63" s="186"/>
      <c r="H63" s="186"/>
      <c r="I63" s="186"/>
      <c r="J63" s="186"/>
      <c r="K63" s="186"/>
      <c r="Q63" s="123"/>
      <c r="R63" s="186"/>
      <c r="S63" s="122"/>
      <c r="T63" s="186"/>
      <c r="U63" s="186"/>
      <c r="V63" s="186"/>
      <c r="W63" s="186"/>
      <c r="X63" s="186"/>
      <c r="Y63" s="186"/>
      <c r="Z63" s="186"/>
      <c r="AA63" s="33"/>
      <c r="AB63" s="186"/>
      <c r="AC63" s="186"/>
      <c r="AD63" s="186"/>
    </row>
    <row r="64" spans="1:30" ht="18.75" customHeight="1">
      <c r="A64" s="186"/>
      <c r="B64" s="186"/>
      <c r="C64" s="186"/>
      <c r="D64" s="186"/>
      <c r="E64" s="186"/>
      <c r="F64" s="186"/>
      <c r="G64" s="186"/>
      <c r="H64" s="186"/>
      <c r="I64" s="186"/>
      <c r="J64" s="186"/>
      <c r="K64" s="186"/>
      <c r="Q64" s="123"/>
      <c r="R64" s="186"/>
      <c r="S64" s="122"/>
      <c r="T64" s="186"/>
      <c r="U64" s="186"/>
      <c r="V64" s="186"/>
      <c r="W64" s="186"/>
      <c r="X64" s="186"/>
      <c r="Y64" s="186"/>
      <c r="Z64" s="186"/>
      <c r="AA64" s="33"/>
      <c r="AB64" s="186"/>
      <c r="AC64" s="186"/>
      <c r="AD64" s="186"/>
    </row>
    <row r="65" spans="1:30" ht="18.75" customHeight="1">
      <c r="A65" s="186"/>
      <c r="B65" s="186"/>
      <c r="C65" s="186"/>
      <c r="D65" s="186"/>
      <c r="E65" s="186"/>
      <c r="F65" s="186"/>
      <c r="G65" s="186"/>
      <c r="H65" s="186"/>
      <c r="I65" s="186"/>
      <c r="J65" s="186"/>
      <c r="K65" s="186"/>
      <c r="Q65" s="123"/>
      <c r="R65" s="186"/>
      <c r="S65" s="122"/>
      <c r="T65" s="186"/>
      <c r="U65" s="186"/>
      <c r="V65" s="186"/>
      <c r="W65" s="186"/>
      <c r="X65" s="186"/>
      <c r="Y65" s="186"/>
      <c r="Z65" s="186"/>
      <c r="AA65" s="33"/>
      <c r="AB65" s="186"/>
      <c r="AC65" s="186"/>
      <c r="AD65" s="186"/>
    </row>
    <row r="66" spans="1:30" ht="18.75" customHeight="1">
      <c r="A66" s="123"/>
      <c r="B66" s="123"/>
      <c r="C66" s="123"/>
      <c r="D66" s="123"/>
      <c r="E66" s="123"/>
      <c r="F66" s="123"/>
      <c r="G66" s="448"/>
      <c r="H66" s="123"/>
      <c r="I66" s="123"/>
      <c r="J66" s="123"/>
      <c r="K66" s="123"/>
      <c r="L66" s="123"/>
      <c r="M66" s="123"/>
      <c r="N66" s="123"/>
      <c r="O66" s="123"/>
      <c r="P66" s="123"/>
      <c r="Q66" s="123"/>
      <c r="R66" s="123"/>
      <c r="S66" s="121"/>
      <c r="T66" s="121"/>
      <c r="U66" s="121"/>
      <c r="V66" s="123"/>
      <c r="W66" s="123"/>
      <c r="X66" s="123"/>
      <c r="Y66" s="123"/>
      <c r="Z66" s="123"/>
      <c r="AA66" s="39"/>
      <c r="AB66" s="123"/>
      <c r="AC66" s="123"/>
      <c r="AD66" s="123"/>
    </row>
    <row r="67" spans="1:30" ht="12.5">
      <c r="A67" s="123"/>
      <c r="B67" s="123"/>
      <c r="C67" s="123"/>
      <c r="D67" s="123"/>
      <c r="E67" s="123"/>
      <c r="F67" s="123"/>
      <c r="G67" s="123"/>
      <c r="H67" s="123"/>
      <c r="I67" s="123"/>
      <c r="J67" s="123"/>
      <c r="K67" s="123"/>
      <c r="L67" s="123"/>
      <c r="M67" s="123"/>
      <c r="N67" s="123"/>
      <c r="O67" s="123"/>
      <c r="P67" s="123"/>
      <c r="Q67" s="123"/>
      <c r="R67" s="123"/>
      <c r="S67" s="121"/>
      <c r="T67" s="121"/>
      <c r="U67" s="121"/>
      <c r="V67" s="123"/>
      <c r="W67" s="123"/>
      <c r="X67" s="123"/>
      <c r="Y67" s="123"/>
      <c r="Z67" s="123"/>
      <c r="AA67" s="39"/>
      <c r="AB67" s="123"/>
      <c r="AC67" s="123"/>
      <c r="AD67" s="123"/>
    </row>
    <row r="68" spans="1:30" ht="18.75" customHeight="1">
      <c r="A68" s="123"/>
      <c r="B68" s="123"/>
      <c r="C68" s="123"/>
      <c r="D68" s="123"/>
      <c r="E68" s="123"/>
      <c r="F68" s="123"/>
      <c r="G68" s="448"/>
      <c r="H68" s="123"/>
      <c r="I68" s="123"/>
      <c r="J68" s="123"/>
      <c r="K68" s="123"/>
      <c r="L68" s="123"/>
      <c r="M68" s="123"/>
      <c r="N68" s="123"/>
      <c r="O68" s="123"/>
      <c r="P68" s="123"/>
      <c r="Q68" s="123"/>
      <c r="R68" s="123"/>
      <c r="S68" s="121"/>
      <c r="T68" s="121"/>
      <c r="U68" s="121"/>
      <c r="V68" s="123"/>
      <c r="W68" s="123"/>
      <c r="X68" s="123"/>
      <c r="Y68" s="123"/>
      <c r="Z68" s="123"/>
      <c r="AA68" s="39"/>
      <c r="AB68" s="123"/>
      <c r="AC68" s="123"/>
      <c r="AD68" s="123"/>
    </row>
    <row r="69" spans="1:30" ht="18.75" customHeight="1">
      <c r="A69" s="123"/>
      <c r="B69" s="123"/>
      <c r="C69" s="123"/>
      <c r="D69" s="123"/>
      <c r="E69" s="123"/>
      <c r="F69" s="123"/>
      <c r="G69" s="123"/>
      <c r="H69" s="123"/>
      <c r="I69" s="123"/>
      <c r="J69" s="123"/>
      <c r="K69" s="123"/>
      <c r="L69" s="123"/>
      <c r="M69" s="123"/>
      <c r="N69" s="123"/>
      <c r="O69" s="123"/>
      <c r="P69" s="123"/>
      <c r="Q69" s="123"/>
      <c r="R69" s="123"/>
      <c r="S69" s="121"/>
      <c r="T69" s="121"/>
      <c r="U69" s="121"/>
      <c r="V69" s="123"/>
      <c r="W69" s="123"/>
      <c r="X69" s="123"/>
      <c r="Y69" s="123"/>
      <c r="Z69" s="123"/>
      <c r="AA69" s="39"/>
      <c r="AB69" s="123"/>
      <c r="AC69" s="123"/>
      <c r="AD69" s="123"/>
    </row>
    <row r="70" spans="1:30" ht="18.75" customHeight="1">
      <c r="A70" s="123"/>
      <c r="B70" s="123"/>
      <c r="C70" s="123"/>
      <c r="D70" s="123"/>
      <c r="E70" s="123"/>
      <c r="F70" s="123"/>
      <c r="G70" s="448"/>
      <c r="H70" s="123"/>
      <c r="I70" s="123"/>
      <c r="J70" s="123"/>
      <c r="K70" s="123"/>
      <c r="L70" s="123"/>
      <c r="M70" s="123"/>
      <c r="N70" s="123"/>
      <c r="O70" s="123"/>
      <c r="P70" s="123"/>
      <c r="Q70" s="123"/>
      <c r="R70" s="123"/>
      <c r="S70" s="121"/>
      <c r="T70" s="121"/>
      <c r="U70" s="121"/>
      <c r="V70" s="123"/>
      <c r="W70" s="123"/>
      <c r="X70" s="123"/>
      <c r="Y70" s="123"/>
      <c r="Z70" s="123"/>
      <c r="AA70" s="39"/>
      <c r="AB70" s="123"/>
      <c r="AC70" s="123"/>
      <c r="AD70" s="123"/>
    </row>
    <row r="71" spans="1:30" ht="18.75" customHeight="1">
      <c r="A71" s="186"/>
      <c r="B71" s="186"/>
      <c r="C71" s="186"/>
      <c r="D71" s="186"/>
      <c r="E71" s="186"/>
      <c r="F71" s="186"/>
      <c r="G71" s="186"/>
      <c r="H71" s="186"/>
      <c r="I71" s="186"/>
      <c r="J71" s="186"/>
      <c r="K71" s="186"/>
      <c r="Q71" s="123"/>
      <c r="R71" s="186"/>
      <c r="S71" s="122"/>
      <c r="T71" s="186"/>
      <c r="U71" s="186"/>
      <c r="V71" s="186"/>
      <c r="W71" s="186"/>
      <c r="X71" s="186"/>
      <c r="Y71" s="186"/>
      <c r="Z71" s="186"/>
      <c r="AA71" s="33"/>
      <c r="AB71" s="186"/>
      <c r="AC71" s="186"/>
      <c r="AD71" s="186"/>
    </row>
    <row r="72" spans="1:30" ht="18.75" customHeight="1">
      <c r="A72" s="123"/>
      <c r="B72" s="123"/>
      <c r="C72" s="123"/>
      <c r="D72" s="123"/>
      <c r="E72" s="123"/>
      <c r="F72" s="123"/>
      <c r="G72" s="123"/>
      <c r="H72" s="123"/>
      <c r="I72" s="123"/>
      <c r="J72" s="123"/>
      <c r="K72" s="123"/>
      <c r="L72" s="123"/>
      <c r="N72" s="123"/>
      <c r="O72" s="123"/>
      <c r="P72" s="123"/>
      <c r="Q72" s="123"/>
      <c r="R72" s="123"/>
      <c r="S72" s="121"/>
      <c r="T72" s="123"/>
      <c r="U72" s="123"/>
      <c r="V72" s="123"/>
      <c r="W72" s="123"/>
      <c r="X72" s="123"/>
      <c r="Y72" s="123"/>
      <c r="Z72" s="123"/>
      <c r="AA72" s="39"/>
      <c r="AB72" s="123"/>
      <c r="AC72" s="123"/>
      <c r="AD72" s="123"/>
    </row>
    <row r="73" spans="1:30" ht="15.75" customHeight="1">
      <c r="A73" s="186"/>
      <c r="B73" s="186"/>
      <c r="C73" s="186"/>
      <c r="D73" s="186"/>
      <c r="E73" s="186"/>
      <c r="F73" s="186"/>
      <c r="G73" s="186"/>
      <c r="H73" s="186"/>
      <c r="I73" s="186"/>
      <c r="J73" s="186"/>
      <c r="K73" s="186"/>
      <c r="Q73" s="123"/>
      <c r="R73" s="186"/>
      <c r="S73" s="122"/>
      <c r="T73" s="186"/>
      <c r="U73" s="186"/>
      <c r="V73" s="186"/>
      <c r="W73" s="186"/>
      <c r="X73" s="186"/>
      <c r="Y73" s="186"/>
      <c r="Z73" s="186"/>
      <c r="AA73" s="33"/>
      <c r="AB73" s="186"/>
      <c r="AC73" s="186"/>
      <c r="AD73" s="186"/>
    </row>
    <row r="74" spans="1:30" ht="13">
      <c r="A74" s="123"/>
      <c r="B74" s="123"/>
      <c r="C74" s="123"/>
      <c r="D74" s="123"/>
      <c r="E74" s="123"/>
      <c r="F74" s="123"/>
      <c r="G74" s="123"/>
      <c r="H74" s="123"/>
      <c r="I74" s="123"/>
      <c r="J74" s="123"/>
      <c r="K74" s="123"/>
      <c r="L74" s="123"/>
      <c r="M74" s="451"/>
      <c r="N74" s="123"/>
      <c r="O74" s="123"/>
      <c r="P74" s="451"/>
      <c r="Q74" s="123"/>
      <c r="R74" s="123"/>
      <c r="S74" s="121"/>
      <c r="T74" s="123"/>
      <c r="U74" s="123"/>
      <c r="V74" s="123"/>
      <c r="W74" s="123"/>
      <c r="X74" s="123"/>
      <c r="Y74" s="123"/>
      <c r="Z74" s="123"/>
      <c r="AA74" s="39"/>
      <c r="AB74" s="123"/>
      <c r="AC74" s="123"/>
      <c r="AD74" s="123"/>
    </row>
    <row r="75" spans="1:30" ht="39.75" customHeight="1">
      <c r="A75" s="123"/>
      <c r="B75" s="123"/>
      <c r="C75" s="123"/>
      <c r="D75" s="123"/>
      <c r="E75" s="123"/>
      <c r="F75" s="123"/>
      <c r="G75" s="123"/>
      <c r="H75" s="123"/>
      <c r="I75" s="123"/>
      <c r="J75" s="123"/>
      <c r="K75" s="123"/>
      <c r="L75" s="123"/>
      <c r="M75" s="451"/>
      <c r="N75" s="123"/>
      <c r="O75" s="123"/>
      <c r="P75" s="123"/>
      <c r="Q75" s="123"/>
      <c r="R75" s="123"/>
      <c r="S75" s="123"/>
      <c r="T75" s="123"/>
      <c r="U75" s="121"/>
      <c r="V75" s="123"/>
      <c r="W75" s="123"/>
      <c r="X75" s="123"/>
      <c r="Y75" s="123"/>
      <c r="Z75" s="123"/>
      <c r="AA75" s="39"/>
      <c r="AB75" s="123"/>
      <c r="AC75" s="123"/>
      <c r="AD75" s="123"/>
    </row>
    <row r="76" spans="1:30" ht="12.5">
      <c r="A76" s="123"/>
      <c r="B76" s="123"/>
      <c r="C76" s="123"/>
      <c r="D76" s="123"/>
      <c r="O76" s="123"/>
      <c r="P76" s="123"/>
      <c r="Q76" s="123"/>
      <c r="R76" s="123"/>
      <c r="S76" s="123"/>
      <c r="T76" s="123"/>
      <c r="U76" s="121"/>
      <c r="V76" s="123"/>
      <c r="W76" s="123"/>
      <c r="X76" s="123"/>
      <c r="Y76" s="123"/>
      <c r="Z76" s="123"/>
      <c r="AA76" s="39"/>
      <c r="AB76" s="123"/>
      <c r="AC76" s="123"/>
      <c r="AD76" s="123"/>
    </row>
    <row r="77" spans="1:30" ht="18.75" customHeight="1">
      <c r="A77" s="134"/>
      <c r="B77" s="134"/>
      <c r="C77" s="134"/>
      <c r="D77" s="134"/>
      <c r="O77" s="123"/>
      <c r="P77" s="123"/>
      <c r="Q77" s="123"/>
      <c r="R77" s="123"/>
      <c r="S77" s="123"/>
      <c r="T77" s="123"/>
      <c r="U77" s="134"/>
      <c r="V77" s="134"/>
      <c r="W77" s="134"/>
      <c r="X77" s="134"/>
      <c r="Y77" s="134"/>
      <c r="Z77" s="134"/>
      <c r="AA77" s="245"/>
      <c r="AB77" s="134"/>
      <c r="AC77" s="186"/>
      <c r="AD77" s="186"/>
    </row>
    <row r="78" spans="1:30" ht="18.75" customHeight="1">
      <c r="A78" s="134"/>
      <c r="B78" s="134"/>
      <c r="C78" s="134"/>
      <c r="D78" s="134"/>
      <c r="O78" s="123"/>
      <c r="P78" s="123"/>
      <c r="Q78" s="123"/>
      <c r="R78" s="123"/>
      <c r="S78" s="123"/>
      <c r="T78" s="123"/>
      <c r="U78" s="134"/>
      <c r="V78" s="134"/>
      <c r="W78" s="134"/>
      <c r="X78" s="134"/>
      <c r="Y78" s="134"/>
      <c r="Z78" s="134"/>
      <c r="AA78" s="245"/>
      <c r="AB78" s="134"/>
      <c r="AC78" s="186"/>
      <c r="AD78" s="186"/>
    </row>
    <row r="79" spans="1:30" ht="18.75" customHeight="1">
      <c r="A79" s="246"/>
      <c r="B79" s="246"/>
      <c r="C79" s="246"/>
      <c r="D79" s="246"/>
      <c r="O79" s="123"/>
      <c r="P79" s="123"/>
      <c r="Q79" s="123"/>
      <c r="R79" s="123"/>
      <c r="S79" s="123"/>
      <c r="T79" s="123"/>
      <c r="U79" s="450"/>
      <c r="V79" s="246"/>
      <c r="W79" s="246"/>
      <c r="X79" s="246"/>
      <c r="Y79" s="246"/>
      <c r="Z79" s="246"/>
      <c r="AA79" s="447"/>
      <c r="AB79" s="246"/>
      <c r="AC79" s="123"/>
      <c r="AD79" s="123"/>
    </row>
    <row r="80" spans="1:30" ht="18.75" customHeight="1">
      <c r="A80" s="134"/>
      <c r="B80" s="134"/>
      <c r="C80" s="134"/>
      <c r="D80" s="134"/>
      <c r="O80" s="123"/>
      <c r="P80" s="123"/>
      <c r="Q80" s="123"/>
      <c r="R80" s="123"/>
      <c r="S80" s="123"/>
      <c r="T80" s="123"/>
      <c r="U80" s="248"/>
      <c r="V80" s="134"/>
      <c r="W80" s="134"/>
      <c r="X80" s="134"/>
      <c r="Y80" s="134"/>
      <c r="Z80" s="134"/>
      <c r="AA80" s="245"/>
      <c r="AB80" s="134"/>
      <c r="AC80" s="186"/>
      <c r="AD80" s="186"/>
    </row>
    <row r="81" spans="1:30" ht="18.75" customHeight="1">
      <c r="A81" s="186"/>
      <c r="B81" s="186"/>
      <c r="C81" s="186"/>
      <c r="D81" s="186"/>
      <c r="O81" s="123"/>
      <c r="P81" s="123"/>
      <c r="Q81" s="123"/>
      <c r="R81" s="123"/>
      <c r="S81" s="123"/>
      <c r="T81" s="123"/>
      <c r="U81" s="186"/>
      <c r="V81" s="186"/>
      <c r="W81" s="186"/>
      <c r="X81" s="186"/>
      <c r="Y81" s="186"/>
      <c r="Z81" s="186"/>
      <c r="AA81" s="33"/>
      <c r="AB81" s="186"/>
      <c r="AC81" s="186"/>
      <c r="AD81" s="186"/>
    </row>
    <row r="82" spans="1:30" ht="18.75" customHeight="1">
      <c r="A82" s="186"/>
      <c r="B82" s="186"/>
      <c r="C82" s="186"/>
      <c r="D82" s="186"/>
      <c r="O82" s="123"/>
      <c r="P82" s="123"/>
      <c r="Q82" s="123"/>
      <c r="R82" s="123"/>
      <c r="S82" s="123"/>
      <c r="T82" s="123"/>
      <c r="U82" s="186"/>
      <c r="V82" s="186"/>
      <c r="W82" s="186"/>
      <c r="X82" s="186"/>
      <c r="Y82" s="186"/>
      <c r="Z82" s="186"/>
      <c r="AA82" s="33"/>
      <c r="AB82" s="186"/>
      <c r="AC82" s="186"/>
      <c r="AD82" s="186"/>
    </row>
    <row r="83" spans="1:30" ht="18.75" customHeight="1">
      <c r="A83" s="186"/>
      <c r="B83" s="186"/>
      <c r="C83" s="186"/>
      <c r="D83" s="186"/>
      <c r="O83" s="123"/>
      <c r="P83" s="123"/>
      <c r="Q83" s="123"/>
      <c r="R83" s="123"/>
      <c r="S83" s="123"/>
      <c r="T83" s="123"/>
      <c r="U83" s="186"/>
      <c r="V83" s="186"/>
      <c r="W83" s="186"/>
      <c r="X83" s="186"/>
      <c r="Y83" s="186"/>
      <c r="Z83" s="186"/>
      <c r="AA83" s="33"/>
      <c r="AB83" s="186"/>
      <c r="AC83" s="186"/>
      <c r="AD83" s="186"/>
    </row>
    <row r="84" spans="1:30" ht="18.75" customHeight="1">
      <c r="A84" s="186"/>
      <c r="B84" s="186"/>
      <c r="C84" s="186"/>
      <c r="D84" s="186"/>
      <c r="O84" s="123"/>
      <c r="P84" s="123"/>
      <c r="Q84" s="123"/>
      <c r="R84" s="123"/>
      <c r="S84" s="123"/>
      <c r="T84" s="123"/>
      <c r="U84" s="186"/>
      <c r="V84" s="186"/>
      <c r="W84" s="186"/>
      <c r="X84" s="186"/>
      <c r="Y84" s="186"/>
      <c r="Z84" s="186"/>
      <c r="AA84" s="33"/>
      <c r="AB84" s="186"/>
      <c r="AC84" s="186"/>
      <c r="AD84" s="186"/>
    </row>
    <row r="85" spans="1:30" ht="18.75" customHeight="1">
      <c r="A85" s="186"/>
      <c r="B85" s="186"/>
      <c r="C85" s="186"/>
      <c r="D85" s="186"/>
      <c r="E85" s="186"/>
      <c r="F85" s="186"/>
      <c r="G85" s="186"/>
      <c r="H85" s="186"/>
      <c r="I85" s="186"/>
      <c r="J85" s="186"/>
      <c r="K85" s="186"/>
      <c r="O85" s="123"/>
      <c r="P85" s="123"/>
      <c r="Q85" s="123"/>
      <c r="R85" s="123"/>
      <c r="S85" s="123"/>
      <c r="T85" s="123"/>
      <c r="U85" s="186"/>
      <c r="V85" s="186"/>
      <c r="W85" s="186"/>
      <c r="X85" s="186"/>
      <c r="Y85" s="186"/>
      <c r="Z85" s="186"/>
      <c r="AA85" s="33"/>
      <c r="AB85" s="186"/>
      <c r="AC85" s="186"/>
      <c r="AD85" s="186"/>
    </row>
    <row r="86" spans="1:30" ht="12.5">
      <c r="A86" s="186"/>
      <c r="B86" s="186"/>
      <c r="C86" s="186"/>
      <c r="D86" s="186"/>
      <c r="E86" s="186"/>
      <c r="F86" s="186"/>
      <c r="G86" s="186"/>
      <c r="H86" s="186"/>
      <c r="I86" s="186"/>
      <c r="J86" s="186"/>
      <c r="K86" s="186"/>
      <c r="Q86" s="123"/>
      <c r="R86" s="186"/>
      <c r="S86" s="122"/>
      <c r="T86" s="186"/>
      <c r="U86" s="186"/>
      <c r="V86" s="186"/>
      <c r="W86" s="186"/>
      <c r="X86" s="186"/>
      <c r="Y86" s="186"/>
      <c r="Z86" s="186"/>
      <c r="AA86" s="33"/>
      <c r="AB86" s="186"/>
      <c r="AC86" s="186"/>
      <c r="AD86" s="186"/>
    </row>
    <row r="87" spans="1:30" ht="18.75" customHeight="1">
      <c r="A87" s="186"/>
      <c r="B87" s="186"/>
      <c r="C87" s="186"/>
      <c r="D87" s="186"/>
      <c r="E87" s="186"/>
      <c r="F87" s="186"/>
      <c r="G87" s="186"/>
      <c r="H87" s="186"/>
      <c r="I87" s="186"/>
      <c r="J87" s="186"/>
      <c r="K87" s="186"/>
      <c r="Q87" s="123"/>
      <c r="R87" s="186"/>
      <c r="S87" s="122"/>
      <c r="T87" s="186"/>
      <c r="U87" s="186"/>
      <c r="V87" s="186"/>
      <c r="W87" s="186"/>
      <c r="X87" s="186"/>
      <c r="Y87" s="186"/>
      <c r="Z87" s="186"/>
      <c r="AA87" s="33"/>
      <c r="AB87" s="186"/>
      <c r="AC87" s="186"/>
      <c r="AD87" s="186"/>
    </row>
    <row r="88" spans="1:30" ht="18.75" customHeight="1">
      <c r="A88" s="186"/>
      <c r="B88" s="186"/>
      <c r="C88" s="186"/>
      <c r="D88" s="186"/>
      <c r="E88" s="186"/>
      <c r="F88" s="186"/>
      <c r="G88" s="186"/>
      <c r="H88" s="186"/>
      <c r="I88" s="186"/>
      <c r="J88" s="186"/>
      <c r="K88" s="186"/>
      <c r="Q88" s="123"/>
      <c r="R88" s="186"/>
      <c r="S88" s="122"/>
      <c r="T88" s="90"/>
      <c r="U88" s="90"/>
      <c r="V88" s="186"/>
      <c r="W88" s="186"/>
      <c r="X88" s="186"/>
      <c r="Y88" s="186"/>
      <c r="Z88" s="186"/>
      <c r="AA88" s="33"/>
      <c r="AB88" s="186"/>
      <c r="AC88" s="186"/>
      <c r="AD88" s="186"/>
    </row>
    <row r="89" spans="1:30" ht="18.75" customHeight="1">
      <c r="A89" s="186"/>
      <c r="B89" s="186"/>
      <c r="C89" s="186"/>
      <c r="D89" s="186"/>
      <c r="E89" s="186"/>
      <c r="F89" s="186"/>
      <c r="G89" s="186"/>
      <c r="H89" s="186"/>
      <c r="I89" s="186"/>
      <c r="J89" s="186"/>
      <c r="K89" s="186"/>
      <c r="Q89" s="123"/>
      <c r="R89" s="186"/>
      <c r="S89" s="122"/>
      <c r="T89" s="186"/>
      <c r="U89" s="186"/>
      <c r="V89" s="186"/>
      <c r="W89" s="186"/>
      <c r="X89" s="186"/>
      <c r="Y89" s="186"/>
      <c r="Z89" s="186"/>
      <c r="AA89" s="33"/>
      <c r="AB89" s="186"/>
      <c r="AC89" s="186"/>
      <c r="AD89" s="186"/>
    </row>
    <row r="90" spans="1:30" ht="18.75" customHeight="1">
      <c r="A90" s="186"/>
      <c r="B90" s="186"/>
      <c r="C90" s="186"/>
      <c r="D90" s="186"/>
      <c r="E90" s="186"/>
      <c r="F90" s="186"/>
      <c r="G90" s="186"/>
      <c r="H90" s="186"/>
      <c r="I90" s="186"/>
      <c r="J90" s="186"/>
      <c r="K90" s="186"/>
      <c r="Q90" s="123"/>
      <c r="R90" s="186"/>
      <c r="S90" s="122"/>
      <c r="T90" s="186"/>
      <c r="U90" s="186"/>
      <c r="V90" s="186"/>
      <c r="W90" s="186"/>
      <c r="X90" s="186"/>
      <c r="Y90" s="186"/>
      <c r="Z90" s="186"/>
      <c r="AA90" s="33"/>
      <c r="AB90" s="186"/>
      <c r="AC90" s="186"/>
      <c r="AD90" s="186"/>
    </row>
    <row r="91" spans="1:30" ht="87.75" customHeight="1">
      <c r="A91" s="186"/>
      <c r="B91" s="186"/>
      <c r="C91" s="186"/>
      <c r="D91" s="186"/>
      <c r="E91" s="186"/>
      <c r="F91" s="186"/>
      <c r="G91" s="186"/>
      <c r="H91" s="186"/>
      <c r="I91" s="186"/>
      <c r="J91" s="186"/>
      <c r="K91" s="186"/>
      <c r="Q91" s="123"/>
      <c r="R91" s="186"/>
      <c r="S91" s="122"/>
      <c r="T91" s="186"/>
      <c r="U91" s="186"/>
      <c r="V91" s="186"/>
      <c r="W91" s="186"/>
      <c r="X91" s="186"/>
      <c r="Y91" s="186"/>
      <c r="Z91" s="186"/>
      <c r="AA91" s="33"/>
      <c r="AB91" s="186"/>
      <c r="AC91" s="186"/>
      <c r="AD91" s="186"/>
    </row>
    <row r="92" spans="1:30" ht="18.75" customHeight="1">
      <c r="A92" s="186"/>
      <c r="B92" s="186"/>
      <c r="C92" s="186"/>
      <c r="D92" s="186"/>
      <c r="E92" s="186"/>
      <c r="F92" s="186"/>
      <c r="G92" s="186"/>
      <c r="H92" s="186"/>
      <c r="I92" s="186"/>
      <c r="J92" s="186"/>
      <c r="K92" s="186"/>
      <c r="Q92" s="123"/>
      <c r="R92" s="186"/>
      <c r="S92" s="122"/>
      <c r="T92" s="186"/>
      <c r="U92" s="186"/>
      <c r="V92" s="186"/>
      <c r="W92" s="186"/>
      <c r="X92" s="186"/>
      <c r="Y92" s="186"/>
      <c r="Z92" s="186"/>
      <c r="AA92" s="33"/>
      <c r="AB92" s="186"/>
      <c r="AC92" s="186"/>
      <c r="AD92" s="186"/>
    </row>
    <row r="93" spans="1:30" ht="12.5">
      <c r="A93" s="123"/>
      <c r="B93" s="123"/>
      <c r="C93" s="123"/>
      <c r="D93" s="123"/>
      <c r="E93" s="123"/>
      <c r="F93" s="123"/>
      <c r="G93" s="123"/>
      <c r="H93" s="123"/>
      <c r="I93" s="123"/>
      <c r="J93" s="123"/>
      <c r="K93" s="123"/>
      <c r="L93" s="123"/>
      <c r="N93" s="123"/>
      <c r="O93" s="123"/>
      <c r="P93" s="123"/>
      <c r="Q93" s="123"/>
      <c r="R93" s="123"/>
      <c r="S93" s="121"/>
      <c r="T93" s="121"/>
      <c r="U93" s="121"/>
      <c r="V93" s="123"/>
      <c r="W93" s="123"/>
      <c r="X93" s="123"/>
      <c r="Y93" s="123"/>
      <c r="Z93" s="123"/>
      <c r="AA93" s="39"/>
      <c r="AB93" s="123"/>
      <c r="AC93" s="123"/>
      <c r="AD93" s="123"/>
    </row>
    <row r="94" spans="1:30" ht="18.75" customHeight="1">
      <c r="A94" s="186"/>
      <c r="B94" s="186"/>
      <c r="C94" s="186"/>
      <c r="D94" s="186"/>
      <c r="E94" s="186"/>
      <c r="F94" s="186"/>
      <c r="G94" s="186"/>
      <c r="H94" s="186"/>
      <c r="I94" s="186"/>
      <c r="J94" s="186"/>
      <c r="K94" s="186"/>
      <c r="Q94" s="123"/>
      <c r="R94" s="186"/>
      <c r="S94" s="122"/>
      <c r="T94" s="90"/>
      <c r="U94" s="90"/>
      <c r="V94" s="186"/>
      <c r="W94" s="186"/>
      <c r="X94" s="186"/>
      <c r="Y94" s="186"/>
      <c r="Z94" s="186"/>
      <c r="AA94" s="33"/>
      <c r="AB94" s="186"/>
      <c r="AC94" s="186"/>
      <c r="AD94" s="186"/>
    </row>
    <row r="95" spans="1:30" ht="18.75" customHeight="1">
      <c r="A95" s="186"/>
      <c r="B95" s="186"/>
      <c r="C95" s="186"/>
      <c r="D95" s="186"/>
      <c r="E95" s="186"/>
      <c r="F95" s="186"/>
      <c r="G95" s="186"/>
      <c r="H95" s="186"/>
      <c r="I95" s="186"/>
      <c r="J95" s="186"/>
      <c r="K95" s="186"/>
      <c r="Q95" s="123"/>
      <c r="R95" s="186"/>
      <c r="S95" s="122"/>
      <c r="T95" s="90"/>
      <c r="U95" s="90"/>
      <c r="V95" s="186"/>
      <c r="W95" s="186"/>
      <c r="X95" s="186"/>
      <c r="Y95" s="186"/>
      <c r="Z95" s="186"/>
      <c r="AA95" s="33"/>
      <c r="AB95" s="186"/>
      <c r="AC95" s="186"/>
      <c r="AD95" s="186"/>
    </row>
    <row r="96" spans="1:30" ht="12.5">
      <c r="A96" s="186"/>
      <c r="B96" s="186"/>
      <c r="C96" s="186"/>
      <c r="D96" s="186"/>
      <c r="E96" s="186"/>
      <c r="F96" s="186"/>
      <c r="G96" s="186"/>
      <c r="H96" s="186"/>
      <c r="I96" s="186"/>
      <c r="J96" s="186"/>
      <c r="K96" s="186"/>
      <c r="Q96" s="123"/>
      <c r="R96" s="186"/>
      <c r="S96" s="122"/>
      <c r="T96" s="90"/>
      <c r="U96" s="90"/>
      <c r="V96" s="186"/>
      <c r="W96" s="186"/>
      <c r="X96" s="186"/>
      <c r="Y96" s="186"/>
      <c r="Z96" s="186"/>
      <c r="AA96" s="33"/>
      <c r="AB96" s="186"/>
      <c r="AC96" s="186"/>
      <c r="AD96" s="186"/>
    </row>
    <row r="97" spans="1:30" ht="170.25" customHeight="1">
      <c r="A97" s="123"/>
      <c r="B97" s="123"/>
      <c r="C97" s="123"/>
      <c r="D97" s="123"/>
      <c r="E97" s="123"/>
      <c r="F97" s="123"/>
      <c r="G97" s="123"/>
      <c r="H97" s="123"/>
      <c r="I97" s="123"/>
      <c r="J97" s="123"/>
      <c r="K97" s="123"/>
      <c r="L97" s="444"/>
      <c r="M97" s="444"/>
      <c r="N97" s="123"/>
      <c r="O97" s="123"/>
      <c r="P97" s="123"/>
      <c r="Q97" s="123"/>
      <c r="R97" s="123"/>
      <c r="S97" s="449"/>
      <c r="T97" s="121"/>
      <c r="U97" s="121"/>
      <c r="V97" s="123"/>
      <c r="W97" s="123"/>
      <c r="X97" s="123"/>
      <c r="Y97" s="123"/>
      <c r="Z97" s="123"/>
      <c r="AA97" s="39"/>
      <c r="AB97" s="123"/>
      <c r="AC97" s="123"/>
      <c r="AD97" s="123"/>
    </row>
    <row r="98" spans="1:30" ht="36.75" customHeight="1">
      <c r="A98" s="123"/>
      <c r="B98" s="123"/>
      <c r="C98" s="123"/>
      <c r="D98" s="123"/>
      <c r="E98" s="123"/>
      <c r="F98" s="123"/>
      <c r="G98" s="123"/>
      <c r="H98" s="123"/>
      <c r="I98" s="123"/>
      <c r="J98" s="123"/>
      <c r="K98" s="123"/>
      <c r="L98" s="444"/>
      <c r="M98" s="444"/>
      <c r="N98" s="123"/>
      <c r="O98" s="123"/>
      <c r="P98" s="123"/>
      <c r="Q98" s="123"/>
      <c r="R98" s="123"/>
      <c r="S98" s="123"/>
      <c r="T98" s="121"/>
      <c r="U98" s="121"/>
      <c r="V98" s="123"/>
      <c r="W98" s="123"/>
      <c r="X98" s="123"/>
      <c r="Y98" s="123"/>
      <c r="Z98" s="123"/>
      <c r="AA98" s="39"/>
      <c r="AB98" s="123"/>
      <c r="AC98" s="123"/>
      <c r="AD98" s="123"/>
    </row>
    <row r="99" spans="1:30" ht="12.5">
      <c r="A99" s="186"/>
      <c r="B99" s="186"/>
      <c r="C99" s="186"/>
      <c r="D99" s="186"/>
      <c r="E99" s="186"/>
      <c r="F99" s="186"/>
      <c r="G99" s="186"/>
      <c r="H99" s="186"/>
      <c r="I99" s="186"/>
      <c r="J99" s="186"/>
      <c r="K99" s="186"/>
      <c r="O99" s="193"/>
      <c r="Q99" s="123"/>
      <c r="R99" s="186"/>
      <c r="S99" s="122"/>
      <c r="T99" s="90"/>
      <c r="U99" s="90"/>
      <c r="V99" s="186"/>
      <c r="W99" s="186"/>
      <c r="X99" s="186"/>
      <c r="Y99" s="186"/>
      <c r="Z99" s="186"/>
      <c r="AA99" s="33"/>
      <c r="AB99" s="186"/>
      <c r="AC99" s="186"/>
      <c r="AD99" s="186"/>
    </row>
  </sheetData>
  <autoFilter ref="A3:AD99" xr:uid="{00000000-0001-0000-0800-000000000000}"/>
  <pageMargins left="0.7" right="0.7" top="0.75" bottom="0.75" header="0" footer="0"/>
  <pageSetup orientation="portrait"/>
  <legacyDrawing r:id="rId1"/>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48029D-992C-4DFC-8C78-BF530350F322}">
  <sheetPr>
    <outlinePr summaryBelow="0" summaryRight="0"/>
  </sheetPr>
  <dimension ref="A2:AD99"/>
  <sheetViews>
    <sheetView workbookViewId="0">
      <pane ySplit="3" topLeftCell="A4" activePane="bottomLeft" state="frozen"/>
      <selection pane="bottomLeft" activeCell="L14" sqref="L14"/>
    </sheetView>
  </sheetViews>
  <sheetFormatPr defaultColWidth="14.453125" defaultRowHeight="15" customHeight="1"/>
  <cols>
    <col min="1" max="1" width="13.26953125" hidden="1" customWidth="1"/>
    <col min="2" max="2" width="12" hidden="1" customWidth="1"/>
    <col min="3" max="3" width="17.7265625" hidden="1" customWidth="1"/>
    <col min="4" max="4" width="9.7265625" hidden="1" customWidth="1"/>
    <col min="5" max="5" width="19.7265625" customWidth="1"/>
    <col min="6" max="6" width="34.7265625" customWidth="1"/>
    <col min="7" max="7" width="23.7265625" customWidth="1"/>
    <col min="8" max="8" width="11.54296875" customWidth="1"/>
    <col min="9" max="9" width="10.81640625" customWidth="1"/>
    <col min="10" max="10" width="7.453125" customWidth="1"/>
    <col min="11" max="11" width="10" customWidth="1"/>
    <col min="12" max="12" width="50.81640625" customWidth="1"/>
    <col min="13" max="13" width="54.7265625" customWidth="1"/>
    <col min="14" max="14" width="20.453125" customWidth="1"/>
    <col min="15" max="15" width="30.1796875" customWidth="1"/>
    <col min="16" max="16" width="32.7265625" customWidth="1"/>
    <col min="17" max="17" width="81.81640625" customWidth="1"/>
    <col min="18" max="18" width="8.26953125" customWidth="1"/>
    <col min="19" max="19" width="25.7265625" customWidth="1"/>
    <col min="20" max="20" width="57.1796875" customWidth="1"/>
    <col min="21" max="21" width="11.81640625" customWidth="1"/>
    <col min="22" max="22" width="35.453125" customWidth="1"/>
    <col min="23" max="23" width="75.81640625" customWidth="1"/>
    <col min="24" max="24" width="6.26953125" customWidth="1"/>
    <col min="25" max="25" width="23.26953125" customWidth="1"/>
    <col min="26" max="26" width="26.1796875" customWidth="1"/>
    <col min="27" max="27" width="9.7265625" customWidth="1"/>
    <col min="28" max="30" width="71" customWidth="1"/>
  </cols>
  <sheetData>
    <row r="2" spans="1:30" s="490" customFormat="1" ht="18.75" customHeight="1">
      <c r="A2" s="489"/>
      <c r="B2" s="489"/>
      <c r="C2" s="489"/>
      <c r="D2" s="489"/>
      <c r="E2" s="491"/>
      <c r="F2" s="487"/>
      <c r="G2" s="487"/>
      <c r="H2" s="487"/>
      <c r="I2" s="487"/>
      <c r="J2" s="487"/>
      <c r="K2" s="492" t="s">
        <v>1038</v>
      </c>
      <c r="L2" s="493"/>
      <c r="M2" s="493"/>
      <c r="N2" s="493"/>
      <c r="O2" s="493"/>
      <c r="P2" s="493"/>
      <c r="Q2" s="493"/>
      <c r="R2" s="487"/>
      <c r="S2" s="494"/>
      <c r="T2" s="487"/>
      <c r="U2" s="487"/>
      <c r="V2" s="487"/>
      <c r="W2" s="487"/>
      <c r="X2" s="489"/>
      <c r="Y2" s="489"/>
      <c r="Z2" s="489" t="s">
        <v>1039</v>
      </c>
      <c r="AA2" s="495"/>
      <c r="AB2" s="489"/>
      <c r="AC2" s="489"/>
      <c r="AD2" s="489"/>
    </row>
    <row r="3" spans="1:30" s="490" customFormat="1" ht="30" customHeight="1">
      <c r="A3" s="496" t="s">
        <v>1040</v>
      </c>
      <c r="B3" s="496" t="s">
        <v>1041</v>
      </c>
      <c r="C3" s="496" t="s">
        <v>1042</v>
      </c>
      <c r="D3" s="496" t="s">
        <v>1043</v>
      </c>
      <c r="E3" s="497" t="s">
        <v>224</v>
      </c>
      <c r="F3" s="497" t="s">
        <v>225</v>
      </c>
      <c r="G3" s="497" t="s">
        <v>226</v>
      </c>
      <c r="H3" s="497" t="s">
        <v>227</v>
      </c>
      <c r="I3" s="497" t="s">
        <v>1044</v>
      </c>
      <c r="J3" s="497" t="s">
        <v>1045</v>
      </c>
      <c r="K3" s="497" t="s">
        <v>1046</v>
      </c>
      <c r="L3" s="497" t="s">
        <v>100</v>
      </c>
      <c r="M3" s="497" t="s">
        <v>101</v>
      </c>
      <c r="N3" s="497" t="s">
        <v>102</v>
      </c>
      <c r="O3" s="497" t="s">
        <v>103</v>
      </c>
      <c r="P3" s="497" t="s">
        <v>104</v>
      </c>
      <c r="Q3" s="497" t="s">
        <v>105</v>
      </c>
      <c r="R3" s="497" t="s">
        <v>111</v>
      </c>
      <c r="S3" s="498" t="s">
        <v>112</v>
      </c>
      <c r="T3" s="497" t="s">
        <v>113</v>
      </c>
      <c r="U3" s="497"/>
      <c r="V3" s="487" t="s">
        <v>1047</v>
      </c>
      <c r="W3" s="488" t="s">
        <v>1048</v>
      </c>
      <c r="X3" s="487" t="s">
        <v>1049</v>
      </c>
      <c r="Y3" s="489" t="s">
        <v>1050</v>
      </c>
      <c r="Z3" s="489" t="s">
        <v>237</v>
      </c>
      <c r="AA3" s="495" t="s">
        <v>1</v>
      </c>
      <c r="AB3" s="489" t="s">
        <v>238</v>
      </c>
      <c r="AC3" s="489"/>
      <c r="AD3" s="489"/>
    </row>
    <row r="4" spans="1:30" ht="45.75" customHeight="1">
      <c r="A4" s="123"/>
      <c r="B4" s="123"/>
      <c r="C4" s="123"/>
      <c r="D4" s="123"/>
      <c r="E4" s="246" t="s">
        <v>55</v>
      </c>
      <c r="F4" s="246" t="s">
        <v>1893</v>
      </c>
      <c r="G4" s="246" t="s">
        <v>3308</v>
      </c>
      <c r="H4" s="246" t="s">
        <v>903</v>
      </c>
      <c r="I4" s="246"/>
      <c r="J4" s="246"/>
      <c r="K4" s="246" t="s">
        <v>682</v>
      </c>
      <c r="L4" s="246" t="s">
        <v>3316</v>
      </c>
      <c r="M4" s="193" t="s">
        <v>3317</v>
      </c>
      <c r="N4" s="246"/>
      <c r="O4" s="246"/>
      <c r="P4" s="246"/>
      <c r="Q4" s="246"/>
      <c r="R4" s="246"/>
      <c r="S4" s="450"/>
      <c r="T4" s="246"/>
      <c r="U4" s="246"/>
      <c r="V4" s="246"/>
      <c r="W4" s="246"/>
      <c r="X4" s="123"/>
      <c r="Y4" s="123"/>
      <c r="Z4" s="123"/>
      <c r="AA4" s="39"/>
      <c r="AB4" s="123"/>
      <c r="AC4" s="123"/>
      <c r="AD4" s="123"/>
    </row>
    <row r="5" spans="1:30" ht="12.5">
      <c r="A5" s="123"/>
      <c r="B5" s="123"/>
      <c r="C5" s="123"/>
      <c r="D5" s="123"/>
      <c r="E5" s="246" t="s">
        <v>61</v>
      </c>
      <c r="F5" s="246" t="s">
        <v>123</v>
      </c>
      <c r="G5" s="246" t="s">
        <v>3308</v>
      </c>
      <c r="H5" s="246" t="s">
        <v>903</v>
      </c>
      <c r="I5" s="246"/>
      <c r="J5" s="246"/>
      <c r="K5" s="246" t="s">
        <v>682</v>
      </c>
      <c r="L5" s="246" t="s">
        <v>3318</v>
      </c>
      <c r="M5" s="193" t="s">
        <v>3311</v>
      </c>
      <c r="N5" s="246"/>
      <c r="O5" s="246"/>
      <c r="P5" s="246"/>
      <c r="Q5" s="246"/>
      <c r="R5" s="246"/>
      <c r="S5" s="450"/>
      <c r="T5" s="246"/>
      <c r="U5" s="246"/>
      <c r="V5" s="246"/>
      <c r="W5" s="246"/>
      <c r="X5" s="123"/>
      <c r="Y5" s="123"/>
      <c r="Z5" s="123"/>
      <c r="AA5" s="39"/>
      <c r="AB5" s="123"/>
      <c r="AC5" s="123"/>
      <c r="AD5" s="123"/>
    </row>
    <row r="6" spans="1:30" ht="69" customHeight="1">
      <c r="A6" s="186"/>
      <c r="B6" s="186"/>
      <c r="C6" s="186"/>
      <c r="D6" s="186"/>
      <c r="E6" s="123" t="s">
        <v>61</v>
      </c>
      <c r="F6" s="186" t="s">
        <v>125</v>
      </c>
      <c r="G6" s="123" t="s">
        <v>3308</v>
      </c>
      <c r="H6" s="123" t="s">
        <v>903</v>
      </c>
      <c r="I6" s="186"/>
      <c r="J6" s="186"/>
      <c r="K6" s="123" t="s">
        <v>682</v>
      </c>
      <c r="L6" s="246" t="s">
        <v>3318</v>
      </c>
      <c r="M6" t="s">
        <v>3312</v>
      </c>
      <c r="O6" s="186"/>
      <c r="Q6" s="123"/>
      <c r="R6" s="186"/>
      <c r="S6" s="122"/>
      <c r="T6" s="90"/>
      <c r="U6" s="90"/>
      <c r="V6" s="186"/>
      <c r="W6" s="186"/>
      <c r="X6" s="186"/>
      <c r="Y6" s="186"/>
      <c r="Z6" s="186"/>
      <c r="AA6" s="33"/>
      <c r="AB6" s="186"/>
      <c r="AC6" s="186"/>
      <c r="AD6" s="186"/>
    </row>
    <row r="7" spans="1:30" ht="12.5">
      <c r="A7" s="123"/>
      <c r="B7" s="123"/>
      <c r="C7" s="123"/>
      <c r="D7" s="123"/>
      <c r="E7" s="123" t="s">
        <v>61</v>
      </c>
      <c r="F7" s="123" t="s">
        <v>3313</v>
      </c>
      <c r="G7" s="123" t="s">
        <v>1184</v>
      </c>
      <c r="H7" s="123" t="s">
        <v>903</v>
      </c>
      <c r="I7" s="123"/>
      <c r="J7" s="123"/>
      <c r="K7" s="123" t="s">
        <v>682</v>
      </c>
      <c r="L7" s="246" t="s">
        <v>3318</v>
      </c>
      <c r="M7" t="s">
        <v>3319</v>
      </c>
      <c r="N7" s="123"/>
      <c r="O7" s="123"/>
      <c r="P7" s="123"/>
      <c r="Q7" s="123"/>
      <c r="R7" s="123"/>
      <c r="S7" s="121"/>
      <c r="T7" s="121"/>
      <c r="U7" s="121"/>
      <c r="V7" s="123"/>
      <c r="W7" s="123"/>
      <c r="X7" s="123"/>
      <c r="Y7" s="123"/>
      <c r="Z7" s="123"/>
      <c r="AA7" s="39"/>
      <c r="AB7" s="123"/>
      <c r="AC7" s="123"/>
      <c r="AD7" s="123"/>
    </row>
    <row r="8" spans="1:30" ht="12.5">
      <c r="A8" s="123"/>
      <c r="B8" s="123"/>
      <c r="C8" s="123"/>
      <c r="D8" s="123"/>
      <c r="E8" s="123" t="s">
        <v>61</v>
      </c>
      <c r="F8" s="123" t="s">
        <v>2339</v>
      </c>
      <c r="G8" s="123" t="s">
        <v>1184</v>
      </c>
      <c r="H8" s="123" t="s">
        <v>903</v>
      </c>
      <c r="I8" s="123"/>
      <c r="J8" s="123"/>
      <c r="K8" s="123" t="s">
        <v>682</v>
      </c>
      <c r="L8" s="246" t="s">
        <v>3318</v>
      </c>
      <c r="M8" t="s">
        <v>3315</v>
      </c>
      <c r="N8" s="123"/>
      <c r="O8" s="123"/>
      <c r="P8" s="123"/>
      <c r="Q8" s="123"/>
      <c r="R8" s="123"/>
      <c r="S8" s="121"/>
      <c r="T8" s="121"/>
      <c r="U8" s="121"/>
      <c r="V8" s="123"/>
      <c r="W8" s="123"/>
      <c r="X8" s="123"/>
      <c r="Y8" s="123"/>
      <c r="Z8" s="123"/>
      <c r="AA8" s="39"/>
      <c r="AB8" s="123"/>
      <c r="AC8" s="123"/>
      <c r="AD8" s="123"/>
    </row>
    <row r="9" spans="1:30" ht="18.75" customHeight="1">
      <c r="A9" s="123"/>
      <c r="B9" s="123"/>
      <c r="C9" s="123"/>
      <c r="D9" s="123"/>
      <c r="E9" s="123"/>
      <c r="F9" s="123"/>
      <c r="G9" s="123"/>
      <c r="H9" s="123"/>
      <c r="I9" s="123"/>
      <c r="J9" s="123"/>
      <c r="K9" s="123"/>
      <c r="L9" s="123"/>
      <c r="N9" s="123"/>
      <c r="O9" s="123"/>
      <c r="P9" s="123"/>
      <c r="Q9" s="123"/>
      <c r="R9" s="123"/>
      <c r="S9" s="121"/>
      <c r="T9" s="123"/>
      <c r="U9" s="123"/>
      <c r="V9" s="123"/>
      <c r="W9" s="123"/>
      <c r="X9" s="123"/>
      <c r="Y9" s="123"/>
      <c r="Z9" s="123"/>
      <c r="AA9" s="39"/>
      <c r="AB9" s="123"/>
      <c r="AC9" s="123"/>
      <c r="AD9" s="123"/>
    </row>
    <row r="10" spans="1:30" ht="18.75" customHeight="1">
      <c r="A10" s="186"/>
      <c r="B10" s="186"/>
      <c r="C10" s="186"/>
      <c r="D10" s="186"/>
      <c r="E10" s="186"/>
      <c r="F10" s="186"/>
      <c r="G10" s="186"/>
      <c r="H10" s="186"/>
      <c r="I10" s="186"/>
      <c r="J10" s="186"/>
      <c r="K10" s="186"/>
      <c r="Q10" s="123"/>
      <c r="R10" s="186"/>
      <c r="S10" s="122"/>
      <c r="T10" s="90"/>
      <c r="U10" s="90"/>
      <c r="V10" s="186"/>
      <c r="W10" s="186"/>
      <c r="X10" s="186"/>
      <c r="Y10" s="186"/>
      <c r="Z10" s="186"/>
      <c r="AA10" s="33"/>
      <c r="AB10" s="186"/>
      <c r="AC10" s="186"/>
      <c r="AD10" s="186"/>
    </row>
    <row r="11" spans="1:30" ht="12.5">
      <c r="A11" s="123"/>
      <c r="B11" s="123"/>
      <c r="C11" s="123"/>
      <c r="D11" s="123"/>
      <c r="E11" s="123"/>
      <c r="F11" s="123"/>
      <c r="G11" s="123"/>
      <c r="H11" s="123"/>
      <c r="I11" s="123"/>
      <c r="J11" s="123"/>
      <c r="K11" s="123"/>
      <c r="L11" s="123"/>
      <c r="N11" s="123"/>
      <c r="O11" s="123"/>
      <c r="P11" s="123"/>
      <c r="Q11" s="123"/>
      <c r="R11" s="123"/>
      <c r="S11" s="121"/>
      <c r="T11" s="123"/>
      <c r="U11" s="123"/>
      <c r="V11" s="123"/>
      <c r="W11" s="123"/>
      <c r="X11" s="123"/>
      <c r="Y11" s="123"/>
      <c r="Z11" s="123"/>
      <c r="AA11" s="39"/>
      <c r="AB11" s="123"/>
      <c r="AC11" s="123"/>
      <c r="AD11" s="123"/>
    </row>
    <row r="12" spans="1:30" ht="18.75" customHeight="1">
      <c r="A12" s="123"/>
      <c r="B12" s="123"/>
      <c r="C12" s="123"/>
      <c r="D12" s="123"/>
      <c r="E12" s="123"/>
      <c r="F12" s="123"/>
      <c r="G12" s="123"/>
      <c r="H12" s="123"/>
      <c r="I12" s="123"/>
      <c r="J12" s="123"/>
      <c r="K12" s="123"/>
      <c r="L12" s="123"/>
      <c r="M12" s="552"/>
      <c r="N12" s="123"/>
      <c r="Q12" s="123"/>
      <c r="R12" s="123"/>
      <c r="S12" s="123"/>
      <c r="T12" s="121"/>
      <c r="U12" s="121"/>
      <c r="V12" s="123"/>
      <c r="W12" s="123"/>
      <c r="X12" s="123"/>
      <c r="Y12" s="123"/>
      <c r="Z12" s="123"/>
      <c r="AA12" s="39"/>
      <c r="AB12" s="123"/>
      <c r="AC12" s="123"/>
      <c r="AD12" s="123"/>
    </row>
    <row r="13" spans="1:30" ht="12.5">
      <c r="A13" s="123"/>
      <c r="B13" s="123"/>
      <c r="C13" s="123"/>
      <c r="D13" s="123"/>
      <c r="E13" s="123"/>
      <c r="F13" s="123"/>
      <c r="G13" s="123"/>
      <c r="H13" s="123"/>
      <c r="I13" s="123"/>
      <c r="J13" s="123"/>
      <c r="K13" s="123"/>
      <c r="L13" s="123"/>
      <c r="N13" s="123"/>
      <c r="O13" s="123"/>
      <c r="P13" s="123"/>
      <c r="Q13" s="123"/>
      <c r="R13" s="123"/>
      <c r="S13" s="121"/>
      <c r="T13" s="123"/>
      <c r="U13" s="123"/>
      <c r="V13" s="123"/>
      <c r="W13" s="123"/>
      <c r="X13" s="123"/>
      <c r="Y13" s="123"/>
      <c r="Z13" s="123"/>
      <c r="AA13" s="39"/>
      <c r="AB13" s="123"/>
      <c r="AC13" s="123"/>
      <c r="AD13" s="123"/>
    </row>
    <row r="14" spans="1:30" ht="18.75" customHeight="1">
      <c r="A14" s="123"/>
      <c r="B14" s="123"/>
      <c r="C14" s="123"/>
      <c r="D14" s="123"/>
      <c r="E14" s="123"/>
      <c r="F14" s="123"/>
      <c r="G14" s="123"/>
      <c r="H14" s="123"/>
      <c r="I14" s="123"/>
      <c r="J14" s="123"/>
      <c r="K14" s="123"/>
      <c r="L14" s="123"/>
      <c r="N14" s="123"/>
      <c r="O14" s="123"/>
      <c r="P14" s="123"/>
      <c r="Q14" s="123"/>
      <c r="R14" s="123"/>
      <c r="S14" s="121"/>
      <c r="T14" s="123"/>
      <c r="U14" s="123"/>
      <c r="V14" s="123"/>
      <c r="W14" s="123"/>
      <c r="X14" s="123"/>
      <c r="Y14" s="123"/>
      <c r="Z14" s="123"/>
      <c r="AA14" s="39"/>
      <c r="AB14" s="123"/>
      <c r="AC14" s="123"/>
      <c r="AD14" s="123"/>
    </row>
    <row r="15" spans="1:30" s="129" customFormat="1" ht="13">
      <c r="A15" s="186"/>
      <c r="B15" s="186"/>
      <c r="C15" s="186"/>
      <c r="D15" s="186"/>
      <c r="E15" s="455"/>
      <c r="F15" s="455"/>
      <c r="G15" s="455"/>
      <c r="H15" s="186"/>
      <c r="I15" s="186"/>
      <c r="J15" s="186"/>
      <c r="K15" s="186"/>
      <c r="L15" s="464"/>
      <c r="M15" s="464"/>
      <c r="N15" s="186"/>
      <c r="O15" s="186"/>
      <c r="P15" s="439"/>
      <c r="Q15" s="186"/>
      <c r="R15" s="186"/>
      <c r="S15" s="465"/>
      <c r="T15" s="186"/>
      <c r="U15" s="186"/>
      <c r="V15" s="466"/>
      <c r="W15" s="467"/>
      <c r="X15" s="467"/>
      <c r="Y15" s="467"/>
      <c r="Z15" s="467"/>
      <c r="AA15" s="466"/>
      <c r="AB15" s="467"/>
      <c r="AC15" s="467"/>
      <c r="AD15" s="467"/>
    </row>
    <row r="16" spans="1:30" ht="12.5">
      <c r="A16" s="123"/>
      <c r="B16" s="123"/>
      <c r="C16" s="123"/>
      <c r="D16" s="123"/>
      <c r="E16" s="123"/>
      <c r="F16" s="123"/>
      <c r="G16" s="123"/>
      <c r="H16" s="123"/>
      <c r="I16" s="123"/>
      <c r="J16" s="123"/>
      <c r="K16" s="123"/>
      <c r="L16" s="123"/>
      <c r="N16" s="123"/>
      <c r="O16" s="123"/>
      <c r="P16" s="123"/>
      <c r="Q16" s="123"/>
      <c r="R16" s="123"/>
      <c r="S16" s="121"/>
      <c r="T16" s="123"/>
      <c r="U16" s="123"/>
      <c r="V16" s="123"/>
      <c r="W16" s="123"/>
      <c r="X16" s="123"/>
      <c r="Y16" s="123"/>
      <c r="Z16" s="123"/>
      <c r="AA16" s="39"/>
      <c r="AB16" s="123"/>
      <c r="AC16" s="123"/>
      <c r="AD16" s="123"/>
    </row>
    <row r="17" spans="1:30" ht="12.5">
      <c r="A17" s="123"/>
      <c r="B17" s="123"/>
      <c r="C17" s="123"/>
      <c r="D17" s="123"/>
      <c r="E17" s="123"/>
      <c r="F17" s="123"/>
      <c r="G17" s="123"/>
      <c r="H17" s="123"/>
      <c r="I17" s="123"/>
      <c r="J17" s="123"/>
      <c r="K17" s="123"/>
      <c r="L17" s="123"/>
      <c r="N17" s="123"/>
      <c r="O17" s="123"/>
      <c r="P17" s="123"/>
      <c r="Q17" s="123"/>
      <c r="R17" s="123"/>
      <c r="S17" s="121"/>
      <c r="T17" s="123"/>
      <c r="U17" s="123"/>
      <c r="V17" s="123"/>
      <c r="W17" s="123"/>
      <c r="X17" s="123"/>
      <c r="Y17" s="123"/>
      <c r="Z17" s="123"/>
      <c r="AA17" s="39"/>
      <c r="AB17" s="123"/>
      <c r="AC17" s="123"/>
      <c r="AD17" s="123"/>
    </row>
    <row r="18" spans="1:30" ht="18.75" customHeight="1">
      <c r="A18" s="123"/>
      <c r="B18" s="123"/>
      <c r="C18" s="123"/>
      <c r="D18" s="123"/>
      <c r="E18" s="123"/>
      <c r="F18" s="123"/>
      <c r="G18" s="123"/>
      <c r="H18" s="123"/>
      <c r="I18" s="123"/>
      <c r="J18" s="123"/>
      <c r="K18" s="123"/>
      <c r="L18" s="123"/>
      <c r="N18" s="123"/>
      <c r="O18" s="123"/>
      <c r="P18" s="123"/>
      <c r="Q18" s="123"/>
      <c r="R18" s="123"/>
      <c r="S18" s="121"/>
      <c r="T18" s="123"/>
      <c r="U18" s="123"/>
      <c r="V18" s="123"/>
      <c r="W18" s="123"/>
      <c r="X18" s="123"/>
      <c r="Y18" s="123"/>
      <c r="Z18" s="123"/>
      <c r="AA18" s="39"/>
      <c r="AB18" s="123"/>
      <c r="AC18" s="123"/>
      <c r="AD18" s="123"/>
    </row>
    <row r="19" spans="1:30" ht="18.75" customHeight="1">
      <c r="A19" s="186"/>
      <c r="B19" s="186"/>
      <c r="C19" s="186"/>
      <c r="D19" s="186"/>
      <c r="E19" s="186"/>
      <c r="F19" s="186"/>
      <c r="G19" s="186"/>
      <c r="H19" s="186"/>
      <c r="I19" s="186"/>
      <c r="J19" s="186"/>
      <c r="K19" s="186"/>
      <c r="Q19" s="123"/>
      <c r="R19" s="186"/>
      <c r="S19" s="122"/>
      <c r="T19" s="186"/>
      <c r="U19" s="186"/>
      <c r="V19" s="186"/>
      <c r="W19" s="186"/>
      <c r="X19" s="186"/>
      <c r="Y19" s="186"/>
      <c r="Z19" s="186"/>
      <c r="AA19" s="33"/>
      <c r="AB19" s="186"/>
      <c r="AC19" s="186"/>
      <c r="AD19" s="186"/>
    </row>
    <row r="20" spans="1:30" ht="12.5">
      <c r="A20" s="123"/>
      <c r="B20" s="123"/>
      <c r="C20" s="123"/>
      <c r="D20" s="123"/>
      <c r="E20" s="123"/>
      <c r="F20" s="123"/>
      <c r="G20" s="123"/>
      <c r="H20" s="123"/>
      <c r="I20" s="123"/>
      <c r="J20" s="123"/>
      <c r="K20" s="123"/>
      <c r="L20" s="123"/>
      <c r="N20" s="123"/>
      <c r="O20" s="123"/>
      <c r="P20" s="123"/>
      <c r="Q20" s="123"/>
      <c r="R20" s="123"/>
      <c r="S20" s="121"/>
      <c r="T20" s="123"/>
      <c r="U20" s="123"/>
      <c r="V20" s="123"/>
      <c r="W20" s="123"/>
      <c r="X20" s="123"/>
      <c r="Y20" s="123"/>
      <c r="Z20" s="123"/>
      <c r="AA20" s="39"/>
      <c r="AB20" s="123"/>
      <c r="AC20" s="123"/>
      <c r="AD20" s="123"/>
    </row>
    <row r="21" spans="1:30" ht="12.5">
      <c r="A21" s="123"/>
      <c r="B21" s="123"/>
      <c r="C21" s="123"/>
      <c r="D21" s="123"/>
      <c r="E21" s="123"/>
      <c r="F21" s="123"/>
      <c r="G21" s="123"/>
      <c r="H21" s="123"/>
      <c r="I21" s="123"/>
      <c r="J21" s="123"/>
      <c r="K21" s="123"/>
      <c r="L21" s="123"/>
      <c r="Q21" s="123"/>
      <c r="R21" s="123"/>
      <c r="S21" s="442"/>
      <c r="T21" s="121"/>
      <c r="U21" s="121"/>
      <c r="V21" s="123"/>
      <c r="W21" s="123"/>
      <c r="X21" s="123"/>
      <c r="Y21" s="123"/>
      <c r="Z21" s="123"/>
      <c r="AA21" s="39"/>
      <c r="AB21" s="123"/>
      <c r="AC21" s="123"/>
      <c r="AD21" s="123"/>
    </row>
    <row r="22" spans="1:30" ht="12.5">
      <c r="A22" s="186"/>
      <c r="B22" s="186"/>
      <c r="C22" s="186"/>
      <c r="D22" s="186"/>
      <c r="E22" s="186"/>
      <c r="F22" s="186"/>
      <c r="G22" s="186"/>
      <c r="H22" s="186"/>
      <c r="I22" s="186"/>
      <c r="J22" s="186"/>
      <c r="K22" s="186"/>
      <c r="Q22" s="123"/>
      <c r="R22" s="186"/>
      <c r="S22" s="122"/>
      <c r="T22" s="186"/>
      <c r="U22" s="186"/>
      <c r="V22" s="186"/>
      <c r="W22" s="186"/>
      <c r="X22" s="186"/>
      <c r="Y22" s="186"/>
      <c r="Z22" s="186"/>
      <c r="AA22" s="33"/>
      <c r="AB22" s="186"/>
      <c r="AC22" s="186"/>
      <c r="AD22" s="186"/>
    </row>
    <row r="23" spans="1:30" ht="18.75" customHeight="1">
      <c r="A23" s="123"/>
      <c r="B23" s="123"/>
      <c r="C23" s="123"/>
      <c r="D23" s="123"/>
      <c r="E23" s="123"/>
      <c r="F23" s="123"/>
      <c r="G23" s="123"/>
      <c r="H23" s="123"/>
      <c r="I23" s="123"/>
      <c r="J23" s="123"/>
      <c r="K23" s="123"/>
      <c r="L23" s="123"/>
      <c r="N23" s="123"/>
      <c r="O23" s="123"/>
      <c r="P23" s="123"/>
      <c r="Q23" s="123"/>
      <c r="R23" s="123"/>
      <c r="S23" s="121"/>
      <c r="T23" s="123"/>
      <c r="U23" s="123"/>
      <c r="V23" s="123"/>
      <c r="W23" s="123"/>
      <c r="X23" s="123"/>
      <c r="Y23" s="123"/>
      <c r="Z23" s="123"/>
      <c r="AA23" s="39"/>
      <c r="AB23" s="123"/>
      <c r="AC23" s="123"/>
      <c r="AD23" s="123"/>
    </row>
    <row r="24" spans="1:30" ht="12.5">
      <c r="A24" s="123"/>
      <c r="B24" s="123"/>
      <c r="C24" s="123"/>
      <c r="D24" s="123"/>
      <c r="E24" s="123"/>
      <c r="F24" s="123"/>
      <c r="G24" s="123"/>
      <c r="H24" s="123"/>
      <c r="I24" s="123"/>
      <c r="J24" s="123"/>
      <c r="K24" s="123"/>
      <c r="L24" s="123"/>
      <c r="N24" s="123"/>
      <c r="O24" s="123"/>
      <c r="P24" s="123"/>
      <c r="Q24" s="123"/>
      <c r="R24" s="123"/>
      <c r="S24" s="121"/>
      <c r="T24" s="123"/>
      <c r="U24" s="123"/>
      <c r="V24" s="123"/>
      <c r="W24" s="123"/>
      <c r="X24" s="123"/>
      <c r="Y24" s="123"/>
      <c r="Z24" s="123"/>
      <c r="AA24" s="39"/>
      <c r="AB24" s="123"/>
      <c r="AC24" s="123"/>
      <c r="AD24" s="123"/>
    </row>
    <row r="25" spans="1:30" ht="185.25" customHeight="1">
      <c r="A25" s="123"/>
      <c r="B25" s="123"/>
      <c r="C25" s="123"/>
      <c r="D25" s="123"/>
      <c r="E25" s="123"/>
      <c r="F25" s="123"/>
      <c r="G25" s="123"/>
      <c r="H25" s="123"/>
      <c r="I25" s="123"/>
      <c r="J25" s="123"/>
      <c r="K25" s="123"/>
      <c r="L25" s="444"/>
      <c r="M25" s="444"/>
      <c r="Q25" s="123"/>
      <c r="R25" s="123"/>
      <c r="S25" s="123"/>
      <c r="T25" s="121"/>
      <c r="U25" s="121"/>
      <c r="V25" s="123"/>
      <c r="W25" s="123"/>
      <c r="X25" s="123"/>
      <c r="Y25" s="123"/>
      <c r="Z25" s="123"/>
      <c r="AA25" s="39"/>
      <c r="AB25" s="123"/>
      <c r="AC25" s="123"/>
      <c r="AD25" s="123"/>
    </row>
    <row r="26" spans="1:30" ht="181.5" customHeight="1">
      <c r="A26" s="123"/>
      <c r="B26" s="123"/>
      <c r="C26" s="123"/>
      <c r="D26" s="123"/>
      <c r="E26" s="123"/>
      <c r="F26" s="123"/>
      <c r="G26" s="123"/>
      <c r="H26" s="123"/>
      <c r="I26" s="123"/>
      <c r="J26" s="123"/>
      <c r="K26" s="123"/>
      <c r="L26" s="444"/>
      <c r="M26" s="444"/>
      <c r="Q26" s="123"/>
      <c r="R26" s="123"/>
      <c r="S26" s="101"/>
      <c r="T26" s="121"/>
      <c r="U26" s="121"/>
      <c r="V26" s="123"/>
      <c r="W26" s="123"/>
      <c r="X26" s="123"/>
      <c r="Y26" s="123"/>
      <c r="Z26" s="123"/>
      <c r="AA26" s="39"/>
      <c r="AB26" s="123"/>
      <c r="AC26" s="123"/>
      <c r="AD26" s="123"/>
    </row>
    <row r="27" spans="1:30" ht="183" customHeight="1">
      <c r="A27" s="123"/>
      <c r="B27" s="123"/>
      <c r="C27" s="123"/>
      <c r="D27" s="123"/>
      <c r="E27" s="123"/>
      <c r="F27" s="123"/>
      <c r="G27" s="123"/>
      <c r="H27" s="123"/>
      <c r="I27" s="123"/>
      <c r="J27" s="123"/>
      <c r="K27" s="123"/>
      <c r="L27" s="445"/>
      <c r="M27" s="445"/>
      <c r="N27" s="123"/>
      <c r="O27" s="123"/>
      <c r="P27" s="123"/>
      <c r="Q27" s="123"/>
      <c r="R27" s="123"/>
      <c r="S27" s="441"/>
      <c r="T27" s="123"/>
      <c r="U27" s="123"/>
      <c r="V27" s="446"/>
      <c r="W27" s="123"/>
      <c r="X27" s="101"/>
      <c r="Y27" s="101"/>
      <c r="Z27" s="101"/>
      <c r="AA27" s="446"/>
      <c r="AB27" s="101"/>
      <c r="AC27" s="101"/>
      <c r="AD27" s="101"/>
    </row>
    <row r="28" spans="1:30" ht="18.75" customHeight="1">
      <c r="A28" s="123"/>
      <c r="B28" s="123"/>
      <c r="C28" s="123"/>
      <c r="D28" s="123"/>
      <c r="E28" s="123"/>
      <c r="F28" s="123"/>
      <c r="G28" s="123"/>
      <c r="H28" s="123"/>
      <c r="I28" s="123"/>
      <c r="J28" s="123"/>
      <c r="K28" s="123"/>
      <c r="L28" s="123"/>
      <c r="N28" s="123"/>
      <c r="O28" s="123"/>
      <c r="P28" s="123"/>
      <c r="Q28" s="123"/>
      <c r="R28" s="123"/>
      <c r="S28" s="121"/>
      <c r="T28" s="123"/>
      <c r="U28" s="123"/>
      <c r="V28" s="123"/>
      <c r="W28" s="123"/>
      <c r="X28" s="123"/>
      <c r="Y28" s="123"/>
      <c r="Z28" s="123"/>
      <c r="AA28" s="39"/>
      <c r="AB28" s="123"/>
      <c r="AC28" s="123"/>
      <c r="AD28" s="123"/>
    </row>
    <row r="29" spans="1:30" ht="12.5">
      <c r="A29" s="123"/>
      <c r="B29" s="123"/>
      <c r="C29" s="123"/>
      <c r="D29" s="123"/>
      <c r="E29" s="123"/>
      <c r="F29" s="123"/>
      <c r="G29" s="123"/>
      <c r="H29" s="123"/>
      <c r="I29" s="123"/>
      <c r="J29" s="123"/>
      <c r="K29" s="123"/>
      <c r="L29" s="123"/>
      <c r="Q29" s="123"/>
      <c r="R29" s="123"/>
      <c r="S29" s="442"/>
      <c r="T29" s="123"/>
      <c r="U29" s="123"/>
      <c r="V29" s="123"/>
      <c r="W29" s="123"/>
      <c r="X29" s="123"/>
      <c r="Y29" s="123"/>
      <c r="Z29" s="123"/>
      <c r="AA29" s="39"/>
      <c r="AB29" s="123"/>
      <c r="AC29" s="123"/>
      <c r="AD29" s="123"/>
    </row>
    <row r="30" spans="1:30" ht="12.5">
      <c r="A30" s="123"/>
      <c r="B30" s="123"/>
      <c r="C30" s="123"/>
      <c r="D30" s="123"/>
      <c r="E30" s="123"/>
      <c r="F30" s="123"/>
      <c r="G30" s="123"/>
      <c r="H30" s="123"/>
      <c r="I30" s="123"/>
      <c r="J30" s="123"/>
      <c r="K30" s="123"/>
      <c r="L30" s="123"/>
      <c r="Q30" s="123"/>
      <c r="R30" s="123"/>
      <c r="S30" s="442"/>
      <c r="T30" s="123"/>
      <c r="U30" s="123"/>
      <c r="V30" s="123"/>
      <c r="W30" s="123"/>
      <c r="X30" s="123"/>
      <c r="Y30" s="123"/>
      <c r="Z30" s="123"/>
      <c r="AA30" s="39"/>
      <c r="AB30" s="123"/>
      <c r="AC30" s="123"/>
      <c r="AD30" s="123"/>
    </row>
    <row r="31" spans="1:30" ht="18.75" customHeight="1">
      <c r="A31" s="123"/>
      <c r="B31" s="123"/>
      <c r="C31" s="123"/>
      <c r="D31" s="123"/>
      <c r="E31" s="123"/>
      <c r="F31" s="123"/>
      <c r="G31" s="123"/>
      <c r="H31" s="123"/>
      <c r="I31" s="123"/>
      <c r="J31" s="123"/>
      <c r="K31" s="123"/>
      <c r="L31" s="123"/>
      <c r="N31" s="123"/>
      <c r="O31" s="123"/>
      <c r="P31" s="123"/>
      <c r="Q31" s="123"/>
      <c r="R31" s="123"/>
      <c r="S31" s="121"/>
      <c r="T31" s="123"/>
      <c r="U31" s="123"/>
      <c r="V31" s="123"/>
      <c r="W31" s="123"/>
      <c r="X31" s="123"/>
      <c r="Y31" s="123"/>
      <c r="Z31" s="123"/>
      <c r="AA31" s="39"/>
      <c r="AB31" s="123"/>
      <c r="AC31" s="123"/>
      <c r="AD31" s="123"/>
    </row>
    <row r="32" spans="1:30" ht="18.75" customHeight="1">
      <c r="A32" s="123"/>
      <c r="B32" s="123"/>
      <c r="C32" s="123"/>
      <c r="D32" s="123"/>
      <c r="E32" s="123"/>
      <c r="F32" s="123"/>
      <c r="G32" s="123"/>
      <c r="H32" s="123"/>
      <c r="I32" s="123"/>
      <c r="J32" s="123"/>
      <c r="K32" s="123"/>
      <c r="L32" s="123"/>
      <c r="M32" s="123"/>
      <c r="Q32" s="123"/>
      <c r="R32" s="123"/>
      <c r="S32" s="442"/>
      <c r="T32" s="123"/>
      <c r="U32" s="123"/>
      <c r="V32" s="123"/>
      <c r="W32" s="123"/>
      <c r="X32" s="123"/>
      <c r="Y32" s="123"/>
      <c r="Z32" s="123"/>
      <c r="AA32" s="39"/>
      <c r="AB32" s="123"/>
      <c r="AC32" s="123"/>
      <c r="AD32" s="123"/>
    </row>
    <row r="33" spans="1:30" ht="147" customHeight="1">
      <c r="A33" s="123"/>
      <c r="B33" s="123"/>
      <c r="C33" s="123"/>
      <c r="D33" s="123"/>
      <c r="E33" s="123"/>
      <c r="F33" s="123"/>
      <c r="G33" s="123"/>
      <c r="H33" s="123"/>
      <c r="I33" s="123"/>
      <c r="J33" s="123"/>
      <c r="K33" s="123"/>
      <c r="L33" s="445"/>
      <c r="M33" s="444"/>
      <c r="Q33" s="123"/>
      <c r="R33" s="123"/>
      <c r="S33" s="123"/>
      <c r="T33" s="31"/>
      <c r="U33" s="123"/>
      <c r="V33" s="123"/>
      <c r="W33" s="123"/>
      <c r="X33" s="123"/>
      <c r="Y33" s="123"/>
      <c r="Z33" s="123"/>
      <c r="AA33" s="39"/>
      <c r="AB33" s="123"/>
      <c r="AC33" s="123"/>
      <c r="AD33" s="123"/>
    </row>
    <row r="34" spans="1:30" ht="12.5">
      <c r="A34" s="123"/>
      <c r="B34" s="123"/>
      <c r="C34" s="123"/>
      <c r="D34" s="123"/>
      <c r="E34" s="123"/>
      <c r="F34" s="123"/>
      <c r="G34" s="123"/>
      <c r="H34" s="123"/>
      <c r="I34" s="123"/>
      <c r="J34" s="123"/>
      <c r="K34" s="123"/>
      <c r="L34" s="123"/>
      <c r="M34" s="123"/>
      <c r="Q34" s="123"/>
      <c r="R34" s="123"/>
      <c r="S34" s="442"/>
      <c r="T34" s="123"/>
      <c r="U34" s="123"/>
      <c r="V34" s="123"/>
      <c r="W34" s="123"/>
      <c r="X34" s="123"/>
      <c r="Y34" s="123"/>
      <c r="Z34" s="123"/>
      <c r="AA34" s="39"/>
      <c r="AB34" s="123"/>
      <c r="AC34" s="123"/>
      <c r="AD34" s="123"/>
    </row>
    <row r="35" spans="1:30" ht="15.75" customHeight="1">
      <c r="A35" s="246"/>
      <c r="B35" s="246"/>
      <c r="C35" s="246"/>
      <c r="D35" s="246"/>
      <c r="E35" s="246"/>
      <c r="F35" s="246"/>
      <c r="G35" s="246"/>
      <c r="H35" s="246"/>
      <c r="I35" s="246"/>
      <c r="J35" s="246"/>
      <c r="K35" s="246"/>
      <c r="L35" s="123"/>
      <c r="M35" s="123"/>
      <c r="N35" s="193"/>
      <c r="O35" s="193"/>
      <c r="P35" s="193"/>
      <c r="Q35" s="123"/>
      <c r="R35" s="246"/>
      <c r="S35" s="443"/>
      <c r="T35" s="246"/>
      <c r="U35" s="246"/>
      <c r="V35" s="246"/>
      <c r="W35" s="246"/>
      <c r="X35" s="246"/>
      <c r="Y35" s="246"/>
      <c r="Z35" s="246"/>
      <c r="AA35" s="447"/>
      <c r="AB35" s="246"/>
      <c r="AC35" s="123"/>
      <c r="AD35" s="123"/>
    </row>
    <row r="36" spans="1:30" ht="13">
      <c r="A36" s="123"/>
      <c r="B36" s="123"/>
      <c r="C36" s="123"/>
      <c r="D36" s="123"/>
      <c r="E36" s="123"/>
      <c r="F36" s="123"/>
      <c r="G36" s="123"/>
      <c r="H36" s="123"/>
      <c r="I36" s="123"/>
      <c r="J36" s="123"/>
      <c r="K36" s="123"/>
      <c r="L36" s="444"/>
      <c r="M36" s="444"/>
      <c r="Q36" s="123"/>
      <c r="R36" s="123"/>
      <c r="S36" s="123"/>
      <c r="T36" s="123"/>
      <c r="U36" s="123"/>
      <c r="V36" s="123"/>
      <c r="W36" s="123"/>
      <c r="X36" s="123"/>
      <c r="Y36" s="123"/>
      <c r="Z36" s="123"/>
      <c r="AA36" s="39"/>
      <c r="AB36" s="123"/>
      <c r="AC36" s="123"/>
      <c r="AD36" s="123"/>
    </row>
    <row r="37" spans="1:30" ht="35.25" customHeight="1">
      <c r="A37" s="246"/>
      <c r="B37" s="246"/>
      <c r="C37" s="246"/>
      <c r="D37" s="246"/>
      <c r="E37" s="123"/>
      <c r="F37" s="123"/>
      <c r="G37" s="123"/>
      <c r="H37" s="123"/>
      <c r="I37" s="123"/>
      <c r="J37" s="123"/>
      <c r="K37" s="123"/>
      <c r="L37" s="444"/>
      <c r="M37" s="444"/>
      <c r="Q37" s="123"/>
      <c r="R37" s="246"/>
      <c r="S37" s="246"/>
      <c r="T37" s="246"/>
      <c r="U37" s="246"/>
      <c r="V37" s="246"/>
      <c r="W37" s="246"/>
      <c r="X37" s="246"/>
      <c r="Y37" s="246"/>
      <c r="Z37" s="246"/>
      <c r="AA37" s="447"/>
      <c r="AB37" s="246"/>
      <c r="AC37" s="123"/>
      <c r="AD37" s="123"/>
    </row>
    <row r="38" spans="1:30" ht="12.5">
      <c r="A38" s="246"/>
      <c r="B38" s="246"/>
      <c r="C38" s="246"/>
      <c r="D38" s="246"/>
      <c r="E38" s="123"/>
      <c r="F38" s="123"/>
      <c r="G38" s="123"/>
      <c r="H38" s="123"/>
      <c r="I38" s="123"/>
      <c r="J38" s="123"/>
      <c r="K38" s="123"/>
      <c r="L38" s="123"/>
      <c r="M38" s="123"/>
      <c r="N38" s="123"/>
      <c r="O38" s="123"/>
      <c r="P38" s="123"/>
      <c r="Q38" s="123"/>
      <c r="R38" s="246"/>
      <c r="S38" s="443"/>
      <c r="T38" s="246"/>
      <c r="U38" s="246"/>
      <c r="V38" s="246"/>
      <c r="W38" s="246"/>
      <c r="X38" s="246"/>
      <c r="Y38" s="246"/>
      <c r="Z38" s="246"/>
      <c r="AA38" s="447"/>
      <c r="AB38" s="246"/>
      <c r="AC38" s="123"/>
      <c r="AD38" s="123"/>
    </row>
    <row r="39" spans="1:30" ht="12.5">
      <c r="A39" s="123"/>
      <c r="B39" s="123"/>
      <c r="C39" s="123"/>
      <c r="D39" s="123"/>
      <c r="E39" s="123"/>
      <c r="F39" s="123"/>
      <c r="G39" s="123"/>
      <c r="H39" s="123"/>
      <c r="I39" s="123"/>
      <c r="J39" s="123"/>
      <c r="K39" s="123"/>
      <c r="L39" s="123"/>
      <c r="M39" s="123"/>
      <c r="N39" s="123"/>
      <c r="O39" s="123"/>
      <c r="P39" s="123"/>
      <c r="Q39" s="123"/>
      <c r="R39" s="123"/>
      <c r="S39" s="442"/>
      <c r="T39" s="123"/>
      <c r="U39" s="123"/>
      <c r="V39" s="123"/>
      <c r="W39" s="123"/>
      <c r="X39" s="123"/>
      <c r="Y39" s="123"/>
      <c r="Z39" s="123"/>
      <c r="AA39" s="39"/>
      <c r="AB39" s="123"/>
      <c r="AC39" s="123"/>
      <c r="AD39" s="123"/>
    </row>
    <row r="40" spans="1:30" ht="15.75" customHeight="1">
      <c r="A40" s="186"/>
      <c r="B40" s="186"/>
      <c r="C40" s="186"/>
      <c r="D40" s="186"/>
      <c r="E40" s="186"/>
      <c r="F40" s="186"/>
      <c r="G40" s="186"/>
      <c r="H40" s="186"/>
      <c r="I40" s="186"/>
      <c r="J40" s="186"/>
      <c r="K40" s="186"/>
      <c r="L40" s="186"/>
      <c r="M40" s="186"/>
      <c r="N40" s="186"/>
      <c r="O40" s="186"/>
      <c r="P40" s="186"/>
      <c r="Q40" s="186"/>
      <c r="R40" s="186"/>
      <c r="S40" s="122"/>
      <c r="T40" s="186"/>
      <c r="U40" s="186"/>
      <c r="V40" s="186"/>
      <c r="W40" s="186"/>
      <c r="X40" s="186"/>
      <c r="Y40" s="186"/>
      <c r="Z40" s="186"/>
      <c r="AA40" s="33"/>
      <c r="AB40" s="186"/>
      <c r="AC40" s="186"/>
      <c r="AD40" s="186"/>
    </row>
    <row r="41" spans="1:30" ht="15.75" customHeight="1">
      <c r="A41" s="134"/>
      <c r="B41" s="134"/>
      <c r="C41" s="134"/>
      <c r="D41" s="134"/>
      <c r="E41" s="186"/>
      <c r="F41" s="186"/>
      <c r="G41" s="186"/>
      <c r="H41" s="186"/>
      <c r="I41" s="186"/>
      <c r="J41" s="186"/>
      <c r="K41" s="186"/>
      <c r="L41" s="186"/>
      <c r="M41" s="186"/>
      <c r="N41" s="186"/>
      <c r="O41" s="186"/>
      <c r="P41" s="186"/>
      <c r="Q41" s="186"/>
      <c r="R41" s="134"/>
      <c r="S41" s="243"/>
      <c r="T41" s="134"/>
      <c r="U41" s="134"/>
      <c r="V41" s="134"/>
      <c r="W41" s="134"/>
      <c r="X41" s="134"/>
      <c r="Y41" s="134"/>
      <c r="Z41" s="134"/>
      <c r="AA41" s="245"/>
      <c r="AB41" s="134"/>
      <c r="AC41" s="186"/>
      <c r="AD41" s="186"/>
    </row>
    <row r="42" spans="1:30" ht="15.75" customHeight="1">
      <c r="A42" s="134"/>
      <c r="B42" s="134"/>
      <c r="C42" s="134"/>
      <c r="D42" s="134"/>
      <c r="E42" s="186"/>
      <c r="F42" s="186"/>
      <c r="G42" s="186"/>
      <c r="H42" s="186"/>
      <c r="I42" s="186"/>
      <c r="J42" s="186"/>
      <c r="K42" s="186"/>
      <c r="L42" s="186"/>
      <c r="M42" s="186"/>
      <c r="N42" s="186"/>
      <c r="O42" s="186"/>
      <c r="P42" s="186"/>
      <c r="Q42" s="186"/>
      <c r="R42" s="134"/>
      <c r="S42" s="243"/>
      <c r="T42" s="134"/>
      <c r="U42" s="134"/>
      <c r="V42" s="134"/>
      <c r="W42" s="134"/>
      <c r="X42" s="134"/>
      <c r="Y42" s="134"/>
      <c r="Z42" s="134"/>
      <c r="AA42" s="245"/>
      <c r="AB42" s="134"/>
      <c r="AC42" s="186"/>
      <c r="AD42" s="186"/>
    </row>
    <row r="43" spans="1:30" ht="15.75" customHeight="1">
      <c r="A43" s="186"/>
      <c r="B43" s="186"/>
      <c r="C43" s="186"/>
      <c r="D43" s="186"/>
      <c r="E43" s="186"/>
      <c r="F43" s="186"/>
      <c r="G43" s="186"/>
      <c r="H43" s="186"/>
      <c r="I43" s="186"/>
      <c r="J43" s="186"/>
      <c r="K43" s="186"/>
      <c r="L43" s="186"/>
      <c r="M43" s="186"/>
      <c r="N43" s="186"/>
      <c r="O43" s="186"/>
      <c r="P43" s="186"/>
      <c r="Q43" s="186"/>
      <c r="R43" s="186"/>
      <c r="S43" s="122"/>
      <c r="T43" s="186"/>
      <c r="U43" s="186"/>
      <c r="V43" s="186"/>
      <c r="W43" s="186"/>
      <c r="X43" s="186"/>
      <c r="Y43" s="186"/>
      <c r="Z43" s="186"/>
      <c r="AA43" s="33"/>
      <c r="AB43" s="186"/>
      <c r="AC43" s="186"/>
      <c r="AD43" s="186"/>
    </row>
    <row r="44" spans="1:30" ht="15.75" customHeight="1">
      <c r="A44" s="186"/>
      <c r="B44" s="186"/>
      <c r="C44" s="186"/>
      <c r="D44" s="186"/>
      <c r="E44" s="186"/>
      <c r="F44" s="186"/>
      <c r="G44" s="186"/>
      <c r="H44" s="186"/>
      <c r="I44" s="186"/>
      <c r="J44" s="186"/>
      <c r="K44" s="186"/>
      <c r="L44" s="186"/>
      <c r="M44" s="186"/>
      <c r="N44" s="186"/>
      <c r="O44" s="186"/>
      <c r="P44" s="186"/>
      <c r="Q44" s="186"/>
      <c r="R44" s="186"/>
      <c r="S44" s="122"/>
      <c r="T44" s="186"/>
      <c r="U44" s="186"/>
      <c r="V44" s="186"/>
      <c r="W44" s="186"/>
      <c r="X44" s="186"/>
      <c r="Y44" s="186"/>
      <c r="Z44" s="186"/>
      <c r="AA44" s="33"/>
      <c r="AB44" s="186"/>
      <c r="AC44" s="186"/>
      <c r="AD44" s="186"/>
    </row>
    <row r="45" spans="1:30" ht="18.75" customHeight="1">
      <c r="A45" s="186"/>
      <c r="B45" s="186"/>
      <c r="C45" s="186"/>
      <c r="D45" s="186"/>
      <c r="E45" s="186"/>
      <c r="F45" s="186"/>
      <c r="G45" s="186"/>
      <c r="H45" s="186"/>
      <c r="I45" s="186"/>
      <c r="J45" s="186"/>
      <c r="K45" s="186"/>
      <c r="L45" s="186"/>
      <c r="M45" s="186"/>
      <c r="N45" s="186"/>
      <c r="O45" s="186"/>
      <c r="P45" s="186"/>
      <c r="Q45" s="186"/>
      <c r="R45" s="186"/>
      <c r="S45" s="122"/>
      <c r="T45" s="186"/>
      <c r="U45" s="186"/>
      <c r="V45" s="186"/>
      <c r="W45" s="186"/>
      <c r="X45" s="186"/>
      <c r="Y45" s="186"/>
      <c r="Z45" s="186"/>
      <c r="AA45" s="33"/>
      <c r="AB45" s="186"/>
      <c r="AC45" s="186"/>
      <c r="AD45" s="186"/>
    </row>
    <row r="46" spans="1:30" ht="18.75" customHeight="1">
      <c r="A46" s="186"/>
      <c r="B46" s="186"/>
      <c r="C46" s="186"/>
      <c r="D46" s="186"/>
      <c r="E46" s="186"/>
      <c r="F46" s="186"/>
      <c r="G46" s="186"/>
      <c r="H46" s="186"/>
      <c r="I46" s="186"/>
      <c r="J46" s="186"/>
      <c r="K46" s="186"/>
      <c r="Q46" s="123"/>
      <c r="R46" s="186"/>
      <c r="S46" s="122"/>
      <c r="T46" s="186"/>
      <c r="U46" s="186"/>
      <c r="V46" s="186"/>
      <c r="W46" s="186"/>
      <c r="X46" s="186"/>
      <c r="Y46" s="186"/>
      <c r="Z46" s="186"/>
      <c r="AA46" s="33"/>
      <c r="AB46" s="186"/>
      <c r="AC46" s="186"/>
      <c r="AD46" s="186"/>
    </row>
    <row r="47" spans="1:30" ht="14">
      <c r="A47" s="123"/>
      <c r="B47" s="123"/>
      <c r="C47" s="123"/>
      <c r="D47" s="123"/>
      <c r="E47" s="123"/>
      <c r="F47" s="123"/>
      <c r="G47" s="448"/>
      <c r="H47" s="123"/>
      <c r="I47" s="123"/>
      <c r="J47" s="123"/>
      <c r="K47" s="123"/>
      <c r="L47" s="123"/>
      <c r="M47" s="123"/>
      <c r="N47" s="123"/>
      <c r="O47" s="123"/>
      <c r="P47" s="123"/>
      <c r="Q47" s="123"/>
      <c r="R47" s="123"/>
      <c r="S47" s="121"/>
      <c r="T47" s="121"/>
      <c r="U47" s="121"/>
      <c r="V47" s="123"/>
      <c r="W47" s="123"/>
      <c r="X47" s="123"/>
      <c r="Y47" s="123"/>
      <c r="Z47" s="123"/>
      <c r="AA47" s="39"/>
      <c r="AB47" s="123"/>
      <c r="AC47" s="123"/>
      <c r="AD47" s="123"/>
    </row>
    <row r="48" spans="1:30" ht="12.5">
      <c r="A48" s="123"/>
      <c r="B48" s="123"/>
      <c r="C48" s="123"/>
      <c r="D48" s="123"/>
      <c r="E48" s="123"/>
      <c r="F48" s="123"/>
      <c r="G48" s="123"/>
      <c r="H48" s="123"/>
      <c r="I48" s="123"/>
      <c r="J48" s="123"/>
      <c r="K48" s="123"/>
      <c r="L48" s="123"/>
      <c r="N48" s="123"/>
      <c r="O48" s="123"/>
      <c r="P48" s="123"/>
      <c r="Q48" s="123"/>
      <c r="R48" s="123"/>
      <c r="S48" s="121"/>
      <c r="T48" s="123"/>
      <c r="U48" s="123"/>
      <c r="V48" s="123"/>
      <c r="W48" s="123"/>
      <c r="X48" s="123"/>
      <c r="Y48" s="123"/>
      <c r="Z48" s="123"/>
      <c r="AA48" s="39"/>
      <c r="AB48" s="123"/>
      <c r="AC48" s="123"/>
      <c r="AD48" s="123"/>
    </row>
    <row r="49" spans="1:30" ht="97.5" customHeight="1">
      <c r="A49" s="123"/>
      <c r="B49" s="123"/>
      <c r="C49" s="123"/>
      <c r="D49" s="123"/>
      <c r="E49" s="123"/>
      <c r="F49" s="123"/>
      <c r="G49" s="123"/>
      <c r="H49" s="123"/>
      <c r="I49" s="123"/>
      <c r="J49" s="123"/>
      <c r="K49" s="123"/>
      <c r="L49" s="444"/>
      <c r="M49" s="444"/>
      <c r="Q49" s="123"/>
      <c r="R49" s="123"/>
      <c r="S49" s="442"/>
      <c r="T49" s="123"/>
      <c r="U49" s="123"/>
      <c r="V49" s="123"/>
      <c r="W49" s="123"/>
      <c r="X49" s="123"/>
      <c r="Y49" s="123"/>
      <c r="Z49" s="123"/>
      <c r="AA49" s="39"/>
      <c r="AB49" s="123"/>
      <c r="AC49" s="123"/>
      <c r="AD49" s="123"/>
    </row>
    <row r="50" spans="1:30" ht="13">
      <c r="A50" s="123"/>
      <c r="B50" s="123"/>
      <c r="C50" s="123"/>
      <c r="D50" s="123"/>
      <c r="E50" s="123"/>
      <c r="F50" s="123"/>
      <c r="G50" s="123"/>
      <c r="H50" s="123"/>
      <c r="I50" s="123"/>
      <c r="J50" s="123"/>
      <c r="K50" s="123"/>
      <c r="L50" s="444"/>
      <c r="M50" s="444"/>
      <c r="Q50" s="123"/>
      <c r="R50" s="123"/>
      <c r="S50" s="449"/>
      <c r="T50" s="123"/>
      <c r="U50" s="123"/>
      <c r="V50" s="123"/>
      <c r="W50" s="123"/>
      <c r="X50" s="123"/>
      <c r="Y50" s="123"/>
      <c r="Z50" s="123"/>
      <c r="AA50" s="39"/>
      <c r="AB50" s="123"/>
      <c r="AC50" s="123"/>
      <c r="AD50" s="123"/>
    </row>
    <row r="51" spans="1:30" ht="12.5">
      <c r="A51" s="186"/>
      <c r="B51" s="186"/>
      <c r="C51" s="186"/>
      <c r="D51" s="186"/>
      <c r="E51" s="186"/>
      <c r="F51" s="186"/>
      <c r="G51" s="186"/>
      <c r="H51" s="186"/>
      <c r="I51" s="186"/>
      <c r="J51" s="186"/>
      <c r="K51" s="186"/>
      <c r="Q51" s="123"/>
      <c r="R51" s="186"/>
      <c r="S51" s="122"/>
      <c r="T51" s="186"/>
      <c r="U51" s="186"/>
      <c r="V51" s="186"/>
      <c r="W51" s="186"/>
      <c r="X51" s="186"/>
      <c r="Y51" s="186"/>
      <c r="Z51" s="186"/>
      <c r="AA51" s="33"/>
      <c r="AB51" s="186"/>
      <c r="AC51" s="186"/>
      <c r="AD51" s="186"/>
    </row>
    <row r="52" spans="1:30" ht="12.5">
      <c r="A52" s="186"/>
      <c r="B52" s="186"/>
      <c r="C52" s="186"/>
      <c r="D52" s="186"/>
      <c r="E52" s="186"/>
      <c r="F52" s="186"/>
      <c r="G52" s="186"/>
      <c r="H52" s="186"/>
      <c r="I52" s="186"/>
      <c r="J52" s="186"/>
      <c r="K52" s="186"/>
      <c r="Q52" s="123"/>
      <c r="R52" s="186"/>
      <c r="S52" s="122"/>
      <c r="T52" s="90"/>
      <c r="U52" s="90"/>
      <c r="V52" s="186"/>
      <c r="W52" s="186"/>
      <c r="X52" s="186"/>
      <c r="Y52" s="186"/>
      <c r="Z52" s="186"/>
      <c r="AA52" s="33"/>
      <c r="AB52" s="186"/>
      <c r="AC52" s="186"/>
      <c r="AD52" s="186"/>
    </row>
    <row r="53" spans="1:30" ht="12.5">
      <c r="A53" s="123"/>
      <c r="B53" s="123"/>
      <c r="C53" s="123"/>
      <c r="D53" s="123"/>
      <c r="E53" s="123"/>
      <c r="F53" s="123"/>
      <c r="G53" s="123"/>
      <c r="H53" s="123"/>
      <c r="I53" s="123"/>
      <c r="J53" s="123"/>
      <c r="K53" s="123"/>
      <c r="L53" s="123"/>
      <c r="N53" s="123"/>
      <c r="O53" s="123"/>
      <c r="P53" s="123"/>
      <c r="Q53" s="123"/>
      <c r="R53" s="123"/>
      <c r="S53" s="121"/>
      <c r="T53" s="123"/>
      <c r="U53" s="123"/>
      <c r="V53" s="123"/>
      <c r="W53" s="123"/>
      <c r="X53" s="123"/>
      <c r="Y53" s="123"/>
      <c r="Z53" s="123"/>
      <c r="AA53" s="39"/>
      <c r="AB53" s="123"/>
      <c r="AC53" s="123"/>
      <c r="AD53" s="123"/>
    </row>
    <row r="54" spans="1:30" ht="13">
      <c r="A54" s="123"/>
      <c r="B54" s="123"/>
      <c r="C54" s="123"/>
      <c r="D54" s="123"/>
      <c r="E54" s="123"/>
      <c r="F54" s="123"/>
      <c r="G54" s="123"/>
      <c r="H54" s="123"/>
      <c r="I54" s="123"/>
      <c r="J54" s="123"/>
      <c r="K54" s="123"/>
      <c r="L54" s="445"/>
      <c r="M54" s="444"/>
      <c r="N54" s="123"/>
      <c r="O54" s="123"/>
      <c r="P54" s="123"/>
      <c r="Q54" s="123"/>
      <c r="R54" s="123"/>
      <c r="S54" s="121"/>
      <c r="T54" s="123"/>
      <c r="U54" s="123"/>
      <c r="V54" s="123"/>
      <c r="W54" s="123"/>
      <c r="X54" s="123"/>
      <c r="Y54" s="123"/>
      <c r="Z54" s="123"/>
      <c r="AA54" s="39"/>
      <c r="AB54" s="123"/>
      <c r="AC54" s="123"/>
      <c r="AD54" s="123"/>
    </row>
    <row r="55" spans="1:30" ht="13">
      <c r="A55" s="123"/>
      <c r="B55" s="123"/>
      <c r="C55" s="123"/>
      <c r="D55" s="123"/>
      <c r="E55" s="123"/>
      <c r="F55" s="123"/>
      <c r="G55" s="123"/>
      <c r="H55" s="123"/>
      <c r="I55" s="123"/>
      <c r="J55" s="123"/>
      <c r="K55" s="123"/>
      <c r="L55" s="444"/>
      <c r="M55" s="444"/>
      <c r="Q55" s="123"/>
      <c r="R55" s="123"/>
      <c r="S55" s="123"/>
      <c r="T55" s="123"/>
      <c r="U55" s="123"/>
      <c r="V55" s="123"/>
      <c r="W55" s="123"/>
      <c r="X55" s="123"/>
      <c r="Y55" s="123"/>
      <c r="Z55" s="123"/>
      <c r="AA55" s="39"/>
      <c r="AB55" s="123"/>
      <c r="AC55" s="123"/>
      <c r="AD55" s="123"/>
    </row>
    <row r="56" spans="1:30" ht="162.75" customHeight="1">
      <c r="A56" s="123"/>
      <c r="B56" s="123"/>
      <c r="C56" s="123"/>
      <c r="D56" s="123"/>
      <c r="E56" s="123"/>
      <c r="F56" s="123"/>
      <c r="G56" s="123"/>
      <c r="H56" s="123"/>
      <c r="I56" s="123"/>
      <c r="J56" s="123"/>
      <c r="K56" s="123"/>
      <c r="L56" s="444"/>
      <c r="M56" s="444"/>
      <c r="Q56" s="123"/>
      <c r="R56" s="123"/>
      <c r="S56" s="123"/>
      <c r="T56" s="123"/>
      <c r="U56" s="123"/>
      <c r="V56" s="123"/>
      <c r="W56" s="123"/>
      <c r="X56" s="123"/>
      <c r="Y56" s="123"/>
      <c r="Z56" s="123"/>
      <c r="AA56" s="39"/>
      <c r="AB56" s="123"/>
      <c r="AC56" s="123"/>
      <c r="AD56" s="123"/>
    </row>
    <row r="57" spans="1:30" ht="168" customHeight="1">
      <c r="A57" s="123"/>
      <c r="B57" s="123"/>
      <c r="C57" s="123"/>
      <c r="D57" s="123"/>
      <c r="E57" s="123"/>
      <c r="F57" s="123"/>
      <c r="G57" s="123"/>
      <c r="H57" s="123"/>
      <c r="I57" s="123"/>
      <c r="J57" s="123"/>
      <c r="K57" s="123"/>
      <c r="L57" s="444"/>
      <c r="M57" s="444"/>
      <c r="Q57" s="123"/>
      <c r="R57" s="123"/>
      <c r="S57" s="123"/>
      <c r="T57" s="121"/>
      <c r="U57" s="121"/>
      <c r="V57" s="123"/>
      <c r="W57" s="123"/>
      <c r="X57" s="123"/>
      <c r="Y57" s="123"/>
      <c r="Z57" s="123"/>
      <c r="AA57" s="39"/>
      <c r="AB57" s="123"/>
      <c r="AC57" s="123"/>
      <c r="AD57" s="123"/>
    </row>
    <row r="58" spans="1:30" ht="12.5">
      <c r="A58" s="123"/>
      <c r="B58" s="123"/>
      <c r="C58" s="123"/>
      <c r="D58" s="123"/>
      <c r="E58" s="123"/>
      <c r="F58" s="123"/>
      <c r="G58" s="123"/>
      <c r="H58" s="123"/>
      <c r="I58" s="123"/>
      <c r="J58" s="123"/>
      <c r="K58" s="123"/>
      <c r="L58" s="123"/>
      <c r="N58" s="123"/>
      <c r="O58" s="123"/>
      <c r="P58" s="123"/>
      <c r="Q58" s="123"/>
      <c r="R58" s="123"/>
      <c r="S58" s="121"/>
      <c r="T58" s="121"/>
      <c r="U58" s="121"/>
      <c r="V58" s="123"/>
      <c r="W58" s="123"/>
      <c r="X58" s="123"/>
      <c r="Y58" s="123"/>
      <c r="Z58" s="123"/>
      <c r="AA58" s="39"/>
      <c r="AB58" s="123"/>
      <c r="AC58" s="123"/>
      <c r="AD58" s="123"/>
    </row>
    <row r="59" spans="1:30" ht="18.75" customHeight="1">
      <c r="A59" s="123"/>
      <c r="B59" s="123"/>
      <c r="C59" s="123"/>
      <c r="D59" s="123"/>
      <c r="E59" s="123"/>
      <c r="F59" s="123"/>
      <c r="G59" s="123"/>
      <c r="H59" s="123"/>
      <c r="I59" s="123"/>
      <c r="J59" s="123"/>
      <c r="K59" s="123"/>
      <c r="L59" s="123"/>
      <c r="N59" s="123"/>
      <c r="O59" s="123"/>
      <c r="P59" s="123"/>
      <c r="Q59" s="123"/>
      <c r="R59" s="123"/>
      <c r="S59" s="121"/>
      <c r="T59" s="123"/>
      <c r="U59" s="123"/>
      <c r="V59" s="123"/>
      <c r="W59" s="123"/>
      <c r="X59" s="123"/>
      <c r="Y59" s="123"/>
      <c r="Z59" s="123"/>
      <c r="AA59" s="39"/>
      <c r="AB59" s="123"/>
      <c r="AC59" s="123"/>
      <c r="AD59" s="123"/>
    </row>
    <row r="60" spans="1:30" ht="18.75" customHeight="1">
      <c r="A60" s="123"/>
      <c r="B60" s="123"/>
      <c r="C60" s="123"/>
      <c r="D60" s="123"/>
      <c r="E60" s="123"/>
      <c r="F60" s="123"/>
      <c r="G60" s="123"/>
      <c r="H60" s="123"/>
      <c r="I60" s="123"/>
      <c r="J60" s="123"/>
      <c r="K60" s="123"/>
      <c r="L60" s="123"/>
      <c r="N60" s="123"/>
      <c r="O60" s="123"/>
      <c r="P60" s="123"/>
      <c r="Q60" s="123"/>
      <c r="R60" s="123"/>
      <c r="S60" s="121"/>
      <c r="T60" s="121"/>
      <c r="U60" s="121"/>
      <c r="V60" s="123"/>
      <c r="W60" s="123"/>
      <c r="X60" s="123"/>
      <c r="Y60" s="123"/>
      <c r="Z60" s="123"/>
      <c r="AA60" s="39"/>
      <c r="AB60" s="123"/>
      <c r="AC60" s="123"/>
      <c r="AD60" s="123"/>
    </row>
    <row r="61" spans="1:30" ht="18.75" customHeight="1">
      <c r="A61" s="123"/>
      <c r="B61" s="123"/>
      <c r="C61" s="123"/>
      <c r="D61" s="123"/>
      <c r="E61" s="123"/>
      <c r="F61" s="123"/>
      <c r="G61" s="123"/>
      <c r="H61" s="123"/>
      <c r="I61" s="123"/>
      <c r="J61" s="123"/>
      <c r="K61" s="123"/>
      <c r="L61" s="123"/>
      <c r="N61" s="123"/>
      <c r="O61" s="123"/>
      <c r="P61" s="123"/>
      <c r="Q61" s="123"/>
      <c r="R61" s="123"/>
      <c r="S61" s="121"/>
      <c r="T61" s="123"/>
      <c r="U61" s="123"/>
      <c r="V61" s="123"/>
      <c r="W61" s="123"/>
      <c r="X61" s="123"/>
      <c r="Y61" s="123"/>
      <c r="Z61" s="123"/>
      <c r="AA61" s="39"/>
      <c r="AB61" s="123"/>
      <c r="AC61" s="123"/>
      <c r="AD61" s="123"/>
    </row>
    <row r="62" spans="1:30" ht="18.75" customHeight="1">
      <c r="A62" s="123"/>
      <c r="B62" s="123"/>
      <c r="C62" s="123"/>
      <c r="D62" s="123"/>
      <c r="E62" s="123"/>
      <c r="F62" s="123"/>
      <c r="G62" s="123"/>
      <c r="H62" s="123"/>
      <c r="I62" s="123"/>
      <c r="J62" s="123"/>
      <c r="K62" s="123"/>
      <c r="L62" s="123"/>
      <c r="N62" s="123"/>
      <c r="O62" s="123"/>
      <c r="P62" s="123"/>
      <c r="Q62" s="123"/>
      <c r="R62" s="123"/>
      <c r="S62" s="121"/>
      <c r="T62" s="121"/>
      <c r="U62" s="121"/>
      <c r="V62" s="123"/>
      <c r="W62" s="123"/>
      <c r="X62" s="123"/>
      <c r="Y62" s="123"/>
      <c r="Z62" s="123"/>
      <c r="AA62" s="39"/>
      <c r="AB62" s="123"/>
      <c r="AC62" s="123"/>
      <c r="AD62" s="123"/>
    </row>
    <row r="63" spans="1:30" ht="18.75" customHeight="1">
      <c r="A63" s="186"/>
      <c r="B63" s="186"/>
      <c r="C63" s="186"/>
      <c r="D63" s="186"/>
      <c r="E63" s="186"/>
      <c r="F63" s="186"/>
      <c r="G63" s="186"/>
      <c r="H63" s="186"/>
      <c r="I63" s="186"/>
      <c r="J63" s="186"/>
      <c r="K63" s="186"/>
      <c r="Q63" s="123"/>
      <c r="R63" s="186"/>
      <c r="S63" s="122"/>
      <c r="T63" s="186"/>
      <c r="U63" s="186"/>
      <c r="V63" s="186"/>
      <c r="W63" s="186"/>
      <c r="X63" s="186"/>
      <c r="Y63" s="186"/>
      <c r="Z63" s="186"/>
      <c r="AA63" s="33"/>
      <c r="AB63" s="186"/>
      <c r="AC63" s="186"/>
      <c r="AD63" s="186"/>
    </row>
    <row r="64" spans="1:30" ht="18.75" customHeight="1">
      <c r="A64" s="186"/>
      <c r="B64" s="186"/>
      <c r="C64" s="186"/>
      <c r="D64" s="186"/>
      <c r="E64" s="186"/>
      <c r="F64" s="186"/>
      <c r="G64" s="186"/>
      <c r="H64" s="186"/>
      <c r="I64" s="186"/>
      <c r="J64" s="186"/>
      <c r="K64" s="186"/>
      <c r="Q64" s="123"/>
      <c r="R64" s="186"/>
      <c r="S64" s="122"/>
      <c r="T64" s="186"/>
      <c r="U64" s="186"/>
      <c r="V64" s="186"/>
      <c r="W64" s="186"/>
      <c r="X64" s="186"/>
      <c r="Y64" s="186"/>
      <c r="Z64" s="186"/>
      <c r="AA64" s="33"/>
      <c r="AB64" s="186"/>
      <c r="AC64" s="186"/>
      <c r="AD64" s="186"/>
    </row>
    <row r="65" spans="1:30" ht="18.75" customHeight="1">
      <c r="A65" s="186"/>
      <c r="B65" s="186"/>
      <c r="C65" s="186"/>
      <c r="D65" s="186"/>
      <c r="E65" s="186"/>
      <c r="F65" s="186"/>
      <c r="G65" s="186"/>
      <c r="H65" s="186"/>
      <c r="I65" s="186"/>
      <c r="J65" s="186"/>
      <c r="K65" s="186"/>
      <c r="Q65" s="123"/>
      <c r="R65" s="186"/>
      <c r="S65" s="122"/>
      <c r="T65" s="186"/>
      <c r="U65" s="186"/>
      <c r="V65" s="186"/>
      <c r="W65" s="186"/>
      <c r="X65" s="186"/>
      <c r="Y65" s="186"/>
      <c r="Z65" s="186"/>
      <c r="AA65" s="33"/>
      <c r="AB65" s="186"/>
      <c r="AC65" s="186"/>
      <c r="AD65" s="186"/>
    </row>
    <row r="66" spans="1:30" ht="18.75" customHeight="1">
      <c r="A66" s="123"/>
      <c r="B66" s="123"/>
      <c r="C66" s="123"/>
      <c r="D66" s="123"/>
      <c r="E66" s="123"/>
      <c r="F66" s="123"/>
      <c r="G66" s="448"/>
      <c r="H66" s="123"/>
      <c r="I66" s="123"/>
      <c r="J66" s="123"/>
      <c r="K66" s="123"/>
      <c r="L66" s="123"/>
      <c r="M66" s="123"/>
      <c r="N66" s="123"/>
      <c r="O66" s="123"/>
      <c r="P66" s="123"/>
      <c r="Q66" s="123"/>
      <c r="R66" s="123"/>
      <c r="S66" s="121"/>
      <c r="T66" s="121"/>
      <c r="U66" s="121"/>
      <c r="V66" s="123"/>
      <c r="W66" s="123"/>
      <c r="X66" s="123"/>
      <c r="Y66" s="123"/>
      <c r="Z66" s="123"/>
      <c r="AA66" s="39"/>
      <c r="AB66" s="123"/>
      <c r="AC66" s="123"/>
      <c r="AD66" s="123"/>
    </row>
    <row r="67" spans="1:30" ht="12.5">
      <c r="A67" s="123"/>
      <c r="B67" s="123"/>
      <c r="C67" s="123"/>
      <c r="D67" s="123"/>
      <c r="E67" s="123"/>
      <c r="F67" s="123"/>
      <c r="G67" s="123"/>
      <c r="H67" s="123"/>
      <c r="I67" s="123"/>
      <c r="J67" s="123"/>
      <c r="K67" s="123"/>
      <c r="L67" s="123"/>
      <c r="M67" s="123"/>
      <c r="N67" s="123"/>
      <c r="O67" s="123"/>
      <c r="P67" s="123"/>
      <c r="Q67" s="123"/>
      <c r="R67" s="123"/>
      <c r="S67" s="121"/>
      <c r="T67" s="121"/>
      <c r="U67" s="121"/>
      <c r="V67" s="123"/>
      <c r="W67" s="123"/>
      <c r="X67" s="123"/>
      <c r="Y67" s="123"/>
      <c r="Z67" s="123"/>
      <c r="AA67" s="39"/>
      <c r="AB67" s="123"/>
      <c r="AC67" s="123"/>
      <c r="AD67" s="123"/>
    </row>
    <row r="68" spans="1:30" ht="18.75" customHeight="1">
      <c r="A68" s="123"/>
      <c r="B68" s="123"/>
      <c r="C68" s="123"/>
      <c r="D68" s="123"/>
      <c r="E68" s="123"/>
      <c r="F68" s="123"/>
      <c r="G68" s="448"/>
      <c r="H68" s="123"/>
      <c r="I68" s="123"/>
      <c r="J68" s="123"/>
      <c r="K68" s="123"/>
      <c r="L68" s="123"/>
      <c r="M68" s="123"/>
      <c r="N68" s="123"/>
      <c r="O68" s="123"/>
      <c r="P68" s="123"/>
      <c r="Q68" s="123"/>
      <c r="R68" s="123"/>
      <c r="S68" s="121"/>
      <c r="T68" s="121"/>
      <c r="U68" s="121"/>
      <c r="V68" s="123"/>
      <c r="W68" s="123"/>
      <c r="X68" s="123"/>
      <c r="Y68" s="123"/>
      <c r="Z68" s="123"/>
      <c r="AA68" s="39"/>
      <c r="AB68" s="123"/>
      <c r="AC68" s="123"/>
      <c r="AD68" s="123"/>
    </row>
    <row r="69" spans="1:30" ht="18.75" customHeight="1">
      <c r="A69" s="123"/>
      <c r="B69" s="123"/>
      <c r="C69" s="123"/>
      <c r="D69" s="123"/>
      <c r="E69" s="123"/>
      <c r="F69" s="123"/>
      <c r="G69" s="123"/>
      <c r="H69" s="123"/>
      <c r="I69" s="123"/>
      <c r="J69" s="123"/>
      <c r="K69" s="123"/>
      <c r="L69" s="123"/>
      <c r="M69" s="123"/>
      <c r="N69" s="123"/>
      <c r="O69" s="123"/>
      <c r="P69" s="123"/>
      <c r="Q69" s="123"/>
      <c r="R69" s="123"/>
      <c r="S69" s="121"/>
      <c r="T69" s="121"/>
      <c r="U69" s="121"/>
      <c r="V69" s="123"/>
      <c r="W69" s="123"/>
      <c r="X69" s="123"/>
      <c r="Y69" s="123"/>
      <c r="Z69" s="123"/>
      <c r="AA69" s="39"/>
      <c r="AB69" s="123"/>
      <c r="AC69" s="123"/>
      <c r="AD69" s="123"/>
    </row>
    <row r="70" spans="1:30" ht="18.75" customHeight="1">
      <c r="A70" s="123"/>
      <c r="B70" s="123"/>
      <c r="C70" s="123"/>
      <c r="D70" s="123"/>
      <c r="E70" s="123"/>
      <c r="F70" s="123"/>
      <c r="G70" s="448"/>
      <c r="H70" s="123"/>
      <c r="I70" s="123"/>
      <c r="J70" s="123"/>
      <c r="K70" s="123"/>
      <c r="L70" s="123"/>
      <c r="M70" s="123"/>
      <c r="N70" s="123"/>
      <c r="O70" s="123"/>
      <c r="P70" s="123"/>
      <c r="Q70" s="123"/>
      <c r="R70" s="123"/>
      <c r="S70" s="121"/>
      <c r="T70" s="121"/>
      <c r="U70" s="121"/>
      <c r="V70" s="123"/>
      <c r="W70" s="123"/>
      <c r="X70" s="123"/>
      <c r="Y70" s="123"/>
      <c r="Z70" s="123"/>
      <c r="AA70" s="39"/>
      <c r="AB70" s="123"/>
      <c r="AC70" s="123"/>
      <c r="AD70" s="123"/>
    </row>
    <row r="71" spans="1:30" ht="18.75" customHeight="1">
      <c r="A71" s="186"/>
      <c r="B71" s="186"/>
      <c r="C71" s="186"/>
      <c r="D71" s="186"/>
      <c r="E71" s="186"/>
      <c r="F71" s="186"/>
      <c r="G71" s="186"/>
      <c r="H71" s="186"/>
      <c r="I71" s="186"/>
      <c r="J71" s="186"/>
      <c r="K71" s="186"/>
      <c r="Q71" s="123"/>
      <c r="R71" s="186"/>
      <c r="S71" s="122"/>
      <c r="T71" s="186"/>
      <c r="U71" s="186"/>
      <c r="V71" s="186"/>
      <c r="W71" s="186"/>
      <c r="X71" s="186"/>
      <c r="Y71" s="186"/>
      <c r="Z71" s="186"/>
      <c r="AA71" s="33"/>
      <c r="AB71" s="186"/>
      <c r="AC71" s="186"/>
      <c r="AD71" s="186"/>
    </row>
    <row r="72" spans="1:30" ht="18.75" customHeight="1">
      <c r="A72" s="123"/>
      <c r="B72" s="123"/>
      <c r="C72" s="123"/>
      <c r="D72" s="123"/>
      <c r="E72" s="123"/>
      <c r="F72" s="123"/>
      <c r="G72" s="123"/>
      <c r="H72" s="123"/>
      <c r="I72" s="123"/>
      <c r="J72" s="123"/>
      <c r="K72" s="123"/>
      <c r="L72" s="123"/>
      <c r="N72" s="123"/>
      <c r="O72" s="123"/>
      <c r="P72" s="123"/>
      <c r="Q72" s="123"/>
      <c r="R72" s="123"/>
      <c r="S72" s="121"/>
      <c r="T72" s="123"/>
      <c r="U72" s="123"/>
      <c r="V72" s="123"/>
      <c r="W72" s="123"/>
      <c r="X72" s="123"/>
      <c r="Y72" s="123"/>
      <c r="Z72" s="123"/>
      <c r="AA72" s="39"/>
      <c r="AB72" s="123"/>
      <c r="AC72" s="123"/>
      <c r="AD72" s="123"/>
    </row>
    <row r="73" spans="1:30" ht="15.75" customHeight="1">
      <c r="A73" s="186"/>
      <c r="B73" s="186"/>
      <c r="C73" s="186"/>
      <c r="D73" s="186"/>
      <c r="E73" s="186"/>
      <c r="F73" s="186"/>
      <c r="G73" s="186"/>
      <c r="H73" s="186"/>
      <c r="I73" s="186"/>
      <c r="J73" s="186"/>
      <c r="K73" s="186"/>
      <c r="Q73" s="123"/>
      <c r="R73" s="186"/>
      <c r="S73" s="122"/>
      <c r="T73" s="186"/>
      <c r="U73" s="186"/>
      <c r="V73" s="186"/>
      <c r="W73" s="186"/>
      <c r="X73" s="186"/>
      <c r="Y73" s="186"/>
      <c r="Z73" s="186"/>
      <c r="AA73" s="33"/>
      <c r="AB73" s="186"/>
      <c r="AC73" s="186"/>
      <c r="AD73" s="186"/>
    </row>
    <row r="74" spans="1:30" ht="13">
      <c r="A74" s="123"/>
      <c r="B74" s="123"/>
      <c r="C74" s="123"/>
      <c r="D74" s="123"/>
      <c r="E74" s="123"/>
      <c r="F74" s="123"/>
      <c r="G74" s="123"/>
      <c r="H74" s="123"/>
      <c r="I74" s="123"/>
      <c r="J74" s="123"/>
      <c r="K74" s="123"/>
      <c r="L74" s="123"/>
      <c r="M74" s="451"/>
      <c r="N74" s="123"/>
      <c r="O74" s="123"/>
      <c r="P74" s="451"/>
      <c r="Q74" s="123"/>
      <c r="R74" s="123"/>
      <c r="S74" s="121"/>
      <c r="T74" s="123"/>
      <c r="U74" s="123"/>
      <c r="V74" s="123"/>
      <c r="W74" s="123"/>
      <c r="X74" s="123"/>
      <c r="Y74" s="123"/>
      <c r="Z74" s="123"/>
      <c r="AA74" s="39"/>
      <c r="AB74" s="123"/>
      <c r="AC74" s="123"/>
      <c r="AD74" s="123"/>
    </row>
    <row r="75" spans="1:30" ht="39.75" customHeight="1">
      <c r="A75" s="123"/>
      <c r="B75" s="123"/>
      <c r="C75" s="123"/>
      <c r="D75" s="123"/>
      <c r="E75" s="123"/>
      <c r="F75" s="123"/>
      <c r="G75" s="123"/>
      <c r="H75" s="123"/>
      <c r="I75" s="123"/>
      <c r="J75" s="123"/>
      <c r="K75" s="123"/>
      <c r="L75" s="123"/>
      <c r="M75" s="451"/>
      <c r="N75" s="123"/>
      <c r="O75" s="123"/>
      <c r="P75" s="123"/>
      <c r="Q75" s="123"/>
      <c r="R75" s="123"/>
      <c r="S75" s="123"/>
      <c r="T75" s="123"/>
      <c r="U75" s="121"/>
      <c r="V75" s="123"/>
      <c r="W75" s="123"/>
      <c r="X75" s="123"/>
      <c r="Y75" s="123"/>
      <c r="Z75" s="123"/>
      <c r="AA75" s="39"/>
      <c r="AB75" s="123"/>
      <c r="AC75" s="123"/>
      <c r="AD75" s="123"/>
    </row>
    <row r="76" spans="1:30" ht="12.5">
      <c r="A76" s="123"/>
      <c r="B76" s="123"/>
      <c r="C76" s="123"/>
      <c r="D76" s="123"/>
      <c r="O76" s="123"/>
      <c r="P76" s="123"/>
      <c r="Q76" s="123"/>
      <c r="R76" s="123"/>
      <c r="S76" s="123"/>
      <c r="T76" s="123"/>
      <c r="U76" s="121"/>
      <c r="V76" s="123"/>
      <c r="W76" s="123"/>
      <c r="X76" s="123"/>
      <c r="Y76" s="123"/>
      <c r="Z76" s="123"/>
      <c r="AA76" s="39"/>
      <c r="AB76" s="123"/>
      <c r="AC76" s="123"/>
      <c r="AD76" s="123"/>
    </row>
    <row r="77" spans="1:30" ht="18.75" customHeight="1">
      <c r="A77" s="134"/>
      <c r="B77" s="134"/>
      <c r="C77" s="134"/>
      <c r="D77" s="134"/>
      <c r="O77" s="123"/>
      <c r="P77" s="123"/>
      <c r="Q77" s="123"/>
      <c r="R77" s="123"/>
      <c r="S77" s="123"/>
      <c r="T77" s="123"/>
      <c r="U77" s="134"/>
      <c r="V77" s="134"/>
      <c r="W77" s="134"/>
      <c r="X77" s="134"/>
      <c r="Y77" s="134"/>
      <c r="Z77" s="134"/>
      <c r="AA77" s="245"/>
      <c r="AB77" s="134"/>
      <c r="AC77" s="186"/>
      <c r="AD77" s="186"/>
    </row>
    <row r="78" spans="1:30" ht="18.75" customHeight="1">
      <c r="A78" s="134"/>
      <c r="B78" s="134"/>
      <c r="C78" s="134"/>
      <c r="D78" s="134"/>
      <c r="O78" s="123"/>
      <c r="P78" s="123"/>
      <c r="Q78" s="123"/>
      <c r="R78" s="123"/>
      <c r="S78" s="123"/>
      <c r="T78" s="123"/>
      <c r="U78" s="134"/>
      <c r="V78" s="134"/>
      <c r="W78" s="134"/>
      <c r="X78" s="134"/>
      <c r="Y78" s="134"/>
      <c r="Z78" s="134"/>
      <c r="AA78" s="245"/>
      <c r="AB78" s="134"/>
      <c r="AC78" s="186"/>
      <c r="AD78" s="186"/>
    </row>
    <row r="79" spans="1:30" ht="18.75" customHeight="1">
      <c r="A79" s="246"/>
      <c r="B79" s="246"/>
      <c r="C79" s="246"/>
      <c r="D79" s="246"/>
      <c r="O79" s="123"/>
      <c r="P79" s="123"/>
      <c r="Q79" s="123"/>
      <c r="R79" s="123"/>
      <c r="S79" s="123"/>
      <c r="T79" s="123"/>
      <c r="U79" s="450"/>
      <c r="V79" s="246"/>
      <c r="W79" s="246"/>
      <c r="X79" s="246"/>
      <c r="Y79" s="246"/>
      <c r="Z79" s="246"/>
      <c r="AA79" s="447"/>
      <c r="AB79" s="246"/>
      <c r="AC79" s="123"/>
      <c r="AD79" s="123"/>
    </row>
    <row r="80" spans="1:30" ht="18.75" customHeight="1">
      <c r="A80" s="134"/>
      <c r="B80" s="134"/>
      <c r="C80" s="134"/>
      <c r="D80" s="134"/>
      <c r="O80" s="123"/>
      <c r="P80" s="123"/>
      <c r="Q80" s="123"/>
      <c r="R80" s="123"/>
      <c r="S80" s="123"/>
      <c r="T80" s="123"/>
      <c r="U80" s="248"/>
      <c r="V80" s="134"/>
      <c r="W80" s="134"/>
      <c r="X80" s="134"/>
      <c r="Y80" s="134"/>
      <c r="Z80" s="134"/>
      <c r="AA80" s="245"/>
      <c r="AB80" s="134"/>
      <c r="AC80" s="186"/>
      <c r="AD80" s="186"/>
    </row>
    <row r="81" spans="1:30" ht="18.75" customHeight="1">
      <c r="A81" s="186"/>
      <c r="B81" s="186"/>
      <c r="C81" s="186"/>
      <c r="D81" s="186"/>
      <c r="O81" s="123"/>
      <c r="P81" s="123"/>
      <c r="Q81" s="123"/>
      <c r="R81" s="123"/>
      <c r="S81" s="123"/>
      <c r="T81" s="123"/>
      <c r="U81" s="186"/>
      <c r="V81" s="186"/>
      <c r="W81" s="186"/>
      <c r="X81" s="186"/>
      <c r="Y81" s="186"/>
      <c r="Z81" s="186"/>
      <c r="AA81" s="33"/>
      <c r="AB81" s="186"/>
      <c r="AC81" s="186"/>
      <c r="AD81" s="186"/>
    </row>
    <row r="82" spans="1:30" ht="18.75" customHeight="1">
      <c r="A82" s="186"/>
      <c r="B82" s="186"/>
      <c r="C82" s="186"/>
      <c r="D82" s="186"/>
      <c r="O82" s="123"/>
      <c r="P82" s="123"/>
      <c r="Q82" s="123"/>
      <c r="R82" s="123"/>
      <c r="S82" s="123"/>
      <c r="T82" s="123"/>
      <c r="U82" s="186"/>
      <c r="V82" s="186"/>
      <c r="W82" s="186"/>
      <c r="X82" s="186"/>
      <c r="Y82" s="186"/>
      <c r="Z82" s="186"/>
      <c r="AA82" s="33"/>
      <c r="AB82" s="186"/>
      <c r="AC82" s="186"/>
      <c r="AD82" s="186"/>
    </row>
    <row r="83" spans="1:30" ht="18.75" customHeight="1">
      <c r="A83" s="186"/>
      <c r="B83" s="186"/>
      <c r="C83" s="186"/>
      <c r="D83" s="186"/>
      <c r="O83" s="123"/>
      <c r="P83" s="123"/>
      <c r="Q83" s="123"/>
      <c r="R83" s="123"/>
      <c r="S83" s="123"/>
      <c r="T83" s="123"/>
      <c r="U83" s="186"/>
      <c r="V83" s="186"/>
      <c r="W83" s="186"/>
      <c r="X83" s="186"/>
      <c r="Y83" s="186"/>
      <c r="Z83" s="186"/>
      <c r="AA83" s="33"/>
      <c r="AB83" s="186"/>
      <c r="AC83" s="186"/>
      <c r="AD83" s="186"/>
    </row>
    <row r="84" spans="1:30" ht="18.75" customHeight="1">
      <c r="A84" s="186"/>
      <c r="B84" s="186"/>
      <c r="C84" s="186"/>
      <c r="D84" s="186"/>
      <c r="O84" s="123"/>
      <c r="P84" s="123"/>
      <c r="Q84" s="123"/>
      <c r="R84" s="123"/>
      <c r="S84" s="123"/>
      <c r="T84" s="123"/>
      <c r="U84" s="186"/>
      <c r="V84" s="186"/>
      <c r="W84" s="186"/>
      <c r="X84" s="186"/>
      <c r="Y84" s="186"/>
      <c r="Z84" s="186"/>
      <c r="AA84" s="33"/>
      <c r="AB84" s="186"/>
      <c r="AC84" s="186"/>
      <c r="AD84" s="186"/>
    </row>
    <row r="85" spans="1:30" ht="18.75" customHeight="1">
      <c r="A85" s="186"/>
      <c r="B85" s="186"/>
      <c r="C85" s="186"/>
      <c r="D85" s="186"/>
      <c r="E85" s="186"/>
      <c r="F85" s="186"/>
      <c r="G85" s="186"/>
      <c r="H85" s="186"/>
      <c r="I85" s="186"/>
      <c r="J85" s="186"/>
      <c r="K85" s="186"/>
      <c r="O85" s="123"/>
      <c r="P85" s="123"/>
      <c r="Q85" s="123"/>
      <c r="R85" s="123"/>
      <c r="S85" s="123"/>
      <c r="T85" s="123"/>
      <c r="U85" s="186"/>
      <c r="V85" s="186"/>
      <c r="W85" s="186"/>
      <c r="X85" s="186"/>
      <c r="Y85" s="186"/>
      <c r="Z85" s="186"/>
      <c r="AA85" s="33"/>
      <c r="AB85" s="186"/>
      <c r="AC85" s="186"/>
      <c r="AD85" s="186"/>
    </row>
    <row r="86" spans="1:30" ht="12.5">
      <c r="A86" s="186"/>
      <c r="B86" s="186"/>
      <c r="C86" s="186"/>
      <c r="D86" s="186"/>
      <c r="E86" s="186"/>
      <c r="F86" s="186"/>
      <c r="G86" s="186"/>
      <c r="H86" s="186"/>
      <c r="I86" s="186"/>
      <c r="J86" s="186"/>
      <c r="K86" s="186"/>
      <c r="Q86" s="123"/>
      <c r="R86" s="186"/>
      <c r="S86" s="122"/>
      <c r="T86" s="186"/>
      <c r="U86" s="186"/>
      <c r="V86" s="186"/>
      <c r="W86" s="186"/>
      <c r="X86" s="186"/>
      <c r="Y86" s="186"/>
      <c r="Z86" s="186"/>
      <c r="AA86" s="33"/>
      <c r="AB86" s="186"/>
      <c r="AC86" s="186"/>
      <c r="AD86" s="186"/>
    </row>
    <row r="87" spans="1:30" ht="18.75" customHeight="1">
      <c r="A87" s="186"/>
      <c r="B87" s="186"/>
      <c r="C87" s="186"/>
      <c r="D87" s="186"/>
      <c r="E87" s="186"/>
      <c r="F87" s="186"/>
      <c r="G87" s="186"/>
      <c r="H87" s="186"/>
      <c r="I87" s="186"/>
      <c r="J87" s="186"/>
      <c r="K87" s="186"/>
      <c r="Q87" s="123"/>
      <c r="R87" s="186"/>
      <c r="S87" s="122"/>
      <c r="T87" s="186"/>
      <c r="U87" s="186"/>
      <c r="V87" s="186"/>
      <c r="W87" s="186"/>
      <c r="X87" s="186"/>
      <c r="Y87" s="186"/>
      <c r="Z87" s="186"/>
      <c r="AA87" s="33"/>
      <c r="AB87" s="186"/>
      <c r="AC87" s="186"/>
      <c r="AD87" s="186"/>
    </row>
    <row r="88" spans="1:30" ht="18.75" customHeight="1">
      <c r="A88" s="186"/>
      <c r="B88" s="186"/>
      <c r="C88" s="186"/>
      <c r="D88" s="186"/>
      <c r="E88" s="186"/>
      <c r="F88" s="186"/>
      <c r="G88" s="186"/>
      <c r="H88" s="186"/>
      <c r="I88" s="186"/>
      <c r="J88" s="186"/>
      <c r="K88" s="186"/>
      <c r="Q88" s="123"/>
      <c r="R88" s="186"/>
      <c r="S88" s="122"/>
      <c r="T88" s="90"/>
      <c r="U88" s="90"/>
      <c r="V88" s="186"/>
      <c r="W88" s="186"/>
      <c r="X88" s="186"/>
      <c r="Y88" s="186"/>
      <c r="Z88" s="186"/>
      <c r="AA88" s="33"/>
      <c r="AB88" s="186"/>
      <c r="AC88" s="186"/>
      <c r="AD88" s="186"/>
    </row>
    <row r="89" spans="1:30" ht="18.75" customHeight="1">
      <c r="A89" s="186"/>
      <c r="B89" s="186"/>
      <c r="C89" s="186"/>
      <c r="D89" s="186"/>
      <c r="E89" s="186"/>
      <c r="F89" s="186"/>
      <c r="G89" s="186"/>
      <c r="H89" s="186"/>
      <c r="I89" s="186"/>
      <c r="J89" s="186"/>
      <c r="K89" s="186"/>
      <c r="Q89" s="123"/>
      <c r="R89" s="186"/>
      <c r="S89" s="122"/>
      <c r="T89" s="186"/>
      <c r="U89" s="186"/>
      <c r="V89" s="186"/>
      <c r="W89" s="186"/>
      <c r="X89" s="186"/>
      <c r="Y89" s="186"/>
      <c r="Z89" s="186"/>
      <c r="AA89" s="33"/>
      <c r="AB89" s="186"/>
      <c r="AC89" s="186"/>
      <c r="AD89" s="186"/>
    </row>
    <row r="90" spans="1:30" ht="18.75" customHeight="1">
      <c r="A90" s="186"/>
      <c r="B90" s="186"/>
      <c r="C90" s="186"/>
      <c r="D90" s="186"/>
      <c r="E90" s="186"/>
      <c r="F90" s="186"/>
      <c r="G90" s="186"/>
      <c r="H90" s="186"/>
      <c r="I90" s="186"/>
      <c r="J90" s="186"/>
      <c r="K90" s="186"/>
      <c r="Q90" s="123"/>
      <c r="R90" s="186"/>
      <c r="S90" s="122"/>
      <c r="T90" s="186"/>
      <c r="U90" s="186"/>
      <c r="V90" s="186"/>
      <c r="W90" s="186"/>
      <c r="X90" s="186"/>
      <c r="Y90" s="186"/>
      <c r="Z90" s="186"/>
      <c r="AA90" s="33"/>
      <c r="AB90" s="186"/>
      <c r="AC90" s="186"/>
      <c r="AD90" s="186"/>
    </row>
    <row r="91" spans="1:30" ht="87.75" customHeight="1">
      <c r="A91" s="186"/>
      <c r="B91" s="186"/>
      <c r="C91" s="186"/>
      <c r="D91" s="186"/>
      <c r="E91" s="186"/>
      <c r="F91" s="186"/>
      <c r="G91" s="186"/>
      <c r="H91" s="186"/>
      <c r="I91" s="186"/>
      <c r="J91" s="186"/>
      <c r="K91" s="186"/>
      <c r="Q91" s="123"/>
      <c r="R91" s="186"/>
      <c r="S91" s="122"/>
      <c r="T91" s="186"/>
      <c r="U91" s="186"/>
      <c r="V91" s="186"/>
      <c r="W91" s="186"/>
      <c r="X91" s="186"/>
      <c r="Y91" s="186"/>
      <c r="Z91" s="186"/>
      <c r="AA91" s="33"/>
      <c r="AB91" s="186"/>
      <c r="AC91" s="186"/>
      <c r="AD91" s="186"/>
    </row>
    <row r="92" spans="1:30" ht="18.75" customHeight="1">
      <c r="A92" s="186"/>
      <c r="B92" s="186"/>
      <c r="C92" s="186"/>
      <c r="D92" s="186"/>
      <c r="E92" s="186"/>
      <c r="F92" s="186"/>
      <c r="G92" s="186"/>
      <c r="H92" s="186"/>
      <c r="I92" s="186"/>
      <c r="J92" s="186"/>
      <c r="K92" s="186"/>
      <c r="Q92" s="123"/>
      <c r="R92" s="186"/>
      <c r="S92" s="122"/>
      <c r="T92" s="186"/>
      <c r="U92" s="186"/>
      <c r="V92" s="186"/>
      <c r="W92" s="186"/>
      <c r="X92" s="186"/>
      <c r="Y92" s="186"/>
      <c r="Z92" s="186"/>
      <c r="AA92" s="33"/>
      <c r="AB92" s="186"/>
      <c r="AC92" s="186"/>
      <c r="AD92" s="186"/>
    </row>
    <row r="93" spans="1:30" ht="12.5">
      <c r="A93" s="123"/>
      <c r="B93" s="123"/>
      <c r="C93" s="123"/>
      <c r="D93" s="123"/>
      <c r="E93" s="123"/>
      <c r="F93" s="123"/>
      <c r="G93" s="123"/>
      <c r="H93" s="123"/>
      <c r="I93" s="123"/>
      <c r="J93" s="123"/>
      <c r="K93" s="123"/>
      <c r="L93" s="123"/>
      <c r="N93" s="123"/>
      <c r="O93" s="123"/>
      <c r="P93" s="123"/>
      <c r="Q93" s="123"/>
      <c r="R93" s="123"/>
      <c r="S93" s="121"/>
      <c r="T93" s="121"/>
      <c r="U93" s="121"/>
      <c r="V93" s="123"/>
      <c r="W93" s="123"/>
      <c r="X93" s="123"/>
      <c r="Y93" s="123"/>
      <c r="Z93" s="123"/>
      <c r="AA93" s="39"/>
      <c r="AB93" s="123"/>
      <c r="AC93" s="123"/>
      <c r="AD93" s="123"/>
    </row>
    <row r="94" spans="1:30" ht="18.75" customHeight="1">
      <c r="A94" s="186"/>
      <c r="B94" s="186"/>
      <c r="C94" s="186"/>
      <c r="D94" s="186"/>
      <c r="E94" s="186"/>
      <c r="F94" s="186"/>
      <c r="G94" s="186"/>
      <c r="H94" s="186"/>
      <c r="I94" s="186"/>
      <c r="J94" s="186"/>
      <c r="K94" s="186"/>
      <c r="Q94" s="123"/>
      <c r="R94" s="186"/>
      <c r="S94" s="122"/>
      <c r="T94" s="90"/>
      <c r="U94" s="90"/>
      <c r="V94" s="186"/>
      <c r="W94" s="186"/>
      <c r="X94" s="186"/>
      <c r="Y94" s="186"/>
      <c r="Z94" s="186"/>
      <c r="AA94" s="33"/>
      <c r="AB94" s="186"/>
      <c r="AC94" s="186"/>
      <c r="AD94" s="186"/>
    </row>
    <row r="95" spans="1:30" ht="18.75" customHeight="1">
      <c r="A95" s="186"/>
      <c r="B95" s="186"/>
      <c r="C95" s="186"/>
      <c r="D95" s="186"/>
      <c r="E95" s="186"/>
      <c r="F95" s="186"/>
      <c r="G95" s="186"/>
      <c r="H95" s="186"/>
      <c r="I95" s="186"/>
      <c r="J95" s="186"/>
      <c r="K95" s="186"/>
      <c r="Q95" s="123"/>
      <c r="R95" s="186"/>
      <c r="S95" s="122"/>
      <c r="T95" s="90"/>
      <c r="U95" s="90"/>
      <c r="V95" s="186"/>
      <c r="W95" s="186"/>
      <c r="X95" s="186"/>
      <c r="Y95" s="186"/>
      <c r="Z95" s="186"/>
      <c r="AA95" s="33"/>
      <c r="AB95" s="186"/>
      <c r="AC95" s="186"/>
      <c r="AD95" s="186"/>
    </row>
    <row r="96" spans="1:30" ht="12.5">
      <c r="A96" s="186"/>
      <c r="B96" s="186"/>
      <c r="C96" s="186"/>
      <c r="D96" s="186"/>
      <c r="E96" s="186"/>
      <c r="F96" s="186"/>
      <c r="G96" s="186"/>
      <c r="H96" s="186"/>
      <c r="I96" s="186"/>
      <c r="J96" s="186"/>
      <c r="K96" s="186"/>
      <c r="Q96" s="123"/>
      <c r="R96" s="186"/>
      <c r="S96" s="122"/>
      <c r="T96" s="90"/>
      <c r="U96" s="90"/>
      <c r="V96" s="186"/>
      <c r="W96" s="186"/>
      <c r="X96" s="186"/>
      <c r="Y96" s="186"/>
      <c r="Z96" s="186"/>
      <c r="AA96" s="33"/>
      <c r="AB96" s="186"/>
      <c r="AC96" s="186"/>
      <c r="AD96" s="186"/>
    </row>
    <row r="97" spans="1:30" ht="170.25" customHeight="1">
      <c r="A97" s="123"/>
      <c r="B97" s="123"/>
      <c r="C97" s="123"/>
      <c r="D97" s="123"/>
      <c r="E97" s="123"/>
      <c r="F97" s="123"/>
      <c r="G97" s="123"/>
      <c r="H97" s="123"/>
      <c r="I97" s="123"/>
      <c r="J97" s="123"/>
      <c r="K97" s="123"/>
      <c r="L97" s="444"/>
      <c r="M97" s="444"/>
      <c r="N97" s="123"/>
      <c r="O97" s="123"/>
      <c r="P97" s="123"/>
      <c r="Q97" s="123"/>
      <c r="R97" s="123"/>
      <c r="S97" s="449"/>
      <c r="T97" s="121"/>
      <c r="U97" s="121"/>
      <c r="V97" s="123"/>
      <c r="W97" s="123"/>
      <c r="X97" s="123"/>
      <c r="Y97" s="123"/>
      <c r="Z97" s="123"/>
      <c r="AA97" s="39"/>
      <c r="AB97" s="123"/>
      <c r="AC97" s="123"/>
      <c r="AD97" s="123"/>
    </row>
    <row r="98" spans="1:30" ht="36.75" customHeight="1">
      <c r="A98" s="123"/>
      <c r="B98" s="123"/>
      <c r="C98" s="123"/>
      <c r="D98" s="123"/>
      <c r="E98" s="123"/>
      <c r="F98" s="123"/>
      <c r="G98" s="123"/>
      <c r="H98" s="123"/>
      <c r="I98" s="123"/>
      <c r="J98" s="123"/>
      <c r="K98" s="123"/>
      <c r="L98" s="444"/>
      <c r="M98" s="444"/>
      <c r="N98" s="123"/>
      <c r="O98" s="123"/>
      <c r="P98" s="123"/>
      <c r="Q98" s="123"/>
      <c r="R98" s="123"/>
      <c r="S98" s="123"/>
      <c r="T98" s="121"/>
      <c r="U98" s="121"/>
      <c r="V98" s="123"/>
      <c r="W98" s="123"/>
      <c r="X98" s="123"/>
      <c r="Y98" s="123"/>
      <c r="Z98" s="123"/>
      <c r="AA98" s="39"/>
      <c r="AB98" s="123"/>
      <c r="AC98" s="123"/>
      <c r="AD98" s="123"/>
    </row>
    <row r="99" spans="1:30" ht="12.5">
      <c r="A99" s="186"/>
      <c r="B99" s="186"/>
      <c r="C99" s="186"/>
      <c r="D99" s="186"/>
      <c r="E99" s="186"/>
      <c r="F99" s="186"/>
      <c r="G99" s="186"/>
      <c r="H99" s="186"/>
      <c r="I99" s="186"/>
      <c r="J99" s="186"/>
      <c r="K99" s="186"/>
      <c r="O99" s="193"/>
      <c r="Q99" s="123"/>
      <c r="R99" s="186"/>
      <c r="S99" s="122"/>
      <c r="T99" s="90"/>
      <c r="U99" s="90"/>
      <c r="V99" s="186"/>
      <c r="W99" s="186"/>
      <c r="X99" s="186"/>
      <c r="Y99" s="186"/>
      <c r="Z99" s="186"/>
      <c r="AA99" s="33"/>
      <c r="AB99" s="186"/>
      <c r="AC99" s="186"/>
      <c r="AD99" s="186"/>
    </row>
  </sheetData>
  <autoFilter ref="A3:AD99" xr:uid="{00000000-0001-0000-0800-000000000000}"/>
  <pageMargins left="0.7" right="0.7" top="0.75" bottom="0.75" header="0" footer="0"/>
  <pageSetup orientation="portrait"/>
  <legacy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outlinePr summaryBelow="0" summaryRight="0"/>
  </sheetPr>
  <dimension ref="A1:AB44"/>
  <sheetViews>
    <sheetView workbookViewId="0">
      <pane xSplit="2" ySplit="2" topLeftCell="E3" activePane="bottomRight" state="frozen"/>
      <selection pane="topRight" activeCell="C1" sqref="C1"/>
      <selection pane="bottomLeft" activeCell="A3" sqref="A3"/>
      <selection pane="bottomRight" activeCell="N16" sqref="N16"/>
    </sheetView>
  </sheetViews>
  <sheetFormatPr defaultColWidth="14.453125" defaultRowHeight="15" customHeight="1"/>
  <cols>
    <col min="1" max="4" width="0.1796875" hidden="1" customWidth="1"/>
    <col min="5" max="5" width="22.453125" customWidth="1"/>
    <col min="6" max="6" width="35.54296875" customWidth="1"/>
    <col min="7" max="7" width="20.7265625" customWidth="1"/>
    <col min="8" max="8" width="12.1796875" customWidth="1"/>
    <col min="9" max="9" width="6.54296875" customWidth="1"/>
    <col min="10" max="10" width="8.453125" customWidth="1"/>
    <col min="11" max="11" width="13.1796875" customWidth="1"/>
    <col min="12" max="12" width="27.26953125" customWidth="1"/>
    <col min="13" max="13" width="28.26953125" customWidth="1"/>
    <col min="14" max="14" width="20.1796875" customWidth="1"/>
    <col min="15" max="15" width="13.453125" customWidth="1"/>
    <col min="16" max="16" width="18.7265625" customWidth="1"/>
    <col min="17" max="17" width="12.7265625" customWidth="1"/>
    <col min="18" max="18" width="10.7265625" customWidth="1"/>
    <col min="19" max="19" width="14.81640625" customWidth="1"/>
    <col min="20" max="20" width="40.453125" customWidth="1"/>
    <col min="21" max="23" width="8.7265625" customWidth="1"/>
    <col min="24" max="24" width="6.26953125" customWidth="1"/>
    <col min="25" max="25" width="16.1796875" customWidth="1"/>
    <col min="26" max="26" width="38.7265625" customWidth="1"/>
    <col min="27" max="27" width="14.7265625" customWidth="1"/>
    <col min="28" max="28" width="48.7265625" customWidth="1"/>
  </cols>
  <sheetData>
    <row r="1" spans="1:28" ht="18.75" customHeight="1">
      <c r="A1" s="186"/>
      <c r="B1" s="186"/>
      <c r="C1" s="186"/>
      <c r="D1" s="119"/>
      <c r="E1" s="289" t="s">
        <v>1322</v>
      </c>
      <c r="F1" s="186"/>
      <c r="G1" s="186"/>
      <c r="H1" s="186"/>
      <c r="I1" s="186"/>
      <c r="J1" s="186"/>
      <c r="K1" s="353" t="s">
        <v>1038</v>
      </c>
      <c r="L1" s="353"/>
      <c r="M1" s="353"/>
      <c r="N1" s="353"/>
      <c r="O1" s="353"/>
      <c r="P1" s="353"/>
      <c r="Q1" s="353"/>
      <c r="R1" s="186"/>
      <c r="S1" s="186"/>
      <c r="T1" s="186"/>
      <c r="X1" s="186"/>
      <c r="Y1" s="186"/>
      <c r="Z1" s="354" t="s">
        <v>1039</v>
      </c>
      <c r="AA1" s="355"/>
      <c r="AB1" s="354"/>
    </row>
    <row r="2" spans="1:28" ht="27" customHeight="1">
      <c r="A2" s="356" t="s">
        <v>1040</v>
      </c>
      <c r="B2" s="356" t="s">
        <v>1041</v>
      </c>
      <c r="C2" s="356" t="s">
        <v>1042</v>
      </c>
      <c r="D2" s="357" t="s">
        <v>1043</v>
      </c>
      <c r="E2" s="356" t="s">
        <v>224</v>
      </c>
      <c r="F2" s="356" t="s">
        <v>225</v>
      </c>
      <c r="G2" s="356" t="s">
        <v>226</v>
      </c>
      <c r="H2" s="356" t="s">
        <v>227</v>
      </c>
      <c r="I2" s="356" t="s">
        <v>1044</v>
      </c>
      <c r="J2" s="356" t="s">
        <v>1045</v>
      </c>
      <c r="K2" s="335" t="s">
        <v>1046</v>
      </c>
      <c r="L2" s="335" t="s">
        <v>100</v>
      </c>
      <c r="M2" s="335" t="s">
        <v>101</v>
      </c>
      <c r="N2" s="335" t="s">
        <v>102</v>
      </c>
      <c r="O2" s="335" t="s">
        <v>103</v>
      </c>
      <c r="P2" s="335" t="s">
        <v>104</v>
      </c>
      <c r="Q2" s="335" t="s">
        <v>105</v>
      </c>
      <c r="R2" s="356" t="s">
        <v>111</v>
      </c>
      <c r="S2" s="356" t="s">
        <v>112</v>
      </c>
      <c r="T2" s="356" t="s">
        <v>113</v>
      </c>
      <c r="U2" s="356"/>
      <c r="V2" s="358"/>
      <c r="W2" s="358"/>
      <c r="X2" s="359" t="s">
        <v>1049</v>
      </c>
      <c r="Y2" s="359" t="s">
        <v>1050</v>
      </c>
      <c r="Z2" s="359" t="s">
        <v>237</v>
      </c>
      <c r="AA2" s="360" t="s">
        <v>1</v>
      </c>
      <c r="AB2" s="359" t="s">
        <v>238</v>
      </c>
    </row>
    <row r="3" spans="1:28" ht="18.75" customHeight="1">
      <c r="A3" s="213"/>
      <c r="B3" s="213"/>
      <c r="C3" s="210"/>
      <c r="D3" s="297"/>
      <c r="E3" s="186" t="s">
        <v>61</v>
      </c>
      <c r="F3" s="186" t="s">
        <v>168</v>
      </c>
      <c r="G3" s="186" t="s">
        <v>900</v>
      </c>
      <c r="H3" s="186" t="s">
        <v>243</v>
      </c>
      <c r="I3" s="186"/>
      <c r="J3" s="186">
        <v>2</v>
      </c>
      <c r="K3" s="186" t="s">
        <v>682</v>
      </c>
      <c r="L3" s="186" t="s">
        <v>3320</v>
      </c>
      <c r="M3" s="186" t="s">
        <v>901</v>
      </c>
      <c r="N3" s="90" t="s">
        <v>3321</v>
      </c>
      <c r="O3" s="90" t="s">
        <v>3322</v>
      </c>
      <c r="P3" s="90" t="s">
        <v>3323</v>
      </c>
      <c r="Q3" s="186"/>
      <c r="R3" s="186"/>
      <c r="S3" s="120" t="s">
        <v>3324</v>
      </c>
      <c r="T3" s="186" t="s">
        <v>3325</v>
      </c>
      <c r="X3" s="439">
        <v>1</v>
      </c>
      <c r="Y3" s="439"/>
      <c r="Z3" s="120" t="s">
        <v>3326</v>
      </c>
      <c r="AA3" s="131">
        <v>43509</v>
      </c>
      <c r="AB3" s="439" t="s">
        <v>1057</v>
      </c>
    </row>
    <row r="4" spans="1:28" ht="18.75" customHeight="1">
      <c r="A4" s="213"/>
      <c r="B4" s="213"/>
      <c r="C4" s="210"/>
      <c r="D4" s="297"/>
      <c r="E4" s="186" t="s">
        <v>61</v>
      </c>
      <c r="F4" s="186" t="s">
        <v>167</v>
      </c>
      <c r="G4" s="186" t="s">
        <v>902</v>
      </c>
      <c r="H4" s="186" t="s">
        <v>903</v>
      </c>
      <c r="I4" s="186"/>
      <c r="J4" s="186">
        <v>1</v>
      </c>
      <c r="K4" s="186" t="s">
        <v>682</v>
      </c>
      <c r="L4" s="186" t="s">
        <v>3320</v>
      </c>
      <c r="M4" s="186" t="s">
        <v>904</v>
      </c>
      <c r="N4" s="543" t="s">
        <v>3327</v>
      </c>
      <c r="O4" s="90" t="s">
        <v>3328</v>
      </c>
      <c r="P4" s="90" t="s">
        <v>3329</v>
      </c>
      <c r="Q4" s="186"/>
      <c r="R4" s="186"/>
      <c r="S4" s="120" t="s">
        <v>3330</v>
      </c>
      <c r="T4" s="186" t="s">
        <v>3331</v>
      </c>
      <c r="X4" s="439">
        <v>2</v>
      </c>
      <c r="Y4" s="439" t="s">
        <v>3332</v>
      </c>
      <c r="Z4" s="120" t="s">
        <v>3326</v>
      </c>
      <c r="AA4" s="131">
        <v>43509</v>
      </c>
      <c r="AB4" s="439" t="s">
        <v>1057</v>
      </c>
    </row>
    <row r="5" spans="1:28" ht="18.75" customHeight="1">
      <c r="A5" s="213"/>
      <c r="B5" s="213"/>
      <c r="C5" s="210"/>
      <c r="D5" s="297"/>
      <c r="E5" s="186" t="s">
        <v>61</v>
      </c>
      <c r="F5" s="186" t="s">
        <v>169</v>
      </c>
      <c r="G5" s="186" t="s">
        <v>900</v>
      </c>
      <c r="H5" s="186" t="s">
        <v>243</v>
      </c>
      <c r="I5" s="186"/>
      <c r="J5" s="186">
        <v>3</v>
      </c>
      <c r="K5" s="186" t="s">
        <v>682</v>
      </c>
      <c r="L5" s="186" t="s">
        <v>3320</v>
      </c>
      <c r="M5" s="186" t="s">
        <v>905</v>
      </c>
      <c r="N5" s="90" t="s">
        <v>3333</v>
      </c>
      <c r="O5" s="121" t="s">
        <v>3334</v>
      </c>
      <c r="P5" s="90" t="s">
        <v>3335</v>
      </c>
      <c r="Q5" s="186"/>
      <c r="R5" s="186"/>
      <c r="S5" s="120" t="s">
        <v>3336</v>
      </c>
      <c r="T5" s="186" t="s">
        <v>3337</v>
      </c>
      <c r="X5" s="439">
        <v>3</v>
      </c>
      <c r="Y5" s="439"/>
      <c r="Z5" s="120" t="s">
        <v>3326</v>
      </c>
      <c r="AA5" s="131">
        <v>43509</v>
      </c>
      <c r="AB5" s="439" t="s">
        <v>1057</v>
      </c>
    </row>
    <row r="6" spans="1:28" ht="18.75" customHeight="1">
      <c r="A6" s="213"/>
      <c r="B6" s="213"/>
      <c r="C6" s="210"/>
      <c r="D6" s="297"/>
      <c r="E6" s="186" t="s">
        <v>59</v>
      </c>
      <c r="F6" s="186" t="s">
        <v>906</v>
      </c>
      <c r="G6" s="186" t="s">
        <v>860</v>
      </c>
      <c r="H6" s="186" t="s">
        <v>243</v>
      </c>
      <c r="I6" s="186"/>
      <c r="J6" s="186">
        <v>5</v>
      </c>
      <c r="K6" s="186" t="s">
        <v>682</v>
      </c>
      <c r="L6" s="186" t="s">
        <v>3320</v>
      </c>
      <c r="M6" s="186" t="s">
        <v>907</v>
      </c>
      <c r="N6" s="543" t="s">
        <v>3338</v>
      </c>
      <c r="O6" s="90" t="s">
        <v>3339</v>
      </c>
      <c r="P6" s="90" t="s">
        <v>3340</v>
      </c>
      <c r="Q6" s="186"/>
      <c r="R6" s="186"/>
      <c r="S6" s="120" t="s">
        <v>3341</v>
      </c>
      <c r="T6" s="186" t="s">
        <v>3342</v>
      </c>
      <c r="X6" s="439">
        <v>4</v>
      </c>
      <c r="Y6" s="439" t="s">
        <v>3343</v>
      </c>
      <c r="Z6" s="120" t="s">
        <v>3326</v>
      </c>
      <c r="AA6" s="131">
        <v>43509</v>
      </c>
      <c r="AB6" s="439" t="s">
        <v>1057</v>
      </c>
    </row>
    <row r="7" spans="1:28" ht="18.75" customHeight="1">
      <c r="A7" s="213"/>
      <c r="B7" s="213"/>
      <c r="C7" s="210"/>
      <c r="D7" s="297"/>
      <c r="E7" s="186" t="s">
        <v>53</v>
      </c>
      <c r="F7" s="186" t="s">
        <v>1893</v>
      </c>
      <c r="G7" s="186" t="s">
        <v>2529</v>
      </c>
      <c r="H7" s="186" t="s">
        <v>243</v>
      </c>
      <c r="I7" s="186"/>
      <c r="J7" s="186">
        <v>36</v>
      </c>
      <c r="K7" s="186" t="s">
        <v>680</v>
      </c>
      <c r="L7" s="186"/>
      <c r="M7" s="186"/>
      <c r="N7" s="90"/>
      <c r="O7" s="90"/>
      <c r="P7" s="90"/>
      <c r="Q7" s="186"/>
      <c r="R7" s="186"/>
      <c r="S7" s="122"/>
      <c r="T7" s="186" t="s">
        <v>1190</v>
      </c>
      <c r="X7" s="439"/>
      <c r="Y7" s="439"/>
      <c r="Z7" s="123"/>
      <c r="AA7" s="361"/>
      <c r="AB7" s="362"/>
    </row>
    <row r="8" spans="1:28" ht="18.75" customHeight="1">
      <c r="A8" s="213"/>
      <c r="B8" s="213"/>
      <c r="C8" s="210"/>
      <c r="D8" s="297"/>
      <c r="E8" s="186" t="s">
        <v>53</v>
      </c>
      <c r="F8" s="186" t="s">
        <v>179</v>
      </c>
      <c r="G8" s="186" t="s">
        <v>900</v>
      </c>
      <c r="H8" s="186" t="s">
        <v>243</v>
      </c>
      <c r="I8" s="186"/>
      <c r="J8" s="186">
        <v>37</v>
      </c>
      <c r="K8" s="186" t="s">
        <v>680</v>
      </c>
      <c r="L8" s="186"/>
      <c r="M8" s="186"/>
      <c r="N8" s="90"/>
      <c r="O8" s="90"/>
      <c r="P8" s="90"/>
      <c r="Q8" s="186"/>
      <c r="R8" s="186"/>
      <c r="S8" s="122"/>
      <c r="T8" s="186" t="s">
        <v>1190</v>
      </c>
      <c r="X8" s="439"/>
      <c r="Y8" s="439"/>
      <c r="Z8" s="123"/>
      <c r="AA8" s="361"/>
      <c r="AB8" s="439"/>
    </row>
    <row r="9" spans="1:28" ht="18.75" customHeight="1">
      <c r="A9" s="213"/>
      <c r="B9" s="213"/>
      <c r="C9" s="210"/>
      <c r="D9" s="297"/>
      <c r="E9" s="186" t="s">
        <v>59</v>
      </c>
      <c r="F9" s="186" t="s">
        <v>170</v>
      </c>
      <c r="G9" s="186" t="s">
        <v>860</v>
      </c>
      <c r="H9" s="186" t="s">
        <v>243</v>
      </c>
      <c r="I9" s="186"/>
      <c r="J9" s="186">
        <v>4</v>
      </c>
      <c r="K9" s="186" t="s">
        <v>680</v>
      </c>
      <c r="L9" s="186"/>
      <c r="M9" s="186"/>
      <c r="N9" s="90"/>
      <c r="O9" s="90"/>
      <c r="P9" s="90"/>
      <c r="Q9" s="186"/>
      <c r="R9" s="186"/>
      <c r="S9" s="122"/>
      <c r="T9" s="186" t="s">
        <v>3344</v>
      </c>
      <c r="X9" s="439"/>
      <c r="Y9" s="439"/>
      <c r="Z9" s="123"/>
      <c r="AA9" s="361"/>
      <c r="AB9" s="439"/>
    </row>
    <row r="10" spans="1:28" ht="18.75" customHeight="1">
      <c r="A10" s="213"/>
      <c r="B10" s="213"/>
      <c r="C10" s="210"/>
      <c r="D10" s="297"/>
      <c r="E10" s="186" t="s">
        <v>59</v>
      </c>
      <c r="F10" s="186" t="s">
        <v>921</v>
      </c>
      <c r="G10" s="186" t="s">
        <v>3345</v>
      </c>
      <c r="H10" s="186" t="s">
        <v>243</v>
      </c>
      <c r="I10" s="186" t="s">
        <v>1034</v>
      </c>
      <c r="J10" s="186">
        <v>11</v>
      </c>
      <c r="K10" s="186" t="s">
        <v>680</v>
      </c>
      <c r="L10" s="186"/>
      <c r="M10" s="186"/>
      <c r="N10" s="90"/>
      <c r="O10" s="90"/>
      <c r="P10" s="90"/>
      <c r="Q10" s="186"/>
      <c r="R10" s="186"/>
      <c r="S10" s="122"/>
      <c r="T10" s="186" t="s">
        <v>3346</v>
      </c>
      <c r="X10" s="132"/>
      <c r="Y10" s="124"/>
      <c r="Z10" s="123"/>
      <c r="AA10" s="361"/>
      <c r="AB10" s="362"/>
    </row>
    <row r="11" spans="1:28" ht="18.75" customHeight="1">
      <c r="A11" s="213"/>
      <c r="B11" s="213"/>
      <c r="C11" s="210"/>
      <c r="D11" s="297"/>
      <c r="E11" s="186" t="s">
        <v>59</v>
      </c>
      <c r="F11" s="186" t="s">
        <v>971</v>
      </c>
      <c r="G11" s="186" t="s">
        <v>3347</v>
      </c>
      <c r="H11" s="186" t="s">
        <v>243</v>
      </c>
      <c r="I11" s="186"/>
      <c r="J11" s="186">
        <v>12</v>
      </c>
      <c r="K11" s="186" t="s">
        <v>680</v>
      </c>
      <c r="L11" s="186"/>
      <c r="M11" s="186"/>
      <c r="N11" s="90"/>
      <c r="O11" s="90"/>
      <c r="P11" s="90"/>
      <c r="Q11" s="186"/>
      <c r="R11" s="186"/>
      <c r="S11" s="122"/>
      <c r="T11" s="186" t="s">
        <v>3348</v>
      </c>
      <c r="X11" s="439"/>
      <c r="Y11" s="439"/>
      <c r="Z11" s="123"/>
      <c r="AA11" s="361"/>
      <c r="AB11" s="439"/>
    </row>
    <row r="12" spans="1:28" ht="18.75" customHeight="1">
      <c r="A12" s="213"/>
      <c r="B12" s="213"/>
      <c r="C12" s="210"/>
      <c r="D12" s="297"/>
      <c r="E12" s="186" t="s">
        <v>55</v>
      </c>
      <c r="F12" s="186" t="s">
        <v>3349</v>
      </c>
      <c r="G12" s="186" t="s">
        <v>3347</v>
      </c>
      <c r="H12" s="186" t="s">
        <v>243</v>
      </c>
      <c r="I12" s="186"/>
      <c r="J12" s="186">
        <v>13</v>
      </c>
      <c r="K12" s="186" t="s">
        <v>680</v>
      </c>
      <c r="L12" s="186"/>
      <c r="M12" s="186"/>
      <c r="N12" s="90"/>
      <c r="O12" s="90"/>
      <c r="P12" s="90"/>
      <c r="Q12" s="186"/>
      <c r="R12" s="186"/>
      <c r="S12" s="122"/>
      <c r="T12" s="186" t="s">
        <v>3350</v>
      </c>
      <c r="X12" s="439"/>
      <c r="Y12" s="439"/>
      <c r="Z12" s="123"/>
      <c r="AA12" s="361"/>
      <c r="AB12" s="439"/>
    </row>
    <row r="13" spans="1:28" ht="18.75" customHeight="1">
      <c r="A13" s="213"/>
      <c r="B13" s="213"/>
      <c r="C13" s="210"/>
      <c r="D13" s="297"/>
      <c r="E13" s="186" t="s">
        <v>55</v>
      </c>
      <c r="F13" s="186" t="s">
        <v>3351</v>
      </c>
      <c r="G13" s="186" t="s">
        <v>3347</v>
      </c>
      <c r="H13" s="186" t="s">
        <v>243</v>
      </c>
      <c r="I13" s="186"/>
      <c r="J13" s="186">
        <v>14</v>
      </c>
      <c r="K13" s="186" t="s">
        <v>680</v>
      </c>
      <c r="L13" s="186"/>
      <c r="M13" s="186"/>
      <c r="N13" s="90"/>
      <c r="O13" s="90"/>
      <c r="P13" s="90"/>
      <c r="Q13" s="186"/>
      <c r="R13" s="186"/>
      <c r="S13" s="122"/>
      <c r="T13" s="186" t="s">
        <v>3352</v>
      </c>
      <c r="X13" s="439"/>
      <c r="Y13" s="439"/>
      <c r="Z13" s="123"/>
      <c r="AA13" s="361"/>
      <c r="AB13" s="362"/>
    </row>
    <row r="14" spans="1:28" ht="18.75" customHeight="1">
      <c r="A14" s="213"/>
      <c r="B14" s="213"/>
      <c r="C14" s="210"/>
      <c r="D14" s="297"/>
      <c r="E14" s="186" t="s">
        <v>59</v>
      </c>
      <c r="F14" s="186" t="s">
        <v>924</v>
      </c>
      <c r="G14" s="186" t="s">
        <v>3353</v>
      </c>
      <c r="H14" s="186" t="s">
        <v>243</v>
      </c>
      <c r="I14" s="186"/>
      <c r="J14" s="186">
        <v>15</v>
      </c>
      <c r="K14" s="186" t="s">
        <v>680</v>
      </c>
      <c r="L14" s="186"/>
      <c r="M14" s="186"/>
      <c r="N14" s="90"/>
      <c r="O14" s="90"/>
      <c r="P14" s="90"/>
      <c r="Q14" s="186"/>
      <c r="R14" s="186"/>
      <c r="S14" s="122"/>
      <c r="T14" s="186" t="s">
        <v>3354</v>
      </c>
      <c r="X14" s="439"/>
      <c r="Y14" s="439"/>
      <c r="Z14" s="123"/>
      <c r="AA14" s="361"/>
      <c r="AB14" s="362"/>
    </row>
    <row r="15" spans="1:28" ht="18.75" customHeight="1">
      <c r="A15" s="213"/>
      <c r="B15" s="213"/>
      <c r="C15" s="210"/>
      <c r="D15" s="297"/>
      <c r="E15" s="186" t="s">
        <v>55</v>
      </c>
      <c r="F15" s="186" t="s">
        <v>260</v>
      </c>
      <c r="G15" s="186" t="s">
        <v>860</v>
      </c>
      <c r="H15" s="186" t="s">
        <v>243</v>
      </c>
      <c r="I15" s="186"/>
      <c r="J15" s="186">
        <v>6</v>
      </c>
      <c r="K15" s="186" t="s">
        <v>680</v>
      </c>
      <c r="L15" s="186"/>
      <c r="M15" s="186"/>
      <c r="N15" s="90"/>
      <c r="O15" s="90"/>
      <c r="P15" s="90"/>
      <c r="Q15" s="186"/>
      <c r="R15" s="186"/>
      <c r="S15" s="122"/>
      <c r="T15" s="186" t="s">
        <v>3355</v>
      </c>
      <c r="X15" s="439"/>
      <c r="Y15" s="439"/>
      <c r="Z15" s="123"/>
      <c r="AA15" s="361"/>
      <c r="AB15" s="362"/>
    </row>
    <row r="16" spans="1:28" ht="18.75" customHeight="1">
      <c r="A16" s="213"/>
      <c r="B16" s="213"/>
      <c r="C16" s="210"/>
      <c r="D16" s="297"/>
      <c r="E16" s="186" t="s">
        <v>55</v>
      </c>
      <c r="F16" s="186" t="s">
        <v>270</v>
      </c>
      <c r="G16" s="186" t="s">
        <v>860</v>
      </c>
      <c r="H16" s="186" t="s">
        <v>243</v>
      </c>
      <c r="I16" s="186"/>
      <c r="J16" s="186">
        <v>7</v>
      </c>
      <c r="K16" s="186" t="s">
        <v>680</v>
      </c>
      <c r="L16" s="186"/>
      <c r="M16" s="186"/>
      <c r="N16" s="90"/>
      <c r="O16" s="90"/>
      <c r="P16" s="90"/>
      <c r="Q16" s="186"/>
      <c r="R16" s="186"/>
      <c r="S16" s="122"/>
      <c r="T16" s="186" t="s">
        <v>3355</v>
      </c>
      <c r="X16" s="439"/>
      <c r="Y16" s="439"/>
      <c r="Z16" s="123"/>
      <c r="AA16" s="361"/>
      <c r="AB16" s="362"/>
    </row>
    <row r="17" spans="1:28" ht="18.75" customHeight="1">
      <c r="A17" s="213"/>
      <c r="B17" s="213"/>
      <c r="C17" s="210"/>
      <c r="D17" s="297"/>
      <c r="E17" s="186" t="s">
        <v>55</v>
      </c>
      <c r="F17" s="186" t="s">
        <v>1223</v>
      </c>
      <c r="G17" s="186" t="s">
        <v>860</v>
      </c>
      <c r="H17" s="186" t="s">
        <v>243</v>
      </c>
      <c r="I17" s="186"/>
      <c r="J17" s="186">
        <v>8</v>
      </c>
      <c r="K17" s="186" t="s">
        <v>680</v>
      </c>
      <c r="L17" s="186"/>
      <c r="M17" s="186"/>
      <c r="N17" s="90"/>
      <c r="O17" s="90"/>
      <c r="P17" s="90"/>
      <c r="Q17" s="186"/>
      <c r="R17" s="186"/>
      <c r="S17" s="122"/>
      <c r="T17" s="186" t="s">
        <v>3355</v>
      </c>
      <c r="X17" s="439"/>
      <c r="Y17" s="439"/>
      <c r="Z17" s="123"/>
      <c r="AA17" s="361"/>
      <c r="AB17" s="439"/>
    </row>
    <row r="18" spans="1:28" ht="18.75" customHeight="1">
      <c r="A18" s="213"/>
      <c r="B18" s="213"/>
      <c r="C18" s="210"/>
      <c r="D18" s="297"/>
      <c r="E18" s="186" t="s">
        <v>55</v>
      </c>
      <c r="F18" s="186" t="s">
        <v>1228</v>
      </c>
      <c r="G18" s="186" t="s">
        <v>860</v>
      </c>
      <c r="H18" s="186" t="s">
        <v>243</v>
      </c>
      <c r="I18" s="186"/>
      <c r="J18" s="186">
        <v>9</v>
      </c>
      <c r="K18" s="186" t="s">
        <v>680</v>
      </c>
      <c r="L18" s="186"/>
      <c r="M18" s="186"/>
      <c r="N18" s="90"/>
      <c r="O18" s="90"/>
      <c r="P18" s="90"/>
      <c r="Q18" s="186"/>
      <c r="R18" s="186"/>
      <c r="S18" s="122"/>
      <c r="T18" s="186" t="s">
        <v>3355</v>
      </c>
      <c r="X18" s="439"/>
      <c r="Y18" s="439"/>
      <c r="Z18" s="123"/>
      <c r="AA18" s="361"/>
      <c r="AB18" s="362"/>
    </row>
    <row r="19" spans="1:28" ht="18.75" customHeight="1">
      <c r="A19" s="213"/>
      <c r="B19" s="213"/>
      <c r="C19" s="210"/>
      <c r="D19" s="297"/>
      <c r="E19" s="186" t="s">
        <v>55</v>
      </c>
      <c r="F19" s="186" t="s">
        <v>1233</v>
      </c>
      <c r="G19" s="186" t="s">
        <v>3356</v>
      </c>
      <c r="H19" s="186" t="s">
        <v>243</v>
      </c>
      <c r="I19" s="186"/>
      <c r="J19" s="186">
        <v>10</v>
      </c>
      <c r="K19" s="186" t="s">
        <v>680</v>
      </c>
      <c r="L19" s="186"/>
      <c r="M19" s="186"/>
      <c r="N19" s="90"/>
      <c r="O19" s="90"/>
      <c r="P19" s="90"/>
      <c r="Q19" s="186"/>
      <c r="R19" s="186"/>
      <c r="S19" s="122"/>
      <c r="T19" s="186" t="s">
        <v>3355</v>
      </c>
      <c r="X19" s="439"/>
      <c r="Y19" s="439"/>
      <c r="Z19" s="123"/>
      <c r="AA19" s="361"/>
      <c r="AB19" s="362"/>
    </row>
    <row r="20" spans="1:28" ht="18.75" customHeight="1">
      <c r="A20" s="213"/>
      <c r="B20" s="213"/>
      <c r="C20" s="210"/>
      <c r="D20" s="297"/>
      <c r="E20" s="186" t="s">
        <v>59</v>
      </c>
      <c r="F20" s="186" t="s">
        <v>951</v>
      </c>
      <c r="G20" s="186" t="s">
        <v>900</v>
      </c>
      <c r="H20" s="186" t="s">
        <v>243</v>
      </c>
      <c r="I20" s="186"/>
      <c r="J20" s="186">
        <v>29</v>
      </c>
      <c r="K20" s="186" t="s">
        <v>680</v>
      </c>
      <c r="L20" s="186"/>
      <c r="M20" s="186"/>
      <c r="N20" s="90"/>
      <c r="O20" s="90"/>
      <c r="P20" s="90"/>
      <c r="Q20" s="186"/>
      <c r="R20" s="186"/>
      <c r="S20" s="122"/>
      <c r="T20" s="186" t="s">
        <v>3357</v>
      </c>
      <c r="X20" s="439"/>
      <c r="Y20" s="439"/>
      <c r="Z20" s="123"/>
      <c r="AA20" s="361"/>
      <c r="AB20" s="362"/>
    </row>
    <row r="21" spans="1:28" ht="18.75" customHeight="1">
      <c r="A21" s="213"/>
      <c r="B21" s="213"/>
      <c r="C21" s="210"/>
      <c r="D21" s="297"/>
      <c r="E21" s="186" t="s">
        <v>59</v>
      </c>
      <c r="F21" s="186" t="s">
        <v>3358</v>
      </c>
      <c r="G21" s="186" t="s">
        <v>900</v>
      </c>
      <c r="H21" s="186" t="s">
        <v>243</v>
      </c>
      <c r="I21" s="186"/>
      <c r="J21" s="186">
        <v>30</v>
      </c>
      <c r="K21" s="186" t="s">
        <v>680</v>
      </c>
      <c r="L21" s="186"/>
      <c r="M21" s="186"/>
      <c r="N21" s="90"/>
      <c r="O21" s="90"/>
      <c r="P21" s="90"/>
      <c r="Q21" s="186"/>
      <c r="R21" s="186"/>
      <c r="S21" s="122"/>
      <c r="T21" s="186" t="s">
        <v>3359</v>
      </c>
      <c r="X21" s="439"/>
      <c r="Y21" s="439"/>
      <c r="Z21" s="123"/>
      <c r="AA21" s="361"/>
      <c r="AB21" s="439"/>
    </row>
    <row r="22" spans="1:28" ht="18.75" customHeight="1">
      <c r="A22" s="213"/>
      <c r="B22" s="213"/>
      <c r="C22" s="210"/>
      <c r="D22" s="297"/>
      <c r="E22" s="186" t="s">
        <v>53</v>
      </c>
      <c r="F22" s="186" t="s">
        <v>3360</v>
      </c>
      <c r="G22" s="186" t="s">
        <v>2529</v>
      </c>
      <c r="H22" s="186" t="s">
        <v>243</v>
      </c>
      <c r="I22" s="186"/>
      <c r="J22" s="186">
        <v>39</v>
      </c>
      <c r="K22" s="186" t="s">
        <v>680</v>
      </c>
      <c r="L22" s="186"/>
      <c r="M22" s="186"/>
      <c r="N22" s="90"/>
      <c r="O22" s="90"/>
      <c r="P22" s="90"/>
      <c r="Q22" s="186"/>
      <c r="R22" s="186"/>
      <c r="S22" s="122"/>
      <c r="T22" s="186" t="s">
        <v>1190</v>
      </c>
      <c r="X22" s="439"/>
      <c r="Y22" s="439"/>
      <c r="Z22" s="123"/>
      <c r="AA22" s="361"/>
      <c r="AB22" s="439"/>
    </row>
    <row r="23" spans="1:28" ht="18.75" customHeight="1">
      <c r="A23" s="213"/>
      <c r="B23" s="213"/>
      <c r="C23" s="210"/>
      <c r="D23" s="297"/>
      <c r="E23" s="186" t="s">
        <v>53</v>
      </c>
      <c r="F23" s="186" t="s">
        <v>3361</v>
      </c>
      <c r="G23" s="186" t="s">
        <v>2529</v>
      </c>
      <c r="H23" s="186" t="s">
        <v>243</v>
      </c>
      <c r="I23" s="186"/>
      <c r="J23" s="186">
        <v>38</v>
      </c>
      <c r="K23" s="186" t="s">
        <v>680</v>
      </c>
      <c r="L23" s="186"/>
      <c r="M23" s="186"/>
      <c r="N23" s="90"/>
      <c r="O23" s="90"/>
      <c r="P23" s="90"/>
      <c r="Q23" s="186"/>
      <c r="R23" s="186"/>
      <c r="S23" s="122"/>
      <c r="T23" s="186" t="s">
        <v>1190</v>
      </c>
      <c r="X23" s="439"/>
      <c r="Y23" s="439"/>
      <c r="Z23" s="123"/>
      <c r="AA23" s="361"/>
      <c r="AB23" s="439"/>
    </row>
    <row r="24" spans="1:28" ht="18.75" customHeight="1">
      <c r="A24" s="213"/>
      <c r="B24" s="213"/>
      <c r="C24" s="210"/>
      <c r="D24" s="297"/>
      <c r="E24" s="186" t="s">
        <v>59</v>
      </c>
      <c r="F24" s="186" t="s">
        <v>934</v>
      </c>
      <c r="G24" s="186" t="s">
        <v>3362</v>
      </c>
      <c r="H24" s="186" t="s">
        <v>243</v>
      </c>
      <c r="I24" s="186"/>
      <c r="J24" s="186">
        <v>20</v>
      </c>
      <c r="K24" s="186" t="s">
        <v>680</v>
      </c>
      <c r="L24" s="186"/>
      <c r="M24" s="186"/>
      <c r="N24" s="90"/>
      <c r="O24" s="90"/>
      <c r="P24" s="90"/>
      <c r="Q24" s="186"/>
      <c r="R24" s="186"/>
      <c r="S24" s="122"/>
      <c r="T24" s="186" t="s">
        <v>3363</v>
      </c>
      <c r="X24" s="439"/>
      <c r="Y24" s="439"/>
      <c r="Z24" s="123"/>
      <c r="AA24" s="361"/>
      <c r="AB24" s="439"/>
    </row>
    <row r="25" spans="1:28" ht="18.75" customHeight="1">
      <c r="A25" s="213"/>
      <c r="B25" s="213"/>
      <c r="C25" s="210"/>
      <c r="D25" s="297"/>
      <c r="E25" s="186" t="s">
        <v>59</v>
      </c>
      <c r="F25" s="186" t="s">
        <v>3364</v>
      </c>
      <c r="G25" s="186" t="s">
        <v>3365</v>
      </c>
      <c r="H25" s="186" t="s">
        <v>243</v>
      </c>
      <c r="I25" s="186"/>
      <c r="J25" s="186">
        <v>21</v>
      </c>
      <c r="K25" s="186" t="s">
        <v>680</v>
      </c>
      <c r="L25" s="186"/>
      <c r="M25" s="186"/>
      <c r="N25" s="90"/>
      <c r="O25" s="90"/>
      <c r="P25" s="90"/>
      <c r="Q25" s="186"/>
      <c r="R25" s="186"/>
      <c r="S25" s="122"/>
      <c r="T25" s="186" t="s">
        <v>3366</v>
      </c>
      <c r="X25" s="439"/>
      <c r="Y25" s="439"/>
      <c r="Z25" s="123"/>
      <c r="AA25" s="361"/>
      <c r="AB25" s="362"/>
    </row>
    <row r="26" spans="1:28" ht="18.75" customHeight="1">
      <c r="A26" s="213"/>
      <c r="B26" s="213"/>
      <c r="C26" s="210"/>
      <c r="D26" s="297"/>
      <c r="E26" s="186" t="s">
        <v>55</v>
      </c>
      <c r="F26" s="186" t="s">
        <v>945</v>
      </c>
      <c r="G26" s="186" t="s">
        <v>3362</v>
      </c>
      <c r="H26" s="186" t="s">
        <v>243</v>
      </c>
      <c r="I26" s="186"/>
      <c r="J26" s="186">
        <v>22</v>
      </c>
      <c r="K26" s="186" t="s">
        <v>680</v>
      </c>
      <c r="L26" s="186"/>
      <c r="M26" s="186"/>
      <c r="N26" s="90"/>
      <c r="O26" s="90"/>
      <c r="P26" s="90"/>
      <c r="Q26" s="186"/>
      <c r="R26" s="186"/>
      <c r="S26" s="122"/>
      <c r="T26" s="186" t="s">
        <v>3367</v>
      </c>
      <c r="X26" s="439"/>
      <c r="Y26" s="439"/>
      <c r="Z26" s="123"/>
      <c r="AA26" s="361"/>
      <c r="AB26" s="362"/>
    </row>
    <row r="27" spans="1:28" ht="18.75" customHeight="1">
      <c r="A27" s="213"/>
      <c r="B27" s="213"/>
      <c r="C27" s="210"/>
      <c r="D27" s="297"/>
      <c r="E27" s="186" t="s">
        <v>55</v>
      </c>
      <c r="F27" s="186" t="s">
        <v>3368</v>
      </c>
      <c r="G27" s="186" t="s">
        <v>3365</v>
      </c>
      <c r="H27" s="186" t="s">
        <v>243</v>
      </c>
      <c r="I27" s="186"/>
      <c r="J27" s="186">
        <v>23</v>
      </c>
      <c r="K27" s="186" t="s">
        <v>680</v>
      </c>
      <c r="L27" s="186"/>
      <c r="M27" s="186"/>
      <c r="N27" s="90"/>
      <c r="O27" s="90"/>
      <c r="P27" s="90"/>
      <c r="Q27" s="186"/>
      <c r="R27" s="186"/>
      <c r="S27" s="122"/>
      <c r="T27" s="186" t="s">
        <v>3369</v>
      </c>
      <c r="X27" s="439"/>
      <c r="Y27" s="439"/>
      <c r="Z27" s="123"/>
      <c r="AA27" s="361"/>
      <c r="AB27" s="362"/>
    </row>
    <row r="28" spans="1:28" ht="18.75" customHeight="1">
      <c r="A28" s="213"/>
      <c r="B28" s="213"/>
      <c r="C28" s="210"/>
      <c r="D28" s="297"/>
      <c r="E28" s="186" t="s">
        <v>55</v>
      </c>
      <c r="F28" s="186" t="s">
        <v>3370</v>
      </c>
      <c r="G28" s="186" t="s">
        <v>247</v>
      </c>
      <c r="H28" s="186" t="s">
        <v>243</v>
      </c>
      <c r="I28" s="186"/>
      <c r="J28" s="186">
        <v>27</v>
      </c>
      <c r="K28" s="186" t="s">
        <v>680</v>
      </c>
      <c r="L28" s="186"/>
      <c r="M28" s="186"/>
      <c r="N28" s="90"/>
      <c r="O28" s="90"/>
      <c r="P28" s="90"/>
      <c r="Q28" s="186"/>
      <c r="R28" s="186"/>
      <c r="S28" s="122"/>
      <c r="T28" s="186" t="s">
        <v>3371</v>
      </c>
      <c r="X28" s="439"/>
      <c r="Y28" s="439"/>
      <c r="Z28" s="123"/>
      <c r="AA28" s="361"/>
      <c r="AB28" s="439"/>
    </row>
    <row r="29" spans="1:28" ht="18.75" customHeight="1">
      <c r="A29" s="213"/>
      <c r="B29" s="213"/>
      <c r="C29" s="210"/>
      <c r="D29" s="297"/>
      <c r="E29" s="186" t="s">
        <v>55</v>
      </c>
      <c r="F29" s="186" t="s">
        <v>3372</v>
      </c>
      <c r="G29" s="186" t="s">
        <v>909</v>
      </c>
      <c r="H29" s="186" t="s">
        <v>243</v>
      </c>
      <c r="I29" s="186"/>
      <c r="J29" s="186">
        <v>26</v>
      </c>
      <c r="K29" s="186" t="s">
        <v>680</v>
      </c>
      <c r="L29" s="186"/>
      <c r="M29" s="186"/>
      <c r="N29" s="90"/>
      <c r="O29" s="90"/>
      <c r="P29" s="90"/>
      <c r="Q29" s="186"/>
      <c r="R29" s="186"/>
      <c r="S29" s="122"/>
      <c r="T29" s="122" t="s">
        <v>3373</v>
      </c>
      <c r="X29" s="439"/>
      <c r="Y29" s="439"/>
      <c r="Z29" s="123"/>
      <c r="AA29" s="361"/>
      <c r="AB29" s="439"/>
    </row>
    <row r="30" spans="1:28" ht="18.75" customHeight="1">
      <c r="A30" s="213"/>
      <c r="B30" s="213"/>
      <c r="C30" s="210"/>
      <c r="D30" s="297"/>
      <c r="E30" s="186" t="s">
        <v>53</v>
      </c>
      <c r="F30" s="186" t="s">
        <v>3374</v>
      </c>
      <c r="G30" s="186" t="s">
        <v>2529</v>
      </c>
      <c r="H30" s="186" t="s">
        <v>243</v>
      </c>
      <c r="I30" s="186"/>
      <c r="J30" s="186">
        <v>25</v>
      </c>
      <c r="K30" s="186" t="s">
        <v>680</v>
      </c>
      <c r="L30" s="186"/>
      <c r="M30" s="186"/>
      <c r="N30" s="90"/>
      <c r="O30" s="90"/>
      <c r="P30" s="90"/>
      <c r="Q30" s="186"/>
      <c r="R30" s="186"/>
      <c r="S30" s="122"/>
      <c r="T30" s="186" t="s">
        <v>1190</v>
      </c>
      <c r="X30" s="439"/>
      <c r="Y30" s="439"/>
      <c r="Z30" s="123"/>
      <c r="AA30" s="361"/>
      <c r="AB30" s="439"/>
    </row>
    <row r="31" spans="1:28" ht="18.75" customHeight="1">
      <c r="A31" s="213"/>
      <c r="B31" s="213"/>
      <c r="C31" s="210"/>
      <c r="D31" s="297"/>
      <c r="E31" s="186" t="s">
        <v>55</v>
      </c>
      <c r="F31" s="186" t="s">
        <v>3375</v>
      </c>
      <c r="G31" s="186" t="s">
        <v>247</v>
      </c>
      <c r="H31" s="186" t="s">
        <v>243</v>
      </c>
      <c r="I31" s="186"/>
      <c r="J31" s="186">
        <v>28</v>
      </c>
      <c r="K31" s="186" t="s">
        <v>680</v>
      </c>
      <c r="L31" s="186"/>
      <c r="M31" s="186"/>
      <c r="N31" s="90"/>
      <c r="O31" s="90"/>
      <c r="P31" s="90"/>
      <c r="Q31" s="186"/>
      <c r="R31" s="186"/>
      <c r="S31" s="122"/>
      <c r="T31" s="186" t="s">
        <v>3376</v>
      </c>
      <c r="X31" s="439"/>
      <c r="Y31" s="439"/>
      <c r="Z31" s="439"/>
      <c r="AA31" s="439"/>
      <c r="AB31" s="439"/>
    </row>
    <row r="32" spans="1:28" ht="18.75" customHeight="1">
      <c r="A32" s="213"/>
      <c r="B32" s="213"/>
      <c r="C32" s="210"/>
      <c r="D32" s="297"/>
      <c r="E32" s="186" t="s">
        <v>55</v>
      </c>
      <c r="F32" s="186" t="s">
        <v>3377</v>
      </c>
      <c r="G32" s="186" t="s">
        <v>900</v>
      </c>
      <c r="H32" s="186" t="s">
        <v>243</v>
      </c>
      <c r="I32" s="186"/>
      <c r="J32" s="186">
        <v>18</v>
      </c>
      <c r="K32" s="186" t="s">
        <v>680</v>
      </c>
      <c r="L32" s="186"/>
      <c r="M32" s="186"/>
      <c r="N32" s="90"/>
      <c r="O32" s="90"/>
      <c r="P32" s="90"/>
      <c r="Q32" s="186"/>
      <c r="R32" s="186"/>
      <c r="S32" s="122"/>
      <c r="T32" s="186" t="s">
        <v>3378</v>
      </c>
      <c r="X32" s="439"/>
      <c r="Y32" s="439"/>
      <c r="Z32" s="439"/>
      <c r="AA32" s="439"/>
      <c r="AB32" s="439"/>
    </row>
    <row r="33" spans="1:28" ht="18.75" customHeight="1">
      <c r="A33" s="213"/>
      <c r="B33" s="213"/>
      <c r="C33" s="210"/>
      <c r="D33" s="297"/>
      <c r="E33" s="186" t="s">
        <v>53</v>
      </c>
      <c r="F33" s="186" t="s">
        <v>3379</v>
      </c>
      <c r="G33" s="186" t="s">
        <v>2529</v>
      </c>
      <c r="H33" s="186" t="s">
        <v>243</v>
      </c>
      <c r="I33" s="186"/>
      <c r="J33" s="186">
        <v>31</v>
      </c>
      <c r="K33" s="186" t="s">
        <v>680</v>
      </c>
      <c r="L33" s="186"/>
      <c r="M33" s="186"/>
      <c r="N33" s="90"/>
      <c r="O33" s="90"/>
      <c r="P33" s="90"/>
      <c r="Q33" s="186"/>
      <c r="R33" s="186"/>
      <c r="S33" s="122"/>
      <c r="T33" s="186" t="s">
        <v>1190</v>
      </c>
      <c r="X33" s="439"/>
      <c r="Y33" s="439"/>
      <c r="Z33" s="439"/>
      <c r="AA33" s="439"/>
      <c r="AB33" s="439"/>
    </row>
    <row r="34" spans="1:28" ht="18.75" customHeight="1">
      <c r="A34" s="213"/>
      <c r="B34" s="213"/>
      <c r="C34" s="210"/>
      <c r="D34" s="297"/>
      <c r="E34" s="186" t="s">
        <v>55</v>
      </c>
      <c r="F34" s="186" t="s">
        <v>3380</v>
      </c>
      <c r="G34" s="186" t="s">
        <v>902</v>
      </c>
      <c r="H34" s="186" t="s">
        <v>243</v>
      </c>
      <c r="I34" s="186"/>
      <c r="J34" s="186">
        <v>32</v>
      </c>
      <c r="K34" s="186" t="s">
        <v>680</v>
      </c>
      <c r="L34" s="186"/>
      <c r="M34" s="186"/>
      <c r="N34" s="90"/>
      <c r="O34" s="90"/>
      <c r="P34" s="90"/>
      <c r="Q34" s="186"/>
      <c r="R34" s="186"/>
      <c r="S34" s="122"/>
      <c r="T34" s="186" t="s">
        <v>3381</v>
      </c>
      <c r="X34" s="439"/>
      <c r="Y34" s="439"/>
      <c r="Z34" s="439"/>
      <c r="AA34" s="439"/>
      <c r="AB34" s="439"/>
    </row>
    <row r="35" spans="1:28" ht="18.75" customHeight="1">
      <c r="A35" s="213"/>
      <c r="B35" s="213"/>
      <c r="C35" s="210"/>
      <c r="D35" s="297"/>
      <c r="E35" s="186" t="s">
        <v>55</v>
      </c>
      <c r="F35" s="186" t="s">
        <v>3382</v>
      </c>
      <c r="G35" s="186" t="s">
        <v>900</v>
      </c>
      <c r="H35" s="186" t="s">
        <v>243</v>
      </c>
      <c r="I35" s="186"/>
      <c r="J35" s="186">
        <v>33</v>
      </c>
      <c r="K35" s="186" t="s">
        <v>680</v>
      </c>
      <c r="L35" s="186"/>
      <c r="M35" s="186"/>
      <c r="N35" s="90"/>
      <c r="O35" s="90"/>
      <c r="P35" s="90"/>
      <c r="Q35" s="186"/>
      <c r="R35" s="186"/>
      <c r="S35" s="122"/>
      <c r="T35" s="186" t="s">
        <v>3383</v>
      </c>
      <c r="X35" s="439"/>
      <c r="Y35" s="439"/>
      <c r="Z35" s="439"/>
      <c r="AA35" s="439"/>
      <c r="AB35" s="439"/>
    </row>
    <row r="36" spans="1:28" ht="18.75" customHeight="1">
      <c r="A36" s="213"/>
      <c r="B36" s="213"/>
      <c r="C36" s="210"/>
      <c r="D36" s="297"/>
      <c r="E36" s="186" t="s">
        <v>55</v>
      </c>
      <c r="F36" s="186" t="s">
        <v>3384</v>
      </c>
      <c r="G36" s="186" t="s">
        <v>252</v>
      </c>
      <c r="H36" s="186" t="s">
        <v>243</v>
      </c>
      <c r="I36" s="186"/>
      <c r="J36" s="186"/>
      <c r="K36" s="186" t="s">
        <v>680</v>
      </c>
      <c r="L36" s="186"/>
      <c r="M36" s="186"/>
      <c r="N36" s="90"/>
      <c r="O36" s="90"/>
      <c r="P36" s="90"/>
      <c r="Q36" s="186"/>
      <c r="R36" s="186"/>
      <c r="S36" s="122"/>
      <c r="T36" s="186" t="s">
        <v>3385</v>
      </c>
      <c r="X36" s="439"/>
      <c r="Y36" s="439"/>
      <c r="Z36" s="439"/>
      <c r="AA36" s="439"/>
      <c r="AB36" s="439"/>
    </row>
    <row r="37" spans="1:28" ht="18.75" customHeight="1">
      <c r="A37" s="292"/>
      <c r="B37" s="292"/>
      <c r="C37" s="292"/>
      <c r="D37" s="363"/>
      <c r="E37" s="125" t="s">
        <v>55</v>
      </c>
      <c r="F37" s="125" t="s">
        <v>3386</v>
      </c>
      <c r="G37" s="125" t="s">
        <v>252</v>
      </c>
      <c r="H37" s="125" t="s">
        <v>243</v>
      </c>
      <c r="I37" s="125"/>
      <c r="J37" s="125"/>
      <c r="K37" s="125" t="s">
        <v>682</v>
      </c>
      <c r="L37" s="186" t="s">
        <v>3320</v>
      </c>
      <c r="M37" s="186" t="s">
        <v>3387</v>
      </c>
      <c r="N37" s="90" t="s">
        <v>3388</v>
      </c>
      <c r="O37" s="126" t="s">
        <v>3389</v>
      </c>
      <c r="P37" s="126"/>
      <c r="Q37" s="125"/>
      <c r="R37" s="125"/>
      <c r="S37" s="127">
        <v>33052</v>
      </c>
      <c r="T37" s="125" t="s">
        <v>3390</v>
      </c>
      <c r="U37" s="128"/>
      <c r="V37" s="128"/>
      <c r="W37" s="128"/>
      <c r="X37" s="95"/>
      <c r="Y37" s="95"/>
      <c r="Z37" s="95"/>
      <c r="AA37" s="95"/>
      <c r="AB37" s="95"/>
    </row>
    <row r="38" spans="1:28" ht="18.75" customHeight="1">
      <c r="A38" s="213"/>
      <c r="B38" s="213"/>
      <c r="C38" s="210"/>
      <c r="D38" s="297"/>
      <c r="E38" s="186" t="s">
        <v>55</v>
      </c>
      <c r="F38" s="186" t="s">
        <v>3391</v>
      </c>
      <c r="G38" s="186" t="s">
        <v>900</v>
      </c>
      <c r="H38" s="186" t="s">
        <v>243</v>
      </c>
      <c r="I38" s="186"/>
      <c r="J38" s="186">
        <v>19</v>
      </c>
      <c r="K38" s="186" t="s">
        <v>680</v>
      </c>
      <c r="L38" s="186"/>
      <c r="M38" s="186"/>
      <c r="N38" s="90"/>
      <c r="O38" s="90"/>
      <c r="P38" s="90"/>
      <c r="Q38" s="186"/>
      <c r="R38" s="186"/>
      <c r="S38" s="122"/>
      <c r="T38" s="186" t="s">
        <v>3392</v>
      </c>
      <c r="X38" s="439"/>
      <c r="Y38" s="439"/>
      <c r="Z38" s="439"/>
      <c r="AA38" s="439"/>
      <c r="AB38" s="439"/>
    </row>
    <row r="39" spans="1:28" ht="18.75" customHeight="1">
      <c r="A39" s="213"/>
      <c r="B39" s="213"/>
      <c r="C39" s="210"/>
      <c r="D39" s="297"/>
      <c r="E39" s="186" t="s">
        <v>55</v>
      </c>
      <c r="F39" s="186" t="s">
        <v>3393</v>
      </c>
      <c r="G39" s="186" t="s">
        <v>900</v>
      </c>
      <c r="H39" s="186" t="s">
        <v>243</v>
      </c>
      <c r="I39" s="186"/>
      <c r="J39" s="186">
        <v>24</v>
      </c>
      <c r="K39" s="186" t="s">
        <v>680</v>
      </c>
      <c r="L39" s="186"/>
      <c r="M39" s="186"/>
      <c r="N39" s="90"/>
      <c r="O39" s="90"/>
      <c r="P39" s="90"/>
      <c r="Q39" s="186"/>
      <c r="R39" s="186"/>
      <c r="S39" s="122"/>
      <c r="T39" s="186" t="s">
        <v>3394</v>
      </c>
      <c r="X39" s="439"/>
      <c r="Y39" s="439"/>
      <c r="Z39" s="439"/>
      <c r="AA39" s="439"/>
      <c r="AB39" s="439"/>
    </row>
    <row r="40" spans="1:28" ht="18.75" customHeight="1">
      <c r="A40" s="213"/>
      <c r="B40" s="213"/>
      <c r="C40" s="210"/>
      <c r="D40" s="297"/>
      <c r="E40" s="186" t="s">
        <v>59</v>
      </c>
      <c r="F40" s="186" t="s">
        <v>927</v>
      </c>
      <c r="G40" s="186" t="s">
        <v>3353</v>
      </c>
      <c r="H40" s="186" t="s">
        <v>243</v>
      </c>
      <c r="I40" s="186"/>
      <c r="J40" s="186">
        <v>16</v>
      </c>
      <c r="K40" s="186" t="s">
        <v>680</v>
      </c>
      <c r="L40" s="186"/>
      <c r="M40" s="186"/>
      <c r="N40" s="90"/>
      <c r="O40" s="90"/>
      <c r="P40" s="90"/>
      <c r="Q40" s="186"/>
      <c r="R40" s="186"/>
      <c r="S40" s="122"/>
      <c r="T40" s="186" t="s">
        <v>3395</v>
      </c>
      <c r="X40" s="439"/>
      <c r="Y40" s="439"/>
      <c r="Z40" s="439"/>
      <c r="AA40" s="439"/>
      <c r="AB40" s="439"/>
    </row>
    <row r="41" spans="1:28" ht="18.75" customHeight="1">
      <c r="A41" s="213"/>
      <c r="B41" s="213"/>
      <c r="C41" s="210"/>
      <c r="D41" s="297"/>
      <c r="E41" s="186" t="s">
        <v>53</v>
      </c>
      <c r="F41" s="186" t="s">
        <v>123</v>
      </c>
      <c r="G41" s="186" t="s">
        <v>2529</v>
      </c>
      <c r="H41" s="186" t="s">
        <v>243</v>
      </c>
      <c r="I41" s="186"/>
      <c r="J41" s="186">
        <v>34</v>
      </c>
      <c r="K41" s="186" t="s">
        <v>682</v>
      </c>
      <c r="L41" s="186" t="s">
        <v>1184</v>
      </c>
      <c r="M41" s="130" t="s">
        <v>2577</v>
      </c>
      <c r="N41" s="90"/>
      <c r="O41" s="90"/>
      <c r="P41" s="90"/>
      <c r="Q41" s="186"/>
      <c r="R41" s="186"/>
      <c r="S41" s="122"/>
      <c r="T41" s="186" t="s">
        <v>1190</v>
      </c>
      <c r="X41" s="439"/>
      <c r="Y41" s="439"/>
      <c r="Z41" s="439"/>
      <c r="AA41" s="439"/>
      <c r="AB41" s="439"/>
    </row>
    <row r="42" spans="1:28" ht="18.75" customHeight="1">
      <c r="A42" s="213"/>
      <c r="B42" s="213"/>
      <c r="C42" s="210"/>
      <c r="D42" s="297"/>
      <c r="E42" s="186" t="s">
        <v>63</v>
      </c>
      <c r="F42" s="186" t="s">
        <v>122</v>
      </c>
      <c r="G42" s="186" t="s">
        <v>3396</v>
      </c>
      <c r="H42" s="186" t="s">
        <v>243</v>
      </c>
      <c r="I42" s="186"/>
      <c r="J42" s="186">
        <v>35</v>
      </c>
      <c r="K42" s="186" t="s">
        <v>682</v>
      </c>
      <c r="L42" s="186" t="s">
        <v>1184</v>
      </c>
      <c r="M42" s="459" t="s">
        <v>3397</v>
      </c>
      <c r="N42" s="90"/>
      <c r="O42" s="90"/>
      <c r="P42" s="90"/>
      <c r="Q42" s="186"/>
      <c r="R42" s="186"/>
      <c r="S42" s="122"/>
      <c r="T42" s="186" t="s">
        <v>1190</v>
      </c>
      <c r="X42" s="439"/>
      <c r="Y42" s="439"/>
      <c r="Z42" s="439"/>
      <c r="AA42" s="439"/>
      <c r="AB42" s="439"/>
    </row>
    <row r="43" spans="1:28" ht="18.75" customHeight="1">
      <c r="A43" s="213"/>
      <c r="B43" s="213"/>
      <c r="C43" s="210"/>
      <c r="D43" s="297"/>
      <c r="E43" s="186" t="s">
        <v>59</v>
      </c>
      <c r="F43" s="186" t="s">
        <v>929</v>
      </c>
      <c r="G43" s="186" t="s">
        <v>3398</v>
      </c>
      <c r="H43" s="186" t="s">
        <v>243</v>
      </c>
      <c r="I43" s="186"/>
      <c r="J43" s="186">
        <v>17</v>
      </c>
      <c r="K43" s="186" t="s">
        <v>680</v>
      </c>
      <c r="L43" s="186"/>
      <c r="M43" s="186"/>
      <c r="N43" s="90"/>
      <c r="O43" s="90"/>
      <c r="P43" s="90"/>
      <c r="Q43" s="186"/>
      <c r="R43" s="186"/>
      <c r="S43" s="122"/>
      <c r="T43" s="186" t="s">
        <v>3399</v>
      </c>
      <c r="X43" s="439"/>
      <c r="Y43" s="439"/>
      <c r="Z43" s="439"/>
      <c r="AA43" s="439"/>
      <c r="AB43" s="439"/>
    </row>
    <row r="44" spans="1:28" ht="60.75" customHeight="1">
      <c r="A44" s="134"/>
      <c r="B44" s="134"/>
      <c r="C44" s="134"/>
      <c r="D44" s="298"/>
      <c r="E44" s="186" t="s">
        <v>59</v>
      </c>
      <c r="F44" s="186" t="s">
        <v>994</v>
      </c>
      <c r="G44" s="186" t="s">
        <v>900</v>
      </c>
      <c r="H44" s="186" t="s">
        <v>243</v>
      </c>
      <c r="I44" s="186"/>
      <c r="J44" s="186"/>
      <c r="K44" s="186" t="s">
        <v>682</v>
      </c>
      <c r="L44" s="186" t="s">
        <v>3320</v>
      </c>
      <c r="M44" s="123" t="s">
        <v>3400</v>
      </c>
      <c r="N44" s="90"/>
      <c r="O44" s="90"/>
      <c r="P44" s="90"/>
      <c r="Q44" s="186"/>
      <c r="R44" s="186"/>
      <c r="S44" s="122"/>
      <c r="T44" s="186" t="s">
        <v>3401</v>
      </c>
      <c r="X44" s="439"/>
      <c r="Y44" s="439"/>
      <c r="Z44" s="439"/>
      <c r="AA44" s="439"/>
      <c r="AB44" s="439"/>
    </row>
  </sheetData>
  <autoFilter ref="A2:AB44" xr:uid="{00000000-0009-0000-0000-000013000000}"/>
  <pageMargins left="0.7" right="0.7" top="0.75" bottom="0.75" header="0" footer="0"/>
  <pageSetup orientation="landscape"/>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filterMode="1">
    <outlinePr summaryBelow="0" summaryRight="0"/>
  </sheetPr>
  <dimension ref="A1:AB91"/>
  <sheetViews>
    <sheetView workbookViewId="0">
      <pane xSplit="2" ySplit="2" topLeftCell="H47" activePane="bottomRight" state="frozen"/>
      <selection pane="topRight" activeCell="C1" sqref="C1"/>
      <selection pane="bottomLeft" activeCell="A3" sqref="A3"/>
      <selection pane="bottomRight" activeCell="M63" sqref="M63"/>
    </sheetView>
  </sheetViews>
  <sheetFormatPr defaultColWidth="14.453125" defaultRowHeight="15" customHeight="1"/>
  <cols>
    <col min="1" max="4" width="10.7265625" hidden="1" customWidth="1"/>
    <col min="5" max="5" width="21.453125" customWidth="1"/>
    <col min="6" max="6" width="29" customWidth="1"/>
    <col min="7" max="7" width="20.1796875" customWidth="1"/>
    <col min="8" max="8" width="13.81640625" customWidth="1"/>
    <col min="9" max="9" width="14.7265625" customWidth="1"/>
    <col min="10" max="10" width="7.7265625" customWidth="1"/>
    <col min="11" max="11" width="13" customWidth="1"/>
    <col min="12" max="12" width="44.1796875" customWidth="1"/>
    <col min="13" max="13" width="76.1796875" customWidth="1"/>
    <col min="14" max="15" width="17.26953125" customWidth="1"/>
    <col min="16" max="16" width="20.1796875" customWidth="1"/>
    <col min="17" max="17" width="17.26953125" customWidth="1"/>
    <col min="18" max="18" width="9.26953125" customWidth="1"/>
    <col min="19" max="19" width="42.453125" customWidth="1"/>
    <col min="20" max="20" width="19.7265625" customWidth="1"/>
    <col min="21" max="23" width="10" customWidth="1"/>
    <col min="24" max="24" width="6.26953125" customWidth="1"/>
    <col min="25" max="25" width="16.1796875" customWidth="1"/>
    <col min="26" max="26" width="38.7265625" customWidth="1"/>
    <col min="27" max="27" width="9.81640625" customWidth="1"/>
    <col min="28" max="28" width="48.7265625" customWidth="1"/>
  </cols>
  <sheetData>
    <row r="1" spans="1:28" ht="18.75" customHeight="1">
      <c r="A1" s="186"/>
      <c r="B1" s="186"/>
      <c r="C1" s="186"/>
      <c r="D1" s="119"/>
      <c r="E1" s="289" t="s">
        <v>1322</v>
      </c>
      <c r="F1" s="186"/>
      <c r="G1" s="186"/>
      <c r="H1" s="186"/>
      <c r="I1" s="186"/>
      <c r="J1" s="186"/>
      <c r="K1" s="207" t="s">
        <v>1038</v>
      </c>
      <c r="L1" s="207" t="s">
        <v>1038</v>
      </c>
      <c r="M1" s="207"/>
      <c r="N1" s="207"/>
      <c r="O1" s="207"/>
      <c r="P1" s="207"/>
      <c r="Q1" s="207"/>
      <c r="R1" s="186"/>
      <c r="S1" s="186"/>
      <c r="T1" s="186"/>
      <c r="X1" s="56"/>
      <c r="Y1" s="56"/>
      <c r="Z1" s="252" t="s">
        <v>1039</v>
      </c>
      <c r="AA1" s="364"/>
      <c r="AB1" s="252"/>
    </row>
    <row r="2" spans="1:28" ht="21.75" customHeight="1">
      <c r="A2" s="283" t="s">
        <v>1040</v>
      </c>
      <c r="B2" s="283" t="s">
        <v>1041</v>
      </c>
      <c r="C2" s="283" t="s">
        <v>1042</v>
      </c>
      <c r="D2" s="365" t="s">
        <v>1043</v>
      </c>
      <c r="E2" s="283" t="s">
        <v>224</v>
      </c>
      <c r="F2" s="283" t="s">
        <v>225</v>
      </c>
      <c r="G2" s="283" t="s">
        <v>226</v>
      </c>
      <c r="H2" s="283" t="s">
        <v>227</v>
      </c>
      <c r="I2" s="283" t="s">
        <v>1044</v>
      </c>
      <c r="J2" s="283" t="s">
        <v>1045</v>
      </c>
      <c r="K2" s="285" t="s">
        <v>1046</v>
      </c>
      <c r="L2" s="285" t="s">
        <v>100</v>
      </c>
      <c r="M2" s="285" t="s">
        <v>101</v>
      </c>
      <c r="N2" s="285" t="s">
        <v>102</v>
      </c>
      <c r="O2" s="285" t="s">
        <v>103</v>
      </c>
      <c r="P2" s="285" t="s">
        <v>104</v>
      </c>
      <c r="Q2" s="285" t="s">
        <v>105</v>
      </c>
      <c r="R2" s="283" t="s">
        <v>111</v>
      </c>
      <c r="S2" s="283" t="s">
        <v>112</v>
      </c>
      <c r="T2" s="283" t="s">
        <v>113</v>
      </c>
      <c r="U2" s="283"/>
      <c r="V2" s="286"/>
      <c r="W2" s="286"/>
      <c r="X2" s="226" t="s">
        <v>1049</v>
      </c>
      <c r="Y2" s="226" t="s">
        <v>1050</v>
      </c>
      <c r="Z2" s="226" t="s">
        <v>237</v>
      </c>
      <c r="AA2" s="366" t="s">
        <v>1</v>
      </c>
      <c r="AB2" s="226" t="s">
        <v>238</v>
      </c>
    </row>
    <row r="3" spans="1:28" ht="18.75" hidden="1" customHeight="1">
      <c r="A3" s="213"/>
      <c r="B3" s="213"/>
      <c r="C3" s="210"/>
      <c r="D3" s="297"/>
      <c r="E3" s="186" t="s">
        <v>55</v>
      </c>
      <c r="F3" s="186" t="s">
        <v>3402</v>
      </c>
      <c r="G3" s="186" t="s">
        <v>247</v>
      </c>
      <c r="H3" s="186"/>
      <c r="I3" s="186"/>
      <c r="J3" s="186">
        <v>28</v>
      </c>
      <c r="K3" s="186" t="s">
        <v>680</v>
      </c>
      <c r="L3" s="186"/>
      <c r="M3" s="186"/>
      <c r="N3" s="90"/>
      <c r="O3" s="90"/>
      <c r="P3" s="90"/>
      <c r="Q3" s="186"/>
      <c r="R3" s="186"/>
      <c r="S3" s="122"/>
      <c r="T3" s="186" t="s">
        <v>3403</v>
      </c>
      <c r="X3" s="187"/>
      <c r="Y3" s="187"/>
      <c r="Z3" s="34"/>
      <c r="AA3" s="367"/>
      <c r="AB3" s="271"/>
    </row>
    <row r="4" spans="1:28" ht="18.75" customHeight="1">
      <c r="A4" s="213"/>
      <c r="B4" s="213"/>
      <c r="C4" s="210"/>
      <c r="D4" s="297"/>
      <c r="E4" s="186" t="s">
        <v>59</v>
      </c>
      <c r="F4" s="186" t="s">
        <v>921</v>
      </c>
      <c r="G4" s="186" t="s">
        <v>922</v>
      </c>
      <c r="H4" s="186"/>
      <c r="I4" s="186"/>
      <c r="J4" s="186">
        <v>8</v>
      </c>
      <c r="K4" s="186" t="s">
        <v>682</v>
      </c>
      <c r="L4" s="186" t="s">
        <v>3404</v>
      </c>
      <c r="M4" s="186" t="s">
        <v>923</v>
      </c>
      <c r="N4" s="130" t="s">
        <v>3338</v>
      </c>
      <c r="O4" s="186" t="s">
        <v>3405</v>
      </c>
      <c r="P4" s="186" t="s">
        <v>3406</v>
      </c>
      <c r="Q4" s="186"/>
      <c r="R4" s="186" t="s">
        <v>3407</v>
      </c>
      <c r="S4" s="120" t="s">
        <v>3408</v>
      </c>
      <c r="T4" s="186" t="s">
        <v>3346</v>
      </c>
      <c r="X4" s="187">
        <v>8</v>
      </c>
      <c r="Y4" s="187"/>
      <c r="Z4" s="120" t="s">
        <v>3326</v>
      </c>
      <c r="AA4" s="131">
        <v>43509</v>
      </c>
      <c r="AB4" s="187" t="s">
        <v>1057</v>
      </c>
    </row>
    <row r="5" spans="1:28" ht="18.75" hidden="1" customHeight="1">
      <c r="A5" s="213"/>
      <c r="B5" s="213"/>
      <c r="C5" s="210"/>
      <c r="D5" s="297"/>
      <c r="E5" s="186" t="s">
        <v>59</v>
      </c>
      <c r="F5" s="186" t="s">
        <v>971</v>
      </c>
      <c r="G5" s="186" t="s">
        <v>324</v>
      </c>
      <c r="H5" s="186"/>
      <c r="I5" s="186"/>
      <c r="J5" s="186">
        <v>9</v>
      </c>
      <c r="K5" s="186" t="s">
        <v>680</v>
      </c>
      <c r="L5" s="186"/>
      <c r="M5" s="186"/>
      <c r="N5" s="90"/>
      <c r="O5" s="90"/>
      <c r="P5" s="90"/>
      <c r="Q5" s="186"/>
      <c r="R5" s="186"/>
      <c r="S5" s="120"/>
      <c r="T5" s="186" t="s">
        <v>3348</v>
      </c>
      <c r="X5" s="187"/>
      <c r="Y5" s="187"/>
      <c r="Z5" s="34"/>
      <c r="AA5" s="367"/>
      <c r="AB5" s="271"/>
    </row>
    <row r="6" spans="1:28" ht="18.75" hidden="1" customHeight="1">
      <c r="A6" s="213"/>
      <c r="B6" s="213"/>
      <c r="C6" s="210"/>
      <c r="D6" s="297"/>
      <c r="E6" s="186" t="s">
        <v>55</v>
      </c>
      <c r="F6" s="186" t="s">
        <v>3349</v>
      </c>
      <c r="G6" s="186" t="s">
        <v>324</v>
      </c>
      <c r="H6" s="186"/>
      <c r="I6" s="186"/>
      <c r="J6" s="186">
        <v>29</v>
      </c>
      <c r="K6" s="186" t="s">
        <v>680</v>
      </c>
      <c r="L6" s="186"/>
      <c r="M6" s="186"/>
      <c r="N6" s="90"/>
      <c r="O6" s="90"/>
      <c r="P6" s="90"/>
      <c r="Q6" s="186"/>
      <c r="R6" s="186"/>
      <c r="S6" s="122"/>
      <c r="T6" s="186" t="s">
        <v>3350</v>
      </c>
      <c r="X6" s="187"/>
      <c r="Y6" s="187"/>
      <c r="Z6" s="34"/>
      <c r="AA6" s="367"/>
      <c r="AB6" s="187"/>
    </row>
    <row r="7" spans="1:28" ht="18.75" hidden="1" customHeight="1">
      <c r="A7" s="213"/>
      <c r="B7" s="213"/>
      <c r="C7" s="210"/>
      <c r="D7" s="297"/>
      <c r="E7" s="186" t="s">
        <v>55</v>
      </c>
      <c r="F7" s="186" t="s">
        <v>3351</v>
      </c>
      <c r="G7" s="186" t="s">
        <v>324</v>
      </c>
      <c r="H7" s="186"/>
      <c r="I7" s="186"/>
      <c r="J7" s="186">
        <v>30</v>
      </c>
      <c r="K7" s="186" t="s">
        <v>680</v>
      </c>
      <c r="L7" s="186"/>
      <c r="M7" s="186"/>
      <c r="N7" s="90"/>
      <c r="O7" s="90"/>
      <c r="P7" s="90"/>
      <c r="Q7" s="186"/>
      <c r="R7" s="186"/>
      <c r="S7" s="122"/>
      <c r="T7" s="186" t="s">
        <v>3352</v>
      </c>
      <c r="X7" s="187"/>
      <c r="Y7" s="187"/>
      <c r="Z7" s="34"/>
      <c r="AA7" s="367"/>
      <c r="AB7" s="187"/>
    </row>
    <row r="8" spans="1:28" ht="18.75" customHeight="1">
      <c r="A8" s="213"/>
      <c r="B8" s="213"/>
      <c r="C8" s="210"/>
      <c r="D8" s="297"/>
      <c r="E8" s="186" t="s">
        <v>55</v>
      </c>
      <c r="F8" s="186" t="s">
        <v>936</v>
      </c>
      <c r="G8" s="186" t="s">
        <v>247</v>
      </c>
      <c r="H8" s="186"/>
      <c r="I8" s="186"/>
      <c r="J8" s="186">
        <v>31</v>
      </c>
      <c r="K8" s="186" t="s">
        <v>682</v>
      </c>
      <c r="L8" s="186" t="s">
        <v>3404</v>
      </c>
      <c r="M8" s="186" t="s">
        <v>937</v>
      </c>
      <c r="N8" s="132" t="s">
        <v>3338</v>
      </c>
      <c r="O8" s="186" t="s">
        <v>3409</v>
      </c>
      <c r="P8" s="186" t="s">
        <v>3410</v>
      </c>
      <c r="Q8" s="186"/>
      <c r="R8" s="186"/>
      <c r="S8" s="120" t="s">
        <v>3411</v>
      </c>
      <c r="T8" s="186" t="s">
        <v>3412</v>
      </c>
      <c r="X8" s="187">
        <v>14</v>
      </c>
      <c r="Y8" s="187"/>
      <c r="Z8" s="34" t="s">
        <v>1521</v>
      </c>
      <c r="AA8" s="367">
        <v>43538</v>
      </c>
      <c r="AB8" s="187" t="s">
        <v>3413</v>
      </c>
    </row>
    <row r="9" spans="1:28" ht="18.75" hidden="1" customHeight="1">
      <c r="A9" s="213"/>
      <c r="B9" s="213"/>
      <c r="C9" s="210"/>
      <c r="D9" s="297"/>
      <c r="E9" s="186" t="s">
        <v>55</v>
      </c>
      <c r="F9" s="186" t="s">
        <v>987</v>
      </c>
      <c r="G9" s="186" t="s">
        <v>247</v>
      </c>
      <c r="H9" s="186"/>
      <c r="I9" s="186"/>
      <c r="J9" s="186">
        <v>32</v>
      </c>
      <c r="K9" s="186" t="s">
        <v>680</v>
      </c>
      <c r="L9" s="186"/>
      <c r="M9" s="186"/>
      <c r="N9" s="90"/>
      <c r="O9" s="90"/>
      <c r="P9" s="90"/>
      <c r="Q9" s="186"/>
      <c r="R9" s="186"/>
      <c r="S9" s="122"/>
      <c r="T9" s="186" t="s">
        <v>3412</v>
      </c>
      <c r="X9" s="187"/>
      <c r="Y9" s="187"/>
      <c r="Z9" s="187"/>
      <c r="AA9" s="367"/>
      <c r="AB9" s="187"/>
    </row>
    <row r="10" spans="1:28" ht="18.75" hidden="1" customHeight="1">
      <c r="A10" s="213"/>
      <c r="B10" s="213"/>
      <c r="C10" s="210"/>
      <c r="D10" s="297"/>
      <c r="E10" s="186" t="s">
        <v>55</v>
      </c>
      <c r="F10" s="186" t="s">
        <v>989</v>
      </c>
      <c r="G10" s="186" t="s">
        <v>247</v>
      </c>
      <c r="H10" s="186"/>
      <c r="I10" s="186"/>
      <c r="J10" s="186">
        <v>33</v>
      </c>
      <c r="K10" s="186" t="s">
        <v>680</v>
      </c>
      <c r="L10" s="186"/>
      <c r="M10" s="186"/>
      <c r="N10" s="90"/>
      <c r="O10" s="90"/>
      <c r="P10" s="90"/>
      <c r="Q10" s="186"/>
      <c r="R10" s="186"/>
      <c r="S10" s="122"/>
      <c r="T10" s="186" t="s">
        <v>3412</v>
      </c>
      <c r="X10" s="187"/>
      <c r="Y10" s="187"/>
      <c r="Z10" s="187"/>
      <c r="AA10" s="367"/>
      <c r="AB10" s="187"/>
    </row>
    <row r="11" spans="1:28" ht="27.75" hidden="1" customHeight="1">
      <c r="A11" s="213"/>
      <c r="B11" s="213"/>
      <c r="C11" s="210"/>
      <c r="D11" s="297"/>
      <c r="E11" s="186" t="s">
        <v>59</v>
      </c>
      <c r="F11" s="186" t="s">
        <v>3414</v>
      </c>
      <c r="G11" s="186" t="s">
        <v>429</v>
      </c>
      <c r="H11" s="186"/>
      <c r="I11" s="186"/>
      <c r="J11" s="186">
        <v>10</v>
      </c>
      <c r="K11" s="186" t="s">
        <v>680</v>
      </c>
      <c r="L11" s="186"/>
      <c r="M11" s="186"/>
      <c r="N11" s="90"/>
      <c r="O11" s="90"/>
      <c r="P11" s="90"/>
      <c r="Q11" s="186"/>
      <c r="R11" s="186"/>
      <c r="S11" s="120"/>
      <c r="T11" s="186" t="s">
        <v>3415</v>
      </c>
      <c r="X11" s="187"/>
      <c r="Y11" s="187"/>
      <c r="Z11" s="34"/>
      <c r="AA11" s="367"/>
      <c r="AB11" s="187"/>
    </row>
    <row r="12" spans="1:28" ht="18.75" hidden="1" customHeight="1">
      <c r="A12" s="213"/>
      <c r="B12" s="213"/>
      <c r="C12" s="210"/>
      <c r="D12" s="297"/>
      <c r="E12" s="186" t="s">
        <v>53</v>
      </c>
      <c r="F12" s="186" t="s">
        <v>1189</v>
      </c>
      <c r="G12" s="186" t="s">
        <v>249</v>
      </c>
      <c r="H12" s="186"/>
      <c r="I12" s="186"/>
      <c r="J12" s="186">
        <v>72</v>
      </c>
      <c r="K12" s="186" t="s">
        <v>680</v>
      </c>
      <c r="L12" s="186"/>
      <c r="M12" s="186"/>
      <c r="N12" s="90"/>
      <c r="O12" s="90"/>
      <c r="P12" s="90"/>
      <c r="Q12" s="186"/>
      <c r="R12" s="186"/>
      <c r="S12" s="122"/>
      <c r="T12" s="186" t="s">
        <v>1190</v>
      </c>
      <c r="X12" s="187"/>
      <c r="Y12" s="187"/>
      <c r="Z12" s="187"/>
      <c r="AA12" s="367"/>
      <c r="AB12" s="187"/>
    </row>
    <row r="13" spans="1:28" ht="18.75" hidden="1" customHeight="1">
      <c r="A13" s="213"/>
      <c r="B13" s="213"/>
      <c r="C13" s="210"/>
      <c r="D13" s="297"/>
      <c r="E13" s="186" t="s">
        <v>53</v>
      </c>
      <c r="F13" s="186" t="s">
        <v>1191</v>
      </c>
      <c r="G13" s="186" t="s">
        <v>252</v>
      </c>
      <c r="H13" s="186"/>
      <c r="I13" s="186"/>
      <c r="J13" s="186">
        <v>73</v>
      </c>
      <c r="K13" s="186" t="s">
        <v>680</v>
      </c>
      <c r="L13" s="186"/>
      <c r="M13" s="186"/>
      <c r="N13" s="90"/>
      <c r="O13" s="90"/>
      <c r="P13" s="90"/>
      <c r="Q13" s="186"/>
      <c r="R13" s="186"/>
      <c r="S13" s="122"/>
      <c r="T13" s="186" t="s">
        <v>1190</v>
      </c>
      <c r="X13" s="187"/>
      <c r="Y13" s="187"/>
      <c r="Z13" s="187"/>
      <c r="AA13" s="367"/>
      <c r="AB13" s="187"/>
    </row>
    <row r="14" spans="1:28" ht="18.75" hidden="1" customHeight="1">
      <c r="A14" s="213"/>
      <c r="B14" s="213"/>
      <c r="C14" s="210"/>
      <c r="D14" s="297"/>
      <c r="E14" s="186" t="s">
        <v>53</v>
      </c>
      <c r="F14" s="186" t="s">
        <v>1192</v>
      </c>
      <c r="G14" s="186" t="s">
        <v>242</v>
      </c>
      <c r="H14" s="186"/>
      <c r="I14" s="186"/>
      <c r="J14" s="186">
        <v>74</v>
      </c>
      <c r="K14" s="186" t="s">
        <v>680</v>
      </c>
      <c r="L14" s="186"/>
      <c r="M14" s="186"/>
      <c r="N14" s="90"/>
      <c r="O14" s="90"/>
      <c r="P14" s="90"/>
      <c r="Q14" s="186"/>
      <c r="R14" s="186"/>
      <c r="S14" s="122"/>
      <c r="T14" s="186" t="s">
        <v>1190</v>
      </c>
      <c r="X14" s="187"/>
      <c r="Y14" s="187"/>
      <c r="Z14" s="187"/>
      <c r="AA14" s="367"/>
      <c r="AB14" s="187"/>
    </row>
    <row r="15" spans="1:28" ht="18.75" hidden="1" customHeight="1">
      <c r="A15" s="213"/>
      <c r="B15" s="213"/>
      <c r="C15" s="210"/>
      <c r="D15" s="297"/>
      <c r="E15" s="186" t="s">
        <v>53</v>
      </c>
      <c r="F15" s="186" t="s">
        <v>1193</v>
      </c>
      <c r="G15" s="186" t="s">
        <v>247</v>
      </c>
      <c r="H15" s="186"/>
      <c r="I15" s="186"/>
      <c r="J15" s="186">
        <v>75</v>
      </c>
      <c r="K15" s="186" t="s">
        <v>680</v>
      </c>
      <c r="L15" s="186"/>
      <c r="M15" s="186"/>
      <c r="N15" s="90"/>
      <c r="O15" s="90"/>
      <c r="P15" s="90"/>
      <c r="Q15" s="186"/>
      <c r="R15" s="186"/>
      <c r="S15" s="122"/>
      <c r="T15" s="186" t="s">
        <v>1190</v>
      </c>
      <c r="X15" s="187"/>
      <c r="Y15" s="187"/>
      <c r="Z15" s="187"/>
      <c r="AA15" s="367"/>
      <c r="AB15" s="187"/>
    </row>
    <row r="16" spans="1:28" ht="18.75" hidden="1" customHeight="1">
      <c r="A16" s="213"/>
      <c r="B16" s="213"/>
      <c r="C16" s="210"/>
      <c r="D16" s="297"/>
      <c r="E16" s="186" t="s">
        <v>53</v>
      </c>
      <c r="F16" s="186" t="s">
        <v>1194</v>
      </c>
      <c r="G16" s="186" t="s">
        <v>252</v>
      </c>
      <c r="H16" s="186"/>
      <c r="I16" s="186"/>
      <c r="J16" s="186">
        <v>76</v>
      </c>
      <c r="K16" s="186" t="s">
        <v>680</v>
      </c>
      <c r="L16" s="186"/>
      <c r="M16" s="186"/>
      <c r="N16" s="90"/>
      <c r="O16" s="90"/>
      <c r="P16" s="90"/>
      <c r="Q16" s="186"/>
      <c r="R16" s="186"/>
      <c r="S16" s="122"/>
      <c r="T16" s="186" t="s">
        <v>1190</v>
      </c>
      <c r="X16" s="187"/>
      <c r="Y16" s="187"/>
      <c r="Z16" s="187"/>
      <c r="AA16" s="367"/>
      <c r="AB16" s="187"/>
    </row>
    <row r="17" spans="1:28" ht="18.75" hidden="1" customHeight="1">
      <c r="A17" s="213"/>
      <c r="B17" s="213"/>
      <c r="C17" s="210"/>
      <c r="D17" s="297"/>
      <c r="E17" s="186" t="s">
        <v>53</v>
      </c>
      <c r="F17" s="186" t="s">
        <v>1195</v>
      </c>
      <c r="G17" s="186" t="s">
        <v>247</v>
      </c>
      <c r="H17" s="186"/>
      <c r="I17" s="186"/>
      <c r="J17" s="186">
        <v>77</v>
      </c>
      <c r="K17" s="186" t="s">
        <v>680</v>
      </c>
      <c r="L17" s="186"/>
      <c r="M17" s="186"/>
      <c r="N17" s="90"/>
      <c r="O17" s="90"/>
      <c r="P17" s="90"/>
      <c r="Q17" s="186"/>
      <c r="R17" s="186"/>
      <c r="S17" s="122"/>
      <c r="T17" s="186" t="s">
        <v>1190</v>
      </c>
      <c r="X17" s="187"/>
      <c r="Y17" s="187"/>
      <c r="Z17" s="187"/>
      <c r="AA17" s="367"/>
      <c r="AB17" s="187"/>
    </row>
    <row r="18" spans="1:28" ht="18.75" hidden="1" customHeight="1">
      <c r="A18" s="213"/>
      <c r="B18" s="213"/>
      <c r="C18" s="210"/>
      <c r="D18" s="297"/>
      <c r="E18" s="186" t="s">
        <v>53</v>
      </c>
      <c r="F18" s="186" t="s">
        <v>1196</v>
      </c>
      <c r="G18" s="186" t="s">
        <v>535</v>
      </c>
      <c r="H18" s="186"/>
      <c r="I18" s="186"/>
      <c r="J18" s="186">
        <v>78</v>
      </c>
      <c r="K18" s="186" t="s">
        <v>680</v>
      </c>
      <c r="L18" s="186"/>
      <c r="M18" s="186"/>
      <c r="N18" s="90"/>
      <c r="O18" s="90"/>
      <c r="P18" s="90"/>
      <c r="Q18" s="186"/>
      <c r="R18" s="186"/>
      <c r="S18" s="122"/>
      <c r="T18" s="186" t="s">
        <v>1190</v>
      </c>
      <c r="X18" s="187"/>
      <c r="Y18" s="187"/>
      <c r="Z18" s="187"/>
      <c r="AA18" s="367"/>
      <c r="AB18" s="187"/>
    </row>
    <row r="19" spans="1:28" ht="18.75" hidden="1" customHeight="1">
      <c r="A19" s="213"/>
      <c r="B19" s="213"/>
      <c r="C19" s="210"/>
      <c r="D19" s="297"/>
      <c r="E19" s="186" t="s">
        <v>55</v>
      </c>
      <c r="F19" s="186" t="s">
        <v>3416</v>
      </c>
      <c r="G19" s="186" t="s">
        <v>324</v>
      </c>
      <c r="H19" s="186"/>
      <c r="I19" s="186"/>
      <c r="J19" s="186">
        <v>34</v>
      </c>
      <c r="K19" s="186" t="s">
        <v>680</v>
      </c>
      <c r="L19" s="186"/>
      <c r="M19" s="186"/>
      <c r="N19" s="90"/>
      <c r="O19" s="90"/>
      <c r="P19" s="90"/>
      <c r="Q19" s="186"/>
      <c r="R19" s="186"/>
      <c r="S19" s="122"/>
      <c r="T19" s="186" t="s">
        <v>3417</v>
      </c>
      <c r="X19" s="187"/>
      <c r="Y19" s="187"/>
      <c r="Z19" s="187"/>
      <c r="AA19" s="367"/>
      <c r="AB19" s="187"/>
    </row>
    <row r="20" spans="1:28" ht="18.75" customHeight="1">
      <c r="A20" s="213"/>
      <c r="B20" s="213"/>
      <c r="C20" s="210"/>
      <c r="D20" s="297"/>
      <c r="E20" s="186" t="s">
        <v>55</v>
      </c>
      <c r="F20" s="186" t="s">
        <v>938</v>
      </c>
      <c r="G20" s="186" t="s">
        <v>255</v>
      </c>
      <c r="H20" s="186"/>
      <c r="I20" s="186"/>
      <c r="J20" s="186">
        <v>35</v>
      </c>
      <c r="K20" s="186" t="s">
        <v>682</v>
      </c>
      <c r="L20" s="186" t="s">
        <v>3404</v>
      </c>
      <c r="M20" s="186" t="s">
        <v>939</v>
      </c>
      <c r="N20" s="130" t="s">
        <v>1</v>
      </c>
      <c r="O20" s="186" t="s">
        <v>3418</v>
      </c>
      <c r="P20" s="186" t="s">
        <v>3419</v>
      </c>
      <c r="Q20" s="186"/>
      <c r="R20" s="186"/>
      <c r="S20" s="131">
        <v>41892</v>
      </c>
      <c r="T20" s="186" t="s">
        <v>3420</v>
      </c>
      <c r="X20" s="187">
        <v>15</v>
      </c>
      <c r="Y20" t="s">
        <v>1603</v>
      </c>
      <c r="Z20" s="34" t="s">
        <v>3030</v>
      </c>
      <c r="AA20" s="131">
        <v>43509</v>
      </c>
      <c r="AB20" s="187" t="s">
        <v>3421</v>
      </c>
    </row>
    <row r="21" spans="1:28" ht="18.75" hidden="1" customHeight="1">
      <c r="A21" s="213"/>
      <c r="B21" s="213"/>
      <c r="C21" s="210"/>
      <c r="D21" s="297"/>
      <c r="E21" s="186" t="s">
        <v>55</v>
      </c>
      <c r="F21" s="186" t="s">
        <v>3422</v>
      </c>
      <c r="G21" s="186" t="s">
        <v>324</v>
      </c>
      <c r="H21" s="186"/>
      <c r="I21" s="186"/>
      <c r="J21" s="186">
        <v>36</v>
      </c>
      <c r="K21" s="186" t="s">
        <v>680</v>
      </c>
      <c r="L21" s="186"/>
      <c r="M21" s="186"/>
      <c r="N21" s="90"/>
      <c r="O21" s="90"/>
      <c r="P21" s="90"/>
      <c r="Q21" s="186"/>
      <c r="R21" s="186"/>
      <c r="S21" s="122"/>
      <c r="T21" s="186" t="s">
        <v>3423</v>
      </c>
      <c r="X21" s="187"/>
      <c r="Y21" s="187"/>
      <c r="Z21" s="187"/>
      <c r="AA21" s="367"/>
      <c r="AB21" s="187"/>
    </row>
    <row r="22" spans="1:28" ht="18.75" customHeight="1">
      <c r="A22" s="213"/>
      <c r="B22" s="213"/>
      <c r="C22" s="210"/>
      <c r="D22" s="297"/>
      <c r="E22" s="186" t="s">
        <v>59</v>
      </c>
      <c r="F22" s="186" t="s">
        <v>924</v>
      </c>
      <c r="G22" s="186" t="s">
        <v>925</v>
      </c>
      <c r="H22" s="186"/>
      <c r="I22" s="186"/>
      <c r="J22" s="186">
        <v>11</v>
      </c>
      <c r="K22" s="186" t="s">
        <v>682</v>
      </c>
      <c r="L22" s="186" t="s">
        <v>3404</v>
      </c>
      <c r="M22" s="186" t="s">
        <v>926</v>
      </c>
      <c r="N22" s="130" t="s">
        <v>3333</v>
      </c>
      <c r="O22" s="186" t="s">
        <v>3424</v>
      </c>
      <c r="P22" s="186" t="s">
        <v>3425</v>
      </c>
      <c r="Q22" s="186"/>
      <c r="R22" s="186"/>
      <c r="S22" s="120" t="s">
        <v>3426</v>
      </c>
      <c r="T22" s="186" t="s">
        <v>3354</v>
      </c>
      <c r="X22" s="187">
        <v>9</v>
      </c>
      <c r="Y22" s="187"/>
      <c r="Z22" s="120" t="s">
        <v>3326</v>
      </c>
      <c r="AA22" s="131">
        <v>43509</v>
      </c>
      <c r="AB22" s="187" t="s">
        <v>1057</v>
      </c>
    </row>
    <row r="23" spans="1:28" ht="18.75" hidden="1" customHeight="1">
      <c r="A23" s="213"/>
      <c r="B23" s="213"/>
      <c r="C23" s="210"/>
      <c r="D23" s="297"/>
      <c r="E23" s="186" t="s">
        <v>55</v>
      </c>
      <c r="F23" s="186" t="s">
        <v>959</v>
      </c>
      <c r="G23" s="186" t="s">
        <v>249</v>
      </c>
      <c r="H23" s="186"/>
      <c r="I23" s="186"/>
      <c r="J23" s="186">
        <v>37</v>
      </c>
      <c r="K23" s="186" t="s">
        <v>680</v>
      </c>
      <c r="L23" s="186"/>
      <c r="M23" s="186"/>
      <c r="N23" s="90"/>
      <c r="O23" s="90"/>
      <c r="P23" s="90"/>
      <c r="Q23" s="186"/>
      <c r="R23" s="186"/>
      <c r="S23" s="122"/>
      <c r="T23" s="186" t="s">
        <v>3427</v>
      </c>
      <c r="X23" s="187">
        <v>99</v>
      </c>
      <c r="Y23" s="187"/>
      <c r="Z23" s="34" t="s">
        <v>1521</v>
      </c>
      <c r="AA23" s="367">
        <v>43538</v>
      </c>
      <c r="AB23" s="187" t="s">
        <v>3428</v>
      </c>
    </row>
    <row r="24" spans="1:28" ht="18.75" customHeight="1">
      <c r="A24" s="213"/>
      <c r="B24" s="213"/>
      <c r="C24" s="210"/>
      <c r="D24" s="297"/>
      <c r="E24" s="134" t="s">
        <v>55</v>
      </c>
      <c r="F24" s="134" t="s">
        <v>932</v>
      </c>
      <c r="G24" s="134" t="s">
        <v>249</v>
      </c>
      <c r="H24" s="134"/>
      <c r="I24" s="134"/>
      <c r="J24" s="134">
        <v>38</v>
      </c>
      <c r="K24" s="134" t="s">
        <v>682</v>
      </c>
      <c r="L24" s="134" t="s">
        <v>3404</v>
      </c>
      <c r="M24" s="134" t="s">
        <v>933</v>
      </c>
      <c r="N24" s="373" t="s">
        <v>3333</v>
      </c>
      <c r="O24" s="134" t="s">
        <v>3429</v>
      </c>
      <c r="P24" s="134" t="s">
        <v>3430</v>
      </c>
      <c r="Q24" s="134"/>
      <c r="R24" s="134"/>
      <c r="S24" s="369" t="s">
        <v>1252</v>
      </c>
      <c r="T24" s="134" t="s">
        <v>3431</v>
      </c>
      <c r="U24" s="193"/>
      <c r="V24" s="193"/>
      <c r="W24" s="193"/>
      <c r="X24" s="370">
        <v>12</v>
      </c>
      <c r="Y24" s="370"/>
      <c r="Z24" s="247" t="s">
        <v>1521</v>
      </c>
      <c r="AA24" s="372">
        <v>43538</v>
      </c>
      <c r="AB24" s="370" t="s">
        <v>3432</v>
      </c>
    </row>
    <row r="25" spans="1:28" ht="18.75" hidden="1" customHeight="1">
      <c r="A25" s="213"/>
      <c r="B25" s="213"/>
      <c r="C25" s="210"/>
      <c r="D25" s="297"/>
      <c r="E25" s="134" t="s">
        <v>59</v>
      </c>
      <c r="F25" s="134" t="s">
        <v>3433</v>
      </c>
      <c r="G25" s="134" t="s">
        <v>324</v>
      </c>
      <c r="H25" s="134"/>
      <c r="I25" s="134"/>
      <c r="J25" s="134">
        <v>12</v>
      </c>
      <c r="K25" s="134" t="s">
        <v>680</v>
      </c>
      <c r="L25" s="134"/>
      <c r="M25" s="134"/>
      <c r="N25" s="248"/>
      <c r="O25" s="248"/>
      <c r="P25" s="248"/>
      <c r="Q25" s="134"/>
      <c r="R25" s="134"/>
      <c r="S25" s="243"/>
      <c r="T25" s="134" t="s">
        <v>3434</v>
      </c>
      <c r="U25" s="193"/>
      <c r="V25" s="193"/>
      <c r="W25" s="193"/>
      <c r="X25" s="370"/>
      <c r="Y25" s="554"/>
      <c r="Z25" s="247"/>
      <c r="AA25" s="372"/>
      <c r="AB25" s="555"/>
    </row>
    <row r="26" spans="1:28" ht="18.75" hidden="1" customHeight="1">
      <c r="A26" s="213"/>
      <c r="B26" s="213"/>
      <c r="C26" s="210"/>
      <c r="D26" s="297"/>
      <c r="E26" s="134" t="s">
        <v>55</v>
      </c>
      <c r="F26" s="134" t="s">
        <v>3435</v>
      </c>
      <c r="G26" s="134" t="s">
        <v>324</v>
      </c>
      <c r="H26" s="134"/>
      <c r="I26" s="134"/>
      <c r="J26" s="134">
        <v>39</v>
      </c>
      <c r="K26" s="134" t="s">
        <v>680</v>
      </c>
      <c r="L26" s="134"/>
      <c r="M26" s="134"/>
      <c r="N26" s="248"/>
      <c r="O26" s="248"/>
      <c r="P26" s="248"/>
      <c r="Q26" s="134"/>
      <c r="R26" s="134"/>
      <c r="S26" s="243"/>
      <c r="T26" s="134" t="s">
        <v>3436</v>
      </c>
      <c r="U26" s="193"/>
      <c r="V26" s="193"/>
      <c r="W26" s="193"/>
      <c r="X26" s="370"/>
      <c r="Y26" s="370"/>
      <c r="Z26" s="370"/>
      <c r="AA26" s="372"/>
      <c r="AB26" s="370"/>
    </row>
    <row r="27" spans="1:28" ht="18.75" hidden="1" customHeight="1">
      <c r="A27" s="213"/>
      <c r="B27" s="213"/>
      <c r="C27" s="210"/>
      <c r="D27" s="297"/>
      <c r="E27" s="134" t="s">
        <v>55</v>
      </c>
      <c r="F27" s="134" t="s">
        <v>3437</v>
      </c>
      <c r="G27" s="134" t="s">
        <v>250</v>
      </c>
      <c r="H27" s="134"/>
      <c r="I27" s="134"/>
      <c r="J27" s="134">
        <v>41</v>
      </c>
      <c r="K27" s="134" t="s">
        <v>680</v>
      </c>
      <c r="L27" s="134"/>
      <c r="M27" s="134"/>
      <c r="N27" s="248"/>
      <c r="O27" s="248"/>
      <c r="P27" s="248"/>
      <c r="Q27" s="134"/>
      <c r="R27" s="134"/>
      <c r="S27" s="243"/>
      <c r="T27" s="134" t="s">
        <v>3438</v>
      </c>
      <c r="U27" s="193"/>
      <c r="V27" s="193"/>
      <c r="W27" s="193"/>
      <c r="X27" s="370"/>
      <c r="Y27" s="370"/>
      <c r="Z27" s="370"/>
      <c r="AA27" s="372"/>
      <c r="AB27" s="370"/>
    </row>
    <row r="28" spans="1:28" ht="18.75" customHeight="1">
      <c r="A28" s="213"/>
      <c r="B28" s="213"/>
      <c r="C28" s="210"/>
      <c r="D28" s="297"/>
      <c r="E28" s="134" t="s">
        <v>59</v>
      </c>
      <c r="F28" s="134" t="s">
        <v>950</v>
      </c>
      <c r="G28" s="134" t="s">
        <v>324</v>
      </c>
      <c r="H28" s="134"/>
      <c r="I28" s="134"/>
      <c r="J28" s="134">
        <v>13</v>
      </c>
      <c r="K28" s="134" t="s">
        <v>682</v>
      </c>
      <c r="L28" s="134" t="s">
        <v>3404</v>
      </c>
      <c r="M28" s="134" t="s">
        <v>951</v>
      </c>
      <c r="N28" s="134" t="s">
        <v>3327</v>
      </c>
      <c r="O28" s="134" t="s">
        <v>3439</v>
      </c>
      <c r="P28" s="134" t="s">
        <v>3440</v>
      </c>
      <c r="Q28" s="134"/>
      <c r="R28" s="134"/>
      <c r="S28" s="369" t="s">
        <v>3441</v>
      </c>
      <c r="T28" s="134" t="s">
        <v>3442</v>
      </c>
      <c r="U28" s="193"/>
      <c r="V28" s="193"/>
      <c r="W28" s="193"/>
      <c r="X28" s="370">
        <v>21</v>
      </c>
      <c r="Y28" s="370"/>
      <c r="Z28" s="369" t="s">
        <v>3326</v>
      </c>
      <c r="AA28" s="371">
        <v>43509</v>
      </c>
      <c r="AB28" s="370" t="s">
        <v>1057</v>
      </c>
    </row>
    <row r="29" spans="1:28" ht="18.75" hidden="1" customHeight="1">
      <c r="A29" s="213"/>
      <c r="B29" s="213"/>
      <c r="C29" s="210"/>
      <c r="D29" s="297"/>
      <c r="E29" s="134" t="s">
        <v>55</v>
      </c>
      <c r="F29" s="186" t="s">
        <v>3443</v>
      </c>
      <c r="G29" s="186" t="s">
        <v>324</v>
      </c>
      <c r="H29" s="134"/>
      <c r="I29" s="134"/>
      <c r="J29" s="134">
        <v>42</v>
      </c>
      <c r="K29" s="134" t="s">
        <v>680</v>
      </c>
      <c r="L29" s="134"/>
      <c r="M29" s="186"/>
      <c r="N29" s="248"/>
      <c r="O29" s="248"/>
      <c r="P29" s="248"/>
      <c r="Q29" s="134"/>
      <c r="R29" s="134"/>
      <c r="S29" s="243"/>
      <c r="T29" s="134" t="s">
        <v>3444</v>
      </c>
      <c r="U29" s="193"/>
      <c r="V29" s="193"/>
      <c r="W29" s="193"/>
      <c r="X29" s="370"/>
      <c r="Y29" s="370"/>
      <c r="Z29" s="370"/>
      <c r="AA29" s="372"/>
      <c r="AB29" s="370"/>
    </row>
    <row r="30" spans="1:28" ht="18.75" hidden="1" customHeight="1">
      <c r="A30" s="213"/>
      <c r="B30" s="213"/>
      <c r="C30" s="210"/>
      <c r="D30" s="297"/>
      <c r="E30" s="134" t="s">
        <v>55</v>
      </c>
      <c r="F30" s="186" t="s">
        <v>3445</v>
      </c>
      <c r="G30" s="186" t="s">
        <v>324</v>
      </c>
      <c r="H30" s="134"/>
      <c r="I30" s="134"/>
      <c r="J30" s="134">
        <v>43</v>
      </c>
      <c r="K30" s="134" t="s">
        <v>680</v>
      </c>
      <c r="L30" s="134"/>
      <c r="M30" s="186"/>
      <c r="N30" s="248"/>
      <c r="O30" s="248"/>
      <c r="P30" s="248"/>
      <c r="Q30" s="134"/>
      <c r="R30" s="134"/>
      <c r="S30" s="243"/>
      <c r="T30" s="134" t="s">
        <v>3444</v>
      </c>
      <c r="U30" s="193"/>
      <c r="V30" s="193"/>
      <c r="W30" s="193"/>
      <c r="X30" s="370"/>
      <c r="Y30" s="370"/>
      <c r="Z30" s="370"/>
      <c r="AA30" s="372"/>
      <c r="AB30" s="370"/>
    </row>
    <row r="31" spans="1:28" ht="18.75" customHeight="1">
      <c r="A31" s="213"/>
      <c r="B31" s="213"/>
      <c r="C31" s="210"/>
      <c r="D31" s="297"/>
      <c r="E31" s="186" t="s">
        <v>61</v>
      </c>
      <c r="F31" s="186" t="s">
        <v>172</v>
      </c>
      <c r="G31" s="186" t="s">
        <v>535</v>
      </c>
      <c r="H31" s="186"/>
      <c r="I31" s="186"/>
      <c r="J31" s="186">
        <v>2</v>
      </c>
      <c r="K31" s="186" t="s">
        <v>682</v>
      </c>
      <c r="L31" s="186" t="s">
        <v>3404</v>
      </c>
      <c r="M31" s="186" t="s">
        <v>901</v>
      </c>
      <c r="N31" s="186" t="s">
        <v>3446</v>
      </c>
      <c r="O31" s="186" t="s">
        <v>3447</v>
      </c>
      <c r="P31" s="186" t="s">
        <v>3448</v>
      </c>
      <c r="Q31" s="186"/>
      <c r="R31" s="186" t="s">
        <v>3449</v>
      </c>
      <c r="S31" s="120" t="s">
        <v>3450</v>
      </c>
      <c r="T31" s="186" t="s">
        <v>3451</v>
      </c>
      <c r="X31" s="187">
        <v>3</v>
      </c>
      <c r="Y31" s="187"/>
      <c r="Z31" s="120" t="s">
        <v>3326</v>
      </c>
      <c r="AA31" s="131">
        <v>43509</v>
      </c>
      <c r="AB31" s="187" t="s">
        <v>1057</v>
      </c>
    </row>
    <row r="32" spans="1:28" ht="18.75" customHeight="1">
      <c r="A32" s="213"/>
      <c r="B32" s="213"/>
      <c r="C32" s="210"/>
      <c r="D32" s="297"/>
      <c r="E32" s="186" t="s">
        <v>61</v>
      </c>
      <c r="F32" s="186" t="s">
        <v>173</v>
      </c>
      <c r="G32" s="186" t="s">
        <v>247</v>
      </c>
      <c r="H32" s="186"/>
      <c r="I32" s="186"/>
      <c r="J32" s="186">
        <v>3</v>
      </c>
      <c r="K32" s="186" t="s">
        <v>682</v>
      </c>
      <c r="L32" s="186" t="s">
        <v>3404</v>
      </c>
      <c r="M32" s="186" t="s">
        <v>908</v>
      </c>
      <c r="N32" s="186" t="s">
        <v>3321</v>
      </c>
      <c r="O32" s="186" t="s">
        <v>3322</v>
      </c>
      <c r="P32" s="186" t="s">
        <v>3452</v>
      </c>
      <c r="Q32" s="186"/>
      <c r="R32" s="186"/>
      <c r="S32" s="120" t="s">
        <v>3453</v>
      </c>
      <c r="T32" s="186" t="s">
        <v>3454</v>
      </c>
      <c r="X32" s="187">
        <v>1</v>
      </c>
      <c r="Y32" s="187"/>
      <c r="Z32" s="120" t="s">
        <v>3326</v>
      </c>
      <c r="AA32" s="131">
        <v>43509</v>
      </c>
      <c r="AB32" s="187" t="s">
        <v>1057</v>
      </c>
    </row>
    <row r="33" spans="1:28" ht="18.75" hidden="1" customHeight="1">
      <c r="A33" s="213"/>
      <c r="B33" s="213"/>
      <c r="C33" s="210"/>
      <c r="D33" s="297"/>
      <c r="E33" s="186" t="s">
        <v>55</v>
      </c>
      <c r="F33" s="186" t="s">
        <v>1031</v>
      </c>
      <c r="G33" s="186" t="s">
        <v>249</v>
      </c>
      <c r="H33" s="186"/>
      <c r="I33" s="186"/>
      <c r="J33" s="186">
        <v>45</v>
      </c>
      <c r="K33" s="186" t="s">
        <v>680</v>
      </c>
      <c r="L33" s="186"/>
      <c r="M33" s="186"/>
      <c r="N33" s="90"/>
      <c r="O33" s="90"/>
      <c r="P33" s="90"/>
      <c r="Q33" s="186"/>
      <c r="R33" s="186"/>
      <c r="S33" s="122"/>
      <c r="T33" s="186" t="s">
        <v>3455</v>
      </c>
      <c r="X33" s="187"/>
      <c r="Y33" s="187"/>
      <c r="Z33" s="187"/>
      <c r="AA33" s="367"/>
      <c r="AB33" s="187"/>
    </row>
    <row r="34" spans="1:28" ht="18.75" customHeight="1">
      <c r="A34" s="213"/>
      <c r="B34" s="213"/>
      <c r="C34" s="210"/>
      <c r="D34" s="297"/>
      <c r="E34" s="186" t="s">
        <v>59</v>
      </c>
      <c r="F34" s="186" t="s">
        <v>914</v>
      </c>
      <c r="G34" s="186" t="s">
        <v>247</v>
      </c>
      <c r="H34" s="186"/>
      <c r="I34" s="186"/>
      <c r="J34" s="186">
        <v>14</v>
      </c>
      <c r="K34" s="186" t="s">
        <v>682</v>
      </c>
      <c r="L34" s="186" t="s">
        <v>3404</v>
      </c>
      <c r="M34" s="186" t="s">
        <v>915</v>
      </c>
      <c r="N34" s="186" t="s">
        <v>3333</v>
      </c>
      <c r="O34" s="186" t="s">
        <v>3456</v>
      </c>
      <c r="P34" s="186" t="s">
        <v>3457</v>
      </c>
      <c r="Q34" s="186"/>
      <c r="R34" s="186"/>
      <c r="S34" s="120" t="s">
        <v>3458</v>
      </c>
      <c r="T34" s="123" t="s">
        <v>3459</v>
      </c>
      <c r="X34" s="187">
        <v>5</v>
      </c>
      <c r="Y34" s="187"/>
      <c r="Z34" s="120" t="s">
        <v>3326</v>
      </c>
      <c r="AA34" s="131">
        <v>43509</v>
      </c>
      <c r="AB34" s="187" t="s">
        <v>1057</v>
      </c>
    </row>
    <row r="35" spans="1:28" ht="18.75" hidden="1" customHeight="1">
      <c r="A35" s="213"/>
      <c r="B35" s="213"/>
      <c r="C35" s="210"/>
      <c r="D35" s="297"/>
      <c r="E35" s="186" t="s">
        <v>55</v>
      </c>
      <c r="F35" s="186" t="s">
        <v>3460</v>
      </c>
      <c r="G35" s="186" t="s">
        <v>255</v>
      </c>
      <c r="H35" s="186"/>
      <c r="I35" s="186"/>
      <c r="J35" s="186">
        <v>46</v>
      </c>
      <c r="K35" s="186" t="s">
        <v>680</v>
      </c>
      <c r="L35" s="186"/>
      <c r="M35" s="186"/>
      <c r="N35" s="90"/>
      <c r="O35" s="90"/>
      <c r="P35" s="90"/>
      <c r="Q35" s="186"/>
      <c r="R35" s="186"/>
      <c r="S35" s="122"/>
      <c r="T35" s="186" t="s">
        <v>3461</v>
      </c>
      <c r="X35" s="187"/>
      <c r="Y35" s="187"/>
      <c r="Z35" s="187"/>
      <c r="AA35" s="367"/>
      <c r="AB35" s="187"/>
    </row>
    <row r="36" spans="1:28" ht="18.75" hidden="1" customHeight="1">
      <c r="A36" s="213"/>
      <c r="B36" s="213"/>
      <c r="C36" s="210"/>
      <c r="D36" s="297"/>
      <c r="E36" s="186" t="s">
        <v>55</v>
      </c>
      <c r="F36" s="186" t="s">
        <v>3462</v>
      </c>
      <c r="G36" s="186" t="s">
        <v>255</v>
      </c>
      <c r="H36" s="186"/>
      <c r="I36" s="186"/>
      <c r="J36" s="186">
        <v>47</v>
      </c>
      <c r="K36" s="186" t="s">
        <v>680</v>
      </c>
      <c r="L36" s="186"/>
      <c r="M36" s="186"/>
      <c r="N36" s="90"/>
      <c r="O36" s="90"/>
      <c r="P36" s="90"/>
      <c r="Q36" s="186"/>
      <c r="R36" s="186"/>
      <c r="S36" s="122"/>
      <c r="T36" s="186" t="s">
        <v>3463</v>
      </c>
      <c r="X36" s="187"/>
      <c r="Y36" s="187"/>
      <c r="Z36" s="187"/>
      <c r="AA36" s="367"/>
      <c r="AB36" s="187"/>
    </row>
    <row r="37" spans="1:28" ht="18.75" customHeight="1">
      <c r="A37" s="213"/>
      <c r="B37" s="213"/>
      <c r="C37" s="210"/>
      <c r="D37" s="297"/>
      <c r="E37" s="186" t="s">
        <v>61</v>
      </c>
      <c r="F37" s="186" t="s">
        <v>174</v>
      </c>
      <c r="G37" s="186" t="s">
        <v>909</v>
      </c>
      <c r="H37" s="186"/>
      <c r="I37" s="186"/>
      <c r="J37" s="186">
        <v>4</v>
      </c>
      <c r="K37" s="186" t="s">
        <v>682</v>
      </c>
      <c r="L37" s="186" t="s">
        <v>3404</v>
      </c>
      <c r="M37" s="186" t="s">
        <v>910</v>
      </c>
      <c r="N37" s="186" t="s">
        <v>3327</v>
      </c>
      <c r="O37" s="186" t="s">
        <v>3464</v>
      </c>
      <c r="P37" s="186" t="s">
        <v>3465</v>
      </c>
      <c r="Q37" s="186"/>
      <c r="R37" s="186"/>
      <c r="S37" s="120" t="s">
        <v>3466</v>
      </c>
      <c r="T37" s="122" t="s">
        <v>3467</v>
      </c>
      <c r="X37" s="187">
        <v>2</v>
      </c>
      <c r="Y37" s="187"/>
      <c r="Z37" s="120" t="s">
        <v>3326</v>
      </c>
      <c r="AA37" s="131">
        <v>43509</v>
      </c>
      <c r="AB37" s="187" t="s">
        <v>1057</v>
      </c>
    </row>
    <row r="38" spans="1:28" ht="18.75" hidden="1" customHeight="1">
      <c r="A38" s="213"/>
      <c r="B38" s="213"/>
      <c r="C38" s="210"/>
      <c r="D38" s="297"/>
      <c r="E38" s="186" t="s">
        <v>59</v>
      </c>
      <c r="F38" s="186" t="s">
        <v>3468</v>
      </c>
      <c r="G38" s="186" t="s">
        <v>249</v>
      </c>
      <c r="H38" s="186"/>
      <c r="I38" s="186"/>
      <c r="J38" s="186">
        <v>15</v>
      </c>
      <c r="K38" s="186" t="s">
        <v>680</v>
      </c>
      <c r="L38" s="186"/>
      <c r="M38" s="186"/>
      <c r="N38" s="90"/>
      <c r="O38" s="90"/>
      <c r="P38" s="90"/>
      <c r="Q38" s="186"/>
      <c r="R38" s="186"/>
      <c r="S38" s="122"/>
      <c r="T38" s="186" t="s">
        <v>3469</v>
      </c>
      <c r="X38" s="187"/>
      <c r="Y38" s="187"/>
      <c r="Z38" s="34"/>
      <c r="AA38" s="367"/>
      <c r="AB38" s="271"/>
    </row>
    <row r="39" spans="1:28" ht="18.75" hidden="1" customHeight="1">
      <c r="A39" s="213"/>
      <c r="B39" s="213"/>
      <c r="C39" s="210"/>
      <c r="D39" s="297"/>
      <c r="E39" s="186" t="s">
        <v>55</v>
      </c>
      <c r="F39" s="186" t="s">
        <v>3470</v>
      </c>
      <c r="G39" s="186" t="s">
        <v>324</v>
      </c>
      <c r="H39" s="186"/>
      <c r="I39" s="186"/>
      <c r="J39" s="186">
        <v>48</v>
      </c>
      <c r="K39" s="186" t="s">
        <v>680</v>
      </c>
      <c r="L39" s="186"/>
      <c r="M39" s="186"/>
      <c r="N39" s="90"/>
      <c r="O39" s="90"/>
      <c r="P39" s="90"/>
      <c r="Q39" s="186"/>
      <c r="R39" s="186"/>
      <c r="S39" s="122"/>
      <c r="T39" s="186" t="s">
        <v>3471</v>
      </c>
      <c r="X39" s="187"/>
      <c r="Y39" s="187"/>
      <c r="Z39" s="187"/>
      <c r="AA39" s="367"/>
      <c r="AB39" s="187"/>
    </row>
    <row r="40" spans="1:28" ht="18.75" customHeight="1">
      <c r="A40" s="213"/>
      <c r="B40" s="213"/>
      <c r="C40" s="210"/>
      <c r="D40" s="297"/>
      <c r="E40" s="186" t="s">
        <v>55</v>
      </c>
      <c r="F40" s="186" t="s">
        <v>940</v>
      </c>
      <c r="G40" s="186" t="s">
        <v>941</v>
      </c>
      <c r="H40" s="186"/>
      <c r="I40" s="186"/>
      <c r="J40" s="186">
        <v>49</v>
      </c>
      <c r="K40" s="186" t="s">
        <v>682</v>
      </c>
      <c r="L40" s="186" t="s">
        <v>3404</v>
      </c>
      <c r="M40" s="75" t="s">
        <v>942</v>
      </c>
      <c r="N40" s="130" t="s">
        <v>3472</v>
      </c>
      <c r="O40" s="186" t="s">
        <v>3473</v>
      </c>
      <c r="P40" s="186" t="s">
        <v>3474</v>
      </c>
      <c r="Q40" s="186"/>
      <c r="R40" s="186"/>
      <c r="S40" s="120"/>
      <c r="T40" s="186" t="s">
        <v>3475</v>
      </c>
      <c r="X40" s="187">
        <v>16</v>
      </c>
      <c r="Y40" s="187"/>
      <c r="Z40" s="120" t="s">
        <v>3326</v>
      </c>
      <c r="AA40" s="131">
        <v>43539</v>
      </c>
      <c r="AB40" s="187" t="s">
        <v>3421</v>
      </c>
    </row>
    <row r="41" spans="1:28" ht="18.75" hidden="1" customHeight="1">
      <c r="A41" s="213"/>
      <c r="B41" s="213"/>
      <c r="C41" s="210"/>
      <c r="D41" s="297"/>
      <c r="E41" s="186" t="s">
        <v>55</v>
      </c>
      <c r="F41" s="186" t="s">
        <v>3476</v>
      </c>
      <c r="G41" s="186" t="s">
        <v>247</v>
      </c>
      <c r="H41" s="186"/>
      <c r="I41" s="186"/>
      <c r="J41" s="186">
        <v>50</v>
      </c>
      <c r="K41" s="186" t="s">
        <v>680</v>
      </c>
      <c r="L41" s="186"/>
      <c r="M41" s="186"/>
      <c r="N41" s="90"/>
      <c r="O41" s="90"/>
      <c r="P41" s="90"/>
      <c r="Q41" s="186"/>
      <c r="R41" s="186"/>
      <c r="S41" s="122"/>
      <c r="T41" s="186" t="s">
        <v>3477</v>
      </c>
      <c r="X41" s="187"/>
      <c r="Y41" s="187"/>
      <c r="Z41" s="187"/>
      <c r="AA41" s="367"/>
      <c r="AB41" s="187"/>
    </row>
    <row r="42" spans="1:28" ht="18.75" hidden="1" customHeight="1">
      <c r="A42" s="213"/>
      <c r="B42" s="213"/>
      <c r="C42" s="210"/>
      <c r="D42" s="297"/>
      <c r="E42" s="186" t="s">
        <v>53</v>
      </c>
      <c r="F42" s="186" t="s">
        <v>124</v>
      </c>
      <c r="G42" s="186" t="s">
        <v>535</v>
      </c>
      <c r="H42" s="186"/>
      <c r="I42" s="186"/>
      <c r="J42" s="186">
        <v>1</v>
      </c>
      <c r="K42" s="186" t="s">
        <v>680</v>
      </c>
      <c r="L42" s="186"/>
      <c r="M42" s="186"/>
      <c r="N42" s="90"/>
      <c r="O42" s="90"/>
      <c r="P42" s="90"/>
      <c r="Q42" s="186"/>
      <c r="R42" s="186"/>
      <c r="S42" s="123"/>
      <c r="T42" s="186" t="s">
        <v>1190</v>
      </c>
      <c r="X42" s="187"/>
      <c r="Y42" s="187"/>
      <c r="Z42" s="187"/>
      <c r="AA42" s="367"/>
      <c r="AB42" s="187"/>
    </row>
    <row r="43" spans="1:28" ht="18.75" customHeight="1">
      <c r="A43" s="213"/>
      <c r="B43" s="213"/>
      <c r="C43" s="210"/>
      <c r="D43" s="297"/>
      <c r="E43" s="186" t="s">
        <v>59</v>
      </c>
      <c r="F43" s="186" t="s">
        <v>916</v>
      </c>
      <c r="G43" s="186" t="s">
        <v>247</v>
      </c>
      <c r="H43" s="186"/>
      <c r="I43" s="186"/>
      <c r="J43" s="186">
        <v>16</v>
      </c>
      <c r="K43" s="186" t="s">
        <v>682</v>
      </c>
      <c r="L43" s="186" t="s">
        <v>3404</v>
      </c>
      <c r="M43" s="186" t="s">
        <v>917</v>
      </c>
      <c r="N43" s="132" t="s">
        <v>3327</v>
      </c>
      <c r="O43" s="186" t="s">
        <v>3478</v>
      </c>
      <c r="P43" s="186" t="s">
        <v>3479</v>
      </c>
      <c r="Q43" s="186"/>
      <c r="R43" s="186"/>
      <c r="S43" s="120" t="s">
        <v>3480</v>
      </c>
      <c r="T43" s="123" t="s">
        <v>3481</v>
      </c>
      <c r="X43" s="187">
        <v>6</v>
      </c>
      <c r="Y43" s="187" t="s">
        <v>3482</v>
      </c>
      <c r="Z43" s="120" t="s">
        <v>3326</v>
      </c>
      <c r="AA43" s="131">
        <v>43509</v>
      </c>
      <c r="AB43" s="187" t="s">
        <v>1057</v>
      </c>
    </row>
    <row r="44" spans="1:28" ht="18.75" customHeight="1">
      <c r="A44" s="134"/>
      <c r="B44" s="134"/>
      <c r="C44" s="134"/>
      <c r="D44" s="298"/>
      <c r="E44" s="186" t="s">
        <v>55</v>
      </c>
      <c r="F44" t="s">
        <v>3483</v>
      </c>
      <c r="G44" s="186" t="s">
        <v>247</v>
      </c>
      <c r="H44" s="186"/>
      <c r="I44" s="186"/>
      <c r="J44" s="186"/>
      <c r="K44" s="186" t="s">
        <v>682</v>
      </c>
      <c r="L44" s="186" t="s">
        <v>3404</v>
      </c>
      <c r="M44" t="s">
        <v>955</v>
      </c>
      <c r="N44" s="90"/>
      <c r="O44" s="90"/>
      <c r="P44" s="90"/>
      <c r="Q44" s="186"/>
      <c r="R44" s="186"/>
      <c r="S44" s="122"/>
      <c r="T44" s="186"/>
      <c r="X44" s="187"/>
      <c r="Y44" s="187"/>
      <c r="Z44" s="34" t="s">
        <v>30</v>
      </c>
      <c r="AA44" s="367">
        <v>43665</v>
      </c>
      <c r="AB44" s="187" t="s">
        <v>3484</v>
      </c>
    </row>
    <row r="45" spans="1:28" ht="18.75" customHeight="1">
      <c r="A45" s="134"/>
      <c r="B45" s="134"/>
      <c r="C45" s="134"/>
      <c r="D45" s="298"/>
      <c r="E45" s="186" t="s">
        <v>55</v>
      </c>
      <c r="F45" t="s">
        <v>3485</v>
      </c>
      <c r="G45" s="186" t="s">
        <v>247</v>
      </c>
      <c r="H45" s="186"/>
      <c r="I45" s="186"/>
      <c r="J45" s="186"/>
      <c r="K45" s="186" t="s">
        <v>682</v>
      </c>
      <c r="L45" s="186" t="s">
        <v>3404</v>
      </c>
      <c r="M45" t="s">
        <v>957</v>
      </c>
      <c r="N45" s="90"/>
      <c r="O45" s="90"/>
      <c r="P45" s="90"/>
      <c r="Q45" s="186"/>
      <c r="R45" s="186"/>
      <c r="S45" s="122"/>
      <c r="T45" s="186"/>
      <c r="X45" s="187"/>
      <c r="Y45" s="187"/>
      <c r="Z45" s="34" t="s">
        <v>30</v>
      </c>
      <c r="AA45" s="367">
        <v>43665</v>
      </c>
      <c r="AB45" s="187" t="s">
        <v>3484</v>
      </c>
    </row>
    <row r="46" spans="1:28" ht="18.75" customHeight="1">
      <c r="A46" s="213"/>
      <c r="B46" s="213"/>
      <c r="C46" s="210"/>
      <c r="D46" s="297"/>
      <c r="E46" s="186" t="s">
        <v>59</v>
      </c>
      <c r="F46" s="186" t="s">
        <v>918</v>
      </c>
      <c r="G46" s="186" t="s">
        <v>589</v>
      </c>
      <c r="H46" s="186"/>
      <c r="I46" s="186"/>
      <c r="J46" s="186">
        <v>17</v>
      </c>
      <c r="K46" s="186" t="s">
        <v>682</v>
      </c>
      <c r="L46" s="186" t="s">
        <v>3404</v>
      </c>
      <c r="M46" s="186" t="s">
        <v>920</v>
      </c>
      <c r="N46" s="132" t="s">
        <v>3338</v>
      </c>
      <c r="O46" s="186" t="s">
        <v>3486</v>
      </c>
      <c r="P46" s="186" t="s">
        <v>3487</v>
      </c>
      <c r="Q46" s="186"/>
      <c r="R46" s="186"/>
      <c r="S46" s="120" t="s">
        <v>3488</v>
      </c>
      <c r="T46" s="186" t="s">
        <v>3489</v>
      </c>
      <c r="X46" s="187">
        <v>7</v>
      </c>
      <c r="Y46" s="187" t="s">
        <v>3490</v>
      </c>
      <c r="Z46" s="120" t="s">
        <v>3326</v>
      </c>
      <c r="AA46" s="131">
        <v>43509</v>
      </c>
      <c r="AB46" s="187" t="s">
        <v>1057</v>
      </c>
    </row>
    <row r="47" spans="1:28" ht="18.75" customHeight="1">
      <c r="A47" s="134"/>
      <c r="B47" s="134"/>
      <c r="C47" s="134"/>
      <c r="D47" s="298"/>
      <c r="E47" s="186" t="s">
        <v>55</v>
      </c>
      <c r="F47" s="133" t="s">
        <v>3491</v>
      </c>
      <c r="G47" s="133" t="s">
        <v>247</v>
      </c>
      <c r="H47" s="186"/>
      <c r="I47" s="186"/>
      <c r="J47" s="186"/>
      <c r="K47" s="186" t="s">
        <v>682</v>
      </c>
      <c r="L47" s="186" t="s">
        <v>3404</v>
      </c>
      <c r="M47" s="133" t="s">
        <v>3492</v>
      </c>
      <c r="N47" s="90"/>
      <c r="O47" s="90"/>
      <c r="P47" s="90"/>
      <c r="Q47" s="186"/>
      <c r="R47" s="186"/>
      <c r="S47" s="122"/>
      <c r="T47" s="186"/>
      <c r="X47" s="187"/>
      <c r="Y47" s="187"/>
      <c r="Z47" s="34" t="s">
        <v>30</v>
      </c>
      <c r="AA47" s="367">
        <v>43665</v>
      </c>
      <c r="AB47" s="187" t="s">
        <v>3484</v>
      </c>
    </row>
    <row r="48" spans="1:28" ht="18.75" customHeight="1">
      <c r="A48" s="134"/>
      <c r="B48" s="134"/>
      <c r="C48" s="134"/>
      <c r="D48" s="298"/>
      <c r="E48" s="186" t="s">
        <v>55</v>
      </c>
      <c r="F48" t="s">
        <v>3493</v>
      </c>
      <c r="G48" s="186" t="s">
        <v>247</v>
      </c>
      <c r="H48" s="186"/>
      <c r="I48" s="186"/>
      <c r="J48" s="186"/>
      <c r="K48" s="186" t="s">
        <v>682</v>
      </c>
      <c r="L48" s="186" t="s">
        <v>3404</v>
      </c>
      <c r="M48" t="s">
        <v>953</v>
      </c>
      <c r="N48" s="90"/>
      <c r="O48" s="90"/>
      <c r="P48" s="90"/>
      <c r="Q48" s="186"/>
      <c r="R48" s="186"/>
      <c r="S48" s="122"/>
      <c r="T48" s="186"/>
      <c r="X48" s="187"/>
      <c r="Y48" s="187"/>
      <c r="Z48" s="34" t="s">
        <v>30</v>
      </c>
      <c r="AA48" s="367">
        <v>43665</v>
      </c>
      <c r="AB48" s="187" t="s">
        <v>3484</v>
      </c>
    </row>
    <row r="49" spans="1:28" ht="18.75" customHeight="1">
      <c r="A49" s="134"/>
      <c r="B49" s="134"/>
      <c r="C49" s="134"/>
      <c r="D49" s="298"/>
      <c r="E49" s="186" t="s">
        <v>55</v>
      </c>
      <c r="F49" t="s">
        <v>3494</v>
      </c>
      <c r="G49" s="186" t="s">
        <v>247</v>
      </c>
      <c r="H49" s="186"/>
      <c r="I49" s="186"/>
      <c r="J49" s="186"/>
      <c r="K49" s="186" t="s">
        <v>682</v>
      </c>
      <c r="L49" s="186" t="s">
        <v>3404</v>
      </c>
      <c r="M49" t="s">
        <v>956</v>
      </c>
      <c r="N49" s="90"/>
      <c r="O49" s="90"/>
      <c r="P49" s="90"/>
      <c r="Q49" s="186"/>
      <c r="R49" s="186"/>
      <c r="S49" s="122"/>
      <c r="T49" s="186"/>
      <c r="X49" s="187"/>
      <c r="Y49" s="187"/>
      <c r="Z49" s="34" t="s">
        <v>30</v>
      </c>
      <c r="AA49" s="367">
        <v>43665</v>
      </c>
      <c r="AB49" s="187" t="s">
        <v>3484</v>
      </c>
    </row>
    <row r="50" spans="1:28" ht="18.75" hidden="1" customHeight="1">
      <c r="A50" s="213"/>
      <c r="B50" s="213"/>
      <c r="C50" s="210"/>
      <c r="D50" s="297"/>
      <c r="E50" s="186" t="s">
        <v>55</v>
      </c>
      <c r="F50" s="186" t="s">
        <v>3495</v>
      </c>
      <c r="G50" s="186" t="s">
        <v>324</v>
      </c>
      <c r="H50" s="186"/>
      <c r="I50" s="186"/>
      <c r="J50" s="186">
        <v>51</v>
      </c>
      <c r="K50" s="186" t="s">
        <v>680</v>
      </c>
      <c r="L50" s="186"/>
      <c r="M50" s="186"/>
      <c r="N50" s="90"/>
      <c r="O50" s="90"/>
      <c r="P50" s="90"/>
      <c r="Q50" s="186"/>
      <c r="R50" s="186"/>
      <c r="S50" s="122"/>
      <c r="T50" s="186" t="s">
        <v>3496</v>
      </c>
      <c r="X50" s="187"/>
      <c r="Y50" s="187"/>
      <c r="Z50" s="187"/>
      <c r="AA50" s="367"/>
      <c r="AB50" s="187"/>
    </row>
    <row r="51" spans="1:28" ht="18.75" customHeight="1">
      <c r="A51" s="213"/>
      <c r="B51" s="213"/>
      <c r="C51" s="210"/>
      <c r="D51" s="297"/>
      <c r="E51" s="186" t="s">
        <v>55</v>
      </c>
      <c r="F51" s="186" t="s">
        <v>943</v>
      </c>
      <c r="G51" s="186" t="s">
        <v>247</v>
      </c>
      <c r="H51" s="186"/>
      <c r="I51" s="186"/>
      <c r="J51" s="186">
        <v>52</v>
      </c>
      <c r="K51" s="186" t="s">
        <v>682</v>
      </c>
      <c r="L51" s="186" t="s">
        <v>3404</v>
      </c>
      <c r="M51" s="75" t="s">
        <v>944</v>
      </c>
      <c r="N51" s="130" t="s">
        <v>3333</v>
      </c>
      <c r="O51" s="186" t="s">
        <v>3497</v>
      </c>
      <c r="P51" s="186" t="s">
        <v>3498</v>
      </c>
      <c r="Q51" s="186"/>
      <c r="R51" s="186"/>
      <c r="S51" s="120"/>
      <c r="T51" s="186" t="s">
        <v>3499</v>
      </c>
      <c r="X51" s="187">
        <v>17</v>
      </c>
      <c r="Y51" t="s">
        <v>1603</v>
      </c>
      <c r="Z51" s="34" t="s">
        <v>3030</v>
      </c>
      <c r="AA51" s="131">
        <v>43539</v>
      </c>
      <c r="AB51" s="187" t="s">
        <v>3421</v>
      </c>
    </row>
    <row r="52" spans="1:28" ht="18.75" hidden="1" customHeight="1">
      <c r="A52" s="213"/>
      <c r="B52" s="213"/>
      <c r="C52" s="210"/>
      <c r="D52" s="297"/>
      <c r="E52" s="186" t="s">
        <v>55</v>
      </c>
      <c r="F52" s="186" t="s">
        <v>3500</v>
      </c>
      <c r="G52" s="186" t="s">
        <v>3501</v>
      </c>
      <c r="H52" s="186"/>
      <c r="I52" s="186"/>
      <c r="J52" s="186">
        <v>53</v>
      </c>
      <c r="K52" s="186" t="s">
        <v>680</v>
      </c>
      <c r="L52" s="186"/>
      <c r="M52" s="186"/>
      <c r="N52" s="90"/>
      <c r="O52" s="90"/>
      <c r="P52" s="90"/>
      <c r="Q52" s="186"/>
      <c r="R52" s="186"/>
      <c r="S52" s="122"/>
      <c r="T52" s="186" t="s">
        <v>3502</v>
      </c>
      <c r="X52" s="187"/>
      <c r="Y52" s="187"/>
      <c r="Z52" s="187"/>
      <c r="AA52" s="367"/>
      <c r="AB52" s="187"/>
    </row>
    <row r="53" spans="1:28" ht="18.75" hidden="1" customHeight="1">
      <c r="A53" s="213"/>
      <c r="B53" s="213"/>
      <c r="C53" s="210"/>
      <c r="D53" s="297"/>
      <c r="E53" s="186" t="s">
        <v>63</v>
      </c>
      <c r="F53" s="186" t="s">
        <v>1021</v>
      </c>
      <c r="G53" s="186" t="s">
        <v>324</v>
      </c>
      <c r="H53" s="186"/>
      <c r="I53" s="186"/>
      <c r="J53" s="186">
        <v>5</v>
      </c>
      <c r="K53" s="186" t="s">
        <v>680</v>
      </c>
      <c r="L53" s="186"/>
      <c r="M53" s="186"/>
      <c r="N53" s="90"/>
      <c r="O53" s="90"/>
      <c r="P53" s="90"/>
      <c r="Q53" s="186"/>
      <c r="R53" s="186"/>
      <c r="S53" s="123"/>
      <c r="T53" s="186" t="s">
        <v>1190</v>
      </c>
      <c r="X53" s="187"/>
      <c r="Y53" s="187"/>
      <c r="Z53" s="187"/>
      <c r="AA53" s="367"/>
      <c r="AB53" s="187"/>
    </row>
    <row r="54" spans="1:28" ht="18.75" hidden="1" customHeight="1">
      <c r="A54" s="213"/>
      <c r="B54" s="213"/>
      <c r="C54" s="210"/>
      <c r="D54" s="297"/>
      <c r="E54" s="186" t="s">
        <v>63</v>
      </c>
      <c r="F54" s="186" t="s">
        <v>1028</v>
      </c>
      <c r="G54" s="186" t="s">
        <v>324</v>
      </c>
      <c r="H54" s="186"/>
      <c r="I54" s="186"/>
      <c r="J54" s="186">
        <v>6</v>
      </c>
      <c r="K54" s="186" t="s">
        <v>680</v>
      </c>
      <c r="L54" s="186"/>
      <c r="M54" s="186"/>
      <c r="N54" s="90"/>
      <c r="O54" s="90"/>
      <c r="P54" s="90"/>
      <c r="Q54" s="186"/>
      <c r="R54" s="186"/>
      <c r="S54" s="123"/>
      <c r="T54" s="186" t="s">
        <v>1190</v>
      </c>
      <c r="X54" s="187"/>
      <c r="Y54" s="187"/>
      <c r="Z54" s="187"/>
      <c r="AA54" s="367"/>
      <c r="AB54" s="187"/>
    </row>
    <row r="55" spans="1:28" ht="18.75" customHeight="1">
      <c r="A55" s="213"/>
      <c r="B55" s="213"/>
      <c r="C55" s="210"/>
      <c r="D55" s="297"/>
      <c r="E55" s="186" t="s">
        <v>59</v>
      </c>
      <c r="F55" s="186" t="s">
        <v>934</v>
      </c>
      <c r="G55" s="186" t="s">
        <v>249</v>
      </c>
      <c r="H55" s="186"/>
      <c r="I55" s="186"/>
      <c r="J55" s="186">
        <v>18</v>
      </c>
      <c r="K55" s="186" t="s">
        <v>682</v>
      </c>
      <c r="L55" s="186" t="s">
        <v>3404</v>
      </c>
      <c r="M55" s="186" t="s">
        <v>935</v>
      </c>
      <c r="N55" s="132" t="s">
        <v>3333</v>
      </c>
      <c r="O55" s="186" t="s">
        <v>3503</v>
      </c>
      <c r="P55" s="186" t="s">
        <v>3504</v>
      </c>
      <c r="Q55" s="186"/>
      <c r="R55" s="186"/>
      <c r="S55" s="120"/>
      <c r="T55" s="186" t="s">
        <v>3505</v>
      </c>
      <c r="X55" s="187">
        <v>13</v>
      </c>
      <c r="Y55" s="187" t="s">
        <v>3506</v>
      </c>
      <c r="Z55" s="120" t="s">
        <v>3326</v>
      </c>
      <c r="AA55" s="131">
        <v>43509</v>
      </c>
      <c r="AB55" s="187" t="s">
        <v>1057</v>
      </c>
    </row>
    <row r="56" spans="1:28" ht="18.75" hidden="1" customHeight="1">
      <c r="A56" s="213"/>
      <c r="B56" s="213"/>
      <c r="C56" s="210"/>
      <c r="D56" s="297"/>
      <c r="E56" s="186" t="s">
        <v>59</v>
      </c>
      <c r="F56" s="186" t="s">
        <v>3364</v>
      </c>
      <c r="G56" s="186" t="s">
        <v>995</v>
      </c>
      <c r="H56" s="186"/>
      <c r="I56" s="186"/>
      <c r="J56" s="186">
        <v>19</v>
      </c>
      <c r="K56" s="186" t="s">
        <v>680</v>
      </c>
      <c r="L56" s="186"/>
      <c r="M56" s="186"/>
      <c r="N56" s="90"/>
      <c r="O56" s="90"/>
      <c r="P56" s="90"/>
      <c r="Q56" s="186"/>
      <c r="R56" s="186"/>
      <c r="S56" s="122"/>
      <c r="T56" s="186" t="s">
        <v>3507</v>
      </c>
      <c r="X56" s="187"/>
      <c r="Y56" s="187"/>
      <c r="Z56" s="34"/>
      <c r="AA56" s="367"/>
      <c r="AB56" s="187"/>
    </row>
    <row r="57" spans="1:28" ht="18.75" customHeight="1">
      <c r="A57" s="213"/>
      <c r="B57" s="213"/>
      <c r="C57" s="210"/>
      <c r="D57" s="297"/>
      <c r="E57" s="134" t="s">
        <v>55</v>
      </c>
      <c r="F57" s="134" t="s">
        <v>945</v>
      </c>
      <c r="G57" s="134" t="s">
        <v>249</v>
      </c>
      <c r="H57" s="134"/>
      <c r="I57" s="134"/>
      <c r="J57" s="134">
        <v>54</v>
      </c>
      <c r="K57" s="134" t="s">
        <v>682</v>
      </c>
      <c r="L57" s="134" t="s">
        <v>3404</v>
      </c>
      <c r="M57" s="134" t="s">
        <v>946</v>
      </c>
      <c r="N57" s="368" t="s">
        <v>3333</v>
      </c>
      <c r="O57" s="134" t="s">
        <v>3508</v>
      </c>
      <c r="P57" s="134" t="s">
        <v>3509</v>
      </c>
      <c r="Q57" s="134"/>
      <c r="R57" s="134"/>
      <c r="S57" s="369"/>
      <c r="T57" s="134" t="s">
        <v>3510</v>
      </c>
      <c r="U57" s="193"/>
      <c r="V57" s="193"/>
      <c r="W57" s="193"/>
      <c r="X57" s="370">
        <v>18</v>
      </c>
      <c r="Y57" s="370"/>
      <c r="Z57" s="369" t="s">
        <v>3326</v>
      </c>
      <c r="AA57" s="371">
        <v>43509</v>
      </c>
      <c r="AB57" s="370" t="s">
        <v>1057</v>
      </c>
    </row>
    <row r="58" spans="1:28" ht="18.75" hidden="1" customHeight="1">
      <c r="A58" s="213"/>
      <c r="B58" s="213"/>
      <c r="C58" s="210"/>
      <c r="D58" s="297"/>
      <c r="E58" s="186" t="s">
        <v>55</v>
      </c>
      <c r="F58" s="186" t="s">
        <v>3368</v>
      </c>
      <c r="G58" s="186" t="s">
        <v>995</v>
      </c>
      <c r="H58" s="186"/>
      <c r="I58" s="186"/>
      <c r="J58" s="186">
        <v>55</v>
      </c>
      <c r="K58" s="186" t="s">
        <v>680</v>
      </c>
      <c r="L58" s="186"/>
      <c r="M58" s="186"/>
      <c r="N58" s="90"/>
      <c r="O58" s="90"/>
      <c r="P58" s="90"/>
      <c r="Q58" s="186"/>
      <c r="R58" s="186"/>
      <c r="S58" s="122"/>
      <c r="T58" s="186" t="s">
        <v>3511</v>
      </c>
      <c r="X58" s="187"/>
      <c r="Y58" s="187"/>
      <c r="Z58" s="187"/>
      <c r="AA58" s="367"/>
      <c r="AB58" s="187"/>
    </row>
    <row r="59" spans="1:28" ht="18.75" customHeight="1">
      <c r="A59" s="213"/>
      <c r="B59" s="213"/>
      <c r="C59" s="210"/>
      <c r="D59" s="297"/>
      <c r="E59" s="134" t="s">
        <v>59</v>
      </c>
      <c r="F59" s="134" t="s">
        <v>912</v>
      </c>
      <c r="G59" s="134" t="s">
        <v>324</v>
      </c>
      <c r="H59" s="134"/>
      <c r="I59" s="134"/>
      <c r="J59" s="134">
        <v>20</v>
      </c>
      <c r="K59" s="134" t="s">
        <v>682</v>
      </c>
      <c r="L59" s="134" t="s">
        <v>3404</v>
      </c>
      <c r="M59" s="134" t="s">
        <v>913</v>
      </c>
      <c r="N59" s="134" t="s">
        <v>3321</v>
      </c>
      <c r="O59" s="134" t="s">
        <v>3512</v>
      </c>
      <c r="P59" s="134" t="s">
        <v>3513</v>
      </c>
      <c r="Q59" s="134"/>
      <c r="R59" s="134"/>
      <c r="S59" s="369" t="s">
        <v>3514</v>
      </c>
      <c r="T59" s="134" t="s">
        <v>3515</v>
      </c>
      <c r="U59" s="193"/>
      <c r="V59" s="193"/>
      <c r="W59" s="193"/>
      <c r="X59" s="370">
        <v>4</v>
      </c>
      <c r="Y59" s="370"/>
      <c r="Z59" s="369" t="s">
        <v>3326</v>
      </c>
      <c r="AA59" s="371">
        <v>43509</v>
      </c>
      <c r="AB59" s="370" t="s">
        <v>1057</v>
      </c>
    </row>
    <row r="60" spans="1:28" ht="18.75" hidden="1" customHeight="1">
      <c r="A60" s="213"/>
      <c r="B60" s="213"/>
      <c r="C60" s="210"/>
      <c r="D60" s="297"/>
      <c r="E60" s="186" t="s">
        <v>55</v>
      </c>
      <c r="F60" s="186" t="s">
        <v>3516</v>
      </c>
      <c r="G60" s="186" t="s">
        <v>324</v>
      </c>
      <c r="H60" s="186"/>
      <c r="I60" s="186"/>
      <c r="J60" s="186">
        <v>56</v>
      </c>
      <c r="K60" s="186" t="s">
        <v>680</v>
      </c>
      <c r="L60" s="186"/>
      <c r="M60" s="186"/>
      <c r="N60" s="90"/>
      <c r="O60" s="90"/>
      <c r="P60" s="90"/>
      <c r="Q60" s="186"/>
      <c r="R60" s="186"/>
      <c r="S60" s="122"/>
      <c r="T60" s="186" t="s">
        <v>3517</v>
      </c>
      <c r="X60" s="187"/>
      <c r="Y60" s="187"/>
      <c r="Z60" s="187"/>
      <c r="AA60" s="367"/>
      <c r="AB60" s="187"/>
    </row>
    <row r="61" spans="1:28" ht="18.75" hidden="1" customHeight="1">
      <c r="A61" s="213"/>
      <c r="B61" s="213"/>
      <c r="C61" s="210"/>
      <c r="D61" s="297"/>
      <c r="E61" s="186" t="s">
        <v>55</v>
      </c>
      <c r="F61" s="186" t="s">
        <v>3518</v>
      </c>
      <c r="G61" s="186" t="s">
        <v>247</v>
      </c>
      <c r="H61" s="186"/>
      <c r="I61" s="186"/>
      <c r="J61" s="186">
        <v>57</v>
      </c>
      <c r="K61" s="186" t="s">
        <v>680</v>
      </c>
      <c r="L61" s="186"/>
      <c r="M61" s="186"/>
      <c r="N61" s="90"/>
      <c r="O61" s="90"/>
      <c r="P61" s="90"/>
      <c r="Q61" s="186"/>
      <c r="R61" s="186"/>
      <c r="S61" s="122"/>
      <c r="T61" s="186" t="s">
        <v>3519</v>
      </c>
      <c r="X61" s="187"/>
      <c r="Y61" s="187"/>
      <c r="Z61" s="187"/>
      <c r="AA61" s="367"/>
      <c r="AB61" s="187"/>
    </row>
    <row r="62" spans="1:28" ht="18.75" hidden="1" customHeight="1">
      <c r="A62" s="213"/>
      <c r="B62" s="213"/>
      <c r="C62" s="210"/>
      <c r="D62" s="297"/>
      <c r="E62" s="186" t="s">
        <v>59</v>
      </c>
      <c r="F62" s="186" t="s">
        <v>3520</v>
      </c>
      <c r="G62" s="186" t="s">
        <v>255</v>
      </c>
      <c r="H62" s="186"/>
      <c r="I62" s="186"/>
      <c r="J62" s="186">
        <v>21</v>
      </c>
      <c r="K62" s="186" t="s">
        <v>680</v>
      </c>
      <c r="L62" s="186"/>
      <c r="M62" s="186"/>
      <c r="N62" s="90"/>
      <c r="O62" s="90"/>
      <c r="P62" s="90"/>
      <c r="Q62" s="186"/>
      <c r="R62" s="186"/>
      <c r="S62" s="122"/>
      <c r="T62" s="186" t="s">
        <v>3521</v>
      </c>
      <c r="X62" s="187"/>
      <c r="Y62" s="187"/>
      <c r="Z62" s="34"/>
      <c r="AA62" s="367"/>
      <c r="AB62" s="271"/>
    </row>
    <row r="63" spans="1:28" s="437" customFormat="1" ht="65.25" customHeight="1">
      <c r="E63" s="598" t="s">
        <v>55</v>
      </c>
      <c r="F63" s="598" t="s">
        <v>3522</v>
      </c>
      <c r="G63" s="598" t="s">
        <v>535</v>
      </c>
      <c r="H63" s="598" t="s">
        <v>243</v>
      </c>
      <c r="I63" s="598"/>
      <c r="J63" s="598">
        <v>93</v>
      </c>
      <c r="K63" s="598" t="s">
        <v>682</v>
      </c>
      <c r="L63" s="595" t="s">
        <v>3404</v>
      </c>
      <c r="M63" s="599" t="s">
        <v>3523</v>
      </c>
      <c r="N63" s="598"/>
      <c r="O63" s="598"/>
      <c r="P63" s="594"/>
      <c r="Q63" s="594"/>
      <c r="R63" s="594"/>
      <c r="S63" s="594"/>
      <c r="T63" s="594" t="s">
        <v>3524</v>
      </c>
      <c r="U63" s="594"/>
      <c r="V63" s="594"/>
      <c r="W63" s="594"/>
      <c r="AA63" s="600"/>
    </row>
    <row r="64" spans="1:28" ht="18.75" customHeight="1">
      <c r="A64" s="292"/>
      <c r="B64" s="292"/>
      <c r="C64" s="292"/>
      <c r="D64" s="363"/>
      <c r="E64" s="134" t="s">
        <v>59</v>
      </c>
      <c r="F64" s="134" t="s">
        <v>3525</v>
      </c>
      <c r="G64" s="134" t="s">
        <v>255</v>
      </c>
      <c r="H64" s="134"/>
      <c r="I64" s="134"/>
      <c r="J64" s="134">
        <v>22</v>
      </c>
      <c r="K64" s="134" t="s">
        <v>682</v>
      </c>
      <c r="L64" s="134" t="s">
        <v>3404</v>
      </c>
      <c r="M64" s="134" t="s">
        <v>3387</v>
      </c>
      <c r="N64" s="248"/>
      <c r="O64" s="248"/>
      <c r="P64" s="248"/>
      <c r="Q64" s="134"/>
      <c r="R64" s="134"/>
      <c r="S64" s="243"/>
      <c r="T64" s="134" t="s">
        <v>3526</v>
      </c>
      <c r="U64" s="193"/>
      <c r="V64" s="193"/>
      <c r="W64" s="193"/>
      <c r="X64" s="370"/>
      <c r="Y64" s="370"/>
      <c r="Z64" s="247"/>
      <c r="AA64" s="372"/>
      <c r="AB64" s="555"/>
    </row>
    <row r="65" spans="1:28" ht="18.75" hidden="1" customHeight="1">
      <c r="A65" s="213"/>
      <c r="B65" s="213"/>
      <c r="C65" s="210"/>
      <c r="D65" s="297"/>
      <c r="E65" s="186" t="s">
        <v>55</v>
      </c>
      <c r="F65" s="186" t="s">
        <v>1286</v>
      </c>
      <c r="G65" s="186" t="s">
        <v>429</v>
      </c>
      <c r="H65" s="186"/>
      <c r="I65" s="186"/>
      <c r="J65" s="186">
        <v>59</v>
      </c>
      <c r="K65" s="186" t="s">
        <v>680</v>
      </c>
      <c r="L65" s="186"/>
      <c r="M65" s="186"/>
      <c r="N65" s="90"/>
      <c r="O65" s="90"/>
      <c r="P65" s="90"/>
      <c r="Q65" s="186"/>
      <c r="R65" s="186"/>
      <c r="S65" s="122"/>
      <c r="T65" s="186" t="s">
        <v>3527</v>
      </c>
      <c r="X65" s="187"/>
      <c r="Y65" s="187"/>
      <c r="Z65" s="187"/>
      <c r="AA65" s="367"/>
      <c r="AB65" s="187"/>
    </row>
    <row r="66" spans="1:28" ht="18.75" customHeight="1">
      <c r="A66" s="292"/>
      <c r="B66" s="292"/>
      <c r="C66" s="292"/>
      <c r="D66" s="363"/>
      <c r="E66" s="134" t="s">
        <v>59</v>
      </c>
      <c r="F66" s="134" t="s">
        <v>3528</v>
      </c>
      <c r="G66" s="134" t="s">
        <v>247</v>
      </c>
      <c r="H66" s="134"/>
      <c r="I66" s="134"/>
      <c r="J66" s="134"/>
      <c r="K66" s="134" t="s">
        <v>682</v>
      </c>
      <c r="L66" s="134" t="s">
        <v>3404</v>
      </c>
      <c r="M66" s="134" t="s">
        <v>3529</v>
      </c>
      <c r="N66" s="248"/>
      <c r="O66" s="248"/>
      <c r="P66" s="248"/>
      <c r="Q66" s="134"/>
      <c r="R66" s="134"/>
      <c r="S66" s="243"/>
      <c r="T66" s="134" t="s">
        <v>3530</v>
      </c>
      <c r="U66" s="193"/>
      <c r="V66" s="193"/>
      <c r="W66" s="193"/>
      <c r="X66" s="370"/>
      <c r="Y66" s="370"/>
      <c r="Z66" s="247"/>
      <c r="AA66" s="372"/>
      <c r="AB66" s="370"/>
    </row>
    <row r="67" spans="1:28" ht="18.75" customHeight="1">
      <c r="A67" s="213"/>
      <c r="B67" s="213"/>
      <c r="C67" s="210"/>
      <c r="D67" s="297"/>
      <c r="E67" s="134" t="s">
        <v>59</v>
      </c>
      <c r="F67" s="134" t="s">
        <v>947</v>
      </c>
      <c r="G67" s="134" t="s">
        <v>324</v>
      </c>
      <c r="H67" s="134"/>
      <c r="I67" s="134"/>
      <c r="J67" s="134">
        <v>23</v>
      </c>
      <c r="K67" s="134" t="s">
        <v>682</v>
      </c>
      <c r="L67" s="134" t="s">
        <v>3404</v>
      </c>
      <c r="M67" s="134" t="s">
        <v>947</v>
      </c>
      <c r="N67" s="368" t="s">
        <v>3333</v>
      </c>
      <c r="O67" s="134" t="s">
        <v>3531</v>
      </c>
      <c r="P67" s="134" t="s">
        <v>3532</v>
      </c>
      <c r="Q67" s="134"/>
      <c r="R67" s="134"/>
      <c r="S67" s="369"/>
      <c r="T67" s="134" t="s">
        <v>3533</v>
      </c>
      <c r="U67" s="193"/>
      <c r="V67" s="193"/>
      <c r="W67" s="193"/>
      <c r="X67" s="370">
        <v>19</v>
      </c>
      <c r="Y67" s="370"/>
      <c r="Z67" s="369" t="s">
        <v>3326</v>
      </c>
      <c r="AA67" s="371">
        <v>43509</v>
      </c>
      <c r="AB67" s="370" t="s">
        <v>1057</v>
      </c>
    </row>
    <row r="68" spans="1:28" ht="18.75" hidden="1" customHeight="1">
      <c r="A68" s="213"/>
      <c r="B68" s="213"/>
      <c r="C68" s="210"/>
      <c r="D68" s="297"/>
      <c r="E68" s="186" t="s">
        <v>55</v>
      </c>
      <c r="F68" s="186" t="s">
        <v>3534</v>
      </c>
      <c r="G68" s="186" t="s">
        <v>247</v>
      </c>
      <c r="H68" s="186"/>
      <c r="I68" s="186"/>
      <c r="J68" s="186">
        <v>60</v>
      </c>
      <c r="K68" s="186" t="s">
        <v>680</v>
      </c>
      <c r="L68" s="186"/>
      <c r="M68" s="186"/>
      <c r="N68" s="90"/>
      <c r="O68" s="90"/>
      <c r="P68" s="90"/>
      <c r="Q68" s="186"/>
      <c r="R68" s="186"/>
      <c r="S68" s="122"/>
      <c r="T68" s="186" t="s">
        <v>3535</v>
      </c>
      <c r="X68" s="187"/>
      <c r="Y68" s="187"/>
      <c r="Z68" s="187"/>
      <c r="AA68" s="367"/>
      <c r="AB68" s="187"/>
    </row>
    <row r="69" spans="1:28" ht="18.75" hidden="1" customHeight="1">
      <c r="A69" s="213"/>
      <c r="B69" s="213"/>
      <c r="C69" s="210"/>
      <c r="D69" s="297"/>
      <c r="E69" s="186" t="s">
        <v>55</v>
      </c>
      <c r="F69" s="186" t="s">
        <v>3536</v>
      </c>
      <c r="G69" s="186" t="s">
        <v>242</v>
      </c>
      <c r="H69" s="186"/>
      <c r="I69" s="186"/>
      <c r="J69" s="186">
        <v>61</v>
      </c>
      <c r="K69" s="186" t="s">
        <v>680</v>
      </c>
      <c r="L69" s="186"/>
      <c r="M69" s="186"/>
      <c r="N69" s="90"/>
      <c r="O69" s="90"/>
      <c r="P69" s="90"/>
      <c r="Q69" s="186"/>
      <c r="R69" s="186"/>
      <c r="S69" s="122"/>
      <c r="T69" s="186" t="s">
        <v>3537</v>
      </c>
      <c r="X69" s="187"/>
      <c r="Y69" s="187"/>
      <c r="Z69" s="187"/>
      <c r="AA69" s="367"/>
      <c r="AB69" s="187"/>
    </row>
    <row r="70" spans="1:28" ht="18.75" hidden="1" customHeight="1">
      <c r="A70" s="213"/>
      <c r="B70" s="213"/>
      <c r="C70" s="210"/>
      <c r="D70" s="297"/>
      <c r="E70" s="186" t="s">
        <v>55</v>
      </c>
      <c r="F70" s="186" t="s">
        <v>3538</v>
      </c>
      <c r="G70" s="186" t="s">
        <v>247</v>
      </c>
      <c r="H70" s="186"/>
      <c r="I70" s="186"/>
      <c r="J70" s="186">
        <v>62</v>
      </c>
      <c r="K70" s="186" t="s">
        <v>680</v>
      </c>
      <c r="L70" s="186"/>
      <c r="M70" s="186"/>
      <c r="N70" s="90"/>
      <c r="O70" s="90"/>
      <c r="P70" s="90"/>
      <c r="Q70" s="186"/>
      <c r="R70" s="186"/>
      <c r="S70" s="122"/>
      <c r="T70" s="186" t="s">
        <v>3539</v>
      </c>
      <c r="X70" s="187"/>
      <c r="Y70" s="187"/>
      <c r="Z70" s="187"/>
      <c r="AA70" s="367"/>
      <c r="AB70" s="187"/>
    </row>
    <row r="71" spans="1:28" ht="18.75" hidden="1" customHeight="1">
      <c r="A71" s="213"/>
      <c r="B71" s="213"/>
      <c r="C71" s="210"/>
      <c r="D71" s="297"/>
      <c r="E71" s="186" t="s">
        <v>55</v>
      </c>
      <c r="F71" s="186" t="s">
        <v>3540</v>
      </c>
      <c r="G71" s="186" t="s">
        <v>242</v>
      </c>
      <c r="H71" s="186"/>
      <c r="I71" s="186"/>
      <c r="J71" s="186">
        <v>63</v>
      </c>
      <c r="K71" s="186" t="s">
        <v>680</v>
      </c>
      <c r="L71" s="186"/>
      <c r="M71" s="186"/>
      <c r="N71" s="90"/>
      <c r="O71" s="90"/>
      <c r="P71" s="90"/>
      <c r="Q71" s="186"/>
      <c r="R71" s="186"/>
      <c r="S71" s="122"/>
      <c r="T71" s="186" t="s">
        <v>3537</v>
      </c>
      <c r="X71" s="187"/>
      <c r="Y71" s="187"/>
      <c r="Z71" s="187"/>
      <c r="AA71" s="367"/>
      <c r="AB71" s="187"/>
    </row>
    <row r="72" spans="1:28" ht="18.75" customHeight="1">
      <c r="A72" s="134"/>
      <c r="B72" s="134"/>
      <c r="C72" s="134"/>
      <c r="D72" s="298"/>
      <c r="E72" s="134" t="s">
        <v>59</v>
      </c>
      <c r="F72" s="186" t="s">
        <v>1023</v>
      </c>
      <c r="G72" s="186" t="s">
        <v>1876</v>
      </c>
      <c r="H72" s="134"/>
      <c r="I72" s="134"/>
      <c r="J72" s="134">
        <v>24</v>
      </c>
      <c r="K72" s="134" t="s">
        <v>682</v>
      </c>
      <c r="L72" s="134" t="s">
        <v>3404</v>
      </c>
      <c r="M72" s="186" t="s">
        <v>1023</v>
      </c>
      <c r="N72" s="248"/>
      <c r="O72" s="248"/>
      <c r="P72" s="248"/>
      <c r="Q72" s="134"/>
      <c r="R72" s="134"/>
      <c r="S72" s="243"/>
      <c r="T72" s="134" t="s">
        <v>3541</v>
      </c>
      <c r="U72" s="193"/>
      <c r="V72" s="193"/>
      <c r="W72" s="193"/>
      <c r="X72" s="370">
        <v>22</v>
      </c>
      <c r="Y72" s="370"/>
      <c r="Z72" s="247" t="s">
        <v>1197</v>
      </c>
      <c r="AA72" s="372">
        <v>43607</v>
      </c>
      <c r="AB72" s="370" t="s">
        <v>3542</v>
      </c>
    </row>
    <row r="73" spans="1:28" ht="18.75" hidden="1" customHeight="1">
      <c r="A73" s="213"/>
      <c r="B73" s="213"/>
      <c r="C73" s="210"/>
      <c r="D73" s="297"/>
      <c r="E73" s="186" t="s">
        <v>55</v>
      </c>
      <c r="F73" s="186" t="s">
        <v>3543</v>
      </c>
      <c r="G73" s="186" t="s">
        <v>2468</v>
      </c>
      <c r="H73" s="186"/>
      <c r="I73" s="186"/>
      <c r="J73" s="186">
        <v>64</v>
      </c>
      <c r="K73" s="186" t="s">
        <v>680</v>
      </c>
      <c r="L73" s="186"/>
      <c r="M73" s="186"/>
      <c r="N73" s="90"/>
      <c r="O73" s="90"/>
      <c r="P73" s="90"/>
      <c r="Q73" s="186"/>
      <c r="R73" s="186"/>
      <c r="S73" s="122"/>
      <c r="T73" s="186" t="s">
        <v>3544</v>
      </c>
      <c r="X73" s="187"/>
      <c r="Y73" s="187"/>
      <c r="Z73" s="187"/>
      <c r="AA73" s="367"/>
      <c r="AB73" s="187"/>
    </row>
    <row r="74" spans="1:28" ht="18.75" hidden="1" customHeight="1">
      <c r="A74" s="213"/>
      <c r="B74" s="213"/>
      <c r="C74" s="210"/>
      <c r="D74" s="297"/>
      <c r="E74" s="186" t="s">
        <v>55</v>
      </c>
      <c r="F74" s="186" t="s">
        <v>3545</v>
      </c>
      <c r="G74" s="186" t="s">
        <v>324</v>
      </c>
      <c r="H74" s="186"/>
      <c r="I74" s="186"/>
      <c r="J74" s="186">
        <v>65</v>
      </c>
      <c r="K74" s="186" t="s">
        <v>680</v>
      </c>
      <c r="L74" s="186"/>
      <c r="M74" s="186"/>
      <c r="N74" s="90"/>
      <c r="O74" s="90"/>
      <c r="P74" s="90"/>
      <c r="Q74" s="186"/>
      <c r="R74" s="186"/>
      <c r="S74" s="122"/>
      <c r="T74" s="186" t="s">
        <v>3546</v>
      </c>
      <c r="X74" s="187"/>
      <c r="Y74" s="187"/>
      <c r="Z74" s="187"/>
      <c r="AA74" s="367"/>
      <c r="AB74" s="187"/>
    </row>
    <row r="75" spans="1:28" ht="18.75" customHeight="1">
      <c r="A75" s="213"/>
      <c r="B75" s="213"/>
      <c r="C75" s="210"/>
      <c r="D75" s="297"/>
      <c r="E75" s="134" t="s">
        <v>59</v>
      </c>
      <c r="F75" s="186" t="s">
        <v>927</v>
      </c>
      <c r="G75" s="186" t="s">
        <v>925</v>
      </c>
      <c r="H75" s="134"/>
      <c r="I75" s="134"/>
      <c r="J75" s="134">
        <v>25</v>
      </c>
      <c r="K75" s="134" t="s">
        <v>682</v>
      </c>
      <c r="L75" s="134" t="s">
        <v>3404</v>
      </c>
      <c r="M75" s="186" t="s">
        <v>928</v>
      </c>
      <c r="N75" s="373" t="s">
        <v>3327</v>
      </c>
      <c r="O75" s="134" t="s">
        <v>3547</v>
      </c>
      <c r="P75" s="134" t="s">
        <v>3548</v>
      </c>
      <c r="Q75" s="134"/>
      <c r="R75" s="134"/>
      <c r="S75" s="369" t="s">
        <v>3549</v>
      </c>
      <c r="T75" s="134" t="s">
        <v>3395</v>
      </c>
      <c r="U75" s="193"/>
      <c r="V75" s="193"/>
      <c r="W75" s="193"/>
      <c r="X75" s="370">
        <v>10</v>
      </c>
      <c r="Y75" s="370" t="s">
        <v>3550</v>
      </c>
      <c r="Z75" s="369" t="s">
        <v>3326</v>
      </c>
      <c r="AA75" s="371">
        <v>43509</v>
      </c>
      <c r="AB75" s="370" t="s">
        <v>1057</v>
      </c>
    </row>
    <row r="76" spans="1:28" ht="18.75" customHeight="1">
      <c r="A76" s="134"/>
      <c r="B76" s="134"/>
      <c r="C76" s="134"/>
      <c r="D76" s="298"/>
      <c r="E76" s="186" t="s">
        <v>55</v>
      </c>
      <c r="F76" s="186" t="s">
        <v>994</v>
      </c>
      <c r="G76" s="186" t="s">
        <v>247</v>
      </c>
      <c r="H76" s="186"/>
      <c r="I76" s="186"/>
      <c r="J76" s="186"/>
      <c r="K76" s="186" t="s">
        <v>682</v>
      </c>
      <c r="L76" s="186" t="s">
        <v>3404</v>
      </c>
      <c r="M76" s="186" t="s">
        <v>3400</v>
      </c>
      <c r="N76" s="90"/>
      <c r="O76" s="90"/>
      <c r="P76" s="90"/>
      <c r="Q76" s="186"/>
      <c r="R76" s="186"/>
      <c r="S76" s="122"/>
      <c r="T76" s="186" t="s">
        <v>3551</v>
      </c>
      <c r="X76" s="187"/>
      <c r="Y76" s="187" t="s">
        <v>3552</v>
      </c>
      <c r="Z76" s="187"/>
      <c r="AA76" s="367"/>
      <c r="AB76" s="187"/>
    </row>
    <row r="77" spans="1:28" ht="18.75" hidden="1" customHeight="1">
      <c r="A77" s="213"/>
      <c r="B77" s="213"/>
      <c r="C77" s="210"/>
      <c r="D77" s="297"/>
      <c r="E77" s="186" t="s">
        <v>53</v>
      </c>
      <c r="F77" s="186" t="s">
        <v>1288</v>
      </c>
      <c r="G77" s="186" t="s">
        <v>535</v>
      </c>
      <c r="H77" s="186"/>
      <c r="I77" s="186"/>
      <c r="J77" s="186">
        <v>79</v>
      </c>
      <c r="K77" s="186" t="s">
        <v>680</v>
      </c>
      <c r="L77" s="186"/>
      <c r="M77" s="186"/>
      <c r="N77" s="90"/>
      <c r="O77" s="90"/>
      <c r="P77" s="90"/>
      <c r="Q77" s="186"/>
      <c r="R77" s="186"/>
      <c r="S77" s="122"/>
      <c r="T77" s="186" t="s">
        <v>1190</v>
      </c>
      <c r="X77" s="187"/>
      <c r="Y77" s="187"/>
      <c r="Z77" s="187"/>
      <c r="AA77" s="367"/>
      <c r="AB77" s="187"/>
    </row>
    <row r="78" spans="1:28" ht="18.75" hidden="1" customHeight="1">
      <c r="A78" s="213"/>
      <c r="B78" s="213"/>
      <c r="C78" s="210"/>
      <c r="D78" s="297"/>
      <c r="E78" s="186" t="s">
        <v>53</v>
      </c>
      <c r="F78" s="186" t="s">
        <v>1289</v>
      </c>
      <c r="G78" s="186" t="s">
        <v>324</v>
      </c>
      <c r="H78" s="186"/>
      <c r="I78" s="186"/>
      <c r="J78" s="186">
        <v>80</v>
      </c>
      <c r="K78" s="186" t="s">
        <v>680</v>
      </c>
      <c r="L78" s="186"/>
      <c r="M78" s="186"/>
      <c r="N78" s="90"/>
      <c r="O78" s="90"/>
      <c r="P78" s="90"/>
      <c r="Q78" s="186"/>
      <c r="R78" s="186"/>
      <c r="S78" s="122"/>
      <c r="T78" s="186" t="s">
        <v>1190</v>
      </c>
      <c r="X78" s="187"/>
      <c r="Y78" s="187"/>
      <c r="Z78" s="187"/>
      <c r="AA78" s="367"/>
      <c r="AB78" s="187"/>
    </row>
    <row r="79" spans="1:28" ht="18.75" hidden="1" customHeight="1">
      <c r="A79" s="213"/>
      <c r="B79" s="213"/>
      <c r="C79" s="210"/>
      <c r="D79" s="297"/>
      <c r="E79" s="186" t="s">
        <v>53</v>
      </c>
      <c r="F79" s="186" t="s">
        <v>1290</v>
      </c>
      <c r="G79" s="186" t="s">
        <v>432</v>
      </c>
      <c r="H79" s="186"/>
      <c r="I79" s="186"/>
      <c r="J79" s="186">
        <v>81</v>
      </c>
      <c r="K79" s="186" t="s">
        <v>680</v>
      </c>
      <c r="L79" s="186"/>
      <c r="M79" s="186"/>
      <c r="N79" s="90"/>
      <c r="O79" s="90"/>
      <c r="P79" s="90"/>
      <c r="Q79" s="186"/>
      <c r="R79" s="186"/>
      <c r="S79" s="122"/>
      <c r="T79" s="186" t="s">
        <v>1190</v>
      </c>
      <c r="X79" s="187"/>
      <c r="Y79" s="187"/>
      <c r="Z79" s="187"/>
      <c r="AA79" s="367"/>
      <c r="AB79" s="187"/>
    </row>
    <row r="80" spans="1:28" ht="18.75" hidden="1" customHeight="1">
      <c r="A80" s="213"/>
      <c r="B80" s="213"/>
      <c r="C80" s="210"/>
      <c r="D80" s="297"/>
      <c r="E80" s="186" t="s">
        <v>53</v>
      </c>
      <c r="F80" s="186" t="s">
        <v>1291</v>
      </c>
      <c r="G80" s="186" t="s">
        <v>247</v>
      </c>
      <c r="H80" s="186"/>
      <c r="I80" s="186"/>
      <c r="J80" s="186">
        <v>82</v>
      </c>
      <c r="K80" s="186" t="s">
        <v>680</v>
      </c>
      <c r="L80" s="186"/>
      <c r="M80" s="186"/>
      <c r="N80" s="90"/>
      <c r="O80" s="90"/>
      <c r="P80" s="90"/>
      <c r="Q80" s="186"/>
      <c r="R80" s="186"/>
      <c r="S80" s="122"/>
      <c r="T80" s="186" t="s">
        <v>1190</v>
      </c>
      <c r="X80" s="187"/>
      <c r="Y80" s="187"/>
      <c r="Z80" s="187"/>
      <c r="AA80" s="367"/>
      <c r="AB80" s="187"/>
    </row>
    <row r="81" spans="1:28" ht="18.75" hidden="1" customHeight="1">
      <c r="A81" s="213"/>
      <c r="B81" s="213"/>
      <c r="C81" s="210"/>
      <c r="D81" s="297"/>
      <c r="E81" s="186" t="s">
        <v>53</v>
      </c>
      <c r="F81" s="186" t="s">
        <v>1292</v>
      </c>
      <c r="G81" s="186" t="s">
        <v>535</v>
      </c>
      <c r="H81" s="186"/>
      <c r="I81" s="186"/>
      <c r="J81" s="186">
        <v>83</v>
      </c>
      <c r="K81" s="186" t="s">
        <v>680</v>
      </c>
      <c r="L81" s="186"/>
      <c r="M81" s="186"/>
      <c r="N81" s="90"/>
      <c r="O81" s="90"/>
      <c r="P81" s="90"/>
      <c r="Q81" s="186"/>
      <c r="R81" s="186"/>
      <c r="S81" s="122"/>
      <c r="T81" s="186" t="s">
        <v>1190</v>
      </c>
      <c r="X81" s="187"/>
      <c r="Y81" s="187"/>
      <c r="Z81" s="187"/>
      <c r="AA81" s="367"/>
      <c r="AB81" s="187"/>
    </row>
    <row r="82" spans="1:28" ht="18.75" hidden="1" customHeight="1">
      <c r="A82" s="213"/>
      <c r="B82" s="213"/>
      <c r="C82" s="210"/>
      <c r="D82" s="297"/>
      <c r="E82" s="186" t="s">
        <v>53</v>
      </c>
      <c r="F82" s="186" t="s">
        <v>1293</v>
      </c>
      <c r="G82" s="186" t="s">
        <v>432</v>
      </c>
      <c r="H82" s="186"/>
      <c r="I82" s="186"/>
      <c r="J82" s="186">
        <v>84</v>
      </c>
      <c r="K82" s="186" t="s">
        <v>680</v>
      </c>
      <c r="L82" s="186"/>
      <c r="M82" s="186"/>
      <c r="N82" s="90"/>
      <c r="O82" s="90"/>
      <c r="P82" s="90"/>
      <c r="Q82" s="186"/>
      <c r="R82" s="186"/>
      <c r="S82" s="122"/>
      <c r="T82" s="186" t="s">
        <v>1190</v>
      </c>
      <c r="X82" s="187"/>
      <c r="Y82" s="187"/>
      <c r="Z82" s="187"/>
      <c r="AA82" s="367"/>
      <c r="AB82" s="187"/>
    </row>
    <row r="83" spans="1:28" ht="18.75" customHeight="1">
      <c r="A83" s="134"/>
      <c r="B83" s="134"/>
      <c r="C83" s="134"/>
      <c r="D83" s="298"/>
      <c r="E83" s="186" t="s">
        <v>55</v>
      </c>
      <c r="F83" s="133" t="s">
        <v>3553</v>
      </c>
      <c r="G83" s="133" t="s">
        <v>247</v>
      </c>
      <c r="H83" s="186"/>
      <c r="I83" s="186"/>
      <c r="J83" s="186"/>
      <c r="K83" s="186" t="s">
        <v>682</v>
      </c>
      <c r="L83" s="186" t="s">
        <v>3404</v>
      </c>
      <c r="M83" s="133" t="s">
        <v>958</v>
      </c>
      <c r="N83" s="90"/>
      <c r="O83" s="90"/>
      <c r="P83" s="90"/>
      <c r="Q83" s="186"/>
      <c r="R83" s="186"/>
      <c r="S83" s="122"/>
      <c r="T83" s="186"/>
      <c r="X83" s="187"/>
      <c r="Y83" s="187"/>
      <c r="Z83" s="34" t="s">
        <v>30</v>
      </c>
      <c r="AA83" s="367">
        <v>43665</v>
      </c>
      <c r="AB83" s="187" t="s">
        <v>3484</v>
      </c>
    </row>
    <row r="84" spans="1:28" ht="18.75" hidden="1" customHeight="1">
      <c r="A84" s="213"/>
      <c r="B84" s="213"/>
      <c r="C84" s="210"/>
      <c r="D84" s="297"/>
      <c r="E84" s="186" t="s">
        <v>55</v>
      </c>
      <c r="F84" s="186" t="s">
        <v>3554</v>
      </c>
      <c r="G84" s="186" t="s">
        <v>247</v>
      </c>
      <c r="H84" s="186"/>
      <c r="I84" s="186"/>
      <c r="J84" s="186">
        <v>66</v>
      </c>
      <c r="K84" s="186" t="s">
        <v>680</v>
      </c>
      <c r="L84" s="186"/>
      <c r="M84" s="186"/>
      <c r="N84" s="90"/>
      <c r="O84" s="90"/>
      <c r="P84" s="90"/>
      <c r="Q84" s="186"/>
      <c r="R84" s="186"/>
      <c r="S84" s="122"/>
      <c r="T84" s="186" t="s">
        <v>3555</v>
      </c>
      <c r="X84" s="187"/>
      <c r="Y84" s="187"/>
      <c r="Z84" s="187"/>
      <c r="AA84" s="367"/>
      <c r="AB84" s="187"/>
    </row>
    <row r="85" spans="1:28" ht="18.75" hidden="1" customHeight="1">
      <c r="A85" s="213"/>
      <c r="B85" s="213"/>
      <c r="C85" s="210"/>
      <c r="D85" s="297"/>
      <c r="E85" s="186" t="s">
        <v>55</v>
      </c>
      <c r="F85" s="186" t="s">
        <v>3556</v>
      </c>
      <c r="G85" s="186" t="s">
        <v>324</v>
      </c>
      <c r="H85" s="186"/>
      <c r="I85" s="186"/>
      <c r="J85" s="186">
        <v>67</v>
      </c>
      <c r="K85" s="186" t="s">
        <v>680</v>
      </c>
      <c r="L85" s="186"/>
      <c r="M85" s="186"/>
      <c r="N85" s="90"/>
      <c r="O85" s="90"/>
      <c r="P85" s="90"/>
      <c r="Q85" s="186"/>
      <c r="R85" s="186"/>
      <c r="S85" s="122"/>
      <c r="T85" s="186" t="s">
        <v>3557</v>
      </c>
      <c r="X85" s="187"/>
      <c r="Y85" s="187"/>
      <c r="Z85" s="187"/>
      <c r="AA85" s="367"/>
      <c r="AB85" s="187"/>
    </row>
    <row r="86" spans="1:28" ht="18.75" customHeight="1">
      <c r="A86" s="213"/>
      <c r="B86" s="213"/>
      <c r="C86" s="210"/>
      <c r="D86" s="297"/>
      <c r="E86" s="186" t="s">
        <v>53</v>
      </c>
      <c r="F86" s="186" t="s">
        <v>123</v>
      </c>
      <c r="G86" s="186" t="s">
        <v>535</v>
      </c>
      <c r="H86" s="186"/>
      <c r="I86" s="186"/>
      <c r="J86" s="186">
        <v>71</v>
      </c>
      <c r="K86" s="186" t="s">
        <v>682</v>
      </c>
      <c r="L86" s="186" t="s">
        <v>1184</v>
      </c>
      <c r="M86" s="130" t="s">
        <v>3558</v>
      </c>
      <c r="N86" s="90"/>
      <c r="O86" s="90"/>
      <c r="P86" s="90"/>
      <c r="Q86" s="186"/>
      <c r="R86" s="186"/>
      <c r="S86" s="122"/>
      <c r="T86" s="186" t="s">
        <v>1190</v>
      </c>
      <c r="X86" s="187"/>
      <c r="Y86" s="187"/>
      <c r="Z86" s="187"/>
      <c r="AA86" s="367"/>
      <c r="AB86" s="187"/>
    </row>
    <row r="87" spans="1:28" ht="18.75" customHeight="1">
      <c r="A87" s="213"/>
      <c r="B87" s="213"/>
      <c r="C87" s="210"/>
      <c r="D87" s="297"/>
      <c r="E87" s="186" t="s">
        <v>63</v>
      </c>
      <c r="F87" s="186" t="s">
        <v>122</v>
      </c>
      <c r="G87" s="186" t="s">
        <v>264</v>
      </c>
      <c r="H87" s="186"/>
      <c r="I87" s="186"/>
      <c r="J87" s="186">
        <v>7</v>
      </c>
      <c r="K87" s="186" t="s">
        <v>682</v>
      </c>
      <c r="L87" s="186" t="s">
        <v>1184</v>
      </c>
      <c r="M87" s="459" t="s">
        <v>3559</v>
      </c>
      <c r="N87" s="90"/>
      <c r="O87" s="90"/>
      <c r="P87" s="90"/>
      <c r="Q87" s="186"/>
      <c r="R87" s="186"/>
      <c r="S87" s="123"/>
      <c r="T87" s="186" t="s">
        <v>1190</v>
      </c>
      <c r="X87" s="187"/>
      <c r="Y87" s="187"/>
      <c r="Z87" s="187"/>
      <c r="AA87" s="367"/>
      <c r="AB87" s="187"/>
    </row>
    <row r="88" spans="1:28" ht="18.75" customHeight="1">
      <c r="A88" s="213"/>
      <c r="B88" s="213"/>
      <c r="C88" s="210"/>
      <c r="D88" s="297"/>
      <c r="E88" s="186" t="s">
        <v>59</v>
      </c>
      <c r="F88" s="186" t="s">
        <v>948</v>
      </c>
      <c r="G88" s="186" t="s">
        <v>324</v>
      </c>
      <c r="H88" s="186"/>
      <c r="I88" s="186"/>
      <c r="J88" s="186">
        <v>26</v>
      </c>
      <c r="K88" s="186" t="s">
        <v>682</v>
      </c>
      <c r="L88" s="186" t="s">
        <v>3404</v>
      </c>
      <c r="M88" s="186" t="s">
        <v>949</v>
      </c>
      <c r="N88" s="132" t="s">
        <v>3560</v>
      </c>
      <c r="O88" s="186" t="s">
        <v>3561</v>
      </c>
      <c r="P88" s="186" t="s">
        <v>3562</v>
      </c>
      <c r="Q88" s="186"/>
      <c r="R88" s="186"/>
      <c r="S88" s="120"/>
      <c r="T88" s="186" t="s">
        <v>3563</v>
      </c>
      <c r="X88" s="187">
        <v>20</v>
      </c>
      <c r="Y88" s="187"/>
      <c r="Z88" s="120" t="s">
        <v>3326</v>
      </c>
      <c r="AA88" s="131">
        <v>43509</v>
      </c>
      <c r="AB88" s="187" t="s">
        <v>1057</v>
      </c>
    </row>
    <row r="89" spans="1:28" ht="18.75" hidden="1" customHeight="1">
      <c r="A89" s="213"/>
      <c r="B89" s="213"/>
      <c r="C89" s="210"/>
      <c r="D89" s="297"/>
      <c r="E89" s="186" t="s">
        <v>55</v>
      </c>
      <c r="F89" s="186" t="s">
        <v>3564</v>
      </c>
      <c r="G89" s="186" t="s">
        <v>242</v>
      </c>
      <c r="H89" s="186"/>
      <c r="I89" s="186"/>
      <c r="J89" s="186">
        <v>68</v>
      </c>
      <c r="K89" s="186" t="s">
        <v>680</v>
      </c>
      <c r="L89" s="186"/>
      <c r="M89" s="186"/>
      <c r="N89" s="90"/>
      <c r="O89" s="90"/>
      <c r="P89" s="90"/>
      <c r="Q89" s="186"/>
      <c r="R89" s="186"/>
      <c r="S89" s="122"/>
      <c r="T89" s="186" t="s">
        <v>3537</v>
      </c>
      <c r="X89" s="187"/>
      <c r="Y89" s="187"/>
      <c r="Z89" s="187"/>
      <c r="AA89" s="367"/>
      <c r="AB89" s="187"/>
    </row>
    <row r="90" spans="1:28" ht="18.75" hidden="1" customHeight="1">
      <c r="A90" s="213"/>
      <c r="B90" s="213"/>
      <c r="C90" s="210"/>
      <c r="D90" s="297"/>
      <c r="E90" s="186" t="s">
        <v>55</v>
      </c>
      <c r="F90" s="186" t="s">
        <v>3565</v>
      </c>
      <c r="G90" s="186" t="s">
        <v>242</v>
      </c>
      <c r="H90" s="186"/>
      <c r="I90" s="186"/>
      <c r="J90" s="186">
        <v>69</v>
      </c>
      <c r="K90" s="186" t="s">
        <v>680</v>
      </c>
      <c r="L90" s="186"/>
      <c r="M90" s="186"/>
      <c r="N90" s="90"/>
      <c r="O90" s="90"/>
      <c r="P90" s="90"/>
      <c r="Q90" s="186"/>
      <c r="R90" s="186"/>
      <c r="S90" s="122"/>
      <c r="T90" s="186" t="s">
        <v>3537</v>
      </c>
      <c r="X90" s="187"/>
      <c r="Y90" s="187"/>
      <c r="Z90" s="187"/>
      <c r="AA90" s="367"/>
      <c r="AB90" s="187"/>
    </row>
    <row r="91" spans="1:28" ht="18.75" customHeight="1">
      <c r="A91" s="213"/>
      <c r="B91" s="213"/>
      <c r="C91" s="210"/>
      <c r="D91" s="297"/>
      <c r="E91" s="186" t="s">
        <v>59</v>
      </c>
      <c r="F91" s="186" t="s">
        <v>929</v>
      </c>
      <c r="G91" s="186" t="s">
        <v>930</v>
      </c>
      <c r="H91" s="186"/>
      <c r="I91" s="186"/>
      <c r="J91" s="186">
        <v>27</v>
      </c>
      <c r="K91" s="186" t="s">
        <v>682</v>
      </c>
      <c r="L91" s="186" t="s">
        <v>3404</v>
      </c>
      <c r="M91" s="186" t="s">
        <v>931</v>
      </c>
      <c r="N91" s="132" t="s">
        <v>3566</v>
      </c>
      <c r="O91" s="186" t="s">
        <v>3567</v>
      </c>
      <c r="P91" s="186" t="s">
        <v>3568</v>
      </c>
      <c r="Q91" s="186"/>
      <c r="R91" s="186"/>
      <c r="S91" s="120">
        <v>10530</v>
      </c>
      <c r="T91" s="186" t="s">
        <v>3399</v>
      </c>
      <c r="X91" s="187">
        <v>11</v>
      </c>
      <c r="Y91" s="187" t="s">
        <v>3569</v>
      </c>
      <c r="Z91" s="120" t="s">
        <v>3326</v>
      </c>
      <c r="AA91" s="131">
        <v>43509</v>
      </c>
      <c r="AB91" s="187" t="s">
        <v>1057</v>
      </c>
    </row>
  </sheetData>
  <autoFilter ref="A2:AB91" xr:uid="{00000000-0009-0000-0000-000014000000}">
    <filterColumn colId="10">
      <filters>
        <filter val="Y"/>
      </filters>
    </filterColumn>
    <sortState xmlns:xlrd2="http://schemas.microsoft.com/office/spreadsheetml/2017/richdata2" ref="A3:AB91">
      <sortCondition ref="F2:F91"/>
    </sortState>
  </autoFilter>
  <customSheetViews>
    <customSheetView guid="{5AED5CC6-BADE-4D41-B3E1-C21683AD65CD}" filter="1" showAutoFilter="1">
      <pageMargins left="0" right="0" top="0" bottom="0" header="0" footer="0"/>
      <autoFilter ref="A2:AB90" xr:uid="{43332D41-0AB3-4E4D-BF06-D8C3BEDC7A1F}"/>
      <extLst>
        <ext uri="GoogleSheetsCustomDataVersion1">
          <go:sheetsCustomData xmlns:go="http://customooxmlschemas.google.com/" filterViewId="491772450"/>
        </ext>
      </extLst>
    </customSheetView>
  </customSheetViews>
  <pageMargins left="0.7" right="0.7" top="0.75" bottom="0.75" header="0" footer="0"/>
  <pageSetup orientation="landscape"/>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filterMode="1">
    <tabColor rgb="FFFFFFFF"/>
    <outlinePr summaryBelow="0" summaryRight="0"/>
  </sheetPr>
  <dimension ref="A1:AB66"/>
  <sheetViews>
    <sheetView workbookViewId="0">
      <pane xSplit="2" ySplit="2" topLeftCell="E3" activePane="bottomRight" state="frozen"/>
      <selection pane="topRight" activeCell="C1" sqref="C1"/>
      <selection pane="bottomLeft" activeCell="A3" sqref="A3"/>
      <selection pane="bottomRight" activeCell="L4" sqref="L4"/>
    </sheetView>
  </sheetViews>
  <sheetFormatPr defaultColWidth="14.453125" defaultRowHeight="15" customHeight="1"/>
  <cols>
    <col min="1" max="3" width="0.1796875" hidden="1" customWidth="1"/>
    <col min="4" max="4" width="16.1796875" hidden="1" customWidth="1"/>
    <col min="5" max="5" width="14" customWidth="1"/>
    <col min="6" max="6" width="24.1796875" customWidth="1"/>
    <col min="7" max="7" width="20.7265625" customWidth="1"/>
    <col min="8" max="8" width="13.7265625" customWidth="1"/>
    <col min="9" max="9" width="10" customWidth="1"/>
    <col min="10" max="10" width="7.81640625" customWidth="1"/>
    <col min="11" max="11" width="9.26953125" customWidth="1"/>
    <col min="12" max="12" width="29.81640625" customWidth="1"/>
    <col min="13" max="13" width="34.54296875" customWidth="1"/>
    <col min="14" max="16" width="24.453125" customWidth="1"/>
    <col min="17" max="17" width="14.81640625" customWidth="1"/>
    <col min="18" max="18" width="11.1796875" customWidth="1"/>
    <col min="19" max="19" width="11.7265625" customWidth="1"/>
    <col min="20" max="20" width="32" customWidth="1"/>
    <col min="21" max="23" width="4.7265625" customWidth="1"/>
    <col min="24" max="24" width="6.26953125" customWidth="1"/>
    <col min="25" max="25" width="16.1796875" customWidth="1"/>
    <col min="26" max="26" width="38.7265625" customWidth="1"/>
    <col min="27" max="27" width="9.81640625" customWidth="1"/>
    <col min="28" max="28" width="48.7265625" customWidth="1"/>
  </cols>
  <sheetData>
    <row r="1" spans="1:28" ht="18.75" customHeight="1">
      <c r="A1" s="186"/>
      <c r="B1" s="186"/>
      <c r="C1" s="186"/>
      <c r="D1" s="119"/>
      <c r="E1" s="508" t="s">
        <v>3570</v>
      </c>
      <c r="F1" s="178"/>
      <c r="G1" s="186"/>
      <c r="H1" s="186"/>
      <c r="I1" s="186"/>
      <c r="J1" s="186"/>
      <c r="K1" s="207" t="s">
        <v>1038</v>
      </c>
      <c r="L1" s="207"/>
      <c r="M1" s="207"/>
      <c r="N1" s="207"/>
      <c r="O1" s="207"/>
      <c r="P1" s="207"/>
      <c r="Q1" s="207"/>
      <c r="R1" s="186"/>
      <c r="S1" s="186"/>
      <c r="T1" s="186"/>
      <c r="X1" s="56"/>
      <c r="Y1" s="56"/>
      <c r="Z1" s="252" t="s">
        <v>1039</v>
      </c>
      <c r="AA1" s="364"/>
      <c r="AB1" s="252"/>
    </row>
    <row r="2" spans="1:28" ht="18.75" customHeight="1">
      <c r="A2" s="208" t="s">
        <v>1040</v>
      </c>
      <c r="B2" s="208" t="s">
        <v>1041</v>
      </c>
      <c r="C2" s="208" t="s">
        <v>1042</v>
      </c>
      <c r="D2" s="295" t="s">
        <v>1043</v>
      </c>
      <c r="E2" s="208" t="s">
        <v>224</v>
      </c>
      <c r="F2" s="208" t="s">
        <v>225</v>
      </c>
      <c r="G2" s="208" t="s">
        <v>226</v>
      </c>
      <c r="H2" s="208" t="s">
        <v>1044</v>
      </c>
      <c r="I2" s="208" t="s">
        <v>227</v>
      </c>
      <c r="J2" s="208" t="s">
        <v>1045</v>
      </c>
      <c r="K2" s="207" t="s">
        <v>1046</v>
      </c>
      <c r="L2" s="207" t="s">
        <v>100</v>
      </c>
      <c r="M2" s="207" t="s">
        <v>101</v>
      </c>
      <c r="N2" s="207" t="s">
        <v>102</v>
      </c>
      <c r="O2" s="207" t="s">
        <v>103</v>
      </c>
      <c r="P2" s="207" t="s">
        <v>104</v>
      </c>
      <c r="Q2" s="207" t="s">
        <v>105</v>
      </c>
      <c r="R2" s="208" t="s">
        <v>111</v>
      </c>
      <c r="S2" s="208" t="s">
        <v>112</v>
      </c>
      <c r="T2" s="208" t="s">
        <v>113</v>
      </c>
      <c r="U2" s="208"/>
      <c r="V2" s="296"/>
      <c r="W2" s="296"/>
      <c r="X2" s="226" t="s">
        <v>1049</v>
      </c>
      <c r="Y2" s="226" t="s">
        <v>1050</v>
      </c>
      <c r="Z2" s="226" t="s">
        <v>237</v>
      </c>
      <c r="AA2" s="366" t="s">
        <v>1</v>
      </c>
      <c r="AB2" s="226" t="s">
        <v>238</v>
      </c>
    </row>
    <row r="3" spans="1:28" ht="18.75" customHeight="1">
      <c r="A3" s="213"/>
      <c r="B3" s="213"/>
      <c r="C3" s="210"/>
      <c r="D3" s="297"/>
      <c r="E3" s="186" t="s">
        <v>61</v>
      </c>
      <c r="F3" s="186" t="s">
        <v>173</v>
      </c>
      <c r="G3" s="186"/>
      <c r="H3" s="186"/>
      <c r="I3" s="186"/>
      <c r="J3" s="186"/>
      <c r="K3" s="186" t="s">
        <v>682</v>
      </c>
      <c r="L3" s="186" t="s">
        <v>3571</v>
      </c>
      <c r="M3" s="186" t="s">
        <v>908</v>
      </c>
      <c r="N3" s="90" t="s">
        <v>3321</v>
      </c>
      <c r="O3" s="90" t="s">
        <v>3572</v>
      </c>
      <c r="P3" s="90" t="s">
        <v>3452</v>
      </c>
      <c r="Q3" s="186"/>
      <c r="R3" s="186"/>
      <c r="S3" s="186"/>
      <c r="T3" s="186" t="s">
        <v>3573</v>
      </c>
      <c r="X3" s="187">
        <v>1</v>
      </c>
      <c r="Y3" s="187"/>
      <c r="Z3" s="120" t="s">
        <v>3326</v>
      </c>
      <c r="AA3" s="131">
        <v>43509</v>
      </c>
      <c r="AB3" s="187" t="s">
        <v>1057</v>
      </c>
    </row>
    <row r="4" spans="1:28" ht="18.75" customHeight="1">
      <c r="A4" s="213"/>
      <c r="B4" s="213"/>
      <c r="C4" s="210"/>
      <c r="D4" s="297"/>
      <c r="E4" s="186" t="s">
        <v>61</v>
      </c>
      <c r="F4" s="186" t="s">
        <v>118</v>
      </c>
      <c r="G4" s="186"/>
      <c r="H4" s="186"/>
      <c r="I4" s="186"/>
      <c r="J4" s="186"/>
      <c r="K4" s="186" t="s">
        <v>682</v>
      </c>
      <c r="L4" s="186" t="s">
        <v>3571</v>
      </c>
      <c r="M4" s="186" t="s">
        <v>961</v>
      </c>
      <c r="N4" s="90" t="s">
        <v>3566</v>
      </c>
      <c r="O4" s="90" t="s">
        <v>3574</v>
      </c>
      <c r="P4" s="90" t="s">
        <v>3575</v>
      </c>
      <c r="Q4" s="186"/>
      <c r="R4" s="186"/>
      <c r="S4" s="186"/>
      <c r="T4" s="186" t="s">
        <v>3576</v>
      </c>
      <c r="X4" s="187">
        <v>2</v>
      </c>
      <c r="Y4" s="187"/>
      <c r="Z4" s="120" t="s">
        <v>3326</v>
      </c>
      <c r="AA4" s="131">
        <v>43509</v>
      </c>
      <c r="AB4" s="187" t="s">
        <v>1057</v>
      </c>
    </row>
    <row r="5" spans="1:28" ht="18.75" customHeight="1">
      <c r="A5" s="213"/>
      <c r="B5" s="213"/>
      <c r="C5" s="210"/>
      <c r="D5" s="297"/>
      <c r="E5" s="186" t="s">
        <v>53</v>
      </c>
      <c r="F5" s="186" t="s">
        <v>124</v>
      </c>
      <c r="G5" s="186" t="s">
        <v>535</v>
      </c>
      <c r="H5" s="186"/>
      <c r="I5" s="186"/>
      <c r="J5" s="186"/>
      <c r="K5" s="186" t="s">
        <v>680</v>
      </c>
      <c r="L5" s="186"/>
      <c r="M5" s="186"/>
      <c r="N5" s="90"/>
      <c r="O5" s="90"/>
      <c r="P5" s="90"/>
      <c r="Q5" s="186"/>
      <c r="R5" s="186"/>
      <c r="S5" s="186"/>
      <c r="T5" s="186" t="s">
        <v>1190</v>
      </c>
      <c r="X5" s="187"/>
      <c r="Y5" s="187"/>
      <c r="Z5" s="120"/>
      <c r="AA5" s="131"/>
      <c r="AB5" s="187"/>
    </row>
    <row r="6" spans="1:28" ht="18.75" customHeight="1">
      <c r="A6" s="213"/>
      <c r="B6" s="213"/>
      <c r="C6" s="210"/>
      <c r="D6" s="297"/>
      <c r="E6" s="186" t="s">
        <v>53</v>
      </c>
      <c r="F6" s="186" t="s">
        <v>1010</v>
      </c>
      <c r="G6" s="186" t="s">
        <v>535</v>
      </c>
      <c r="H6" s="186"/>
      <c r="I6" s="186"/>
      <c r="J6" s="186"/>
      <c r="K6" s="186" t="s">
        <v>680</v>
      </c>
      <c r="L6" s="186"/>
      <c r="M6" s="186"/>
      <c r="N6" s="90"/>
      <c r="O6" s="90"/>
      <c r="P6" s="90"/>
      <c r="Q6" s="186"/>
      <c r="R6" s="186"/>
      <c r="S6" s="186"/>
      <c r="T6" s="186" t="s">
        <v>1190</v>
      </c>
      <c r="X6" s="187"/>
      <c r="Y6" s="187"/>
      <c r="Z6" s="120"/>
      <c r="AA6" s="131"/>
      <c r="AB6" s="271"/>
    </row>
    <row r="7" spans="1:28" ht="18.75" customHeight="1">
      <c r="A7" s="213"/>
      <c r="B7" s="213"/>
      <c r="C7" s="210"/>
      <c r="D7" s="297"/>
      <c r="E7" s="186" t="s">
        <v>53</v>
      </c>
      <c r="F7" s="186" t="s">
        <v>1189</v>
      </c>
      <c r="G7" s="186" t="s">
        <v>249</v>
      </c>
      <c r="H7" s="186"/>
      <c r="I7" s="186"/>
      <c r="J7" s="186"/>
      <c r="K7" s="186" t="s">
        <v>680</v>
      </c>
      <c r="L7" s="186"/>
      <c r="M7" s="186"/>
      <c r="N7" s="90"/>
      <c r="O7" s="90"/>
      <c r="P7" s="90"/>
      <c r="Q7" s="186"/>
      <c r="R7" s="186"/>
      <c r="S7" s="186"/>
      <c r="T7" s="186" t="s">
        <v>1190</v>
      </c>
      <c r="X7" s="187"/>
      <c r="Y7" s="187"/>
      <c r="Z7" s="120"/>
      <c r="AA7" s="131"/>
      <c r="AB7" s="187"/>
    </row>
    <row r="8" spans="1:28" ht="18.75" customHeight="1">
      <c r="A8" s="213"/>
      <c r="B8" s="213"/>
      <c r="C8" s="210"/>
      <c r="D8" s="297"/>
      <c r="E8" s="186" t="s">
        <v>53</v>
      </c>
      <c r="F8" s="186" t="s">
        <v>1191</v>
      </c>
      <c r="G8" s="186" t="s">
        <v>252</v>
      </c>
      <c r="H8" s="186"/>
      <c r="I8" s="186"/>
      <c r="J8" s="186"/>
      <c r="K8" s="186" t="s">
        <v>680</v>
      </c>
      <c r="L8" s="186"/>
      <c r="M8" s="186"/>
      <c r="N8" s="90"/>
      <c r="O8" s="90"/>
      <c r="P8" s="90"/>
      <c r="Q8" s="186"/>
      <c r="R8" s="186"/>
      <c r="S8" s="186"/>
      <c r="T8" s="186" t="s">
        <v>1190</v>
      </c>
      <c r="X8" s="187"/>
      <c r="Y8" s="187"/>
      <c r="Z8" s="120"/>
      <c r="AA8" s="131"/>
      <c r="AB8" s="271"/>
    </row>
    <row r="9" spans="1:28" ht="18.75" customHeight="1">
      <c r="A9" s="213"/>
      <c r="B9" s="213"/>
      <c r="C9" s="210"/>
      <c r="D9" s="297"/>
      <c r="E9" s="186" t="s">
        <v>53</v>
      </c>
      <c r="F9" s="186" t="s">
        <v>1192</v>
      </c>
      <c r="G9" s="186" t="s">
        <v>242</v>
      </c>
      <c r="H9" s="186"/>
      <c r="I9" s="186"/>
      <c r="J9" s="186"/>
      <c r="K9" s="186" t="s">
        <v>680</v>
      </c>
      <c r="L9" s="186"/>
      <c r="M9" s="186"/>
      <c r="N9" s="90"/>
      <c r="O9" s="90"/>
      <c r="P9" s="90"/>
      <c r="Q9" s="186"/>
      <c r="R9" s="186"/>
      <c r="S9" s="186"/>
      <c r="T9" s="186" t="s">
        <v>1190</v>
      </c>
      <c r="X9" s="187"/>
      <c r="Y9" s="187"/>
      <c r="Z9" s="120"/>
      <c r="AA9" s="131"/>
      <c r="AB9" s="271"/>
    </row>
    <row r="10" spans="1:28" ht="18.75" customHeight="1">
      <c r="A10" s="213"/>
      <c r="B10" s="213"/>
      <c r="C10" s="210"/>
      <c r="D10" s="297"/>
      <c r="E10" s="186" t="s">
        <v>53</v>
      </c>
      <c r="F10" s="186" t="s">
        <v>1193</v>
      </c>
      <c r="G10" s="186" t="s">
        <v>247</v>
      </c>
      <c r="H10" s="186"/>
      <c r="I10" s="186"/>
      <c r="J10" s="186"/>
      <c r="K10" s="186" t="s">
        <v>680</v>
      </c>
      <c r="L10" s="186"/>
      <c r="M10" s="186"/>
      <c r="N10" s="90"/>
      <c r="O10" s="90"/>
      <c r="P10" s="90"/>
      <c r="Q10" s="186"/>
      <c r="R10" s="186"/>
      <c r="S10" s="186"/>
      <c r="T10" s="186" t="s">
        <v>1190</v>
      </c>
      <c r="X10" s="187"/>
      <c r="Y10" s="187"/>
      <c r="Z10" s="120"/>
      <c r="AA10" s="131"/>
      <c r="AB10" s="187"/>
    </row>
    <row r="11" spans="1:28" ht="18.75" customHeight="1">
      <c r="A11" s="213"/>
      <c r="B11" s="213"/>
      <c r="C11" s="210"/>
      <c r="D11" s="297"/>
      <c r="E11" s="186" t="s">
        <v>53</v>
      </c>
      <c r="F11" s="186" t="s">
        <v>1194</v>
      </c>
      <c r="G11" s="186" t="s">
        <v>252</v>
      </c>
      <c r="H11" s="186"/>
      <c r="I11" s="186"/>
      <c r="J11" s="186"/>
      <c r="K11" s="186" t="s">
        <v>680</v>
      </c>
      <c r="L11" s="186"/>
      <c r="M11" s="186"/>
      <c r="N11" s="90"/>
      <c r="O11" s="90"/>
      <c r="P11" s="90"/>
      <c r="Q11" s="186"/>
      <c r="R11" s="186"/>
      <c r="S11" s="186"/>
      <c r="T11" s="186" t="s">
        <v>1190</v>
      </c>
      <c r="X11" s="187"/>
      <c r="Y11" s="187"/>
      <c r="Z11" s="120"/>
      <c r="AA11" s="131"/>
      <c r="AB11" s="187"/>
    </row>
    <row r="12" spans="1:28" ht="18.75" customHeight="1">
      <c r="A12" s="213"/>
      <c r="B12" s="213"/>
      <c r="C12" s="210"/>
      <c r="D12" s="297"/>
      <c r="E12" s="186" t="s">
        <v>53</v>
      </c>
      <c r="F12" s="186" t="s">
        <v>1195</v>
      </c>
      <c r="G12" s="186" t="s">
        <v>247</v>
      </c>
      <c r="H12" s="186"/>
      <c r="I12" s="186"/>
      <c r="J12" s="186"/>
      <c r="K12" s="186" t="s">
        <v>680</v>
      </c>
      <c r="L12" s="186"/>
      <c r="M12" s="186"/>
      <c r="N12" s="90"/>
      <c r="O12" s="90"/>
      <c r="P12" s="90"/>
      <c r="Q12" s="186"/>
      <c r="R12" s="186"/>
      <c r="S12" s="186"/>
      <c r="T12" s="186" t="s">
        <v>1190</v>
      </c>
      <c r="X12" s="187"/>
      <c r="Y12" s="187"/>
      <c r="Z12" s="120"/>
      <c r="AA12" s="131"/>
      <c r="AB12" s="187"/>
    </row>
    <row r="13" spans="1:28" ht="18.75" customHeight="1">
      <c r="A13" s="213"/>
      <c r="B13" s="213"/>
      <c r="C13" s="210"/>
      <c r="D13" s="297"/>
      <c r="E13" s="186" t="s">
        <v>53</v>
      </c>
      <c r="F13" s="186" t="s">
        <v>1196</v>
      </c>
      <c r="G13" s="186" t="s">
        <v>535</v>
      </c>
      <c r="H13" s="186"/>
      <c r="I13" s="186"/>
      <c r="J13" s="186"/>
      <c r="K13" s="186" t="s">
        <v>680</v>
      </c>
      <c r="L13" s="186"/>
      <c r="M13" s="186"/>
      <c r="N13" s="90"/>
      <c r="O13" s="90"/>
      <c r="P13" s="90"/>
      <c r="Q13" s="186"/>
      <c r="R13" s="186"/>
      <c r="S13" s="186"/>
      <c r="T13" s="186" t="s">
        <v>1190</v>
      </c>
      <c r="X13" s="187"/>
      <c r="Y13" s="187"/>
      <c r="Z13" s="120"/>
      <c r="AA13" s="131"/>
      <c r="AB13" s="271"/>
    </row>
    <row r="14" spans="1:28" ht="18.75" customHeight="1">
      <c r="A14" s="213"/>
      <c r="B14" s="213"/>
      <c r="C14" s="210"/>
      <c r="D14" s="297"/>
      <c r="E14" s="186" t="s">
        <v>53</v>
      </c>
      <c r="F14" s="186" t="s">
        <v>1894</v>
      </c>
      <c r="G14" s="186" t="s">
        <v>535</v>
      </c>
      <c r="H14" s="186"/>
      <c r="I14" s="186"/>
      <c r="J14" s="186"/>
      <c r="K14" s="186" t="s">
        <v>680</v>
      </c>
      <c r="L14" s="186"/>
      <c r="M14" s="186"/>
      <c r="N14" s="90"/>
      <c r="O14" s="90"/>
      <c r="P14" s="90"/>
      <c r="Q14" s="186"/>
      <c r="R14" s="186"/>
      <c r="S14" s="186"/>
      <c r="T14" s="186" t="s">
        <v>1190</v>
      </c>
      <c r="X14" s="187"/>
      <c r="Y14" s="187"/>
      <c r="Z14" s="34"/>
      <c r="AA14" s="367"/>
      <c r="AB14" s="187"/>
    </row>
    <row r="15" spans="1:28" ht="18.75" customHeight="1">
      <c r="A15" s="213"/>
      <c r="B15" s="213"/>
      <c r="C15" s="210"/>
      <c r="D15" s="297"/>
      <c r="E15" s="186" t="s">
        <v>53</v>
      </c>
      <c r="F15" s="186" t="s">
        <v>1290</v>
      </c>
      <c r="G15" s="186" t="s">
        <v>432</v>
      </c>
      <c r="H15" s="186"/>
      <c r="I15" s="186"/>
      <c r="J15" s="186"/>
      <c r="K15" s="186" t="s">
        <v>680</v>
      </c>
      <c r="L15" s="186"/>
      <c r="M15" s="186"/>
      <c r="N15" s="90"/>
      <c r="O15" s="90"/>
      <c r="P15" s="90"/>
      <c r="Q15" s="186"/>
      <c r="R15" s="186"/>
      <c r="S15" s="186"/>
      <c r="T15" s="186" t="s">
        <v>1190</v>
      </c>
      <c r="X15" s="187"/>
      <c r="Y15" s="187"/>
      <c r="Z15" s="120"/>
      <c r="AA15" s="131"/>
      <c r="AB15" s="271"/>
    </row>
    <row r="16" spans="1:28" ht="18.75" customHeight="1">
      <c r="A16" s="213"/>
      <c r="B16" s="213"/>
      <c r="C16" s="210"/>
      <c r="D16" s="297"/>
      <c r="E16" s="186" t="s">
        <v>53</v>
      </c>
      <c r="F16" s="186" t="s">
        <v>1291</v>
      </c>
      <c r="G16" s="186" t="s">
        <v>247</v>
      </c>
      <c r="H16" s="186"/>
      <c r="I16" s="186"/>
      <c r="J16" s="186"/>
      <c r="K16" s="186" t="s">
        <v>680</v>
      </c>
      <c r="L16" s="186"/>
      <c r="M16" s="186"/>
      <c r="N16" s="90"/>
      <c r="O16" s="90"/>
      <c r="P16" s="90"/>
      <c r="Q16" s="186"/>
      <c r="R16" s="186"/>
      <c r="S16" s="186"/>
      <c r="T16" s="186" t="s">
        <v>1190</v>
      </c>
      <c r="X16" s="187"/>
      <c r="Y16" s="187"/>
      <c r="Z16" s="34"/>
      <c r="AA16" s="367"/>
      <c r="AB16" s="187"/>
    </row>
    <row r="17" spans="1:28" ht="18.75" customHeight="1">
      <c r="A17" s="213"/>
      <c r="B17" s="213"/>
      <c r="C17" s="210"/>
      <c r="D17" s="297"/>
      <c r="E17" s="186" t="s">
        <v>53</v>
      </c>
      <c r="F17" s="186" t="s">
        <v>1292</v>
      </c>
      <c r="G17" s="186" t="s">
        <v>535</v>
      </c>
      <c r="H17" s="186"/>
      <c r="I17" s="186"/>
      <c r="J17" s="186"/>
      <c r="K17" s="186" t="s">
        <v>680</v>
      </c>
      <c r="L17" s="186"/>
      <c r="M17" s="186"/>
      <c r="N17" s="90"/>
      <c r="O17" s="90"/>
      <c r="P17" s="90"/>
      <c r="Q17" s="186"/>
      <c r="R17" s="186"/>
      <c r="S17" s="186"/>
      <c r="T17" s="186" t="s">
        <v>1190</v>
      </c>
      <c r="X17" s="187"/>
      <c r="Z17" s="120"/>
      <c r="AA17" s="131"/>
      <c r="AB17" s="187"/>
    </row>
    <row r="18" spans="1:28" ht="18.75" customHeight="1">
      <c r="A18" s="213"/>
      <c r="B18" s="213"/>
      <c r="C18" s="210"/>
      <c r="D18" s="297"/>
      <c r="E18" s="186" t="s">
        <v>53</v>
      </c>
      <c r="F18" s="186" t="s">
        <v>1289</v>
      </c>
      <c r="G18" s="186" t="s">
        <v>324</v>
      </c>
      <c r="H18" s="186"/>
      <c r="I18" s="186"/>
      <c r="J18" s="186"/>
      <c r="K18" s="186" t="s">
        <v>680</v>
      </c>
      <c r="L18" s="186"/>
      <c r="M18" s="186"/>
      <c r="N18" s="90"/>
      <c r="O18" s="90"/>
      <c r="P18" s="90"/>
      <c r="Q18" s="186"/>
      <c r="R18" s="186"/>
      <c r="S18" s="186"/>
      <c r="T18" s="186" t="s">
        <v>1190</v>
      </c>
      <c r="X18" s="187"/>
      <c r="Y18" s="187"/>
      <c r="Z18" s="120"/>
      <c r="AA18" s="131"/>
      <c r="AB18" s="187"/>
    </row>
    <row r="19" spans="1:28" ht="18.75" customHeight="1">
      <c r="A19" s="213"/>
      <c r="B19" s="213"/>
      <c r="C19" s="210"/>
      <c r="D19" s="297"/>
      <c r="E19" s="186" t="s">
        <v>53</v>
      </c>
      <c r="F19" s="186" t="s">
        <v>1293</v>
      </c>
      <c r="G19" s="186" t="s">
        <v>432</v>
      </c>
      <c r="H19" s="186"/>
      <c r="I19" s="186"/>
      <c r="J19" s="186"/>
      <c r="K19" s="186" t="s">
        <v>680</v>
      </c>
      <c r="L19" s="186"/>
      <c r="M19" s="186"/>
      <c r="N19" s="90"/>
      <c r="O19" s="90"/>
      <c r="P19" s="90"/>
      <c r="Q19" s="186"/>
      <c r="R19" s="186"/>
      <c r="S19" s="186"/>
      <c r="T19" s="186" t="s">
        <v>1190</v>
      </c>
      <c r="X19" s="187"/>
      <c r="Z19" s="120"/>
      <c r="AA19" s="131"/>
      <c r="AB19" s="187"/>
    </row>
    <row r="20" spans="1:28" ht="18.75" customHeight="1">
      <c r="A20" s="213"/>
      <c r="B20" s="213"/>
      <c r="C20" s="210"/>
      <c r="D20" s="297"/>
      <c r="E20" s="186" t="s">
        <v>53</v>
      </c>
      <c r="F20" s="186" t="s">
        <v>123</v>
      </c>
      <c r="G20" s="186" t="s">
        <v>535</v>
      </c>
      <c r="H20" s="186"/>
      <c r="I20" s="186"/>
      <c r="J20" s="186"/>
      <c r="K20" s="186" t="s">
        <v>680</v>
      </c>
      <c r="L20" s="186"/>
      <c r="M20" s="186"/>
      <c r="N20" s="90"/>
      <c r="O20" s="90"/>
      <c r="P20" s="90"/>
      <c r="Q20" s="186"/>
      <c r="R20" s="186"/>
      <c r="S20" s="186"/>
      <c r="T20" s="186" t="s">
        <v>1190</v>
      </c>
      <c r="X20" s="187"/>
      <c r="Y20" s="187"/>
      <c r="Z20" s="120"/>
      <c r="AA20" s="131"/>
      <c r="AB20" s="187"/>
    </row>
    <row r="21" spans="1:28" ht="18.75" customHeight="1">
      <c r="A21" s="213"/>
      <c r="B21" s="213"/>
      <c r="C21" s="210"/>
      <c r="D21" s="297"/>
      <c r="E21" s="186" t="s">
        <v>53</v>
      </c>
      <c r="F21" s="186" t="s">
        <v>1288</v>
      </c>
      <c r="G21" s="186" t="s">
        <v>535</v>
      </c>
      <c r="H21" s="186"/>
      <c r="I21" s="186"/>
      <c r="J21" s="186"/>
      <c r="K21" s="186" t="s">
        <v>680</v>
      </c>
      <c r="L21" s="186"/>
      <c r="M21" s="186"/>
      <c r="N21" s="90"/>
      <c r="O21" s="90"/>
      <c r="P21" s="90"/>
      <c r="Q21" s="186"/>
      <c r="R21" s="186"/>
      <c r="S21" s="186"/>
      <c r="T21" s="186" t="s">
        <v>1190</v>
      </c>
      <c r="X21" s="187"/>
      <c r="Y21" s="187"/>
      <c r="Z21" s="120"/>
      <c r="AA21" s="131"/>
      <c r="AB21" s="187"/>
    </row>
    <row r="22" spans="1:28" ht="18.75" customHeight="1">
      <c r="A22" s="213"/>
      <c r="B22" s="213"/>
      <c r="C22" s="210"/>
      <c r="D22" s="297"/>
      <c r="E22" s="186" t="s">
        <v>63</v>
      </c>
      <c r="F22" s="186" t="s">
        <v>122</v>
      </c>
      <c r="G22" s="186"/>
      <c r="H22" s="186"/>
      <c r="I22" s="186"/>
      <c r="J22" s="186"/>
      <c r="K22" s="186" t="s">
        <v>680</v>
      </c>
      <c r="L22" s="186"/>
      <c r="M22" s="186"/>
      <c r="N22" s="90"/>
      <c r="O22" s="90"/>
      <c r="P22" s="90"/>
      <c r="Q22" s="186"/>
      <c r="R22" s="186"/>
      <c r="S22" s="186"/>
      <c r="T22" s="186" t="s">
        <v>1190</v>
      </c>
      <c r="X22" s="187"/>
      <c r="Y22" s="187"/>
      <c r="Z22" s="120"/>
      <c r="AA22" s="131"/>
      <c r="AB22" s="271"/>
    </row>
    <row r="66" spans="25:25" ht="15" customHeight="1">
      <c r="Y66" s="187" t="s">
        <v>3552</v>
      </c>
    </row>
  </sheetData>
  <autoFilter ref="A2:AB22" xr:uid="{00000000-0009-0000-0000-000015000000}">
    <filterColumn colId="10">
      <filters>
        <filter val="Y"/>
      </filters>
    </filterColumn>
  </autoFilter>
  <pageMargins left="0.7" right="0.7" top="0.75" bottom="0.75" header="0" footer="0"/>
  <pageSetup orientation="landscape"/>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filterMode="1">
    <outlinePr summaryBelow="0" summaryRight="0"/>
  </sheetPr>
  <dimension ref="A1:AE66"/>
  <sheetViews>
    <sheetView workbookViewId="0">
      <pane xSplit="2" topLeftCell="E1" activePane="topRight" state="frozen"/>
      <selection pane="topRight" activeCell="F62" sqref="F62"/>
    </sheetView>
  </sheetViews>
  <sheetFormatPr defaultColWidth="14.453125" defaultRowHeight="15" customHeight="1"/>
  <cols>
    <col min="1" max="4" width="17.26953125" hidden="1" customWidth="1"/>
    <col min="5" max="5" width="17.26953125" customWidth="1"/>
    <col min="6" max="6" width="31.453125" customWidth="1"/>
    <col min="7" max="7" width="24" customWidth="1"/>
    <col min="8" max="8" width="9.453125" customWidth="1"/>
    <col min="9" max="9" width="12.26953125" customWidth="1"/>
    <col min="10" max="10" width="7.7265625" customWidth="1"/>
    <col min="11" max="11" width="17.26953125" customWidth="1"/>
    <col min="12" max="12" width="38.81640625" customWidth="1"/>
    <col min="13" max="13" width="57" customWidth="1"/>
    <col min="14" max="14" width="17.26953125" customWidth="1"/>
    <col min="15" max="15" width="7.453125" customWidth="1"/>
    <col min="16" max="17" width="17.26953125" customWidth="1"/>
    <col min="18" max="18" width="7.453125" customWidth="1"/>
    <col min="19" max="20" width="17.26953125" customWidth="1"/>
    <col min="21" max="23" width="7.26953125" customWidth="1"/>
    <col min="24" max="24" width="6.26953125" customWidth="1"/>
    <col min="25" max="25" width="16.1796875" customWidth="1"/>
    <col min="26" max="26" width="38.7265625" customWidth="1"/>
    <col min="27" max="27" width="9.1796875" customWidth="1"/>
    <col min="28" max="28" width="48.7265625" customWidth="1"/>
    <col min="29" max="31" width="17.26953125" customWidth="1"/>
  </cols>
  <sheetData>
    <row r="1" spans="5:31" ht="15" customHeight="1">
      <c r="E1" s="374" t="s">
        <v>3009</v>
      </c>
      <c r="F1" s="375"/>
      <c r="G1" s="375"/>
      <c r="H1" s="375"/>
      <c r="I1" s="375"/>
      <c r="J1" s="375"/>
      <c r="K1" s="207" t="s">
        <v>1038</v>
      </c>
      <c r="L1" s="285"/>
      <c r="M1" s="282"/>
      <c r="N1" s="207"/>
      <c r="O1" s="207"/>
      <c r="P1" s="207"/>
      <c r="Q1" s="207"/>
      <c r="R1" s="375"/>
      <c r="S1" s="375"/>
      <c r="T1" s="375"/>
      <c r="U1" s="441"/>
      <c r="V1" s="441"/>
      <c r="W1" s="441"/>
      <c r="X1" s="56"/>
      <c r="Y1" s="56"/>
      <c r="Z1" s="252" t="s">
        <v>1039</v>
      </c>
      <c r="AA1" s="364"/>
      <c r="AB1" s="252"/>
      <c r="AC1" s="441"/>
      <c r="AD1" s="441"/>
      <c r="AE1" s="441"/>
    </row>
    <row r="2" spans="5:31" ht="15" customHeight="1">
      <c r="E2" s="135" t="s">
        <v>224</v>
      </c>
      <c r="F2" s="135" t="s">
        <v>225</v>
      </c>
      <c r="G2" s="135" t="s">
        <v>226</v>
      </c>
      <c r="H2" s="135" t="s">
        <v>227</v>
      </c>
      <c r="I2" s="135" t="s">
        <v>1044</v>
      </c>
      <c r="J2" s="135" t="s">
        <v>1045</v>
      </c>
      <c r="K2" s="207" t="s">
        <v>1046</v>
      </c>
      <c r="L2" s="285" t="s">
        <v>100</v>
      </c>
      <c r="M2" s="282" t="s">
        <v>101</v>
      </c>
      <c r="N2" s="207" t="s">
        <v>102</v>
      </c>
      <c r="O2" s="207" t="s">
        <v>103</v>
      </c>
      <c r="P2" s="207" t="s">
        <v>104</v>
      </c>
      <c r="Q2" s="207" t="s">
        <v>105</v>
      </c>
      <c r="R2" s="135" t="s">
        <v>111</v>
      </c>
      <c r="S2" s="135" t="s">
        <v>112</v>
      </c>
      <c r="T2" s="136" t="s">
        <v>113</v>
      </c>
      <c r="U2" s="136"/>
      <c r="V2" s="358"/>
      <c r="W2" s="358"/>
      <c r="X2" s="226" t="s">
        <v>1049</v>
      </c>
      <c r="Y2" s="226" t="s">
        <v>1050</v>
      </c>
      <c r="Z2" s="226" t="s">
        <v>237</v>
      </c>
      <c r="AA2" s="366" t="s">
        <v>1</v>
      </c>
      <c r="AB2" s="226" t="s">
        <v>238</v>
      </c>
      <c r="AC2" s="441"/>
      <c r="AD2" s="441"/>
      <c r="AE2" s="441"/>
    </row>
    <row r="3" spans="5:31" ht="25">
      <c r="E3" s="459" t="s">
        <v>55</v>
      </c>
      <c r="F3" s="459" t="s">
        <v>921</v>
      </c>
      <c r="G3" s="459" t="s">
        <v>925</v>
      </c>
      <c r="H3" s="459" t="s">
        <v>243</v>
      </c>
      <c r="I3" s="459"/>
      <c r="J3" s="139">
        <v>2</v>
      </c>
      <c r="K3" s="139" t="s">
        <v>682</v>
      </c>
      <c r="L3" s="460" t="s">
        <v>3577</v>
      </c>
      <c r="M3" s="140" t="s">
        <v>970</v>
      </c>
      <c r="N3" s="139"/>
      <c r="O3" s="459"/>
      <c r="P3" s="459"/>
      <c r="Q3" s="459"/>
      <c r="R3" s="459"/>
      <c r="S3" s="459"/>
      <c r="T3" s="130" t="s">
        <v>3578</v>
      </c>
      <c r="U3" s="441"/>
      <c r="V3" s="441"/>
      <c r="W3" s="441"/>
      <c r="X3" s="187">
        <v>6</v>
      </c>
      <c r="Y3" s="120"/>
      <c r="Z3" s="120" t="s">
        <v>3579</v>
      </c>
      <c r="AA3" s="131">
        <v>43472</v>
      </c>
      <c r="AB3" s="187" t="s">
        <v>1057</v>
      </c>
      <c r="AC3" s="441"/>
      <c r="AD3" s="441"/>
      <c r="AE3" s="441"/>
    </row>
    <row r="4" spans="5:31" ht="25">
      <c r="E4" s="459" t="s">
        <v>55</v>
      </c>
      <c r="F4" s="459" t="s">
        <v>971</v>
      </c>
      <c r="G4" s="459" t="s">
        <v>925</v>
      </c>
      <c r="H4" s="459" t="s">
        <v>243</v>
      </c>
      <c r="I4" s="459"/>
      <c r="J4" s="139">
        <v>3</v>
      </c>
      <c r="K4" s="139" t="s">
        <v>682</v>
      </c>
      <c r="L4" s="460" t="s">
        <v>3577</v>
      </c>
      <c r="M4" s="140" t="s">
        <v>972</v>
      </c>
      <c r="N4" s="139"/>
      <c r="O4" s="459"/>
      <c r="P4" s="459"/>
      <c r="Q4" s="459"/>
      <c r="R4" s="459"/>
      <c r="S4" s="459"/>
      <c r="T4" s="130" t="s">
        <v>3580</v>
      </c>
      <c r="U4" s="441"/>
      <c r="V4" s="441"/>
      <c r="W4" s="441"/>
      <c r="X4" s="187">
        <v>7</v>
      </c>
      <c r="Y4" s="120"/>
      <c r="Z4" s="120" t="s">
        <v>3579</v>
      </c>
      <c r="AA4" s="131">
        <v>43472</v>
      </c>
      <c r="AB4" s="187" t="s">
        <v>1057</v>
      </c>
      <c r="AC4" s="441"/>
      <c r="AD4" s="441"/>
      <c r="AE4" s="441"/>
    </row>
    <row r="5" spans="5:31" ht="12.5" hidden="1">
      <c r="E5" s="459" t="s">
        <v>55</v>
      </c>
      <c r="F5" s="459" t="s">
        <v>3581</v>
      </c>
      <c r="G5" s="459" t="s">
        <v>242</v>
      </c>
      <c r="H5" s="459" t="s">
        <v>243</v>
      </c>
      <c r="I5" s="459"/>
      <c r="J5" s="139">
        <v>61</v>
      </c>
      <c r="K5" s="139" t="s">
        <v>680</v>
      </c>
      <c r="L5" s="139"/>
      <c r="M5" s="140"/>
      <c r="N5" s="139"/>
      <c r="O5" s="459"/>
      <c r="P5" s="459"/>
      <c r="Q5" s="459"/>
      <c r="R5" s="459"/>
      <c r="S5" s="459"/>
      <c r="T5" s="130" t="s">
        <v>3582</v>
      </c>
      <c r="U5" s="441"/>
      <c r="V5" s="441"/>
      <c r="W5" s="441"/>
      <c r="X5" s="187"/>
      <c r="Y5" s="187"/>
      <c r="Z5" s="120"/>
      <c r="AA5" s="131"/>
      <c r="AB5" s="187"/>
      <c r="AC5" s="441"/>
      <c r="AD5" s="441"/>
      <c r="AE5" s="441"/>
    </row>
    <row r="6" spans="5:31" ht="12.5" hidden="1">
      <c r="E6" s="459" t="s">
        <v>55</v>
      </c>
      <c r="F6" s="459" t="s">
        <v>3583</v>
      </c>
      <c r="G6" s="459" t="s">
        <v>242</v>
      </c>
      <c r="H6" s="459" t="s">
        <v>243</v>
      </c>
      <c r="I6" s="459"/>
      <c r="J6" s="139">
        <v>62</v>
      </c>
      <c r="K6" s="139" t="s">
        <v>680</v>
      </c>
      <c r="L6" s="139"/>
      <c r="M6" s="140"/>
      <c r="N6" s="139"/>
      <c r="O6" s="459"/>
      <c r="P6" s="459"/>
      <c r="Q6" s="459"/>
      <c r="R6" s="459"/>
      <c r="S6" s="459"/>
      <c r="T6" s="130" t="s">
        <v>3584</v>
      </c>
      <c r="U6" s="441"/>
      <c r="V6" s="441"/>
      <c r="W6" s="441"/>
      <c r="X6" s="187"/>
      <c r="Y6" s="187"/>
      <c r="Z6" s="120"/>
      <c r="AA6" s="131"/>
      <c r="AB6" s="271"/>
      <c r="AC6" s="441"/>
      <c r="AD6" s="441"/>
      <c r="AE6" s="441"/>
    </row>
    <row r="7" spans="5:31" ht="25">
      <c r="E7" s="459" t="s">
        <v>55</v>
      </c>
      <c r="F7" s="459" t="s">
        <v>936</v>
      </c>
      <c r="G7" s="459" t="s">
        <v>264</v>
      </c>
      <c r="H7" s="459" t="s">
        <v>243</v>
      </c>
      <c r="I7" s="459"/>
      <c r="J7" s="139">
        <v>4</v>
      </c>
      <c r="K7" s="139" t="s">
        <v>682</v>
      </c>
      <c r="L7" s="460" t="s">
        <v>3577</v>
      </c>
      <c r="M7" s="140" t="s">
        <v>986</v>
      </c>
      <c r="N7" s="139"/>
      <c r="O7" s="459"/>
      <c r="P7" s="459"/>
      <c r="Q7" s="459"/>
      <c r="R7" s="459"/>
      <c r="S7" s="459"/>
      <c r="T7" s="130" t="s">
        <v>3585</v>
      </c>
      <c r="U7" s="441"/>
      <c r="V7" s="441"/>
      <c r="W7" s="441"/>
      <c r="X7" s="187">
        <v>15</v>
      </c>
      <c r="Y7" s="120"/>
      <c r="Z7" s="120" t="s">
        <v>3579</v>
      </c>
      <c r="AA7" s="131">
        <v>43472</v>
      </c>
      <c r="AB7" s="187" t="s">
        <v>1057</v>
      </c>
      <c r="AC7" s="441"/>
      <c r="AD7" s="441"/>
      <c r="AE7" s="441"/>
    </row>
    <row r="8" spans="5:31" ht="25">
      <c r="E8" s="459" t="s">
        <v>55</v>
      </c>
      <c r="F8" s="459" t="s">
        <v>987</v>
      </c>
      <c r="G8" s="459" t="s">
        <v>264</v>
      </c>
      <c r="H8" s="459" t="s">
        <v>243</v>
      </c>
      <c r="I8" s="459"/>
      <c r="J8" s="139">
        <v>5</v>
      </c>
      <c r="K8" s="139" t="s">
        <v>682</v>
      </c>
      <c r="L8" s="460" t="s">
        <v>3577</v>
      </c>
      <c r="M8" s="140" t="s">
        <v>988</v>
      </c>
      <c r="N8" s="139"/>
      <c r="O8" s="459"/>
      <c r="P8" s="459"/>
      <c r="Q8" s="459"/>
      <c r="R8" s="459"/>
      <c r="S8" s="459"/>
      <c r="T8" s="130" t="s">
        <v>3586</v>
      </c>
      <c r="U8" s="441"/>
      <c r="V8" s="441"/>
      <c r="W8" s="441"/>
      <c r="X8" s="187">
        <v>16</v>
      </c>
      <c r="Y8" s="120"/>
      <c r="Z8" s="120" t="s">
        <v>3579</v>
      </c>
      <c r="AA8" s="131">
        <v>43472</v>
      </c>
      <c r="AB8" s="187" t="s">
        <v>1057</v>
      </c>
      <c r="AC8" s="441"/>
      <c r="AD8" s="441"/>
      <c r="AE8" s="441"/>
    </row>
    <row r="9" spans="5:31" ht="30.75" customHeight="1">
      <c r="E9" s="459" t="s">
        <v>55</v>
      </c>
      <c r="F9" s="459" t="s">
        <v>989</v>
      </c>
      <c r="G9" s="459" t="s">
        <v>264</v>
      </c>
      <c r="H9" s="459" t="s">
        <v>243</v>
      </c>
      <c r="I9" s="459"/>
      <c r="J9" s="139">
        <v>6</v>
      </c>
      <c r="K9" s="139" t="s">
        <v>682</v>
      </c>
      <c r="L9" s="460" t="s">
        <v>3577</v>
      </c>
      <c r="M9" s="140" t="s">
        <v>990</v>
      </c>
      <c r="N9" s="139"/>
      <c r="O9" s="459"/>
      <c r="P9" s="459"/>
      <c r="Q9" s="459"/>
      <c r="R9" s="459"/>
      <c r="S9" s="459"/>
      <c r="T9" s="130" t="s">
        <v>3587</v>
      </c>
      <c r="U9" s="441"/>
      <c r="V9" s="441"/>
      <c r="W9" s="441"/>
      <c r="X9" s="187">
        <v>17</v>
      </c>
      <c r="Y9" s="120"/>
      <c r="Z9" s="120" t="s">
        <v>3579</v>
      </c>
      <c r="AA9" s="131">
        <v>43472</v>
      </c>
      <c r="AB9" s="187" t="s">
        <v>1057</v>
      </c>
      <c r="AC9" s="441"/>
      <c r="AD9" s="441"/>
      <c r="AE9" s="441"/>
    </row>
    <row r="10" spans="5:31" ht="25">
      <c r="E10" s="459" t="s">
        <v>55</v>
      </c>
      <c r="F10" s="459" t="s">
        <v>997</v>
      </c>
      <c r="G10" s="459" t="s">
        <v>925</v>
      </c>
      <c r="H10" s="459" t="s">
        <v>243</v>
      </c>
      <c r="I10" s="459"/>
      <c r="J10" s="139">
        <v>7</v>
      </c>
      <c r="K10" s="139" t="s">
        <v>682</v>
      </c>
      <c r="L10" s="460" t="s">
        <v>3577</v>
      </c>
      <c r="M10" s="140" t="s">
        <v>998</v>
      </c>
      <c r="N10" s="139"/>
      <c r="O10" s="459"/>
      <c r="P10" s="459"/>
      <c r="Q10" s="459"/>
      <c r="R10" s="459"/>
      <c r="S10" s="459"/>
      <c r="T10" s="130" t="s">
        <v>3588</v>
      </c>
      <c r="U10" s="441"/>
      <c r="V10" s="441"/>
      <c r="W10" s="441"/>
      <c r="X10" s="187">
        <v>99</v>
      </c>
      <c r="Y10" s="187" t="s">
        <v>3589</v>
      </c>
      <c r="Z10" s="120" t="s">
        <v>3579</v>
      </c>
      <c r="AA10" s="131">
        <v>43472</v>
      </c>
      <c r="AB10" s="187" t="s">
        <v>1057</v>
      </c>
      <c r="AC10" s="441"/>
      <c r="AD10" s="441"/>
      <c r="AE10" s="441"/>
    </row>
    <row r="11" spans="5:31" ht="25">
      <c r="E11" s="459" t="s">
        <v>55</v>
      </c>
      <c r="F11" s="459" t="s">
        <v>999</v>
      </c>
      <c r="G11" s="459" t="s">
        <v>925</v>
      </c>
      <c r="H11" s="459" t="s">
        <v>243</v>
      </c>
      <c r="I11" s="459"/>
      <c r="J11" s="139">
        <v>8</v>
      </c>
      <c r="K11" s="139" t="s">
        <v>682</v>
      </c>
      <c r="L11" s="460" t="s">
        <v>3577</v>
      </c>
      <c r="M11" s="140" t="s">
        <v>1000</v>
      </c>
      <c r="N11" s="139"/>
      <c r="O11" s="459"/>
      <c r="P11" s="459"/>
      <c r="Q11" s="459"/>
      <c r="R11" s="459"/>
      <c r="S11" s="459"/>
      <c r="T11" s="130" t="s">
        <v>3590</v>
      </c>
      <c r="U11" s="441"/>
      <c r="V11" s="441"/>
      <c r="W11" s="441"/>
      <c r="X11" s="187">
        <v>99</v>
      </c>
      <c r="Y11" s="187" t="s">
        <v>3589</v>
      </c>
      <c r="Z11" s="120" t="s">
        <v>3579</v>
      </c>
      <c r="AA11" s="131">
        <v>43472</v>
      </c>
      <c r="AB11" s="187" t="s">
        <v>1057</v>
      </c>
      <c r="AC11" s="441"/>
      <c r="AD11" s="441"/>
      <c r="AE11" s="441"/>
    </row>
    <row r="12" spans="5:31" ht="25">
      <c r="E12" s="459" t="s">
        <v>55</v>
      </c>
      <c r="F12" s="459" t="s">
        <v>1001</v>
      </c>
      <c r="G12" s="459" t="s">
        <v>925</v>
      </c>
      <c r="H12" s="459" t="s">
        <v>243</v>
      </c>
      <c r="I12" s="459"/>
      <c r="J12" s="139">
        <v>9</v>
      </c>
      <c r="K12" s="139" t="s">
        <v>682</v>
      </c>
      <c r="L12" s="460" t="s">
        <v>3577</v>
      </c>
      <c r="M12" s="140" t="s">
        <v>1002</v>
      </c>
      <c r="N12" s="139"/>
      <c r="O12" s="459"/>
      <c r="P12" s="459"/>
      <c r="Q12" s="459"/>
      <c r="R12" s="459"/>
      <c r="S12" s="459"/>
      <c r="T12" s="130" t="s">
        <v>3591</v>
      </c>
      <c r="U12" s="441"/>
      <c r="V12" s="441"/>
      <c r="W12" s="441"/>
      <c r="X12" s="187">
        <v>99</v>
      </c>
      <c r="Y12" s="187" t="s">
        <v>3589</v>
      </c>
      <c r="Z12" s="120" t="s">
        <v>3579</v>
      </c>
      <c r="AA12" s="131">
        <v>43472</v>
      </c>
      <c r="AB12" s="187" t="s">
        <v>1057</v>
      </c>
      <c r="AC12" s="441"/>
      <c r="AD12" s="441"/>
      <c r="AE12" s="441"/>
    </row>
    <row r="13" spans="5:31" ht="12.5" hidden="1">
      <c r="E13" s="459" t="s">
        <v>55</v>
      </c>
      <c r="F13" s="459" t="s">
        <v>3592</v>
      </c>
      <c r="G13" s="459" t="s">
        <v>995</v>
      </c>
      <c r="H13" s="459" t="s">
        <v>243</v>
      </c>
      <c r="I13" s="459"/>
      <c r="J13" s="139">
        <v>10</v>
      </c>
      <c r="K13" s="139" t="s">
        <v>680</v>
      </c>
      <c r="L13" s="139"/>
      <c r="M13" s="140"/>
      <c r="N13" s="139"/>
      <c r="O13" s="459"/>
      <c r="P13" s="459"/>
      <c r="Q13" s="459"/>
      <c r="R13" s="459"/>
      <c r="S13" s="459"/>
      <c r="T13" s="186" t="s">
        <v>1190</v>
      </c>
      <c r="U13" s="441"/>
      <c r="V13" s="441"/>
      <c r="W13" s="441"/>
      <c r="X13" s="187"/>
      <c r="Y13" s="187"/>
      <c r="Z13" s="120"/>
      <c r="AA13" s="131"/>
      <c r="AB13" s="271"/>
      <c r="AC13" s="441"/>
      <c r="AD13" s="441"/>
      <c r="AE13" s="441"/>
    </row>
    <row r="14" spans="5:31" ht="12.5" hidden="1">
      <c r="E14" s="459" t="s">
        <v>53</v>
      </c>
      <c r="F14" s="459" t="s">
        <v>1406</v>
      </c>
      <c r="G14" s="459" t="s">
        <v>535</v>
      </c>
      <c r="H14" s="459" t="s">
        <v>243</v>
      </c>
      <c r="I14" s="459"/>
      <c r="J14" s="139">
        <v>58</v>
      </c>
      <c r="K14" s="139" t="s">
        <v>680</v>
      </c>
      <c r="L14" s="139"/>
      <c r="M14" s="140"/>
      <c r="N14" s="139"/>
      <c r="O14" s="459"/>
      <c r="P14" s="459"/>
      <c r="Q14" s="459"/>
      <c r="R14" s="459"/>
      <c r="S14" s="459"/>
      <c r="T14" s="186" t="s">
        <v>1190</v>
      </c>
      <c r="U14" s="441"/>
      <c r="V14" s="441"/>
      <c r="W14" s="441"/>
      <c r="X14" s="187"/>
      <c r="Y14" s="187"/>
      <c r="Z14" s="34"/>
      <c r="AA14" s="367"/>
      <c r="AB14" s="187"/>
      <c r="AC14" s="441"/>
      <c r="AD14" s="441"/>
      <c r="AE14" s="441"/>
    </row>
    <row r="15" spans="5:31" ht="12.5" hidden="1">
      <c r="E15" s="459" t="s">
        <v>53</v>
      </c>
      <c r="F15" s="459" t="s">
        <v>1189</v>
      </c>
      <c r="G15" s="459" t="s">
        <v>249</v>
      </c>
      <c r="H15" s="459" t="s">
        <v>243</v>
      </c>
      <c r="I15" s="459"/>
      <c r="J15" s="139">
        <v>11</v>
      </c>
      <c r="K15" s="139" t="s">
        <v>680</v>
      </c>
      <c r="L15" s="139"/>
      <c r="M15" s="140"/>
      <c r="N15" s="139"/>
      <c r="O15" s="459"/>
      <c r="P15" s="459"/>
      <c r="Q15" s="459"/>
      <c r="R15" s="459"/>
      <c r="S15" s="459"/>
      <c r="T15" s="186" t="s">
        <v>1190</v>
      </c>
      <c r="U15" s="441"/>
      <c r="V15" s="441"/>
      <c r="W15" s="441"/>
      <c r="X15" s="187"/>
      <c r="Y15" s="187"/>
      <c r="Z15" s="120"/>
      <c r="AA15" s="131"/>
      <c r="AB15" s="271"/>
      <c r="AC15" s="441"/>
      <c r="AD15" s="441"/>
      <c r="AE15" s="441"/>
    </row>
    <row r="16" spans="5:31" ht="12.5" hidden="1">
      <c r="E16" s="459" t="s">
        <v>53</v>
      </c>
      <c r="F16" s="459" t="s">
        <v>1191</v>
      </c>
      <c r="G16" s="459" t="s">
        <v>252</v>
      </c>
      <c r="H16" s="459" t="s">
        <v>243</v>
      </c>
      <c r="I16" s="459"/>
      <c r="J16" s="139">
        <v>12</v>
      </c>
      <c r="K16" s="139" t="s">
        <v>680</v>
      </c>
      <c r="L16" s="139"/>
      <c r="M16" s="140"/>
      <c r="N16" s="139"/>
      <c r="O16" s="459"/>
      <c r="P16" s="459"/>
      <c r="Q16" s="459"/>
      <c r="R16" s="459"/>
      <c r="S16" s="459"/>
      <c r="T16" s="186" t="s">
        <v>1190</v>
      </c>
      <c r="U16" s="441"/>
      <c r="V16" s="441"/>
      <c r="W16" s="441"/>
      <c r="X16" s="187"/>
      <c r="Y16" s="187"/>
      <c r="Z16" s="34"/>
      <c r="AA16" s="367"/>
      <c r="AB16" s="187"/>
      <c r="AC16" s="441"/>
      <c r="AD16" s="441"/>
      <c r="AE16" s="441"/>
    </row>
    <row r="17" spans="5:31" ht="12.5" hidden="1">
      <c r="E17" s="459" t="s">
        <v>53</v>
      </c>
      <c r="F17" s="459" t="s">
        <v>1192</v>
      </c>
      <c r="G17" s="459" t="s">
        <v>242</v>
      </c>
      <c r="H17" s="459" t="s">
        <v>243</v>
      </c>
      <c r="I17" s="459"/>
      <c r="J17" s="139">
        <v>13</v>
      </c>
      <c r="K17" s="139" t="s">
        <v>680</v>
      </c>
      <c r="L17" s="139"/>
      <c r="M17" s="140"/>
      <c r="N17" s="139"/>
      <c r="O17" s="459"/>
      <c r="P17" s="459"/>
      <c r="Q17" s="459"/>
      <c r="R17" s="459"/>
      <c r="S17" s="459"/>
      <c r="T17" s="186" t="s">
        <v>1190</v>
      </c>
      <c r="U17" s="441"/>
      <c r="V17" s="441"/>
      <c r="W17" s="441"/>
      <c r="X17" s="187"/>
      <c r="Z17" s="120"/>
      <c r="AA17" s="131"/>
      <c r="AB17" s="187"/>
      <c r="AC17" s="441"/>
      <c r="AD17" s="441"/>
      <c r="AE17" s="441"/>
    </row>
    <row r="18" spans="5:31" ht="12.5" hidden="1">
      <c r="E18" s="459" t="s">
        <v>53</v>
      </c>
      <c r="F18" s="459" t="s">
        <v>1193</v>
      </c>
      <c r="G18" s="459" t="s">
        <v>247</v>
      </c>
      <c r="H18" s="459" t="s">
        <v>243</v>
      </c>
      <c r="I18" s="459"/>
      <c r="J18" s="139">
        <v>14</v>
      </c>
      <c r="K18" s="139" t="s">
        <v>680</v>
      </c>
      <c r="L18" s="139"/>
      <c r="M18" s="140"/>
      <c r="N18" s="139"/>
      <c r="O18" s="459"/>
      <c r="P18" s="459"/>
      <c r="Q18" s="459"/>
      <c r="R18" s="459"/>
      <c r="S18" s="459"/>
      <c r="T18" s="186" t="s">
        <v>1190</v>
      </c>
      <c r="U18" s="441"/>
      <c r="V18" s="441"/>
      <c r="W18" s="441"/>
      <c r="X18" s="187"/>
      <c r="Y18" s="187"/>
      <c r="Z18" s="120"/>
      <c r="AA18" s="131"/>
      <c r="AB18" s="187"/>
      <c r="AC18" s="441"/>
      <c r="AD18" s="441"/>
      <c r="AE18" s="441"/>
    </row>
    <row r="19" spans="5:31" ht="12.5" hidden="1">
      <c r="E19" s="459" t="s">
        <v>53</v>
      </c>
      <c r="F19" s="459" t="s">
        <v>1194</v>
      </c>
      <c r="G19" s="459" t="s">
        <v>252</v>
      </c>
      <c r="H19" s="459" t="s">
        <v>243</v>
      </c>
      <c r="I19" s="459"/>
      <c r="J19" s="139">
        <v>15</v>
      </c>
      <c r="K19" s="139" t="s">
        <v>680</v>
      </c>
      <c r="L19" s="139"/>
      <c r="M19" s="140"/>
      <c r="N19" s="139"/>
      <c r="O19" s="459"/>
      <c r="P19" s="459"/>
      <c r="Q19" s="459"/>
      <c r="R19" s="459"/>
      <c r="S19" s="459"/>
      <c r="T19" s="186" t="s">
        <v>1190</v>
      </c>
      <c r="U19" s="441"/>
      <c r="V19" s="441"/>
      <c r="W19" s="441"/>
      <c r="X19" s="187"/>
      <c r="Z19" s="120"/>
      <c r="AA19" s="131"/>
      <c r="AB19" s="187"/>
      <c r="AC19" s="441"/>
      <c r="AD19" s="441"/>
      <c r="AE19" s="441"/>
    </row>
    <row r="20" spans="5:31" ht="12.5" hidden="1">
      <c r="E20" s="459" t="s">
        <v>53</v>
      </c>
      <c r="F20" s="459" t="s">
        <v>1195</v>
      </c>
      <c r="G20" s="459" t="s">
        <v>247</v>
      </c>
      <c r="H20" s="459" t="s">
        <v>243</v>
      </c>
      <c r="I20" s="459"/>
      <c r="J20" s="139">
        <v>16</v>
      </c>
      <c r="K20" s="139" t="s">
        <v>680</v>
      </c>
      <c r="L20" s="139"/>
      <c r="M20" s="140"/>
      <c r="N20" s="139"/>
      <c r="O20" s="459"/>
      <c r="P20" s="459"/>
      <c r="Q20" s="459"/>
      <c r="R20" s="459"/>
      <c r="S20" s="459"/>
      <c r="T20" s="186" t="s">
        <v>1190</v>
      </c>
      <c r="U20" s="441"/>
      <c r="V20" s="441"/>
      <c r="W20" s="441"/>
      <c r="X20" s="187"/>
      <c r="Y20" s="187"/>
      <c r="Z20" s="120"/>
      <c r="AA20" s="131"/>
      <c r="AB20" s="187"/>
      <c r="AC20" s="441"/>
      <c r="AD20" s="441"/>
      <c r="AE20" s="441"/>
    </row>
    <row r="21" spans="5:31" ht="12.5" hidden="1">
      <c r="E21" s="459" t="s">
        <v>53</v>
      </c>
      <c r="F21" s="459" t="s">
        <v>1196</v>
      </c>
      <c r="G21" s="459" t="s">
        <v>535</v>
      </c>
      <c r="H21" s="459" t="s">
        <v>903</v>
      </c>
      <c r="I21" s="459"/>
      <c r="J21" s="139">
        <v>17</v>
      </c>
      <c r="K21" s="139" t="s">
        <v>680</v>
      </c>
      <c r="L21" s="139"/>
      <c r="M21" s="140"/>
      <c r="N21" s="139"/>
      <c r="O21" s="459"/>
      <c r="P21" s="459"/>
      <c r="Q21" s="459"/>
      <c r="R21" s="459"/>
      <c r="S21" s="459"/>
      <c r="T21" s="186" t="s">
        <v>1190</v>
      </c>
      <c r="U21" s="441"/>
      <c r="V21" s="441"/>
      <c r="W21" s="441"/>
      <c r="X21" s="187"/>
      <c r="Y21" s="187"/>
      <c r="Z21" s="120"/>
      <c r="AA21" s="131"/>
      <c r="AB21" s="187"/>
      <c r="AC21" s="441"/>
      <c r="AD21" s="441"/>
      <c r="AE21" s="441"/>
    </row>
    <row r="22" spans="5:31" ht="12.5" hidden="1">
      <c r="E22" s="459" t="s">
        <v>55</v>
      </c>
      <c r="F22" s="459" t="s">
        <v>3593</v>
      </c>
      <c r="G22" s="459" t="s">
        <v>432</v>
      </c>
      <c r="H22" s="459" t="s">
        <v>243</v>
      </c>
      <c r="I22" s="459"/>
      <c r="J22" s="139">
        <v>18</v>
      </c>
      <c r="K22" s="139" t="s">
        <v>680</v>
      </c>
      <c r="L22" s="139"/>
      <c r="M22" s="140"/>
      <c r="N22" s="139"/>
      <c r="O22" s="459"/>
      <c r="P22" s="459"/>
      <c r="Q22" s="459"/>
      <c r="R22" s="459"/>
      <c r="S22" s="459"/>
      <c r="T22" s="138" t="s">
        <v>3594</v>
      </c>
      <c r="U22" s="441"/>
      <c r="V22" s="441"/>
      <c r="W22" s="441"/>
      <c r="X22" s="187"/>
      <c r="Y22" s="187"/>
      <c r="Z22" s="120"/>
      <c r="AA22" s="131"/>
      <c r="AB22" s="271"/>
      <c r="AC22" s="441"/>
      <c r="AD22" s="441"/>
      <c r="AE22" s="441"/>
    </row>
    <row r="23" spans="5:31" ht="25">
      <c r="E23" s="459" t="s">
        <v>55</v>
      </c>
      <c r="F23" s="459" t="s">
        <v>924</v>
      </c>
      <c r="G23" s="459" t="s">
        <v>925</v>
      </c>
      <c r="H23" s="459" t="s">
        <v>243</v>
      </c>
      <c r="I23" s="459"/>
      <c r="J23" s="139">
        <v>19</v>
      </c>
      <c r="K23" s="139" t="s">
        <v>682</v>
      </c>
      <c r="L23" s="137" t="s">
        <v>3577</v>
      </c>
      <c r="M23" s="140" t="s">
        <v>973</v>
      </c>
      <c r="N23" s="139"/>
      <c r="O23" s="459"/>
      <c r="P23" s="459"/>
      <c r="Q23" s="459"/>
      <c r="R23" s="459"/>
      <c r="S23" s="459"/>
      <c r="T23" s="130" t="s">
        <v>3354</v>
      </c>
      <c r="U23" s="441"/>
      <c r="V23" s="441"/>
      <c r="W23" s="441"/>
      <c r="X23" s="187">
        <v>8</v>
      </c>
      <c r="Y23" s="120"/>
      <c r="Z23" s="120" t="s">
        <v>3579</v>
      </c>
      <c r="AA23" s="131">
        <v>43472</v>
      </c>
      <c r="AB23" s="187" t="s">
        <v>1057</v>
      </c>
      <c r="AC23" s="441"/>
      <c r="AD23" s="441"/>
      <c r="AE23" s="441"/>
    </row>
    <row r="24" spans="5:31" ht="12.5" hidden="1">
      <c r="E24" s="459" t="s">
        <v>55</v>
      </c>
      <c r="F24" s="459" t="s">
        <v>3595</v>
      </c>
      <c r="G24" s="459" t="s">
        <v>925</v>
      </c>
      <c r="H24" s="459" t="s">
        <v>243</v>
      </c>
      <c r="I24" s="459"/>
      <c r="J24" s="139">
        <v>20</v>
      </c>
      <c r="K24" s="139" t="s">
        <v>680</v>
      </c>
      <c r="L24" s="139"/>
      <c r="M24" s="140"/>
      <c r="N24" s="139"/>
      <c r="O24" s="459"/>
      <c r="P24" s="459"/>
      <c r="Q24" s="459"/>
      <c r="R24" s="459"/>
      <c r="S24" s="459"/>
      <c r="T24" s="130"/>
      <c r="U24" s="441"/>
      <c r="V24" s="441"/>
      <c r="W24" s="441"/>
      <c r="X24" s="187"/>
      <c r="Y24" s="187"/>
      <c r="Z24" s="34"/>
      <c r="AA24" s="367"/>
      <c r="AB24" s="187"/>
      <c r="AC24" s="441"/>
      <c r="AD24" s="441"/>
      <c r="AE24" s="441"/>
    </row>
    <row r="25" spans="5:31" ht="12.5" hidden="1">
      <c r="E25" s="459" t="s">
        <v>55</v>
      </c>
      <c r="F25" s="459" t="s">
        <v>3596</v>
      </c>
      <c r="G25" s="459" t="s">
        <v>247</v>
      </c>
      <c r="H25" s="459" t="s">
        <v>243</v>
      </c>
      <c r="I25" s="459"/>
      <c r="J25" s="139">
        <v>21</v>
      </c>
      <c r="K25" s="139" t="s">
        <v>680</v>
      </c>
      <c r="L25" s="139"/>
      <c r="M25" s="140"/>
      <c r="N25" s="139"/>
      <c r="O25" s="459"/>
      <c r="P25" s="459"/>
      <c r="Q25" s="459"/>
      <c r="R25" s="459"/>
      <c r="S25" s="459"/>
      <c r="T25" s="130"/>
      <c r="U25" s="441"/>
      <c r="V25" s="441"/>
      <c r="W25" s="441"/>
      <c r="X25" s="187"/>
      <c r="Y25" s="187"/>
      <c r="Z25" s="34"/>
      <c r="AA25" s="367"/>
      <c r="AB25" s="187"/>
      <c r="AC25" s="441"/>
      <c r="AD25" s="441"/>
      <c r="AE25" s="441"/>
    </row>
    <row r="26" spans="5:31" ht="25">
      <c r="E26" s="459" t="s">
        <v>55</v>
      </c>
      <c r="F26" s="459" t="s">
        <v>982</v>
      </c>
      <c r="G26" s="459" t="s">
        <v>925</v>
      </c>
      <c r="H26" s="459" t="s">
        <v>243</v>
      </c>
      <c r="I26" s="459"/>
      <c r="J26" s="139">
        <v>22</v>
      </c>
      <c r="K26" s="139" t="s">
        <v>682</v>
      </c>
      <c r="L26" s="137" t="s">
        <v>3577</v>
      </c>
      <c r="M26" s="140" t="s">
        <v>983</v>
      </c>
      <c r="N26" s="139"/>
      <c r="O26" s="459"/>
      <c r="P26" s="459"/>
      <c r="Q26" s="459"/>
      <c r="R26" s="459"/>
      <c r="S26" s="459"/>
      <c r="T26" s="130" t="s">
        <v>3597</v>
      </c>
      <c r="U26" s="441"/>
      <c r="V26" s="441"/>
      <c r="W26" s="441"/>
      <c r="X26" s="187">
        <v>13</v>
      </c>
      <c r="Y26" s="120"/>
      <c r="Z26" s="120" t="s">
        <v>3579</v>
      </c>
      <c r="AA26" s="131">
        <v>43472</v>
      </c>
      <c r="AB26" s="187" t="s">
        <v>1057</v>
      </c>
      <c r="AC26" s="441"/>
      <c r="AD26" s="441"/>
      <c r="AE26" s="441"/>
    </row>
    <row r="27" spans="5:31" ht="25">
      <c r="E27" s="459" t="s">
        <v>55</v>
      </c>
      <c r="F27" s="459" t="s">
        <v>3598</v>
      </c>
      <c r="G27" s="459" t="s">
        <v>255</v>
      </c>
      <c r="H27" s="459" t="s">
        <v>243</v>
      </c>
      <c r="I27" s="459"/>
      <c r="J27" s="139">
        <v>23</v>
      </c>
      <c r="K27" s="139" t="s">
        <v>682</v>
      </c>
      <c r="L27" s="137" t="s">
        <v>3577</v>
      </c>
      <c r="M27" s="116" t="s">
        <v>3599</v>
      </c>
      <c r="N27" s="139"/>
      <c r="O27" s="459"/>
      <c r="P27" s="459"/>
      <c r="Q27" s="459"/>
      <c r="R27" s="459"/>
      <c r="S27" s="459"/>
      <c r="T27" s="130" t="s">
        <v>3600</v>
      </c>
      <c r="U27" s="441"/>
      <c r="V27" s="441"/>
      <c r="W27" s="441"/>
      <c r="X27" s="187"/>
      <c r="Y27" s="187"/>
      <c r="Z27" s="34"/>
      <c r="AA27" s="367"/>
      <c r="AB27" s="187"/>
      <c r="AC27" s="441"/>
      <c r="AD27" s="441"/>
      <c r="AE27" s="441"/>
    </row>
    <row r="28" spans="5:31" ht="69.75" customHeight="1">
      <c r="E28" s="459" t="s">
        <v>55</v>
      </c>
      <c r="F28" s="459" t="s">
        <v>963</v>
      </c>
      <c r="G28" s="459" t="s">
        <v>242</v>
      </c>
      <c r="H28" s="459" t="s">
        <v>243</v>
      </c>
      <c r="I28" s="459"/>
      <c r="J28" s="139">
        <v>24</v>
      </c>
      <c r="K28" s="139" t="s">
        <v>682</v>
      </c>
      <c r="L28" s="460" t="s">
        <v>3577</v>
      </c>
      <c r="M28" s="460" t="s">
        <v>3601</v>
      </c>
      <c r="N28" s="139"/>
      <c r="O28" s="459"/>
      <c r="P28" s="459"/>
      <c r="Q28" s="459"/>
      <c r="R28" s="459"/>
      <c r="S28" s="459"/>
      <c r="T28" s="130" t="s">
        <v>3602</v>
      </c>
      <c r="U28" s="441"/>
      <c r="V28" s="441"/>
      <c r="W28" s="441"/>
      <c r="X28" s="187">
        <v>1</v>
      </c>
      <c r="Y28" s="120"/>
      <c r="Z28" s="120" t="s">
        <v>3579</v>
      </c>
      <c r="AA28" s="131">
        <v>43472</v>
      </c>
      <c r="AB28" s="187" t="s">
        <v>1057</v>
      </c>
      <c r="AC28" s="441"/>
      <c r="AD28" s="441"/>
      <c r="AE28" s="441"/>
    </row>
    <row r="29" spans="5:31" ht="69.75" customHeight="1">
      <c r="E29" s="459" t="s">
        <v>55</v>
      </c>
      <c r="F29" s="459" t="s">
        <v>2580</v>
      </c>
      <c r="G29" s="459" t="s">
        <v>3603</v>
      </c>
      <c r="H29" s="459" t="s">
        <v>243</v>
      </c>
      <c r="I29" s="459"/>
      <c r="J29" s="139">
        <v>25</v>
      </c>
      <c r="K29" s="139" t="s">
        <v>682</v>
      </c>
      <c r="L29" s="460" t="s">
        <v>3577</v>
      </c>
      <c r="M29" s="460" t="s">
        <v>3604</v>
      </c>
      <c r="N29" s="139"/>
      <c r="O29" s="459"/>
      <c r="P29" s="459"/>
      <c r="Q29" s="459"/>
      <c r="R29" s="459"/>
      <c r="S29" s="459"/>
      <c r="T29" s="130" t="s">
        <v>3605</v>
      </c>
      <c r="U29" s="441"/>
      <c r="V29" s="441"/>
      <c r="W29" s="441"/>
      <c r="X29" s="187"/>
      <c r="Y29" s="187"/>
      <c r="Z29" s="34"/>
      <c r="AA29" s="367"/>
      <c r="AB29" s="271"/>
      <c r="AC29" s="441"/>
      <c r="AD29" s="441"/>
      <c r="AE29" s="441"/>
    </row>
    <row r="30" spans="5:31" ht="12.5" hidden="1">
      <c r="E30" s="459" t="s">
        <v>55</v>
      </c>
      <c r="F30" s="459" t="s">
        <v>3606</v>
      </c>
      <c r="G30" s="459" t="s">
        <v>3603</v>
      </c>
      <c r="H30" s="459" t="s">
        <v>243</v>
      </c>
      <c r="I30" s="459"/>
      <c r="J30" s="139">
        <v>26</v>
      </c>
      <c r="K30" s="139" t="s">
        <v>680</v>
      </c>
      <c r="L30" s="139"/>
      <c r="M30" s="140"/>
      <c r="N30" s="139"/>
      <c r="O30" s="459"/>
      <c r="P30" s="459"/>
      <c r="Q30" s="459"/>
      <c r="R30" s="459"/>
      <c r="S30" s="459"/>
      <c r="T30" s="130" t="s">
        <v>3607</v>
      </c>
      <c r="U30" s="441"/>
      <c r="V30" s="441"/>
      <c r="W30" s="441"/>
      <c r="X30" s="187"/>
      <c r="Y30" s="187"/>
      <c r="Z30" s="34"/>
      <c r="AA30" s="367"/>
      <c r="AB30" s="187"/>
      <c r="AC30" s="441"/>
      <c r="AD30" s="441"/>
      <c r="AE30" s="441"/>
    </row>
    <row r="31" spans="5:31" ht="12.5" hidden="1">
      <c r="E31" s="459" t="s">
        <v>55</v>
      </c>
      <c r="F31" s="459" t="s">
        <v>3608</v>
      </c>
      <c r="G31" s="459" t="s">
        <v>242</v>
      </c>
      <c r="H31" s="459" t="s">
        <v>243</v>
      </c>
      <c r="I31" s="459"/>
      <c r="J31" s="139">
        <v>27</v>
      </c>
      <c r="K31" s="139" t="s">
        <v>680</v>
      </c>
      <c r="L31" s="139"/>
      <c r="M31" s="140"/>
      <c r="N31" s="139"/>
      <c r="O31" s="459"/>
      <c r="P31" s="459"/>
      <c r="Q31" s="459"/>
      <c r="R31" s="459"/>
      <c r="S31" s="459"/>
      <c r="T31" s="130" t="s">
        <v>3609</v>
      </c>
      <c r="U31" s="441"/>
      <c r="V31" s="441"/>
      <c r="W31" s="441"/>
      <c r="X31" s="187"/>
      <c r="Y31" s="187"/>
      <c r="Z31" s="34"/>
      <c r="AA31" s="367"/>
      <c r="AB31" s="271"/>
      <c r="AC31" s="441"/>
      <c r="AD31" s="441"/>
      <c r="AE31" s="441"/>
    </row>
    <row r="32" spans="5:31" ht="25">
      <c r="E32" s="459" t="s">
        <v>55</v>
      </c>
      <c r="F32" s="459" t="s">
        <v>914</v>
      </c>
      <c r="G32" s="459" t="s">
        <v>925</v>
      </c>
      <c r="H32" s="459" t="s">
        <v>243</v>
      </c>
      <c r="I32" s="459"/>
      <c r="J32" s="139">
        <v>28</v>
      </c>
      <c r="K32" s="139" t="s">
        <v>682</v>
      </c>
      <c r="L32" s="137" t="s">
        <v>3577</v>
      </c>
      <c r="M32" s="140" t="s">
        <v>965</v>
      </c>
      <c r="N32" s="139"/>
      <c r="O32" s="459"/>
      <c r="P32" s="459"/>
      <c r="Q32" s="459"/>
      <c r="R32" s="459"/>
      <c r="S32" s="459"/>
      <c r="T32" s="130" t="s">
        <v>3459</v>
      </c>
      <c r="U32" s="441"/>
      <c r="V32" s="441"/>
      <c r="W32" s="441"/>
      <c r="X32" s="187">
        <v>2</v>
      </c>
      <c r="Y32" s="120"/>
      <c r="Z32" s="120" t="s">
        <v>3579</v>
      </c>
      <c r="AA32" s="131">
        <v>43472</v>
      </c>
      <c r="AB32" s="187" t="s">
        <v>1057</v>
      </c>
      <c r="AC32" s="441"/>
      <c r="AD32" s="441"/>
      <c r="AE32" s="441"/>
    </row>
    <row r="33" spans="5:31" ht="12.5" hidden="1">
      <c r="E33" s="459" t="s">
        <v>53</v>
      </c>
      <c r="F33" s="459" t="s">
        <v>124</v>
      </c>
      <c r="G33" s="459" t="s">
        <v>535</v>
      </c>
      <c r="H33" s="459" t="s">
        <v>903</v>
      </c>
      <c r="I33" s="459"/>
      <c r="J33" s="139">
        <v>1</v>
      </c>
      <c r="K33" s="139" t="s">
        <v>680</v>
      </c>
      <c r="L33" s="139"/>
      <c r="M33" s="140"/>
      <c r="N33" s="139"/>
      <c r="O33" s="459"/>
      <c r="P33" s="459"/>
      <c r="Q33" s="459"/>
      <c r="R33" s="459"/>
      <c r="S33" s="459"/>
      <c r="T33" s="186" t="s">
        <v>1190</v>
      </c>
      <c r="U33" s="441"/>
      <c r="V33" s="441"/>
      <c r="W33" s="441"/>
      <c r="X33" s="187"/>
      <c r="Y33" s="187"/>
      <c r="Z33" s="34"/>
      <c r="AA33" s="367"/>
      <c r="AB33" s="187"/>
      <c r="AC33" s="441"/>
      <c r="AD33" s="441"/>
      <c r="AE33" s="441"/>
    </row>
    <row r="34" spans="5:31" ht="12.5" hidden="1">
      <c r="E34" s="459" t="s">
        <v>53</v>
      </c>
      <c r="F34" s="459" t="s">
        <v>3610</v>
      </c>
      <c r="G34" s="459" t="s">
        <v>252</v>
      </c>
      <c r="H34" s="459" t="s">
        <v>243</v>
      </c>
      <c r="I34" s="459"/>
      <c r="J34" s="139">
        <v>29</v>
      </c>
      <c r="K34" s="139" t="s">
        <v>680</v>
      </c>
      <c r="L34" s="139"/>
      <c r="M34" s="140"/>
      <c r="N34" s="139"/>
      <c r="O34" s="459"/>
      <c r="P34" s="459"/>
      <c r="Q34" s="459"/>
      <c r="R34" s="459"/>
      <c r="S34" s="459"/>
      <c r="T34" s="186" t="s">
        <v>1190</v>
      </c>
      <c r="U34" s="441"/>
      <c r="V34" s="441"/>
      <c r="W34" s="441"/>
      <c r="X34" s="187"/>
      <c r="Y34" s="187"/>
      <c r="Z34" s="34"/>
      <c r="AA34" s="367"/>
      <c r="AB34" s="271"/>
      <c r="AC34" s="441"/>
      <c r="AD34" s="441"/>
      <c r="AE34" s="441"/>
    </row>
    <row r="35" spans="5:31" ht="25">
      <c r="E35" s="459" t="s">
        <v>55</v>
      </c>
      <c r="F35" s="459" t="s">
        <v>916</v>
      </c>
      <c r="G35" s="459" t="s">
        <v>925</v>
      </c>
      <c r="H35" s="459" t="s">
        <v>243</v>
      </c>
      <c r="I35" s="459"/>
      <c r="J35" s="139">
        <v>30</v>
      </c>
      <c r="K35" s="139" t="s">
        <v>682</v>
      </c>
      <c r="L35" s="137" t="s">
        <v>3577</v>
      </c>
      <c r="M35" s="140" t="s">
        <v>967</v>
      </c>
      <c r="N35" s="139"/>
      <c r="O35" s="459"/>
      <c r="P35" s="459"/>
      <c r="Q35" s="459"/>
      <c r="R35" s="459"/>
      <c r="S35" s="459"/>
      <c r="T35" s="130" t="s">
        <v>3611</v>
      </c>
      <c r="U35" s="441"/>
      <c r="V35" s="441"/>
      <c r="W35" s="441"/>
      <c r="X35" s="187">
        <v>4</v>
      </c>
      <c r="Y35" s="120"/>
      <c r="Z35" s="120" t="s">
        <v>3579</v>
      </c>
      <c r="AA35" s="131">
        <v>43472</v>
      </c>
      <c r="AB35" s="187" t="s">
        <v>1057</v>
      </c>
      <c r="AC35" s="441"/>
      <c r="AD35" s="441"/>
      <c r="AE35" s="441"/>
    </row>
    <row r="36" spans="5:31" ht="25">
      <c r="E36" s="459" t="s">
        <v>55</v>
      </c>
      <c r="F36" s="459" t="s">
        <v>943</v>
      </c>
      <c r="G36" s="459" t="s">
        <v>925</v>
      </c>
      <c r="H36" s="459" t="s">
        <v>243</v>
      </c>
      <c r="I36" s="459"/>
      <c r="J36" s="139">
        <v>31</v>
      </c>
      <c r="K36" s="139" t="s">
        <v>682</v>
      </c>
      <c r="L36" s="137" t="s">
        <v>3577</v>
      </c>
      <c r="M36" s="140" t="s">
        <v>966</v>
      </c>
      <c r="N36" s="139"/>
      <c r="O36" s="459"/>
      <c r="P36" s="459"/>
      <c r="Q36" s="459"/>
      <c r="R36" s="459"/>
      <c r="S36" s="459"/>
      <c r="T36" s="130" t="s">
        <v>3499</v>
      </c>
      <c r="U36" s="441"/>
      <c r="V36" s="441"/>
      <c r="W36" s="441"/>
      <c r="X36" s="187">
        <v>3</v>
      </c>
      <c r="Y36" s="120"/>
      <c r="Z36" s="120" t="s">
        <v>3579</v>
      </c>
      <c r="AA36" s="131">
        <v>43472</v>
      </c>
      <c r="AB36" s="187" t="s">
        <v>1057</v>
      </c>
      <c r="AC36" s="441"/>
      <c r="AD36" s="441"/>
      <c r="AE36" s="441"/>
    </row>
    <row r="37" spans="5:31" ht="12.5">
      <c r="E37" s="459" t="s">
        <v>55</v>
      </c>
      <c r="F37" s="459" t="s">
        <v>3612</v>
      </c>
      <c r="G37" s="459" t="s">
        <v>324</v>
      </c>
      <c r="H37" s="459" t="s">
        <v>243</v>
      </c>
      <c r="I37" s="459"/>
      <c r="J37" s="139">
        <v>32</v>
      </c>
      <c r="K37" s="139" t="s">
        <v>682</v>
      </c>
      <c r="L37" s="139"/>
      <c r="M37" s="140"/>
      <c r="N37" s="139"/>
      <c r="O37" s="459"/>
      <c r="P37" s="459"/>
      <c r="Q37" s="459"/>
      <c r="R37" s="459"/>
      <c r="S37" s="459"/>
      <c r="T37" s="130" t="s">
        <v>3613</v>
      </c>
      <c r="U37" s="441"/>
      <c r="V37" s="441"/>
      <c r="W37" s="441"/>
      <c r="X37" s="187"/>
      <c r="Y37" s="187"/>
      <c r="Z37" s="187"/>
      <c r="AA37" s="367"/>
      <c r="AB37" s="187"/>
      <c r="AC37" s="441"/>
      <c r="AD37" s="441"/>
      <c r="AE37" s="441"/>
    </row>
    <row r="38" spans="5:31" ht="12.5" hidden="1">
      <c r="E38" s="459" t="s">
        <v>55</v>
      </c>
      <c r="F38" s="459" t="s">
        <v>3614</v>
      </c>
      <c r="G38" s="459" t="s">
        <v>925</v>
      </c>
      <c r="H38" s="459" t="s">
        <v>243</v>
      </c>
      <c r="I38" s="459"/>
      <c r="J38" s="139">
        <v>33</v>
      </c>
      <c r="K38" s="139" t="s">
        <v>680</v>
      </c>
      <c r="L38" s="139"/>
      <c r="M38" s="140"/>
      <c r="N38" s="139"/>
      <c r="O38" s="459"/>
      <c r="P38" s="459"/>
      <c r="Q38" s="459"/>
      <c r="R38" s="459"/>
      <c r="S38" s="459"/>
      <c r="T38" s="130" t="s">
        <v>3615</v>
      </c>
      <c r="U38" s="441"/>
      <c r="V38" s="441"/>
      <c r="W38" s="441"/>
      <c r="X38" s="187"/>
      <c r="Y38" s="187"/>
      <c r="Z38" s="187"/>
      <c r="AA38" s="367"/>
      <c r="AB38" s="187"/>
      <c r="AC38" s="441"/>
      <c r="AD38" s="441"/>
      <c r="AE38" s="441"/>
    </row>
    <row r="39" spans="5:31" ht="12.5" hidden="1">
      <c r="E39" s="459" t="s">
        <v>55</v>
      </c>
      <c r="F39" s="459" t="s">
        <v>3616</v>
      </c>
      <c r="G39" s="459" t="s">
        <v>255</v>
      </c>
      <c r="H39" s="459" t="s">
        <v>243</v>
      </c>
      <c r="I39" s="459"/>
      <c r="J39" s="139">
        <v>34</v>
      </c>
      <c r="K39" s="139" t="s">
        <v>680</v>
      </c>
      <c r="L39" s="139"/>
      <c r="M39" s="140"/>
      <c r="N39" s="139"/>
      <c r="O39" s="459"/>
      <c r="P39" s="459"/>
      <c r="Q39" s="459"/>
      <c r="R39" s="459"/>
      <c r="S39" s="459"/>
      <c r="T39" s="130" t="s">
        <v>3617</v>
      </c>
      <c r="U39" s="441"/>
      <c r="V39" s="441"/>
      <c r="W39" s="441"/>
      <c r="X39" s="187"/>
      <c r="Y39" s="187"/>
      <c r="Z39" s="187"/>
      <c r="AA39" s="367"/>
      <c r="AB39" s="187"/>
      <c r="AC39" s="441"/>
      <c r="AD39" s="441"/>
      <c r="AE39" s="441"/>
    </row>
    <row r="40" spans="5:31" ht="12.5" hidden="1">
      <c r="E40" s="459" t="s">
        <v>55</v>
      </c>
      <c r="F40" s="459" t="s">
        <v>3618</v>
      </c>
      <c r="G40" s="459" t="s">
        <v>255</v>
      </c>
      <c r="H40" s="459" t="s">
        <v>243</v>
      </c>
      <c r="I40" s="459"/>
      <c r="J40" s="139">
        <v>35</v>
      </c>
      <c r="K40" s="139" t="s">
        <v>680</v>
      </c>
      <c r="L40" s="139"/>
      <c r="M40" s="140"/>
      <c r="N40" s="139"/>
      <c r="O40" s="459"/>
      <c r="P40" s="459"/>
      <c r="Q40" s="459"/>
      <c r="R40" s="459"/>
      <c r="S40" s="459"/>
      <c r="T40" s="186" t="s">
        <v>1190</v>
      </c>
      <c r="U40" s="441"/>
      <c r="V40" s="441"/>
      <c r="W40" s="441"/>
      <c r="X40" s="187"/>
      <c r="Y40" s="187"/>
      <c r="Z40" s="187"/>
      <c r="AA40" s="367"/>
      <c r="AB40" s="187"/>
      <c r="AC40" s="441"/>
      <c r="AD40" s="441"/>
      <c r="AE40" s="441"/>
    </row>
    <row r="41" spans="5:31" ht="25">
      <c r="E41" s="459" t="s">
        <v>55</v>
      </c>
      <c r="F41" s="459" t="s">
        <v>945</v>
      </c>
      <c r="G41" s="459" t="s">
        <v>925</v>
      </c>
      <c r="H41" s="459" t="s">
        <v>243</v>
      </c>
      <c r="I41" s="459"/>
      <c r="J41" s="139">
        <v>36</v>
      </c>
      <c r="K41" s="139" t="s">
        <v>682</v>
      </c>
      <c r="L41" s="137" t="s">
        <v>3577</v>
      </c>
      <c r="M41" s="140" t="s">
        <v>991</v>
      </c>
      <c r="N41" s="139"/>
      <c r="O41" s="459"/>
      <c r="P41" s="459"/>
      <c r="Q41" s="459"/>
      <c r="R41" s="459"/>
      <c r="S41" s="459"/>
      <c r="T41" s="130" t="s">
        <v>3619</v>
      </c>
      <c r="U41" s="441"/>
      <c r="V41" s="441"/>
      <c r="W41" s="441"/>
      <c r="X41" s="187">
        <v>18</v>
      </c>
      <c r="Y41" s="120"/>
      <c r="Z41" s="120" t="s">
        <v>3579</v>
      </c>
      <c r="AA41" s="131">
        <v>43472</v>
      </c>
      <c r="AB41" s="187" t="s">
        <v>1057</v>
      </c>
      <c r="AC41" s="441"/>
      <c r="AD41" s="441"/>
      <c r="AE41" s="441"/>
    </row>
    <row r="42" spans="5:31" ht="25">
      <c r="E42" s="459" t="s">
        <v>55</v>
      </c>
      <c r="F42" s="459" t="s">
        <v>992</v>
      </c>
      <c r="G42" s="459" t="s">
        <v>925</v>
      </c>
      <c r="H42" s="459" t="s">
        <v>243</v>
      </c>
      <c r="I42" s="459"/>
      <c r="J42" s="139">
        <v>37</v>
      </c>
      <c r="K42" s="139" t="s">
        <v>682</v>
      </c>
      <c r="L42" s="137" t="s">
        <v>3577</v>
      </c>
      <c r="M42" s="140" t="s">
        <v>993</v>
      </c>
      <c r="N42" s="139"/>
      <c r="O42" s="459"/>
      <c r="P42" s="459"/>
      <c r="Q42" s="459"/>
      <c r="R42" s="459"/>
      <c r="S42" s="459"/>
      <c r="T42" s="130" t="s">
        <v>3620</v>
      </c>
      <c r="U42" s="441"/>
      <c r="V42" s="441"/>
      <c r="W42" s="441"/>
      <c r="X42" s="187">
        <v>19</v>
      </c>
      <c r="Y42" s="120"/>
      <c r="Z42" s="120" t="s">
        <v>3579</v>
      </c>
      <c r="AA42" s="131">
        <v>43472</v>
      </c>
      <c r="AB42" s="187" t="s">
        <v>1057</v>
      </c>
      <c r="AC42" s="441"/>
      <c r="AD42" s="441"/>
      <c r="AE42" s="441"/>
    </row>
    <row r="43" spans="5:31" ht="25">
      <c r="E43" s="459" t="s">
        <v>55</v>
      </c>
      <c r="F43" s="459" t="s">
        <v>984</v>
      </c>
      <c r="G43" s="459" t="s">
        <v>242</v>
      </c>
      <c r="H43" s="459" t="s">
        <v>243</v>
      </c>
      <c r="I43" s="459"/>
      <c r="J43" s="139">
        <v>63</v>
      </c>
      <c r="K43" s="139" t="s">
        <v>682</v>
      </c>
      <c r="L43" s="137" t="s">
        <v>3577</v>
      </c>
      <c r="M43" s="140" t="s">
        <v>985</v>
      </c>
      <c r="N43" s="139"/>
      <c r="O43" s="459"/>
      <c r="P43" s="459"/>
      <c r="Q43" s="459"/>
      <c r="R43" s="459"/>
      <c r="S43" s="459"/>
      <c r="T43" s="130" t="s">
        <v>3621</v>
      </c>
      <c r="U43" s="441"/>
      <c r="V43" s="441"/>
      <c r="W43" s="441"/>
      <c r="X43" s="187">
        <v>14</v>
      </c>
      <c r="Y43" s="120"/>
      <c r="Z43" s="120" t="s">
        <v>3579</v>
      </c>
      <c r="AA43" s="131">
        <v>43472</v>
      </c>
      <c r="AB43" s="187" t="s">
        <v>1057</v>
      </c>
      <c r="AC43" s="441"/>
      <c r="AD43" s="441"/>
      <c r="AE43" s="441"/>
    </row>
    <row r="44" spans="5:31" ht="25">
      <c r="E44" s="459" t="s">
        <v>55</v>
      </c>
      <c r="F44" s="459" t="s">
        <v>978</v>
      </c>
      <c r="G44" s="459" t="s">
        <v>925</v>
      </c>
      <c r="H44" s="459" t="s">
        <v>243</v>
      </c>
      <c r="I44" s="459"/>
      <c r="J44" s="139">
        <v>38</v>
      </c>
      <c r="K44" s="139" t="s">
        <v>682</v>
      </c>
      <c r="L44" s="137" t="s">
        <v>3577</v>
      </c>
      <c r="M44" s="140" t="s">
        <v>979</v>
      </c>
      <c r="N44" s="139"/>
      <c r="O44" s="459"/>
      <c r="P44" s="459"/>
      <c r="Q44" s="459"/>
      <c r="R44" s="459"/>
      <c r="S44" s="459"/>
      <c r="T44" s="130" t="s">
        <v>3622</v>
      </c>
      <c r="U44" s="441"/>
      <c r="V44" s="441"/>
      <c r="W44" s="441"/>
      <c r="X44" s="187">
        <v>11</v>
      </c>
      <c r="Y44" s="120"/>
      <c r="Z44" s="120" t="s">
        <v>3579</v>
      </c>
      <c r="AA44" s="131">
        <v>43472</v>
      </c>
      <c r="AB44" s="187" t="s">
        <v>1057</v>
      </c>
      <c r="AC44" s="441"/>
      <c r="AD44" s="441"/>
      <c r="AE44" s="441"/>
    </row>
    <row r="45" spans="5:31" ht="25">
      <c r="E45" s="459" t="s">
        <v>55</v>
      </c>
      <c r="F45" s="459" t="s">
        <v>980</v>
      </c>
      <c r="G45" s="459" t="s">
        <v>925</v>
      </c>
      <c r="H45" s="459" t="s">
        <v>243</v>
      </c>
      <c r="I45" s="459"/>
      <c r="J45" s="139">
        <v>39</v>
      </c>
      <c r="K45" s="139" t="s">
        <v>682</v>
      </c>
      <c r="L45" s="137" t="s">
        <v>3577</v>
      </c>
      <c r="M45" s="140" t="s">
        <v>981</v>
      </c>
      <c r="N45" s="139"/>
      <c r="O45" s="459"/>
      <c r="P45" s="459"/>
      <c r="Q45" s="459"/>
      <c r="R45" s="459"/>
      <c r="S45" s="459"/>
      <c r="T45" s="130" t="s">
        <v>3623</v>
      </c>
      <c r="U45" s="441"/>
      <c r="V45" s="441"/>
      <c r="W45" s="441"/>
      <c r="X45" s="187">
        <v>12</v>
      </c>
      <c r="Y45" s="120" t="s">
        <v>3624</v>
      </c>
      <c r="Z45" s="120" t="s">
        <v>3579</v>
      </c>
      <c r="AA45" s="131">
        <v>43472</v>
      </c>
      <c r="AB45" s="129" t="s">
        <v>1929</v>
      </c>
      <c r="AC45" s="441"/>
      <c r="AD45" s="441"/>
      <c r="AE45" s="441"/>
    </row>
    <row r="46" spans="5:31" ht="12.5" hidden="1">
      <c r="E46" s="459" t="s">
        <v>55</v>
      </c>
      <c r="F46" s="459" t="s">
        <v>3625</v>
      </c>
      <c r="G46" s="459" t="s">
        <v>925</v>
      </c>
      <c r="H46" s="459" t="s">
        <v>243</v>
      </c>
      <c r="I46" s="459"/>
      <c r="J46" s="139">
        <v>40</v>
      </c>
      <c r="K46" s="139" t="s">
        <v>680</v>
      </c>
      <c r="L46" s="139"/>
      <c r="M46" s="140"/>
      <c r="N46" s="139"/>
      <c r="O46" s="459"/>
      <c r="P46" s="459"/>
      <c r="Q46" s="459"/>
      <c r="R46" s="459"/>
      <c r="S46" s="459"/>
      <c r="T46" s="130" t="s">
        <v>3626</v>
      </c>
      <c r="U46" s="441"/>
      <c r="V46" s="441"/>
      <c r="W46" s="441"/>
      <c r="X46" s="187"/>
      <c r="Y46" s="187"/>
      <c r="Z46" s="187"/>
      <c r="AA46" s="367"/>
      <c r="AB46" s="187"/>
      <c r="AC46" s="441"/>
      <c r="AD46" s="441"/>
      <c r="AE46" s="441"/>
    </row>
    <row r="47" spans="5:31" ht="12.5" hidden="1">
      <c r="E47" s="459" t="s">
        <v>55</v>
      </c>
      <c r="F47" s="459" t="s">
        <v>3627</v>
      </c>
      <c r="G47" s="459" t="s">
        <v>432</v>
      </c>
      <c r="H47" s="459" t="s">
        <v>243</v>
      </c>
      <c r="I47" s="459"/>
      <c r="J47" s="139">
        <v>41</v>
      </c>
      <c r="K47" s="139" t="s">
        <v>680</v>
      </c>
      <c r="L47" s="139"/>
      <c r="M47" s="140"/>
      <c r="N47" s="139"/>
      <c r="O47" s="459"/>
      <c r="P47" s="459"/>
      <c r="Q47" s="459"/>
      <c r="R47" s="459"/>
      <c r="S47" s="459"/>
      <c r="T47" s="130"/>
      <c r="U47" s="441"/>
      <c r="V47" s="441"/>
      <c r="W47" s="441"/>
      <c r="X47" s="187"/>
      <c r="Y47" s="187"/>
      <c r="Z47" s="187"/>
      <c r="AA47" s="367"/>
      <c r="AB47" s="187"/>
      <c r="AC47" s="441"/>
      <c r="AD47" s="441"/>
      <c r="AE47" s="441"/>
    </row>
    <row r="48" spans="5:31" ht="12.5" hidden="1">
      <c r="E48" s="459" t="s">
        <v>55</v>
      </c>
      <c r="F48" s="459" t="s">
        <v>3628</v>
      </c>
      <c r="G48" s="459" t="s">
        <v>242</v>
      </c>
      <c r="H48" s="459" t="s">
        <v>243</v>
      </c>
      <c r="I48" s="459"/>
      <c r="J48" s="139">
        <v>44</v>
      </c>
      <c r="K48" s="139" t="s">
        <v>680</v>
      </c>
      <c r="L48" s="139"/>
      <c r="M48" s="140"/>
      <c r="N48" s="139"/>
      <c r="O48" s="459"/>
      <c r="P48" s="459"/>
      <c r="Q48" s="459"/>
      <c r="R48" s="459"/>
      <c r="S48" s="459"/>
      <c r="T48" s="130" t="s">
        <v>3629</v>
      </c>
      <c r="U48" s="441"/>
      <c r="V48" s="441"/>
      <c r="W48" s="441"/>
      <c r="X48" s="187"/>
      <c r="Y48" s="187"/>
      <c r="Z48" s="187"/>
      <c r="AA48" s="367"/>
      <c r="AB48" s="187"/>
      <c r="AC48" s="441"/>
      <c r="AD48" s="441"/>
      <c r="AE48" s="441"/>
    </row>
    <row r="49" spans="5:31" ht="25">
      <c r="E49" s="459" t="s">
        <v>55</v>
      </c>
      <c r="F49" s="459" t="s">
        <v>1003</v>
      </c>
      <c r="G49" s="459" t="s">
        <v>324</v>
      </c>
      <c r="H49" s="459" t="s">
        <v>243</v>
      </c>
      <c r="I49" s="459"/>
      <c r="J49" s="139">
        <v>45</v>
      </c>
      <c r="K49" s="139" t="s">
        <v>682</v>
      </c>
      <c r="L49" s="137" t="s">
        <v>3577</v>
      </c>
      <c r="M49" s="140" t="s">
        <v>1004</v>
      </c>
      <c r="N49" s="139"/>
      <c r="O49" s="459"/>
      <c r="P49" s="459"/>
      <c r="Q49" s="459"/>
      <c r="R49" s="459"/>
      <c r="S49" s="459"/>
      <c r="T49" s="130" t="s">
        <v>3630</v>
      </c>
      <c r="U49" s="441"/>
      <c r="V49" s="441"/>
      <c r="W49" s="441"/>
      <c r="X49" s="187">
        <v>99</v>
      </c>
      <c r="Y49" s="187" t="s">
        <v>3589</v>
      </c>
      <c r="Z49" s="120" t="s">
        <v>3579</v>
      </c>
      <c r="AA49" s="131">
        <v>43472</v>
      </c>
      <c r="AB49" s="187" t="s">
        <v>1057</v>
      </c>
      <c r="AC49" s="441"/>
      <c r="AD49" s="441"/>
      <c r="AE49" s="441"/>
    </row>
    <row r="50" spans="5:31" ht="25">
      <c r="E50" s="459" t="s">
        <v>55</v>
      </c>
      <c r="F50" s="459" t="s">
        <v>1005</v>
      </c>
      <c r="G50" s="459" t="s">
        <v>324</v>
      </c>
      <c r="H50" s="459" t="s">
        <v>243</v>
      </c>
      <c r="I50" s="459"/>
      <c r="J50" s="139">
        <v>46</v>
      </c>
      <c r="K50" s="139" t="s">
        <v>682</v>
      </c>
      <c r="L50" s="137" t="s">
        <v>3577</v>
      </c>
      <c r="M50" s="140" t="s">
        <v>1006</v>
      </c>
      <c r="N50" s="139"/>
      <c r="O50" s="459"/>
      <c r="P50" s="459"/>
      <c r="Q50" s="459"/>
      <c r="R50" s="459"/>
      <c r="S50" s="459"/>
      <c r="T50" s="130" t="s">
        <v>3631</v>
      </c>
      <c r="U50" s="441"/>
      <c r="V50" s="441"/>
      <c r="W50" s="441"/>
      <c r="X50" s="187">
        <v>99</v>
      </c>
      <c r="Y50" s="187" t="s">
        <v>3589</v>
      </c>
      <c r="Z50" s="120" t="s">
        <v>3579</v>
      </c>
      <c r="AA50" s="131">
        <v>43472</v>
      </c>
      <c r="AB50" s="187" t="s">
        <v>1057</v>
      </c>
      <c r="AC50" s="441"/>
      <c r="AD50" s="441"/>
      <c r="AE50" s="441"/>
    </row>
    <row r="51" spans="5:31" ht="25">
      <c r="E51" s="459" t="s">
        <v>55</v>
      </c>
      <c r="F51" s="459" t="s">
        <v>1007</v>
      </c>
      <c r="G51" s="459" t="s">
        <v>324</v>
      </c>
      <c r="H51" s="459" t="s">
        <v>243</v>
      </c>
      <c r="I51" s="459"/>
      <c r="J51" s="139">
        <v>47</v>
      </c>
      <c r="K51" s="139" t="s">
        <v>682</v>
      </c>
      <c r="L51" s="137" t="s">
        <v>3577</v>
      </c>
      <c r="M51" s="140" t="s">
        <v>1008</v>
      </c>
      <c r="N51" s="139"/>
      <c r="O51" s="459"/>
      <c r="P51" s="459"/>
      <c r="Q51" s="459"/>
      <c r="R51" s="459"/>
      <c r="S51" s="459"/>
      <c r="T51" s="130" t="s">
        <v>3632</v>
      </c>
      <c r="U51" s="441"/>
      <c r="V51" s="441"/>
      <c r="W51" s="441"/>
      <c r="X51" s="187">
        <v>99</v>
      </c>
      <c r="Y51" s="187" t="s">
        <v>3589</v>
      </c>
      <c r="Z51" s="120" t="s">
        <v>3579</v>
      </c>
      <c r="AA51" s="131">
        <v>43472</v>
      </c>
      <c r="AB51" s="187" t="s">
        <v>1057</v>
      </c>
      <c r="AC51" s="441"/>
      <c r="AD51" s="441"/>
      <c r="AE51" s="441"/>
    </row>
    <row r="52" spans="5:31" ht="25">
      <c r="E52" s="459" t="s">
        <v>55</v>
      </c>
      <c r="F52" s="459" t="s">
        <v>974</v>
      </c>
      <c r="G52" s="459" t="s">
        <v>925</v>
      </c>
      <c r="H52" s="459" t="s">
        <v>243</v>
      </c>
      <c r="I52" s="459"/>
      <c r="J52" s="139">
        <v>49</v>
      </c>
      <c r="K52" s="139" t="s">
        <v>682</v>
      </c>
      <c r="L52" s="137" t="s">
        <v>3577</v>
      </c>
      <c r="M52" s="140" t="s">
        <v>975</v>
      </c>
      <c r="N52" s="139"/>
      <c r="O52" s="459"/>
      <c r="P52" s="459"/>
      <c r="Q52" s="459"/>
      <c r="R52" s="459"/>
      <c r="S52" s="459"/>
      <c r="T52" s="130" t="s">
        <v>3633</v>
      </c>
      <c r="U52" s="441"/>
      <c r="V52" s="441"/>
      <c r="W52" s="441"/>
      <c r="X52" s="187">
        <v>9</v>
      </c>
      <c r="Y52" s="120"/>
      <c r="Z52" s="120" t="s">
        <v>3579</v>
      </c>
      <c r="AA52" s="131">
        <v>43472</v>
      </c>
      <c r="AB52" s="187" t="s">
        <v>1057</v>
      </c>
      <c r="AC52" s="441"/>
      <c r="AD52" s="441"/>
      <c r="AE52" s="441"/>
    </row>
    <row r="53" spans="5:31" ht="25">
      <c r="E53" s="459" t="s">
        <v>55</v>
      </c>
      <c r="F53" s="459" t="s">
        <v>994</v>
      </c>
      <c r="G53" s="459" t="s">
        <v>995</v>
      </c>
      <c r="H53" s="459" t="s">
        <v>243</v>
      </c>
      <c r="I53" s="459"/>
      <c r="J53" s="139">
        <v>50</v>
      </c>
      <c r="K53" s="139" t="s">
        <v>682</v>
      </c>
      <c r="L53" s="137" t="s">
        <v>3577</v>
      </c>
      <c r="M53" s="140" t="s">
        <v>996</v>
      </c>
      <c r="N53" s="139"/>
      <c r="O53" s="459"/>
      <c r="P53" s="459"/>
      <c r="Q53" s="459"/>
      <c r="R53" s="459"/>
      <c r="S53" s="459"/>
      <c r="T53" s="130" t="s">
        <v>3634</v>
      </c>
      <c r="U53" s="441"/>
      <c r="V53" s="441"/>
      <c r="W53" s="441"/>
      <c r="X53" s="187">
        <v>20</v>
      </c>
      <c r="Y53" s="120"/>
      <c r="Z53" s="120" t="s">
        <v>3579</v>
      </c>
      <c r="AA53" s="131">
        <v>43472</v>
      </c>
      <c r="AB53" s="187" t="s">
        <v>1057</v>
      </c>
      <c r="AC53" s="441"/>
      <c r="AD53" s="441"/>
      <c r="AE53" s="441"/>
    </row>
    <row r="54" spans="5:31" ht="12.5" hidden="1">
      <c r="E54" s="459" t="s">
        <v>53</v>
      </c>
      <c r="F54" s="459" t="s">
        <v>1288</v>
      </c>
      <c r="G54" s="459" t="s">
        <v>535</v>
      </c>
      <c r="H54" s="459" t="s">
        <v>903</v>
      </c>
      <c r="I54" s="459"/>
      <c r="J54" s="139">
        <v>59</v>
      </c>
      <c r="K54" s="139" t="s">
        <v>680</v>
      </c>
      <c r="L54" s="139"/>
      <c r="M54" s="140"/>
      <c r="N54" s="139"/>
      <c r="O54" s="459"/>
      <c r="P54" s="459"/>
      <c r="Q54" s="459"/>
      <c r="R54" s="459"/>
      <c r="S54" s="459"/>
      <c r="T54" s="186" t="s">
        <v>1190</v>
      </c>
      <c r="U54" s="441"/>
      <c r="V54" s="441"/>
      <c r="W54" s="441"/>
      <c r="X54" s="187"/>
      <c r="Y54" s="187"/>
      <c r="Z54" s="187"/>
      <c r="AA54" s="367"/>
      <c r="AB54" s="187"/>
      <c r="AC54" s="441"/>
      <c r="AD54" s="441"/>
      <c r="AE54" s="441"/>
    </row>
    <row r="55" spans="5:31" ht="12.5" hidden="1">
      <c r="E55" s="459" t="s">
        <v>53</v>
      </c>
      <c r="F55" s="459" t="s">
        <v>1289</v>
      </c>
      <c r="G55" s="459" t="s">
        <v>324</v>
      </c>
      <c r="H55" s="459" t="s">
        <v>243</v>
      </c>
      <c r="I55" s="459"/>
      <c r="J55" s="139">
        <v>51</v>
      </c>
      <c r="K55" s="139" t="s">
        <v>680</v>
      </c>
      <c r="L55" s="139"/>
      <c r="M55" s="140"/>
      <c r="N55" s="139"/>
      <c r="O55" s="459"/>
      <c r="P55" s="459"/>
      <c r="Q55" s="459"/>
      <c r="R55" s="459"/>
      <c r="S55" s="459"/>
      <c r="T55" s="186" t="s">
        <v>1190</v>
      </c>
      <c r="U55" s="441"/>
      <c r="V55" s="441"/>
      <c r="W55" s="441"/>
      <c r="X55" s="187"/>
      <c r="Y55" s="187"/>
      <c r="Z55" s="187"/>
      <c r="AA55" s="367"/>
      <c r="AB55" s="187"/>
      <c r="AC55" s="441"/>
      <c r="AD55" s="441"/>
      <c r="AE55" s="441"/>
    </row>
    <row r="56" spans="5:31" ht="12.5" hidden="1">
      <c r="E56" s="459" t="s">
        <v>53</v>
      </c>
      <c r="F56" s="459" t="s">
        <v>1290</v>
      </c>
      <c r="G56" s="459" t="s">
        <v>432</v>
      </c>
      <c r="H56" s="459" t="s">
        <v>243</v>
      </c>
      <c r="I56" s="459"/>
      <c r="J56" s="139">
        <v>42</v>
      </c>
      <c r="K56" s="139" t="s">
        <v>680</v>
      </c>
      <c r="L56" s="139"/>
      <c r="M56" s="140"/>
      <c r="N56" s="139"/>
      <c r="O56" s="459"/>
      <c r="P56" s="459"/>
      <c r="Q56" s="459"/>
      <c r="R56" s="459"/>
      <c r="S56" s="459"/>
      <c r="T56" s="186" t="s">
        <v>1190</v>
      </c>
      <c r="U56" s="441"/>
      <c r="V56" s="441"/>
      <c r="W56" s="441"/>
      <c r="X56" s="187"/>
      <c r="Y56" s="187"/>
      <c r="Z56" s="187"/>
      <c r="AA56" s="367"/>
      <c r="AB56" s="187"/>
      <c r="AC56" s="441"/>
      <c r="AD56" s="441"/>
      <c r="AE56" s="441"/>
    </row>
    <row r="57" spans="5:31" ht="12.5" hidden="1">
      <c r="E57" s="459" t="s">
        <v>53</v>
      </c>
      <c r="F57" s="459" t="s">
        <v>1291</v>
      </c>
      <c r="G57" s="459" t="s">
        <v>247</v>
      </c>
      <c r="H57" s="459" t="s">
        <v>243</v>
      </c>
      <c r="I57" s="459"/>
      <c r="J57" s="139">
        <v>43</v>
      </c>
      <c r="K57" s="139" t="s">
        <v>680</v>
      </c>
      <c r="L57" s="139"/>
      <c r="M57" s="140"/>
      <c r="N57" s="139"/>
      <c r="O57" s="459"/>
      <c r="P57" s="459"/>
      <c r="Q57" s="459"/>
      <c r="R57" s="459"/>
      <c r="S57" s="459"/>
      <c r="T57" s="186" t="s">
        <v>1190</v>
      </c>
      <c r="U57" s="441"/>
      <c r="V57" s="441"/>
      <c r="W57" s="441"/>
      <c r="X57" s="187"/>
      <c r="Y57" s="187"/>
      <c r="Z57" s="187"/>
      <c r="AA57" s="367"/>
      <c r="AB57" s="187"/>
      <c r="AC57" s="441"/>
      <c r="AD57" s="441"/>
      <c r="AE57" s="441"/>
    </row>
    <row r="58" spans="5:31" ht="12.5" hidden="1">
      <c r="E58" s="459" t="s">
        <v>53</v>
      </c>
      <c r="F58" s="459" t="s">
        <v>1292</v>
      </c>
      <c r="G58" s="459" t="s">
        <v>535</v>
      </c>
      <c r="H58" s="459" t="s">
        <v>243</v>
      </c>
      <c r="I58" s="459"/>
      <c r="J58" s="139">
        <v>48</v>
      </c>
      <c r="K58" s="139" t="s">
        <v>680</v>
      </c>
      <c r="L58" s="139"/>
      <c r="M58" s="140"/>
      <c r="N58" s="139"/>
      <c r="O58" s="459"/>
      <c r="P58" s="459"/>
      <c r="Q58" s="459"/>
      <c r="R58" s="459"/>
      <c r="S58" s="459"/>
      <c r="T58" s="186" t="s">
        <v>1190</v>
      </c>
      <c r="U58" s="441"/>
      <c r="V58" s="441"/>
      <c r="W58" s="441"/>
      <c r="X58" s="187"/>
      <c r="Y58" s="187"/>
      <c r="Z58" s="187"/>
      <c r="AA58" s="367"/>
      <c r="AB58" s="187"/>
      <c r="AC58" s="441"/>
      <c r="AD58" s="441"/>
      <c r="AE58" s="441"/>
    </row>
    <row r="59" spans="5:31" ht="12.5" hidden="1">
      <c r="E59" s="459" t="s">
        <v>53</v>
      </c>
      <c r="F59" s="459" t="s">
        <v>1293</v>
      </c>
      <c r="G59" s="459" t="s">
        <v>432</v>
      </c>
      <c r="H59" s="459" t="s">
        <v>243</v>
      </c>
      <c r="I59" s="459"/>
      <c r="J59" s="139">
        <v>52</v>
      </c>
      <c r="K59" s="139" t="s">
        <v>680</v>
      </c>
      <c r="L59" s="139"/>
      <c r="M59" s="140"/>
      <c r="N59" s="139"/>
      <c r="O59" s="459"/>
      <c r="P59" s="459"/>
      <c r="Q59" s="459"/>
      <c r="R59" s="459"/>
      <c r="S59" s="459"/>
      <c r="T59" s="186" t="s">
        <v>1190</v>
      </c>
      <c r="U59" s="441"/>
      <c r="V59" s="441"/>
      <c r="W59" s="441"/>
      <c r="X59" s="187"/>
      <c r="Y59" s="187"/>
      <c r="Z59" s="187"/>
      <c r="AA59" s="367"/>
      <c r="AB59" s="187"/>
      <c r="AC59" s="441"/>
      <c r="AD59" s="441"/>
      <c r="AE59" s="441"/>
    </row>
    <row r="60" spans="5:31" ht="25">
      <c r="E60" s="459" t="s">
        <v>55</v>
      </c>
      <c r="F60" s="459" t="s">
        <v>3554</v>
      </c>
      <c r="G60" s="186" t="s">
        <v>247</v>
      </c>
      <c r="H60" s="459" t="s">
        <v>243</v>
      </c>
      <c r="I60" s="459"/>
      <c r="J60" s="139"/>
      <c r="K60" s="139" t="s">
        <v>682</v>
      </c>
      <c r="L60" s="137" t="s">
        <v>3577</v>
      </c>
      <c r="M60" s="79" t="s">
        <v>3635</v>
      </c>
      <c r="N60" s="139"/>
      <c r="O60" s="459"/>
      <c r="P60" s="459"/>
      <c r="Q60" s="459"/>
      <c r="R60" s="459"/>
      <c r="S60" s="459"/>
      <c r="T60" s="130" t="s">
        <v>3636</v>
      </c>
      <c r="U60" s="441"/>
      <c r="V60" s="441"/>
      <c r="W60" s="441"/>
      <c r="X60" s="187"/>
      <c r="Y60" s="187"/>
      <c r="Z60" s="120"/>
      <c r="AA60" s="131"/>
      <c r="AB60" s="187"/>
      <c r="AC60" s="441"/>
      <c r="AD60" s="441"/>
      <c r="AE60" s="441"/>
    </row>
    <row r="61" spans="5:31" ht="54" customHeight="1">
      <c r="E61" s="459" t="s">
        <v>61</v>
      </c>
      <c r="F61" s="459" t="s">
        <v>123</v>
      </c>
      <c r="G61" s="459" t="s">
        <v>535</v>
      </c>
      <c r="H61" s="459" t="s">
        <v>243</v>
      </c>
      <c r="I61" s="459"/>
      <c r="J61" s="139">
        <v>60</v>
      </c>
      <c r="K61" s="139" t="s">
        <v>682</v>
      </c>
      <c r="L61" s="460" t="s">
        <v>1184</v>
      </c>
      <c r="M61" s="460" t="s">
        <v>3637</v>
      </c>
      <c r="N61" s="139"/>
      <c r="O61" s="459"/>
      <c r="P61" s="459"/>
      <c r="Q61" s="459"/>
      <c r="R61" s="459"/>
      <c r="S61" s="459"/>
      <c r="T61" s="130" t="s">
        <v>3638</v>
      </c>
      <c r="U61" s="441"/>
      <c r="V61" s="441"/>
      <c r="W61" s="441"/>
      <c r="X61" s="187"/>
      <c r="Y61" s="187"/>
      <c r="Z61" s="187"/>
      <c r="AA61" s="367"/>
      <c r="AB61" s="187"/>
      <c r="AC61" s="441"/>
      <c r="AD61" s="441"/>
      <c r="AE61" s="441"/>
    </row>
    <row r="62" spans="5:31" ht="50">
      <c r="E62" s="459" t="s">
        <v>55</v>
      </c>
      <c r="F62" s="459" t="s">
        <v>948</v>
      </c>
      <c r="G62" s="459" t="s">
        <v>925</v>
      </c>
      <c r="H62" s="459" t="s">
        <v>243</v>
      </c>
      <c r="I62" s="459"/>
      <c r="J62" s="139">
        <v>53</v>
      </c>
      <c r="K62" s="139" t="s">
        <v>682</v>
      </c>
      <c r="L62" s="460" t="s">
        <v>1184</v>
      </c>
      <c r="M62" s="460" t="s">
        <v>3639</v>
      </c>
      <c r="N62" s="139"/>
      <c r="O62" s="459"/>
      <c r="P62" s="459"/>
      <c r="Q62" s="459"/>
      <c r="R62" s="459"/>
      <c r="S62" s="459"/>
      <c r="T62" s="130" t="s">
        <v>3640</v>
      </c>
      <c r="U62" s="441"/>
      <c r="V62" s="441"/>
      <c r="W62" s="441"/>
      <c r="X62" s="187"/>
      <c r="Y62" s="187"/>
      <c r="Z62" s="187"/>
      <c r="AA62" s="367"/>
      <c r="AB62" s="187"/>
      <c r="AC62" s="441"/>
      <c r="AD62" s="441"/>
      <c r="AE62" s="441"/>
    </row>
    <row r="63" spans="5:31" ht="25">
      <c r="E63" s="459" t="s">
        <v>61</v>
      </c>
      <c r="F63" s="459" t="s">
        <v>968</v>
      </c>
      <c r="G63" s="459" t="s">
        <v>242</v>
      </c>
      <c r="H63" s="459" t="s">
        <v>243</v>
      </c>
      <c r="I63" s="459"/>
      <c r="J63" s="139">
        <v>54</v>
      </c>
      <c r="K63" s="139" t="s">
        <v>682</v>
      </c>
      <c r="L63" s="137" t="s">
        <v>3577</v>
      </c>
      <c r="M63" s="140" t="s">
        <v>969</v>
      </c>
      <c r="N63" s="139"/>
      <c r="O63" s="459"/>
      <c r="P63" s="459"/>
      <c r="Q63" s="459"/>
      <c r="R63" s="459"/>
      <c r="S63" s="459"/>
      <c r="T63" s="130" t="s">
        <v>3641</v>
      </c>
      <c r="U63" s="441"/>
      <c r="V63" s="441"/>
      <c r="W63" s="441"/>
      <c r="X63" s="187">
        <v>5</v>
      </c>
      <c r="Y63" s="120"/>
      <c r="Z63" s="120" t="s">
        <v>3579</v>
      </c>
      <c r="AA63" s="131">
        <v>43472</v>
      </c>
      <c r="AB63" s="187" t="s">
        <v>1057</v>
      </c>
      <c r="AC63" s="441"/>
      <c r="AD63" s="441"/>
      <c r="AE63" s="441"/>
    </row>
    <row r="64" spans="5:31" ht="12.5" hidden="1">
      <c r="E64" s="459" t="s">
        <v>55</v>
      </c>
      <c r="F64" s="459" t="s">
        <v>3642</v>
      </c>
      <c r="G64" s="459" t="s">
        <v>255</v>
      </c>
      <c r="H64" s="459" t="s">
        <v>243</v>
      </c>
      <c r="I64" s="459"/>
      <c r="J64" s="139">
        <v>55</v>
      </c>
      <c r="K64" s="139" t="s">
        <v>680</v>
      </c>
      <c r="L64" s="139"/>
      <c r="M64" s="140"/>
      <c r="N64" s="139"/>
      <c r="O64" s="459"/>
      <c r="P64" s="459"/>
      <c r="Q64" s="459"/>
      <c r="R64" s="459"/>
      <c r="S64" s="459"/>
      <c r="T64" s="130" t="s">
        <v>3643</v>
      </c>
      <c r="U64" s="441"/>
      <c r="V64" s="441"/>
      <c r="W64" s="441"/>
      <c r="X64" s="187"/>
      <c r="Y64" s="187"/>
      <c r="Z64" s="187"/>
      <c r="AA64" s="367"/>
      <c r="AB64" s="187"/>
      <c r="AC64" s="441"/>
      <c r="AD64" s="441"/>
      <c r="AE64" s="441"/>
    </row>
    <row r="65" spans="5:31" ht="12.5" hidden="1">
      <c r="E65" s="459" t="s">
        <v>55</v>
      </c>
      <c r="F65" s="459" t="s">
        <v>3644</v>
      </c>
      <c r="G65" s="459" t="s">
        <v>324</v>
      </c>
      <c r="H65" s="459" t="s">
        <v>243</v>
      </c>
      <c r="I65" s="459"/>
      <c r="J65" s="139">
        <v>56</v>
      </c>
      <c r="K65" s="139" t="s">
        <v>680</v>
      </c>
      <c r="L65" s="139"/>
      <c r="M65" s="140"/>
      <c r="N65" s="139"/>
      <c r="O65" s="459"/>
      <c r="P65" s="459"/>
      <c r="Q65" s="459"/>
      <c r="R65" s="459"/>
      <c r="S65" s="459"/>
      <c r="T65" s="130" t="s">
        <v>3645</v>
      </c>
      <c r="U65" s="441"/>
      <c r="V65" s="441"/>
      <c r="W65" s="441"/>
      <c r="X65" s="187"/>
      <c r="Y65" s="187"/>
      <c r="Z65" s="187"/>
      <c r="AA65" s="367"/>
      <c r="AB65" s="187"/>
      <c r="AC65" s="441"/>
      <c r="AD65" s="441"/>
      <c r="AE65" s="441"/>
    </row>
    <row r="66" spans="5:31" ht="25">
      <c r="E66" s="459" t="s">
        <v>55</v>
      </c>
      <c r="F66" s="459" t="s">
        <v>976</v>
      </c>
      <c r="G66" s="459" t="s">
        <v>925</v>
      </c>
      <c r="H66" s="459" t="s">
        <v>243</v>
      </c>
      <c r="I66" s="459"/>
      <c r="J66" s="139">
        <v>57</v>
      </c>
      <c r="K66" s="139" t="s">
        <v>682</v>
      </c>
      <c r="L66" s="137" t="s">
        <v>3577</v>
      </c>
      <c r="M66" s="140" t="s">
        <v>977</v>
      </c>
      <c r="N66" s="139"/>
      <c r="O66" s="459"/>
      <c r="P66" s="459"/>
      <c r="Q66" s="459"/>
      <c r="R66" s="459"/>
      <c r="S66" s="459"/>
      <c r="T66" s="130" t="s">
        <v>3646</v>
      </c>
      <c r="U66" s="441"/>
      <c r="V66" s="441"/>
      <c r="W66" s="441"/>
      <c r="X66" s="187">
        <v>10</v>
      </c>
      <c r="Y66" s="120"/>
      <c r="Z66" s="120" t="s">
        <v>3579</v>
      </c>
      <c r="AA66" s="131">
        <v>43472</v>
      </c>
      <c r="AB66" s="187" t="s">
        <v>1057</v>
      </c>
      <c r="AC66" s="441"/>
      <c r="AD66" s="441"/>
      <c r="AE66" s="441"/>
    </row>
  </sheetData>
  <autoFilter ref="E2:AE66" xr:uid="{00000000-0009-0000-0000-000016000000}">
    <filterColumn colId="6">
      <filters>
        <filter val="Y"/>
      </filters>
    </filterColumn>
  </autoFilter>
  <pageMargins left="0.7" right="0.7" top="0.75" bottom="0.75" header="0" footer="0"/>
  <pageSetup orientation="landscape"/>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EDE32B-2CD6-4F57-BCBE-0807AAFEA37B}">
  <sheetPr>
    <tabColor rgb="FFFFFFFF"/>
  </sheetPr>
  <dimension ref="A1:AG22"/>
  <sheetViews>
    <sheetView topLeftCell="B1" workbookViewId="0">
      <selection activeCell="N18" sqref="N18"/>
    </sheetView>
  </sheetViews>
  <sheetFormatPr defaultRowHeight="12.5"/>
  <cols>
    <col min="1" max="1" width="0" hidden="1" customWidth="1"/>
    <col min="2" max="2" width="13.54296875" customWidth="1"/>
    <col min="3" max="5" width="0" hidden="1" customWidth="1"/>
    <col min="6" max="6" width="20.54296875" customWidth="1"/>
    <col min="7" max="7" width="26.1796875" customWidth="1"/>
    <col min="9" max="9" width="6.26953125" customWidth="1"/>
    <col min="10" max="10" width="18.26953125" customWidth="1"/>
    <col min="12" max="12" width="13.453125" hidden="1" customWidth="1"/>
    <col min="13" max="13" width="40.26953125" customWidth="1"/>
    <col min="14" max="14" width="50.1796875" customWidth="1"/>
    <col min="15" max="15" width="25.54296875" customWidth="1"/>
    <col min="16" max="16" width="12.81640625" customWidth="1"/>
    <col min="17" max="17" width="32.7265625" customWidth="1"/>
    <col min="20" max="20" width="21.7265625" customWidth="1"/>
    <col min="21" max="21" width="65.81640625" bestFit="1" customWidth="1"/>
  </cols>
  <sheetData>
    <row r="1" spans="1:33">
      <c r="A1" s="701" t="s">
        <v>3647</v>
      </c>
      <c r="B1" s="701"/>
      <c r="C1" s="701"/>
      <c r="D1" s="701"/>
      <c r="E1" s="663" t="s">
        <v>3648</v>
      </c>
      <c r="F1" s="664" t="s">
        <v>3648</v>
      </c>
      <c r="G1" s="702" t="s">
        <v>3649</v>
      </c>
      <c r="H1" s="702"/>
      <c r="I1" s="702"/>
      <c r="J1" s="703"/>
      <c r="K1" s="704" t="s">
        <v>3650</v>
      </c>
      <c r="L1" s="704"/>
      <c r="M1" s="704"/>
      <c r="N1" s="704"/>
      <c r="O1" s="704"/>
      <c r="P1" s="704"/>
      <c r="Q1" s="704"/>
      <c r="R1" s="704"/>
      <c r="S1" s="704"/>
      <c r="T1" s="704"/>
      <c r="U1" s="705"/>
      <c r="V1" s="706" t="s">
        <v>3651</v>
      </c>
      <c r="W1" s="706"/>
      <c r="X1" s="706"/>
      <c r="Y1" s="475" t="s">
        <v>3648</v>
      </c>
      <c r="Z1" s="475" t="s">
        <v>3648</v>
      </c>
      <c r="AA1" s="475" t="s">
        <v>3648</v>
      </c>
      <c r="AB1" s="475" t="s">
        <v>3648</v>
      </c>
      <c r="AC1" s="475" t="s">
        <v>3648</v>
      </c>
      <c r="AD1" s="475" t="s">
        <v>3648</v>
      </c>
      <c r="AE1" s="475" t="s">
        <v>3648</v>
      </c>
      <c r="AF1" s="475" t="s">
        <v>3648</v>
      </c>
      <c r="AG1" s="475" t="s">
        <v>3648</v>
      </c>
    </row>
    <row r="2" spans="1:33">
      <c r="A2" s="476" t="s">
        <v>1042</v>
      </c>
      <c r="B2" s="477" t="s">
        <v>3652</v>
      </c>
      <c r="C2" s="477" t="s">
        <v>3653</v>
      </c>
      <c r="D2" s="477" t="s">
        <v>3654</v>
      </c>
      <c r="E2" s="477" t="s">
        <v>3655</v>
      </c>
      <c r="F2" s="477" t="s">
        <v>225</v>
      </c>
      <c r="G2" s="477" t="s">
        <v>226</v>
      </c>
      <c r="H2" s="477" t="s">
        <v>227</v>
      </c>
      <c r="I2" s="477" t="s">
        <v>1045</v>
      </c>
      <c r="J2" s="477" t="s">
        <v>3656</v>
      </c>
      <c r="K2" s="477" t="s">
        <v>1046</v>
      </c>
      <c r="L2" s="477" t="s">
        <v>1012</v>
      </c>
      <c r="M2" s="477" t="s">
        <v>100</v>
      </c>
      <c r="N2" s="477" t="s">
        <v>3657</v>
      </c>
      <c r="O2" s="477" t="s">
        <v>1044</v>
      </c>
      <c r="P2" s="477" t="s">
        <v>3658</v>
      </c>
      <c r="Q2" s="477" t="s">
        <v>3659</v>
      </c>
      <c r="R2" s="477" t="s">
        <v>105</v>
      </c>
      <c r="S2" s="477" t="s">
        <v>3660</v>
      </c>
      <c r="T2" s="477" t="s">
        <v>112</v>
      </c>
      <c r="U2" s="477" t="s">
        <v>2597</v>
      </c>
      <c r="V2" s="477" t="s">
        <v>3661</v>
      </c>
      <c r="W2" s="477" t="s">
        <v>3662</v>
      </c>
      <c r="X2" s="477" t="s">
        <v>3663</v>
      </c>
      <c r="Y2" s="475" t="s">
        <v>3648</v>
      </c>
      <c r="Z2" s="475" t="s">
        <v>3648</v>
      </c>
      <c r="AA2" s="475" t="s">
        <v>3648</v>
      </c>
      <c r="AB2" s="475" t="s">
        <v>3648</v>
      </c>
      <c r="AC2" s="475" t="s">
        <v>3648</v>
      </c>
      <c r="AD2" s="475" t="s">
        <v>3648</v>
      </c>
      <c r="AE2" s="475" t="s">
        <v>3648</v>
      </c>
      <c r="AF2" s="475" t="s">
        <v>3648</v>
      </c>
      <c r="AG2" s="475" t="s">
        <v>3648</v>
      </c>
    </row>
    <row r="3" spans="1:33">
      <c r="A3" s="129" t="s">
        <v>3648</v>
      </c>
      <c r="B3" s="478" t="s">
        <v>53</v>
      </c>
      <c r="C3" s="129" t="s">
        <v>3648</v>
      </c>
      <c r="D3" s="129" t="s">
        <v>3648</v>
      </c>
      <c r="E3" s="129" t="s">
        <v>3648</v>
      </c>
      <c r="F3" s="439" t="s">
        <v>124</v>
      </c>
      <c r="G3" s="439" t="s">
        <v>3664</v>
      </c>
      <c r="H3" s="129"/>
      <c r="I3" s="129">
        <v>1</v>
      </c>
      <c r="J3" s="129" t="s">
        <v>3648</v>
      </c>
      <c r="K3" s="129" t="s">
        <v>3648</v>
      </c>
      <c r="L3" s="129" t="s">
        <v>3648</v>
      </c>
      <c r="M3" s="129" t="s">
        <v>3648</v>
      </c>
      <c r="N3" s="129" t="s">
        <v>3648</v>
      </c>
      <c r="O3" s="129" t="s">
        <v>3648</v>
      </c>
      <c r="P3" s="129" t="s">
        <v>3648</v>
      </c>
      <c r="Q3" s="129" t="s">
        <v>3648</v>
      </c>
      <c r="R3" s="129" t="s">
        <v>3648</v>
      </c>
      <c r="S3" s="129" t="s">
        <v>3648</v>
      </c>
      <c r="U3" s="439" t="s">
        <v>1190</v>
      </c>
      <c r="V3" s="129" t="s">
        <v>3648</v>
      </c>
      <c r="W3" s="129" t="s">
        <v>3648</v>
      </c>
      <c r="X3" s="129" t="s">
        <v>3648</v>
      </c>
      <c r="Y3" s="129" t="s">
        <v>3648</v>
      </c>
      <c r="Z3" s="129" t="s">
        <v>3648</v>
      </c>
      <c r="AA3" s="129" t="s">
        <v>3648</v>
      </c>
      <c r="AB3" s="129" t="s">
        <v>3648</v>
      </c>
      <c r="AC3" s="129" t="s">
        <v>3648</v>
      </c>
      <c r="AD3" s="129" t="s">
        <v>3648</v>
      </c>
    </row>
    <row r="4" spans="1:33">
      <c r="A4" s="129" t="s">
        <v>3648</v>
      </c>
      <c r="B4" s="478" t="s">
        <v>53</v>
      </c>
      <c r="C4" s="129" t="s">
        <v>3648</v>
      </c>
      <c r="D4" s="129" t="s">
        <v>3648</v>
      </c>
      <c r="E4" s="129" t="s">
        <v>3648</v>
      </c>
      <c r="F4" s="439" t="s">
        <v>1189</v>
      </c>
      <c r="G4" s="439" t="s">
        <v>3665</v>
      </c>
      <c r="H4" s="129"/>
      <c r="I4" s="129">
        <v>2</v>
      </c>
      <c r="J4" s="129" t="s">
        <v>3648</v>
      </c>
      <c r="K4" s="129" t="s">
        <v>3648</v>
      </c>
      <c r="L4" s="129" t="s">
        <v>3648</v>
      </c>
      <c r="M4" s="129" t="s">
        <v>3648</v>
      </c>
      <c r="N4" s="129" t="s">
        <v>3648</v>
      </c>
      <c r="O4" s="129" t="s">
        <v>3648</v>
      </c>
      <c r="P4" s="129" t="s">
        <v>3648</v>
      </c>
      <c r="Q4" s="129" t="s">
        <v>3648</v>
      </c>
      <c r="R4" s="129" t="s">
        <v>3648</v>
      </c>
      <c r="S4" s="129" t="s">
        <v>3648</v>
      </c>
      <c r="U4" s="439" t="s">
        <v>1190</v>
      </c>
      <c r="V4" s="129" t="s">
        <v>3648</v>
      </c>
      <c r="W4" s="129" t="s">
        <v>3648</v>
      </c>
      <c r="X4" s="129" t="s">
        <v>3648</v>
      </c>
      <c r="Y4" s="129" t="s">
        <v>3648</v>
      </c>
      <c r="Z4" s="129" t="s">
        <v>3648</v>
      </c>
      <c r="AA4" s="129" t="s">
        <v>3648</v>
      </c>
      <c r="AB4" s="129" t="s">
        <v>3648</v>
      </c>
      <c r="AC4" s="129" t="s">
        <v>3648</v>
      </c>
      <c r="AD4" s="129" t="s">
        <v>3648</v>
      </c>
    </row>
    <row r="5" spans="1:33">
      <c r="A5" s="129" t="s">
        <v>3648</v>
      </c>
      <c r="B5" s="478" t="s">
        <v>53</v>
      </c>
      <c r="C5" s="129" t="s">
        <v>3648</v>
      </c>
      <c r="D5" s="129" t="s">
        <v>3648</v>
      </c>
      <c r="E5" s="129" t="s">
        <v>3648</v>
      </c>
      <c r="F5" s="439" t="s">
        <v>1191</v>
      </c>
      <c r="G5" s="439" t="s">
        <v>3666</v>
      </c>
      <c r="H5" s="129"/>
      <c r="I5" s="129">
        <v>3</v>
      </c>
      <c r="J5" s="129" t="s">
        <v>3648</v>
      </c>
      <c r="K5" s="129" t="s">
        <v>3648</v>
      </c>
      <c r="L5" s="129" t="s">
        <v>3648</v>
      </c>
      <c r="M5" s="129" t="s">
        <v>3648</v>
      </c>
      <c r="N5" s="129" t="s">
        <v>3648</v>
      </c>
      <c r="O5" s="129" t="s">
        <v>3648</v>
      </c>
      <c r="P5" s="129" t="s">
        <v>3648</v>
      </c>
      <c r="Q5" s="129" t="s">
        <v>3648</v>
      </c>
      <c r="R5" s="129" t="s">
        <v>3648</v>
      </c>
      <c r="S5" s="129" t="s">
        <v>3648</v>
      </c>
      <c r="U5" s="439" t="s">
        <v>1190</v>
      </c>
      <c r="W5" s="129" t="s">
        <v>3648</v>
      </c>
      <c r="X5" s="129" t="s">
        <v>3648</v>
      </c>
      <c r="Y5" s="129" t="s">
        <v>3648</v>
      </c>
      <c r="Z5" s="129" t="s">
        <v>3648</v>
      </c>
      <c r="AA5" s="129" t="s">
        <v>3648</v>
      </c>
      <c r="AB5" s="129" t="s">
        <v>3648</v>
      </c>
      <c r="AC5" s="129" t="s">
        <v>3648</v>
      </c>
      <c r="AD5" s="129" t="s">
        <v>3648</v>
      </c>
      <c r="AE5" s="129" t="s">
        <v>3648</v>
      </c>
    </row>
    <row r="6" spans="1:33">
      <c r="A6" s="129" t="s">
        <v>3648</v>
      </c>
      <c r="B6" s="478" t="s">
        <v>53</v>
      </c>
      <c r="C6" s="129" t="s">
        <v>3648</v>
      </c>
      <c r="D6" s="129" t="s">
        <v>3648</v>
      </c>
      <c r="E6" s="129" t="s">
        <v>3648</v>
      </c>
      <c r="F6" s="439" t="s">
        <v>1192</v>
      </c>
      <c r="G6" s="439" t="s">
        <v>3667</v>
      </c>
      <c r="H6" s="129"/>
      <c r="I6" s="129">
        <v>4</v>
      </c>
      <c r="J6" s="129" t="s">
        <v>3648</v>
      </c>
      <c r="K6" s="129" t="s">
        <v>3648</v>
      </c>
      <c r="L6" s="129" t="s">
        <v>3648</v>
      </c>
      <c r="M6" s="129" t="s">
        <v>3648</v>
      </c>
      <c r="N6" s="129" t="s">
        <v>3648</v>
      </c>
      <c r="O6" s="129" t="s">
        <v>3648</v>
      </c>
      <c r="P6" s="129" t="s">
        <v>3648</v>
      </c>
      <c r="Q6" s="129" t="s">
        <v>3648</v>
      </c>
      <c r="R6" s="129" t="s">
        <v>3648</v>
      </c>
      <c r="S6" s="129" t="s">
        <v>3648</v>
      </c>
      <c r="U6" s="439" t="s">
        <v>1190</v>
      </c>
      <c r="V6" s="129" t="s">
        <v>3648</v>
      </c>
      <c r="W6" s="129" t="s">
        <v>3648</v>
      </c>
      <c r="X6" s="129" t="s">
        <v>3648</v>
      </c>
      <c r="Y6" s="129" t="s">
        <v>3648</v>
      </c>
      <c r="Z6" s="129" t="s">
        <v>3648</v>
      </c>
      <c r="AA6" s="129" t="s">
        <v>3648</v>
      </c>
      <c r="AB6" s="129" t="s">
        <v>3648</v>
      </c>
      <c r="AC6" s="129" t="s">
        <v>3648</v>
      </c>
      <c r="AD6" s="129" t="s">
        <v>3648</v>
      </c>
    </row>
    <row r="7" spans="1:33">
      <c r="A7" s="129" t="s">
        <v>3648</v>
      </c>
      <c r="B7" s="478" t="s">
        <v>53</v>
      </c>
      <c r="C7" s="129" t="s">
        <v>3648</v>
      </c>
      <c r="D7" s="129" t="s">
        <v>3648</v>
      </c>
      <c r="E7" s="129" t="s">
        <v>3648</v>
      </c>
      <c r="F7" s="439" t="s">
        <v>1193</v>
      </c>
      <c r="G7" s="439" t="s">
        <v>3668</v>
      </c>
      <c r="H7" s="129"/>
      <c r="I7" s="129">
        <v>5</v>
      </c>
      <c r="J7" s="129" t="s">
        <v>3648</v>
      </c>
      <c r="K7" s="478" t="s">
        <v>3648</v>
      </c>
      <c r="L7" s="478" t="s">
        <v>3648</v>
      </c>
      <c r="M7" s="478" t="s">
        <v>3648</v>
      </c>
      <c r="N7" s="478" t="s">
        <v>3648</v>
      </c>
      <c r="O7" s="478" t="s">
        <v>3648</v>
      </c>
      <c r="P7" s="478" t="s">
        <v>3648</v>
      </c>
      <c r="Q7" s="478" t="s">
        <v>3648</v>
      </c>
      <c r="R7" s="478" t="s">
        <v>3648</v>
      </c>
      <c r="S7" s="478" t="s">
        <v>3648</v>
      </c>
      <c r="U7" s="439" t="s">
        <v>1190</v>
      </c>
      <c r="V7" s="129" t="s">
        <v>3648</v>
      </c>
      <c r="W7" s="129" t="s">
        <v>3648</v>
      </c>
      <c r="X7" s="129" t="s">
        <v>3648</v>
      </c>
      <c r="Y7" s="129" t="s">
        <v>3648</v>
      </c>
      <c r="Z7" s="129" t="s">
        <v>3648</v>
      </c>
      <c r="AA7" s="129" t="s">
        <v>3648</v>
      </c>
      <c r="AB7" s="129" t="s">
        <v>3648</v>
      </c>
      <c r="AC7" s="129" t="s">
        <v>3648</v>
      </c>
      <c r="AD7" s="129" t="s">
        <v>3648</v>
      </c>
    </row>
    <row r="8" spans="1:33">
      <c r="A8" s="129" t="s">
        <v>3648</v>
      </c>
      <c r="B8" s="478" t="s">
        <v>53</v>
      </c>
      <c r="C8" s="129" t="s">
        <v>3648</v>
      </c>
      <c r="D8" s="129" t="s">
        <v>3648</v>
      </c>
      <c r="E8" s="129" t="s">
        <v>3648</v>
      </c>
      <c r="F8" s="439" t="s">
        <v>1194</v>
      </c>
      <c r="G8" s="439" t="s">
        <v>3666</v>
      </c>
      <c r="H8" s="129"/>
      <c r="I8" s="129">
        <v>6</v>
      </c>
      <c r="J8" s="129" t="s">
        <v>3648</v>
      </c>
      <c r="K8" s="129" t="s">
        <v>3648</v>
      </c>
      <c r="L8" s="478" t="s">
        <v>3648</v>
      </c>
      <c r="M8" s="478" t="s">
        <v>3648</v>
      </c>
      <c r="N8" s="478" t="s">
        <v>3648</v>
      </c>
      <c r="O8" s="478" t="s">
        <v>3648</v>
      </c>
      <c r="P8" s="478" t="s">
        <v>3648</v>
      </c>
      <c r="Q8" s="478" t="s">
        <v>3648</v>
      </c>
      <c r="R8" s="478" t="s">
        <v>3648</v>
      </c>
      <c r="S8" s="478" t="s">
        <v>3648</v>
      </c>
      <c r="U8" s="439" t="s">
        <v>1190</v>
      </c>
      <c r="V8" s="439"/>
      <c r="W8" s="129" t="s">
        <v>3648</v>
      </c>
      <c r="X8" s="129" t="s">
        <v>3648</v>
      </c>
      <c r="Y8" s="129" t="s">
        <v>3648</v>
      </c>
      <c r="Z8" s="129" t="s">
        <v>3648</v>
      </c>
      <c r="AA8" s="129" t="s">
        <v>3648</v>
      </c>
      <c r="AB8" s="129" t="s">
        <v>3648</v>
      </c>
      <c r="AC8" s="129" t="s">
        <v>3648</v>
      </c>
      <c r="AD8" s="129" t="s">
        <v>3648</v>
      </c>
      <c r="AE8" s="129" t="s">
        <v>3648</v>
      </c>
    </row>
    <row r="9" spans="1:33">
      <c r="A9" s="129" t="s">
        <v>3648</v>
      </c>
      <c r="B9" s="478" t="s">
        <v>53</v>
      </c>
      <c r="C9" s="129" t="s">
        <v>3648</v>
      </c>
      <c r="D9" s="129" t="s">
        <v>3648</v>
      </c>
      <c r="E9" s="129" t="s">
        <v>3648</v>
      </c>
      <c r="F9" s="439" t="s">
        <v>1195</v>
      </c>
      <c r="G9" s="439" t="s">
        <v>3669</v>
      </c>
      <c r="H9" s="129"/>
      <c r="I9" s="129">
        <v>7</v>
      </c>
      <c r="J9" s="129" t="s">
        <v>3648</v>
      </c>
      <c r="K9" s="478" t="s">
        <v>3648</v>
      </c>
      <c r="L9" s="478" t="s">
        <v>3648</v>
      </c>
      <c r="M9" s="478" t="s">
        <v>3648</v>
      </c>
      <c r="N9" s="478" t="s">
        <v>3648</v>
      </c>
      <c r="O9" s="478" t="s">
        <v>3648</v>
      </c>
      <c r="P9" s="478" t="s">
        <v>3648</v>
      </c>
      <c r="Q9" s="478" t="s">
        <v>3648</v>
      </c>
      <c r="R9" s="478" t="s">
        <v>3648</v>
      </c>
      <c r="S9" s="478" t="s">
        <v>3648</v>
      </c>
      <c r="U9" s="439" t="s">
        <v>1190</v>
      </c>
      <c r="V9" s="129" t="s">
        <v>3648</v>
      </c>
      <c r="W9" s="129" t="s">
        <v>3648</v>
      </c>
      <c r="X9" s="129" t="s">
        <v>3648</v>
      </c>
      <c r="Y9" s="129" t="s">
        <v>3648</v>
      </c>
      <c r="Z9" s="129" t="s">
        <v>3648</v>
      </c>
      <c r="AA9" s="129" t="s">
        <v>3648</v>
      </c>
      <c r="AB9" s="129" t="s">
        <v>3648</v>
      </c>
      <c r="AC9" s="129" t="s">
        <v>3648</v>
      </c>
      <c r="AD9" s="129" t="s">
        <v>3648</v>
      </c>
    </row>
    <row r="10" spans="1:33">
      <c r="A10" s="129" t="s">
        <v>3648</v>
      </c>
      <c r="B10" s="478" t="s">
        <v>53</v>
      </c>
      <c r="C10" s="129" t="s">
        <v>3648</v>
      </c>
      <c r="D10" s="129" t="s">
        <v>3648</v>
      </c>
      <c r="E10" s="129" t="s">
        <v>3648</v>
      </c>
      <c r="F10" s="439" t="s">
        <v>1196</v>
      </c>
      <c r="G10" s="439" t="s">
        <v>3664</v>
      </c>
      <c r="H10" s="129"/>
      <c r="I10" s="129">
        <v>8</v>
      </c>
      <c r="J10" s="129" t="s">
        <v>3648</v>
      </c>
      <c r="K10" s="478" t="s">
        <v>3648</v>
      </c>
      <c r="L10" s="478" t="s">
        <v>3648</v>
      </c>
      <c r="M10" s="478" t="s">
        <v>3648</v>
      </c>
      <c r="N10" s="478" t="s">
        <v>3648</v>
      </c>
      <c r="O10" s="478" t="s">
        <v>3648</v>
      </c>
      <c r="P10" s="478" t="s">
        <v>3648</v>
      </c>
      <c r="Q10" s="478" t="s">
        <v>3648</v>
      </c>
      <c r="R10" s="478" t="s">
        <v>3648</v>
      </c>
      <c r="S10" s="478" t="s">
        <v>3648</v>
      </c>
      <c r="U10" s="439" t="s">
        <v>1190</v>
      </c>
      <c r="V10" s="129" t="s">
        <v>3648</v>
      </c>
      <c r="W10" s="129" t="s">
        <v>3648</v>
      </c>
      <c r="X10" s="129" t="s">
        <v>3648</v>
      </c>
      <c r="Y10" s="129" t="s">
        <v>3648</v>
      </c>
      <c r="Z10" s="129" t="s">
        <v>3648</v>
      </c>
      <c r="AA10" s="129" t="s">
        <v>3648</v>
      </c>
      <c r="AB10" s="129" t="s">
        <v>3648</v>
      </c>
      <c r="AC10" s="129" t="s">
        <v>3648</v>
      </c>
      <c r="AD10" s="129" t="s">
        <v>3648</v>
      </c>
    </row>
    <row r="11" spans="1:33" ht="26.25" customHeight="1">
      <c r="A11" s="129" t="s">
        <v>3648</v>
      </c>
      <c r="B11" s="439" t="s">
        <v>55</v>
      </c>
      <c r="C11" s="129" t="s">
        <v>3648</v>
      </c>
      <c r="D11" s="129" t="s">
        <v>3648</v>
      </c>
      <c r="E11" s="129" t="s">
        <v>3648</v>
      </c>
      <c r="F11" s="439" t="s">
        <v>920</v>
      </c>
      <c r="G11" s="439" t="s">
        <v>3670</v>
      </c>
      <c r="H11" s="439"/>
      <c r="I11">
        <v>9</v>
      </c>
      <c r="J11" s="439" t="s">
        <v>3671</v>
      </c>
      <c r="K11" s="129" t="s">
        <v>682</v>
      </c>
      <c r="M11" s="479" t="s">
        <v>1184</v>
      </c>
      <c r="N11" s="479" t="s">
        <v>3672</v>
      </c>
      <c r="O11" s="479"/>
      <c r="Q11" s="478" t="s">
        <v>3648</v>
      </c>
      <c r="R11" s="478" t="s">
        <v>3648</v>
      </c>
      <c r="S11" s="478" t="s">
        <v>3648</v>
      </c>
      <c r="T11" s="458" t="s">
        <v>3673</v>
      </c>
      <c r="U11" s="439" t="s">
        <v>3674</v>
      </c>
      <c r="V11" s="129" t="s">
        <v>3648</v>
      </c>
      <c r="W11" s="129" t="s">
        <v>3648</v>
      </c>
      <c r="X11" s="129" t="s">
        <v>3648</v>
      </c>
      <c r="Y11" s="129" t="s">
        <v>3648</v>
      </c>
      <c r="Z11" s="129" t="s">
        <v>3648</v>
      </c>
      <c r="AA11" s="129" t="s">
        <v>3648</v>
      </c>
      <c r="AB11" s="129" t="s">
        <v>3648</v>
      </c>
      <c r="AC11" s="129" t="s">
        <v>3648</v>
      </c>
      <c r="AD11" s="129" t="s">
        <v>3648</v>
      </c>
    </row>
    <row r="12" spans="1:33" ht="26.25" customHeight="1">
      <c r="A12" s="129" t="s">
        <v>3648</v>
      </c>
      <c r="B12" s="439" t="s">
        <v>61</v>
      </c>
      <c r="C12" s="129" t="s">
        <v>3648</v>
      </c>
      <c r="D12" s="129" t="s">
        <v>3648</v>
      </c>
      <c r="E12" s="129" t="s">
        <v>3648</v>
      </c>
      <c r="F12" s="439" t="s">
        <v>3675</v>
      </c>
      <c r="G12" s="439" t="s">
        <v>3676</v>
      </c>
      <c r="H12" s="439"/>
      <c r="I12">
        <v>10</v>
      </c>
      <c r="J12" s="439" t="s">
        <v>3671</v>
      </c>
      <c r="K12" s="129" t="s">
        <v>682</v>
      </c>
      <c r="M12" s="479" t="s">
        <v>3677</v>
      </c>
      <c r="N12" s="479" t="s">
        <v>3678</v>
      </c>
      <c r="O12" s="479" t="s">
        <v>3648</v>
      </c>
      <c r="Q12" s="478" t="s">
        <v>3679</v>
      </c>
      <c r="R12" s="478" t="s">
        <v>3648</v>
      </c>
      <c r="S12" s="478" t="s">
        <v>3648</v>
      </c>
      <c r="T12" s="458">
        <v>900001525</v>
      </c>
      <c r="U12" s="439" t="s">
        <v>3680</v>
      </c>
      <c r="V12" s="129" t="s">
        <v>3648</v>
      </c>
      <c r="W12" s="129" t="s">
        <v>3648</v>
      </c>
      <c r="X12" s="129" t="s">
        <v>3648</v>
      </c>
      <c r="Y12" s="129" t="s">
        <v>3648</v>
      </c>
      <c r="Z12" s="129" t="s">
        <v>3648</v>
      </c>
      <c r="AA12" s="129" t="s">
        <v>3648</v>
      </c>
      <c r="AB12" s="129" t="s">
        <v>3648</v>
      </c>
      <c r="AC12" s="129" t="s">
        <v>3648</v>
      </c>
      <c r="AD12" s="129" t="s">
        <v>3648</v>
      </c>
    </row>
    <row r="13" spans="1:33" ht="26.25" customHeight="1">
      <c r="A13" s="129" t="s">
        <v>3648</v>
      </c>
      <c r="B13" s="439" t="s">
        <v>3681</v>
      </c>
      <c r="C13" s="129" t="s">
        <v>3648</v>
      </c>
      <c r="D13" s="129" t="s">
        <v>3648</v>
      </c>
      <c r="E13" s="129" t="s">
        <v>3648</v>
      </c>
      <c r="F13" s="439" t="s">
        <v>1299</v>
      </c>
      <c r="G13" s="439" t="s">
        <v>1853</v>
      </c>
      <c r="H13" s="439"/>
      <c r="I13">
        <v>11</v>
      </c>
      <c r="J13" s="439" t="s">
        <v>3671</v>
      </c>
      <c r="K13" s="129" t="s">
        <v>682</v>
      </c>
      <c r="M13" s="479" t="s">
        <v>3677</v>
      </c>
      <c r="N13" s="479" t="s">
        <v>3682</v>
      </c>
      <c r="O13" s="478" t="s">
        <v>3648</v>
      </c>
      <c r="P13" s="478" t="s">
        <v>3648</v>
      </c>
      <c r="Q13" s="478" t="s">
        <v>3648</v>
      </c>
      <c r="R13" s="478" t="s">
        <v>3648</v>
      </c>
      <c r="S13" s="478" t="s">
        <v>3648</v>
      </c>
      <c r="T13" s="458">
        <v>365978</v>
      </c>
      <c r="U13" s="439" t="s">
        <v>3683</v>
      </c>
      <c r="V13" s="129" t="s">
        <v>3648</v>
      </c>
      <c r="W13" s="129" t="s">
        <v>3648</v>
      </c>
      <c r="X13" s="129" t="s">
        <v>3648</v>
      </c>
      <c r="Y13" s="129" t="s">
        <v>3648</v>
      </c>
      <c r="Z13" s="129" t="s">
        <v>3648</v>
      </c>
      <c r="AA13" s="129" t="s">
        <v>3648</v>
      </c>
    </row>
    <row r="14" spans="1:33">
      <c r="A14" s="129" t="s">
        <v>3648</v>
      </c>
      <c r="B14" s="478" t="s">
        <v>53</v>
      </c>
      <c r="C14" s="129" t="s">
        <v>3648</v>
      </c>
      <c r="D14" s="129" t="s">
        <v>3648</v>
      </c>
      <c r="E14" s="129" t="s">
        <v>3648</v>
      </c>
      <c r="F14" s="439" t="s">
        <v>1406</v>
      </c>
      <c r="G14" s="439" t="s">
        <v>3664</v>
      </c>
      <c r="H14" s="129"/>
      <c r="I14" s="129">
        <v>12</v>
      </c>
      <c r="J14" s="129" t="s">
        <v>3648</v>
      </c>
      <c r="K14" s="478" t="s">
        <v>3648</v>
      </c>
      <c r="L14" s="478" t="s">
        <v>3648</v>
      </c>
      <c r="M14" s="478" t="s">
        <v>3648</v>
      </c>
      <c r="N14" s="478" t="s">
        <v>3648</v>
      </c>
      <c r="O14" s="478" t="s">
        <v>3648</v>
      </c>
      <c r="P14" s="478" t="s">
        <v>3648</v>
      </c>
      <c r="Q14" s="478" t="s">
        <v>3648</v>
      </c>
      <c r="R14" s="478" t="s">
        <v>3648</v>
      </c>
      <c r="S14" s="478" t="s">
        <v>3648</v>
      </c>
      <c r="U14" s="439" t="s">
        <v>1190</v>
      </c>
      <c r="V14" s="129" t="s">
        <v>3648</v>
      </c>
      <c r="W14" s="129" t="s">
        <v>3648</v>
      </c>
      <c r="X14" s="129" t="s">
        <v>3648</v>
      </c>
      <c r="Y14" s="129" t="s">
        <v>3648</v>
      </c>
      <c r="Z14" s="129" t="s">
        <v>3648</v>
      </c>
      <c r="AA14" s="129" t="s">
        <v>3648</v>
      </c>
      <c r="AB14" s="129" t="s">
        <v>3648</v>
      </c>
      <c r="AC14" s="129" t="s">
        <v>3648</v>
      </c>
      <c r="AD14" s="129" t="s">
        <v>3648</v>
      </c>
    </row>
    <row r="15" spans="1:33" ht="25.5" customHeight="1">
      <c r="A15" s="129" t="s">
        <v>3648</v>
      </c>
      <c r="B15" s="478" t="s">
        <v>3681</v>
      </c>
      <c r="C15" s="129" t="s">
        <v>3648</v>
      </c>
      <c r="D15" s="129" t="s">
        <v>3648</v>
      </c>
      <c r="E15" s="129" t="s">
        <v>3648</v>
      </c>
      <c r="F15" s="439" t="s">
        <v>123</v>
      </c>
      <c r="G15" s="439" t="s">
        <v>1853</v>
      </c>
      <c r="H15" s="439"/>
      <c r="I15" s="439">
        <v>13</v>
      </c>
      <c r="J15" s="439" t="s">
        <v>3671</v>
      </c>
      <c r="K15" s="129" t="s">
        <v>682</v>
      </c>
      <c r="L15" s="478" t="s">
        <v>3648</v>
      </c>
      <c r="M15" t="s">
        <v>1184</v>
      </c>
      <c r="N15" t="s">
        <v>3684</v>
      </c>
      <c r="O15" s="129" t="s">
        <v>3648</v>
      </c>
      <c r="P15" s="129" t="s">
        <v>3648</v>
      </c>
      <c r="Q15" s="479"/>
      <c r="R15" s="129" t="s">
        <v>3648</v>
      </c>
      <c r="S15" s="129" t="s">
        <v>3648</v>
      </c>
      <c r="T15" s="129" t="s">
        <v>3648</v>
      </c>
      <c r="U15" s="439" t="s">
        <v>1190</v>
      </c>
      <c r="V15" s="129" t="s">
        <v>3648</v>
      </c>
      <c r="W15" s="129" t="s">
        <v>3648</v>
      </c>
      <c r="X15" s="129" t="s">
        <v>3648</v>
      </c>
    </row>
    <row r="16" spans="1:33">
      <c r="A16" s="129"/>
      <c r="B16" s="129"/>
      <c r="C16" s="129"/>
      <c r="D16" s="129"/>
      <c r="E16" s="129"/>
      <c r="F16" s="129"/>
      <c r="G16" s="129"/>
      <c r="H16" s="129"/>
      <c r="I16" s="129"/>
      <c r="J16" s="129"/>
      <c r="K16" s="129"/>
      <c r="L16" s="478" t="s">
        <v>3648</v>
      </c>
      <c r="M16" s="478" t="s">
        <v>3648</v>
      </c>
      <c r="N16" s="478" t="s">
        <v>3648</v>
      </c>
      <c r="O16" s="478" t="s">
        <v>3648</v>
      </c>
      <c r="P16" s="478" t="s">
        <v>3648</v>
      </c>
      <c r="Q16" s="478" t="s">
        <v>3648</v>
      </c>
      <c r="R16" s="478" t="s">
        <v>3648</v>
      </c>
      <c r="S16" s="478" t="s">
        <v>3648</v>
      </c>
      <c r="T16" s="478" t="s">
        <v>3648</v>
      </c>
      <c r="U16" s="129"/>
      <c r="V16" s="129"/>
      <c r="W16" s="129"/>
      <c r="X16" s="129"/>
      <c r="Y16" s="129"/>
      <c r="Z16" s="129"/>
      <c r="AA16" s="129"/>
      <c r="AB16" s="129"/>
      <c r="AC16" s="129"/>
      <c r="AD16" s="129"/>
      <c r="AE16" s="129"/>
      <c r="AF16" s="129"/>
      <c r="AG16" s="129"/>
    </row>
    <row r="17" spans="1:33">
      <c r="A17" s="129"/>
      <c r="B17" s="129"/>
      <c r="C17" s="129"/>
      <c r="D17" s="129"/>
      <c r="E17" s="129"/>
      <c r="F17" s="129"/>
      <c r="G17" s="129"/>
      <c r="H17" s="129"/>
      <c r="I17" s="129"/>
      <c r="J17" s="129"/>
      <c r="K17" s="129"/>
      <c r="L17" s="478" t="s">
        <v>3648</v>
      </c>
      <c r="M17" s="478" t="s">
        <v>3648</v>
      </c>
      <c r="N17" s="478" t="s">
        <v>3648</v>
      </c>
      <c r="O17" s="478" t="s">
        <v>3648</v>
      </c>
      <c r="P17" s="478" t="s">
        <v>3648</v>
      </c>
      <c r="Q17" s="478" t="s">
        <v>3648</v>
      </c>
      <c r="R17" s="478" t="s">
        <v>3648</v>
      </c>
      <c r="S17" s="478" t="s">
        <v>3648</v>
      </c>
      <c r="T17" s="478" t="s">
        <v>3648</v>
      </c>
      <c r="U17" s="129"/>
      <c r="V17" s="129"/>
      <c r="W17" s="129"/>
      <c r="X17" s="129"/>
      <c r="Y17" s="129"/>
      <c r="Z17" s="129"/>
      <c r="AA17" s="129"/>
      <c r="AB17" s="129"/>
      <c r="AC17" s="129"/>
      <c r="AD17" s="129"/>
      <c r="AE17" s="129"/>
      <c r="AF17" s="129"/>
      <c r="AG17" s="129"/>
    </row>
    <row r="18" spans="1:33">
      <c r="A18" s="129"/>
      <c r="B18" s="129"/>
      <c r="C18" s="129"/>
      <c r="D18" s="129"/>
      <c r="E18" s="129"/>
      <c r="F18" s="129"/>
      <c r="G18" s="129"/>
      <c r="H18" s="129"/>
      <c r="I18" s="129"/>
      <c r="J18" s="129"/>
      <c r="K18" s="129"/>
      <c r="L18" s="478" t="s">
        <v>3648</v>
      </c>
      <c r="M18" s="478" t="s">
        <v>3648</v>
      </c>
      <c r="N18" s="478" t="s">
        <v>3648</v>
      </c>
      <c r="O18" s="478" t="s">
        <v>3648</v>
      </c>
      <c r="P18" s="478" t="s">
        <v>3648</v>
      </c>
      <c r="Q18" s="478" t="s">
        <v>3648</v>
      </c>
      <c r="R18" s="478" t="s">
        <v>3648</v>
      </c>
      <c r="S18" s="478" t="s">
        <v>3648</v>
      </c>
      <c r="T18" s="478" t="s">
        <v>3648</v>
      </c>
      <c r="U18" s="129"/>
      <c r="V18" s="129"/>
      <c r="W18" s="129"/>
      <c r="X18" s="129"/>
      <c r="Y18" s="129"/>
      <c r="Z18" s="129"/>
      <c r="AA18" s="129"/>
      <c r="AB18" s="129"/>
      <c r="AC18" s="129"/>
      <c r="AD18" s="129"/>
      <c r="AE18" s="129"/>
      <c r="AF18" s="129"/>
      <c r="AG18" s="129"/>
    </row>
    <row r="19" spans="1:33">
      <c r="A19" s="129"/>
      <c r="B19" s="129"/>
      <c r="C19" s="129"/>
      <c r="D19" s="129"/>
      <c r="E19" s="129"/>
      <c r="F19" s="129"/>
      <c r="G19" s="129"/>
      <c r="H19" s="129"/>
      <c r="I19" s="129"/>
      <c r="J19" s="129"/>
      <c r="K19" s="129"/>
      <c r="L19" s="478" t="s">
        <v>3648</v>
      </c>
      <c r="M19" s="478" t="s">
        <v>3648</v>
      </c>
      <c r="N19" s="478" t="s">
        <v>3648</v>
      </c>
      <c r="O19" s="478" t="s">
        <v>3648</v>
      </c>
      <c r="P19" s="478" t="s">
        <v>3648</v>
      </c>
      <c r="Q19" s="478" t="s">
        <v>3648</v>
      </c>
      <c r="R19" s="478" t="s">
        <v>3648</v>
      </c>
      <c r="S19" s="478" t="s">
        <v>3648</v>
      </c>
      <c r="T19" s="478" t="s">
        <v>3648</v>
      </c>
      <c r="U19" s="129"/>
      <c r="V19" s="129"/>
      <c r="W19" s="129"/>
      <c r="X19" s="129"/>
      <c r="Y19" s="129"/>
      <c r="Z19" s="129"/>
      <c r="AA19" s="129"/>
      <c r="AB19" s="129"/>
      <c r="AC19" s="129"/>
      <c r="AD19" s="129"/>
      <c r="AE19" s="129"/>
      <c r="AF19" s="129"/>
      <c r="AG19" s="129"/>
    </row>
    <row r="20" spans="1:33">
      <c r="A20" s="129"/>
      <c r="B20" s="129"/>
      <c r="C20" s="129"/>
      <c r="D20" s="129"/>
      <c r="E20" s="129"/>
      <c r="F20" s="129"/>
      <c r="G20" s="129"/>
      <c r="H20" s="129"/>
      <c r="I20" s="129"/>
      <c r="J20" s="129"/>
      <c r="K20" s="129"/>
      <c r="L20" s="478" t="s">
        <v>3648</v>
      </c>
      <c r="M20" s="478" t="s">
        <v>3648</v>
      </c>
      <c r="N20" s="478" t="s">
        <v>3648</v>
      </c>
      <c r="O20" s="478" t="s">
        <v>3648</v>
      </c>
      <c r="P20" s="478" t="s">
        <v>3648</v>
      </c>
      <c r="Q20" s="478" t="s">
        <v>3648</v>
      </c>
      <c r="R20" s="478" t="s">
        <v>3648</v>
      </c>
      <c r="S20" s="478" t="s">
        <v>3648</v>
      </c>
      <c r="T20" s="478" t="s">
        <v>3648</v>
      </c>
      <c r="U20" s="129"/>
      <c r="V20" s="129"/>
      <c r="W20" s="129"/>
      <c r="X20" s="129"/>
      <c r="Y20" s="129"/>
      <c r="Z20" s="129"/>
      <c r="AA20" s="129"/>
      <c r="AB20" s="129"/>
      <c r="AC20" s="129"/>
      <c r="AD20" s="129"/>
      <c r="AE20" s="129"/>
      <c r="AF20" s="129"/>
      <c r="AG20" s="129"/>
    </row>
    <row r="21" spans="1:33">
      <c r="A21" s="129"/>
      <c r="B21" s="129"/>
      <c r="C21" s="129"/>
      <c r="D21" s="129"/>
      <c r="E21" s="129"/>
      <c r="F21" s="129"/>
      <c r="G21" s="129"/>
      <c r="H21" s="129"/>
      <c r="I21" s="129"/>
      <c r="J21" s="129"/>
      <c r="K21" s="129"/>
      <c r="L21" s="478" t="s">
        <v>3648</v>
      </c>
      <c r="M21" s="478" t="s">
        <v>3648</v>
      </c>
      <c r="N21" s="478" t="s">
        <v>3648</v>
      </c>
      <c r="O21" s="478" t="s">
        <v>3648</v>
      </c>
      <c r="P21" s="478" t="s">
        <v>3648</v>
      </c>
      <c r="Q21" s="478" t="s">
        <v>3648</v>
      </c>
      <c r="R21" s="478" t="s">
        <v>3648</v>
      </c>
      <c r="S21" s="478" t="s">
        <v>3648</v>
      </c>
      <c r="T21" s="478" t="s">
        <v>3648</v>
      </c>
      <c r="U21" s="129"/>
      <c r="V21" s="129"/>
      <c r="W21" s="129"/>
      <c r="X21" s="129"/>
      <c r="Y21" s="129"/>
      <c r="Z21" s="129"/>
      <c r="AA21" s="129"/>
      <c r="AB21" s="129"/>
      <c r="AC21" s="129"/>
      <c r="AD21" s="129"/>
      <c r="AE21" s="129"/>
      <c r="AF21" s="129"/>
      <c r="AG21" s="129"/>
    </row>
    <row r="22" spans="1:33">
      <c r="A22" s="129"/>
      <c r="B22" s="129"/>
      <c r="C22" s="129"/>
      <c r="D22" s="129"/>
      <c r="E22" s="129"/>
      <c r="F22" s="129"/>
      <c r="G22" s="129"/>
      <c r="H22" s="129"/>
      <c r="I22" s="129"/>
      <c r="J22" s="129"/>
      <c r="K22" s="129"/>
      <c r="L22" s="478" t="s">
        <v>3648</v>
      </c>
      <c r="M22" s="478" t="s">
        <v>3648</v>
      </c>
      <c r="N22" s="478" t="s">
        <v>3648</v>
      </c>
      <c r="O22" s="478" t="s">
        <v>3648</v>
      </c>
      <c r="P22" s="478" t="s">
        <v>3648</v>
      </c>
      <c r="Q22" s="478" t="s">
        <v>3648</v>
      </c>
      <c r="R22" s="478" t="s">
        <v>3648</v>
      </c>
      <c r="S22" s="478" t="s">
        <v>3648</v>
      </c>
      <c r="T22" s="478" t="s">
        <v>3648</v>
      </c>
      <c r="U22" s="129"/>
      <c r="V22" s="129"/>
      <c r="W22" s="129"/>
      <c r="X22" s="129"/>
      <c r="Y22" s="129"/>
      <c r="Z22" s="129"/>
      <c r="AA22" s="129"/>
      <c r="AB22" s="129"/>
      <c r="AC22" s="129"/>
      <c r="AD22" s="129"/>
      <c r="AE22" s="129"/>
      <c r="AF22" s="129"/>
      <c r="AG22" s="129"/>
    </row>
  </sheetData>
  <mergeCells count="4">
    <mergeCell ref="A1:D1"/>
    <mergeCell ref="G1:J1"/>
    <mergeCell ref="K1:U1"/>
    <mergeCell ref="V1:X1"/>
  </mergeCells>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tabColor rgb="FFFFFFFF"/>
    <outlinePr summaryBelow="0" summaryRight="0"/>
  </sheetPr>
  <dimension ref="A1:AE20"/>
  <sheetViews>
    <sheetView workbookViewId="0">
      <pane xSplit="2" ySplit="3" topLeftCell="L5" activePane="bottomRight" state="frozen"/>
      <selection pane="topRight" activeCell="C1" sqref="C1"/>
      <selection pane="bottomLeft" activeCell="A3" sqref="A3"/>
      <selection pane="bottomRight" activeCell="L5" sqref="L5"/>
    </sheetView>
  </sheetViews>
  <sheetFormatPr defaultColWidth="14.453125" defaultRowHeight="15" customHeight="1"/>
  <cols>
    <col min="1" max="4" width="17.26953125" hidden="1" customWidth="1"/>
    <col min="5" max="5" width="17.26953125" customWidth="1"/>
    <col min="6" max="6" width="38.7265625" customWidth="1"/>
    <col min="7" max="7" width="27.7265625" customWidth="1"/>
    <col min="8" max="8" width="8.7265625" customWidth="1"/>
    <col min="9" max="9" width="12" customWidth="1"/>
    <col min="10" max="10" width="5.453125" customWidth="1"/>
    <col min="11" max="11" width="8" customWidth="1"/>
    <col min="12" max="12" width="43.81640625" customWidth="1"/>
    <col min="13" max="13" width="53.453125" customWidth="1"/>
    <col min="14" max="14" width="8" customWidth="1"/>
    <col min="15" max="15" width="17.26953125" customWidth="1"/>
    <col min="16" max="16" width="19.453125" customWidth="1"/>
    <col min="17" max="17" width="11.26953125" customWidth="1"/>
    <col min="18" max="18" width="11" customWidth="1"/>
    <col min="19" max="31" width="17.26953125" customWidth="1"/>
  </cols>
  <sheetData>
    <row r="1" spans="1:31" s="471" customFormat="1" ht="26.25" customHeight="1">
      <c r="E1" s="507" t="s">
        <v>3685</v>
      </c>
    </row>
    <row r="2" spans="1:31" ht="15" customHeight="1">
      <c r="A2" s="5"/>
      <c r="B2" s="5"/>
      <c r="C2" s="5"/>
      <c r="D2" s="5"/>
      <c r="E2" s="377"/>
      <c r="F2" s="378"/>
      <c r="G2" s="378"/>
      <c r="H2" s="378"/>
      <c r="I2" s="378"/>
      <c r="J2" s="378"/>
      <c r="K2" s="218" t="s">
        <v>1038</v>
      </c>
      <c r="L2" s="218"/>
      <c r="M2" s="218"/>
      <c r="N2" s="218"/>
      <c r="O2" s="218"/>
      <c r="P2" s="218"/>
      <c r="Q2" s="218"/>
      <c r="R2" s="378"/>
      <c r="S2" s="378"/>
      <c r="T2" s="378"/>
      <c r="U2" s="188"/>
      <c r="V2" s="188"/>
      <c r="W2" s="188"/>
      <c r="X2" s="56"/>
      <c r="Y2" s="56"/>
      <c r="Z2" s="252" t="s">
        <v>1039</v>
      </c>
      <c r="AA2" s="364"/>
      <c r="AB2" s="252"/>
      <c r="AC2" s="188"/>
      <c r="AD2" s="188"/>
      <c r="AE2" s="188"/>
    </row>
    <row r="3" spans="1:31" ht="15" customHeight="1">
      <c r="E3" s="135" t="s">
        <v>224</v>
      </c>
      <c r="F3" s="135" t="s">
        <v>225</v>
      </c>
      <c r="G3" s="135" t="s">
        <v>226</v>
      </c>
      <c r="H3" s="135" t="s">
        <v>227</v>
      </c>
      <c r="I3" s="135" t="s">
        <v>1044</v>
      </c>
      <c r="J3" s="135" t="s">
        <v>1045</v>
      </c>
      <c r="K3" s="353" t="s">
        <v>1046</v>
      </c>
      <c r="L3" s="353" t="s">
        <v>100</v>
      </c>
      <c r="M3" s="353" t="s">
        <v>101</v>
      </c>
      <c r="N3" s="353" t="s">
        <v>102</v>
      </c>
      <c r="O3" s="353" t="s">
        <v>103</v>
      </c>
      <c r="P3" s="353" t="s">
        <v>104</v>
      </c>
      <c r="Q3" s="353" t="s">
        <v>105</v>
      </c>
      <c r="R3" s="135" t="s">
        <v>111</v>
      </c>
      <c r="S3" s="135" t="s">
        <v>112</v>
      </c>
      <c r="T3" s="136" t="s">
        <v>113</v>
      </c>
      <c r="U3" s="136"/>
      <c r="V3" s="358"/>
      <c r="W3" s="358"/>
      <c r="X3" s="359" t="s">
        <v>1049</v>
      </c>
      <c r="Y3" s="359" t="s">
        <v>1050</v>
      </c>
      <c r="Z3" s="359" t="s">
        <v>237</v>
      </c>
      <c r="AA3" s="484" t="s">
        <v>1</v>
      </c>
      <c r="AB3" s="359" t="s">
        <v>238</v>
      </c>
      <c r="AC3" s="441"/>
      <c r="AD3" s="441"/>
      <c r="AE3" s="441"/>
    </row>
    <row r="4" spans="1:31" ht="25">
      <c r="E4" s="459" t="s">
        <v>61</v>
      </c>
      <c r="F4" s="459" t="s">
        <v>1010</v>
      </c>
      <c r="G4" s="459" t="s">
        <v>535</v>
      </c>
      <c r="H4" s="459" t="s">
        <v>903</v>
      </c>
      <c r="I4" s="459"/>
      <c r="J4" s="139">
        <v>2</v>
      </c>
      <c r="K4" s="459" t="s">
        <v>682</v>
      </c>
      <c r="L4" s="459" t="s">
        <v>3686</v>
      </c>
      <c r="M4" s="485" t="s">
        <v>1011</v>
      </c>
      <c r="N4" s="459"/>
      <c r="O4" s="459"/>
      <c r="P4" s="486"/>
      <c r="Q4" s="459"/>
      <c r="R4" s="459"/>
      <c r="S4" s="459"/>
      <c r="T4" s="130" t="s">
        <v>3687</v>
      </c>
      <c r="U4" s="441"/>
      <c r="V4" s="441"/>
      <c r="W4" s="441"/>
      <c r="X4" s="441">
        <v>1</v>
      </c>
      <c r="Y4" s="441"/>
      <c r="Z4" s="120" t="s">
        <v>3579</v>
      </c>
      <c r="AA4" s="131">
        <v>43472</v>
      </c>
      <c r="AB4" s="439" t="s">
        <v>1057</v>
      </c>
      <c r="AC4" s="441"/>
      <c r="AD4" s="441"/>
      <c r="AE4" s="441"/>
    </row>
    <row r="5" spans="1:31" ht="25">
      <c r="E5" s="459" t="s">
        <v>61</v>
      </c>
      <c r="F5" s="459" t="s">
        <v>968</v>
      </c>
      <c r="G5" s="459" t="s">
        <v>242</v>
      </c>
      <c r="H5" s="459" t="s">
        <v>1012</v>
      </c>
      <c r="I5" s="459"/>
      <c r="J5" s="139">
        <v>16</v>
      </c>
      <c r="K5" s="459" t="s">
        <v>682</v>
      </c>
      <c r="L5" s="459" t="s">
        <v>3686</v>
      </c>
      <c r="M5" s="130" t="s">
        <v>969</v>
      </c>
      <c r="N5" s="459"/>
      <c r="O5" s="459"/>
      <c r="P5" s="459"/>
      <c r="Q5" s="459"/>
      <c r="R5" s="459" t="s">
        <v>3688</v>
      </c>
      <c r="S5" s="459"/>
      <c r="T5" s="130" t="s">
        <v>3689</v>
      </c>
      <c r="U5" s="441"/>
      <c r="V5" s="441"/>
      <c r="W5" s="441"/>
      <c r="X5" s="441">
        <v>2</v>
      </c>
      <c r="Y5" s="441"/>
      <c r="Z5" s="120" t="s">
        <v>3579</v>
      </c>
      <c r="AA5" s="131">
        <v>43472</v>
      </c>
      <c r="AB5" s="439" t="s">
        <v>1057</v>
      </c>
      <c r="AC5" s="441"/>
      <c r="AD5" s="441"/>
      <c r="AE5" s="441"/>
    </row>
    <row r="6" spans="1:31" ht="69" customHeight="1">
      <c r="E6" s="459" t="s">
        <v>61</v>
      </c>
      <c r="F6" s="459" t="s">
        <v>123</v>
      </c>
      <c r="G6" s="459" t="s">
        <v>535</v>
      </c>
      <c r="H6" s="459" t="s">
        <v>903</v>
      </c>
      <c r="I6" s="459"/>
      <c r="J6" s="139">
        <v>15</v>
      </c>
      <c r="K6" s="459" t="s">
        <v>682</v>
      </c>
      <c r="L6" s="459" t="s">
        <v>1184</v>
      </c>
      <c r="M6" s="460" t="s">
        <v>3690</v>
      </c>
      <c r="N6" s="459"/>
      <c r="O6" s="459"/>
      <c r="P6" s="459"/>
      <c r="Q6" s="459"/>
      <c r="R6" s="459" t="s">
        <v>3691</v>
      </c>
      <c r="S6" s="459"/>
      <c r="T6" s="130" t="s">
        <v>3692</v>
      </c>
      <c r="U6" s="441"/>
      <c r="V6" s="441"/>
      <c r="W6" s="441"/>
      <c r="X6" s="441">
        <v>3</v>
      </c>
      <c r="Y6" s="441"/>
      <c r="Z6" s="120" t="s">
        <v>3579</v>
      </c>
      <c r="AA6" s="131">
        <v>43472</v>
      </c>
      <c r="AB6" s="439" t="s">
        <v>3693</v>
      </c>
      <c r="AC6" s="441"/>
      <c r="AD6" s="441"/>
      <c r="AE6" s="441"/>
    </row>
    <row r="7" spans="1:31" ht="15" customHeight="1">
      <c r="E7" s="459" t="s">
        <v>53</v>
      </c>
      <c r="F7" s="459" t="s">
        <v>1189</v>
      </c>
      <c r="G7" s="459" t="s">
        <v>249</v>
      </c>
      <c r="H7" s="459" t="s">
        <v>243</v>
      </c>
      <c r="I7" s="459"/>
      <c r="J7" s="139">
        <v>3</v>
      </c>
      <c r="K7" s="459" t="s">
        <v>680</v>
      </c>
      <c r="L7" s="459"/>
      <c r="M7" s="130"/>
      <c r="N7" s="459"/>
      <c r="O7" s="459"/>
      <c r="P7" s="459"/>
      <c r="Q7" s="459"/>
      <c r="R7" s="459"/>
      <c r="S7" s="459"/>
      <c r="T7" s="186" t="s">
        <v>1190</v>
      </c>
      <c r="U7" s="441"/>
      <c r="V7" s="441"/>
      <c r="W7" s="441"/>
      <c r="X7" s="441"/>
      <c r="Y7" s="441"/>
      <c r="Z7" s="441"/>
      <c r="AA7" s="441"/>
      <c r="AB7" s="441"/>
      <c r="AC7" s="441"/>
      <c r="AD7" s="441"/>
      <c r="AE7" s="441"/>
    </row>
    <row r="8" spans="1:31" ht="15" customHeight="1">
      <c r="E8" s="459" t="s">
        <v>53</v>
      </c>
      <c r="F8" s="459" t="s">
        <v>1191</v>
      </c>
      <c r="G8" s="459" t="s">
        <v>252</v>
      </c>
      <c r="H8" s="459" t="s">
        <v>243</v>
      </c>
      <c r="I8" s="459"/>
      <c r="J8" s="139">
        <v>4</v>
      </c>
      <c r="K8" s="459" t="s">
        <v>680</v>
      </c>
      <c r="L8" s="459"/>
      <c r="M8" s="130"/>
      <c r="N8" s="459"/>
      <c r="O8" s="459"/>
      <c r="P8" s="459"/>
      <c r="Q8" s="459"/>
      <c r="R8" s="459"/>
      <c r="S8" s="459"/>
      <c r="T8" s="186" t="s">
        <v>1190</v>
      </c>
      <c r="U8" s="441"/>
      <c r="V8" s="441"/>
      <c r="W8" s="441"/>
      <c r="X8" s="441"/>
      <c r="Y8" s="441"/>
      <c r="Z8" s="441"/>
      <c r="AA8" s="441"/>
      <c r="AB8" s="441"/>
      <c r="AC8" s="441"/>
      <c r="AD8" s="441"/>
      <c r="AE8" s="441"/>
    </row>
    <row r="9" spans="1:31" ht="15" customHeight="1">
      <c r="E9" s="459" t="s">
        <v>53</v>
      </c>
      <c r="F9" s="459" t="s">
        <v>1192</v>
      </c>
      <c r="G9" s="459" t="s">
        <v>242</v>
      </c>
      <c r="H9" s="459" t="s">
        <v>243</v>
      </c>
      <c r="I9" s="459"/>
      <c r="J9" s="139">
        <v>5</v>
      </c>
      <c r="K9" s="459" t="s">
        <v>680</v>
      </c>
      <c r="L9" s="459"/>
      <c r="M9" s="130"/>
      <c r="N9" s="459"/>
      <c r="O9" s="459"/>
      <c r="P9" s="459"/>
      <c r="Q9" s="459"/>
      <c r="R9" s="459"/>
      <c r="S9" s="459"/>
      <c r="T9" s="186" t="s">
        <v>1190</v>
      </c>
      <c r="U9" s="441"/>
      <c r="V9" s="441"/>
      <c r="W9" s="441"/>
      <c r="X9" s="441"/>
      <c r="Y9" s="441"/>
      <c r="Z9" s="441"/>
      <c r="AA9" s="441"/>
      <c r="AB9" s="441"/>
      <c r="AC9" s="441"/>
      <c r="AD9" s="441"/>
      <c r="AE9" s="441"/>
    </row>
    <row r="10" spans="1:31" ht="15" customHeight="1">
      <c r="E10" s="459" t="s">
        <v>53</v>
      </c>
      <c r="F10" s="459" t="s">
        <v>1193</v>
      </c>
      <c r="G10" s="459" t="s">
        <v>247</v>
      </c>
      <c r="H10" s="459" t="s">
        <v>243</v>
      </c>
      <c r="I10" s="459"/>
      <c r="J10" s="139">
        <v>6</v>
      </c>
      <c r="K10" s="459" t="s">
        <v>680</v>
      </c>
      <c r="L10" s="459"/>
      <c r="M10" s="130"/>
      <c r="N10" s="459"/>
      <c r="O10" s="459"/>
      <c r="P10" s="459"/>
      <c r="Q10" s="459"/>
      <c r="R10" s="459"/>
      <c r="S10" s="459"/>
      <c r="T10" s="186" t="s">
        <v>1190</v>
      </c>
      <c r="U10" s="441"/>
      <c r="V10" s="441"/>
      <c r="W10" s="441"/>
      <c r="X10" s="441"/>
      <c r="Y10" s="441"/>
      <c r="Z10" s="441"/>
      <c r="AA10" s="441"/>
      <c r="AB10" s="441"/>
      <c r="AC10" s="441"/>
      <c r="AD10" s="441"/>
      <c r="AE10" s="441"/>
    </row>
    <row r="11" spans="1:31" ht="15" customHeight="1">
      <c r="E11" s="459" t="s">
        <v>53</v>
      </c>
      <c r="F11" s="459" t="s">
        <v>1194</v>
      </c>
      <c r="G11" s="459" t="s">
        <v>252</v>
      </c>
      <c r="H11" s="459" t="s">
        <v>243</v>
      </c>
      <c r="I11" s="459"/>
      <c r="J11" s="139">
        <v>7</v>
      </c>
      <c r="K11" s="459" t="s">
        <v>680</v>
      </c>
      <c r="L11" s="459"/>
      <c r="M11" s="130"/>
      <c r="N11" s="459"/>
      <c r="O11" s="459"/>
      <c r="P11" s="459"/>
      <c r="Q11" s="459"/>
      <c r="R11" s="459"/>
      <c r="S11" s="459"/>
      <c r="T11" s="186" t="s">
        <v>1190</v>
      </c>
      <c r="U11" s="441"/>
      <c r="V11" s="441"/>
      <c r="W11" s="441"/>
      <c r="X11" s="441"/>
      <c r="Y11" s="441"/>
      <c r="Z11" s="441"/>
      <c r="AA11" s="441"/>
      <c r="AB11" s="441"/>
      <c r="AC11" s="441"/>
      <c r="AD11" s="441"/>
      <c r="AE11" s="441"/>
    </row>
    <row r="12" spans="1:31" ht="15" customHeight="1">
      <c r="E12" s="459" t="s">
        <v>53</v>
      </c>
      <c r="F12" s="459" t="s">
        <v>1195</v>
      </c>
      <c r="G12" s="459" t="s">
        <v>247</v>
      </c>
      <c r="H12" s="459" t="s">
        <v>243</v>
      </c>
      <c r="I12" s="459"/>
      <c r="J12" s="139">
        <v>8</v>
      </c>
      <c r="K12" s="459" t="s">
        <v>680</v>
      </c>
      <c r="L12" s="459"/>
      <c r="M12" s="130"/>
      <c r="N12" s="459"/>
      <c r="O12" s="459"/>
      <c r="P12" s="459"/>
      <c r="Q12" s="459"/>
      <c r="R12" s="459"/>
      <c r="S12" s="459"/>
      <c r="T12" s="186" t="s">
        <v>1190</v>
      </c>
      <c r="U12" s="441"/>
      <c r="V12" s="441"/>
      <c r="W12" s="441"/>
      <c r="X12" s="441"/>
      <c r="Y12" s="441"/>
      <c r="Z12" s="441"/>
      <c r="AA12" s="441"/>
      <c r="AB12" s="441"/>
      <c r="AC12" s="441"/>
      <c r="AD12" s="441"/>
      <c r="AE12" s="441"/>
    </row>
    <row r="13" spans="1:31" ht="15" customHeight="1">
      <c r="E13" s="459" t="s">
        <v>53</v>
      </c>
      <c r="F13" s="459" t="s">
        <v>1196</v>
      </c>
      <c r="G13" s="459" t="s">
        <v>535</v>
      </c>
      <c r="H13" s="459" t="s">
        <v>903</v>
      </c>
      <c r="I13" s="459"/>
      <c r="J13" s="139">
        <v>9</v>
      </c>
      <c r="K13" s="459" t="s">
        <v>680</v>
      </c>
      <c r="L13" s="459"/>
      <c r="M13" s="130"/>
      <c r="N13" s="459"/>
      <c r="O13" s="459"/>
      <c r="P13" s="459"/>
      <c r="Q13" s="459"/>
      <c r="R13" s="459"/>
      <c r="S13" s="459"/>
      <c r="T13" s="186" t="s">
        <v>1190</v>
      </c>
      <c r="U13" s="441"/>
      <c r="V13" s="441"/>
      <c r="W13" s="441"/>
      <c r="X13" s="441"/>
      <c r="Y13" s="441"/>
      <c r="Z13" s="441"/>
      <c r="AA13" s="441"/>
      <c r="AB13" s="441"/>
      <c r="AC13" s="441"/>
      <c r="AD13" s="441"/>
      <c r="AE13" s="441"/>
    </row>
    <row r="14" spans="1:31" ht="15" customHeight="1">
      <c r="E14" s="459" t="s">
        <v>53</v>
      </c>
      <c r="F14" s="459" t="s">
        <v>124</v>
      </c>
      <c r="G14" s="459" t="s">
        <v>535</v>
      </c>
      <c r="H14" s="459" t="s">
        <v>903</v>
      </c>
      <c r="I14" s="459"/>
      <c r="J14" s="139">
        <v>1</v>
      </c>
      <c r="K14" s="459" t="s">
        <v>680</v>
      </c>
      <c r="L14" s="459"/>
      <c r="M14" s="130"/>
      <c r="N14" s="459"/>
      <c r="O14" s="459"/>
      <c r="P14" s="459"/>
      <c r="Q14" s="459"/>
      <c r="R14" s="459"/>
      <c r="S14" s="459"/>
      <c r="T14" s="186" t="s">
        <v>1190</v>
      </c>
      <c r="U14" s="441"/>
      <c r="V14" s="441"/>
      <c r="W14" s="441"/>
      <c r="X14" s="441"/>
      <c r="Y14" s="441"/>
      <c r="Z14" s="441"/>
      <c r="AA14" s="441"/>
      <c r="AB14" s="441"/>
      <c r="AC14" s="441"/>
      <c r="AD14" s="441"/>
      <c r="AE14" s="441"/>
    </row>
    <row r="15" spans="1:31" ht="15" customHeight="1">
      <c r="E15" s="459" t="s">
        <v>53</v>
      </c>
      <c r="F15" s="459" t="s">
        <v>1288</v>
      </c>
      <c r="G15" s="459" t="s">
        <v>535</v>
      </c>
      <c r="H15" s="459" t="s">
        <v>903</v>
      </c>
      <c r="I15" s="459"/>
      <c r="J15" s="139">
        <v>17</v>
      </c>
      <c r="K15" s="459" t="s">
        <v>680</v>
      </c>
      <c r="L15" s="459"/>
      <c r="M15" s="130"/>
      <c r="N15" s="459"/>
      <c r="O15" s="459"/>
      <c r="P15" s="459"/>
      <c r="Q15" s="459"/>
      <c r="R15" s="459"/>
      <c r="S15" s="459"/>
      <c r="T15" s="186" t="s">
        <v>1190</v>
      </c>
      <c r="U15" s="441"/>
      <c r="V15" s="441"/>
      <c r="W15" s="441"/>
      <c r="X15" s="441"/>
      <c r="Y15" s="441"/>
      <c r="Z15" s="441"/>
      <c r="AA15" s="441"/>
      <c r="AB15" s="441"/>
      <c r="AC15" s="441"/>
      <c r="AD15" s="441"/>
      <c r="AE15" s="441"/>
    </row>
    <row r="16" spans="1:31" ht="15" customHeight="1">
      <c r="E16" s="459" t="s">
        <v>53</v>
      </c>
      <c r="F16" s="459" t="s">
        <v>1289</v>
      </c>
      <c r="G16" s="459" t="s">
        <v>324</v>
      </c>
      <c r="H16" s="459" t="s">
        <v>243</v>
      </c>
      <c r="I16" s="459"/>
      <c r="J16" s="139">
        <v>13</v>
      </c>
      <c r="K16" s="459" t="s">
        <v>680</v>
      </c>
      <c r="L16" s="459"/>
      <c r="M16" s="130"/>
      <c r="N16" s="459"/>
      <c r="O16" s="459"/>
      <c r="P16" s="459"/>
      <c r="Q16" s="459"/>
      <c r="R16" s="459"/>
      <c r="S16" s="459"/>
      <c r="T16" s="186" t="s">
        <v>1190</v>
      </c>
      <c r="U16" s="441"/>
      <c r="V16" s="441"/>
      <c r="W16" s="441"/>
      <c r="X16" s="441"/>
      <c r="Y16" s="441"/>
      <c r="Z16" s="441"/>
      <c r="AA16" s="441"/>
      <c r="AB16" s="441"/>
      <c r="AC16" s="441"/>
      <c r="AD16" s="441"/>
      <c r="AE16" s="441"/>
    </row>
    <row r="17" spans="5:31" ht="15" customHeight="1">
      <c r="E17" s="459" t="s">
        <v>53</v>
      </c>
      <c r="F17" s="459" t="s">
        <v>1290</v>
      </c>
      <c r="G17" s="459" t="s">
        <v>432</v>
      </c>
      <c r="H17" s="459" t="s">
        <v>243</v>
      </c>
      <c r="I17" s="459"/>
      <c r="J17" s="139">
        <v>10</v>
      </c>
      <c r="K17" s="459" t="s">
        <v>680</v>
      </c>
      <c r="L17" s="459"/>
      <c r="M17" s="130"/>
      <c r="N17" s="459"/>
      <c r="O17" s="459"/>
      <c r="P17" s="459"/>
      <c r="Q17" s="459"/>
      <c r="R17" s="459"/>
      <c r="S17" s="459"/>
      <c r="T17" s="186" t="s">
        <v>1190</v>
      </c>
      <c r="U17" s="441"/>
      <c r="V17" s="441"/>
      <c r="W17" s="441"/>
      <c r="X17" s="441"/>
      <c r="Y17" s="441"/>
      <c r="Z17" s="441"/>
      <c r="AA17" s="441"/>
      <c r="AB17" s="441"/>
      <c r="AC17" s="441"/>
      <c r="AD17" s="441"/>
      <c r="AE17" s="441"/>
    </row>
    <row r="18" spans="5:31" ht="15" customHeight="1">
      <c r="E18" s="459" t="s">
        <v>53</v>
      </c>
      <c r="F18" s="459" t="s">
        <v>1291</v>
      </c>
      <c r="G18" s="459" t="s">
        <v>247</v>
      </c>
      <c r="H18" s="459" t="s">
        <v>243</v>
      </c>
      <c r="I18" s="459"/>
      <c r="J18" s="139">
        <v>11</v>
      </c>
      <c r="K18" s="459" t="s">
        <v>680</v>
      </c>
      <c r="L18" s="459"/>
      <c r="M18" s="130"/>
      <c r="N18" s="459"/>
      <c r="O18" s="459"/>
      <c r="P18" s="459"/>
      <c r="Q18" s="459"/>
      <c r="R18" s="459"/>
      <c r="S18" s="459"/>
      <c r="T18" s="186" t="s">
        <v>1190</v>
      </c>
      <c r="U18" s="441"/>
      <c r="V18" s="441"/>
      <c r="W18" s="441"/>
      <c r="X18" s="441"/>
      <c r="Y18" s="441"/>
      <c r="Z18" s="441"/>
      <c r="AA18" s="441"/>
      <c r="AB18" s="441"/>
      <c r="AC18" s="441"/>
      <c r="AD18" s="441"/>
      <c r="AE18" s="441"/>
    </row>
    <row r="19" spans="5:31" ht="15" customHeight="1">
      <c r="E19" s="459" t="s">
        <v>53</v>
      </c>
      <c r="F19" s="459" t="s">
        <v>1292</v>
      </c>
      <c r="G19" s="459" t="s">
        <v>535</v>
      </c>
      <c r="H19" s="459" t="s">
        <v>243</v>
      </c>
      <c r="I19" s="459"/>
      <c r="J19" s="139">
        <v>12</v>
      </c>
      <c r="K19" s="459" t="s">
        <v>680</v>
      </c>
      <c r="L19" s="459"/>
      <c r="M19" s="130"/>
      <c r="N19" s="459"/>
      <c r="O19" s="459"/>
      <c r="P19" s="459"/>
      <c r="Q19" s="459"/>
      <c r="R19" s="459"/>
      <c r="S19" s="459"/>
      <c r="T19" s="186" t="s">
        <v>1190</v>
      </c>
      <c r="U19" s="441"/>
      <c r="V19" s="441"/>
      <c r="W19" s="441"/>
      <c r="X19" s="441"/>
      <c r="Y19" s="441"/>
      <c r="Z19" s="441"/>
      <c r="AA19" s="441"/>
      <c r="AB19" s="441"/>
      <c r="AC19" s="441"/>
      <c r="AD19" s="441"/>
      <c r="AE19" s="441"/>
    </row>
    <row r="20" spans="5:31" ht="15" customHeight="1">
      <c r="E20" s="459" t="s">
        <v>53</v>
      </c>
      <c r="F20" s="459" t="s">
        <v>1293</v>
      </c>
      <c r="G20" s="459" t="s">
        <v>432</v>
      </c>
      <c r="H20" s="459" t="s">
        <v>243</v>
      </c>
      <c r="I20" s="459"/>
      <c r="J20" s="139">
        <v>14</v>
      </c>
      <c r="K20" s="459" t="s">
        <v>680</v>
      </c>
      <c r="L20" s="459"/>
      <c r="M20" s="130"/>
      <c r="N20" s="459"/>
      <c r="O20" s="459"/>
      <c r="P20" s="459"/>
      <c r="Q20" s="459"/>
      <c r="R20" s="459"/>
      <c r="S20" s="459"/>
      <c r="T20" s="186" t="s">
        <v>1190</v>
      </c>
      <c r="U20" s="441"/>
      <c r="V20" s="441"/>
      <c r="W20" s="441"/>
      <c r="X20" s="441"/>
      <c r="Y20" s="441"/>
      <c r="Z20" s="441"/>
      <c r="AA20" s="441"/>
      <c r="AB20" s="441"/>
      <c r="AC20" s="441"/>
      <c r="AD20" s="441"/>
      <c r="AE20" s="441"/>
    </row>
  </sheetData>
  <autoFilter ref="A3:AE20" xr:uid="{00000000-0001-0000-1700-000000000000}"/>
  <pageMargins left="0.7" right="0.7" top="0.75" bottom="0.75" header="0" footer="0"/>
  <pageSetup orientation="landscape"/>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outlinePr summaryBelow="0" summaryRight="0"/>
  </sheetPr>
  <dimension ref="A1:AE5"/>
  <sheetViews>
    <sheetView workbookViewId="0">
      <pane xSplit="2" ySplit="3" topLeftCell="E4" activePane="bottomRight" state="frozen"/>
      <selection pane="topRight" activeCell="C1" sqref="C1"/>
      <selection pane="bottomLeft" activeCell="A3" sqref="A3"/>
      <selection pane="bottomRight" activeCell="L4" sqref="L4"/>
    </sheetView>
  </sheetViews>
  <sheetFormatPr defaultColWidth="14.453125" defaultRowHeight="15" customHeight="1"/>
  <cols>
    <col min="1" max="4" width="17.26953125" hidden="1" customWidth="1"/>
    <col min="5" max="5" width="17.26953125" customWidth="1"/>
    <col min="6" max="6" width="22" customWidth="1"/>
    <col min="7" max="7" width="27.7265625" customWidth="1"/>
    <col min="8" max="8" width="8.7265625" customWidth="1"/>
    <col min="9" max="9" width="12" customWidth="1"/>
    <col min="10" max="10" width="5.453125" customWidth="1"/>
    <col min="11" max="11" width="8" customWidth="1"/>
    <col min="12" max="12" width="51.81640625" customWidth="1"/>
    <col min="13" max="13" width="55.453125" customWidth="1"/>
    <col min="14" max="14" width="10.26953125" customWidth="1"/>
    <col min="15" max="15" width="17.26953125" customWidth="1"/>
    <col min="16" max="16" width="19.453125" customWidth="1"/>
    <col min="17" max="17" width="11.26953125" customWidth="1"/>
    <col min="18" max="18" width="11" customWidth="1"/>
    <col min="19" max="20" width="17.26953125" customWidth="1"/>
    <col min="21" max="23" width="5.7265625" customWidth="1"/>
    <col min="24" max="31" width="17.26953125" customWidth="1"/>
  </cols>
  <sheetData>
    <row r="1" spans="1:31" s="506" customFormat="1" ht="26.25" customHeight="1">
      <c r="E1" s="507" t="s">
        <v>3685</v>
      </c>
    </row>
    <row r="2" spans="1:31" ht="15" customHeight="1">
      <c r="A2" s="5"/>
      <c r="B2" s="5"/>
      <c r="C2" s="5"/>
      <c r="D2" s="5"/>
      <c r="E2" s="377"/>
      <c r="F2" s="378"/>
      <c r="G2" s="378"/>
      <c r="H2" s="378"/>
      <c r="I2" s="378"/>
      <c r="J2" s="378"/>
      <c r="K2" s="218" t="s">
        <v>1038</v>
      </c>
      <c r="L2" s="251"/>
      <c r="M2" s="218"/>
      <c r="N2" s="218"/>
      <c r="O2" s="218"/>
      <c r="P2" s="218"/>
      <c r="Q2" s="218"/>
      <c r="R2" s="378"/>
      <c r="S2" s="378"/>
      <c r="T2" s="378"/>
      <c r="U2" s="188"/>
      <c r="V2" s="188"/>
      <c r="W2" s="188"/>
      <c r="X2" s="56"/>
      <c r="Y2" s="56"/>
      <c r="Z2" s="252" t="s">
        <v>1039</v>
      </c>
      <c r="AA2" s="364"/>
      <c r="AB2" s="252"/>
      <c r="AC2" s="188"/>
      <c r="AD2" s="188"/>
      <c r="AE2" s="188"/>
    </row>
    <row r="3" spans="1:31" ht="15" customHeight="1">
      <c r="A3" s="5"/>
      <c r="B3" s="5"/>
      <c r="C3" s="5"/>
      <c r="D3" s="5"/>
      <c r="E3" s="141" t="s">
        <v>224</v>
      </c>
      <c r="F3" s="141" t="s">
        <v>225</v>
      </c>
      <c r="G3" s="141" t="s">
        <v>226</v>
      </c>
      <c r="H3" s="141" t="s">
        <v>227</v>
      </c>
      <c r="I3" s="141" t="s">
        <v>1044</v>
      </c>
      <c r="J3" s="141" t="s">
        <v>1045</v>
      </c>
      <c r="K3" s="218" t="s">
        <v>1046</v>
      </c>
      <c r="L3" s="251" t="s">
        <v>100</v>
      </c>
      <c r="M3" s="218" t="s">
        <v>101</v>
      </c>
      <c r="N3" s="218" t="s">
        <v>102</v>
      </c>
      <c r="O3" s="218" t="s">
        <v>103</v>
      </c>
      <c r="P3" s="218" t="s">
        <v>104</v>
      </c>
      <c r="Q3" s="218" t="s">
        <v>105</v>
      </c>
      <c r="R3" s="141" t="s">
        <v>111</v>
      </c>
      <c r="S3" s="141" t="s">
        <v>112</v>
      </c>
      <c r="T3" s="142" t="s">
        <v>113</v>
      </c>
      <c r="U3" s="142"/>
      <c r="V3" s="379"/>
      <c r="W3" s="379"/>
      <c r="X3" s="226" t="s">
        <v>1049</v>
      </c>
      <c r="Y3" s="226" t="s">
        <v>1050</v>
      </c>
      <c r="Z3" s="226" t="s">
        <v>237</v>
      </c>
      <c r="AA3" s="366" t="s">
        <v>1</v>
      </c>
      <c r="AB3" s="226" t="s">
        <v>238</v>
      </c>
      <c r="AC3" s="188"/>
      <c r="AD3" s="188"/>
      <c r="AE3" s="188"/>
    </row>
    <row r="4" spans="1:31" ht="126" customHeight="1">
      <c r="A4" s="5"/>
      <c r="B4" s="5"/>
      <c r="C4" s="5"/>
      <c r="D4" s="5"/>
      <c r="E4" s="459" t="s">
        <v>224</v>
      </c>
      <c r="F4" s="459" t="s">
        <v>3694</v>
      </c>
      <c r="G4" s="459" t="s">
        <v>247</v>
      </c>
      <c r="H4" s="459" t="s">
        <v>1012</v>
      </c>
      <c r="I4" s="459"/>
      <c r="J4" s="459">
        <v>9</v>
      </c>
      <c r="K4" t="s">
        <v>682</v>
      </c>
      <c r="L4" t="s">
        <v>3695</v>
      </c>
      <c r="M4" s="193" t="s">
        <v>3696</v>
      </c>
      <c r="N4" s="5"/>
      <c r="O4" s="5"/>
      <c r="P4" s="5"/>
      <c r="Q4" s="5"/>
      <c r="R4" s="5"/>
      <c r="S4" s="5"/>
      <c r="T4" s="130" t="s">
        <v>3697</v>
      </c>
      <c r="U4" s="5"/>
      <c r="V4" s="5"/>
      <c r="W4" s="5"/>
      <c r="X4" s="5">
        <v>1</v>
      </c>
      <c r="Y4" s="5"/>
      <c r="Z4" s="120" t="s">
        <v>3579</v>
      </c>
      <c r="AA4" s="131">
        <v>43472</v>
      </c>
      <c r="AB4" s="187" t="s">
        <v>1057</v>
      </c>
      <c r="AC4" s="5"/>
      <c r="AD4" s="5"/>
      <c r="AE4" s="5"/>
    </row>
    <row r="5" spans="1:31" ht="51.75" customHeight="1">
      <c r="A5" s="5"/>
      <c r="B5" s="5"/>
      <c r="C5" s="5"/>
      <c r="D5" s="5"/>
      <c r="E5" s="459" t="s">
        <v>224</v>
      </c>
      <c r="F5" s="459" t="s">
        <v>2607</v>
      </c>
      <c r="G5" s="459" t="s">
        <v>242</v>
      </c>
      <c r="H5" s="459" t="s">
        <v>1012</v>
      </c>
      <c r="I5" s="459"/>
      <c r="J5" s="459">
        <v>15</v>
      </c>
      <c r="K5" t="s">
        <v>682</v>
      </c>
      <c r="L5" t="s">
        <v>3695</v>
      </c>
      <c r="M5" s="193" t="s">
        <v>3698</v>
      </c>
      <c r="N5" s="5"/>
      <c r="O5" s="5"/>
      <c r="P5" s="5"/>
      <c r="Q5" s="5" t="s">
        <v>3699</v>
      </c>
      <c r="R5" s="5"/>
      <c r="S5" s="5"/>
      <c r="T5" s="186" t="s">
        <v>3689</v>
      </c>
      <c r="U5" s="5"/>
      <c r="V5" s="5"/>
      <c r="W5" s="5"/>
      <c r="X5" s="5">
        <v>2</v>
      </c>
      <c r="Y5" s="5"/>
      <c r="Z5" s="120" t="s">
        <v>3579</v>
      </c>
      <c r="AA5" s="131">
        <v>43472</v>
      </c>
      <c r="AB5" s="187" t="s">
        <v>1057</v>
      </c>
      <c r="AC5" s="5"/>
      <c r="AD5" s="5"/>
      <c r="AE5" s="5"/>
    </row>
  </sheetData>
  <autoFilter ref="A3:AE5" xr:uid="{00000000-0009-0000-0000-000018000000}"/>
  <pageMargins left="0.7" right="0.7" top="0.75" bottom="0.75" header="0" footer="0"/>
  <pageSetup orientation="landscape"/>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600-000000000000}">
  <sheetPr>
    <outlinePr summaryBelow="0" summaryRight="0"/>
  </sheetPr>
  <dimension ref="A1:N21"/>
  <sheetViews>
    <sheetView topLeftCell="A7" workbookViewId="0">
      <selection activeCell="C17" sqref="C17"/>
    </sheetView>
  </sheetViews>
  <sheetFormatPr defaultColWidth="14.453125" defaultRowHeight="15" customHeight="1"/>
  <cols>
    <col min="1" max="1" width="16.1796875" customWidth="1"/>
    <col min="2" max="2" width="26.81640625" customWidth="1"/>
    <col min="3" max="3" width="21.7265625" customWidth="1"/>
    <col min="4" max="4" width="12.26953125" customWidth="1"/>
    <col min="5" max="5" width="13.1796875" customWidth="1"/>
    <col min="6" max="6" width="9.26953125" customWidth="1"/>
    <col min="7" max="7" width="8.54296875" customWidth="1"/>
    <col min="8" max="8" width="43.453125" customWidth="1"/>
    <col min="9" max="9" width="33" customWidth="1"/>
    <col min="10" max="10" width="10.26953125" customWidth="1"/>
    <col min="11" max="11" width="32.7265625" customWidth="1"/>
    <col min="12" max="12" width="12" customWidth="1"/>
    <col min="13" max="13" width="10" customWidth="1"/>
    <col min="14" max="14" width="53.26953125" customWidth="1"/>
  </cols>
  <sheetData>
    <row r="1" spans="1:14" s="506" customFormat="1" ht="26.25" customHeight="1">
      <c r="A1" s="507" t="s">
        <v>3700</v>
      </c>
      <c r="E1" s="507"/>
    </row>
    <row r="2" spans="1:14" ht="12.5">
      <c r="A2" s="188"/>
      <c r="B2" s="392"/>
      <c r="C2" s="392"/>
      <c r="D2" s="392"/>
      <c r="E2" s="392"/>
      <c r="F2" s="392"/>
      <c r="G2" s="434"/>
      <c r="H2" s="190" t="s">
        <v>1038</v>
      </c>
      <c r="I2" s="190"/>
      <c r="J2" s="190"/>
      <c r="K2" s="434"/>
      <c r="L2" s="190"/>
      <c r="M2" s="190"/>
      <c r="N2" s="190"/>
    </row>
    <row r="3" spans="1:14" ht="39">
      <c r="A3" s="191" t="s">
        <v>224</v>
      </c>
      <c r="B3" s="191" t="s">
        <v>225</v>
      </c>
      <c r="C3" s="191" t="s">
        <v>226</v>
      </c>
      <c r="D3" s="191" t="s">
        <v>227</v>
      </c>
      <c r="E3" s="191" t="s">
        <v>1044</v>
      </c>
      <c r="F3" s="191" t="s">
        <v>1045</v>
      </c>
      <c r="G3" s="192" t="s">
        <v>1891</v>
      </c>
      <c r="H3" s="192" t="s">
        <v>100</v>
      </c>
      <c r="I3" s="192" t="s">
        <v>101</v>
      </c>
      <c r="J3" s="192" t="s">
        <v>102</v>
      </c>
      <c r="K3" s="192" t="s">
        <v>111</v>
      </c>
      <c r="L3" s="192" t="s">
        <v>104</v>
      </c>
      <c r="M3" s="192" t="s">
        <v>105</v>
      </c>
      <c r="N3" s="192" t="s">
        <v>103</v>
      </c>
    </row>
    <row r="4" spans="1:14" ht="12.5">
      <c r="A4" s="188" t="s">
        <v>53</v>
      </c>
      <c r="B4" s="188" t="s">
        <v>124</v>
      </c>
      <c r="C4" s="188" t="s">
        <v>535</v>
      </c>
      <c r="D4" s="188" t="s">
        <v>903</v>
      </c>
      <c r="E4" s="188"/>
      <c r="F4" s="306">
        <v>1</v>
      </c>
      <c r="G4" s="188"/>
      <c r="H4" s="188"/>
      <c r="I4" s="188"/>
      <c r="J4" s="188"/>
      <c r="K4" s="188"/>
      <c r="L4" s="188"/>
      <c r="M4" s="188"/>
      <c r="N4" s="188" t="s">
        <v>3701</v>
      </c>
    </row>
    <row r="5" spans="1:14" ht="12.5">
      <c r="A5" s="188" t="s">
        <v>53</v>
      </c>
      <c r="B5" s="188" t="s">
        <v>1189</v>
      </c>
      <c r="C5" s="188" t="s">
        <v>249</v>
      </c>
      <c r="D5" s="188" t="s">
        <v>243</v>
      </c>
      <c r="E5" s="188"/>
      <c r="F5" s="306">
        <v>2</v>
      </c>
      <c r="G5" s="188"/>
      <c r="H5" s="188"/>
      <c r="I5" s="188"/>
      <c r="J5" s="188"/>
      <c r="K5" s="188"/>
      <c r="L5" s="188"/>
      <c r="M5" s="188"/>
      <c r="N5" s="188" t="s">
        <v>3701</v>
      </c>
    </row>
    <row r="6" spans="1:14" ht="12.5">
      <c r="A6" s="188" t="s">
        <v>53</v>
      </c>
      <c r="B6" s="188" t="s">
        <v>1191</v>
      </c>
      <c r="C6" s="188" t="s">
        <v>252</v>
      </c>
      <c r="D6" s="188" t="s">
        <v>243</v>
      </c>
      <c r="E6" s="188"/>
      <c r="F6" s="306">
        <v>3</v>
      </c>
      <c r="G6" s="188"/>
      <c r="H6" s="188"/>
      <c r="I6" s="188"/>
      <c r="J6" s="188"/>
      <c r="K6" s="188"/>
      <c r="L6" s="188"/>
      <c r="M6" s="188"/>
      <c r="N6" s="392" t="s">
        <v>3701</v>
      </c>
    </row>
    <row r="7" spans="1:14" ht="12.5">
      <c r="A7" s="188" t="s">
        <v>53</v>
      </c>
      <c r="B7" s="188" t="s">
        <v>1192</v>
      </c>
      <c r="C7" s="188" t="s">
        <v>242</v>
      </c>
      <c r="D7" s="188" t="s">
        <v>243</v>
      </c>
      <c r="E7" s="188"/>
      <c r="F7" s="306">
        <v>4</v>
      </c>
      <c r="G7" s="188"/>
      <c r="H7" s="188"/>
      <c r="I7" s="188"/>
      <c r="J7" s="188"/>
      <c r="K7" s="188"/>
      <c r="L7" s="188"/>
      <c r="M7" s="188"/>
      <c r="N7" s="188" t="s">
        <v>3701</v>
      </c>
    </row>
    <row r="8" spans="1:14" ht="12.5">
      <c r="A8" s="188" t="s">
        <v>53</v>
      </c>
      <c r="B8" s="188" t="s">
        <v>1193</v>
      </c>
      <c r="C8" s="188" t="s">
        <v>247</v>
      </c>
      <c r="D8" s="188" t="s">
        <v>243</v>
      </c>
      <c r="E8" s="188"/>
      <c r="F8" s="306">
        <v>5</v>
      </c>
      <c r="G8" s="188"/>
      <c r="H8" s="188"/>
      <c r="I8" s="188"/>
      <c r="J8" s="188"/>
      <c r="K8" s="188"/>
      <c r="L8" s="188"/>
      <c r="M8" s="188"/>
      <c r="N8" s="188" t="s">
        <v>3701</v>
      </c>
    </row>
    <row r="9" spans="1:14" ht="12.5">
      <c r="A9" s="188" t="s">
        <v>53</v>
      </c>
      <c r="B9" s="188" t="s">
        <v>1194</v>
      </c>
      <c r="C9" s="188" t="s">
        <v>252</v>
      </c>
      <c r="D9" s="188" t="s">
        <v>243</v>
      </c>
      <c r="E9" s="188"/>
      <c r="F9" s="306">
        <v>6</v>
      </c>
      <c r="G9" s="188"/>
      <c r="H9" s="188"/>
      <c r="I9" s="188"/>
      <c r="J9" s="188"/>
      <c r="K9" s="188"/>
      <c r="L9" s="188"/>
      <c r="M9" s="188"/>
      <c r="N9" s="188" t="s">
        <v>3701</v>
      </c>
    </row>
    <row r="10" spans="1:14" ht="12.5">
      <c r="A10" s="188" t="s">
        <v>53</v>
      </c>
      <c r="B10" s="188" t="s">
        <v>1195</v>
      </c>
      <c r="C10" s="188" t="s">
        <v>247</v>
      </c>
      <c r="D10" s="188" t="s">
        <v>243</v>
      </c>
      <c r="E10" s="188"/>
      <c r="F10" s="306">
        <v>7</v>
      </c>
      <c r="G10" s="188"/>
      <c r="H10" s="188"/>
      <c r="I10" s="188"/>
      <c r="J10" s="188"/>
      <c r="K10" s="188"/>
      <c r="L10" s="188"/>
      <c r="M10" s="188"/>
      <c r="N10" s="188" t="s">
        <v>3701</v>
      </c>
    </row>
    <row r="11" spans="1:14" ht="12.5">
      <c r="A11" s="188" t="s">
        <v>53</v>
      </c>
      <c r="B11" s="188" t="s">
        <v>1196</v>
      </c>
      <c r="C11" s="188" t="s">
        <v>535</v>
      </c>
      <c r="D11" s="188" t="s">
        <v>903</v>
      </c>
      <c r="E11" s="188"/>
      <c r="F11" s="306">
        <v>8</v>
      </c>
      <c r="G11" s="188"/>
      <c r="H11" s="188"/>
      <c r="I11" s="188"/>
      <c r="J11" s="188"/>
      <c r="K11" s="188"/>
      <c r="L11" s="188"/>
      <c r="M11" s="188"/>
      <c r="N11" s="188" t="s">
        <v>3701</v>
      </c>
    </row>
    <row r="12" spans="1:14" ht="12.5">
      <c r="A12" s="188" t="s">
        <v>55</v>
      </c>
      <c r="B12" s="188" t="s">
        <v>3702</v>
      </c>
      <c r="C12" s="188" t="s">
        <v>535</v>
      </c>
      <c r="D12" s="188" t="s">
        <v>243</v>
      </c>
      <c r="E12" s="188"/>
      <c r="F12" s="306">
        <v>9</v>
      </c>
      <c r="G12" s="188"/>
      <c r="H12" s="188"/>
      <c r="I12" s="188"/>
      <c r="J12" s="188"/>
      <c r="K12" s="188"/>
      <c r="L12" s="188"/>
      <c r="M12" s="188"/>
      <c r="N12" s="188" t="s">
        <v>3701</v>
      </c>
    </row>
    <row r="13" spans="1:14" ht="12.5">
      <c r="A13" s="188" t="s">
        <v>55</v>
      </c>
      <c r="B13" s="188" t="s">
        <v>3703</v>
      </c>
      <c r="C13" s="188" t="s">
        <v>252</v>
      </c>
      <c r="D13" s="188" t="s">
        <v>243</v>
      </c>
      <c r="E13" s="188"/>
      <c r="F13" s="306">
        <v>10</v>
      </c>
      <c r="G13" s="317"/>
      <c r="H13" s="317"/>
      <c r="I13" s="317"/>
      <c r="J13" s="317"/>
      <c r="K13" s="317"/>
      <c r="L13" s="188"/>
      <c r="M13" s="188"/>
      <c r="N13" s="188"/>
    </row>
    <row r="14" spans="1:14" ht="12.5">
      <c r="A14" s="188" t="s">
        <v>55</v>
      </c>
      <c r="B14" s="188" t="s">
        <v>3704</v>
      </c>
      <c r="C14" s="188" t="s">
        <v>535</v>
      </c>
      <c r="D14" s="188" t="s">
        <v>243</v>
      </c>
      <c r="E14" s="188"/>
      <c r="F14" s="306">
        <v>11</v>
      </c>
      <c r="G14" s="188"/>
      <c r="H14" s="188"/>
      <c r="I14" s="188"/>
      <c r="J14" s="188"/>
      <c r="K14" s="188"/>
      <c r="L14" s="188"/>
      <c r="M14" s="188"/>
      <c r="N14" s="188" t="s">
        <v>3701</v>
      </c>
    </row>
    <row r="15" spans="1:14" ht="12.5">
      <c r="A15" s="188" t="s">
        <v>55</v>
      </c>
      <c r="B15" s="188" t="s">
        <v>3705</v>
      </c>
      <c r="C15" s="188" t="s">
        <v>252</v>
      </c>
      <c r="D15" s="188" t="s">
        <v>243</v>
      </c>
      <c r="E15" s="188"/>
      <c r="F15" s="306">
        <v>12</v>
      </c>
      <c r="G15" s="188"/>
      <c r="H15" s="188"/>
      <c r="I15" s="188"/>
      <c r="J15" s="188"/>
      <c r="K15" s="188"/>
      <c r="L15" s="188"/>
      <c r="M15" s="188"/>
      <c r="N15" s="188"/>
    </row>
    <row r="16" spans="1:14" ht="12.5">
      <c r="A16" s="188" t="s">
        <v>53</v>
      </c>
      <c r="B16" s="188" t="s">
        <v>1406</v>
      </c>
      <c r="C16" s="188" t="s">
        <v>535</v>
      </c>
      <c r="D16" s="188" t="s">
        <v>903</v>
      </c>
      <c r="E16" s="188"/>
      <c r="F16" s="306">
        <v>13</v>
      </c>
      <c r="G16" s="188"/>
      <c r="H16" s="188"/>
      <c r="I16" s="188"/>
      <c r="J16" s="188"/>
      <c r="K16" s="188"/>
      <c r="L16" s="188"/>
      <c r="M16" s="188"/>
      <c r="N16" s="188" t="s">
        <v>3701</v>
      </c>
    </row>
    <row r="17" spans="1:14" ht="25">
      <c r="A17" s="188" t="s">
        <v>53</v>
      </c>
      <c r="B17" s="188" t="s">
        <v>123</v>
      </c>
      <c r="C17" s="188" t="s">
        <v>535</v>
      </c>
      <c r="D17" s="188" t="s">
        <v>243</v>
      </c>
      <c r="E17" s="188"/>
      <c r="F17" s="306">
        <v>14</v>
      </c>
      <c r="G17" s="188" t="s">
        <v>682</v>
      </c>
      <c r="H17" s="188" t="s">
        <v>1184</v>
      </c>
      <c r="I17" s="188" t="s">
        <v>2577</v>
      </c>
      <c r="J17" s="188"/>
      <c r="K17" s="188"/>
      <c r="L17" s="188"/>
      <c r="M17" s="188"/>
      <c r="N17" s="188" t="s">
        <v>3701</v>
      </c>
    </row>
    <row r="18" spans="1:14" ht="37.5">
      <c r="A18" s="188" t="s">
        <v>3681</v>
      </c>
      <c r="B18" s="188" t="s">
        <v>3706</v>
      </c>
      <c r="C18" s="188" t="s">
        <v>535</v>
      </c>
      <c r="D18" s="188" t="s">
        <v>243</v>
      </c>
      <c r="E18" s="188"/>
      <c r="F18" s="306">
        <v>15</v>
      </c>
      <c r="G18" s="188" t="s">
        <v>682</v>
      </c>
      <c r="H18" s="188" t="s">
        <v>3707</v>
      </c>
      <c r="I18" s="188" t="s">
        <v>3708</v>
      </c>
      <c r="J18" s="188" t="s">
        <v>1831</v>
      </c>
      <c r="K18" s="352" t="s">
        <v>3709</v>
      </c>
      <c r="L18" s="188"/>
      <c r="M18" s="188"/>
      <c r="N18" s="188" t="s">
        <v>3710</v>
      </c>
    </row>
    <row r="19" spans="1:14" ht="37.5">
      <c r="A19" s="188" t="s">
        <v>3681</v>
      </c>
      <c r="B19" s="188" t="s">
        <v>3711</v>
      </c>
      <c r="C19" s="188" t="s">
        <v>535</v>
      </c>
      <c r="D19" s="188" t="s">
        <v>903</v>
      </c>
      <c r="E19" s="188"/>
      <c r="F19" s="306">
        <v>16</v>
      </c>
      <c r="G19" s="188" t="s">
        <v>682</v>
      </c>
      <c r="H19" s="188" t="s">
        <v>3707</v>
      </c>
      <c r="I19" s="188" t="s">
        <v>3712</v>
      </c>
      <c r="J19" s="188" t="s">
        <v>1831</v>
      </c>
      <c r="K19" s="352" t="s">
        <v>3713</v>
      </c>
      <c r="L19" s="188"/>
      <c r="M19" s="188"/>
      <c r="N19" s="188" t="s">
        <v>3714</v>
      </c>
    </row>
    <row r="20" spans="1:14" ht="12.5">
      <c r="A20" s="188" t="s">
        <v>3681</v>
      </c>
      <c r="B20" s="188" t="s">
        <v>3715</v>
      </c>
      <c r="C20" s="188" t="s">
        <v>995</v>
      </c>
      <c r="D20" s="188" t="s">
        <v>243</v>
      </c>
      <c r="E20" s="188"/>
      <c r="F20" s="306">
        <v>17</v>
      </c>
      <c r="G20" s="188" t="s">
        <v>682</v>
      </c>
      <c r="H20" s="463" t="s">
        <v>1184</v>
      </c>
      <c r="I20" s="188" t="s">
        <v>3716</v>
      </c>
      <c r="J20" s="188"/>
      <c r="K20" s="188"/>
      <c r="L20" s="188"/>
      <c r="M20" s="188"/>
      <c r="N20" s="188" t="s">
        <v>3717</v>
      </c>
    </row>
    <row r="21" spans="1:14" ht="12.5">
      <c r="A21" s="188" t="s">
        <v>55</v>
      </c>
      <c r="B21" s="188" t="s">
        <v>3718</v>
      </c>
      <c r="C21" s="188" t="s">
        <v>535</v>
      </c>
      <c r="D21" s="188" t="s">
        <v>243</v>
      </c>
      <c r="E21" s="188"/>
      <c r="F21" s="306">
        <v>18</v>
      </c>
      <c r="G21" s="188"/>
      <c r="H21" s="188"/>
      <c r="I21" s="188"/>
      <c r="J21" s="188"/>
      <c r="K21" s="188"/>
      <c r="L21" s="188"/>
      <c r="M21" s="188"/>
      <c r="N21" s="188"/>
    </row>
  </sheetData>
  <autoFilter ref="A3:Z21" xr:uid="{00000000-0009-0000-0000-000046000000}"/>
  <hyperlinks>
    <hyperlink ref="K18" r:id="rId1" xr:uid="{00000000-0004-0000-4600-000000000000}"/>
    <hyperlink ref="K19" r:id="rId2" xr:uid="{00000000-0004-0000-4600-000001000000}"/>
  </hyperlinks>
  <pageMargins left="0" right="0" top="0" bottom="0" header="0" footer="0"/>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filterMode="1">
    <outlinePr summaryBelow="0" summaryRight="0"/>
  </sheetPr>
  <dimension ref="A1:AB99"/>
  <sheetViews>
    <sheetView workbookViewId="0">
      <pane xSplit="2" ySplit="2" topLeftCell="E4" activePane="bottomRight" state="frozen"/>
      <selection pane="topRight" activeCell="C1" sqref="C1"/>
      <selection pane="bottomLeft" activeCell="A3" sqref="A3"/>
      <selection pane="bottomRight" activeCell="L54" sqref="L54"/>
    </sheetView>
  </sheetViews>
  <sheetFormatPr defaultColWidth="14.453125" defaultRowHeight="15" customHeight="1"/>
  <cols>
    <col min="1" max="4" width="17.26953125" hidden="1" customWidth="1"/>
    <col min="5" max="5" width="22" customWidth="1"/>
    <col min="6" max="6" width="28.1796875" customWidth="1"/>
    <col min="7" max="7" width="21.7265625" customWidth="1"/>
    <col min="8" max="8" width="10" customWidth="1"/>
    <col min="9" max="9" width="6.54296875" customWidth="1"/>
    <col min="10" max="11" width="8.453125" customWidth="1"/>
    <col min="12" max="12" width="48.1796875" customWidth="1"/>
    <col min="13" max="13" width="44.7265625" customWidth="1"/>
    <col min="14" max="14" width="17.26953125" customWidth="1"/>
    <col min="15" max="15" width="15.7265625" customWidth="1"/>
    <col min="16" max="16" width="27.26953125" customWidth="1"/>
    <col min="17" max="17" width="17.26953125" customWidth="1"/>
    <col min="18" max="18" width="7.453125" customWidth="1"/>
    <col min="19" max="19" width="21.1796875" customWidth="1"/>
    <col min="20" max="20" width="33.7265625" customWidth="1"/>
    <col min="21" max="23" width="9.81640625" customWidth="1"/>
    <col min="24" max="24" width="16.7265625" customWidth="1"/>
    <col min="25" max="25" width="17.26953125" customWidth="1"/>
    <col min="26" max="26" width="23.26953125" customWidth="1"/>
    <col min="27" max="27" width="17.26953125" customWidth="1"/>
    <col min="28" max="28" width="45.26953125" customWidth="1"/>
  </cols>
  <sheetData>
    <row r="1" spans="5:28" ht="15" customHeight="1">
      <c r="E1" s="459"/>
      <c r="F1" s="459"/>
      <c r="G1" s="459"/>
      <c r="H1" s="459"/>
      <c r="I1" s="459"/>
      <c r="J1" s="459"/>
      <c r="K1" s="218" t="s">
        <v>1038</v>
      </c>
      <c r="L1" s="218"/>
      <c r="M1" s="218"/>
      <c r="N1" s="218"/>
      <c r="O1" s="218"/>
      <c r="P1" s="218"/>
      <c r="Q1" s="218"/>
      <c r="R1" s="207"/>
      <c r="S1" s="207"/>
      <c r="T1" s="207"/>
      <c r="U1" s="381"/>
      <c r="V1" s="381"/>
      <c r="W1" s="381"/>
      <c r="X1" s="56"/>
      <c r="Y1" s="56"/>
      <c r="Z1" s="252" t="s">
        <v>1039</v>
      </c>
      <c r="AA1" s="364"/>
      <c r="AB1" s="252"/>
    </row>
    <row r="2" spans="5:28" ht="15" customHeight="1">
      <c r="E2" s="208" t="s">
        <v>224</v>
      </c>
      <c r="F2" s="208" t="s">
        <v>225</v>
      </c>
      <c r="G2" s="208" t="s">
        <v>226</v>
      </c>
      <c r="H2" s="208" t="s">
        <v>227</v>
      </c>
      <c r="I2" s="208" t="s">
        <v>1044</v>
      </c>
      <c r="J2" s="208" t="s">
        <v>1045</v>
      </c>
      <c r="K2" s="218" t="s">
        <v>1046</v>
      </c>
      <c r="L2" s="218" t="s">
        <v>100</v>
      </c>
      <c r="M2" s="218" t="s">
        <v>101</v>
      </c>
      <c r="N2" s="218" t="s">
        <v>102</v>
      </c>
      <c r="O2" s="218" t="s">
        <v>103</v>
      </c>
      <c r="P2" s="218" t="s">
        <v>104</v>
      </c>
      <c r="Q2" s="218" t="s">
        <v>105</v>
      </c>
      <c r="R2" s="207" t="s">
        <v>111</v>
      </c>
      <c r="S2" s="207" t="s">
        <v>112</v>
      </c>
      <c r="T2" s="207" t="s">
        <v>103</v>
      </c>
      <c r="U2" s="381"/>
      <c r="V2" s="381"/>
      <c r="W2" s="381"/>
      <c r="X2" s="226" t="s">
        <v>1049</v>
      </c>
      <c r="Y2" s="226" t="s">
        <v>1050</v>
      </c>
      <c r="Z2" s="226" t="s">
        <v>237</v>
      </c>
      <c r="AA2" s="366" t="s">
        <v>1</v>
      </c>
      <c r="AB2" s="226" t="s">
        <v>238</v>
      </c>
    </row>
    <row r="3" spans="5:28" ht="15" hidden="1" customHeight="1">
      <c r="E3" s="459" t="s">
        <v>55</v>
      </c>
      <c r="F3" s="459" t="s">
        <v>3402</v>
      </c>
      <c r="G3" s="459" t="s">
        <v>247</v>
      </c>
      <c r="H3" s="459" t="s">
        <v>243</v>
      </c>
      <c r="I3" s="459"/>
      <c r="J3" s="459">
        <v>2</v>
      </c>
      <c r="K3" s="459"/>
      <c r="L3" s="459"/>
      <c r="M3" s="459"/>
      <c r="N3" s="459"/>
      <c r="O3" s="459"/>
      <c r="P3" s="459"/>
      <c r="Q3" s="130"/>
      <c r="R3" s="130"/>
      <c r="S3" s="130"/>
      <c r="T3" s="130" t="s">
        <v>3719</v>
      </c>
      <c r="U3" s="130"/>
      <c r="V3" s="130"/>
      <c r="W3" s="130"/>
      <c r="X3" s="5"/>
      <c r="Y3" s="5"/>
      <c r="Z3" s="5"/>
      <c r="AA3" s="5"/>
      <c r="AB3" s="70"/>
    </row>
    <row r="4" spans="5:28" ht="25">
      <c r="E4" s="459" t="s">
        <v>59</v>
      </c>
      <c r="F4" s="459" t="s">
        <v>921</v>
      </c>
      <c r="G4" s="459" t="s">
        <v>922</v>
      </c>
      <c r="H4" s="459" t="s">
        <v>243</v>
      </c>
      <c r="I4" s="459"/>
      <c r="J4" s="459">
        <v>6</v>
      </c>
      <c r="K4" s="459" t="s">
        <v>682</v>
      </c>
      <c r="L4" s="459" t="s">
        <v>3720</v>
      </c>
      <c r="M4" s="459" t="s">
        <v>970</v>
      </c>
      <c r="N4" s="459"/>
      <c r="O4" s="459"/>
      <c r="P4" s="459"/>
      <c r="Q4" s="130"/>
      <c r="R4" s="130"/>
      <c r="S4" s="130"/>
      <c r="T4" s="130" t="s">
        <v>3721</v>
      </c>
      <c r="U4" s="130"/>
      <c r="V4" s="130"/>
      <c r="W4" s="130"/>
      <c r="X4" s="5">
        <v>13</v>
      </c>
      <c r="Y4" s="5"/>
      <c r="Z4" s="34" t="s">
        <v>1521</v>
      </c>
      <c r="AA4" s="131">
        <v>43538</v>
      </c>
      <c r="AB4" s="129" t="s">
        <v>3722</v>
      </c>
    </row>
    <row r="5" spans="5:28" ht="12.5" hidden="1">
      <c r="E5" s="459" t="s">
        <v>55</v>
      </c>
      <c r="F5" s="459" t="s">
        <v>971</v>
      </c>
      <c r="G5" s="459" t="s">
        <v>324</v>
      </c>
      <c r="H5" s="459" t="s">
        <v>243</v>
      </c>
      <c r="I5" s="459"/>
      <c r="J5" s="459">
        <v>7</v>
      </c>
      <c r="K5" s="459"/>
      <c r="L5" s="459"/>
      <c r="M5" s="459"/>
      <c r="N5" s="459"/>
      <c r="O5" s="459"/>
      <c r="P5" s="459"/>
      <c r="Q5" s="130"/>
      <c r="R5" s="130"/>
      <c r="S5" s="130"/>
      <c r="T5" s="130" t="s">
        <v>3723</v>
      </c>
      <c r="U5" s="130"/>
      <c r="V5" s="130"/>
      <c r="W5" s="130"/>
      <c r="X5" s="5"/>
      <c r="Y5" s="5"/>
      <c r="Z5" s="5"/>
      <c r="AA5" s="5"/>
      <c r="AB5" s="70"/>
    </row>
    <row r="6" spans="5:28" ht="12.5" hidden="1">
      <c r="E6" s="459" t="s">
        <v>55</v>
      </c>
      <c r="F6" s="459" t="s">
        <v>3349</v>
      </c>
      <c r="G6" s="459" t="s">
        <v>324</v>
      </c>
      <c r="H6" s="459" t="s">
        <v>243</v>
      </c>
      <c r="I6" s="459"/>
      <c r="J6" s="459">
        <v>8</v>
      </c>
      <c r="K6" s="459"/>
      <c r="L6" s="459"/>
      <c r="M6" s="459"/>
      <c r="N6" s="459"/>
      <c r="O6" s="459"/>
      <c r="P6" s="459"/>
      <c r="Q6" s="130"/>
      <c r="R6" s="130"/>
      <c r="S6" s="130"/>
      <c r="T6" s="130" t="s">
        <v>3724</v>
      </c>
      <c r="U6" s="130"/>
      <c r="V6" s="130"/>
      <c r="W6" s="130"/>
      <c r="X6" s="5"/>
      <c r="Y6" s="5"/>
      <c r="Z6" s="5"/>
      <c r="AA6" s="5"/>
      <c r="AB6" s="70"/>
    </row>
    <row r="7" spans="5:28" ht="12.5" hidden="1">
      <c r="E7" s="459" t="s">
        <v>55</v>
      </c>
      <c r="F7" s="459" t="s">
        <v>3351</v>
      </c>
      <c r="G7" s="459" t="s">
        <v>324</v>
      </c>
      <c r="H7" s="459" t="s">
        <v>243</v>
      </c>
      <c r="I7" s="459"/>
      <c r="J7" s="459">
        <v>9</v>
      </c>
      <c r="K7" s="459"/>
      <c r="L7" s="459"/>
      <c r="M7" s="459"/>
      <c r="N7" s="459"/>
      <c r="O7" s="459"/>
      <c r="P7" s="459"/>
      <c r="Q7" s="130"/>
      <c r="R7" s="130"/>
      <c r="S7" s="130"/>
      <c r="T7" s="130" t="s">
        <v>3725</v>
      </c>
      <c r="U7" s="130"/>
      <c r="V7" s="130"/>
      <c r="W7" s="130"/>
      <c r="X7" s="5"/>
      <c r="Y7" s="5"/>
      <c r="Z7" s="5"/>
      <c r="AA7" s="5"/>
      <c r="AB7" s="70"/>
    </row>
    <row r="8" spans="5:28" ht="12.5" hidden="1">
      <c r="E8" s="459" t="s">
        <v>55</v>
      </c>
      <c r="F8" s="459" t="s">
        <v>3726</v>
      </c>
      <c r="G8" s="459" t="s">
        <v>324</v>
      </c>
      <c r="H8" s="459" t="s">
        <v>243</v>
      </c>
      <c r="I8" s="459"/>
      <c r="J8" s="459">
        <v>88</v>
      </c>
      <c r="K8" s="459"/>
      <c r="L8" s="459"/>
      <c r="M8" s="459"/>
      <c r="N8" s="459"/>
      <c r="O8" s="459"/>
      <c r="P8" s="459"/>
      <c r="Q8" s="130"/>
      <c r="R8" s="130"/>
      <c r="S8" s="130"/>
      <c r="T8" s="130" t="s">
        <v>3727</v>
      </c>
      <c r="U8" s="130"/>
      <c r="V8" s="130"/>
      <c r="W8" s="130"/>
    </row>
    <row r="9" spans="5:28" ht="25">
      <c r="E9" s="459" t="s">
        <v>55</v>
      </c>
      <c r="F9" s="459" t="s">
        <v>936</v>
      </c>
      <c r="G9" s="459" t="s">
        <v>247</v>
      </c>
      <c r="H9" s="459" t="s">
        <v>243</v>
      </c>
      <c r="I9" s="459"/>
      <c r="J9" s="459">
        <v>10</v>
      </c>
      <c r="K9" s="459" t="s">
        <v>682</v>
      </c>
      <c r="L9" s="459" t="s">
        <v>3720</v>
      </c>
      <c r="M9" s="459" t="s">
        <v>986</v>
      </c>
      <c r="N9" s="459"/>
      <c r="O9" s="459"/>
      <c r="P9" s="459"/>
      <c r="Q9" s="130"/>
      <c r="R9" s="130"/>
      <c r="S9" s="130"/>
      <c r="T9" s="130" t="s">
        <v>3728</v>
      </c>
      <c r="U9" s="130"/>
      <c r="V9" s="130"/>
      <c r="W9" s="130"/>
      <c r="X9" s="5">
        <v>12</v>
      </c>
      <c r="Y9" s="5"/>
      <c r="Z9" s="120" t="s">
        <v>3729</v>
      </c>
      <c r="AA9" s="131">
        <v>43476</v>
      </c>
      <c r="AB9" s="129" t="s">
        <v>3730</v>
      </c>
    </row>
    <row r="10" spans="5:28" ht="12.5" hidden="1">
      <c r="E10" s="459" t="s">
        <v>55</v>
      </c>
      <c r="F10" s="459" t="s">
        <v>987</v>
      </c>
      <c r="G10" s="459" t="s">
        <v>247</v>
      </c>
      <c r="H10" s="459" t="s">
        <v>243</v>
      </c>
      <c r="I10" s="459"/>
      <c r="J10" s="459">
        <v>11</v>
      </c>
      <c r="K10" s="459"/>
      <c r="L10" s="459"/>
      <c r="M10" s="459"/>
      <c r="N10" s="459"/>
      <c r="O10" s="459"/>
      <c r="P10" s="459"/>
      <c r="Q10" s="130"/>
      <c r="R10" s="130"/>
      <c r="S10" s="130"/>
      <c r="T10" s="130" t="s">
        <v>3731</v>
      </c>
      <c r="U10" s="130"/>
      <c r="V10" s="130"/>
      <c r="W10" s="130"/>
      <c r="X10" s="5"/>
      <c r="Y10" s="5"/>
      <c r="Z10" s="5"/>
      <c r="AA10" s="5"/>
      <c r="AB10" s="70"/>
    </row>
    <row r="11" spans="5:28" ht="12.5" hidden="1">
      <c r="E11" s="459" t="s">
        <v>55</v>
      </c>
      <c r="F11" s="459" t="s">
        <v>989</v>
      </c>
      <c r="G11" s="459" t="s">
        <v>247</v>
      </c>
      <c r="H11" s="459" t="s">
        <v>243</v>
      </c>
      <c r="I11" s="459"/>
      <c r="J11" s="459">
        <v>12</v>
      </c>
      <c r="K11" s="459"/>
      <c r="L11" s="459"/>
      <c r="M11" s="459"/>
      <c r="N11" s="459"/>
      <c r="O11" s="459"/>
      <c r="P11" s="459"/>
      <c r="Q11" s="130"/>
      <c r="R11" s="130"/>
      <c r="S11" s="130"/>
      <c r="T11" s="130" t="s">
        <v>3731</v>
      </c>
      <c r="U11" s="130"/>
      <c r="V11" s="130"/>
      <c r="W11" s="130"/>
      <c r="X11" s="5"/>
      <c r="Y11" s="5"/>
      <c r="Z11" s="5"/>
      <c r="AA11" s="5"/>
      <c r="AB11" s="70"/>
    </row>
    <row r="12" spans="5:28" ht="12.5" hidden="1">
      <c r="E12" s="459" t="s">
        <v>55</v>
      </c>
      <c r="F12" s="459" t="s">
        <v>3414</v>
      </c>
      <c r="G12" s="459" t="s">
        <v>429</v>
      </c>
      <c r="H12" s="459" t="s">
        <v>243</v>
      </c>
      <c r="I12" s="459"/>
      <c r="J12" s="459">
        <v>13</v>
      </c>
      <c r="K12" s="459"/>
      <c r="L12" s="459"/>
      <c r="M12" s="459"/>
      <c r="N12" s="459"/>
      <c r="O12" s="459"/>
      <c r="P12" s="459"/>
      <c r="Q12" s="130"/>
      <c r="R12" s="130"/>
      <c r="S12" s="130"/>
      <c r="T12" s="130" t="s">
        <v>3732</v>
      </c>
      <c r="U12" s="130"/>
      <c r="V12" s="130"/>
      <c r="W12" s="130"/>
      <c r="X12" s="5"/>
      <c r="Y12" s="5"/>
      <c r="Z12" s="5"/>
      <c r="AA12" s="5"/>
      <c r="AB12" s="70"/>
    </row>
    <row r="13" spans="5:28" ht="12.5" hidden="1">
      <c r="E13" s="186" t="s">
        <v>53</v>
      </c>
      <c r="F13" s="459" t="s">
        <v>1189</v>
      </c>
      <c r="G13" s="459" t="s">
        <v>249</v>
      </c>
      <c r="H13" s="459" t="s">
        <v>243</v>
      </c>
      <c r="I13" s="459"/>
      <c r="J13" s="459">
        <v>14</v>
      </c>
      <c r="K13" s="459"/>
      <c r="L13" s="459"/>
      <c r="M13" s="459"/>
      <c r="N13" s="459"/>
      <c r="O13" s="459"/>
      <c r="P13" s="459"/>
      <c r="Q13" s="186"/>
      <c r="R13" s="186"/>
      <c r="S13" s="186"/>
      <c r="T13" s="186" t="s">
        <v>1190</v>
      </c>
      <c r="U13" s="186"/>
      <c r="V13" s="186"/>
      <c r="W13" s="186"/>
    </row>
    <row r="14" spans="5:28" ht="12.5" hidden="1">
      <c r="E14" s="186" t="s">
        <v>53</v>
      </c>
      <c r="F14" s="459" t="s">
        <v>1191</v>
      </c>
      <c r="G14" s="459" t="s">
        <v>252</v>
      </c>
      <c r="H14" s="459" t="s">
        <v>243</v>
      </c>
      <c r="I14" s="459"/>
      <c r="J14" s="459">
        <v>15</v>
      </c>
      <c r="K14" s="459"/>
      <c r="L14" s="459"/>
      <c r="M14" s="459"/>
      <c r="N14" s="459"/>
      <c r="O14" s="459"/>
      <c r="P14" s="459"/>
      <c r="Q14" s="130"/>
      <c r="R14" s="186"/>
      <c r="S14" s="186"/>
      <c r="T14" s="186" t="s">
        <v>1190</v>
      </c>
      <c r="U14" s="186"/>
      <c r="V14" s="186"/>
      <c r="W14" s="186"/>
    </row>
    <row r="15" spans="5:28" ht="12.5" hidden="1">
      <c r="E15" s="186" t="s">
        <v>53</v>
      </c>
      <c r="F15" s="459" t="s">
        <v>1192</v>
      </c>
      <c r="G15" s="459" t="s">
        <v>242</v>
      </c>
      <c r="H15" s="459" t="s">
        <v>243</v>
      </c>
      <c r="I15" s="459"/>
      <c r="J15" s="459">
        <v>16</v>
      </c>
      <c r="K15" s="459"/>
      <c r="L15" s="459"/>
      <c r="M15" s="459"/>
      <c r="N15" s="459"/>
      <c r="O15" s="459"/>
      <c r="P15" s="459"/>
      <c r="Q15" s="130"/>
      <c r="R15" s="186"/>
      <c r="S15" s="186"/>
      <c r="T15" s="186" t="s">
        <v>1190</v>
      </c>
      <c r="U15" s="186"/>
      <c r="V15" s="186"/>
      <c r="W15" s="186"/>
    </row>
    <row r="16" spans="5:28" ht="12.5" hidden="1">
      <c r="E16" s="186" t="s">
        <v>53</v>
      </c>
      <c r="F16" s="459" t="s">
        <v>1193</v>
      </c>
      <c r="G16" s="459" t="s">
        <v>247</v>
      </c>
      <c r="H16" s="459" t="s">
        <v>243</v>
      </c>
      <c r="I16" s="459"/>
      <c r="J16" s="459">
        <v>17</v>
      </c>
      <c r="K16" s="459"/>
      <c r="L16" s="459"/>
      <c r="M16" s="459"/>
      <c r="N16" s="459"/>
      <c r="O16" s="459"/>
      <c r="P16" s="459"/>
      <c r="Q16" s="130"/>
      <c r="R16" s="186"/>
      <c r="S16" s="186"/>
      <c r="T16" s="186" t="s">
        <v>1190</v>
      </c>
      <c r="U16" s="186"/>
      <c r="V16" s="186"/>
      <c r="W16" s="186"/>
    </row>
    <row r="17" spans="1:28" ht="12.5" hidden="1">
      <c r="E17" s="186" t="s">
        <v>53</v>
      </c>
      <c r="F17" s="459" t="s">
        <v>1194</v>
      </c>
      <c r="G17" s="459" t="s">
        <v>252</v>
      </c>
      <c r="H17" s="459" t="s">
        <v>243</v>
      </c>
      <c r="I17" s="459"/>
      <c r="J17" s="459">
        <v>18</v>
      </c>
      <c r="K17" s="459"/>
      <c r="L17" s="459"/>
      <c r="M17" s="459"/>
      <c r="N17" s="459"/>
      <c r="O17" s="459"/>
      <c r="P17" s="459"/>
      <c r="Q17" s="130"/>
      <c r="R17" s="186"/>
      <c r="S17" s="186"/>
      <c r="T17" s="186" t="s">
        <v>1190</v>
      </c>
      <c r="U17" s="186"/>
      <c r="V17" s="186"/>
      <c r="W17" s="186"/>
    </row>
    <row r="18" spans="1:28" ht="12.5" hidden="1">
      <c r="E18" s="186" t="s">
        <v>53</v>
      </c>
      <c r="F18" s="459" t="s">
        <v>1195</v>
      </c>
      <c r="G18" s="459" t="s">
        <v>247</v>
      </c>
      <c r="H18" s="459" t="s">
        <v>243</v>
      </c>
      <c r="I18" s="459"/>
      <c r="J18" s="459">
        <v>19</v>
      </c>
      <c r="K18" s="459"/>
      <c r="L18" s="459"/>
      <c r="M18" s="459"/>
      <c r="N18" s="459"/>
      <c r="O18" s="459"/>
      <c r="P18" s="459"/>
      <c r="Q18" s="130"/>
      <c r="R18" s="186"/>
      <c r="S18" s="186"/>
      <c r="T18" s="186" t="s">
        <v>1190</v>
      </c>
      <c r="U18" s="186"/>
      <c r="V18" s="186"/>
      <c r="W18" s="186"/>
    </row>
    <row r="19" spans="1:28" ht="12.5" hidden="1">
      <c r="E19" s="186" t="s">
        <v>53</v>
      </c>
      <c r="F19" s="459" t="s">
        <v>1196</v>
      </c>
      <c r="G19" s="459" t="s">
        <v>535</v>
      </c>
      <c r="H19" s="459" t="s">
        <v>903</v>
      </c>
      <c r="I19" s="459"/>
      <c r="J19" s="459">
        <v>20</v>
      </c>
      <c r="K19" s="459"/>
      <c r="L19" s="459"/>
      <c r="M19" s="459"/>
      <c r="N19" s="459"/>
      <c r="O19" s="459"/>
      <c r="P19" s="459"/>
      <c r="Q19" s="130"/>
      <c r="R19" s="186"/>
      <c r="S19" s="186"/>
      <c r="T19" s="186" t="s">
        <v>1190</v>
      </c>
      <c r="U19" s="186"/>
      <c r="V19" s="186"/>
      <c r="W19" s="186"/>
    </row>
    <row r="20" spans="1:28" ht="12.5" hidden="1">
      <c r="E20" s="459" t="s">
        <v>55</v>
      </c>
      <c r="F20" s="459" t="s">
        <v>3416</v>
      </c>
      <c r="G20" s="459" t="s">
        <v>324</v>
      </c>
      <c r="H20" s="459" t="s">
        <v>243</v>
      </c>
      <c r="I20" s="459"/>
      <c r="J20" s="459">
        <v>21</v>
      </c>
      <c r="K20" s="459"/>
      <c r="L20" s="459"/>
      <c r="M20" s="459"/>
      <c r="N20" s="459"/>
      <c r="O20" s="459"/>
      <c r="P20" s="459"/>
      <c r="Q20" s="130"/>
      <c r="R20" s="186"/>
      <c r="S20" s="186"/>
      <c r="T20" s="186" t="s">
        <v>3733</v>
      </c>
      <c r="U20" s="186"/>
      <c r="V20" s="186"/>
      <c r="W20" s="186"/>
      <c r="X20" s="5"/>
      <c r="Y20" s="5"/>
      <c r="Z20" s="5"/>
      <c r="AA20" s="5"/>
      <c r="AB20" s="70"/>
    </row>
    <row r="21" spans="1:28" ht="12.5" hidden="1">
      <c r="E21" s="459" t="s">
        <v>55</v>
      </c>
      <c r="F21" s="459" t="s">
        <v>3734</v>
      </c>
      <c r="G21" s="459" t="s">
        <v>3735</v>
      </c>
      <c r="H21" s="459" t="s">
        <v>243</v>
      </c>
      <c r="I21" s="459"/>
      <c r="J21" s="459">
        <v>82</v>
      </c>
      <c r="K21" s="459"/>
      <c r="L21" s="459"/>
      <c r="M21" s="459"/>
      <c r="N21" s="459"/>
      <c r="O21" s="459"/>
      <c r="P21" s="459"/>
      <c r="Q21" s="130"/>
      <c r="R21" s="130"/>
      <c r="S21" s="130"/>
      <c r="T21" s="130" t="s">
        <v>3736</v>
      </c>
      <c r="U21" s="130"/>
      <c r="V21" s="130"/>
      <c r="W21" s="130"/>
    </row>
    <row r="22" spans="1:28" ht="12.5" hidden="1">
      <c r="E22" s="459" t="s">
        <v>55</v>
      </c>
      <c r="F22" s="459" t="s">
        <v>938</v>
      </c>
      <c r="G22" s="459" t="s">
        <v>255</v>
      </c>
      <c r="H22" s="459" t="s">
        <v>243</v>
      </c>
      <c r="I22" s="459"/>
      <c r="J22" s="459">
        <v>22</v>
      </c>
      <c r="K22" s="459"/>
      <c r="L22" s="459"/>
      <c r="M22" s="459"/>
      <c r="N22" s="459"/>
      <c r="O22" s="459"/>
      <c r="P22" s="459"/>
      <c r="Q22" s="130"/>
      <c r="R22" s="130"/>
      <c r="S22" s="130"/>
      <c r="T22" s="130" t="s">
        <v>3420</v>
      </c>
      <c r="U22" s="130"/>
      <c r="V22" s="130"/>
      <c r="W22" s="130"/>
    </row>
    <row r="23" spans="1:28" ht="12.5" hidden="1">
      <c r="E23" s="459" t="s">
        <v>55</v>
      </c>
      <c r="F23" s="459" t="s">
        <v>3422</v>
      </c>
      <c r="G23" s="459" t="s">
        <v>324</v>
      </c>
      <c r="H23" s="459" t="s">
        <v>243</v>
      </c>
      <c r="I23" s="459"/>
      <c r="J23" s="459">
        <v>23</v>
      </c>
      <c r="K23" s="459"/>
      <c r="L23" s="459"/>
      <c r="M23" s="459"/>
      <c r="N23" s="459"/>
      <c r="O23" s="459"/>
      <c r="P23" s="459"/>
      <c r="Q23" s="130"/>
      <c r="R23" s="130"/>
      <c r="S23" s="130"/>
      <c r="T23" s="130"/>
      <c r="U23" s="130"/>
      <c r="V23" s="130"/>
      <c r="W23" s="130"/>
    </row>
    <row r="24" spans="1:28" ht="25">
      <c r="B24" s="441"/>
      <c r="C24" s="441"/>
      <c r="D24" s="441"/>
      <c r="E24" s="441" t="s">
        <v>55</v>
      </c>
      <c r="F24" s="441" t="s">
        <v>924</v>
      </c>
      <c r="G24" s="441" t="s">
        <v>925</v>
      </c>
      <c r="H24" s="441" t="s">
        <v>243</v>
      </c>
      <c r="I24" s="441"/>
      <c r="J24" s="441">
        <v>24</v>
      </c>
      <c r="K24" s="459" t="s">
        <v>682</v>
      </c>
      <c r="L24" s="459" t="s">
        <v>3720</v>
      </c>
      <c r="M24" s="441" t="s">
        <v>973</v>
      </c>
      <c r="N24" s="441"/>
      <c r="O24" s="441"/>
      <c r="P24" s="441"/>
      <c r="Q24" s="441"/>
      <c r="R24" s="441"/>
      <c r="S24" s="441"/>
      <c r="T24" s="441" t="s">
        <v>3737</v>
      </c>
      <c r="U24" s="441"/>
      <c r="V24" s="441"/>
      <c r="W24" s="441"/>
      <c r="X24" s="441">
        <v>16</v>
      </c>
      <c r="Y24" s="441"/>
      <c r="Z24" s="441" t="s">
        <v>1197</v>
      </c>
      <c r="AA24" s="146">
        <v>43607</v>
      </c>
      <c r="AB24" s="441" t="s">
        <v>3722</v>
      </c>
    </row>
    <row r="25" spans="1:28" ht="12.5" hidden="1">
      <c r="E25" s="459" t="s">
        <v>55</v>
      </c>
      <c r="F25" s="459" t="s">
        <v>3738</v>
      </c>
      <c r="G25" s="459" t="s">
        <v>324</v>
      </c>
      <c r="H25" s="459" t="s">
        <v>243</v>
      </c>
      <c r="I25" s="459"/>
      <c r="J25" s="459">
        <v>79</v>
      </c>
      <c r="K25" s="459"/>
      <c r="L25" s="459"/>
      <c r="M25" s="459"/>
      <c r="N25" s="459"/>
      <c r="O25" s="459"/>
      <c r="P25" s="459"/>
      <c r="Q25" s="130"/>
      <c r="R25" s="130"/>
      <c r="S25" s="130"/>
      <c r="T25" s="130" t="s">
        <v>3739</v>
      </c>
      <c r="U25" s="130"/>
      <c r="V25" s="130"/>
      <c r="W25" s="130"/>
    </row>
    <row r="26" spans="1:28" ht="12.5" hidden="1">
      <c r="E26" s="459" t="s">
        <v>55</v>
      </c>
      <c r="F26" s="459" t="s">
        <v>3740</v>
      </c>
      <c r="G26" s="459" t="s">
        <v>535</v>
      </c>
      <c r="H26" s="459" t="s">
        <v>243</v>
      </c>
      <c r="I26" s="459"/>
      <c r="J26" s="459">
        <v>75</v>
      </c>
      <c r="K26" s="459"/>
      <c r="L26" s="459"/>
      <c r="M26" s="459"/>
      <c r="N26" s="459"/>
      <c r="O26" s="459"/>
      <c r="P26" s="459"/>
      <c r="Q26" s="130"/>
      <c r="R26" s="130"/>
      <c r="S26" s="130"/>
      <c r="T26" s="130" t="s">
        <v>3741</v>
      </c>
      <c r="U26" s="130"/>
      <c r="V26" s="130"/>
      <c r="W26" s="130"/>
    </row>
    <row r="27" spans="1:28" ht="25">
      <c r="A27" s="441"/>
      <c r="B27" s="441"/>
      <c r="C27" s="441"/>
      <c r="D27" s="441"/>
      <c r="E27" s="441" t="s">
        <v>55</v>
      </c>
      <c r="F27" s="441" t="s">
        <v>1032</v>
      </c>
      <c r="G27" s="441" t="s">
        <v>535</v>
      </c>
      <c r="H27" s="441" t="s">
        <v>243</v>
      </c>
      <c r="I27" s="441"/>
      <c r="J27" s="441">
        <v>76</v>
      </c>
      <c r="K27" s="459" t="s">
        <v>682</v>
      </c>
      <c r="L27" s="459" t="s">
        <v>3720</v>
      </c>
      <c r="M27" s="441" t="s">
        <v>3742</v>
      </c>
      <c r="N27" s="441"/>
      <c r="O27" s="441"/>
      <c r="P27" s="441"/>
      <c r="Q27" s="441"/>
      <c r="R27" s="441"/>
      <c r="S27" s="441"/>
      <c r="T27" s="441" t="s">
        <v>3743</v>
      </c>
      <c r="U27" s="441"/>
      <c r="V27" s="441"/>
      <c r="W27" s="441"/>
      <c r="X27" s="441">
        <v>19</v>
      </c>
      <c r="Y27" s="441"/>
      <c r="Z27" s="441" t="s">
        <v>1197</v>
      </c>
      <c r="AA27" s="146">
        <v>43607</v>
      </c>
      <c r="AB27" s="441" t="s">
        <v>3722</v>
      </c>
    </row>
    <row r="28" spans="1:28" ht="12.5" hidden="1">
      <c r="E28" s="459" t="s">
        <v>55</v>
      </c>
      <c r="F28" s="459" t="s">
        <v>1032</v>
      </c>
      <c r="G28" s="459" t="s">
        <v>535</v>
      </c>
      <c r="H28" s="459" t="s">
        <v>243</v>
      </c>
      <c r="I28" s="459"/>
      <c r="J28" s="459">
        <v>76</v>
      </c>
      <c r="K28" s="459"/>
      <c r="L28" s="459"/>
      <c r="M28" s="459"/>
      <c r="N28" s="459"/>
      <c r="O28" s="459"/>
      <c r="P28" s="459"/>
      <c r="Q28" s="130"/>
      <c r="R28" s="130"/>
      <c r="S28" s="130"/>
      <c r="T28" s="130" t="s">
        <v>3743</v>
      </c>
      <c r="U28" s="130"/>
      <c r="V28" s="130"/>
      <c r="W28" s="130"/>
    </row>
    <row r="29" spans="1:28" ht="25">
      <c r="E29" s="459" t="s">
        <v>55</v>
      </c>
      <c r="F29" s="459" t="s">
        <v>3433</v>
      </c>
      <c r="G29" s="459" t="s">
        <v>324</v>
      </c>
      <c r="H29" s="459" t="s">
        <v>243</v>
      </c>
      <c r="I29" s="459"/>
      <c r="J29" s="459">
        <v>25</v>
      </c>
      <c r="K29" s="459" t="s">
        <v>682</v>
      </c>
      <c r="L29" s="459" t="s">
        <v>3720</v>
      </c>
      <c r="M29" s="459" t="s">
        <v>3744</v>
      </c>
      <c r="N29" s="459"/>
      <c r="O29" s="459"/>
      <c r="P29" s="459"/>
      <c r="Q29" s="130"/>
      <c r="R29" s="130"/>
      <c r="S29" s="130"/>
      <c r="T29" s="130" t="s">
        <v>3745</v>
      </c>
      <c r="U29" s="130"/>
      <c r="V29" s="130"/>
      <c r="W29" s="130"/>
    </row>
    <row r="30" spans="1:28" ht="12.5" hidden="1">
      <c r="E30" s="459" t="s">
        <v>55</v>
      </c>
      <c r="F30" s="459" t="s">
        <v>3435</v>
      </c>
      <c r="G30" s="459" t="s">
        <v>324</v>
      </c>
      <c r="H30" s="459" t="s">
        <v>243</v>
      </c>
      <c r="I30" s="459"/>
      <c r="J30" s="459">
        <v>26</v>
      </c>
      <c r="K30" s="459"/>
      <c r="L30" s="459"/>
      <c r="M30" s="459"/>
      <c r="N30" s="459"/>
      <c r="O30" s="459"/>
      <c r="P30" s="459"/>
      <c r="Q30" s="130"/>
      <c r="R30" s="130"/>
      <c r="S30" s="130"/>
      <c r="T30" s="130" t="s">
        <v>3746</v>
      </c>
      <c r="U30" s="130"/>
      <c r="V30" s="130"/>
      <c r="W30" s="130"/>
    </row>
    <row r="31" spans="1:28" ht="25">
      <c r="E31" s="459" t="s">
        <v>59</v>
      </c>
      <c r="F31" s="459" t="s">
        <v>950</v>
      </c>
      <c r="G31" s="459" t="s">
        <v>324</v>
      </c>
      <c r="H31" s="459" t="s">
        <v>243</v>
      </c>
      <c r="I31" s="459"/>
      <c r="J31" s="459">
        <v>27</v>
      </c>
      <c r="K31" s="459" t="s">
        <v>682</v>
      </c>
      <c r="L31" s="459" t="s">
        <v>3720</v>
      </c>
      <c r="M31" s="459" t="s">
        <v>1025</v>
      </c>
      <c r="N31" s="459"/>
      <c r="O31" s="459"/>
      <c r="P31" s="459"/>
      <c r="Q31" s="130"/>
      <c r="R31" s="130"/>
      <c r="S31" s="130"/>
      <c r="T31" s="130" t="s">
        <v>3747</v>
      </c>
      <c r="U31" s="130"/>
      <c r="V31" s="130"/>
      <c r="W31" s="130"/>
      <c r="X31" s="5">
        <v>8</v>
      </c>
      <c r="Y31" s="5"/>
      <c r="Z31" s="120" t="s">
        <v>3748</v>
      </c>
      <c r="AA31" s="131">
        <v>43418</v>
      </c>
      <c r="AB31" s="187" t="s">
        <v>3749</v>
      </c>
    </row>
    <row r="32" spans="1:28" ht="12.5" hidden="1">
      <c r="E32" s="459" t="s">
        <v>55</v>
      </c>
      <c r="F32" s="459" t="s">
        <v>3443</v>
      </c>
      <c r="G32" s="459" t="s">
        <v>324</v>
      </c>
      <c r="H32" s="459" t="s">
        <v>243</v>
      </c>
      <c r="I32" s="459"/>
      <c r="J32" s="459">
        <v>28</v>
      </c>
      <c r="K32" s="459"/>
      <c r="L32" s="459"/>
      <c r="M32" s="459"/>
      <c r="N32" s="459"/>
      <c r="O32" s="459"/>
      <c r="P32" s="459"/>
      <c r="Q32" s="130"/>
      <c r="R32" s="130"/>
      <c r="S32" s="130"/>
      <c r="T32" s="130" t="s">
        <v>3750</v>
      </c>
      <c r="U32" s="130"/>
      <c r="V32" s="130"/>
      <c r="W32" s="130"/>
    </row>
    <row r="33" spans="5:28" ht="12.5" hidden="1">
      <c r="E33" s="459" t="s">
        <v>55</v>
      </c>
      <c r="F33" s="459" t="s">
        <v>3445</v>
      </c>
      <c r="G33" s="459" t="s">
        <v>324</v>
      </c>
      <c r="H33" s="459" t="s">
        <v>243</v>
      </c>
      <c r="I33" s="459"/>
      <c r="J33" s="459">
        <v>29</v>
      </c>
      <c r="K33" s="459"/>
      <c r="L33" s="459"/>
      <c r="M33" s="459"/>
      <c r="N33" s="459"/>
      <c r="O33" s="459"/>
      <c r="P33" s="459"/>
      <c r="Q33" s="130"/>
      <c r="R33" s="130"/>
      <c r="S33" s="130"/>
      <c r="T33" s="130" t="s">
        <v>3751</v>
      </c>
      <c r="U33" s="130"/>
      <c r="V33" s="130"/>
      <c r="W33" s="130"/>
    </row>
    <row r="34" spans="5:28" ht="25">
      <c r="E34" s="459" t="s">
        <v>55</v>
      </c>
      <c r="F34" s="459" t="s">
        <v>1031</v>
      </c>
      <c r="G34" s="459" t="s">
        <v>249</v>
      </c>
      <c r="H34" s="459" t="s">
        <v>243</v>
      </c>
      <c r="I34" s="459"/>
      <c r="J34" s="459">
        <v>30</v>
      </c>
      <c r="K34" s="459" t="s">
        <v>682</v>
      </c>
      <c r="L34" s="459" t="s">
        <v>3720</v>
      </c>
      <c r="M34" s="459" t="s">
        <v>3752</v>
      </c>
      <c r="N34" s="459"/>
      <c r="O34" s="459"/>
      <c r="P34" s="459"/>
      <c r="Q34" s="130"/>
      <c r="R34" s="130"/>
      <c r="S34" s="130"/>
      <c r="T34" s="130" t="s">
        <v>3753</v>
      </c>
      <c r="U34" s="130"/>
      <c r="V34" s="130"/>
      <c r="W34" s="130"/>
      <c r="X34" s="5">
        <v>15</v>
      </c>
      <c r="Y34" s="5"/>
      <c r="Z34" s="34" t="s">
        <v>1521</v>
      </c>
      <c r="AA34" s="131">
        <v>43538</v>
      </c>
      <c r="AB34" s="129" t="s">
        <v>3722</v>
      </c>
    </row>
    <row r="35" spans="5:28" ht="12.5" hidden="1">
      <c r="E35" s="459" t="s">
        <v>55</v>
      </c>
      <c r="F35" s="459" t="s">
        <v>3754</v>
      </c>
      <c r="G35" s="459" t="s">
        <v>249</v>
      </c>
      <c r="H35" s="459" t="s">
        <v>243</v>
      </c>
      <c r="I35" s="459"/>
      <c r="J35" s="459">
        <v>87</v>
      </c>
      <c r="K35" s="459"/>
      <c r="L35" s="459"/>
      <c r="M35" s="459"/>
      <c r="N35" s="459"/>
      <c r="O35" s="459"/>
      <c r="P35" s="459"/>
      <c r="Q35" s="130"/>
      <c r="R35" s="130"/>
      <c r="S35" s="130"/>
      <c r="T35" s="130" t="s">
        <v>3755</v>
      </c>
      <c r="U35" s="130"/>
      <c r="V35" s="130"/>
      <c r="W35" s="130"/>
    </row>
    <row r="36" spans="5:28" ht="25">
      <c r="E36" s="459" t="s">
        <v>61</v>
      </c>
      <c r="F36" s="459" t="s">
        <v>914</v>
      </c>
      <c r="G36" s="459" t="s">
        <v>247</v>
      </c>
      <c r="H36" s="459" t="s">
        <v>243</v>
      </c>
      <c r="I36" s="459"/>
      <c r="J36" s="459">
        <v>31</v>
      </c>
      <c r="K36" s="459" t="s">
        <v>682</v>
      </c>
      <c r="L36" s="459" t="s">
        <v>3720</v>
      </c>
      <c r="M36" s="459" t="s">
        <v>965</v>
      </c>
      <c r="N36" s="459"/>
      <c r="O36" s="459"/>
      <c r="P36" s="459"/>
      <c r="Q36" s="130"/>
      <c r="R36" s="130"/>
      <c r="S36" s="130"/>
      <c r="T36" s="130" t="s">
        <v>3459</v>
      </c>
      <c r="U36" s="130"/>
      <c r="V36" s="130"/>
      <c r="W36" s="130"/>
      <c r="X36" s="5">
        <v>2</v>
      </c>
      <c r="Y36" s="5"/>
      <c r="Z36" s="120" t="s">
        <v>3748</v>
      </c>
      <c r="AA36" s="131">
        <v>43418</v>
      </c>
      <c r="AB36" s="187" t="s">
        <v>1057</v>
      </c>
    </row>
    <row r="37" spans="5:28" ht="12.5" hidden="1">
      <c r="E37" s="459" t="s">
        <v>55</v>
      </c>
      <c r="F37" s="459" t="s">
        <v>3460</v>
      </c>
      <c r="G37" s="459" t="s">
        <v>255</v>
      </c>
      <c r="H37" s="459" t="s">
        <v>243</v>
      </c>
      <c r="I37" s="459"/>
      <c r="J37" s="459">
        <v>32</v>
      </c>
      <c r="K37" s="459"/>
      <c r="L37" s="459"/>
      <c r="M37" s="459"/>
      <c r="N37" s="459"/>
      <c r="O37" s="459"/>
      <c r="P37" s="459"/>
      <c r="Q37" s="130"/>
      <c r="R37" s="130"/>
      <c r="S37" s="130"/>
      <c r="T37" s="130" t="s">
        <v>3756</v>
      </c>
      <c r="U37" s="130"/>
      <c r="V37" s="130"/>
      <c r="W37" s="130"/>
    </row>
    <row r="38" spans="5:28" ht="12.5" hidden="1">
      <c r="E38" s="459" t="s">
        <v>55</v>
      </c>
      <c r="F38" s="459" t="s">
        <v>3462</v>
      </c>
      <c r="G38" s="459" t="s">
        <v>255</v>
      </c>
      <c r="H38" s="459" t="s">
        <v>243</v>
      </c>
      <c r="I38" s="459"/>
      <c r="J38" s="459">
        <v>33</v>
      </c>
      <c r="K38" s="459"/>
      <c r="L38" s="459"/>
      <c r="M38" s="459"/>
      <c r="N38" s="459"/>
      <c r="O38" s="459"/>
      <c r="P38" s="459"/>
      <c r="Q38" s="130"/>
      <c r="R38" s="130"/>
      <c r="S38" s="130"/>
      <c r="T38" s="130" t="s">
        <v>3757</v>
      </c>
      <c r="U38" s="130"/>
      <c r="V38" s="130"/>
      <c r="W38" s="130"/>
    </row>
    <row r="39" spans="5:28" ht="25">
      <c r="E39" s="459" t="s">
        <v>61</v>
      </c>
      <c r="F39" s="459" t="s">
        <v>174</v>
      </c>
      <c r="G39" s="459" t="s">
        <v>909</v>
      </c>
      <c r="H39" s="459" t="s">
        <v>243</v>
      </c>
      <c r="I39" s="459"/>
      <c r="J39" s="459">
        <v>34</v>
      </c>
      <c r="K39" s="459" t="s">
        <v>682</v>
      </c>
      <c r="L39" s="459" t="s">
        <v>3720</v>
      </c>
      <c r="M39" s="459" t="s">
        <v>1020</v>
      </c>
      <c r="N39" s="459"/>
      <c r="O39" s="459"/>
      <c r="P39" s="459"/>
      <c r="Q39" s="130"/>
      <c r="R39" s="130"/>
      <c r="S39" s="130"/>
      <c r="T39" s="130" t="s">
        <v>3758</v>
      </c>
      <c r="U39" s="130"/>
      <c r="V39" s="130"/>
      <c r="W39" s="130"/>
      <c r="X39" s="5">
        <v>2</v>
      </c>
      <c r="Y39" s="5"/>
      <c r="Z39" s="120" t="s">
        <v>3748</v>
      </c>
      <c r="AA39" s="131">
        <v>43418</v>
      </c>
      <c r="AB39" s="187" t="s">
        <v>3749</v>
      </c>
    </row>
    <row r="40" spans="5:28" ht="12.5" hidden="1">
      <c r="E40" s="459" t="s">
        <v>55</v>
      </c>
      <c r="F40" s="459" t="s">
        <v>3759</v>
      </c>
      <c r="G40" s="459" t="s">
        <v>535</v>
      </c>
      <c r="H40" s="459" t="s">
        <v>243</v>
      </c>
      <c r="I40" s="459"/>
      <c r="J40" s="459">
        <v>77</v>
      </c>
      <c r="K40" s="459"/>
      <c r="L40" s="459"/>
      <c r="M40" s="459"/>
      <c r="N40" s="459"/>
      <c r="O40" s="459"/>
      <c r="P40" s="459"/>
      <c r="Q40" s="130"/>
      <c r="R40" s="130"/>
      <c r="S40" s="130"/>
      <c r="T40" s="130" t="s">
        <v>3760</v>
      </c>
      <c r="U40" s="130"/>
      <c r="V40" s="130"/>
      <c r="W40" s="130"/>
    </row>
    <row r="41" spans="5:28" ht="12.5" hidden="1">
      <c r="E41" s="459" t="s">
        <v>55</v>
      </c>
      <c r="F41" s="459" t="s">
        <v>3761</v>
      </c>
      <c r="G41" s="459" t="s">
        <v>324</v>
      </c>
      <c r="H41" s="459" t="s">
        <v>243</v>
      </c>
      <c r="I41" s="459"/>
      <c r="J41" s="459">
        <v>35</v>
      </c>
      <c r="K41" s="459"/>
      <c r="L41" s="459"/>
      <c r="M41" s="459"/>
      <c r="N41" s="459"/>
      <c r="O41" s="459"/>
      <c r="P41" s="459"/>
      <c r="Q41" s="130"/>
      <c r="R41" s="130"/>
      <c r="S41" s="130"/>
      <c r="T41" s="130" t="s">
        <v>3762</v>
      </c>
      <c r="U41" s="130"/>
      <c r="V41" s="130"/>
      <c r="W41" s="130"/>
    </row>
    <row r="42" spans="5:28" ht="12.5" hidden="1">
      <c r="E42" s="459" t="s">
        <v>55</v>
      </c>
      <c r="F42" s="459" t="s">
        <v>3470</v>
      </c>
      <c r="G42" s="459" t="s">
        <v>324</v>
      </c>
      <c r="H42" s="459" t="s">
        <v>243</v>
      </c>
      <c r="I42" s="459"/>
      <c r="J42" s="459">
        <v>36</v>
      </c>
      <c r="K42" s="459"/>
      <c r="L42" s="459"/>
      <c r="M42" s="459"/>
      <c r="N42" s="459"/>
      <c r="O42" s="459"/>
      <c r="P42" s="459"/>
      <c r="Q42" s="130"/>
      <c r="R42" s="130"/>
      <c r="S42" s="130"/>
      <c r="T42" s="130" t="s">
        <v>3763</v>
      </c>
      <c r="U42" s="130"/>
      <c r="V42" s="130"/>
      <c r="W42" s="130"/>
    </row>
    <row r="43" spans="5:28" ht="12.5" hidden="1">
      <c r="E43" s="459" t="s">
        <v>55</v>
      </c>
      <c r="F43" s="459" t="s">
        <v>940</v>
      </c>
      <c r="G43" s="459" t="s">
        <v>941</v>
      </c>
      <c r="H43" s="459" t="s">
        <v>243</v>
      </c>
      <c r="I43" s="459"/>
      <c r="J43" s="459">
        <v>37</v>
      </c>
      <c r="K43" s="459"/>
      <c r="L43" s="459"/>
      <c r="M43" s="459"/>
      <c r="N43" s="459"/>
      <c r="O43" s="459"/>
      <c r="P43" s="459"/>
      <c r="Q43" s="130"/>
      <c r="R43" s="130"/>
      <c r="S43" s="130"/>
      <c r="T43" s="130" t="s">
        <v>3764</v>
      </c>
      <c r="U43" s="130"/>
      <c r="V43" s="130"/>
      <c r="W43" s="130"/>
    </row>
    <row r="44" spans="5:28" ht="12.5" hidden="1">
      <c r="E44" s="186" t="s">
        <v>63</v>
      </c>
      <c r="F44" s="459" t="s">
        <v>124</v>
      </c>
      <c r="G44" s="459" t="s">
        <v>535</v>
      </c>
      <c r="H44" s="459" t="s">
        <v>903</v>
      </c>
      <c r="I44" s="459"/>
      <c r="J44" s="459">
        <v>1</v>
      </c>
      <c r="K44" s="459"/>
      <c r="L44" s="459"/>
      <c r="M44" s="459"/>
      <c r="N44" s="459"/>
      <c r="O44" s="459"/>
      <c r="P44" s="459"/>
      <c r="Q44" s="130"/>
      <c r="R44" s="186"/>
      <c r="S44" s="186"/>
      <c r="T44" s="186" t="s">
        <v>1190</v>
      </c>
      <c r="U44" s="186"/>
      <c r="V44" s="186"/>
      <c r="W44" s="186"/>
    </row>
    <row r="45" spans="5:28" ht="25">
      <c r="E45" s="459" t="s">
        <v>55</v>
      </c>
      <c r="F45" s="459" t="s">
        <v>3765</v>
      </c>
      <c r="G45" s="459" t="s">
        <v>589</v>
      </c>
      <c r="H45" s="459" t="s">
        <v>243</v>
      </c>
      <c r="I45" s="459"/>
      <c r="J45" s="459">
        <v>38</v>
      </c>
      <c r="K45" s="459" t="s">
        <v>682</v>
      </c>
      <c r="L45" s="459" t="s">
        <v>3720</v>
      </c>
      <c r="M45" s="459" t="s">
        <v>3766</v>
      </c>
      <c r="N45" s="459"/>
      <c r="O45" s="459"/>
      <c r="P45" s="459"/>
      <c r="Q45" s="130"/>
      <c r="R45" s="130"/>
      <c r="S45" s="130"/>
      <c r="T45" s="130" t="s">
        <v>3767</v>
      </c>
      <c r="U45" s="130"/>
      <c r="V45" s="130"/>
      <c r="W45" s="130"/>
    </row>
    <row r="46" spans="5:28" ht="37.5">
      <c r="E46" s="459" t="s">
        <v>55</v>
      </c>
      <c r="F46" s="459" t="s">
        <v>3768</v>
      </c>
      <c r="G46" s="459" t="s">
        <v>535</v>
      </c>
      <c r="H46" s="459" t="s">
        <v>243</v>
      </c>
      <c r="I46" s="459"/>
      <c r="J46" s="459">
        <v>86</v>
      </c>
      <c r="K46" s="459" t="s">
        <v>682</v>
      </c>
      <c r="L46" s="459" t="s">
        <v>3720</v>
      </c>
      <c r="M46" s="459" t="s">
        <v>3769</v>
      </c>
      <c r="N46" s="459"/>
      <c r="O46" s="459"/>
      <c r="P46" s="459"/>
      <c r="Q46" s="130"/>
      <c r="R46" s="130"/>
      <c r="S46" s="130"/>
      <c r="T46" s="130" t="s">
        <v>3770</v>
      </c>
      <c r="U46" s="130"/>
      <c r="V46" s="130"/>
      <c r="W46" s="130"/>
    </row>
    <row r="47" spans="5:28" ht="12.5" hidden="1">
      <c r="E47" s="459" t="s">
        <v>55</v>
      </c>
      <c r="F47" s="459" t="s">
        <v>3771</v>
      </c>
      <c r="G47" s="459" t="s">
        <v>264</v>
      </c>
      <c r="H47" s="459" t="s">
        <v>243</v>
      </c>
      <c r="I47" s="459"/>
      <c r="J47" s="459"/>
      <c r="K47" s="459"/>
      <c r="L47" s="459"/>
      <c r="M47" s="459"/>
      <c r="N47" s="459"/>
      <c r="O47" s="459"/>
      <c r="P47" s="459"/>
      <c r="Q47" s="130"/>
      <c r="R47" s="130"/>
      <c r="S47" s="130"/>
      <c r="T47" s="130" t="s">
        <v>3772</v>
      </c>
      <c r="U47" s="130"/>
      <c r="V47" s="130"/>
      <c r="W47" s="130"/>
    </row>
    <row r="48" spans="5:28" ht="12.5" hidden="1">
      <c r="E48" s="459" t="s">
        <v>55</v>
      </c>
      <c r="F48" s="459" t="s">
        <v>3773</v>
      </c>
      <c r="G48" s="459" t="s">
        <v>255</v>
      </c>
      <c r="H48" s="459" t="s">
        <v>243</v>
      </c>
      <c r="I48" s="459"/>
      <c r="J48" s="459">
        <v>78</v>
      </c>
      <c r="K48" s="459"/>
      <c r="L48" s="459"/>
      <c r="M48" s="459"/>
      <c r="N48" s="459"/>
      <c r="O48" s="459"/>
      <c r="P48" s="459"/>
      <c r="Q48" s="130"/>
      <c r="R48" s="130"/>
      <c r="S48" s="130"/>
      <c r="T48" s="130" t="s">
        <v>3774</v>
      </c>
      <c r="U48" s="130"/>
      <c r="V48" s="130"/>
      <c r="W48" s="130"/>
    </row>
    <row r="49" spans="5:28" ht="25">
      <c r="E49" s="459" t="s">
        <v>61</v>
      </c>
      <c r="F49" s="459" t="s">
        <v>916</v>
      </c>
      <c r="G49" s="459" t="s">
        <v>247</v>
      </c>
      <c r="H49" s="459" t="s">
        <v>243</v>
      </c>
      <c r="I49" s="459"/>
      <c r="J49" s="459">
        <v>39</v>
      </c>
      <c r="K49" s="459" t="s">
        <v>682</v>
      </c>
      <c r="L49" s="459" t="s">
        <v>3720</v>
      </c>
      <c r="M49" s="459" t="s">
        <v>967</v>
      </c>
      <c r="N49" s="459"/>
      <c r="O49" s="459"/>
      <c r="P49" s="459"/>
      <c r="Q49" s="130"/>
      <c r="R49" s="130"/>
      <c r="S49" s="130"/>
      <c r="T49" s="130" t="s">
        <v>3481</v>
      </c>
      <c r="U49" s="130"/>
      <c r="V49" s="130"/>
      <c r="W49" s="130"/>
      <c r="X49" s="5">
        <v>4</v>
      </c>
      <c r="Y49" s="188"/>
      <c r="Z49" s="120" t="s">
        <v>3748</v>
      </c>
      <c r="AA49" s="131">
        <v>43418</v>
      </c>
      <c r="AB49" s="187" t="s">
        <v>3749</v>
      </c>
    </row>
    <row r="50" spans="5:28" ht="12.5" hidden="1">
      <c r="E50" s="459" t="s">
        <v>55</v>
      </c>
      <c r="F50" s="459" t="s">
        <v>918</v>
      </c>
      <c r="G50" s="459" t="s">
        <v>919</v>
      </c>
      <c r="H50" s="459" t="s">
        <v>243</v>
      </c>
      <c r="I50" s="459"/>
      <c r="J50" s="459">
        <v>40</v>
      </c>
      <c r="K50" s="459"/>
      <c r="L50" s="459"/>
      <c r="M50" s="459"/>
      <c r="N50" s="459"/>
      <c r="O50" s="459"/>
      <c r="P50" s="459"/>
      <c r="Q50" s="130"/>
      <c r="R50" s="130"/>
      <c r="S50" s="130"/>
      <c r="T50" s="130" t="s">
        <v>3775</v>
      </c>
      <c r="U50" s="130"/>
      <c r="V50" s="130"/>
      <c r="W50" s="130"/>
    </row>
    <row r="51" spans="5:28" ht="12.5" hidden="1">
      <c r="E51" s="459" t="s">
        <v>55</v>
      </c>
      <c r="F51" s="459" t="s">
        <v>3495</v>
      </c>
      <c r="G51" s="459" t="s">
        <v>324</v>
      </c>
      <c r="H51" s="459" t="s">
        <v>243</v>
      </c>
      <c r="I51" s="459"/>
      <c r="J51" s="459">
        <v>41</v>
      </c>
      <c r="K51" s="459"/>
      <c r="L51" s="459"/>
      <c r="M51" s="459"/>
      <c r="N51" s="459"/>
      <c r="O51" s="459"/>
      <c r="P51" s="459"/>
      <c r="Q51" s="130"/>
      <c r="R51" s="130"/>
      <c r="S51" s="130"/>
      <c r="T51" s="130"/>
      <c r="U51" s="130"/>
      <c r="V51" s="130"/>
      <c r="W51" s="130"/>
    </row>
    <row r="52" spans="5:28" ht="12.5" hidden="1">
      <c r="E52" s="459" t="s">
        <v>55</v>
      </c>
      <c r="F52" s="459" t="s">
        <v>943</v>
      </c>
      <c r="G52" s="459" t="s">
        <v>247</v>
      </c>
      <c r="H52" s="459" t="s">
        <v>243</v>
      </c>
      <c r="I52" s="459"/>
      <c r="J52" s="459">
        <v>42</v>
      </c>
      <c r="K52" s="459"/>
      <c r="L52" s="459"/>
      <c r="M52" s="459"/>
      <c r="N52" s="459"/>
      <c r="O52" s="459"/>
      <c r="P52" s="459"/>
      <c r="Q52" s="130"/>
      <c r="R52" s="130"/>
      <c r="S52" s="130"/>
      <c r="T52" s="130" t="s">
        <v>3776</v>
      </c>
      <c r="U52" s="130"/>
      <c r="V52" s="130"/>
      <c r="W52" s="130"/>
    </row>
    <row r="53" spans="5:28" ht="25">
      <c r="E53" s="459" t="s">
        <v>55</v>
      </c>
      <c r="F53" s="459" t="s">
        <v>3500</v>
      </c>
      <c r="G53" s="459" t="s">
        <v>3501</v>
      </c>
      <c r="H53" s="459" t="s">
        <v>243</v>
      </c>
      <c r="I53" s="459"/>
      <c r="J53" s="459">
        <v>43</v>
      </c>
      <c r="K53" s="459" t="s">
        <v>682</v>
      </c>
      <c r="L53" s="459" t="s">
        <v>3720</v>
      </c>
      <c r="M53" s="459" t="s">
        <v>3777</v>
      </c>
      <c r="N53" s="459"/>
      <c r="O53" s="459"/>
      <c r="P53" s="459"/>
      <c r="Q53" s="130"/>
      <c r="R53" s="130"/>
      <c r="S53" s="130"/>
      <c r="T53" s="130"/>
      <c r="U53" s="130"/>
      <c r="V53" s="130"/>
      <c r="W53" s="130"/>
    </row>
    <row r="54" spans="5:28" ht="25">
      <c r="E54" s="459" t="s">
        <v>61</v>
      </c>
      <c r="F54" s="459" t="s">
        <v>1021</v>
      </c>
      <c r="G54" s="459" t="s">
        <v>324</v>
      </c>
      <c r="H54" s="459" t="s">
        <v>243</v>
      </c>
      <c r="I54" s="459"/>
      <c r="J54" s="459">
        <v>44</v>
      </c>
      <c r="K54" s="459" t="s">
        <v>682</v>
      </c>
      <c r="L54" s="459" t="s">
        <v>3720</v>
      </c>
      <c r="M54" s="459" t="s">
        <v>1022</v>
      </c>
      <c r="N54" s="459"/>
      <c r="O54" s="459"/>
      <c r="P54" s="459"/>
      <c r="Q54" s="130"/>
      <c r="R54" s="130"/>
      <c r="S54" s="130"/>
      <c r="T54" s="130" t="s">
        <v>3778</v>
      </c>
      <c r="U54" s="130"/>
      <c r="V54" s="130"/>
      <c r="W54" s="130"/>
      <c r="X54" s="5">
        <v>5</v>
      </c>
      <c r="Y54" s="188"/>
      <c r="Z54" s="120" t="s">
        <v>3748</v>
      </c>
      <c r="AA54" s="131">
        <v>43418</v>
      </c>
      <c r="AB54" s="187" t="s">
        <v>1057</v>
      </c>
    </row>
    <row r="55" spans="5:28" ht="25">
      <c r="E55" s="459" t="s">
        <v>59</v>
      </c>
      <c r="F55" s="459" t="s">
        <v>1028</v>
      </c>
      <c r="G55" s="459" t="s">
        <v>324</v>
      </c>
      <c r="H55" s="459" t="s">
        <v>243</v>
      </c>
      <c r="I55" s="459"/>
      <c r="J55" s="459">
        <v>45</v>
      </c>
      <c r="K55" s="459" t="s">
        <v>682</v>
      </c>
      <c r="L55" s="459" t="s">
        <v>3720</v>
      </c>
      <c r="M55" s="459" t="s">
        <v>1029</v>
      </c>
      <c r="N55" s="459"/>
      <c r="O55" s="459"/>
      <c r="P55" s="459"/>
      <c r="Q55" s="130"/>
      <c r="R55" s="130"/>
      <c r="S55" s="130"/>
      <c r="T55" s="130" t="s">
        <v>3779</v>
      </c>
      <c r="U55" s="130"/>
      <c r="V55" s="130"/>
      <c r="W55" s="130"/>
      <c r="X55" s="5">
        <v>11</v>
      </c>
      <c r="Y55" s="5"/>
      <c r="Z55" s="120" t="s">
        <v>3748</v>
      </c>
      <c r="AA55" s="131">
        <v>43418</v>
      </c>
      <c r="AB55" s="187" t="s">
        <v>1057</v>
      </c>
    </row>
    <row r="56" spans="5:28" ht="25">
      <c r="E56" s="459" t="s">
        <v>59</v>
      </c>
      <c r="F56" s="459" t="s">
        <v>934</v>
      </c>
      <c r="G56" s="459" t="s">
        <v>249</v>
      </c>
      <c r="H56" s="459" t="s">
        <v>243</v>
      </c>
      <c r="I56" s="459"/>
      <c r="J56" s="459">
        <v>46</v>
      </c>
      <c r="K56" s="459" t="s">
        <v>682</v>
      </c>
      <c r="L56" s="459" t="s">
        <v>3720</v>
      </c>
      <c r="M56" s="459" t="s">
        <v>3780</v>
      </c>
      <c r="N56" s="459"/>
      <c r="O56" s="459"/>
      <c r="P56" s="459"/>
      <c r="Q56" s="130"/>
      <c r="R56" s="130"/>
      <c r="S56" s="130"/>
      <c r="T56" s="130" t="s">
        <v>3781</v>
      </c>
      <c r="U56" s="130"/>
      <c r="V56" s="130"/>
      <c r="W56" s="130"/>
      <c r="X56" s="5">
        <v>14</v>
      </c>
      <c r="Y56" s="5"/>
      <c r="Z56" s="34" t="s">
        <v>1521</v>
      </c>
      <c r="AA56" s="131">
        <v>43538</v>
      </c>
      <c r="AB56" s="129" t="s">
        <v>3722</v>
      </c>
    </row>
    <row r="57" spans="5:28" ht="12.5" hidden="1">
      <c r="E57" s="459" t="s">
        <v>55</v>
      </c>
      <c r="F57" s="459" t="s">
        <v>3364</v>
      </c>
      <c r="G57" s="459" t="s">
        <v>995</v>
      </c>
      <c r="H57" s="459" t="s">
        <v>243</v>
      </c>
      <c r="I57" s="459"/>
      <c r="J57" s="459">
        <v>47</v>
      </c>
      <c r="K57" s="459"/>
      <c r="L57" s="459"/>
      <c r="M57" s="459"/>
      <c r="N57" s="459"/>
      <c r="O57" s="459"/>
      <c r="P57" s="459"/>
      <c r="Q57" s="130"/>
      <c r="R57" s="130"/>
      <c r="S57" s="130"/>
      <c r="T57" s="130" t="s">
        <v>3782</v>
      </c>
      <c r="U57" s="130"/>
      <c r="V57" s="130"/>
      <c r="W57" s="130"/>
    </row>
    <row r="58" spans="5:28" ht="12.5" hidden="1">
      <c r="E58" s="459" t="s">
        <v>55</v>
      </c>
      <c r="F58" s="459" t="s">
        <v>945</v>
      </c>
      <c r="G58" s="459" t="s">
        <v>249</v>
      </c>
      <c r="H58" s="459" t="s">
        <v>243</v>
      </c>
      <c r="I58" s="459"/>
      <c r="J58" s="459">
        <v>48</v>
      </c>
      <c r="K58" s="459"/>
      <c r="L58" s="459"/>
      <c r="M58" s="459"/>
      <c r="N58" s="459"/>
      <c r="O58" s="459"/>
      <c r="P58" s="459"/>
      <c r="Q58" s="130"/>
      <c r="R58" s="130"/>
      <c r="S58" s="130"/>
      <c r="T58" s="130" t="s">
        <v>3619</v>
      </c>
      <c r="U58" s="130"/>
      <c r="V58" s="130"/>
      <c r="W58" s="130"/>
    </row>
    <row r="59" spans="5:28" ht="12.5" hidden="1">
      <c r="E59" s="459" t="s">
        <v>55</v>
      </c>
      <c r="F59" s="459" t="s">
        <v>3368</v>
      </c>
      <c r="G59" s="459" t="s">
        <v>995</v>
      </c>
      <c r="H59" s="459" t="s">
        <v>243</v>
      </c>
      <c r="I59" s="459"/>
      <c r="J59" s="459">
        <v>49</v>
      </c>
      <c r="K59" s="459"/>
      <c r="L59" s="459"/>
      <c r="M59" s="459"/>
      <c r="N59" s="459"/>
      <c r="O59" s="459"/>
      <c r="P59" s="459"/>
      <c r="Q59" s="130"/>
      <c r="R59" s="130"/>
      <c r="S59" s="130"/>
      <c r="T59" s="130" t="s">
        <v>3783</v>
      </c>
      <c r="U59" s="130"/>
      <c r="V59" s="130"/>
      <c r="W59" s="130"/>
    </row>
    <row r="60" spans="5:28" ht="12.5" hidden="1">
      <c r="E60" s="459" t="s">
        <v>55</v>
      </c>
      <c r="F60" s="459" t="s">
        <v>992</v>
      </c>
      <c r="G60" s="459" t="s">
        <v>249</v>
      </c>
      <c r="H60" s="459" t="s">
        <v>243</v>
      </c>
      <c r="I60" s="459"/>
      <c r="J60" s="459">
        <v>80</v>
      </c>
      <c r="K60" s="459"/>
      <c r="L60" s="459"/>
      <c r="M60" s="459"/>
      <c r="N60" s="459"/>
      <c r="O60" s="459"/>
      <c r="P60" s="459"/>
      <c r="Q60" s="130"/>
      <c r="R60" s="130"/>
      <c r="S60" s="130"/>
      <c r="T60" s="130" t="s">
        <v>3620</v>
      </c>
      <c r="U60" s="130"/>
      <c r="V60" s="130"/>
      <c r="W60" s="130"/>
    </row>
    <row r="61" spans="5:28" ht="12.5" hidden="1">
      <c r="E61" s="459" t="s">
        <v>55</v>
      </c>
      <c r="F61" s="459" t="s">
        <v>3784</v>
      </c>
      <c r="G61" s="459" t="s">
        <v>995</v>
      </c>
      <c r="H61" s="459" t="s">
        <v>243</v>
      </c>
      <c r="I61" s="459"/>
      <c r="J61" s="459">
        <v>81</v>
      </c>
      <c r="K61" s="459"/>
      <c r="L61" s="459"/>
      <c r="M61" s="459"/>
      <c r="N61" s="459"/>
      <c r="O61" s="459"/>
      <c r="P61" s="459"/>
      <c r="Q61" s="130"/>
      <c r="R61" s="130"/>
      <c r="S61" s="130"/>
      <c r="T61" s="130" t="s">
        <v>3785</v>
      </c>
      <c r="U61" s="130"/>
      <c r="V61" s="130"/>
      <c r="W61" s="130"/>
    </row>
    <row r="62" spans="5:28" ht="12.5" hidden="1">
      <c r="E62" s="459" t="s">
        <v>55</v>
      </c>
      <c r="F62" s="459" t="s">
        <v>912</v>
      </c>
      <c r="G62" s="459" t="s">
        <v>324</v>
      </c>
      <c r="H62" s="459" t="s">
        <v>243</v>
      </c>
      <c r="I62" s="459"/>
      <c r="J62" s="459">
        <v>50</v>
      </c>
      <c r="K62" s="459"/>
      <c r="L62" s="459"/>
      <c r="M62" s="459"/>
      <c r="N62" s="459"/>
      <c r="O62" s="459"/>
      <c r="P62" s="459"/>
      <c r="Q62" s="130"/>
      <c r="R62" s="130"/>
      <c r="S62" s="130"/>
      <c r="T62" s="130" t="s">
        <v>3786</v>
      </c>
      <c r="U62" s="130"/>
      <c r="V62" s="130"/>
      <c r="W62" s="130"/>
    </row>
    <row r="63" spans="5:28" ht="12.5" hidden="1">
      <c r="E63" s="459" t="s">
        <v>55</v>
      </c>
      <c r="F63" s="459" t="s">
        <v>3516</v>
      </c>
      <c r="G63" s="459" t="s">
        <v>324</v>
      </c>
      <c r="H63" s="459" t="s">
        <v>243</v>
      </c>
      <c r="I63" s="459"/>
      <c r="J63" s="459">
        <v>51</v>
      </c>
      <c r="K63" s="459"/>
      <c r="L63" s="459"/>
      <c r="M63" s="459"/>
      <c r="N63" s="459"/>
      <c r="O63" s="459"/>
      <c r="P63" s="459"/>
      <c r="Q63" s="130"/>
      <c r="R63" s="130"/>
      <c r="S63" s="130"/>
      <c r="T63" s="130" t="s">
        <v>3787</v>
      </c>
      <c r="U63" s="130"/>
      <c r="V63" s="130"/>
      <c r="W63" s="130"/>
    </row>
    <row r="64" spans="5:28" ht="12.5" hidden="1">
      <c r="E64" s="459" t="s">
        <v>55</v>
      </c>
      <c r="F64" s="459" t="s">
        <v>3522</v>
      </c>
      <c r="G64" s="459" t="s">
        <v>535</v>
      </c>
      <c r="H64" s="459" t="s">
        <v>243</v>
      </c>
      <c r="I64" s="459"/>
      <c r="J64" s="459">
        <v>93</v>
      </c>
      <c r="K64" s="459"/>
      <c r="L64" s="459"/>
      <c r="M64" s="459"/>
      <c r="N64" s="459"/>
      <c r="O64" s="459"/>
      <c r="P64" s="459"/>
      <c r="Q64" s="130"/>
      <c r="R64" s="130"/>
      <c r="S64" s="130"/>
      <c r="T64" s="130" t="s">
        <v>3788</v>
      </c>
      <c r="U64" s="130"/>
      <c r="V64" s="130"/>
      <c r="W64" s="130"/>
    </row>
    <row r="65" spans="2:28" ht="12.5" hidden="1">
      <c r="E65" s="459" t="s">
        <v>55</v>
      </c>
      <c r="F65" s="459" t="s">
        <v>3789</v>
      </c>
      <c r="G65" s="459" t="s">
        <v>278</v>
      </c>
      <c r="H65" s="459" t="s">
        <v>243</v>
      </c>
      <c r="I65" s="459"/>
      <c r="J65" s="459"/>
      <c r="K65" s="459"/>
      <c r="L65" s="459"/>
      <c r="M65" s="459"/>
      <c r="N65" s="459"/>
      <c r="O65" s="459"/>
      <c r="P65" s="459"/>
      <c r="Q65" s="130"/>
      <c r="R65" s="130"/>
      <c r="S65" s="130"/>
      <c r="T65" s="130" t="s">
        <v>3790</v>
      </c>
      <c r="U65" s="130"/>
      <c r="V65" s="130"/>
      <c r="W65" s="130"/>
    </row>
    <row r="66" spans="2:28" ht="12.5" hidden="1">
      <c r="E66" s="459" t="s">
        <v>55</v>
      </c>
      <c r="F66" s="459" t="s">
        <v>3520</v>
      </c>
      <c r="G66" s="459" t="s">
        <v>255</v>
      </c>
      <c r="H66" s="459" t="s">
        <v>243</v>
      </c>
      <c r="I66" s="459"/>
      <c r="J66" s="459">
        <v>54</v>
      </c>
      <c r="K66" s="459"/>
      <c r="L66" s="459"/>
      <c r="M66" s="459"/>
      <c r="N66" s="459"/>
      <c r="O66" s="459"/>
      <c r="P66" s="459"/>
      <c r="Q66" s="130"/>
      <c r="R66" s="130"/>
      <c r="S66" s="130"/>
      <c r="T66" s="130" t="s">
        <v>3791</v>
      </c>
      <c r="U66" s="130"/>
      <c r="V66" s="130"/>
      <c r="W66" s="130"/>
    </row>
    <row r="67" spans="2:28" ht="12.5" hidden="1">
      <c r="E67" s="459" t="s">
        <v>55</v>
      </c>
      <c r="F67" s="459" t="s">
        <v>3525</v>
      </c>
      <c r="G67" s="459" t="s">
        <v>255</v>
      </c>
      <c r="H67" s="459" t="s">
        <v>243</v>
      </c>
      <c r="I67" s="459"/>
      <c r="J67" s="459">
        <v>55</v>
      </c>
      <c r="K67" s="459"/>
      <c r="L67" s="459"/>
      <c r="M67" s="459"/>
      <c r="N67" s="459"/>
      <c r="O67" s="459"/>
      <c r="P67" s="459"/>
      <c r="Q67" s="130"/>
      <c r="R67" s="130"/>
      <c r="S67" s="130"/>
      <c r="T67" s="130" t="s">
        <v>3792</v>
      </c>
      <c r="U67" s="130"/>
      <c r="V67" s="130"/>
      <c r="W67" s="130"/>
    </row>
    <row r="68" spans="2:28" ht="12.5" hidden="1">
      <c r="E68" s="459" t="s">
        <v>55</v>
      </c>
      <c r="F68" s="459" t="s">
        <v>1286</v>
      </c>
      <c r="G68" s="459" t="s">
        <v>429</v>
      </c>
      <c r="H68" s="459" t="s">
        <v>243</v>
      </c>
      <c r="I68" s="459"/>
      <c r="J68" s="459">
        <v>56</v>
      </c>
      <c r="K68" s="459"/>
      <c r="L68" s="459"/>
      <c r="M68" s="459"/>
      <c r="N68" s="459"/>
      <c r="O68" s="459"/>
      <c r="P68" s="459"/>
      <c r="Q68" s="130"/>
      <c r="R68" s="130"/>
      <c r="S68" s="130"/>
      <c r="T68" s="130" t="s">
        <v>3793</v>
      </c>
      <c r="U68" s="130"/>
      <c r="V68" s="130"/>
      <c r="W68" s="130"/>
    </row>
    <row r="69" spans="2:28" ht="12.5" hidden="1">
      <c r="E69" s="459" t="s">
        <v>55</v>
      </c>
      <c r="F69" s="459" t="s">
        <v>3794</v>
      </c>
      <c r="G69" s="459" t="s">
        <v>324</v>
      </c>
      <c r="H69" s="459" t="s">
        <v>243</v>
      </c>
      <c r="I69" s="459"/>
      <c r="J69" s="459">
        <v>57</v>
      </c>
      <c r="K69" s="459"/>
      <c r="L69" s="459"/>
      <c r="M69" s="459"/>
      <c r="N69" s="459"/>
      <c r="O69" s="459"/>
      <c r="P69" s="459"/>
      <c r="Q69" s="130"/>
      <c r="R69" s="130"/>
      <c r="S69" s="130"/>
      <c r="T69" s="130" t="s">
        <v>3795</v>
      </c>
      <c r="U69" s="130"/>
      <c r="V69" s="130"/>
      <c r="W69" s="130"/>
    </row>
    <row r="70" spans="2:28" ht="12.5" hidden="1">
      <c r="E70" s="459" t="s">
        <v>55</v>
      </c>
      <c r="F70" s="459" t="s">
        <v>3796</v>
      </c>
      <c r="G70" s="459" t="s">
        <v>324</v>
      </c>
      <c r="H70" s="459" t="s">
        <v>243</v>
      </c>
      <c r="I70" s="459"/>
      <c r="J70" s="459">
        <v>58</v>
      </c>
      <c r="K70" s="459"/>
      <c r="L70" s="459"/>
      <c r="M70" s="459"/>
      <c r="N70" s="459"/>
      <c r="O70" s="459"/>
      <c r="P70" s="459"/>
      <c r="Q70" s="130"/>
      <c r="R70" s="130"/>
      <c r="S70" s="130"/>
      <c r="T70" s="130" t="s">
        <v>3797</v>
      </c>
      <c r="U70" s="130"/>
      <c r="V70" s="130"/>
      <c r="W70" s="130"/>
    </row>
    <row r="71" spans="2:28" ht="25">
      <c r="E71" s="459" t="s">
        <v>55</v>
      </c>
      <c r="F71" s="459" t="s">
        <v>947</v>
      </c>
      <c r="G71" s="459" t="s">
        <v>324</v>
      </c>
      <c r="H71" s="459" t="s">
        <v>243</v>
      </c>
      <c r="I71" s="459"/>
      <c r="J71" s="459">
        <v>59</v>
      </c>
      <c r="K71" s="459" t="s">
        <v>682</v>
      </c>
      <c r="L71" s="459" t="s">
        <v>3720</v>
      </c>
      <c r="M71" s="459" t="s">
        <v>1019</v>
      </c>
      <c r="N71" s="459"/>
      <c r="O71" s="459"/>
      <c r="P71" s="459"/>
      <c r="Q71" s="130"/>
      <c r="R71" s="130"/>
      <c r="S71" s="130"/>
      <c r="T71" s="130" t="s">
        <v>3798</v>
      </c>
      <c r="U71" s="130"/>
      <c r="V71" s="130"/>
      <c r="W71" s="130"/>
      <c r="X71" s="5">
        <v>1</v>
      </c>
      <c r="Y71" s="5"/>
      <c r="Z71" s="120" t="s">
        <v>3748</v>
      </c>
      <c r="AA71" s="131">
        <v>43418</v>
      </c>
      <c r="AB71" s="187" t="s">
        <v>3749</v>
      </c>
    </row>
    <row r="72" spans="2:28" ht="12.5" hidden="1">
      <c r="E72" s="459" t="s">
        <v>55</v>
      </c>
      <c r="F72" s="459" t="s">
        <v>3536</v>
      </c>
      <c r="G72" s="459" t="s">
        <v>242</v>
      </c>
      <c r="H72" s="459" t="s">
        <v>243</v>
      </c>
      <c r="I72" s="459"/>
      <c r="J72" s="459">
        <v>60</v>
      </c>
      <c r="K72" s="459"/>
      <c r="L72" s="459"/>
      <c r="M72" s="459"/>
      <c r="N72" s="459"/>
      <c r="O72" s="459"/>
      <c r="P72" s="459"/>
      <c r="Q72" s="130"/>
      <c r="R72" s="130"/>
      <c r="S72" s="130"/>
      <c r="T72" s="130"/>
      <c r="U72" s="130"/>
      <c r="V72" s="130"/>
      <c r="W72" s="130"/>
    </row>
    <row r="73" spans="2:28" ht="12.5" hidden="1">
      <c r="E73" s="459" t="s">
        <v>55</v>
      </c>
      <c r="F73" s="459" t="s">
        <v>3540</v>
      </c>
      <c r="G73" s="459" t="s">
        <v>242</v>
      </c>
      <c r="H73" s="459" t="s">
        <v>243</v>
      </c>
      <c r="I73" s="459"/>
      <c r="J73" s="459">
        <v>62</v>
      </c>
      <c r="K73" s="459"/>
      <c r="L73" s="459"/>
      <c r="M73" s="459"/>
      <c r="N73" s="459"/>
      <c r="O73" s="459"/>
      <c r="P73" s="459"/>
      <c r="Q73" s="130"/>
      <c r="R73" s="130"/>
      <c r="S73" s="130"/>
      <c r="T73" s="130"/>
      <c r="U73" s="130"/>
      <c r="V73" s="130"/>
      <c r="W73" s="130"/>
    </row>
    <row r="74" spans="2:28" ht="25">
      <c r="E74" s="459" t="s">
        <v>61</v>
      </c>
      <c r="F74" s="459" t="s">
        <v>1023</v>
      </c>
      <c r="G74" s="459" t="s">
        <v>242</v>
      </c>
      <c r="H74" s="459" t="s">
        <v>243</v>
      </c>
      <c r="I74" s="459"/>
      <c r="J74" s="459">
        <v>63</v>
      </c>
      <c r="K74" s="459" t="s">
        <v>682</v>
      </c>
      <c r="L74" s="459" t="s">
        <v>3720</v>
      </c>
      <c r="M74" s="459" t="s">
        <v>1024</v>
      </c>
      <c r="N74" s="459"/>
      <c r="O74" s="459"/>
      <c r="P74" s="459"/>
      <c r="Q74" s="130"/>
      <c r="R74" s="130"/>
      <c r="S74" s="130"/>
      <c r="T74" s="130" t="s">
        <v>3799</v>
      </c>
      <c r="U74" s="130"/>
      <c r="V74" s="130"/>
      <c r="W74" s="130"/>
      <c r="X74" s="5">
        <v>6</v>
      </c>
      <c r="Y74" s="188"/>
      <c r="Z74" s="120" t="s">
        <v>3748</v>
      </c>
      <c r="AA74" s="131">
        <v>43418</v>
      </c>
      <c r="AB74" s="187" t="s">
        <v>3749</v>
      </c>
    </row>
    <row r="75" spans="2:28" ht="12.5" hidden="1">
      <c r="E75" s="459" t="s">
        <v>55</v>
      </c>
      <c r="F75" s="459" t="s">
        <v>3543</v>
      </c>
      <c r="G75" s="459" t="s">
        <v>2468</v>
      </c>
      <c r="H75" s="459" t="s">
        <v>243</v>
      </c>
      <c r="I75" s="459"/>
      <c r="J75" s="459">
        <v>3</v>
      </c>
      <c r="K75" s="459"/>
      <c r="L75" s="459"/>
      <c r="M75" s="459"/>
      <c r="N75" s="459"/>
      <c r="O75" s="459"/>
      <c r="P75" s="459"/>
      <c r="Q75" s="130"/>
      <c r="R75" s="130"/>
      <c r="S75" s="130"/>
      <c r="T75" s="130" t="s">
        <v>3800</v>
      </c>
      <c r="U75" s="130"/>
      <c r="V75" s="130"/>
      <c r="W75" s="130"/>
      <c r="X75" s="5"/>
      <c r="Y75" s="5"/>
      <c r="Z75" s="5"/>
      <c r="AA75" s="5"/>
      <c r="AB75" s="70"/>
    </row>
    <row r="76" spans="2:28" ht="25">
      <c r="E76" s="459" t="s">
        <v>55</v>
      </c>
      <c r="F76" s="459" t="s">
        <v>3545</v>
      </c>
      <c r="G76" s="459" t="s">
        <v>324</v>
      </c>
      <c r="H76" s="459" t="s">
        <v>243</v>
      </c>
      <c r="I76" s="459"/>
      <c r="J76" s="459">
        <v>64</v>
      </c>
      <c r="K76" s="459" t="s">
        <v>682</v>
      </c>
      <c r="L76" s="459" t="s">
        <v>3720</v>
      </c>
      <c r="M76" s="459" t="s">
        <v>3801</v>
      </c>
      <c r="N76" s="459"/>
      <c r="O76" s="459"/>
      <c r="P76" s="459"/>
      <c r="Q76" s="130"/>
      <c r="R76" s="130"/>
      <c r="S76" s="130"/>
      <c r="T76" s="130"/>
      <c r="U76" s="130"/>
      <c r="V76" s="130"/>
      <c r="W76" s="130"/>
    </row>
    <row r="77" spans="2:28" ht="12.5" hidden="1">
      <c r="E77" s="459" t="s">
        <v>55</v>
      </c>
      <c r="F77" s="459" t="s">
        <v>3802</v>
      </c>
      <c r="G77" s="459" t="s">
        <v>324</v>
      </c>
      <c r="H77" s="459" t="s">
        <v>243</v>
      </c>
      <c r="I77" s="459"/>
      <c r="J77" s="459">
        <v>92</v>
      </c>
      <c r="K77" s="459"/>
      <c r="L77" s="459"/>
      <c r="M77" s="459"/>
      <c r="N77" s="459"/>
      <c r="O77" s="459"/>
      <c r="P77" s="459"/>
      <c r="Q77" s="130"/>
      <c r="R77" s="130"/>
      <c r="S77" s="130"/>
      <c r="T77" s="130" t="s">
        <v>3803</v>
      </c>
      <c r="U77" s="130"/>
      <c r="V77" s="130"/>
      <c r="W77" s="130"/>
    </row>
    <row r="78" spans="2:28" ht="25">
      <c r="B78" s="441"/>
      <c r="C78" s="441"/>
      <c r="D78" s="441"/>
      <c r="E78" s="441" t="s">
        <v>55</v>
      </c>
      <c r="F78" s="441" t="s">
        <v>927</v>
      </c>
      <c r="G78" s="441" t="s">
        <v>925</v>
      </c>
      <c r="H78" s="441" t="s">
        <v>243</v>
      </c>
      <c r="I78" s="441"/>
      <c r="J78" s="441">
        <v>65</v>
      </c>
      <c r="K78" s="459" t="s">
        <v>682</v>
      </c>
      <c r="L78" s="459" t="s">
        <v>3720</v>
      </c>
      <c r="M78" s="441" t="s">
        <v>3804</v>
      </c>
      <c r="N78" s="441"/>
      <c r="O78" s="441"/>
      <c r="P78" s="441"/>
      <c r="Q78" s="441"/>
      <c r="R78" s="441"/>
      <c r="S78" s="441"/>
      <c r="T78" s="441" t="s">
        <v>3805</v>
      </c>
      <c r="U78" s="441"/>
      <c r="V78" s="441"/>
      <c r="W78" s="441"/>
      <c r="X78" s="441">
        <v>17</v>
      </c>
      <c r="Y78" s="441"/>
      <c r="Z78" s="441" t="s">
        <v>1197</v>
      </c>
      <c r="AA78" s="146">
        <v>43607</v>
      </c>
      <c r="AB78" s="441" t="s">
        <v>3722</v>
      </c>
    </row>
    <row r="79" spans="2:28" ht="25">
      <c r="E79" s="459" t="s">
        <v>55</v>
      </c>
      <c r="F79" s="459" t="s">
        <v>994</v>
      </c>
      <c r="G79" s="459" t="s">
        <v>247</v>
      </c>
      <c r="H79" s="459" t="s">
        <v>243</v>
      </c>
      <c r="I79" s="459"/>
      <c r="J79" s="459"/>
      <c r="K79" s="459" t="s">
        <v>682</v>
      </c>
      <c r="L79" s="459" t="s">
        <v>3720</v>
      </c>
      <c r="M79" s="459" t="s">
        <v>996</v>
      </c>
      <c r="N79" s="459"/>
      <c r="O79" s="459"/>
      <c r="P79" s="459"/>
      <c r="Q79" s="130"/>
      <c r="R79" s="130"/>
      <c r="S79" s="130"/>
      <c r="T79" s="130" t="s">
        <v>3806</v>
      </c>
      <c r="U79" s="130"/>
      <c r="V79" s="130"/>
      <c r="W79" s="130"/>
      <c r="X79" s="5"/>
      <c r="Y79" s="5"/>
      <c r="Z79" s="5"/>
      <c r="AA79" s="5"/>
      <c r="AB79" s="70"/>
    </row>
    <row r="80" spans="2:28" ht="12.5" hidden="1">
      <c r="E80" s="459" t="s">
        <v>53</v>
      </c>
      <c r="F80" s="459" t="s">
        <v>1288</v>
      </c>
      <c r="G80" s="459" t="s">
        <v>535</v>
      </c>
      <c r="H80" s="459" t="s">
        <v>903</v>
      </c>
      <c r="I80" s="459"/>
      <c r="J80" s="459">
        <v>74</v>
      </c>
      <c r="K80" s="459"/>
      <c r="L80" s="459"/>
      <c r="M80" s="459"/>
      <c r="N80" s="459"/>
      <c r="O80" s="459"/>
      <c r="P80" s="459"/>
      <c r="Q80" s="130"/>
      <c r="R80" s="186"/>
      <c r="S80" s="186"/>
      <c r="T80" s="186" t="s">
        <v>1190</v>
      </c>
      <c r="U80" s="186"/>
      <c r="V80" s="186"/>
      <c r="W80" s="186"/>
    </row>
    <row r="81" spans="5:28" ht="12.5" hidden="1">
      <c r="E81" s="186" t="s">
        <v>53</v>
      </c>
      <c r="F81" s="459" t="s">
        <v>1289</v>
      </c>
      <c r="G81" s="459" t="s">
        <v>324</v>
      </c>
      <c r="H81" s="459" t="s">
        <v>243</v>
      </c>
      <c r="I81" s="459"/>
      <c r="J81" s="459">
        <v>66</v>
      </c>
      <c r="K81" s="459"/>
      <c r="L81" s="459"/>
      <c r="M81" s="459"/>
      <c r="N81" s="459"/>
      <c r="O81" s="459"/>
      <c r="P81" s="459"/>
      <c r="Q81" s="130"/>
      <c r="R81" s="186"/>
      <c r="S81" s="186"/>
      <c r="T81" s="186" t="s">
        <v>1190</v>
      </c>
      <c r="U81" s="186"/>
      <c r="V81" s="186"/>
      <c r="W81" s="186"/>
    </row>
    <row r="82" spans="5:28" ht="12.5" hidden="1">
      <c r="E82" s="186" t="s">
        <v>53</v>
      </c>
      <c r="F82" s="459" t="s">
        <v>1290</v>
      </c>
      <c r="G82" s="459" t="s">
        <v>432</v>
      </c>
      <c r="H82" s="459" t="s">
        <v>243</v>
      </c>
      <c r="I82" s="459"/>
      <c r="J82" s="459">
        <v>52</v>
      </c>
      <c r="K82" s="459"/>
      <c r="L82" s="459"/>
      <c r="M82" s="459"/>
      <c r="N82" s="459"/>
      <c r="O82" s="459"/>
      <c r="P82" s="459"/>
      <c r="Q82" s="130"/>
      <c r="R82" s="186"/>
      <c r="S82" s="186"/>
      <c r="T82" s="186" t="s">
        <v>1190</v>
      </c>
      <c r="U82" s="186"/>
      <c r="V82" s="186"/>
      <c r="W82" s="186"/>
    </row>
    <row r="83" spans="5:28" ht="12.5" hidden="1">
      <c r="E83" s="186" t="s">
        <v>53</v>
      </c>
      <c r="F83" s="459" t="s">
        <v>1291</v>
      </c>
      <c r="G83" s="459" t="s">
        <v>247</v>
      </c>
      <c r="H83" s="459" t="s">
        <v>243</v>
      </c>
      <c r="I83" s="459"/>
      <c r="J83" s="459">
        <v>53</v>
      </c>
      <c r="K83" s="459"/>
      <c r="L83" s="459"/>
      <c r="M83" s="459"/>
      <c r="N83" s="459"/>
      <c r="O83" s="459"/>
      <c r="P83" s="459"/>
      <c r="Q83" s="130"/>
      <c r="R83" s="186"/>
      <c r="S83" s="186"/>
      <c r="T83" s="186" t="s">
        <v>1190</v>
      </c>
      <c r="U83" s="186"/>
      <c r="V83" s="186"/>
      <c r="W83" s="186"/>
    </row>
    <row r="84" spans="5:28" ht="12.5" hidden="1">
      <c r="E84" s="186" t="s">
        <v>53</v>
      </c>
      <c r="F84" s="459" t="s">
        <v>1292</v>
      </c>
      <c r="G84" s="459" t="s">
        <v>535</v>
      </c>
      <c r="H84" s="459" t="s">
        <v>243</v>
      </c>
      <c r="I84" s="459"/>
      <c r="J84" s="459">
        <v>61</v>
      </c>
      <c r="K84" s="459"/>
      <c r="L84" s="459"/>
      <c r="M84" s="459"/>
      <c r="N84" s="459"/>
      <c r="O84" s="459"/>
      <c r="P84" s="459"/>
      <c r="Q84" s="130"/>
      <c r="R84" s="186"/>
      <c r="S84" s="186"/>
      <c r="T84" s="186" t="s">
        <v>1190</v>
      </c>
      <c r="U84" s="186"/>
      <c r="V84" s="186"/>
      <c r="W84" s="186"/>
    </row>
    <row r="85" spans="5:28" ht="12.5" hidden="1">
      <c r="E85" s="186" t="s">
        <v>53</v>
      </c>
      <c r="F85" s="459" t="s">
        <v>1293</v>
      </c>
      <c r="G85" s="459" t="s">
        <v>432</v>
      </c>
      <c r="H85" s="459" t="s">
        <v>243</v>
      </c>
      <c r="I85" s="459"/>
      <c r="J85" s="459">
        <v>67</v>
      </c>
      <c r="K85" s="459"/>
      <c r="L85" s="459"/>
      <c r="M85" s="459"/>
      <c r="N85" s="459"/>
      <c r="O85" s="459"/>
      <c r="P85" s="459"/>
      <c r="Q85" s="130"/>
      <c r="R85" s="186"/>
      <c r="S85" s="186"/>
      <c r="T85" s="186" t="s">
        <v>1190</v>
      </c>
      <c r="U85" s="186"/>
      <c r="V85" s="186"/>
      <c r="W85" s="186"/>
    </row>
    <row r="86" spans="5:28" ht="12.5" hidden="1">
      <c r="E86" s="459" t="s">
        <v>55</v>
      </c>
      <c r="F86" s="459" t="s">
        <v>3554</v>
      </c>
      <c r="G86" s="459" t="s">
        <v>247</v>
      </c>
      <c r="H86" s="459" t="s">
        <v>243</v>
      </c>
      <c r="I86" s="459"/>
      <c r="J86" s="459">
        <v>68</v>
      </c>
      <c r="K86" s="459"/>
      <c r="L86" s="459"/>
      <c r="M86" s="459"/>
      <c r="N86" s="459"/>
      <c r="O86" s="459"/>
      <c r="P86" s="459"/>
      <c r="Q86" s="130"/>
      <c r="R86" s="130"/>
      <c r="S86" s="130"/>
      <c r="T86" s="130" t="s">
        <v>3807</v>
      </c>
      <c r="U86" s="130"/>
      <c r="V86" s="130"/>
      <c r="W86" s="130"/>
    </row>
    <row r="87" spans="5:28" ht="12.5" hidden="1">
      <c r="E87" s="459" t="s">
        <v>55</v>
      </c>
      <c r="F87" s="459" t="s">
        <v>3808</v>
      </c>
      <c r="G87" s="459" t="s">
        <v>247</v>
      </c>
      <c r="H87" s="459" t="s">
        <v>243</v>
      </c>
      <c r="I87" s="459"/>
      <c r="J87" s="459">
        <v>90</v>
      </c>
      <c r="K87" s="459"/>
      <c r="L87" s="459"/>
      <c r="M87" s="459"/>
      <c r="N87" s="459"/>
      <c r="O87" s="459"/>
      <c r="P87" s="459"/>
      <c r="Q87" s="130"/>
      <c r="R87" s="130"/>
      <c r="S87" s="130"/>
      <c r="T87" s="441" t="s">
        <v>3809</v>
      </c>
      <c r="U87" s="441"/>
      <c r="V87" s="441"/>
      <c r="W87" s="441"/>
    </row>
    <row r="88" spans="5:28" ht="12.5" hidden="1">
      <c r="E88" s="459" t="s">
        <v>55</v>
      </c>
      <c r="F88" s="459" t="s">
        <v>3810</v>
      </c>
      <c r="G88" s="459" t="s">
        <v>247</v>
      </c>
      <c r="H88" s="459" t="s">
        <v>243</v>
      </c>
      <c r="I88" s="459"/>
      <c r="J88" s="459">
        <v>89</v>
      </c>
      <c r="K88" s="459"/>
      <c r="L88" s="459"/>
      <c r="M88" s="459"/>
      <c r="N88" s="459"/>
      <c r="O88" s="459"/>
      <c r="P88" s="459"/>
      <c r="Q88" s="130"/>
      <c r="R88" s="130"/>
      <c r="S88" s="130"/>
      <c r="T88" s="441" t="s">
        <v>3811</v>
      </c>
      <c r="U88" s="441"/>
      <c r="V88" s="441"/>
      <c r="W88" s="441"/>
    </row>
    <row r="89" spans="5:28" ht="12.5" hidden="1">
      <c r="E89" s="459" t="s">
        <v>55</v>
      </c>
      <c r="F89" s="459" t="s">
        <v>3812</v>
      </c>
      <c r="G89" s="459" t="s">
        <v>247</v>
      </c>
      <c r="H89" s="459" t="s">
        <v>243</v>
      </c>
      <c r="I89" s="459"/>
      <c r="J89" s="459">
        <v>91</v>
      </c>
      <c r="K89" s="459"/>
      <c r="L89" s="459"/>
      <c r="M89" s="459"/>
      <c r="N89" s="459"/>
      <c r="O89" s="459"/>
      <c r="P89" s="459"/>
      <c r="Q89" s="130"/>
      <c r="R89" s="130"/>
      <c r="S89" s="130"/>
      <c r="T89" s="441" t="s">
        <v>3813</v>
      </c>
      <c r="U89" s="441"/>
      <c r="V89" s="441"/>
      <c r="W89" s="441"/>
    </row>
    <row r="90" spans="5:28" ht="12.5" hidden="1">
      <c r="E90" s="459" t="s">
        <v>55</v>
      </c>
      <c r="F90" s="459" t="s">
        <v>3556</v>
      </c>
      <c r="G90" s="459" t="s">
        <v>324</v>
      </c>
      <c r="H90" s="459" t="s">
        <v>243</v>
      </c>
      <c r="I90" s="459"/>
      <c r="J90" s="459">
        <v>69</v>
      </c>
      <c r="K90" s="459"/>
      <c r="L90" s="459"/>
      <c r="M90" s="459"/>
      <c r="N90" s="459"/>
      <c r="O90" s="459"/>
      <c r="P90" s="459"/>
      <c r="Q90" s="130"/>
      <c r="R90" s="130"/>
      <c r="S90" s="130"/>
      <c r="T90" s="130"/>
      <c r="U90" s="130"/>
      <c r="V90" s="130"/>
      <c r="W90" s="130"/>
    </row>
    <row r="91" spans="5:28" ht="25">
      <c r="E91" s="459" t="s">
        <v>61</v>
      </c>
      <c r="F91" s="459" t="s">
        <v>123</v>
      </c>
      <c r="G91" s="459" t="s">
        <v>535</v>
      </c>
      <c r="H91" s="459" t="s">
        <v>243</v>
      </c>
      <c r="I91" s="459"/>
      <c r="J91" s="459">
        <v>70</v>
      </c>
      <c r="K91" s="459" t="s">
        <v>682</v>
      </c>
      <c r="L91" s="459" t="s">
        <v>3720</v>
      </c>
      <c r="M91" s="130" t="s">
        <v>2577</v>
      </c>
      <c r="N91" s="459"/>
      <c r="O91" s="459"/>
      <c r="P91" s="459"/>
      <c r="Q91" s="130"/>
      <c r="R91" s="130"/>
      <c r="S91" s="130"/>
      <c r="T91" s="130" t="s">
        <v>3814</v>
      </c>
      <c r="U91" s="130"/>
      <c r="V91" s="130"/>
      <c r="W91" s="130"/>
      <c r="X91" s="5">
        <v>7</v>
      </c>
      <c r="Y91" s="188"/>
      <c r="Z91" s="120" t="s">
        <v>3748</v>
      </c>
      <c r="AA91" s="131">
        <v>43418</v>
      </c>
      <c r="AB91" s="187" t="s">
        <v>3749</v>
      </c>
    </row>
    <row r="92" spans="5:28" ht="25">
      <c r="E92" s="459" t="s">
        <v>61</v>
      </c>
      <c r="F92" s="459" t="s">
        <v>122</v>
      </c>
      <c r="G92" s="459" t="s">
        <v>264</v>
      </c>
      <c r="H92" s="459" t="s">
        <v>243</v>
      </c>
      <c r="I92" s="459"/>
      <c r="J92" s="459">
        <v>71</v>
      </c>
      <c r="K92" s="459" t="s">
        <v>682</v>
      </c>
      <c r="L92" s="459" t="s">
        <v>3720</v>
      </c>
      <c r="M92" s="459" t="s">
        <v>3397</v>
      </c>
      <c r="N92" s="459"/>
      <c r="O92" s="459"/>
      <c r="P92" s="459"/>
      <c r="Q92" s="130"/>
      <c r="R92" s="130"/>
      <c r="S92" s="130"/>
      <c r="T92" s="130" t="s">
        <v>3815</v>
      </c>
      <c r="U92" s="130"/>
      <c r="V92" s="130"/>
      <c r="W92" s="130"/>
      <c r="X92" s="5">
        <v>10</v>
      </c>
      <c r="Y92" s="5"/>
      <c r="Z92" s="120" t="s">
        <v>3748</v>
      </c>
      <c r="AA92" s="131">
        <v>43418</v>
      </c>
      <c r="AB92" s="187" t="s">
        <v>3749</v>
      </c>
    </row>
    <row r="93" spans="5:28" ht="25">
      <c r="E93" s="459" t="s">
        <v>59</v>
      </c>
      <c r="F93" s="459" t="s">
        <v>948</v>
      </c>
      <c r="G93" s="459" t="s">
        <v>324</v>
      </c>
      <c r="H93" s="459" t="s">
        <v>243</v>
      </c>
      <c r="I93" s="459"/>
      <c r="J93" s="459">
        <v>72</v>
      </c>
      <c r="K93" s="459" t="s">
        <v>682</v>
      </c>
      <c r="L93" s="459" t="s">
        <v>3720</v>
      </c>
      <c r="M93" s="459" t="s">
        <v>1026</v>
      </c>
      <c r="N93" s="459"/>
      <c r="O93" s="459"/>
      <c r="P93" s="459"/>
      <c r="Q93" s="130"/>
      <c r="R93" s="130"/>
      <c r="S93" s="130"/>
      <c r="T93" s="130" t="s">
        <v>3816</v>
      </c>
      <c r="U93" s="130"/>
      <c r="V93" s="130"/>
      <c r="W93" s="130"/>
      <c r="X93" s="5">
        <v>9</v>
      </c>
      <c r="Y93" s="5"/>
      <c r="Z93" s="120" t="s">
        <v>3748</v>
      </c>
      <c r="AA93" s="131">
        <v>43418</v>
      </c>
      <c r="AB93" s="187" t="s">
        <v>3749</v>
      </c>
    </row>
    <row r="94" spans="5:28" ht="12.5" hidden="1">
      <c r="E94" s="459" t="s">
        <v>55</v>
      </c>
      <c r="F94" s="459" t="s">
        <v>3564</v>
      </c>
      <c r="G94" s="459" t="s">
        <v>242</v>
      </c>
      <c r="H94" s="459" t="s">
        <v>243</v>
      </c>
      <c r="I94" s="459"/>
      <c r="J94" s="459">
        <v>4</v>
      </c>
      <c r="K94" s="459"/>
      <c r="L94" s="459"/>
      <c r="M94" s="459"/>
      <c r="N94" s="459"/>
      <c r="O94" s="459"/>
      <c r="P94" s="459"/>
      <c r="Q94" s="130"/>
      <c r="R94" s="130"/>
      <c r="S94" s="130"/>
      <c r="T94" s="130" t="s">
        <v>3817</v>
      </c>
      <c r="U94" s="130"/>
      <c r="V94" s="130"/>
      <c r="W94" s="130"/>
      <c r="X94" s="5"/>
      <c r="Y94" s="5"/>
      <c r="Z94" s="5"/>
      <c r="AA94" s="5"/>
      <c r="AB94" s="70"/>
    </row>
    <row r="95" spans="5:28" ht="12.5" hidden="1">
      <c r="E95" s="459" t="s">
        <v>55</v>
      </c>
      <c r="F95" s="459" t="s">
        <v>3565</v>
      </c>
      <c r="G95" s="459" t="s">
        <v>242</v>
      </c>
      <c r="H95" s="459" t="s">
        <v>243</v>
      </c>
      <c r="I95" s="459"/>
      <c r="J95" s="459">
        <v>5</v>
      </c>
      <c r="K95" s="459"/>
      <c r="L95" s="459"/>
      <c r="M95" s="459"/>
      <c r="N95" s="459"/>
      <c r="O95" s="459"/>
      <c r="P95" s="459"/>
      <c r="Q95" s="130"/>
      <c r="R95" s="130"/>
      <c r="S95" s="130"/>
      <c r="T95" s="130" t="s">
        <v>3818</v>
      </c>
      <c r="U95" s="130"/>
      <c r="V95" s="130"/>
      <c r="W95" s="130"/>
      <c r="X95" s="5"/>
      <c r="Y95" s="5"/>
      <c r="Z95" s="5"/>
      <c r="AA95" s="5"/>
      <c r="AB95" s="70"/>
    </row>
    <row r="96" spans="5:28" ht="12.5" hidden="1">
      <c r="E96" s="459" t="s">
        <v>55</v>
      </c>
      <c r="F96" s="459" t="s">
        <v>3819</v>
      </c>
      <c r="G96" s="459" t="s">
        <v>242</v>
      </c>
      <c r="H96" s="459" t="s">
        <v>243</v>
      </c>
      <c r="I96" s="459"/>
      <c r="J96" s="459">
        <v>83</v>
      </c>
      <c r="K96" s="459"/>
      <c r="L96" s="459"/>
      <c r="M96" s="459"/>
      <c r="N96" s="459"/>
      <c r="O96" s="459"/>
      <c r="P96" s="459"/>
      <c r="Q96" s="130"/>
      <c r="R96" s="130"/>
      <c r="S96" s="130"/>
      <c r="T96" s="130" t="s">
        <v>3820</v>
      </c>
      <c r="U96" s="130"/>
      <c r="V96" s="130"/>
      <c r="W96" s="130"/>
    </row>
    <row r="97" spans="2:28" ht="12.5" hidden="1">
      <c r="E97" s="459" t="s">
        <v>55</v>
      </c>
      <c r="F97" s="459" t="s">
        <v>3821</v>
      </c>
      <c r="G97" s="459" t="s">
        <v>242</v>
      </c>
      <c r="H97" s="459" t="s">
        <v>243</v>
      </c>
      <c r="I97" s="459"/>
      <c r="J97" s="459">
        <v>84</v>
      </c>
      <c r="K97" s="459"/>
      <c r="L97" s="459"/>
      <c r="M97" s="459"/>
      <c r="N97" s="459"/>
      <c r="O97" s="459"/>
      <c r="P97" s="459"/>
      <c r="Q97" s="130"/>
      <c r="R97" s="130"/>
      <c r="S97" s="130"/>
      <c r="T97" s="130" t="s">
        <v>3822</v>
      </c>
      <c r="U97" s="130"/>
      <c r="V97" s="130"/>
      <c r="W97" s="130"/>
    </row>
    <row r="98" spans="2:28" ht="12.5" hidden="1">
      <c r="E98" s="459" t="s">
        <v>55</v>
      </c>
      <c r="F98" s="459" t="s">
        <v>3823</v>
      </c>
      <c r="G98" s="459" t="s">
        <v>242</v>
      </c>
      <c r="H98" s="459" t="s">
        <v>243</v>
      </c>
      <c r="I98" s="459"/>
      <c r="J98" s="459">
        <v>85</v>
      </c>
      <c r="K98" s="459"/>
      <c r="L98" s="459"/>
      <c r="M98" s="459"/>
      <c r="N98" s="459"/>
      <c r="O98" s="459"/>
      <c r="P98" s="459"/>
      <c r="Q98" s="130"/>
      <c r="R98" s="130"/>
      <c r="S98" s="130"/>
      <c r="T98" s="130" t="s">
        <v>3824</v>
      </c>
      <c r="U98" s="130"/>
      <c r="V98" s="130"/>
      <c r="W98" s="130"/>
    </row>
    <row r="99" spans="2:28" ht="25">
      <c r="B99" s="441"/>
      <c r="C99" s="441"/>
      <c r="D99" s="441"/>
      <c r="E99" s="441" t="s">
        <v>55</v>
      </c>
      <c r="F99" s="441" t="s">
        <v>929</v>
      </c>
      <c r="G99" s="441" t="s">
        <v>930</v>
      </c>
      <c r="H99" s="441" t="s">
        <v>243</v>
      </c>
      <c r="I99" s="441"/>
      <c r="J99" s="441">
        <v>73</v>
      </c>
      <c r="K99" s="459" t="s">
        <v>682</v>
      </c>
      <c r="L99" s="459" t="s">
        <v>3720</v>
      </c>
      <c r="M99" s="441" t="s">
        <v>3825</v>
      </c>
      <c r="N99" s="441"/>
      <c r="O99" s="441"/>
      <c r="P99" s="441"/>
      <c r="Q99" s="441"/>
      <c r="R99" s="441"/>
      <c r="S99" s="441"/>
      <c r="T99" s="441" t="s">
        <v>3826</v>
      </c>
      <c r="U99" s="441"/>
      <c r="V99" s="441"/>
      <c r="W99" s="441"/>
      <c r="X99" s="441">
        <v>18</v>
      </c>
      <c r="Y99" s="441"/>
      <c r="Z99" s="441" t="s">
        <v>1197</v>
      </c>
      <c r="AA99" s="146">
        <v>43607</v>
      </c>
      <c r="AB99" s="441" t="s">
        <v>3722</v>
      </c>
    </row>
  </sheetData>
  <autoFilter ref="A2:AB99" xr:uid="{00000000-0009-0000-0000-000019000000}">
    <filterColumn colId="10">
      <filters>
        <filter val="Y"/>
      </filters>
    </filterColumn>
  </autoFilter>
  <pageMargins left="0.7" right="0.7" top="0.75" bottom="0.75" header="0" footer="0"/>
  <pageSetup orientation="landscape"/>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tabColor rgb="FFFFFFFF"/>
    <outlinePr summaryBelow="0" summaryRight="0"/>
  </sheetPr>
  <dimension ref="A1:AB22"/>
  <sheetViews>
    <sheetView workbookViewId="0">
      <pane xSplit="2" ySplit="4" topLeftCell="L6" activePane="bottomRight" state="frozen"/>
      <selection pane="topRight" activeCell="C1" sqref="C1"/>
      <selection pane="bottomLeft" activeCell="A3" sqref="A3"/>
      <selection pane="bottomRight" activeCell="L6" sqref="L6"/>
    </sheetView>
  </sheetViews>
  <sheetFormatPr defaultColWidth="14.453125" defaultRowHeight="15" customHeight="1"/>
  <cols>
    <col min="1" max="4" width="17.26953125" hidden="1" customWidth="1"/>
    <col min="5" max="5" width="13.81640625" customWidth="1"/>
    <col min="6" max="6" width="26" customWidth="1"/>
    <col min="7" max="7" width="21.7265625" customWidth="1"/>
    <col min="8" max="8" width="17.26953125" customWidth="1"/>
    <col min="9" max="9" width="15.7265625" customWidth="1"/>
    <col min="10" max="11" width="8.453125" customWidth="1"/>
    <col min="12" max="12" width="42.1796875" customWidth="1"/>
    <col min="13" max="13" width="45" customWidth="1"/>
    <col min="14" max="14" width="19.1796875" customWidth="1"/>
    <col min="15" max="15" width="15.7265625" customWidth="1"/>
    <col min="16" max="16" width="27.26953125" customWidth="1"/>
    <col min="17" max="17" width="17.26953125" customWidth="1"/>
    <col min="18" max="18" width="7.453125" customWidth="1"/>
    <col min="19" max="19" width="21.1796875" customWidth="1"/>
    <col min="20" max="20" width="33.7265625" customWidth="1"/>
    <col min="21" max="23" width="9.81640625" customWidth="1"/>
    <col min="24" max="24" width="6.453125" customWidth="1"/>
    <col min="25" max="25" width="17.26953125" customWidth="1"/>
    <col min="26" max="26" width="15.1796875" customWidth="1"/>
    <col min="27" max="27" width="10.81640625" customWidth="1"/>
    <col min="28" max="28" width="45.26953125" customWidth="1"/>
  </cols>
  <sheetData>
    <row r="1" spans="5:28" s="471" customFormat="1" ht="15" customHeight="1">
      <c r="E1" s="472" t="s">
        <v>3827</v>
      </c>
    </row>
    <row r="2" spans="5:28" s="471" customFormat="1" ht="15" customHeight="1">
      <c r="E2" s="507" t="s">
        <v>3570</v>
      </c>
    </row>
    <row r="3" spans="5:28" ht="15" customHeight="1">
      <c r="E3" s="459"/>
      <c r="F3" s="459"/>
      <c r="G3" s="459"/>
      <c r="H3" s="459"/>
      <c r="I3" s="459"/>
      <c r="J3" s="459"/>
      <c r="K3" s="218" t="s">
        <v>1038</v>
      </c>
      <c r="L3" s="218"/>
      <c r="M3" s="218"/>
      <c r="N3" s="218"/>
      <c r="O3" s="218"/>
      <c r="P3" s="218"/>
      <c r="Q3" s="218"/>
      <c r="R3" s="207"/>
      <c r="S3" s="207"/>
      <c r="T3" s="207"/>
      <c r="U3" s="381"/>
      <c r="V3" s="381"/>
      <c r="W3" s="381"/>
      <c r="X3" s="56"/>
      <c r="Y3" s="56"/>
      <c r="Z3" s="252" t="s">
        <v>1039</v>
      </c>
      <c r="AA3" s="364"/>
      <c r="AB3" s="252"/>
    </row>
    <row r="4" spans="5:28" ht="15" customHeight="1">
      <c r="E4" s="208" t="s">
        <v>224</v>
      </c>
      <c r="F4" s="208" t="s">
        <v>225</v>
      </c>
      <c r="G4" s="208" t="s">
        <v>226</v>
      </c>
      <c r="H4" s="208" t="s">
        <v>227</v>
      </c>
      <c r="I4" s="208" t="s">
        <v>1044</v>
      </c>
      <c r="J4" s="208" t="s">
        <v>1045</v>
      </c>
      <c r="K4" s="218" t="s">
        <v>1046</v>
      </c>
      <c r="L4" s="218" t="s">
        <v>100</v>
      </c>
      <c r="M4" s="218" t="s">
        <v>101</v>
      </c>
      <c r="N4" s="218" t="s">
        <v>102</v>
      </c>
      <c r="O4" s="218" t="s">
        <v>103</v>
      </c>
      <c r="P4" s="218" t="s">
        <v>104</v>
      </c>
      <c r="Q4" s="218" t="s">
        <v>105</v>
      </c>
      <c r="R4" s="207" t="s">
        <v>111</v>
      </c>
      <c r="S4" s="207" t="s">
        <v>112</v>
      </c>
      <c r="T4" s="207" t="s">
        <v>103</v>
      </c>
      <c r="U4" s="381"/>
      <c r="V4" s="381"/>
      <c r="W4" s="381"/>
      <c r="X4" s="226" t="s">
        <v>1049</v>
      </c>
      <c r="Y4" s="226" t="s">
        <v>1050</v>
      </c>
      <c r="Z4" s="226" t="s">
        <v>237</v>
      </c>
      <c r="AA4" s="366" t="s">
        <v>1</v>
      </c>
      <c r="AB4" s="226" t="s">
        <v>238</v>
      </c>
    </row>
    <row r="5" spans="5:28" ht="44.25" customHeight="1">
      <c r="E5" s="459" t="s">
        <v>61</v>
      </c>
      <c r="F5" s="459" t="s">
        <v>3828</v>
      </c>
      <c r="G5" s="459" t="s">
        <v>535</v>
      </c>
      <c r="H5" s="459" t="s">
        <v>903</v>
      </c>
      <c r="I5" s="459"/>
      <c r="J5" s="459"/>
      <c r="K5" s="459" t="s">
        <v>682</v>
      </c>
      <c r="L5" s="130" t="s">
        <v>3829</v>
      </c>
      <c r="M5" s="459" t="s">
        <v>3830</v>
      </c>
      <c r="N5" s="130" t="s">
        <v>1895</v>
      </c>
      <c r="O5" s="459"/>
      <c r="P5" s="459"/>
      <c r="Q5" s="130"/>
      <c r="R5" s="130"/>
      <c r="S5" s="130"/>
      <c r="T5" s="130" t="s">
        <v>3831</v>
      </c>
      <c r="U5" s="130"/>
      <c r="V5" s="130"/>
      <c r="W5" s="130"/>
      <c r="X5" s="5">
        <v>1</v>
      </c>
      <c r="Y5" s="5"/>
      <c r="Z5" s="120" t="s">
        <v>3748</v>
      </c>
      <c r="AA5" s="131">
        <v>44488</v>
      </c>
      <c r="AB5" t="s">
        <v>3832</v>
      </c>
    </row>
    <row r="6" spans="5:28" ht="51" customHeight="1">
      <c r="E6" s="459" t="s">
        <v>61</v>
      </c>
      <c r="F6" s="459" t="s">
        <v>1010</v>
      </c>
      <c r="G6" s="459" t="s">
        <v>535</v>
      </c>
      <c r="H6" s="459" t="s">
        <v>903</v>
      </c>
      <c r="I6" s="459"/>
      <c r="J6" s="459"/>
      <c r="K6" s="459" t="s">
        <v>682</v>
      </c>
      <c r="L6" s="130" t="s">
        <v>3829</v>
      </c>
      <c r="M6" s="459" t="s">
        <v>3833</v>
      </c>
      <c r="N6" s="130" t="s">
        <v>3834</v>
      </c>
      <c r="O6" s="459"/>
      <c r="P6" s="459"/>
      <c r="Q6" s="130"/>
      <c r="R6" s="130"/>
      <c r="S6" s="130"/>
      <c r="T6" s="130" t="s">
        <v>3835</v>
      </c>
      <c r="U6" s="130"/>
      <c r="V6" s="130"/>
      <c r="W6" s="130"/>
      <c r="X6" s="5">
        <v>1</v>
      </c>
      <c r="Y6" s="5"/>
      <c r="Z6" s="120" t="s">
        <v>3748</v>
      </c>
      <c r="AA6" s="131">
        <v>43418</v>
      </c>
      <c r="AB6" t="s">
        <v>1057</v>
      </c>
    </row>
    <row r="7" spans="5:28" ht="42.75" customHeight="1">
      <c r="E7" s="459" t="s">
        <v>61</v>
      </c>
      <c r="F7" s="459" t="s">
        <v>936</v>
      </c>
      <c r="G7" s="459" t="s">
        <v>242</v>
      </c>
      <c r="H7" s="459" t="s">
        <v>903</v>
      </c>
      <c r="I7" s="459"/>
      <c r="J7" s="459"/>
      <c r="K7" t="s">
        <v>682</v>
      </c>
      <c r="L7" s="130" t="s">
        <v>3829</v>
      </c>
      <c r="M7" s="459" t="s">
        <v>3836</v>
      </c>
      <c r="N7" s="130" t="s">
        <v>247</v>
      </c>
      <c r="T7" s="130" t="s">
        <v>3837</v>
      </c>
      <c r="X7" s="5">
        <v>2</v>
      </c>
      <c r="Y7" s="5"/>
      <c r="Z7" s="120" t="s">
        <v>3729</v>
      </c>
      <c r="AA7" s="131">
        <v>43476</v>
      </c>
      <c r="AB7" t="s">
        <v>3838</v>
      </c>
    </row>
    <row r="8" spans="5:28" ht="40.5" customHeight="1">
      <c r="E8" s="459" t="s">
        <v>53</v>
      </c>
      <c r="F8" s="459" t="s">
        <v>123</v>
      </c>
      <c r="G8" s="459" t="s">
        <v>535</v>
      </c>
      <c r="H8" s="459" t="s">
        <v>903</v>
      </c>
      <c r="I8" s="459"/>
      <c r="J8" s="459"/>
      <c r="K8" t="s">
        <v>682</v>
      </c>
      <c r="L8" s="130" t="s">
        <v>1184</v>
      </c>
      <c r="M8" s="459" t="s">
        <v>2577</v>
      </c>
      <c r="N8" s="130"/>
      <c r="T8" s="130" t="s">
        <v>3839</v>
      </c>
      <c r="X8" s="5">
        <v>3</v>
      </c>
      <c r="Y8" s="5"/>
      <c r="Z8" s="120" t="s">
        <v>3748</v>
      </c>
      <c r="AA8" s="131">
        <v>43418</v>
      </c>
      <c r="AB8" s="129" t="s">
        <v>3840</v>
      </c>
    </row>
    <row r="9" spans="5:28" ht="12.5">
      <c r="E9" s="441" t="s">
        <v>55</v>
      </c>
      <c r="F9" s="441" t="s">
        <v>3528</v>
      </c>
      <c r="G9" s="441" t="s">
        <v>242</v>
      </c>
      <c r="H9" s="441" t="s">
        <v>243</v>
      </c>
    </row>
    <row r="10" spans="5:28" ht="15" customHeight="1">
      <c r="E10" s="459" t="s">
        <v>53</v>
      </c>
      <c r="F10" s="459" t="s">
        <v>1189</v>
      </c>
      <c r="G10" s="459" t="s">
        <v>249</v>
      </c>
      <c r="H10" s="459" t="s">
        <v>243</v>
      </c>
      <c r="I10" s="459"/>
      <c r="J10" s="459"/>
      <c r="K10" s="459"/>
      <c r="L10" s="130"/>
      <c r="M10" s="459"/>
      <c r="N10" s="459"/>
      <c r="O10" s="459"/>
      <c r="P10" s="459"/>
      <c r="Q10" s="130"/>
      <c r="R10" s="130"/>
      <c r="S10" s="130"/>
      <c r="T10" s="186" t="s">
        <v>1190</v>
      </c>
      <c r="U10" s="130"/>
      <c r="V10" s="130"/>
      <c r="W10" s="130"/>
      <c r="X10" s="5"/>
      <c r="Y10" s="5"/>
      <c r="Z10" s="120"/>
      <c r="AA10" s="131"/>
    </row>
    <row r="11" spans="5:28" ht="15" customHeight="1">
      <c r="E11" s="459" t="s">
        <v>53</v>
      </c>
      <c r="F11" s="459" t="s">
        <v>1191</v>
      </c>
      <c r="G11" s="459" t="s">
        <v>252</v>
      </c>
      <c r="H11" s="459" t="s">
        <v>243</v>
      </c>
      <c r="I11" s="459"/>
      <c r="J11" s="459"/>
      <c r="K11" s="459"/>
      <c r="L11" s="130"/>
      <c r="M11" s="459"/>
      <c r="N11" s="459"/>
      <c r="O11" s="459"/>
      <c r="P11" s="459"/>
      <c r="Q11" s="130"/>
      <c r="R11" s="130"/>
      <c r="S11" s="130"/>
      <c r="T11" s="186" t="s">
        <v>1190</v>
      </c>
      <c r="U11" s="130"/>
      <c r="V11" s="130"/>
      <c r="W11" s="130"/>
      <c r="X11" s="5"/>
      <c r="Y11" s="5"/>
      <c r="Z11" s="120"/>
      <c r="AA11" s="131"/>
    </row>
    <row r="12" spans="5:28" ht="15" customHeight="1">
      <c r="E12" s="459" t="s">
        <v>53</v>
      </c>
      <c r="F12" s="459" t="s">
        <v>1192</v>
      </c>
      <c r="G12" s="459" t="s">
        <v>242</v>
      </c>
      <c r="H12" s="459" t="s">
        <v>243</v>
      </c>
      <c r="I12" s="459"/>
      <c r="J12" s="459"/>
      <c r="K12" s="459"/>
      <c r="L12" s="130"/>
      <c r="M12" s="459"/>
      <c r="N12" s="459"/>
      <c r="O12" s="459"/>
      <c r="P12" s="459"/>
      <c r="Q12" s="130"/>
      <c r="R12" s="130"/>
      <c r="S12" s="130"/>
      <c r="T12" s="186" t="s">
        <v>1190</v>
      </c>
      <c r="U12" s="130"/>
      <c r="V12" s="130"/>
      <c r="W12" s="130"/>
      <c r="X12" s="5"/>
      <c r="Y12" s="188"/>
      <c r="Z12" s="120"/>
      <c r="AA12" s="131"/>
    </row>
    <row r="13" spans="5:28" ht="15" customHeight="1">
      <c r="E13" s="459" t="s">
        <v>53</v>
      </c>
      <c r="F13" s="459" t="s">
        <v>1193</v>
      </c>
      <c r="G13" s="459" t="s">
        <v>247</v>
      </c>
      <c r="H13" s="459" t="s">
        <v>243</v>
      </c>
      <c r="I13" s="459"/>
      <c r="J13" s="459"/>
      <c r="K13" s="459"/>
      <c r="L13" s="130"/>
      <c r="M13" s="459"/>
      <c r="N13" s="459"/>
      <c r="O13" s="459"/>
      <c r="P13" s="459"/>
      <c r="Q13" s="130"/>
      <c r="R13" s="130"/>
      <c r="S13" s="130"/>
      <c r="T13" s="186" t="s">
        <v>1190</v>
      </c>
      <c r="U13" s="130"/>
      <c r="V13" s="130"/>
      <c r="W13" s="130"/>
      <c r="X13" s="5"/>
      <c r="Y13" s="188"/>
      <c r="Z13" s="120"/>
      <c r="AA13" s="131"/>
    </row>
    <row r="14" spans="5:28" ht="15" customHeight="1">
      <c r="E14" s="459" t="s">
        <v>53</v>
      </c>
      <c r="F14" s="459" t="s">
        <v>1194</v>
      </c>
      <c r="G14" s="459" t="s">
        <v>252</v>
      </c>
      <c r="H14" s="459" t="s">
        <v>243</v>
      </c>
      <c r="I14" s="459"/>
      <c r="J14" s="459"/>
      <c r="K14" s="459"/>
      <c r="L14" s="130"/>
      <c r="M14" s="459"/>
      <c r="N14" s="459"/>
      <c r="O14" s="459"/>
      <c r="P14" s="459"/>
      <c r="Q14" s="130"/>
      <c r="R14" s="130"/>
      <c r="S14" s="130"/>
      <c r="T14" s="186" t="s">
        <v>1190</v>
      </c>
      <c r="U14" s="130"/>
      <c r="V14" s="130"/>
      <c r="W14" s="130"/>
      <c r="X14" s="5"/>
      <c r="Y14" s="188"/>
      <c r="Z14" s="120"/>
      <c r="AA14" s="131"/>
    </row>
    <row r="15" spans="5:28" ht="15" customHeight="1">
      <c r="E15" s="459" t="s">
        <v>53</v>
      </c>
      <c r="F15" s="459" t="s">
        <v>1195</v>
      </c>
      <c r="G15" s="459" t="s">
        <v>247</v>
      </c>
      <c r="H15" s="459" t="s">
        <v>243</v>
      </c>
      <c r="I15" s="459"/>
      <c r="J15" s="459"/>
      <c r="K15" s="459"/>
      <c r="L15" s="130"/>
      <c r="M15" s="459"/>
      <c r="N15" s="459"/>
      <c r="O15" s="459"/>
      <c r="P15" s="459"/>
      <c r="Q15" s="130"/>
      <c r="R15" s="130"/>
      <c r="S15" s="130"/>
      <c r="T15" s="186" t="s">
        <v>1190</v>
      </c>
      <c r="U15" s="130"/>
      <c r="V15" s="130"/>
      <c r="W15" s="130"/>
      <c r="X15" s="5"/>
      <c r="Y15" s="188"/>
      <c r="Z15" s="120"/>
      <c r="AA15" s="131"/>
    </row>
    <row r="16" spans="5:28" ht="15" customHeight="1">
      <c r="E16" s="459" t="s">
        <v>53</v>
      </c>
      <c r="F16" s="459" t="s">
        <v>1196</v>
      </c>
      <c r="G16" s="459" t="s">
        <v>535</v>
      </c>
      <c r="H16" s="459" t="s">
        <v>903</v>
      </c>
      <c r="I16" s="459"/>
      <c r="J16" s="459"/>
      <c r="K16" s="459"/>
      <c r="L16" s="130"/>
      <c r="M16" s="459"/>
      <c r="N16" s="459"/>
      <c r="O16" s="459"/>
      <c r="P16" s="459"/>
      <c r="Q16" s="130"/>
      <c r="R16" s="130"/>
      <c r="S16" s="130"/>
      <c r="T16" s="186" t="s">
        <v>1190</v>
      </c>
      <c r="U16" s="130"/>
      <c r="V16" s="130"/>
      <c r="W16" s="130"/>
      <c r="X16" s="5"/>
      <c r="Y16" s="5"/>
      <c r="Z16" s="120"/>
      <c r="AA16" s="131"/>
    </row>
    <row r="17" spans="5:28" ht="15" customHeight="1">
      <c r="E17" s="459" t="s">
        <v>53</v>
      </c>
      <c r="F17" s="459" t="s">
        <v>1290</v>
      </c>
      <c r="G17" s="459" t="s">
        <v>432</v>
      </c>
      <c r="H17" s="459" t="s">
        <v>243</v>
      </c>
      <c r="I17" s="459"/>
      <c r="J17" s="459"/>
      <c r="K17" s="459"/>
      <c r="L17" s="130"/>
      <c r="M17" s="459"/>
      <c r="N17" s="459"/>
      <c r="O17" s="459"/>
      <c r="P17" s="459"/>
      <c r="Q17" s="130"/>
      <c r="R17" s="130"/>
      <c r="S17" s="130"/>
      <c r="T17" s="186" t="s">
        <v>1190</v>
      </c>
      <c r="U17" s="130"/>
      <c r="V17" s="130"/>
      <c r="W17" s="130"/>
      <c r="X17" s="5"/>
      <c r="Y17" s="5"/>
      <c r="Z17" s="120"/>
      <c r="AA17" s="131"/>
    </row>
    <row r="18" spans="5:28" ht="15" customHeight="1">
      <c r="E18" s="459" t="s">
        <v>53</v>
      </c>
      <c r="F18" s="459" t="s">
        <v>1291</v>
      </c>
      <c r="G18" s="459" t="s">
        <v>247</v>
      </c>
      <c r="H18" s="459" t="s">
        <v>243</v>
      </c>
      <c r="I18" s="459"/>
      <c r="J18" s="459"/>
      <c r="K18" s="459"/>
      <c r="L18" s="130"/>
      <c r="M18" s="459"/>
      <c r="N18" s="459"/>
      <c r="O18" s="459"/>
      <c r="P18" s="459"/>
      <c r="Q18" s="130"/>
      <c r="R18" s="130"/>
      <c r="S18" s="130"/>
      <c r="T18" s="186" t="s">
        <v>1190</v>
      </c>
      <c r="U18" s="130"/>
      <c r="V18" s="130"/>
      <c r="W18" s="130"/>
      <c r="X18" s="5"/>
      <c r="Y18" s="5"/>
      <c r="Z18" s="120"/>
      <c r="AA18" s="131"/>
    </row>
    <row r="19" spans="5:28" ht="12.5">
      <c r="E19" s="459" t="s">
        <v>53</v>
      </c>
      <c r="F19" s="459" t="s">
        <v>1292</v>
      </c>
      <c r="G19" s="459" t="s">
        <v>535</v>
      </c>
      <c r="H19" s="459" t="s">
        <v>243</v>
      </c>
      <c r="I19" s="459"/>
      <c r="J19" s="459"/>
      <c r="K19" s="459"/>
      <c r="L19" s="130"/>
      <c r="M19" s="459"/>
      <c r="N19" s="459"/>
      <c r="O19" s="459"/>
      <c r="P19" s="459"/>
      <c r="Q19" s="130"/>
      <c r="R19" s="130"/>
      <c r="S19" s="130"/>
      <c r="T19" s="186" t="s">
        <v>1190</v>
      </c>
      <c r="U19" s="130"/>
      <c r="V19" s="130"/>
      <c r="W19" s="130"/>
      <c r="X19" s="5"/>
      <c r="Y19" s="5"/>
      <c r="Z19" s="120"/>
      <c r="AA19" s="131"/>
      <c r="AB19" s="5"/>
    </row>
    <row r="20" spans="5:28" ht="15" customHeight="1">
      <c r="E20" s="459" t="s">
        <v>53</v>
      </c>
      <c r="F20" s="459" t="s">
        <v>1289</v>
      </c>
      <c r="G20" s="459" t="s">
        <v>324</v>
      </c>
      <c r="H20" s="459" t="s">
        <v>243</v>
      </c>
      <c r="I20" s="459"/>
      <c r="J20" s="459"/>
      <c r="K20" s="459"/>
      <c r="L20" s="130"/>
      <c r="M20" s="459"/>
      <c r="N20" s="459"/>
      <c r="O20" s="459"/>
      <c r="P20" s="459"/>
      <c r="Q20" s="130"/>
      <c r="R20" s="130"/>
      <c r="S20" s="130"/>
      <c r="T20" s="186" t="s">
        <v>1190</v>
      </c>
      <c r="U20" s="130"/>
      <c r="V20" s="130"/>
      <c r="W20" s="130"/>
      <c r="X20" s="5"/>
      <c r="Y20" s="5"/>
      <c r="Z20" s="120"/>
      <c r="AA20" s="131"/>
      <c r="AB20" s="129"/>
    </row>
    <row r="21" spans="5:28" ht="15" customHeight="1">
      <c r="E21" s="459" t="s">
        <v>53</v>
      </c>
      <c r="F21" s="459" t="s">
        <v>1293</v>
      </c>
      <c r="G21" s="459" t="s">
        <v>432</v>
      </c>
      <c r="H21" s="459" t="s">
        <v>243</v>
      </c>
      <c r="I21" s="459"/>
      <c r="J21" s="459"/>
      <c r="K21" s="459"/>
      <c r="L21" s="130"/>
      <c r="M21" s="459"/>
      <c r="N21" s="459"/>
      <c r="O21" s="459"/>
      <c r="P21" s="459"/>
      <c r="Q21" s="130"/>
      <c r="R21" s="130"/>
      <c r="S21" s="130"/>
      <c r="T21" s="186" t="s">
        <v>1190</v>
      </c>
      <c r="U21" s="130"/>
      <c r="V21" s="130"/>
      <c r="W21" s="130"/>
      <c r="X21" s="5"/>
      <c r="Y21" s="5"/>
      <c r="Z21" s="34"/>
      <c r="AA21" s="131"/>
      <c r="AB21" s="129"/>
    </row>
    <row r="22" spans="5:28" ht="15" customHeight="1">
      <c r="E22" s="459" t="s">
        <v>53</v>
      </c>
      <c r="F22" s="459" t="s">
        <v>1288</v>
      </c>
      <c r="G22" s="459" t="s">
        <v>535</v>
      </c>
      <c r="H22" s="459" t="s">
        <v>903</v>
      </c>
      <c r="I22" s="459"/>
      <c r="J22" s="459"/>
      <c r="K22" s="459"/>
      <c r="L22" s="130"/>
      <c r="M22" s="459"/>
      <c r="N22" s="459"/>
      <c r="O22" s="459"/>
      <c r="P22" s="459"/>
      <c r="Q22" s="130"/>
      <c r="R22" s="130"/>
      <c r="S22" s="130"/>
      <c r="T22" s="186" t="s">
        <v>1190</v>
      </c>
      <c r="U22" s="130"/>
      <c r="V22" s="130"/>
      <c r="W22" s="130"/>
      <c r="X22" s="5"/>
      <c r="Y22" s="5"/>
      <c r="Z22" s="34"/>
      <c r="AA22" s="131"/>
    </row>
  </sheetData>
  <pageMargins left="0.7" right="0.7" top="0.75" bottom="0.75" header="0" footer="0"/>
  <pageSetup orientation="landscape"/>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filterMode="1">
    <outlinePr summaryBelow="0" summaryRight="0"/>
  </sheetPr>
  <dimension ref="A1:AB99"/>
  <sheetViews>
    <sheetView workbookViewId="0">
      <pane xSplit="2" ySplit="2" topLeftCell="E78" activePane="bottomRight" state="frozen"/>
      <selection pane="topRight" activeCell="C1" sqref="C1"/>
      <selection pane="bottomLeft" activeCell="A3" sqref="A3"/>
      <selection pane="bottomRight" activeCell="A9" sqref="A9"/>
    </sheetView>
  </sheetViews>
  <sheetFormatPr defaultColWidth="14.453125" defaultRowHeight="15" customHeight="1"/>
  <cols>
    <col min="1" max="4" width="17.26953125" hidden="1" customWidth="1"/>
    <col min="5" max="5" width="23.81640625" customWidth="1"/>
    <col min="6" max="6" width="32.453125" customWidth="1"/>
    <col min="7" max="7" width="21.7265625" customWidth="1"/>
    <col min="8" max="8" width="17.26953125" customWidth="1"/>
    <col min="9" max="9" width="11.7265625" customWidth="1"/>
    <col min="10" max="11" width="8.453125" customWidth="1"/>
    <col min="12" max="12" width="40.7265625" customWidth="1"/>
    <col min="13" max="13" width="44.7265625" customWidth="1"/>
    <col min="14" max="14" width="17.26953125" customWidth="1"/>
    <col min="15" max="15" width="15.7265625" customWidth="1"/>
    <col min="16" max="16" width="27.26953125" customWidth="1"/>
    <col min="17" max="17" width="17.26953125" customWidth="1"/>
    <col min="18" max="18" width="7.453125" customWidth="1"/>
    <col min="19" max="19" width="21.1796875" customWidth="1"/>
    <col min="20" max="20" width="33.7265625" customWidth="1"/>
    <col min="21" max="23" width="9.81640625" customWidth="1"/>
    <col min="24" max="24" width="16.7265625" customWidth="1"/>
    <col min="25" max="25" width="17.26953125" customWidth="1"/>
    <col min="26" max="26" width="23.26953125" customWidth="1"/>
    <col min="27" max="27" width="17.26953125" customWidth="1"/>
    <col min="28" max="28" width="45.26953125" customWidth="1"/>
  </cols>
  <sheetData>
    <row r="1" spans="5:28" ht="15" customHeight="1">
      <c r="E1" s="459"/>
      <c r="F1" s="459"/>
      <c r="G1" s="459"/>
      <c r="H1" s="459"/>
      <c r="I1" s="459"/>
      <c r="J1" s="459"/>
      <c r="K1" s="218" t="s">
        <v>1038</v>
      </c>
      <c r="L1" s="218"/>
      <c r="M1" s="218"/>
      <c r="N1" s="218"/>
      <c r="O1" s="218"/>
      <c r="P1" s="218"/>
      <c r="Q1" s="218"/>
      <c r="R1" s="207"/>
      <c r="S1" s="207"/>
      <c r="T1" s="207"/>
      <c r="U1" s="381"/>
      <c r="V1" s="381"/>
      <c r="W1" s="381"/>
      <c r="X1" s="56"/>
      <c r="Y1" s="56"/>
      <c r="Z1" s="252" t="s">
        <v>1039</v>
      </c>
      <c r="AA1" s="364"/>
      <c r="AB1" s="252"/>
    </row>
    <row r="2" spans="5:28" ht="15" customHeight="1">
      <c r="E2" s="208" t="s">
        <v>224</v>
      </c>
      <c r="F2" s="208" t="s">
        <v>225</v>
      </c>
      <c r="G2" s="208" t="s">
        <v>226</v>
      </c>
      <c r="H2" s="208" t="s">
        <v>227</v>
      </c>
      <c r="I2" s="208" t="s">
        <v>1044</v>
      </c>
      <c r="J2" s="208" t="s">
        <v>1045</v>
      </c>
      <c r="K2" s="218" t="s">
        <v>1046</v>
      </c>
      <c r="L2" s="218" t="s">
        <v>100</v>
      </c>
      <c r="M2" s="218" t="s">
        <v>101</v>
      </c>
      <c r="N2" s="218" t="s">
        <v>102</v>
      </c>
      <c r="O2" s="218" t="s">
        <v>103</v>
      </c>
      <c r="P2" s="218" t="s">
        <v>104</v>
      </c>
      <c r="Q2" s="218" t="s">
        <v>105</v>
      </c>
      <c r="R2" s="207" t="s">
        <v>111</v>
      </c>
      <c r="S2" s="207" t="s">
        <v>112</v>
      </c>
      <c r="T2" s="207" t="s">
        <v>103</v>
      </c>
      <c r="U2" s="381"/>
      <c r="V2" s="381"/>
      <c r="W2" s="381"/>
      <c r="X2" s="226" t="s">
        <v>1049</v>
      </c>
      <c r="Y2" s="226" t="s">
        <v>1050</v>
      </c>
      <c r="Z2" s="226" t="s">
        <v>237</v>
      </c>
      <c r="AA2" s="366" t="s">
        <v>1</v>
      </c>
      <c r="AB2" s="226" t="s">
        <v>238</v>
      </c>
    </row>
    <row r="3" spans="5:28" ht="15" hidden="1" customHeight="1">
      <c r="E3" s="459" t="s">
        <v>55</v>
      </c>
      <c r="F3" s="459" t="s">
        <v>3402</v>
      </c>
      <c r="G3" s="459" t="s">
        <v>247</v>
      </c>
      <c r="H3" s="459" t="s">
        <v>243</v>
      </c>
      <c r="I3" s="459"/>
      <c r="J3" s="459">
        <v>2</v>
      </c>
      <c r="K3" s="459"/>
      <c r="L3" s="459"/>
      <c r="M3" s="459"/>
      <c r="N3" s="459"/>
      <c r="O3" s="459"/>
      <c r="P3" s="459"/>
      <c r="Q3" s="130"/>
      <c r="R3" s="130"/>
      <c r="S3" s="130"/>
      <c r="T3" s="130" t="s">
        <v>3719</v>
      </c>
      <c r="U3" s="130"/>
      <c r="V3" s="130"/>
      <c r="W3" s="130"/>
      <c r="X3" s="5"/>
      <c r="Y3" s="5"/>
      <c r="Z3" s="5"/>
      <c r="AA3" s="5"/>
      <c r="AB3" s="70"/>
    </row>
    <row r="4" spans="5:28" ht="15" customHeight="1">
      <c r="E4" s="459" t="s">
        <v>59</v>
      </c>
      <c r="F4" s="459" t="s">
        <v>921</v>
      </c>
      <c r="G4" s="459" t="s">
        <v>922</v>
      </c>
      <c r="H4" s="459" t="s">
        <v>243</v>
      </c>
      <c r="I4" s="459"/>
      <c r="J4" s="459">
        <v>6</v>
      </c>
      <c r="K4" s="459" t="s">
        <v>682</v>
      </c>
      <c r="L4" s="130" t="s">
        <v>3677</v>
      </c>
      <c r="M4" s="459" t="s">
        <v>970</v>
      </c>
      <c r="N4" s="459"/>
      <c r="O4" s="459"/>
      <c r="P4" s="459"/>
      <c r="Q4" s="130"/>
      <c r="R4" s="130"/>
      <c r="S4" s="130"/>
      <c r="T4" s="130" t="s">
        <v>3721</v>
      </c>
      <c r="U4" s="130"/>
      <c r="V4" s="130"/>
      <c r="W4" s="130"/>
      <c r="X4" s="5">
        <v>13</v>
      </c>
      <c r="Y4" s="5"/>
      <c r="Z4" s="34" t="s">
        <v>1521</v>
      </c>
      <c r="AA4" s="131">
        <v>43538</v>
      </c>
      <c r="AB4" s="129" t="s">
        <v>3722</v>
      </c>
    </row>
    <row r="5" spans="5:28" ht="15" hidden="1" customHeight="1">
      <c r="E5" s="459" t="s">
        <v>55</v>
      </c>
      <c r="F5" s="459" t="s">
        <v>971</v>
      </c>
      <c r="G5" s="459" t="s">
        <v>324</v>
      </c>
      <c r="H5" s="459" t="s">
        <v>243</v>
      </c>
      <c r="I5" s="459"/>
      <c r="J5" s="459">
        <v>7</v>
      </c>
      <c r="K5" s="459"/>
      <c r="L5" s="459"/>
      <c r="M5" s="459"/>
      <c r="N5" s="459"/>
      <c r="O5" s="459"/>
      <c r="P5" s="459"/>
      <c r="Q5" s="130"/>
      <c r="R5" s="130"/>
      <c r="S5" s="130"/>
      <c r="T5" s="130" t="s">
        <v>3723</v>
      </c>
      <c r="U5" s="130"/>
      <c r="V5" s="130"/>
      <c r="W5" s="130"/>
      <c r="X5" s="5"/>
      <c r="Y5" s="5"/>
      <c r="Z5" s="5"/>
      <c r="AA5" s="5"/>
      <c r="AB5" s="70"/>
    </row>
    <row r="6" spans="5:28" ht="15" hidden="1" customHeight="1">
      <c r="E6" s="459" t="s">
        <v>55</v>
      </c>
      <c r="F6" s="459" t="s">
        <v>3349</v>
      </c>
      <c r="G6" s="459" t="s">
        <v>324</v>
      </c>
      <c r="H6" s="459" t="s">
        <v>243</v>
      </c>
      <c r="I6" s="459"/>
      <c r="J6" s="459">
        <v>8</v>
      </c>
      <c r="K6" s="459"/>
      <c r="L6" s="459"/>
      <c r="M6" s="459"/>
      <c r="N6" s="459"/>
      <c r="O6" s="459"/>
      <c r="P6" s="459"/>
      <c r="Q6" s="130"/>
      <c r="R6" s="130"/>
      <c r="S6" s="130"/>
      <c r="T6" s="130" t="s">
        <v>3724</v>
      </c>
      <c r="U6" s="130"/>
      <c r="V6" s="130"/>
      <c r="W6" s="130"/>
      <c r="X6" s="5"/>
      <c r="Y6" s="5"/>
      <c r="Z6" s="5"/>
      <c r="AA6" s="5"/>
      <c r="AB6" s="70"/>
    </row>
    <row r="7" spans="5:28" ht="15" hidden="1" customHeight="1">
      <c r="E7" s="459" t="s">
        <v>55</v>
      </c>
      <c r="F7" s="459" t="s">
        <v>3351</v>
      </c>
      <c r="G7" s="459" t="s">
        <v>324</v>
      </c>
      <c r="H7" s="459" t="s">
        <v>243</v>
      </c>
      <c r="I7" s="459"/>
      <c r="J7" s="459">
        <v>9</v>
      </c>
      <c r="K7" s="459"/>
      <c r="L7" s="459"/>
      <c r="M7" s="459"/>
      <c r="N7" s="459"/>
      <c r="O7" s="459"/>
      <c r="P7" s="459"/>
      <c r="Q7" s="130"/>
      <c r="R7" s="130"/>
      <c r="S7" s="130"/>
      <c r="T7" s="130" t="s">
        <v>3725</v>
      </c>
      <c r="U7" s="130"/>
      <c r="V7" s="130"/>
      <c r="W7" s="130"/>
      <c r="X7" s="5"/>
      <c r="Y7" s="5"/>
      <c r="Z7" s="5"/>
      <c r="AA7" s="5"/>
      <c r="AB7" s="70"/>
    </row>
    <row r="8" spans="5:28" ht="15" hidden="1" customHeight="1">
      <c r="E8" s="459" t="s">
        <v>55</v>
      </c>
      <c r="F8" s="459" t="s">
        <v>3726</v>
      </c>
      <c r="G8" s="459" t="s">
        <v>324</v>
      </c>
      <c r="H8" s="459" t="s">
        <v>243</v>
      </c>
      <c r="I8" s="459"/>
      <c r="J8" s="459">
        <v>88</v>
      </c>
      <c r="K8" s="459"/>
      <c r="L8" s="459"/>
      <c r="M8" s="459"/>
      <c r="N8" s="459"/>
      <c r="O8" s="459"/>
      <c r="P8" s="459"/>
      <c r="Q8" s="130"/>
      <c r="R8" s="130"/>
      <c r="S8" s="130"/>
      <c r="T8" s="130" t="s">
        <v>3727</v>
      </c>
      <c r="U8" s="130"/>
      <c r="V8" s="130"/>
      <c r="W8" s="130"/>
    </row>
    <row r="9" spans="5:28" ht="15" customHeight="1">
      <c r="E9" s="459" t="s">
        <v>55</v>
      </c>
      <c r="F9" s="459" t="s">
        <v>936</v>
      </c>
      <c r="G9" s="459" t="s">
        <v>247</v>
      </c>
      <c r="H9" s="459" t="s">
        <v>243</v>
      </c>
      <c r="I9" s="459"/>
      <c r="J9" s="459">
        <v>10</v>
      </c>
      <c r="K9" s="459" t="s">
        <v>682</v>
      </c>
      <c r="L9" s="130" t="s">
        <v>3677</v>
      </c>
      <c r="M9" s="459" t="s">
        <v>986</v>
      </c>
      <c r="N9" s="459"/>
      <c r="O9" s="459"/>
      <c r="P9" s="459"/>
      <c r="Q9" s="130"/>
      <c r="R9" s="130"/>
      <c r="S9" s="130"/>
      <c r="T9" s="130" t="s">
        <v>3728</v>
      </c>
      <c r="U9" s="130"/>
      <c r="V9" s="130"/>
      <c r="W9" s="130"/>
      <c r="X9" s="5">
        <v>12</v>
      </c>
      <c r="Y9" s="5"/>
      <c r="Z9" s="120" t="s">
        <v>3729</v>
      </c>
      <c r="AA9" s="131">
        <v>43476</v>
      </c>
      <c r="AB9" s="129" t="s">
        <v>3730</v>
      </c>
    </row>
    <row r="10" spans="5:28" ht="15" hidden="1" customHeight="1">
      <c r="E10" s="459" t="s">
        <v>55</v>
      </c>
      <c r="F10" s="459" t="s">
        <v>987</v>
      </c>
      <c r="G10" s="459" t="s">
        <v>247</v>
      </c>
      <c r="H10" s="459" t="s">
        <v>243</v>
      </c>
      <c r="I10" s="459"/>
      <c r="J10" s="459">
        <v>11</v>
      </c>
      <c r="K10" s="459"/>
      <c r="L10" s="459"/>
      <c r="M10" s="459"/>
      <c r="N10" s="459"/>
      <c r="O10" s="459"/>
      <c r="P10" s="459"/>
      <c r="Q10" s="130"/>
      <c r="R10" s="130"/>
      <c r="S10" s="130"/>
      <c r="T10" s="130" t="s">
        <v>3731</v>
      </c>
      <c r="U10" s="130"/>
      <c r="V10" s="130"/>
      <c r="W10" s="130"/>
      <c r="X10" s="5"/>
      <c r="Y10" s="5"/>
      <c r="Z10" s="5"/>
      <c r="AA10" s="5"/>
      <c r="AB10" s="70"/>
    </row>
    <row r="11" spans="5:28" ht="15" hidden="1" customHeight="1">
      <c r="E11" s="459" t="s">
        <v>55</v>
      </c>
      <c r="F11" s="459" t="s">
        <v>989</v>
      </c>
      <c r="G11" s="459" t="s">
        <v>247</v>
      </c>
      <c r="H11" s="459" t="s">
        <v>243</v>
      </c>
      <c r="I11" s="459"/>
      <c r="J11" s="459">
        <v>12</v>
      </c>
      <c r="K11" s="459"/>
      <c r="L11" s="459"/>
      <c r="M11" s="459"/>
      <c r="N11" s="459"/>
      <c r="O11" s="459"/>
      <c r="P11" s="459"/>
      <c r="Q11" s="130"/>
      <c r="R11" s="130"/>
      <c r="S11" s="130"/>
      <c r="T11" s="130" t="s">
        <v>3731</v>
      </c>
      <c r="U11" s="130"/>
      <c r="V11" s="130"/>
      <c r="W11" s="130"/>
      <c r="X11" s="5"/>
      <c r="Y11" s="5"/>
      <c r="Z11" s="5"/>
      <c r="AA11" s="5"/>
      <c r="AB11" s="70"/>
    </row>
    <row r="12" spans="5:28" ht="15" hidden="1" customHeight="1">
      <c r="E12" s="459" t="s">
        <v>55</v>
      </c>
      <c r="F12" s="459" t="s">
        <v>3414</v>
      </c>
      <c r="G12" s="459" t="s">
        <v>429</v>
      </c>
      <c r="H12" s="459" t="s">
        <v>243</v>
      </c>
      <c r="I12" s="459"/>
      <c r="J12" s="459">
        <v>13</v>
      </c>
      <c r="K12" s="459"/>
      <c r="L12" s="459"/>
      <c r="M12" s="459"/>
      <c r="N12" s="459"/>
      <c r="O12" s="459"/>
      <c r="P12" s="459"/>
      <c r="Q12" s="130"/>
      <c r="R12" s="130"/>
      <c r="S12" s="130"/>
      <c r="T12" s="130" t="s">
        <v>3732</v>
      </c>
      <c r="U12" s="130"/>
      <c r="V12" s="130"/>
      <c r="W12" s="130"/>
      <c r="X12" s="5"/>
      <c r="Y12" s="5"/>
      <c r="Z12" s="5"/>
      <c r="AA12" s="5"/>
      <c r="AB12" s="70"/>
    </row>
    <row r="13" spans="5:28" ht="12.5" hidden="1">
      <c r="E13" s="186" t="s">
        <v>53</v>
      </c>
      <c r="F13" s="459" t="s">
        <v>1189</v>
      </c>
      <c r="G13" s="459" t="s">
        <v>249</v>
      </c>
      <c r="H13" s="459" t="s">
        <v>243</v>
      </c>
      <c r="I13" s="459"/>
      <c r="J13" s="459">
        <v>14</v>
      </c>
      <c r="K13" s="459"/>
      <c r="L13" s="459"/>
      <c r="M13" s="459"/>
      <c r="N13" s="459"/>
      <c r="O13" s="459"/>
      <c r="P13" s="459"/>
      <c r="Q13" s="186"/>
      <c r="R13" s="186"/>
      <c r="S13" s="186"/>
      <c r="T13" s="186" t="s">
        <v>1190</v>
      </c>
      <c r="U13" s="186"/>
      <c r="V13" s="186"/>
      <c r="W13" s="186"/>
    </row>
    <row r="14" spans="5:28" ht="15" hidden="1" customHeight="1">
      <c r="E14" s="186" t="s">
        <v>53</v>
      </c>
      <c r="F14" s="459" t="s">
        <v>1191</v>
      </c>
      <c r="G14" s="459" t="s">
        <v>252</v>
      </c>
      <c r="H14" s="459" t="s">
        <v>243</v>
      </c>
      <c r="I14" s="459"/>
      <c r="J14" s="459">
        <v>15</v>
      </c>
      <c r="K14" s="459"/>
      <c r="L14" s="459"/>
      <c r="M14" s="459"/>
      <c r="N14" s="459"/>
      <c r="O14" s="459"/>
      <c r="P14" s="459"/>
      <c r="Q14" s="130"/>
      <c r="R14" s="186"/>
      <c r="S14" s="186"/>
      <c r="T14" s="186" t="s">
        <v>1190</v>
      </c>
      <c r="U14" s="186"/>
      <c r="V14" s="186"/>
      <c r="W14" s="186"/>
    </row>
    <row r="15" spans="5:28" ht="15" hidden="1" customHeight="1">
      <c r="E15" s="186" t="s">
        <v>53</v>
      </c>
      <c r="F15" s="459" t="s">
        <v>1192</v>
      </c>
      <c r="G15" s="459" t="s">
        <v>242</v>
      </c>
      <c r="H15" s="459" t="s">
        <v>243</v>
      </c>
      <c r="I15" s="459"/>
      <c r="J15" s="459">
        <v>16</v>
      </c>
      <c r="K15" s="459"/>
      <c r="L15" s="459"/>
      <c r="M15" s="459"/>
      <c r="N15" s="459"/>
      <c r="O15" s="459"/>
      <c r="P15" s="459"/>
      <c r="Q15" s="130"/>
      <c r="R15" s="186"/>
      <c r="S15" s="186"/>
      <c r="T15" s="186" t="s">
        <v>1190</v>
      </c>
      <c r="U15" s="186"/>
      <c r="V15" s="186"/>
      <c r="W15" s="186"/>
    </row>
    <row r="16" spans="5:28" ht="15" hidden="1" customHeight="1">
      <c r="E16" s="186" t="s">
        <v>53</v>
      </c>
      <c r="F16" s="459" t="s">
        <v>1193</v>
      </c>
      <c r="G16" s="459" t="s">
        <v>247</v>
      </c>
      <c r="H16" s="459" t="s">
        <v>243</v>
      </c>
      <c r="I16" s="459"/>
      <c r="J16" s="459">
        <v>17</v>
      </c>
      <c r="K16" s="459"/>
      <c r="L16" s="459"/>
      <c r="M16" s="459"/>
      <c r="N16" s="459"/>
      <c r="O16" s="459"/>
      <c r="P16" s="459"/>
      <c r="Q16" s="130"/>
      <c r="R16" s="186"/>
      <c r="S16" s="186"/>
      <c r="T16" s="186" t="s">
        <v>1190</v>
      </c>
      <c r="U16" s="186"/>
      <c r="V16" s="186"/>
      <c r="W16" s="186"/>
    </row>
    <row r="17" spans="1:28" ht="15" hidden="1" customHeight="1">
      <c r="E17" s="186" t="s">
        <v>53</v>
      </c>
      <c r="F17" s="459" t="s">
        <v>1194</v>
      </c>
      <c r="G17" s="459" t="s">
        <v>252</v>
      </c>
      <c r="H17" s="459" t="s">
        <v>243</v>
      </c>
      <c r="I17" s="459"/>
      <c r="J17" s="459">
        <v>18</v>
      </c>
      <c r="K17" s="459"/>
      <c r="L17" s="459"/>
      <c r="M17" s="459"/>
      <c r="N17" s="459"/>
      <c r="O17" s="459"/>
      <c r="P17" s="459"/>
      <c r="Q17" s="130"/>
      <c r="R17" s="186"/>
      <c r="S17" s="186"/>
      <c r="T17" s="186" t="s">
        <v>1190</v>
      </c>
      <c r="U17" s="186"/>
      <c r="V17" s="186"/>
      <c r="W17" s="186"/>
    </row>
    <row r="18" spans="1:28" ht="15" hidden="1" customHeight="1">
      <c r="E18" s="186" t="s">
        <v>53</v>
      </c>
      <c r="F18" s="459" t="s">
        <v>1195</v>
      </c>
      <c r="G18" s="459" t="s">
        <v>247</v>
      </c>
      <c r="H18" s="459" t="s">
        <v>243</v>
      </c>
      <c r="I18" s="459"/>
      <c r="J18" s="459">
        <v>19</v>
      </c>
      <c r="K18" s="459"/>
      <c r="L18" s="459"/>
      <c r="M18" s="459"/>
      <c r="N18" s="459"/>
      <c r="O18" s="459"/>
      <c r="P18" s="459"/>
      <c r="Q18" s="130"/>
      <c r="R18" s="186"/>
      <c r="S18" s="186"/>
      <c r="T18" s="186" t="s">
        <v>1190</v>
      </c>
      <c r="U18" s="186"/>
      <c r="V18" s="186"/>
      <c r="W18" s="186"/>
    </row>
    <row r="19" spans="1:28" ht="13.5" hidden="1" customHeight="1">
      <c r="E19" s="186" t="s">
        <v>53</v>
      </c>
      <c r="F19" s="459" t="s">
        <v>1196</v>
      </c>
      <c r="G19" s="459" t="s">
        <v>535</v>
      </c>
      <c r="H19" s="459" t="s">
        <v>903</v>
      </c>
      <c r="I19" s="459"/>
      <c r="J19" s="459">
        <v>20</v>
      </c>
      <c r="K19" s="459"/>
      <c r="L19" s="459"/>
      <c r="M19" s="459"/>
      <c r="N19" s="459"/>
      <c r="O19" s="459"/>
      <c r="P19" s="459"/>
      <c r="Q19" s="130"/>
      <c r="R19" s="186"/>
      <c r="S19" s="186"/>
      <c r="T19" s="186" t="s">
        <v>1190</v>
      </c>
      <c r="U19" s="186"/>
      <c r="V19" s="186"/>
      <c r="W19" s="186"/>
    </row>
    <row r="20" spans="1:28" ht="13.5" hidden="1" customHeight="1">
      <c r="E20" s="459" t="s">
        <v>55</v>
      </c>
      <c r="F20" s="459" t="s">
        <v>3416</v>
      </c>
      <c r="G20" s="459" t="s">
        <v>324</v>
      </c>
      <c r="H20" s="459" t="s">
        <v>243</v>
      </c>
      <c r="I20" s="459"/>
      <c r="J20" s="459">
        <v>21</v>
      </c>
      <c r="K20" s="459"/>
      <c r="L20" s="459"/>
      <c r="M20" s="459"/>
      <c r="N20" s="459"/>
      <c r="O20" s="459"/>
      <c r="P20" s="459"/>
      <c r="Q20" s="130"/>
      <c r="R20" s="186"/>
      <c r="S20" s="186"/>
      <c r="T20" s="186" t="s">
        <v>3733</v>
      </c>
      <c r="U20" s="186"/>
      <c r="V20" s="186"/>
      <c r="W20" s="186"/>
      <c r="X20" s="5"/>
      <c r="Y20" s="5"/>
      <c r="Z20" s="5"/>
      <c r="AA20" s="5"/>
      <c r="AB20" s="70"/>
    </row>
    <row r="21" spans="1:28" ht="13.5" hidden="1" customHeight="1">
      <c r="E21" s="459" t="s">
        <v>55</v>
      </c>
      <c r="F21" s="459" t="s">
        <v>3734</v>
      </c>
      <c r="G21" s="459" t="s">
        <v>3735</v>
      </c>
      <c r="H21" s="459" t="s">
        <v>243</v>
      </c>
      <c r="I21" s="459"/>
      <c r="J21" s="459">
        <v>82</v>
      </c>
      <c r="K21" s="459"/>
      <c r="L21" s="459"/>
      <c r="M21" s="459"/>
      <c r="N21" s="459"/>
      <c r="O21" s="459"/>
      <c r="P21" s="459"/>
      <c r="Q21" s="130"/>
      <c r="R21" s="130"/>
      <c r="S21" s="130"/>
      <c r="T21" s="130" t="s">
        <v>3736</v>
      </c>
      <c r="U21" s="130"/>
      <c r="V21" s="130"/>
      <c r="W21" s="130"/>
    </row>
    <row r="22" spans="1:28" ht="15" hidden="1" customHeight="1">
      <c r="E22" s="459" t="s">
        <v>55</v>
      </c>
      <c r="F22" s="459" t="s">
        <v>938</v>
      </c>
      <c r="G22" s="459" t="s">
        <v>255</v>
      </c>
      <c r="H22" s="459" t="s">
        <v>243</v>
      </c>
      <c r="I22" s="459"/>
      <c r="J22" s="459">
        <v>22</v>
      </c>
      <c r="K22" s="459"/>
      <c r="L22" s="459"/>
      <c r="M22" s="459"/>
      <c r="N22" s="459"/>
      <c r="O22" s="459"/>
      <c r="P22" s="459"/>
      <c r="Q22" s="130"/>
      <c r="R22" s="130"/>
      <c r="S22" s="130"/>
      <c r="T22" s="130" t="s">
        <v>3420</v>
      </c>
      <c r="U22" s="130"/>
      <c r="V22" s="130"/>
      <c r="W22" s="130"/>
    </row>
    <row r="23" spans="1:28" ht="15" hidden="1" customHeight="1">
      <c r="E23" s="459" t="s">
        <v>55</v>
      </c>
      <c r="F23" s="459" t="s">
        <v>3422</v>
      </c>
      <c r="G23" s="459" t="s">
        <v>324</v>
      </c>
      <c r="H23" s="459" t="s">
        <v>243</v>
      </c>
      <c r="I23" s="459"/>
      <c r="J23" s="459">
        <v>23</v>
      </c>
      <c r="K23" s="459"/>
      <c r="L23" s="459"/>
      <c r="M23" s="459"/>
      <c r="N23" s="459"/>
      <c r="O23" s="459"/>
      <c r="P23" s="459"/>
      <c r="Q23" s="130"/>
      <c r="R23" s="130"/>
      <c r="S23" s="130"/>
      <c r="T23" s="130"/>
      <c r="U23" s="130"/>
      <c r="V23" s="130"/>
      <c r="W23" s="130"/>
    </row>
    <row r="24" spans="1:28" ht="15" customHeight="1">
      <c r="B24" s="441"/>
      <c r="C24" s="441"/>
      <c r="D24" s="441"/>
      <c r="E24" s="441" t="s">
        <v>55</v>
      </c>
      <c r="F24" s="441" t="s">
        <v>924</v>
      </c>
      <c r="G24" s="441" t="s">
        <v>925</v>
      </c>
      <c r="H24" s="441" t="s">
        <v>243</v>
      </c>
      <c r="I24" s="441"/>
      <c r="J24" s="441">
        <v>24</v>
      </c>
      <c r="K24" s="459" t="s">
        <v>682</v>
      </c>
      <c r="L24" s="130" t="s">
        <v>3677</v>
      </c>
      <c r="M24" s="441" t="s">
        <v>973</v>
      </c>
      <c r="N24" s="441"/>
      <c r="O24" s="441"/>
      <c r="P24" s="441"/>
      <c r="Q24" s="441"/>
      <c r="R24" s="441"/>
      <c r="S24" s="441"/>
      <c r="T24" s="441" t="s">
        <v>3737</v>
      </c>
      <c r="U24" s="441"/>
      <c r="V24" s="441"/>
      <c r="W24" s="441"/>
      <c r="X24" s="441">
        <v>16</v>
      </c>
      <c r="Y24" s="441"/>
      <c r="Z24" s="441" t="s">
        <v>1197</v>
      </c>
      <c r="AA24" s="146">
        <v>43607</v>
      </c>
      <c r="AB24" s="441" t="s">
        <v>3722</v>
      </c>
    </row>
    <row r="25" spans="1:28" ht="15" hidden="1" customHeight="1">
      <c r="E25" s="459" t="s">
        <v>55</v>
      </c>
      <c r="F25" s="459" t="s">
        <v>3738</v>
      </c>
      <c r="G25" s="459" t="s">
        <v>324</v>
      </c>
      <c r="H25" s="459" t="s">
        <v>243</v>
      </c>
      <c r="I25" s="459"/>
      <c r="J25" s="459">
        <v>79</v>
      </c>
      <c r="K25" s="459"/>
      <c r="L25" s="459"/>
      <c r="M25" s="459"/>
      <c r="N25" s="459"/>
      <c r="O25" s="459"/>
      <c r="P25" s="459"/>
      <c r="Q25" s="130"/>
      <c r="R25" s="130"/>
      <c r="S25" s="130"/>
      <c r="T25" s="130" t="s">
        <v>3739</v>
      </c>
      <c r="U25" s="130"/>
      <c r="V25" s="130"/>
      <c r="W25" s="130"/>
    </row>
    <row r="26" spans="1:28" ht="15" hidden="1" customHeight="1">
      <c r="E26" s="459" t="s">
        <v>55</v>
      </c>
      <c r="F26" s="459" t="s">
        <v>3740</v>
      </c>
      <c r="G26" s="459" t="s">
        <v>535</v>
      </c>
      <c r="H26" s="459" t="s">
        <v>243</v>
      </c>
      <c r="I26" s="459"/>
      <c r="J26" s="459">
        <v>75</v>
      </c>
      <c r="K26" s="459"/>
      <c r="L26" s="459"/>
      <c r="M26" s="459"/>
      <c r="N26" s="459"/>
      <c r="O26" s="459"/>
      <c r="P26" s="459"/>
      <c r="Q26" s="130"/>
      <c r="R26" s="130"/>
      <c r="S26" s="130"/>
      <c r="T26" s="130" t="s">
        <v>3741</v>
      </c>
      <c r="U26" s="130"/>
      <c r="V26" s="130"/>
      <c r="W26" s="130"/>
    </row>
    <row r="27" spans="1:28" ht="15" customHeight="1">
      <c r="A27" s="441"/>
      <c r="B27" s="441"/>
      <c r="C27" s="441"/>
      <c r="D27" s="441"/>
      <c r="E27" s="441" t="s">
        <v>55</v>
      </c>
      <c r="F27" s="441" t="s">
        <v>1032</v>
      </c>
      <c r="G27" s="441" t="s">
        <v>535</v>
      </c>
      <c r="H27" s="441" t="s">
        <v>243</v>
      </c>
      <c r="I27" s="441"/>
      <c r="J27" s="441">
        <v>76</v>
      </c>
      <c r="K27" s="459" t="s">
        <v>682</v>
      </c>
      <c r="L27" s="130" t="s">
        <v>3677</v>
      </c>
      <c r="M27" s="441" t="s">
        <v>983</v>
      </c>
      <c r="N27" s="441"/>
      <c r="O27" s="441"/>
      <c r="P27" s="441"/>
      <c r="Q27" s="441"/>
      <c r="R27" s="441"/>
      <c r="S27" s="441"/>
      <c r="T27" s="441" t="s">
        <v>3743</v>
      </c>
      <c r="U27" s="441"/>
      <c r="V27" s="441"/>
      <c r="W27" s="441"/>
      <c r="X27" s="441">
        <v>19</v>
      </c>
      <c r="Y27" s="441"/>
      <c r="Z27" s="441" t="s">
        <v>1197</v>
      </c>
      <c r="AA27" s="146">
        <v>43607</v>
      </c>
      <c r="AB27" s="441" t="s">
        <v>3722</v>
      </c>
    </row>
    <row r="28" spans="1:28" ht="15" hidden="1" customHeight="1">
      <c r="E28" s="459" t="s">
        <v>55</v>
      </c>
      <c r="F28" s="459" t="s">
        <v>1032</v>
      </c>
      <c r="G28" s="459" t="s">
        <v>535</v>
      </c>
      <c r="H28" s="459" t="s">
        <v>243</v>
      </c>
      <c r="I28" s="459"/>
      <c r="J28" s="459">
        <v>76</v>
      </c>
      <c r="K28" s="459"/>
      <c r="L28" s="459"/>
      <c r="M28" s="459"/>
      <c r="N28" s="459"/>
      <c r="O28" s="459"/>
      <c r="P28" s="459"/>
      <c r="Q28" s="130"/>
      <c r="R28" s="130"/>
      <c r="S28" s="130"/>
      <c r="T28" s="130" t="s">
        <v>3743</v>
      </c>
      <c r="U28" s="130"/>
      <c r="V28" s="130"/>
      <c r="W28" s="130"/>
    </row>
    <row r="29" spans="1:28" ht="15" hidden="1" customHeight="1">
      <c r="E29" s="459" t="s">
        <v>55</v>
      </c>
      <c r="F29" s="459" t="s">
        <v>3433</v>
      </c>
      <c r="G29" s="459" t="s">
        <v>324</v>
      </c>
      <c r="H29" s="459" t="s">
        <v>243</v>
      </c>
      <c r="I29" s="459"/>
      <c r="J29" s="459">
        <v>25</v>
      </c>
      <c r="K29" s="459"/>
      <c r="L29" s="130"/>
      <c r="M29" s="459"/>
      <c r="N29" s="459"/>
      <c r="O29" s="459"/>
      <c r="P29" s="459"/>
      <c r="Q29" s="130"/>
      <c r="R29" s="130"/>
      <c r="S29" s="130"/>
      <c r="T29" s="130" t="s">
        <v>3745</v>
      </c>
      <c r="U29" s="130"/>
      <c r="V29" s="130"/>
      <c r="W29" s="130"/>
    </row>
    <row r="30" spans="1:28" ht="15" hidden="1" customHeight="1">
      <c r="E30" s="459" t="s">
        <v>55</v>
      </c>
      <c r="F30" s="459" t="s">
        <v>3435</v>
      </c>
      <c r="G30" s="459" t="s">
        <v>324</v>
      </c>
      <c r="H30" s="459" t="s">
        <v>243</v>
      </c>
      <c r="I30" s="459"/>
      <c r="J30" s="459">
        <v>26</v>
      </c>
      <c r="K30" s="459"/>
      <c r="L30" s="459"/>
      <c r="M30" s="459"/>
      <c r="N30" s="459"/>
      <c r="O30" s="459"/>
      <c r="P30" s="459"/>
      <c r="Q30" s="130"/>
      <c r="R30" s="130"/>
      <c r="S30" s="130"/>
      <c r="T30" s="130" t="s">
        <v>3746</v>
      </c>
      <c r="U30" s="130"/>
      <c r="V30" s="130"/>
      <c r="W30" s="130"/>
    </row>
    <row r="31" spans="1:28" ht="15" customHeight="1">
      <c r="E31" s="459" t="s">
        <v>59</v>
      </c>
      <c r="F31" s="459" t="s">
        <v>950</v>
      </c>
      <c r="G31" s="459" t="s">
        <v>324</v>
      </c>
      <c r="H31" s="459" t="s">
        <v>243</v>
      </c>
      <c r="I31" s="459"/>
      <c r="J31" s="459">
        <v>27</v>
      </c>
      <c r="K31" s="459" t="s">
        <v>682</v>
      </c>
      <c r="L31" s="130" t="s">
        <v>3677</v>
      </c>
      <c r="M31" s="459" t="s">
        <v>964</v>
      </c>
      <c r="N31" s="459"/>
      <c r="O31" s="459"/>
      <c r="P31" s="459"/>
      <c r="Q31" s="130"/>
      <c r="R31" s="130"/>
      <c r="S31" s="130"/>
      <c r="T31" s="130" t="s">
        <v>3747</v>
      </c>
      <c r="U31" s="130"/>
      <c r="V31" s="130"/>
      <c r="W31" s="130"/>
      <c r="X31" s="5">
        <v>8</v>
      </c>
      <c r="Y31" s="5"/>
      <c r="Z31" s="120" t="s">
        <v>3748</v>
      </c>
      <c r="AA31" s="131">
        <v>43418</v>
      </c>
      <c r="AB31" s="187" t="s">
        <v>3749</v>
      </c>
    </row>
    <row r="32" spans="1:28" ht="15" hidden="1" customHeight="1">
      <c r="E32" s="459" t="s">
        <v>55</v>
      </c>
      <c r="F32" s="459" t="s">
        <v>3443</v>
      </c>
      <c r="G32" s="459" t="s">
        <v>324</v>
      </c>
      <c r="H32" s="459" t="s">
        <v>243</v>
      </c>
      <c r="I32" s="459"/>
      <c r="J32" s="459">
        <v>28</v>
      </c>
      <c r="K32" s="459"/>
      <c r="L32" s="459"/>
      <c r="M32" s="459"/>
      <c r="N32" s="459"/>
      <c r="O32" s="459"/>
      <c r="P32" s="459"/>
      <c r="Q32" s="130"/>
      <c r="R32" s="130"/>
      <c r="S32" s="130"/>
      <c r="T32" s="130" t="s">
        <v>3750</v>
      </c>
      <c r="U32" s="130"/>
      <c r="V32" s="130"/>
      <c r="W32" s="130"/>
    </row>
    <row r="33" spans="5:28" ht="15" hidden="1" customHeight="1">
      <c r="E33" s="459" t="s">
        <v>55</v>
      </c>
      <c r="F33" s="459" t="s">
        <v>3445</v>
      </c>
      <c r="G33" s="459" t="s">
        <v>324</v>
      </c>
      <c r="H33" s="459" t="s">
        <v>243</v>
      </c>
      <c r="I33" s="459"/>
      <c r="J33" s="459">
        <v>29</v>
      </c>
      <c r="K33" s="459"/>
      <c r="L33" s="459"/>
      <c r="M33" s="459"/>
      <c r="N33" s="459"/>
      <c r="O33" s="459"/>
      <c r="P33" s="459"/>
      <c r="Q33" s="130"/>
      <c r="R33" s="130"/>
      <c r="S33" s="130"/>
      <c r="T33" s="130" t="s">
        <v>3751</v>
      </c>
      <c r="U33" s="130"/>
      <c r="V33" s="130"/>
      <c r="W33" s="130"/>
    </row>
    <row r="34" spans="5:28" ht="15" hidden="1" customHeight="1">
      <c r="E34" s="459" t="s">
        <v>55</v>
      </c>
      <c r="F34" s="459" t="s">
        <v>1031</v>
      </c>
      <c r="G34" s="459" t="s">
        <v>249</v>
      </c>
      <c r="H34" s="459" t="s">
        <v>243</v>
      </c>
      <c r="I34" s="459"/>
      <c r="J34" s="459">
        <v>30</v>
      </c>
      <c r="K34" s="459"/>
      <c r="L34" s="130"/>
      <c r="M34" s="459"/>
      <c r="N34" s="459"/>
      <c r="O34" s="459"/>
      <c r="P34" s="459"/>
      <c r="Q34" s="130"/>
      <c r="R34" s="130"/>
      <c r="S34" s="130"/>
      <c r="T34" s="130" t="s">
        <v>3753</v>
      </c>
      <c r="U34" s="130"/>
      <c r="V34" s="130"/>
      <c r="W34" s="130"/>
      <c r="X34" s="5">
        <v>15</v>
      </c>
      <c r="Y34" s="5"/>
      <c r="Z34" s="34" t="s">
        <v>1521</v>
      </c>
      <c r="AA34" s="131">
        <v>43538</v>
      </c>
      <c r="AB34" s="129" t="s">
        <v>3722</v>
      </c>
    </row>
    <row r="35" spans="5:28" ht="15" hidden="1" customHeight="1">
      <c r="E35" s="459" t="s">
        <v>55</v>
      </c>
      <c r="F35" s="459" t="s">
        <v>3754</v>
      </c>
      <c r="G35" s="459" t="s">
        <v>249</v>
      </c>
      <c r="H35" s="459" t="s">
        <v>243</v>
      </c>
      <c r="I35" s="459"/>
      <c r="J35" s="459">
        <v>87</v>
      </c>
      <c r="K35" s="459"/>
      <c r="L35" s="459"/>
      <c r="M35" s="459"/>
      <c r="N35" s="459"/>
      <c r="O35" s="459"/>
      <c r="P35" s="459"/>
      <c r="Q35" s="130"/>
      <c r="R35" s="130"/>
      <c r="S35" s="130"/>
      <c r="T35" s="130" t="s">
        <v>3755</v>
      </c>
      <c r="U35" s="130"/>
      <c r="V35" s="130"/>
      <c r="W35" s="130"/>
    </row>
    <row r="36" spans="5:28" ht="15" customHeight="1">
      <c r="E36" s="459" t="s">
        <v>61</v>
      </c>
      <c r="F36" s="459" t="s">
        <v>914</v>
      </c>
      <c r="G36" s="459" t="s">
        <v>247</v>
      </c>
      <c r="H36" s="459" t="s">
        <v>243</v>
      </c>
      <c r="I36" s="459"/>
      <c r="J36" s="459">
        <v>31</v>
      </c>
      <c r="K36" s="459" t="s">
        <v>682</v>
      </c>
      <c r="L36" s="130" t="s">
        <v>3677</v>
      </c>
      <c r="M36" s="459" t="s">
        <v>965</v>
      </c>
      <c r="N36" s="459"/>
      <c r="O36" s="459"/>
      <c r="P36" s="459"/>
      <c r="Q36" s="130"/>
      <c r="R36" s="130"/>
      <c r="S36" s="130"/>
      <c r="T36" s="130" t="s">
        <v>3459</v>
      </c>
      <c r="U36" s="130"/>
      <c r="V36" s="130"/>
      <c r="W36" s="130"/>
      <c r="X36" s="5">
        <v>2</v>
      </c>
      <c r="Y36" s="5"/>
      <c r="Z36" s="120" t="s">
        <v>3748</v>
      </c>
      <c r="AA36" s="131">
        <v>43418</v>
      </c>
      <c r="AB36" s="187" t="s">
        <v>1057</v>
      </c>
    </row>
    <row r="37" spans="5:28" ht="15" hidden="1" customHeight="1">
      <c r="E37" s="459" t="s">
        <v>55</v>
      </c>
      <c r="F37" s="459" t="s">
        <v>3460</v>
      </c>
      <c r="G37" s="459" t="s">
        <v>255</v>
      </c>
      <c r="H37" s="459" t="s">
        <v>243</v>
      </c>
      <c r="I37" s="459"/>
      <c r="J37" s="459">
        <v>32</v>
      </c>
      <c r="K37" s="459"/>
      <c r="L37" s="459"/>
      <c r="M37" s="459"/>
      <c r="N37" s="459"/>
      <c r="O37" s="459"/>
      <c r="P37" s="459"/>
      <c r="Q37" s="130"/>
      <c r="R37" s="130"/>
      <c r="S37" s="130"/>
      <c r="T37" s="130" t="s">
        <v>3756</v>
      </c>
      <c r="U37" s="130"/>
      <c r="V37" s="130"/>
      <c r="W37" s="130"/>
    </row>
    <row r="38" spans="5:28" ht="15" hidden="1" customHeight="1">
      <c r="E38" s="459" t="s">
        <v>55</v>
      </c>
      <c r="F38" s="459" t="s">
        <v>3462</v>
      </c>
      <c r="G38" s="459" t="s">
        <v>255</v>
      </c>
      <c r="H38" s="459" t="s">
        <v>243</v>
      </c>
      <c r="I38" s="459"/>
      <c r="J38" s="459">
        <v>33</v>
      </c>
      <c r="K38" s="459"/>
      <c r="L38" s="459"/>
      <c r="M38" s="459"/>
      <c r="N38" s="459"/>
      <c r="O38" s="459"/>
      <c r="P38" s="459"/>
      <c r="Q38" s="130"/>
      <c r="R38" s="130"/>
      <c r="S38" s="130"/>
      <c r="T38" s="130" t="s">
        <v>3757</v>
      </c>
      <c r="U38" s="130"/>
      <c r="V38" s="130"/>
      <c r="W38" s="130"/>
    </row>
    <row r="39" spans="5:28" ht="15" customHeight="1">
      <c r="E39" s="459" t="s">
        <v>61</v>
      </c>
      <c r="F39" s="459" t="s">
        <v>174</v>
      </c>
      <c r="G39" s="459" t="s">
        <v>909</v>
      </c>
      <c r="H39" s="459" t="s">
        <v>243</v>
      </c>
      <c r="I39" s="459"/>
      <c r="J39" s="459">
        <v>34</v>
      </c>
      <c r="K39" s="459" t="s">
        <v>682</v>
      </c>
      <c r="L39" s="130" t="s">
        <v>3677</v>
      </c>
      <c r="M39" s="459" t="s">
        <v>3841</v>
      </c>
      <c r="N39" s="459"/>
      <c r="O39" s="459"/>
      <c r="P39" s="459"/>
      <c r="Q39" s="130"/>
      <c r="R39" s="130"/>
      <c r="S39" s="130"/>
      <c r="T39" s="130" t="s">
        <v>3758</v>
      </c>
      <c r="U39" s="130"/>
      <c r="V39" s="130"/>
      <c r="W39" s="130"/>
      <c r="X39" s="5">
        <v>2</v>
      </c>
      <c r="Y39" s="5"/>
      <c r="Z39" s="120" t="s">
        <v>3748</v>
      </c>
      <c r="AA39" s="131">
        <v>43418</v>
      </c>
      <c r="AB39" s="187" t="s">
        <v>3749</v>
      </c>
    </row>
    <row r="40" spans="5:28" ht="15" hidden="1" customHeight="1">
      <c r="E40" s="459" t="s">
        <v>55</v>
      </c>
      <c r="F40" s="459" t="s">
        <v>3759</v>
      </c>
      <c r="G40" s="459" t="s">
        <v>535</v>
      </c>
      <c r="H40" s="459" t="s">
        <v>243</v>
      </c>
      <c r="I40" s="459"/>
      <c r="J40" s="459">
        <v>77</v>
      </c>
      <c r="K40" s="459"/>
      <c r="L40" s="459"/>
      <c r="M40" s="459"/>
      <c r="N40" s="459"/>
      <c r="O40" s="459"/>
      <c r="P40" s="459"/>
      <c r="Q40" s="130"/>
      <c r="R40" s="130"/>
      <c r="S40" s="130"/>
      <c r="T40" s="130" t="s">
        <v>3760</v>
      </c>
      <c r="U40" s="130"/>
      <c r="V40" s="130"/>
      <c r="W40" s="130"/>
    </row>
    <row r="41" spans="5:28" ht="15" hidden="1" customHeight="1">
      <c r="E41" s="459" t="s">
        <v>55</v>
      </c>
      <c r="F41" s="459" t="s">
        <v>3761</v>
      </c>
      <c r="G41" s="459" t="s">
        <v>324</v>
      </c>
      <c r="H41" s="459" t="s">
        <v>243</v>
      </c>
      <c r="I41" s="459"/>
      <c r="J41" s="459">
        <v>35</v>
      </c>
      <c r="K41" s="459"/>
      <c r="L41" s="459"/>
      <c r="M41" s="459"/>
      <c r="N41" s="459"/>
      <c r="O41" s="459"/>
      <c r="P41" s="459"/>
      <c r="Q41" s="130"/>
      <c r="R41" s="130"/>
      <c r="S41" s="130"/>
      <c r="T41" s="130" t="s">
        <v>3762</v>
      </c>
      <c r="U41" s="130"/>
      <c r="V41" s="130"/>
      <c r="W41" s="130"/>
    </row>
    <row r="42" spans="5:28" ht="15" hidden="1" customHeight="1">
      <c r="E42" s="459" t="s">
        <v>55</v>
      </c>
      <c r="F42" s="459" t="s">
        <v>3470</v>
      </c>
      <c r="G42" s="459" t="s">
        <v>324</v>
      </c>
      <c r="H42" s="459" t="s">
        <v>243</v>
      </c>
      <c r="I42" s="459"/>
      <c r="J42" s="459">
        <v>36</v>
      </c>
      <c r="K42" s="459"/>
      <c r="L42" s="459"/>
      <c r="M42" s="459"/>
      <c r="N42" s="459"/>
      <c r="O42" s="459"/>
      <c r="P42" s="459"/>
      <c r="Q42" s="130"/>
      <c r="R42" s="130"/>
      <c r="S42" s="130"/>
      <c r="T42" s="130" t="s">
        <v>3763</v>
      </c>
      <c r="U42" s="130"/>
      <c r="V42" s="130"/>
      <c r="W42" s="130"/>
    </row>
    <row r="43" spans="5:28" ht="15" hidden="1" customHeight="1">
      <c r="E43" s="459" t="s">
        <v>55</v>
      </c>
      <c r="F43" s="459" t="s">
        <v>940</v>
      </c>
      <c r="G43" s="459" t="s">
        <v>941</v>
      </c>
      <c r="H43" s="459" t="s">
        <v>243</v>
      </c>
      <c r="I43" s="459"/>
      <c r="J43" s="459">
        <v>37</v>
      </c>
      <c r="K43" s="459"/>
      <c r="L43" s="459"/>
      <c r="M43" s="459"/>
      <c r="N43" s="459"/>
      <c r="O43" s="459"/>
      <c r="P43" s="459"/>
      <c r="Q43" s="130"/>
      <c r="R43" s="130"/>
      <c r="S43" s="130"/>
      <c r="T43" s="130" t="s">
        <v>3764</v>
      </c>
      <c r="U43" s="130"/>
      <c r="V43" s="130"/>
      <c r="W43" s="130"/>
    </row>
    <row r="44" spans="5:28" ht="15" hidden="1" customHeight="1">
      <c r="E44" s="186" t="s">
        <v>63</v>
      </c>
      <c r="F44" s="459" t="s">
        <v>124</v>
      </c>
      <c r="G44" s="459" t="s">
        <v>535</v>
      </c>
      <c r="H44" s="459" t="s">
        <v>903</v>
      </c>
      <c r="I44" s="459"/>
      <c r="J44" s="459">
        <v>1</v>
      </c>
      <c r="K44" s="459"/>
      <c r="L44" s="459"/>
      <c r="M44" s="459"/>
      <c r="N44" s="459"/>
      <c r="O44" s="459"/>
      <c r="P44" s="459"/>
      <c r="Q44" s="130"/>
      <c r="R44" s="186"/>
      <c r="S44" s="186"/>
      <c r="T44" s="186" t="s">
        <v>1190</v>
      </c>
      <c r="U44" s="186"/>
      <c r="V44" s="186"/>
      <c r="W44" s="186"/>
    </row>
    <row r="45" spans="5:28" ht="15" hidden="1" customHeight="1">
      <c r="E45" s="459" t="s">
        <v>55</v>
      </c>
      <c r="F45" s="459" t="s">
        <v>3765</v>
      </c>
      <c r="G45" s="459" t="s">
        <v>589</v>
      </c>
      <c r="H45" s="459" t="s">
        <v>243</v>
      </c>
      <c r="I45" s="459"/>
      <c r="J45" s="459">
        <v>38</v>
      </c>
      <c r="K45" s="459"/>
      <c r="L45" s="130"/>
      <c r="M45" s="459"/>
      <c r="N45" s="459"/>
      <c r="O45" s="459"/>
      <c r="P45" s="459"/>
      <c r="Q45" s="130"/>
      <c r="R45" s="130"/>
      <c r="S45" s="130"/>
      <c r="T45" s="130" t="s">
        <v>3767</v>
      </c>
      <c r="U45" s="130"/>
      <c r="V45" s="130"/>
      <c r="W45" s="130"/>
    </row>
    <row r="46" spans="5:28" ht="12.5" hidden="1">
      <c r="E46" s="459" t="s">
        <v>55</v>
      </c>
      <c r="F46" s="459" t="s">
        <v>3768</v>
      </c>
      <c r="G46" s="459" t="s">
        <v>535</v>
      </c>
      <c r="H46" s="459" t="s">
        <v>243</v>
      </c>
      <c r="I46" s="459"/>
      <c r="J46" s="459">
        <v>86</v>
      </c>
      <c r="K46" s="459"/>
      <c r="L46" s="130"/>
      <c r="M46" s="459"/>
      <c r="N46" s="459"/>
      <c r="O46" s="459"/>
      <c r="P46" s="459"/>
      <c r="Q46" s="130"/>
      <c r="R46" s="130"/>
      <c r="S46" s="130"/>
      <c r="T46" s="130" t="s">
        <v>3770</v>
      </c>
      <c r="U46" s="130"/>
      <c r="V46" s="130"/>
      <c r="W46" s="130"/>
    </row>
    <row r="47" spans="5:28" ht="15" hidden="1" customHeight="1">
      <c r="E47" s="459" t="s">
        <v>55</v>
      </c>
      <c r="F47" s="459" t="s">
        <v>3771</v>
      </c>
      <c r="G47" s="459" t="s">
        <v>264</v>
      </c>
      <c r="H47" s="459" t="s">
        <v>243</v>
      </c>
      <c r="I47" s="459"/>
      <c r="J47" s="459"/>
      <c r="K47" s="459"/>
      <c r="L47" s="459"/>
      <c r="M47" s="459"/>
      <c r="N47" s="459"/>
      <c r="O47" s="459"/>
      <c r="P47" s="459"/>
      <c r="Q47" s="130"/>
      <c r="R47" s="130"/>
      <c r="S47" s="130"/>
      <c r="T47" s="130" t="s">
        <v>3772</v>
      </c>
      <c r="U47" s="130"/>
      <c r="V47" s="130"/>
      <c r="W47" s="130"/>
    </row>
    <row r="48" spans="5:28" ht="15" hidden="1" customHeight="1">
      <c r="E48" s="459" t="s">
        <v>55</v>
      </c>
      <c r="F48" s="459" t="s">
        <v>3773</v>
      </c>
      <c r="G48" s="459" t="s">
        <v>255</v>
      </c>
      <c r="H48" s="459" t="s">
        <v>243</v>
      </c>
      <c r="I48" s="459"/>
      <c r="J48" s="459">
        <v>78</v>
      </c>
      <c r="K48" s="459"/>
      <c r="L48" s="459"/>
      <c r="M48" s="459"/>
      <c r="N48" s="459"/>
      <c r="O48" s="459"/>
      <c r="P48" s="459"/>
      <c r="Q48" s="130"/>
      <c r="R48" s="130"/>
      <c r="S48" s="130"/>
      <c r="T48" s="130" t="s">
        <v>3774</v>
      </c>
      <c r="U48" s="130"/>
      <c r="V48" s="130"/>
      <c r="W48" s="130"/>
    </row>
    <row r="49" spans="1:28" ht="15" customHeight="1">
      <c r="E49" s="459" t="s">
        <v>61</v>
      </c>
      <c r="F49" s="459" t="s">
        <v>916</v>
      </c>
      <c r="G49" s="459" t="s">
        <v>247</v>
      </c>
      <c r="H49" s="459" t="s">
        <v>243</v>
      </c>
      <c r="I49" s="459"/>
      <c r="J49" s="459">
        <v>39</v>
      </c>
      <c r="K49" s="459" t="s">
        <v>682</v>
      </c>
      <c r="L49" s="130" t="s">
        <v>3677</v>
      </c>
      <c r="M49" s="459" t="s">
        <v>967</v>
      </c>
      <c r="N49" s="459"/>
      <c r="O49" s="459"/>
      <c r="P49" s="459"/>
      <c r="Q49" s="130"/>
      <c r="R49" s="130"/>
      <c r="S49" s="130"/>
      <c r="T49" s="130" t="s">
        <v>3481</v>
      </c>
      <c r="U49" s="130"/>
      <c r="V49" s="130"/>
      <c r="W49" s="130"/>
      <c r="X49" s="5">
        <v>4</v>
      </c>
      <c r="Y49" s="188"/>
      <c r="Z49" s="120" t="s">
        <v>3748</v>
      </c>
      <c r="AA49" s="131">
        <v>43418</v>
      </c>
      <c r="AB49" s="187" t="s">
        <v>3749</v>
      </c>
    </row>
    <row r="50" spans="1:28" ht="15" hidden="1" customHeight="1">
      <c r="E50" s="459" t="s">
        <v>55</v>
      </c>
      <c r="F50" s="459" t="s">
        <v>918</v>
      </c>
      <c r="G50" s="459" t="s">
        <v>919</v>
      </c>
      <c r="H50" s="459" t="s">
        <v>243</v>
      </c>
      <c r="I50" s="459"/>
      <c r="J50" s="459">
        <v>40</v>
      </c>
      <c r="K50" s="459"/>
      <c r="L50" s="130"/>
      <c r="M50" s="459"/>
      <c r="N50" s="459"/>
      <c r="O50" s="459"/>
      <c r="P50" s="459"/>
      <c r="Q50" s="130"/>
      <c r="R50" s="130"/>
      <c r="S50" s="130"/>
      <c r="T50" s="130" t="s">
        <v>3775</v>
      </c>
      <c r="U50" s="130"/>
      <c r="V50" s="130"/>
      <c r="W50" s="130"/>
    </row>
    <row r="51" spans="1:28" ht="15" hidden="1" customHeight="1">
      <c r="E51" s="459" t="s">
        <v>55</v>
      </c>
      <c r="F51" s="459" t="s">
        <v>3495</v>
      </c>
      <c r="G51" s="459" t="s">
        <v>324</v>
      </c>
      <c r="H51" s="459" t="s">
        <v>243</v>
      </c>
      <c r="I51" s="459"/>
      <c r="J51" s="459">
        <v>41</v>
      </c>
      <c r="K51" s="459"/>
      <c r="L51" s="459"/>
      <c r="M51" s="459"/>
      <c r="N51" s="459"/>
      <c r="O51" s="459"/>
      <c r="P51" s="459"/>
      <c r="Q51" s="130"/>
      <c r="R51" s="130"/>
      <c r="S51" s="130"/>
      <c r="T51" s="130"/>
      <c r="U51" s="130"/>
      <c r="V51" s="130"/>
      <c r="W51" s="130"/>
    </row>
    <row r="52" spans="1:28" ht="15" hidden="1" customHeight="1">
      <c r="E52" s="459" t="s">
        <v>55</v>
      </c>
      <c r="F52" s="459" t="s">
        <v>943</v>
      </c>
      <c r="G52" s="459" t="s">
        <v>247</v>
      </c>
      <c r="H52" s="459" t="s">
        <v>243</v>
      </c>
      <c r="I52" s="459"/>
      <c r="J52" s="459">
        <v>42</v>
      </c>
      <c r="K52" s="459"/>
      <c r="L52" s="130"/>
      <c r="M52" s="459"/>
      <c r="N52" s="459"/>
      <c r="O52" s="459"/>
      <c r="P52" s="459"/>
      <c r="Q52" s="130"/>
      <c r="R52" s="130"/>
      <c r="S52" s="130"/>
      <c r="T52" s="130" t="s">
        <v>3776</v>
      </c>
      <c r="U52" s="130"/>
      <c r="V52" s="130"/>
      <c r="W52" s="130"/>
    </row>
    <row r="53" spans="1:28" ht="15" hidden="1" customHeight="1">
      <c r="E53" s="459" t="s">
        <v>55</v>
      </c>
      <c r="F53" s="459" t="s">
        <v>3500</v>
      </c>
      <c r="G53" s="459" t="s">
        <v>3501</v>
      </c>
      <c r="H53" s="459" t="s">
        <v>243</v>
      </c>
      <c r="I53" s="459"/>
      <c r="J53" s="459">
        <v>43</v>
      </c>
      <c r="K53" s="459"/>
      <c r="L53" s="130"/>
      <c r="M53" s="459"/>
      <c r="N53" s="459"/>
      <c r="O53" s="459"/>
      <c r="P53" s="459"/>
      <c r="Q53" s="130"/>
      <c r="R53" s="130"/>
      <c r="S53" s="130"/>
      <c r="T53" s="130"/>
      <c r="U53" s="130"/>
      <c r="V53" s="130"/>
      <c r="W53" s="130"/>
    </row>
    <row r="54" spans="1:28" ht="15" customHeight="1">
      <c r="E54" s="459" t="s">
        <v>61</v>
      </c>
      <c r="F54" s="459" t="s">
        <v>1021</v>
      </c>
      <c r="G54" s="459" t="s">
        <v>324</v>
      </c>
      <c r="H54" s="459" t="s">
        <v>243</v>
      </c>
      <c r="I54" s="459"/>
      <c r="J54" s="459">
        <v>44</v>
      </c>
      <c r="K54" s="459" t="s">
        <v>682</v>
      </c>
      <c r="L54" s="130" t="s">
        <v>3677</v>
      </c>
      <c r="M54" s="459" t="s">
        <v>3842</v>
      </c>
      <c r="N54" s="459"/>
      <c r="O54" s="459"/>
      <c r="P54" s="459"/>
      <c r="Q54" s="130"/>
      <c r="R54" s="130" t="s">
        <v>3843</v>
      </c>
      <c r="S54" s="130"/>
      <c r="T54" s="130" t="s">
        <v>3778</v>
      </c>
      <c r="U54" s="130"/>
      <c r="V54" s="130"/>
      <c r="W54" s="130"/>
      <c r="X54" s="5">
        <v>5</v>
      </c>
      <c r="Y54" s="188"/>
      <c r="Z54" s="120" t="s">
        <v>3748</v>
      </c>
      <c r="AA54" s="131">
        <v>43418</v>
      </c>
      <c r="AB54" s="187" t="s">
        <v>1057</v>
      </c>
    </row>
    <row r="55" spans="1:28" ht="15" hidden="1" customHeight="1">
      <c r="E55" s="459" t="s">
        <v>59</v>
      </c>
      <c r="F55" s="459" t="s">
        <v>1028</v>
      </c>
      <c r="G55" s="459" t="s">
        <v>324</v>
      </c>
      <c r="H55" s="459" t="s">
        <v>243</v>
      </c>
      <c r="I55" s="459"/>
      <c r="J55" s="459">
        <v>45</v>
      </c>
      <c r="K55" s="459"/>
      <c r="L55" s="130"/>
      <c r="M55" s="459"/>
      <c r="N55" s="459"/>
      <c r="O55" s="459"/>
      <c r="P55" s="459"/>
      <c r="Q55" s="130"/>
      <c r="R55" s="130"/>
      <c r="S55" s="130"/>
      <c r="T55" s="130" t="s">
        <v>3779</v>
      </c>
      <c r="U55" s="130"/>
      <c r="V55" s="130"/>
      <c r="W55" s="130"/>
      <c r="X55" s="5">
        <v>11</v>
      </c>
      <c r="Y55" s="5"/>
      <c r="Z55" s="120" t="s">
        <v>3748</v>
      </c>
      <c r="AA55" s="131">
        <v>43418</v>
      </c>
      <c r="AB55" s="187" t="s">
        <v>1057</v>
      </c>
    </row>
    <row r="56" spans="1:28" ht="15" customHeight="1">
      <c r="E56" s="459" t="s">
        <v>59</v>
      </c>
      <c r="F56" s="459" t="s">
        <v>934</v>
      </c>
      <c r="G56" s="459" t="s">
        <v>249</v>
      </c>
      <c r="H56" s="459" t="s">
        <v>243</v>
      </c>
      <c r="I56" s="459"/>
      <c r="J56" s="459">
        <v>46</v>
      </c>
      <c r="K56" s="459" t="s">
        <v>682</v>
      </c>
      <c r="L56" s="130" t="s">
        <v>3677</v>
      </c>
      <c r="M56" s="459" t="s">
        <v>979</v>
      </c>
      <c r="N56" s="459"/>
      <c r="O56" s="459"/>
      <c r="P56" s="459"/>
      <c r="Q56" s="130"/>
      <c r="R56" s="130"/>
      <c r="S56" s="130"/>
      <c r="T56" s="130" t="s">
        <v>3781</v>
      </c>
      <c r="U56" s="130"/>
      <c r="V56" s="130"/>
      <c r="W56" s="130"/>
      <c r="X56" s="5">
        <v>14</v>
      </c>
      <c r="Y56" s="5"/>
      <c r="Z56" s="34" t="s">
        <v>1521</v>
      </c>
      <c r="AA56" s="131">
        <v>43538</v>
      </c>
      <c r="AB56" s="129" t="s">
        <v>3722</v>
      </c>
    </row>
    <row r="57" spans="1:28" ht="15" hidden="1" customHeight="1">
      <c r="E57" s="459" t="s">
        <v>55</v>
      </c>
      <c r="F57" s="459" t="s">
        <v>3364</v>
      </c>
      <c r="G57" s="459" t="s">
        <v>995</v>
      </c>
      <c r="H57" s="459" t="s">
        <v>243</v>
      </c>
      <c r="I57" s="459"/>
      <c r="J57" s="459">
        <v>47</v>
      </c>
      <c r="K57" s="459"/>
      <c r="L57" s="459"/>
      <c r="M57" s="459"/>
      <c r="N57" s="459"/>
      <c r="O57" s="459"/>
      <c r="P57" s="459"/>
      <c r="Q57" s="130"/>
      <c r="R57" s="130"/>
      <c r="S57" s="130"/>
      <c r="T57" s="130" t="s">
        <v>3782</v>
      </c>
      <c r="U57" s="130"/>
      <c r="V57" s="130"/>
      <c r="W57" s="130"/>
    </row>
    <row r="58" spans="1:28" ht="15" hidden="1" customHeight="1">
      <c r="E58" s="459" t="s">
        <v>55</v>
      </c>
      <c r="F58" s="459" t="s">
        <v>945</v>
      </c>
      <c r="G58" s="459" t="s">
        <v>249</v>
      </c>
      <c r="H58" s="459" t="s">
        <v>243</v>
      </c>
      <c r="I58" s="459"/>
      <c r="J58" s="459">
        <v>48</v>
      </c>
      <c r="K58" s="459"/>
      <c r="L58" s="459"/>
      <c r="M58" s="459"/>
      <c r="N58" s="459"/>
      <c r="O58" s="459"/>
      <c r="P58" s="459"/>
      <c r="Q58" s="130"/>
      <c r="R58" s="130"/>
      <c r="S58" s="130"/>
      <c r="T58" s="130" t="s">
        <v>3619</v>
      </c>
      <c r="U58" s="130"/>
      <c r="V58" s="130"/>
      <c r="W58" s="130"/>
    </row>
    <row r="59" spans="1:28" ht="15.75" hidden="1" customHeight="1">
      <c r="E59" s="459" t="s">
        <v>55</v>
      </c>
      <c r="F59" s="459" t="s">
        <v>3368</v>
      </c>
      <c r="G59" s="459" t="s">
        <v>995</v>
      </c>
      <c r="H59" s="459" t="s">
        <v>243</v>
      </c>
      <c r="I59" s="459"/>
      <c r="J59" s="459">
        <v>49</v>
      </c>
      <c r="K59" s="459"/>
      <c r="L59" s="459"/>
      <c r="M59" s="459"/>
      <c r="N59" s="459"/>
      <c r="O59" s="459"/>
      <c r="P59" s="459"/>
      <c r="Q59" s="130"/>
      <c r="R59" s="130"/>
      <c r="S59" s="130"/>
      <c r="T59" s="130" t="s">
        <v>3783</v>
      </c>
      <c r="U59" s="130"/>
      <c r="V59" s="130"/>
      <c r="W59" s="130"/>
    </row>
    <row r="60" spans="1:28" ht="15.75" hidden="1" customHeight="1">
      <c r="E60" s="459" t="s">
        <v>55</v>
      </c>
      <c r="F60" s="459" t="s">
        <v>992</v>
      </c>
      <c r="G60" s="459" t="s">
        <v>249</v>
      </c>
      <c r="H60" s="459" t="s">
        <v>243</v>
      </c>
      <c r="I60" s="459"/>
      <c r="J60" s="459">
        <v>80</v>
      </c>
      <c r="K60" s="459"/>
      <c r="L60" s="459"/>
      <c r="M60" s="459"/>
      <c r="N60" s="459"/>
      <c r="O60" s="459"/>
      <c r="P60" s="459"/>
      <c r="Q60" s="130"/>
      <c r="R60" s="130"/>
      <c r="S60" s="130"/>
      <c r="T60" s="130" t="s">
        <v>3620</v>
      </c>
      <c r="U60" s="130"/>
      <c r="V60" s="130"/>
      <c r="W60" s="130"/>
    </row>
    <row r="61" spans="1:28" ht="15.75" hidden="1" customHeight="1">
      <c r="E61" s="459" t="s">
        <v>55</v>
      </c>
      <c r="F61" s="459" t="s">
        <v>3784</v>
      </c>
      <c r="G61" s="459" t="s">
        <v>995</v>
      </c>
      <c r="H61" s="459" t="s">
        <v>243</v>
      </c>
      <c r="I61" s="459"/>
      <c r="J61" s="459">
        <v>81</v>
      </c>
      <c r="K61" s="459"/>
      <c r="L61" s="459"/>
      <c r="M61" s="459"/>
      <c r="N61" s="459"/>
      <c r="O61" s="459"/>
      <c r="P61" s="459"/>
      <c r="Q61" s="130"/>
      <c r="R61" s="130"/>
      <c r="S61" s="130"/>
      <c r="T61" s="130" t="s">
        <v>3785</v>
      </c>
      <c r="U61" s="130"/>
      <c r="V61" s="130"/>
      <c r="W61" s="130"/>
    </row>
    <row r="62" spans="1:28" ht="15.75" hidden="1" customHeight="1">
      <c r="E62" s="459" t="s">
        <v>55</v>
      </c>
      <c r="F62" s="459" t="s">
        <v>912</v>
      </c>
      <c r="G62" s="459" t="s">
        <v>324</v>
      </c>
      <c r="H62" s="459" t="s">
        <v>243</v>
      </c>
      <c r="I62" s="459"/>
      <c r="J62" s="459">
        <v>50</v>
      </c>
      <c r="K62" s="459"/>
      <c r="L62" s="459"/>
      <c r="M62" s="459"/>
      <c r="N62" s="459"/>
      <c r="O62" s="459"/>
      <c r="P62" s="459"/>
      <c r="Q62" s="130"/>
      <c r="R62" s="130"/>
      <c r="S62" s="130"/>
      <c r="T62" s="130" t="s">
        <v>3786</v>
      </c>
      <c r="U62" s="130"/>
      <c r="V62" s="130"/>
      <c r="W62" s="130"/>
    </row>
    <row r="63" spans="1:28" ht="15.75" hidden="1" customHeight="1">
      <c r="E63" s="459" t="s">
        <v>55</v>
      </c>
      <c r="F63" s="459" t="s">
        <v>3516</v>
      </c>
      <c r="G63" s="459" t="s">
        <v>324</v>
      </c>
      <c r="H63" s="459" t="s">
        <v>243</v>
      </c>
      <c r="I63" s="459"/>
      <c r="J63" s="459">
        <v>51</v>
      </c>
      <c r="K63" s="459"/>
      <c r="L63" s="459"/>
      <c r="M63" s="459"/>
      <c r="N63" s="459"/>
      <c r="O63" s="459"/>
      <c r="P63" s="459"/>
      <c r="Q63" s="130"/>
      <c r="R63" s="130"/>
      <c r="S63" s="130"/>
      <c r="T63" s="130" t="s">
        <v>3787</v>
      </c>
      <c r="U63" s="130"/>
      <c r="V63" s="130"/>
      <c r="W63" s="130"/>
    </row>
    <row r="64" spans="1:28" ht="30" customHeight="1">
      <c r="A64" s="437"/>
      <c r="B64" s="437"/>
      <c r="C64" s="437"/>
      <c r="D64" s="437"/>
      <c r="E64" s="459" t="s">
        <v>55</v>
      </c>
      <c r="F64" s="459" t="s">
        <v>3522</v>
      </c>
      <c r="G64" s="459" t="s">
        <v>535</v>
      </c>
      <c r="H64" s="459" t="s">
        <v>243</v>
      </c>
      <c r="I64" s="459"/>
      <c r="J64" s="459">
        <v>93</v>
      </c>
      <c r="K64" s="459" t="s">
        <v>682</v>
      </c>
      <c r="L64" s="130" t="s">
        <v>3677</v>
      </c>
      <c r="M64" s="479" t="s">
        <v>3682</v>
      </c>
      <c r="N64" s="459"/>
      <c r="O64" s="459"/>
      <c r="P64" s="130"/>
      <c r="Q64" s="130"/>
      <c r="R64" s="130"/>
      <c r="S64" s="130"/>
      <c r="T64" s="130" t="s">
        <v>3524</v>
      </c>
      <c r="U64" s="130"/>
      <c r="V64" s="130"/>
      <c r="W64" s="130"/>
      <c r="AA64" s="30"/>
    </row>
    <row r="65" spans="2:28" ht="15.75" hidden="1" customHeight="1">
      <c r="E65" s="459" t="s">
        <v>55</v>
      </c>
      <c r="F65" s="459" t="s">
        <v>3789</v>
      </c>
      <c r="G65" s="459" t="s">
        <v>278</v>
      </c>
      <c r="H65" s="459" t="s">
        <v>243</v>
      </c>
      <c r="I65" s="459"/>
      <c r="J65" s="459"/>
      <c r="K65" s="459"/>
      <c r="L65" s="459"/>
      <c r="M65" s="459"/>
      <c r="N65" s="459"/>
      <c r="O65" s="459"/>
      <c r="P65" s="459"/>
      <c r="Q65" s="130"/>
      <c r="R65" s="130"/>
      <c r="S65" s="130"/>
      <c r="T65" s="130" t="s">
        <v>3790</v>
      </c>
      <c r="U65" s="130"/>
      <c r="V65" s="130"/>
      <c r="W65" s="130"/>
    </row>
    <row r="66" spans="2:28" ht="15.75" hidden="1" customHeight="1">
      <c r="E66" s="459" t="s">
        <v>55</v>
      </c>
      <c r="F66" s="459" t="s">
        <v>3520</v>
      </c>
      <c r="G66" s="459" t="s">
        <v>255</v>
      </c>
      <c r="H66" s="459" t="s">
        <v>243</v>
      </c>
      <c r="I66" s="459"/>
      <c r="J66" s="459">
        <v>54</v>
      </c>
      <c r="K66" s="459"/>
      <c r="L66" s="459"/>
      <c r="M66" s="459"/>
      <c r="N66" s="459"/>
      <c r="O66" s="459"/>
      <c r="P66" s="459"/>
      <c r="Q66" s="130"/>
      <c r="R66" s="130"/>
      <c r="S66" s="130"/>
      <c r="T66" s="130" t="s">
        <v>3791</v>
      </c>
      <c r="U66" s="130"/>
      <c r="V66" s="130"/>
      <c r="W66" s="130"/>
    </row>
    <row r="67" spans="2:28" ht="15.75" hidden="1" customHeight="1">
      <c r="E67" s="459" t="s">
        <v>55</v>
      </c>
      <c r="F67" s="459" t="s">
        <v>3525</v>
      </c>
      <c r="G67" s="459" t="s">
        <v>255</v>
      </c>
      <c r="H67" s="459" t="s">
        <v>243</v>
      </c>
      <c r="I67" s="459"/>
      <c r="J67" s="459">
        <v>55</v>
      </c>
      <c r="K67" s="459"/>
      <c r="L67" s="459"/>
      <c r="M67" s="459"/>
      <c r="N67" s="459"/>
      <c r="O67" s="459"/>
      <c r="P67" s="459"/>
      <c r="Q67" s="130"/>
      <c r="R67" s="130"/>
      <c r="S67" s="130"/>
      <c r="T67" s="130" t="s">
        <v>3792</v>
      </c>
      <c r="U67" s="130"/>
      <c r="V67" s="130"/>
      <c r="W67" s="130"/>
    </row>
    <row r="68" spans="2:28" ht="15.75" hidden="1" customHeight="1">
      <c r="E68" s="459" t="s">
        <v>55</v>
      </c>
      <c r="F68" s="459" t="s">
        <v>1286</v>
      </c>
      <c r="G68" s="459" t="s">
        <v>429</v>
      </c>
      <c r="H68" s="459" t="s">
        <v>243</v>
      </c>
      <c r="I68" s="459"/>
      <c r="J68" s="459">
        <v>56</v>
      </c>
      <c r="K68" s="459"/>
      <c r="L68" s="459"/>
      <c r="M68" s="459"/>
      <c r="N68" s="459"/>
      <c r="O68" s="459"/>
      <c r="P68" s="459"/>
      <c r="Q68" s="130"/>
      <c r="R68" s="130"/>
      <c r="S68" s="130"/>
      <c r="T68" s="130" t="s">
        <v>3793</v>
      </c>
      <c r="U68" s="130"/>
      <c r="V68" s="130"/>
      <c r="W68" s="130"/>
    </row>
    <row r="69" spans="2:28" ht="15.75" hidden="1" customHeight="1">
      <c r="E69" s="459" t="s">
        <v>55</v>
      </c>
      <c r="F69" s="459" t="s">
        <v>3794</v>
      </c>
      <c r="G69" s="459" t="s">
        <v>324</v>
      </c>
      <c r="H69" s="459" t="s">
        <v>243</v>
      </c>
      <c r="I69" s="459"/>
      <c r="J69" s="459">
        <v>57</v>
      </c>
      <c r="K69" s="459"/>
      <c r="L69" s="459"/>
      <c r="M69" s="459"/>
      <c r="N69" s="459"/>
      <c r="O69" s="459"/>
      <c r="P69" s="459"/>
      <c r="Q69" s="130"/>
      <c r="R69" s="130"/>
      <c r="S69" s="130"/>
      <c r="T69" s="130" t="s">
        <v>3795</v>
      </c>
      <c r="U69" s="130"/>
      <c r="V69" s="130"/>
      <c r="W69" s="130"/>
    </row>
    <row r="70" spans="2:28" ht="15.75" hidden="1" customHeight="1">
      <c r="E70" s="459" t="s">
        <v>55</v>
      </c>
      <c r="F70" s="459" t="s">
        <v>3796</v>
      </c>
      <c r="G70" s="459" t="s">
        <v>324</v>
      </c>
      <c r="H70" s="459" t="s">
        <v>243</v>
      </c>
      <c r="I70" s="459"/>
      <c r="J70" s="459">
        <v>58</v>
      </c>
      <c r="K70" s="459"/>
      <c r="L70" s="459"/>
      <c r="M70" s="459"/>
      <c r="N70" s="459"/>
      <c r="O70" s="459"/>
      <c r="P70" s="459"/>
      <c r="Q70" s="130"/>
      <c r="R70" s="130"/>
      <c r="S70" s="130"/>
      <c r="T70" s="130" t="s">
        <v>3797</v>
      </c>
      <c r="U70" s="130"/>
      <c r="V70" s="130"/>
      <c r="W70" s="130"/>
    </row>
    <row r="71" spans="2:28" ht="15.75" hidden="1" customHeight="1">
      <c r="E71" s="459" t="s">
        <v>55</v>
      </c>
      <c r="F71" s="459" t="s">
        <v>947</v>
      </c>
      <c r="G71" s="459" t="s">
        <v>324</v>
      </c>
      <c r="H71" s="459" t="s">
        <v>243</v>
      </c>
      <c r="I71" s="459"/>
      <c r="J71" s="459">
        <v>59</v>
      </c>
      <c r="K71" s="459"/>
      <c r="L71" s="130"/>
      <c r="M71" s="459"/>
      <c r="N71" s="459"/>
      <c r="O71" s="459"/>
      <c r="P71" s="459"/>
      <c r="Q71" s="130"/>
      <c r="R71" s="130"/>
      <c r="S71" s="130"/>
      <c r="T71" s="130" t="s">
        <v>3798</v>
      </c>
      <c r="U71" s="130"/>
      <c r="V71" s="130"/>
      <c r="W71" s="130"/>
      <c r="X71" s="5">
        <v>1</v>
      </c>
      <c r="Y71" s="5"/>
      <c r="Z71" s="120" t="s">
        <v>3748</v>
      </c>
      <c r="AA71" s="131">
        <v>43418</v>
      </c>
      <c r="AB71" s="187" t="s">
        <v>3749</v>
      </c>
    </row>
    <row r="72" spans="2:28" ht="15.75" hidden="1" customHeight="1">
      <c r="E72" s="459" t="s">
        <v>55</v>
      </c>
      <c r="F72" s="459" t="s">
        <v>3536</v>
      </c>
      <c r="G72" s="459" t="s">
        <v>242</v>
      </c>
      <c r="H72" s="459" t="s">
        <v>243</v>
      </c>
      <c r="I72" s="459"/>
      <c r="J72" s="459">
        <v>60</v>
      </c>
      <c r="K72" s="459"/>
      <c r="L72" s="459"/>
      <c r="M72" s="459"/>
      <c r="N72" s="459"/>
      <c r="O72" s="459"/>
      <c r="P72" s="459"/>
      <c r="Q72" s="130"/>
      <c r="R72" s="130"/>
      <c r="S72" s="130"/>
      <c r="T72" s="130"/>
      <c r="U72" s="130"/>
      <c r="V72" s="130"/>
      <c r="W72" s="130"/>
    </row>
    <row r="73" spans="2:28" ht="15.75" hidden="1" customHeight="1">
      <c r="E73" s="459" t="s">
        <v>55</v>
      </c>
      <c r="F73" s="459" t="s">
        <v>3540</v>
      </c>
      <c r="G73" s="459" t="s">
        <v>242</v>
      </c>
      <c r="H73" s="459" t="s">
        <v>243</v>
      </c>
      <c r="I73" s="459"/>
      <c r="J73" s="459">
        <v>62</v>
      </c>
      <c r="K73" s="459"/>
      <c r="L73" s="459"/>
      <c r="M73" s="459"/>
      <c r="N73" s="459"/>
      <c r="O73" s="459"/>
      <c r="P73" s="459"/>
      <c r="Q73" s="130"/>
      <c r="R73" s="130"/>
      <c r="S73" s="130"/>
      <c r="T73" s="130"/>
      <c r="U73" s="130"/>
      <c r="V73" s="130"/>
      <c r="W73" s="130"/>
    </row>
    <row r="74" spans="2:28" ht="15.75" customHeight="1">
      <c r="E74" s="459" t="s">
        <v>61</v>
      </c>
      <c r="F74" s="459" t="s">
        <v>1023</v>
      </c>
      <c r="G74" s="459" t="s">
        <v>242</v>
      </c>
      <c r="H74" s="459" t="s">
        <v>243</v>
      </c>
      <c r="I74" s="459"/>
      <c r="J74" s="459">
        <v>63</v>
      </c>
      <c r="K74" s="459" t="s">
        <v>682</v>
      </c>
      <c r="L74" s="130" t="s">
        <v>3677</v>
      </c>
      <c r="M74" s="459" t="s">
        <v>964</v>
      </c>
      <c r="N74" s="459"/>
      <c r="O74" s="459"/>
      <c r="P74" s="459"/>
      <c r="Q74" s="130"/>
      <c r="R74" s="130"/>
      <c r="S74" s="130"/>
      <c r="T74" s="186" t="s">
        <v>3799</v>
      </c>
      <c r="U74" s="130"/>
      <c r="V74" s="130"/>
      <c r="W74" s="130"/>
      <c r="X74" s="5">
        <v>6</v>
      </c>
      <c r="Y74" s="188"/>
      <c r="Z74" s="120" t="s">
        <v>3748</v>
      </c>
      <c r="AA74" s="131">
        <v>43418</v>
      </c>
      <c r="AB74" s="187" t="s">
        <v>3749</v>
      </c>
    </row>
    <row r="75" spans="2:28" ht="15.75" hidden="1" customHeight="1">
      <c r="E75" s="459" t="s">
        <v>55</v>
      </c>
      <c r="F75" s="459" t="s">
        <v>3543</v>
      </c>
      <c r="G75" s="459" t="s">
        <v>2468</v>
      </c>
      <c r="H75" s="459" t="s">
        <v>243</v>
      </c>
      <c r="I75" s="459"/>
      <c r="J75" s="459">
        <v>3</v>
      </c>
      <c r="K75" s="459"/>
      <c r="L75" s="459"/>
      <c r="M75" s="459"/>
      <c r="N75" s="459"/>
      <c r="O75" s="459"/>
      <c r="P75" s="459"/>
      <c r="Q75" s="130"/>
      <c r="R75" s="130"/>
      <c r="S75" s="130"/>
      <c r="T75" s="130" t="s">
        <v>3800</v>
      </c>
      <c r="U75" s="130"/>
      <c r="V75" s="130"/>
      <c r="W75" s="130"/>
      <c r="X75" s="5"/>
      <c r="Y75" s="5"/>
      <c r="Z75" s="5"/>
      <c r="AA75" s="5"/>
      <c r="AB75" s="70"/>
    </row>
    <row r="76" spans="2:28" ht="15.75" hidden="1" customHeight="1">
      <c r="E76" s="459" t="s">
        <v>55</v>
      </c>
      <c r="F76" s="459" t="s">
        <v>3545</v>
      </c>
      <c r="G76" s="459" t="s">
        <v>324</v>
      </c>
      <c r="H76" s="459" t="s">
        <v>243</v>
      </c>
      <c r="I76" s="459"/>
      <c r="J76" s="459">
        <v>64</v>
      </c>
      <c r="K76" s="459"/>
      <c r="L76" s="130"/>
      <c r="M76" s="459"/>
      <c r="N76" s="459"/>
      <c r="O76" s="459"/>
      <c r="P76" s="459"/>
      <c r="Q76" s="130"/>
      <c r="R76" s="130"/>
      <c r="S76" s="130"/>
      <c r="T76" s="130"/>
      <c r="U76" s="130"/>
      <c r="V76" s="130"/>
      <c r="W76" s="130"/>
    </row>
    <row r="77" spans="2:28" ht="15.75" hidden="1" customHeight="1">
      <c r="E77" s="459" t="s">
        <v>55</v>
      </c>
      <c r="F77" s="459" t="s">
        <v>3802</v>
      </c>
      <c r="G77" s="459" t="s">
        <v>324</v>
      </c>
      <c r="H77" s="459" t="s">
        <v>243</v>
      </c>
      <c r="I77" s="459"/>
      <c r="J77" s="459">
        <v>92</v>
      </c>
      <c r="K77" s="459"/>
      <c r="L77" s="459"/>
      <c r="M77" s="459"/>
      <c r="N77" s="459"/>
      <c r="O77" s="459"/>
      <c r="P77" s="459"/>
      <c r="Q77" s="130"/>
      <c r="R77" s="130"/>
      <c r="S77" s="130"/>
      <c r="T77" s="130" t="s">
        <v>3803</v>
      </c>
      <c r="U77" s="130"/>
      <c r="V77" s="130"/>
      <c r="W77" s="130"/>
    </row>
    <row r="78" spans="2:28" ht="15.75" customHeight="1">
      <c r="B78" s="441"/>
      <c r="C78" s="441"/>
      <c r="D78" s="441"/>
      <c r="E78" s="441" t="s">
        <v>55</v>
      </c>
      <c r="F78" s="441" t="s">
        <v>927</v>
      </c>
      <c r="G78" s="441" t="s">
        <v>925</v>
      </c>
      <c r="H78" s="441" t="s">
        <v>243</v>
      </c>
      <c r="I78" s="441"/>
      <c r="J78" s="441">
        <v>65</v>
      </c>
      <c r="K78" s="459" t="s">
        <v>682</v>
      </c>
      <c r="L78" s="130" t="s">
        <v>3677</v>
      </c>
      <c r="M78" s="441" t="s">
        <v>975</v>
      </c>
      <c r="N78" s="441"/>
      <c r="O78" s="441"/>
      <c r="P78" s="441"/>
      <c r="Q78" s="441"/>
      <c r="R78" s="441"/>
      <c r="S78" s="441"/>
      <c r="T78" s="441" t="s">
        <v>3805</v>
      </c>
      <c r="U78" s="441"/>
      <c r="V78" s="441"/>
      <c r="W78" s="441"/>
      <c r="X78" s="441">
        <v>17</v>
      </c>
      <c r="Y78" s="441"/>
      <c r="Z78" s="441" t="s">
        <v>1197</v>
      </c>
      <c r="AA78" s="146">
        <v>43607</v>
      </c>
      <c r="AB78" s="441" t="s">
        <v>3722</v>
      </c>
    </row>
    <row r="79" spans="2:28" ht="15.75" hidden="1" customHeight="1">
      <c r="E79" s="459" t="s">
        <v>55</v>
      </c>
      <c r="F79" s="459" t="s">
        <v>994</v>
      </c>
      <c r="G79" s="459" t="s">
        <v>247</v>
      </c>
      <c r="H79" s="459" t="s">
        <v>243</v>
      </c>
      <c r="I79" s="459"/>
      <c r="J79" s="459"/>
      <c r="K79" s="459"/>
      <c r="L79" s="459"/>
      <c r="M79" s="459"/>
      <c r="N79" s="459"/>
      <c r="O79" s="459"/>
      <c r="P79" s="459"/>
      <c r="Q79" s="130"/>
      <c r="R79" s="130"/>
      <c r="S79" s="130"/>
      <c r="T79" s="130" t="s">
        <v>3806</v>
      </c>
      <c r="U79" s="130"/>
      <c r="V79" s="130"/>
      <c r="W79" s="130"/>
      <c r="X79" s="5"/>
      <c r="Y79" s="5"/>
      <c r="Z79" s="5"/>
      <c r="AA79" s="5"/>
      <c r="AB79" s="70"/>
    </row>
    <row r="80" spans="2:28" ht="15.75" hidden="1" customHeight="1">
      <c r="E80" s="459" t="s">
        <v>53</v>
      </c>
      <c r="F80" s="459" t="s">
        <v>1288</v>
      </c>
      <c r="G80" s="459" t="s">
        <v>535</v>
      </c>
      <c r="H80" s="459" t="s">
        <v>903</v>
      </c>
      <c r="I80" s="459"/>
      <c r="J80" s="459">
        <v>74</v>
      </c>
      <c r="K80" s="459"/>
      <c r="L80" s="459"/>
      <c r="M80" s="459"/>
      <c r="N80" s="459"/>
      <c r="O80" s="459"/>
      <c r="P80" s="459"/>
      <c r="Q80" s="130"/>
      <c r="R80" s="186"/>
      <c r="S80" s="186"/>
      <c r="T80" s="186" t="s">
        <v>1190</v>
      </c>
      <c r="U80" s="186"/>
      <c r="V80" s="186"/>
      <c r="W80" s="186"/>
    </row>
    <row r="81" spans="5:28" ht="15.75" hidden="1" customHeight="1">
      <c r="E81" s="186" t="s">
        <v>53</v>
      </c>
      <c r="F81" s="459" t="s">
        <v>1289</v>
      </c>
      <c r="G81" s="459" t="s">
        <v>324</v>
      </c>
      <c r="H81" s="459" t="s">
        <v>243</v>
      </c>
      <c r="I81" s="459"/>
      <c r="J81" s="459">
        <v>66</v>
      </c>
      <c r="K81" s="459"/>
      <c r="L81" s="459"/>
      <c r="M81" s="459"/>
      <c r="N81" s="459"/>
      <c r="O81" s="459"/>
      <c r="P81" s="459"/>
      <c r="Q81" s="130"/>
      <c r="R81" s="186"/>
      <c r="S81" s="186"/>
      <c r="T81" s="186" t="s">
        <v>1190</v>
      </c>
      <c r="U81" s="186"/>
      <c r="V81" s="186"/>
      <c r="W81" s="186"/>
    </row>
    <row r="82" spans="5:28" ht="15.75" hidden="1" customHeight="1">
      <c r="E82" s="186" t="s">
        <v>53</v>
      </c>
      <c r="F82" s="459" t="s">
        <v>1290</v>
      </c>
      <c r="G82" s="459" t="s">
        <v>432</v>
      </c>
      <c r="H82" s="459" t="s">
        <v>243</v>
      </c>
      <c r="I82" s="459"/>
      <c r="J82" s="459">
        <v>52</v>
      </c>
      <c r="K82" s="459"/>
      <c r="L82" s="459"/>
      <c r="M82" s="459"/>
      <c r="N82" s="459"/>
      <c r="O82" s="459"/>
      <c r="P82" s="459"/>
      <c r="Q82" s="130"/>
      <c r="R82" s="186"/>
      <c r="S82" s="186"/>
      <c r="T82" s="186" t="s">
        <v>1190</v>
      </c>
      <c r="U82" s="186"/>
      <c r="V82" s="186"/>
      <c r="W82" s="186"/>
    </row>
    <row r="83" spans="5:28" ht="15.75" hidden="1" customHeight="1">
      <c r="E83" s="186" t="s">
        <v>53</v>
      </c>
      <c r="F83" s="459" t="s">
        <v>1291</v>
      </c>
      <c r="G83" s="459" t="s">
        <v>247</v>
      </c>
      <c r="H83" s="459" t="s">
        <v>243</v>
      </c>
      <c r="I83" s="459"/>
      <c r="J83" s="459">
        <v>53</v>
      </c>
      <c r="K83" s="459"/>
      <c r="L83" s="459"/>
      <c r="M83" s="459"/>
      <c r="N83" s="459"/>
      <c r="O83" s="459"/>
      <c r="P83" s="459"/>
      <c r="Q83" s="130"/>
      <c r="R83" s="186"/>
      <c r="S83" s="186"/>
      <c r="T83" s="186" t="s">
        <v>1190</v>
      </c>
      <c r="U83" s="186"/>
      <c r="V83" s="186"/>
      <c r="W83" s="186"/>
    </row>
    <row r="84" spans="5:28" ht="15.75" hidden="1" customHeight="1">
      <c r="E84" s="186" t="s">
        <v>53</v>
      </c>
      <c r="F84" s="459" t="s">
        <v>1292</v>
      </c>
      <c r="G84" s="459" t="s">
        <v>535</v>
      </c>
      <c r="H84" s="459" t="s">
        <v>243</v>
      </c>
      <c r="I84" s="459"/>
      <c r="J84" s="459">
        <v>61</v>
      </c>
      <c r="K84" s="459"/>
      <c r="L84" s="459"/>
      <c r="M84" s="459"/>
      <c r="N84" s="459"/>
      <c r="O84" s="459"/>
      <c r="P84" s="459"/>
      <c r="Q84" s="130"/>
      <c r="R84" s="186"/>
      <c r="S84" s="186"/>
      <c r="T84" s="186" t="s">
        <v>1190</v>
      </c>
      <c r="U84" s="186"/>
      <c r="V84" s="186"/>
      <c r="W84" s="186"/>
    </row>
    <row r="85" spans="5:28" ht="15.75" hidden="1" customHeight="1">
      <c r="E85" s="186" t="s">
        <v>53</v>
      </c>
      <c r="F85" s="459" t="s">
        <v>1293</v>
      </c>
      <c r="G85" s="459" t="s">
        <v>432</v>
      </c>
      <c r="H85" s="459" t="s">
        <v>243</v>
      </c>
      <c r="I85" s="459"/>
      <c r="J85" s="459">
        <v>67</v>
      </c>
      <c r="K85" s="459"/>
      <c r="L85" s="459"/>
      <c r="M85" s="459"/>
      <c r="N85" s="459"/>
      <c r="O85" s="459"/>
      <c r="P85" s="459"/>
      <c r="Q85" s="130"/>
      <c r="R85" s="186"/>
      <c r="S85" s="186"/>
      <c r="T85" s="186" t="s">
        <v>1190</v>
      </c>
      <c r="U85" s="186"/>
      <c r="V85" s="186"/>
      <c r="W85" s="186"/>
    </row>
    <row r="86" spans="5:28" ht="15.75" hidden="1" customHeight="1">
      <c r="E86" s="459" t="s">
        <v>55</v>
      </c>
      <c r="F86" s="459" t="s">
        <v>3554</v>
      </c>
      <c r="G86" s="459" t="s">
        <v>247</v>
      </c>
      <c r="H86" s="459" t="s">
        <v>243</v>
      </c>
      <c r="I86" s="459"/>
      <c r="J86" s="459">
        <v>68</v>
      </c>
      <c r="K86" s="459"/>
      <c r="L86" s="130"/>
      <c r="M86" s="459"/>
      <c r="N86" s="459"/>
      <c r="O86" s="459"/>
      <c r="P86" s="459"/>
      <c r="Q86" s="130"/>
      <c r="R86" s="130"/>
      <c r="S86" s="130"/>
      <c r="T86" s="130" t="s">
        <v>3807</v>
      </c>
      <c r="U86" s="130"/>
      <c r="V86" s="130"/>
      <c r="W86" s="130"/>
    </row>
    <row r="87" spans="5:28" ht="15.75" hidden="1" customHeight="1">
      <c r="E87" s="459" t="s">
        <v>55</v>
      </c>
      <c r="F87" s="459" t="s">
        <v>3808</v>
      </c>
      <c r="G87" s="459" t="s">
        <v>247</v>
      </c>
      <c r="H87" s="459" t="s">
        <v>243</v>
      </c>
      <c r="I87" s="459"/>
      <c r="J87" s="459">
        <v>90</v>
      </c>
      <c r="K87" s="459"/>
      <c r="L87" s="459"/>
      <c r="M87" s="459"/>
      <c r="N87" s="459"/>
      <c r="O87" s="459"/>
      <c r="P87" s="459"/>
      <c r="Q87" s="130"/>
      <c r="R87" s="130"/>
      <c r="S87" s="130"/>
      <c r="T87" s="441" t="s">
        <v>3809</v>
      </c>
      <c r="U87" s="441"/>
      <c r="V87" s="441"/>
      <c r="W87" s="441"/>
    </row>
    <row r="88" spans="5:28" ht="15.75" hidden="1" customHeight="1">
      <c r="E88" s="459" t="s">
        <v>55</v>
      </c>
      <c r="F88" s="459" t="s">
        <v>3810</v>
      </c>
      <c r="G88" s="459" t="s">
        <v>247</v>
      </c>
      <c r="H88" s="459" t="s">
        <v>243</v>
      </c>
      <c r="I88" s="459"/>
      <c r="J88" s="459">
        <v>89</v>
      </c>
      <c r="K88" s="459"/>
      <c r="L88" s="459"/>
      <c r="M88" s="459"/>
      <c r="N88" s="459"/>
      <c r="O88" s="459"/>
      <c r="P88" s="459"/>
      <c r="Q88" s="130"/>
      <c r="R88" s="130"/>
      <c r="S88" s="130"/>
      <c r="T88" s="441" t="s">
        <v>3811</v>
      </c>
      <c r="U88" s="441"/>
      <c r="V88" s="441"/>
      <c r="W88" s="441"/>
    </row>
    <row r="89" spans="5:28" ht="15.75" hidden="1" customHeight="1">
      <c r="E89" s="459" t="s">
        <v>55</v>
      </c>
      <c r="F89" s="459" t="s">
        <v>3812</v>
      </c>
      <c r="G89" s="459" t="s">
        <v>247</v>
      </c>
      <c r="H89" s="459" t="s">
        <v>243</v>
      </c>
      <c r="I89" s="459"/>
      <c r="J89" s="459">
        <v>91</v>
      </c>
      <c r="K89" s="459"/>
      <c r="L89" s="459"/>
      <c r="M89" s="459"/>
      <c r="N89" s="459"/>
      <c r="O89" s="459"/>
      <c r="P89" s="459"/>
      <c r="Q89" s="130"/>
      <c r="R89" s="130"/>
      <c r="S89" s="130"/>
      <c r="T89" s="441" t="s">
        <v>3813</v>
      </c>
      <c r="U89" s="441"/>
      <c r="V89" s="441"/>
      <c r="W89" s="441"/>
    </row>
    <row r="90" spans="5:28" ht="15.75" hidden="1" customHeight="1">
      <c r="E90" s="459" t="s">
        <v>55</v>
      </c>
      <c r="F90" s="459" t="s">
        <v>3556</v>
      </c>
      <c r="G90" s="459" t="s">
        <v>324</v>
      </c>
      <c r="H90" s="459" t="s">
        <v>243</v>
      </c>
      <c r="I90" s="459"/>
      <c r="J90" s="459">
        <v>69</v>
      </c>
      <c r="K90" s="459"/>
      <c r="L90" s="459"/>
      <c r="M90" s="459"/>
      <c r="N90" s="459"/>
      <c r="O90" s="459"/>
      <c r="P90" s="459"/>
      <c r="Q90" s="130"/>
      <c r="R90" s="130"/>
      <c r="S90" s="130"/>
      <c r="T90" s="130"/>
      <c r="U90" s="130"/>
      <c r="V90" s="130"/>
      <c r="W90" s="130"/>
    </row>
    <row r="91" spans="5:28" ht="25">
      <c r="E91" s="459" t="s">
        <v>61</v>
      </c>
      <c r="F91" s="459" t="s">
        <v>123</v>
      </c>
      <c r="G91" s="459" t="s">
        <v>535</v>
      </c>
      <c r="H91" s="459" t="s">
        <v>243</v>
      </c>
      <c r="I91" s="459"/>
      <c r="J91" s="459">
        <v>70</v>
      </c>
      <c r="K91" s="459" t="s">
        <v>682</v>
      </c>
      <c r="L91" s="130" t="s">
        <v>3677</v>
      </c>
      <c r="M91" s="459" t="s">
        <v>3844</v>
      </c>
      <c r="N91" s="459"/>
      <c r="O91" s="459"/>
      <c r="P91" s="459"/>
      <c r="Q91" s="130"/>
      <c r="R91" s="130"/>
      <c r="S91" s="130"/>
      <c r="T91" s="130" t="s">
        <v>3814</v>
      </c>
      <c r="U91" s="130"/>
      <c r="V91" s="130"/>
      <c r="W91" s="130"/>
      <c r="X91" s="5">
        <v>7</v>
      </c>
      <c r="Y91" s="188"/>
      <c r="Z91" s="120" t="s">
        <v>3748</v>
      </c>
      <c r="AA91" s="131">
        <v>43418</v>
      </c>
      <c r="AB91" s="187" t="s">
        <v>3749</v>
      </c>
    </row>
    <row r="92" spans="5:28" ht="15.75" customHeight="1">
      <c r="E92" s="459" t="s">
        <v>61</v>
      </c>
      <c r="F92" s="459" t="s">
        <v>122</v>
      </c>
      <c r="G92" s="459" t="s">
        <v>264</v>
      </c>
      <c r="H92" s="459" t="s">
        <v>243</v>
      </c>
      <c r="I92" s="459"/>
      <c r="J92" s="459">
        <v>71</v>
      </c>
      <c r="K92" s="459" t="s">
        <v>682</v>
      </c>
      <c r="L92" s="130" t="s">
        <v>3677</v>
      </c>
      <c r="M92" s="459" t="s">
        <v>3845</v>
      </c>
      <c r="N92" s="459"/>
      <c r="O92" s="459"/>
      <c r="P92" s="459"/>
      <c r="Q92" s="130"/>
      <c r="R92" s="130"/>
      <c r="S92" s="130"/>
      <c r="T92" s="130" t="s">
        <v>3815</v>
      </c>
      <c r="U92" s="130"/>
      <c r="V92" s="130"/>
      <c r="W92" s="130"/>
      <c r="X92" s="5">
        <v>10</v>
      </c>
      <c r="Y92" s="5"/>
      <c r="Z92" s="120" t="s">
        <v>3748</v>
      </c>
      <c r="AA92" s="131">
        <v>43418</v>
      </c>
      <c r="AB92" s="187" t="s">
        <v>3749</v>
      </c>
    </row>
    <row r="93" spans="5:28" ht="15.75" hidden="1" customHeight="1">
      <c r="E93" s="459" t="s">
        <v>59</v>
      </c>
      <c r="F93" s="459" t="s">
        <v>948</v>
      </c>
      <c r="G93" s="459" t="s">
        <v>324</v>
      </c>
      <c r="H93" s="459" t="s">
        <v>243</v>
      </c>
      <c r="I93" s="459"/>
      <c r="J93" s="459">
        <v>72</v>
      </c>
      <c r="K93" s="459"/>
      <c r="L93" s="130"/>
      <c r="M93" s="459"/>
      <c r="N93" s="459"/>
      <c r="O93" s="459"/>
      <c r="P93" s="459"/>
      <c r="Q93" s="130"/>
      <c r="R93" s="130"/>
      <c r="S93" s="130"/>
      <c r="T93" s="130" t="s">
        <v>3816</v>
      </c>
      <c r="U93" s="130"/>
      <c r="V93" s="130"/>
      <c r="W93" s="130"/>
      <c r="X93" s="5">
        <v>9</v>
      </c>
      <c r="Y93" s="5"/>
      <c r="Z93" s="120" t="s">
        <v>3748</v>
      </c>
      <c r="AA93" s="131">
        <v>43418</v>
      </c>
      <c r="AB93" s="187" t="s">
        <v>3749</v>
      </c>
    </row>
    <row r="94" spans="5:28" ht="15.75" hidden="1" customHeight="1">
      <c r="E94" s="459" t="s">
        <v>55</v>
      </c>
      <c r="F94" s="459" t="s">
        <v>3564</v>
      </c>
      <c r="G94" s="459" t="s">
        <v>242</v>
      </c>
      <c r="H94" s="459" t="s">
        <v>243</v>
      </c>
      <c r="I94" s="459"/>
      <c r="J94" s="459">
        <v>4</v>
      </c>
      <c r="K94" s="459"/>
      <c r="L94" s="459"/>
      <c r="M94" s="459"/>
      <c r="N94" s="459"/>
      <c r="O94" s="459"/>
      <c r="P94" s="459"/>
      <c r="Q94" s="130"/>
      <c r="R94" s="130"/>
      <c r="S94" s="130"/>
      <c r="T94" s="130" t="s">
        <v>3817</v>
      </c>
      <c r="U94" s="130"/>
      <c r="V94" s="130"/>
      <c r="W94" s="130"/>
      <c r="X94" s="5"/>
      <c r="Y94" s="5"/>
      <c r="Z94" s="5"/>
      <c r="AA94" s="5"/>
      <c r="AB94" s="70"/>
    </row>
    <row r="95" spans="5:28" ht="15.75" hidden="1" customHeight="1">
      <c r="E95" s="459" t="s">
        <v>55</v>
      </c>
      <c r="F95" s="459" t="s">
        <v>3565</v>
      </c>
      <c r="G95" s="459" t="s">
        <v>242</v>
      </c>
      <c r="H95" s="459" t="s">
        <v>243</v>
      </c>
      <c r="I95" s="459"/>
      <c r="J95" s="459">
        <v>5</v>
      </c>
      <c r="K95" s="459"/>
      <c r="L95" s="459"/>
      <c r="M95" s="459"/>
      <c r="N95" s="459"/>
      <c r="O95" s="459"/>
      <c r="P95" s="459"/>
      <c r="Q95" s="130"/>
      <c r="R95" s="130"/>
      <c r="S95" s="130"/>
      <c r="T95" s="130" t="s">
        <v>3818</v>
      </c>
      <c r="U95" s="130"/>
      <c r="V95" s="130"/>
      <c r="W95" s="130"/>
      <c r="X95" s="5"/>
      <c r="Y95" s="5"/>
      <c r="Z95" s="5"/>
      <c r="AA95" s="5"/>
      <c r="AB95" s="70"/>
    </row>
    <row r="96" spans="5:28" ht="15.75" hidden="1" customHeight="1">
      <c r="E96" s="459" t="s">
        <v>55</v>
      </c>
      <c r="F96" s="459" t="s">
        <v>3819</v>
      </c>
      <c r="G96" s="459" t="s">
        <v>242</v>
      </c>
      <c r="H96" s="459" t="s">
        <v>243</v>
      </c>
      <c r="I96" s="459"/>
      <c r="J96" s="459">
        <v>83</v>
      </c>
      <c r="K96" s="459"/>
      <c r="L96" s="459"/>
      <c r="M96" s="459"/>
      <c r="N96" s="459"/>
      <c r="O96" s="459"/>
      <c r="P96" s="459"/>
      <c r="Q96" s="130"/>
      <c r="R96" s="130"/>
      <c r="S96" s="130"/>
      <c r="T96" s="130" t="s">
        <v>3820</v>
      </c>
      <c r="U96" s="130"/>
      <c r="V96" s="130"/>
      <c r="W96" s="130"/>
    </row>
    <row r="97" spans="2:28" ht="15.75" hidden="1" customHeight="1">
      <c r="E97" s="459" t="s">
        <v>55</v>
      </c>
      <c r="F97" s="459" t="s">
        <v>3821</v>
      </c>
      <c r="G97" s="459" t="s">
        <v>242</v>
      </c>
      <c r="H97" s="459" t="s">
        <v>243</v>
      </c>
      <c r="I97" s="459"/>
      <c r="J97" s="459">
        <v>84</v>
      </c>
      <c r="K97" s="459"/>
      <c r="L97" s="459"/>
      <c r="M97" s="459"/>
      <c r="N97" s="459"/>
      <c r="O97" s="459"/>
      <c r="P97" s="459"/>
      <c r="Q97" s="130"/>
      <c r="R97" s="130"/>
      <c r="S97" s="130"/>
      <c r="T97" s="130" t="s">
        <v>3822</v>
      </c>
      <c r="U97" s="130"/>
      <c r="V97" s="130"/>
      <c r="W97" s="130"/>
    </row>
    <row r="98" spans="2:28" ht="15.75" hidden="1" customHeight="1">
      <c r="E98" s="459" t="s">
        <v>55</v>
      </c>
      <c r="F98" s="459" t="s">
        <v>3823</v>
      </c>
      <c r="G98" s="459" t="s">
        <v>242</v>
      </c>
      <c r="H98" s="459" t="s">
        <v>243</v>
      </c>
      <c r="I98" s="459"/>
      <c r="J98" s="459">
        <v>85</v>
      </c>
      <c r="K98" s="459"/>
      <c r="L98" s="459"/>
      <c r="M98" s="459"/>
      <c r="N98" s="459"/>
      <c r="O98" s="459"/>
      <c r="P98" s="459"/>
      <c r="Q98" s="130"/>
      <c r="R98" s="130"/>
      <c r="S98" s="130"/>
      <c r="T98" s="130" t="s">
        <v>3824</v>
      </c>
      <c r="U98" s="130"/>
      <c r="V98" s="130"/>
      <c r="W98" s="130"/>
    </row>
    <row r="99" spans="2:28" ht="15.75" customHeight="1">
      <c r="B99" s="441"/>
      <c r="C99" s="441"/>
      <c r="D99" s="441"/>
      <c r="E99" s="441" t="s">
        <v>55</v>
      </c>
      <c r="F99" s="441" t="s">
        <v>929</v>
      </c>
      <c r="G99" s="441" t="s">
        <v>930</v>
      </c>
      <c r="H99" s="441" t="s">
        <v>243</v>
      </c>
      <c r="I99" s="441"/>
      <c r="J99" s="441">
        <v>73</v>
      </c>
      <c r="K99" s="459" t="s">
        <v>682</v>
      </c>
      <c r="L99" s="130" t="s">
        <v>3677</v>
      </c>
      <c r="M99" s="441" t="s">
        <v>977</v>
      </c>
      <c r="N99" s="441"/>
      <c r="O99" s="441"/>
      <c r="P99" s="441"/>
      <c r="Q99" s="441"/>
      <c r="R99" s="441"/>
      <c r="S99" s="441"/>
      <c r="T99" s="441" t="s">
        <v>3826</v>
      </c>
      <c r="U99" s="441"/>
      <c r="V99" s="441"/>
      <c r="W99" s="441"/>
      <c r="X99" s="441">
        <v>18</v>
      </c>
      <c r="Y99" s="441"/>
      <c r="Z99" s="441" t="s">
        <v>1197</v>
      </c>
      <c r="AA99" s="146">
        <v>43607</v>
      </c>
      <c r="AB99" s="441" t="s">
        <v>3722</v>
      </c>
    </row>
  </sheetData>
  <autoFilter ref="A2:AB99" xr:uid="{00000000-0001-0000-1D00-000000000000}">
    <filterColumn colId="10">
      <filters>
        <filter val="Y"/>
      </filters>
    </filterColumn>
  </autoFilter>
  <pageMargins left="0.7" right="0.7" top="0.75" bottom="0.75" header="0" footer="0"/>
  <pageSetup orientation="landscape"/>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outlinePr summaryBelow="0" summaryRight="0"/>
  </sheetPr>
  <dimension ref="A1:AB22"/>
  <sheetViews>
    <sheetView workbookViewId="0">
      <pane xSplit="2" ySplit="4" topLeftCell="E5" activePane="bottomRight" state="frozen"/>
      <selection pane="topRight" activeCell="C1" sqref="C1"/>
      <selection pane="bottomLeft" activeCell="A3" sqref="A3"/>
      <selection pane="bottomRight" activeCell="I9" sqref="I9"/>
    </sheetView>
  </sheetViews>
  <sheetFormatPr defaultColWidth="14.453125" defaultRowHeight="15" customHeight="1"/>
  <cols>
    <col min="1" max="4" width="17.26953125" hidden="1" customWidth="1"/>
    <col min="5" max="5" width="13.81640625" customWidth="1"/>
    <col min="6" max="6" width="26" customWidth="1"/>
    <col min="7" max="7" width="21.7265625" customWidth="1"/>
    <col min="8" max="8" width="17.26953125" customWidth="1"/>
    <col min="9" max="9" width="15.7265625" customWidth="1"/>
    <col min="10" max="11" width="8.453125" customWidth="1"/>
    <col min="12" max="12" width="42.1796875" customWidth="1"/>
    <col min="13" max="13" width="57.81640625" customWidth="1"/>
    <col min="14" max="14" width="17.26953125" customWidth="1"/>
    <col min="15" max="15" width="15.7265625" customWidth="1"/>
    <col min="16" max="16" width="27.26953125" customWidth="1"/>
    <col min="17" max="17" width="17.26953125" customWidth="1"/>
    <col min="18" max="18" width="27.7265625" customWidth="1"/>
    <col min="19" max="19" width="21.1796875" customWidth="1"/>
    <col min="20" max="20" width="42.453125" bestFit="1" customWidth="1"/>
    <col min="21" max="23" width="9.81640625" customWidth="1"/>
    <col min="24" max="24" width="6.453125" customWidth="1"/>
    <col min="25" max="25" width="17.26953125" customWidth="1"/>
    <col min="26" max="26" width="15.1796875" customWidth="1"/>
    <col min="27" max="27" width="10.81640625" customWidth="1"/>
    <col min="28" max="28" width="45.26953125" customWidth="1"/>
  </cols>
  <sheetData>
    <row r="1" spans="5:28" s="471" customFormat="1" ht="15" customHeight="1">
      <c r="E1" s="472" t="s">
        <v>3827</v>
      </c>
    </row>
    <row r="2" spans="5:28" s="471" customFormat="1" ht="15" customHeight="1">
      <c r="E2" s="507" t="s">
        <v>3570</v>
      </c>
    </row>
    <row r="3" spans="5:28" ht="15" customHeight="1">
      <c r="E3" s="459"/>
      <c r="F3" s="459"/>
      <c r="G3" s="459"/>
      <c r="H3" s="459"/>
      <c r="I3" s="459"/>
      <c r="J3" s="459"/>
      <c r="K3" s="218" t="s">
        <v>1038</v>
      </c>
      <c r="L3" s="218"/>
      <c r="M3" s="218"/>
      <c r="N3" s="218"/>
      <c r="O3" s="218"/>
      <c r="P3" s="218"/>
      <c r="Q3" s="218"/>
      <c r="R3" s="207"/>
      <c r="S3" s="207"/>
      <c r="T3" s="207"/>
      <c r="U3" s="381"/>
      <c r="V3" s="381"/>
      <c r="W3" s="381"/>
      <c r="X3" s="56"/>
      <c r="Y3" s="56"/>
      <c r="Z3" s="252" t="s">
        <v>1039</v>
      </c>
      <c r="AA3" s="364"/>
      <c r="AB3" s="252"/>
    </row>
    <row r="4" spans="5:28" ht="15" customHeight="1">
      <c r="E4" s="208" t="s">
        <v>224</v>
      </c>
      <c r="F4" s="208" t="s">
        <v>225</v>
      </c>
      <c r="G4" s="208" t="s">
        <v>226</v>
      </c>
      <c r="H4" s="208" t="s">
        <v>227</v>
      </c>
      <c r="I4" s="208" t="s">
        <v>1044</v>
      </c>
      <c r="J4" s="208" t="s">
        <v>1045</v>
      </c>
      <c r="K4" s="218" t="s">
        <v>1046</v>
      </c>
      <c r="L4" s="218" t="s">
        <v>100</v>
      </c>
      <c r="M4" s="218" t="s">
        <v>101</v>
      </c>
      <c r="N4" s="218" t="s">
        <v>102</v>
      </c>
      <c r="O4" s="218" t="s">
        <v>103</v>
      </c>
      <c r="P4" s="218" t="s">
        <v>104</v>
      </c>
      <c r="Q4" s="218" t="s">
        <v>105</v>
      </c>
      <c r="R4" s="207" t="s">
        <v>111</v>
      </c>
      <c r="S4" s="207" t="s">
        <v>112</v>
      </c>
      <c r="T4" s="207" t="s">
        <v>103</v>
      </c>
      <c r="U4" s="381"/>
      <c r="V4" s="381"/>
      <c r="W4" s="381"/>
      <c r="X4" s="226" t="s">
        <v>1049</v>
      </c>
      <c r="Y4" s="226" t="s">
        <v>1050</v>
      </c>
      <c r="Z4" s="226" t="s">
        <v>237</v>
      </c>
      <c r="AA4" s="366" t="s">
        <v>1</v>
      </c>
      <c r="AB4" s="226" t="s">
        <v>238</v>
      </c>
    </row>
    <row r="5" spans="5:28" ht="45.75" customHeight="1">
      <c r="E5" s="459" t="s">
        <v>61</v>
      </c>
      <c r="F5" s="459" t="s">
        <v>3828</v>
      </c>
      <c r="G5" s="459" t="s">
        <v>535</v>
      </c>
      <c r="H5" s="459" t="s">
        <v>903</v>
      </c>
      <c r="I5" s="459"/>
      <c r="J5" s="459"/>
      <c r="K5" s="459" t="s">
        <v>682</v>
      </c>
      <c r="L5" s="130" t="s">
        <v>3846</v>
      </c>
      <c r="M5" s="459" t="s">
        <v>3847</v>
      </c>
      <c r="N5" s="130" t="s">
        <v>1895</v>
      </c>
      <c r="O5" s="459"/>
      <c r="P5" s="459"/>
      <c r="Q5" s="130"/>
      <c r="R5" s="130"/>
      <c r="S5" s="130"/>
      <c r="T5" s="130" t="s">
        <v>3831</v>
      </c>
      <c r="U5" s="130"/>
      <c r="V5" s="130"/>
      <c r="W5" s="130"/>
      <c r="X5" s="5">
        <v>1</v>
      </c>
      <c r="Y5" s="5"/>
      <c r="Z5" s="120" t="s">
        <v>3748</v>
      </c>
      <c r="AA5" s="131">
        <v>44488</v>
      </c>
      <c r="AB5" t="s">
        <v>3832</v>
      </c>
    </row>
    <row r="6" spans="5:28" ht="36.75" customHeight="1">
      <c r="E6" s="459" t="s">
        <v>61</v>
      </c>
      <c r="F6" s="459" t="s">
        <v>1010</v>
      </c>
      <c r="G6" s="459" t="s">
        <v>535</v>
      </c>
      <c r="H6" s="459" t="s">
        <v>903</v>
      </c>
      <c r="I6" s="459"/>
      <c r="J6" s="459"/>
      <c r="K6" s="459" t="s">
        <v>682</v>
      </c>
      <c r="L6" s="130" t="s">
        <v>3846</v>
      </c>
      <c r="M6" s="459" t="s">
        <v>3833</v>
      </c>
      <c r="N6" s="130" t="s">
        <v>1895</v>
      </c>
      <c r="O6" s="459"/>
      <c r="P6" s="459"/>
      <c r="Q6" s="130"/>
      <c r="R6" s="130"/>
      <c r="S6" s="130"/>
      <c r="T6" s="130" t="s">
        <v>3835</v>
      </c>
      <c r="U6" s="130"/>
      <c r="V6" s="130"/>
      <c r="W6" s="130"/>
      <c r="X6" s="5">
        <v>2</v>
      </c>
      <c r="Y6" s="5"/>
      <c r="Z6" s="120" t="s">
        <v>3748</v>
      </c>
      <c r="AA6" s="131">
        <v>43418</v>
      </c>
      <c r="AB6" t="s">
        <v>1057</v>
      </c>
    </row>
    <row r="7" spans="5:28" ht="55.5" customHeight="1">
      <c r="E7" s="459" t="s">
        <v>61</v>
      </c>
      <c r="F7" s="459" t="s">
        <v>936</v>
      </c>
      <c r="G7" s="459" t="s">
        <v>242</v>
      </c>
      <c r="H7" s="459" t="s">
        <v>903</v>
      </c>
      <c r="I7" s="459"/>
      <c r="J7" s="459"/>
      <c r="K7" t="s">
        <v>682</v>
      </c>
      <c r="L7" s="130" t="s">
        <v>3846</v>
      </c>
      <c r="M7" s="459" t="s">
        <v>3848</v>
      </c>
      <c r="N7" s="130" t="s">
        <v>247</v>
      </c>
      <c r="T7" s="130" t="s">
        <v>3849</v>
      </c>
      <c r="X7" s="5">
        <v>3</v>
      </c>
      <c r="Y7" s="5"/>
      <c r="Z7" s="120" t="s">
        <v>3729</v>
      </c>
      <c r="AA7" s="131">
        <v>43476</v>
      </c>
      <c r="AB7" t="s">
        <v>3838</v>
      </c>
    </row>
    <row r="8" spans="5:28" ht="24.75" customHeight="1">
      <c r="E8" s="459" t="s">
        <v>53</v>
      </c>
      <c r="F8" s="459" t="s">
        <v>123</v>
      </c>
      <c r="G8" s="459" t="s">
        <v>535</v>
      </c>
      <c r="H8" s="459" t="s">
        <v>903</v>
      </c>
      <c r="I8" s="459"/>
      <c r="J8" s="459"/>
      <c r="K8" t="s">
        <v>682</v>
      </c>
      <c r="L8" s="130" t="s">
        <v>1184</v>
      </c>
      <c r="M8" s="459" t="s">
        <v>3844</v>
      </c>
      <c r="N8" s="130"/>
      <c r="T8" s="130" t="s">
        <v>3839</v>
      </c>
      <c r="X8" s="5">
        <v>4</v>
      </c>
      <c r="Y8" s="5"/>
      <c r="Z8" s="120" t="s">
        <v>3748</v>
      </c>
      <c r="AA8" s="131">
        <v>43418</v>
      </c>
      <c r="AB8" s="129" t="s">
        <v>3840</v>
      </c>
    </row>
    <row r="9" spans="5:28" ht="12.5">
      <c r="E9" s="441" t="s">
        <v>55</v>
      </c>
      <c r="F9" s="441" t="s">
        <v>3528</v>
      </c>
      <c r="G9" s="441" t="s">
        <v>242</v>
      </c>
      <c r="H9" s="441" t="s">
        <v>243</v>
      </c>
      <c r="K9" s="441"/>
      <c r="L9" s="130"/>
      <c r="M9" s="441"/>
      <c r="R9" s="441"/>
      <c r="X9" s="441"/>
      <c r="AA9" s="147"/>
      <c r="AB9" s="441"/>
    </row>
    <row r="10" spans="5:28" ht="15" customHeight="1">
      <c r="E10" s="459" t="s">
        <v>53</v>
      </c>
      <c r="F10" s="459" t="s">
        <v>1189</v>
      </c>
      <c r="G10" s="459" t="s">
        <v>249</v>
      </c>
      <c r="H10" s="459" t="s">
        <v>243</v>
      </c>
      <c r="I10" s="459"/>
      <c r="J10" s="459"/>
      <c r="K10" s="459"/>
      <c r="L10" s="130"/>
      <c r="M10" s="459"/>
      <c r="N10" s="459"/>
      <c r="O10" s="459"/>
      <c r="P10" s="459"/>
      <c r="Q10" s="130"/>
      <c r="R10" s="130"/>
      <c r="S10" s="130"/>
      <c r="T10" s="186" t="s">
        <v>1190</v>
      </c>
      <c r="U10" s="130"/>
      <c r="V10" s="130"/>
      <c r="W10" s="130"/>
      <c r="X10" s="5"/>
      <c r="Y10" s="5"/>
      <c r="Z10" s="120"/>
      <c r="AA10" s="131"/>
    </row>
    <row r="11" spans="5:28" ht="15" customHeight="1">
      <c r="E11" s="459" t="s">
        <v>53</v>
      </c>
      <c r="F11" s="459" t="s">
        <v>1191</v>
      </c>
      <c r="G11" s="459" t="s">
        <v>252</v>
      </c>
      <c r="H11" s="459" t="s">
        <v>243</v>
      </c>
      <c r="I11" s="459"/>
      <c r="J11" s="459"/>
      <c r="K11" s="459"/>
      <c r="L11" s="130"/>
      <c r="M11" s="459"/>
      <c r="N11" s="459"/>
      <c r="O11" s="459"/>
      <c r="P11" s="459"/>
      <c r="Q11" s="130"/>
      <c r="R11" s="130"/>
      <c r="S11" s="130"/>
      <c r="T11" s="186" t="s">
        <v>1190</v>
      </c>
      <c r="U11" s="130"/>
      <c r="V11" s="130"/>
      <c r="W11" s="130"/>
      <c r="X11" s="5"/>
      <c r="Y11" s="5"/>
      <c r="Z11" s="120"/>
      <c r="AA11" s="131"/>
    </row>
    <row r="12" spans="5:28" ht="15" customHeight="1">
      <c r="E12" s="459" t="s">
        <v>53</v>
      </c>
      <c r="F12" s="459" t="s">
        <v>1192</v>
      </c>
      <c r="G12" s="459" t="s">
        <v>242</v>
      </c>
      <c r="H12" s="459" t="s">
        <v>243</v>
      </c>
      <c r="I12" s="459"/>
      <c r="J12" s="459"/>
      <c r="K12" s="459"/>
      <c r="L12" s="130"/>
      <c r="M12" s="459"/>
      <c r="N12" s="459"/>
      <c r="O12" s="459"/>
      <c r="P12" s="459"/>
      <c r="Q12" s="130"/>
      <c r="R12" s="130"/>
      <c r="S12" s="130"/>
      <c r="T12" s="186" t="s">
        <v>1190</v>
      </c>
      <c r="U12" s="130"/>
      <c r="V12" s="130"/>
      <c r="W12" s="130"/>
      <c r="X12" s="5"/>
      <c r="Y12" s="188"/>
      <c r="Z12" s="120"/>
      <c r="AA12" s="131"/>
    </row>
    <row r="13" spans="5:28" ht="15" customHeight="1">
      <c r="E13" s="459" t="s">
        <v>53</v>
      </c>
      <c r="F13" s="459" t="s">
        <v>1193</v>
      </c>
      <c r="G13" s="459" t="s">
        <v>247</v>
      </c>
      <c r="H13" s="459" t="s">
        <v>243</v>
      </c>
      <c r="I13" s="459"/>
      <c r="J13" s="459"/>
      <c r="K13" s="459"/>
      <c r="L13" s="130"/>
      <c r="M13" s="459"/>
      <c r="N13" s="459"/>
      <c r="O13" s="459"/>
      <c r="P13" s="459"/>
      <c r="Q13" s="130"/>
      <c r="R13" s="130"/>
      <c r="S13" s="130"/>
      <c r="T13" s="186" t="s">
        <v>1190</v>
      </c>
      <c r="U13" s="130"/>
      <c r="V13" s="130"/>
      <c r="W13" s="130"/>
      <c r="X13" s="5"/>
      <c r="Y13" s="188"/>
      <c r="Z13" s="120"/>
      <c r="AA13" s="131"/>
    </row>
    <row r="14" spans="5:28" ht="15" customHeight="1">
      <c r="E14" s="459" t="s">
        <v>53</v>
      </c>
      <c r="F14" s="459" t="s">
        <v>1194</v>
      </c>
      <c r="G14" s="459" t="s">
        <v>252</v>
      </c>
      <c r="H14" s="459" t="s">
        <v>243</v>
      </c>
      <c r="I14" s="459"/>
      <c r="J14" s="459"/>
      <c r="K14" s="459"/>
      <c r="L14" s="130"/>
      <c r="M14" s="459"/>
      <c r="N14" s="459"/>
      <c r="O14" s="459"/>
      <c r="P14" s="459"/>
      <c r="Q14" s="130"/>
      <c r="R14" s="130"/>
      <c r="S14" s="130"/>
      <c r="T14" s="186" t="s">
        <v>1190</v>
      </c>
      <c r="U14" s="130"/>
      <c r="V14" s="130"/>
      <c r="W14" s="130"/>
      <c r="X14" s="5"/>
      <c r="Y14" s="188"/>
      <c r="Z14" s="120"/>
      <c r="AA14" s="131"/>
    </row>
    <row r="15" spans="5:28" ht="15" customHeight="1">
      <c r="E15" s="459" t="s">
        <v>53</v>
      </c>
      <c r="F15" s="459" t="s">
        <v>1195</v>
      </c>
      <c r="G15" s="459" t="s">
        <v>247</v>
      </c>
      <c r="H15" s="459" t="s">
        <v>243</v>
      </c>
      <c r="I15" s="459"/>
      <c r="J15" s="459"/>
      <c r="K15" s="459"/>
      <c r="L15" s="130"/>
      <c r="M15" s="459"/>
      <c r="N15" s="459"/>
      <c r="O15" s="459"/>
      <c r="P15" s="459"/>
      <c r="Q15" s="130"/>
      <c r="R15" s="130"/>
      <c r="S15" s="130"/>
      <c r="T15" s="186" t="s">
        <v>1190</v>
      </c>
      <c r="U15" s="130"/>
      <c r="V15" s="130"/>
      <c r="W15" s="130"/>
      <c r="X15" s="5"/>
      <c r="Y15" s="188"/>
      <c r="Z15" s="120"/>
      <c r="AA15" s="131"/>
    </row>
    <row r="16" spans="5:28" ht="15" customHeight="1">
      <c r="E16" s="459" t="s">
        <v>53</v>
      </c>
      <c r="F16" s="459" t="s">
        <v>1196</v>
      </c>
      <c r="G16" s="459" t="s">
        <v>535</v>
      </c>
      <c r="H16" s="459" t="s">
        <v>903</v>
      </c>
      <c r="I16" s="459"/>
      <c r="J16" s="459"/>
      <c r="K16" s="459"/>
      <c r="L16" s="130"/>
      <c r="M16" s="459"/>
      <c r="N16" s="459"/>
      <c r="O16" s="459"/>
      <c r="P16" s="459"/>
      <c r="Q16" s="130"/>
      <c r="R16" s="130"/>
      <c r="S16" s="130"/>
      <c r="T16" s="186" t="s">
        <v>1190</v>
      </c>
      <c r="U16" s="130"/>
      <c r="V16" s="130"/>
      <c r="W16" s="130"/>
      <c r="X16" s="5"/>
      <c r="Y16" s="5"/>
      <c r="Z16" s="120"/>
      <c r="AA16" s="131"/>
    </row>
    <row r="17" spans="5:28" ht="15" customHeight="1">
      <c r="E17" s="459" t="s">
        <v>53</v>
      </c>
      <c r="F17" s="459" t="s">
        <v>1290</v>
      </c>
      <c r="G17" s="459" t="s">
        <v>432</v>
      </c>
      <c r="H17" s="459" t="s">
        <v>243</v>
      </c>
      <c r="I17" s="459"/>
      <c r="J17" s="459"/>
      <c r="K17" s="459"/>
      <c r="L17" s="130"/>
      <c r="M17" s="459"/>
      <c r="N17" s="459"/>
      <c r="O17" s="459"/>
      <c r="P17" s="459"/>
      <c r="Q17" s="130"/>
      <c r="R17" s="130"/>
      <c r="S17" s="130"/>
      <c r="T17" s="186" t="s">
        <v>1190</v>
      </c>
      <c r="U17" s="130"/>
      <c r="V17" s="130"/>
      <c r="W17" s="130"/>
      <c r="X17" s="5"/>
      <c r="Y17" s="5"/>
      <c r="Z17" s="120"/>
      <c r="AA17" s="131"/>
    </row>
    <row r="18" spans="5:28" ht="15" customHeight="1">
      <c r="E18" s="459" t="s">
        <v>53</v>
      </c>
      <c r="F18" s="459" t="s">
        <v>1291</v>
      </c>
      <c r="G18" s="459" t="s">
        <v>247</v>
      </c>
      <c r="H18" s="459" t="s">
        <v>243</v>
      </c>
      <c r="I18" s="459"/>
      <c r="J18" s="459"/>
      <c r="K18" s="459"/>
      <c r="L18" s="130"/>
      <c r="M18" s="459"/>
      <c r="N18" s="459"/>
      <c r="O18" s="459"/>
      <c r="P18" s="459"/>
      <c r="Q18" s="130"/>
      <c r="R18" s="130"/>
      <c r="S18" s="130"/>
      <c r="T18" s="186" t="s">
        <v>1190</v>
      </c>
      <c r="U18" s="130"/>
      <c r="V18" s="130"/>
      <c r="W18" s="130"/>
      <c r="X18" s="5"/>
      <c r="Y18" s="5"/>
      <c r="Z18" s="120"/>
      <c r="AA18" s="131"/>
    </row>
    <row r="19" spans="5:28" ht="12.5">
      <c r="E19" s="459" t="s">
        <v>53</v>
      </c>
      <c r="F19" s="459" t="s">
        <v>1292</v>
      </c>
      <c r="G19" s="459" t="s">
        <v>535</v>
      </c>
      <c r="H19" s="459" t="s">
        <v>243</v>
      </c>
      <c r="I19" s="459"/>
      <c r="J19" s="459"/>
      <c r="K19" s="459"/>
      <c r="L19" s="130"/>
      <c r="M19" s="459"/>
      <c r="N19" s="459"/>
      <c r="O19" s="459"/>
      <c r="P19" s="459"/>
      <c r="Q19" s="130"/>
      <c r="R19" s="130"/>
      <c r="S19" s="130"/>
      <c r="T19" s="186" t="s">
        <v>1190</v>
      </c>
      <c r="U19" s="130"/>
      <c r="V19" s="130"/>
      <c r="W19" s="130"/>
      <c r="X19" s="5"/>
      <c r="Y19" s="5"/>
      <c r="Z19" s="120"/>
      <c r="AA19" s="131"/>
      <c r="AB19" s="5"/>
    </row>
    <row r="20" spans="5:28" ht="15" customHeight="1">
      <c r="E20" s="459" t="s">
        <v>53</v>
      </c>
      <c r="F20" s="459" t="s">
        <v>1289</v>
      </c>
      <c r="G20" s="459" t="s">
        <v>324</v>
      </c>
      <c r="H20" s="459" t="s">
        <v>243</v>
      </c>
      <c r="I20" s="459"/>
      <c r="J20" s="459"/>
      <c r="K20" s="459"/>
      <c r="L20" s="130"/>
      <c r="M20" s="459"/>
      <c r="N20" s="459"/>
      <c r="O20" s="459"/>
      <c r="P20" s="459"/>
      <c r="Q20" s="130"/>
      <c r="R20" s="130"/>
      <c r="S20" s="130"/>
      <c r="T20" s="186" t="s">
        <v>1190</v>
      </c>
      <c r="U20" s="130"/>
      <c r="V20" s="130"/>
      <c r="W20" s="130"/>
      <c r="X20" s="5"/>
      <c r="Y20" s="5"/>
      <c r="Z20" s="120"/>
      <c r="AA20" s="131"/>
      <c r="AB20" s="129"/>
    </row>
    <row r="21" spans="5:28" ht="15" customHeight="1">
      <c r="E21" s="459" t="s">
        <v>53</v>
      </c>
      <c r="F21" s="459" t="s">
        <v>1293</v>
      </c>
      <c r="G21" s="459" t="s">
        <v>432</v>
      </c>
      <c r="H21" s="459" t="s">
        <v>243</v>
      </c>
      <c r="I21" s="459"/>
      <c r="J21" s="459"/>
      <c r="K21" s="459"/>
      <c r="L21" s="130"/>
      <c r="M21" s="459"/>
      <c r="N21" s="459"/>
      <c r="O21" s="459"/>
      <c r="P21" s="459"/>
      <c r="Q21" s="130"/>
      <c r="R21" s="130"/>
      <c r="S21" s="130"/>
      <c r="T21" s="186" t="s">
        <v>1190</v>
      </c>
      <c r="U21" s="130"/>
      <c r="V21" s="130"/>
      <c r="W21" s="130"/>
      <c r="X21" s="5"/>
      <c r="Y21" s="5"/>
      <c r="Z21" s="34"/>
      <c r="AA21" s="131"/>
      <c r="AB21" s="129"/>
    </row>
    <row r="22" spans="5:28" ht="15" customHeight="1">
      <c r="E22" s="459" t="s">
        <v>53</v>
      </c>
      <c r="F22" s="459" t="s">
        <v>1288</v>
      </c>
      <c r="G22" s="459" t="s">
        <v>535</v>
      </c>
      <c r="H22" s="459" t="s">
        <v>903</v>
      </c>
      <c r="I22" s="459"/>
      <c r="J22" s="459"/>
      <c r="K22" s="459"/>
      <c r="L22" s="130"/>
      <c r="M22" s="459"/>
      <c r="N22" s="459"/>
      <c r="O22" s="459"/>
      <c r="P22" s="459"/>
      <c r="Q22" s="130"/>
      <c r="R22" s="130"/>
      <c r="S22" s="130"/>
      <c r="T22" s="186" t="s">
        <v>1190</v>
      </c>
      <c r="U22" s="130"/>
      <c r="V22" s="130"/>
      <c r="W22" s="130"/>
      <c r="X22" s="5"/>
      <c r="Y22" s="5"/>
      <c r="Z22" s="34"/>
      <c r="AA22" s="131"/>
    </row>
  </sheetData>
  <pageMargins left="0.7" right="0.7" top="0.75" bottom="0.75" header="0" footer="0"/>
  <pageSetup orientation="landscape"/>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E5D111-EF2C-471F-9FE8-C414BFA8F1CC}">
  <sheetPr>
    <outlinePr summaryBelow="0" summaryRight="0"/>
  </sheetPr>
  <dimension ref="A1:AB29"/>
  <sheetViews>
    <sheetView workbookViewId="0">
      <pane xSplit="2" ySplit="4" topLeftCell="E5" activePane="bottomRight" state="frozen"/>
      <selection pane="topRight" activeCell="C1" sqref="C1"/>
      <selection pane="bottomLeft" activeCell="A3" sqref="A3"/>
      <selection pane="bottomRight" activeCell="M18" sqref="M18"/>
    </sheetView>
  </sheetViews>
  <sheetFormatPr defaultColWidth="14.453125" defaultRowHeight="15" customHeight="1"/>
  <cols>
    <col min="1" max="4" width="17.26953125" hidden="1" customWidth="1"/>
    <col min="5" max="5" width="10.453125" customWidth="1"/>
    <col min="6" max="6" width="15.54296875" customWidth="1"/>
    <col min="7" max="7" width="21.7265625" customWidth="1"/>
    <col min="8" max="8" width="17.26953125" customWidth="1"/>
    <col min="9" max="9" width="13.1796875" customWidth="1"/>
    <col min="10" max="11" width="8.453125" customWidth="1"/>
    <col min="12" max="12" width="42.1796875" customWidth="1"/>
    <col min="13" max="13" width="56.81640625" customWidth="1"/>
    <col min="14" max="14" width="17.26953125" customWidth="1"/>
    <col min="15" max="15" width="15.7265625" customWidth="1"/>
    <col min="16" max="16" width="27.26953125" customWidth="1"/>
    <col min="17" max="17" width="17.26953125" customWidth="1"/>
    <col min="18" max="18" width="27.7265625" customWidth="1"/>
    <col min="19" max="19" width="21.1796875" customWidth="1"/>
    <col min="20" max="20" width="33.7265625" customWidth="1"/>
    <col min="21" max="23" width="9.81640625" customWidth="1"/>
    <col min="24" max="24" width="6.453125" customWidth="1"/>
    <col min="25" max="25" width="17.26953125" customWidth="1"/>
    <col min="26" max="26" width="15.1796875" customWidth="1"/>
    <col min="27" max="27" width="10.81640625" customWidth="1"/>
    <col min="28" max="28" width="45.26953125" customWidth="1"/>
  </cols>
  <sheetData>
    <row r="1" spans="5:28" s="471" customFormat="1" ht="15" customHeight="1">
      <c r="E1" s="472" t="s">
        <v>3850</v>
      </c>
    </row>
    <row r="2" spans="5:28" s="471" customFormat="1" ht="15" customHeight="1">
      <c r="E2" s="472" t="s">
        <v>3851</v>
      </c>
    </row>
    <row r="3" spans="5:28" ht="15" customHeight="1">
      <c r="E3" s="459"/>
      <c r="F3" s="459"/>
      <c r="G3" s="459"/>
      <c r="H3" s="459"/>
      <c r="I3" s="459"/>
      <c r="J3" s="459"/>
      <c r="K3" s="218" t="s">
        <v>1038</v>
      </c>
      <c r="L3" s="218"/>
      <c r="M3" s="218"/>
      <c r="N3" s="218"/>
      <c r="O3" s="218"/>
      <c r="P3" s="218"/>
      <c r="Q3" s="218"/>
      <c r="R3" s="207"/>
      <c r="S3" s="207"/>
      <c r="T3" s="207"/>
      <c r="U3" s="381"/>
      <c r="V3" s="381"/>
      <c r="W3" s="381"/>
      <c r="X3" s="56"/>
      <c r="Y3" s="56"/>
      <c r="Z3" s="252" t="s">
        <v>1039</v>
      </c>
      <c r="AA3" s="364"/>
      <c r="AB3" s="252"/>
    </row>
    <row r="4" spans="5:28" ht="15" customHeight="1">
      <c r="E4" s="208" t="s">
        <v>224</v>
      </c>
      <c r="F4" s="208" t="s">
        <v>225</v>
      </c>
      <c r="G4" s="208" t="s">
        <v>226</v>
      </c>
      <c r="H4" s="208" t="s">
        <v>227</v>
      </c>
      <c r="I4" s="208" t="s">
        <v>1044</v>
      </c>
      <c r="J4" s="208" t="s">
        <v>1045</v>
      </c>
      <c r="K4" s="218" t="s">
        <v>1046</v>
      </c>
      <c r="L4" s="218" t="s">
        <v>100</v>
      </c>
      <c r="M4" s="218" t="s">
        <v>101</v>
      </c>
      <c r="N4" s="218" t="s">
        <v>102</v>
      </c>
      <c r="O4" s="218" t="s">
        <v>103</v>
      </c>
      <c r="P4" s="218" t="s">
        <v>104</v>
      </c>
      <c r="Q4" s="218" t="s">
        <v>105</v>
      </c>
      <c r="R4" s="207" t="s">
        <v>111</v>
      </c>
      <c r="S4" s="207" t="s">
        <v>112</v>
      </c>
      <c r="T4" s="207" t="s">
        <v>103</v>
      </c>
      <c r="U4" s="381"/>
      <c r="V4" s="381"/>
      <c r="W4" s="381"/>
      <c r="X4" s="226" t="s">
        <v>1049</v>
      </c>
      <c r="Y4" s="226" t="s">
        <v>1050</v>
      </c>
      <c r="Z4" s="226" t="s">
        <v>237</v>
      </c>
      <c r="AA4" s="366" t="s">
        <v>1</v>
      </c>
      <c r="AB4" s="226" t="s">
        <v>238</v>
      </c>
    </row>
    <row r="5" spans="5:28" ht="40.5" customHeight="1">
      <c r="E5" s="459" t="s">
        <v>61</v>
      </c>
      <c r="F5" s="459" t="s">
        <v>3852</v>
      </c>
      <c r="G5" s="459" t="s">
        <v>535</v>
      </c>
      <c r="H5" s="459" t="s">
        <v>903</v>
      </c>
      <c r="I5" s="459"/>
      <c r="J5" s="459"/>
      <c r="K5" s="459" t="s">
        <v>682</v>
      </c>
      <c r="L5" s="130" t="s">
        <v>3846</v>
      </c>
      <c r="M5" s="459" t="s">
        <v>3833</v>
      </c>
      <c r="N5" s="130" t="s">
        <v>3834</v>
      </c>
      <c r="O5" s="459"/>
      <c r="P5" s="459"/>
      <c r="Q5" s="130"/>
      <c r="R5" s="130"/>
      <c r="S5" s="130"/>
      <c r="T5" s="130" t="s">
        <v>3835</v>
      </c>
      <c r="U5" s="130"/>
      <c r="V5" s="130"/>
      <c r="W5" s="130"/>
      <c r="X5" s="5">
        <v>1</v>
      </c>
      <c r="Y5" s="5"/>
      <c r="Z5" s="120" t="s">
        <v>3748</v>
      </c>
      <c r="AA5" s="131">
        <v>43418</v>
      </c>
      <c r="AB5" t="s">
        <v>1057</v>
      </c>
    </row>
    <row r="6" spans="5:28" ht="51.75" customHeight="1">
      <c r="E6" s="459" t="s">
        <v>61</v>
      </c>
      <c r="F6" s="459" t="s">
        <v>3828</v>
      </c>
      <c r="G6" s="459" t="s">
        <v>242</v>
      </c>
      <c r="H6" s="459" t="s">
        <v>1012</v>
      </c>
      <c r="I6" s="459"/>
      <c r="J6" s="459"/>
      <c r="K6" t="s">
        <v>682</v>
      </c>
      <c r="L6" s="130" t="s">
        <v>3846</v>
      </c>
      <c r="M6" s="459" t="s">
        <v>3847</v>
      </c>
      <c r="N6" s="130" t="s">
        <v>247</v>
      </c>
      <c r="R6" s="120" t="s">
        <v>3853</v>
      </c>
      <c r="T6" s="130" t="s">
        <v>3837</v>
      </c>
      <c r="X6" s="5">
        <v>2</v>
      </c>
      <c r="Y6" s="5"/>
      <c r="Z6" s="120" t="s">
        <v>3729</v>
      </c>
      <c r="AA6" s="131">
        <v>43476</v>
      </c>
      <c r="AB6" t="s">
        <v>3838</v>
      </c>
    </row>
    <row r="7" spans="5:28" ht="24.75" customHeight="1">
      <c r="E7" s="459" t="s">
        <v>53</v>
      </c>
      <c r="F7" s="459" t="s">
        <v>123</v>
      </c>
      <c r="G7" s="459" t="s">
        <v>535</v>
      </c>
      <c r="H7" s="459" t="s">
        <v>903</v>
      </c>
      <c r="I7" s="459"/>
      <c r="J7" s="459"/>
      <c r="K7" t="s">
        <v>682</v>
      </c>
      <c r="L7" s="130" t="s">
        <v>1184</v>
      </c>
      <c r="M7" s="459" t="s">
        <v>3558</v>
      </c>
      <c r="N7" s="130"/>
      <c r="T7" s="130" t="s">
        <v>3839</v>
      </c>
      <c r="X7" s="5">
        <v>3</v>
      </c>
      <c r="Y7" s="5"/>
      <c r="Z7" s="120" t="s">
        <v>3748</v>
      </c>
      <c r="AA7" s="131">
        <v>43418</v>
      </c>
      <c r="AB7" s="129" t="s">
        <v>3840</v>
      </c>
    </row>
    <row r="8" spans="5:28" ht="20.25" customHeight="1">
      <c r="E8" s="441" t="s">
        <v>55</v>
      </c>
      <c r="F8" s="441" t="s">
        <v>3528</v>
      </c>
      <c r="G8" s="441" t="s">
        <v>242</v>
      </c>
      <c r="H8" s="441" t="s">
        <v>243</v>
      </c>
      <c r="K8" s="441" t="s">
        <v>682</v>
      </c>
      <c r="L8" s="130" t="s">
        <v>3846</v>
      </c>
      <c r="M8" s="441" t="s">
        <v>3854</v>
      </c>
      <c r="R8" s="441"/>
      <c r="X8" s="441">
        <v>4</v>
      </c>
      <c r="AA8" s="147">
        <v>44232</v>
      </c>
      <c r="AB8" s="441" t="s">
        <v>1156</v>
      </c>
    </row>
    <row r="9" spans="5:28" ht="15" customHeight="1">
      <c r="E9" s="459" t="s">
        <v>53</v>
      </c>
      <c r="F9" s="459" t="s">
        <v>1189</v>
      </c>
      <c r="G9" s="459" t="s">
        <v>249</v>
      </c>
      <c r="H9" s="459" t="s">
        <v>243</v>
      </c>
      <c r="I9" s="459"/>
      <c r="J9" s="459"/>
      <c r="K9" s="459"/>
      <c r="L9" s="130"/>
      <c r="M9" s="459"/>
      <c r="N9" s="459"/>
      <c r="O9" s="459"/>
      <c r="P9" s="459"/>
      <c r="Q9" s="130"/>
      <c r="R9" s="130"/>
      <c r="S9" s="130"/>
      <c r="T9" s="186" t="s">
        <v>1190</v>
      </c>
      <c r="U9" s="130"/>
      <c r="V9" s="130"/>
      <c r="W9" s="130"/>
      <c r="X9" s="5"/>
      <c r="Y9" s="5"/>
      <c r="Z9" s="120"/>
      <c r="AA9" s="131"/>
    </row>
    <row r="10" spans="5:28" ht="15" customHeight="1">
      <c r="E10" s="459" t="s">
        <v>53</v>
      </c>
      <c r="F10" s="459" t="s">
        <v>1191</v>
      </c>
      <c r="G10" s="459" t="s">
        <v>252</v>
      </c>
      <c r="H10" s="459" t="s">
        <v>243</v>
      </c>
      <c r="I10" s="459"/>
      <c r="J10" s="459"/>
      <c r="K10" s="459"/>
      <c r="L10" s="130"/>
      <c r="M10" s="459"/>
      <c r="N10" s="459"/>
      <c r="O10" s="459"/>
      <c r="P10" s="459"/>
      <c r="Q10" s="130"/>
      <c r="R10" s="130"/>
      <c r="S10" s="130"/>
      <c r="T10" s="186" t="s">
        <v>1190</v>
      </c>
      <c r="U10" s="130"/>
      <c r="V10" s="130"/>
      <c r="W10" s="130"/>
      <c r="X10" s="5"/>
      <c r="Y10" s="5"/>
      <c r="Z10" s="120"/>
      <c r="AA10" s="131"/>
    </row>
    <row r="11" spans="5:28" ht="15" customHeight="1">
      <c r="E11" s="459" t="s">
        <v>53</v>
      </c>
      <c r="F11" s="459" t="s">
        <v>1192</v>
      </c>
      <c r="G11" s="459" t="s">
        <v>242</v>
      </c>
      <c r="H11" s="459" t="s">
        <v>243</v>
      </c>
      <c r="I11" s="459"/>
      <c r="J11" s="459"/>
      <c r="K11" s="459"/>
      <c r="L11" s="130"/>
      <c r="M11" s="459"/>
      <c r="N11" s="459"/>
      <c r="O11" s="459"/>
      <c r="P11" s="459"/>
      <c r="Q11" s="130"/>
      <c r="R11" s="130"/>
      <c r="S11" s="130"/>
      <c r="T11" s="186" t="s">
        <v>1190</v>
      </c>
      <c r="U11" s="130"/>
      <c r="V11" s="130"/>
      <c r="W11" s="130"/>
      <c r="X11" s="5"/>
      <c r="Y11" s="188"/>
      <c r="Z11" s="120"/>
      <c r="AA11" s="131"/>
    </row>
    <row r="12" spans="5:28" ht="15" customHeight="1">
      <c r="E12" s="459" t="s">
        <v>53</v>
      </c>
      <c r="F12" s="459" t="s">
        <v>1193</v>
      </c>
      <c r="G12" s="459" t="s">
        <v>247</v>
      </c>
      <c r="H12" s="459" t="s">
        <v>243</v>
      </c>
      <c r="I12" s="459"/>
      <c r="J12" s="459"/>
      <c r="K12" s="459"/>
      <c r="L12" s="130"/>
      <c r="M12" s="459"/>
      <c r="N12" s="459"/>
      <c r="O12" s="459"/>
      <c r="P12" s="459"/>
      <c r="Q12" s="130"/>
      <c r="R12" s="130"/>
      <c r="S12" s="130"/>
      <c r="T12" s="186" t="s">
        <v>1190</v>
      </c>
      <c r="U12" s="130"/>
      <c r="V12" s="130"/>
      <c r="W12" s="130"/>
      <c r="X12" s="5"/>
      <c r="Y12" s="188"/>
      <c r="Z12" s="120"/>
      <c r="AA12" s="131"/>
    </row>
    <row r="13" spans="5:28" ht="15" customHeight="1">
      <c r="E13" s="459" t="s">
        <v>53</v>
      </c>
      <c r="F13" s="459" t="s">
        <v>1194</v>
      </c>
      <c r="G13" s="459" t="s">
        <v>252</v>
      </c>
      <c r="H13" s="459" t="s">
        <v>243</v>
      </c>
      <c r="I13" s="459"/>
      <c r="J13" s="459"/>
      <c r="K13" s="459"/>
      <c r="L13" s="130"/>
      <c r="M13" s="459"/>
      <c r="N13" s="459"/>
      <c r="O13" s="459"/>
      <c r="P13" s="459"/>
      <c r="Q13" s="130"/>
      <c r="R13" s="130"/>
      <c r="S13" s="130"/>
      <c r="T13" s="186" t="s">
        <v>1190</v>
      </c>
      <c r="U13" s="130"/>
      <c r="V13" s="130"/>
      <c r="W13" s="130"/>
      <c r="X13" s="5"/>
      <c r="Y13" s="188"/>
      <c r="Z13" s="120"/>
      <c r="AA13" s="131"/>
    </row>
    <row r="14" spans="5:28" ht="15" customHeight="1">
      <c r="E14" s="459" t="s">
        <v>53</v>
      </c>
      <c r="F14" s="459" t="s">
        <v>1195</v>
      </c>
      <c r="G14" s="459" t="s">
        <v>247</v>
      </c>
      <c r="H14" s="459" t="s">
        <v>243</v>
      </c>
      <c r="I14" s="459"/>
      <c r="J14" s="459"/>
      <c r="K14" s="459"/>
      <c r="L14" s="130"/>
      <c r="M14" s="459"/>
      <c r="N14" s="459"/>
      <c r="O14" s="459"/>
      <c r="P14" s="459"/>
      <c r="Q14" s="130"/>
      <c r="R14" s="130"/>
      <c r="S14" s="130"/>
      <c r="T14" s="186" t="s">
        <v>1190</v>
      </c>
      <c r="U14" s="130"/>
      <c r="V14" s="130"/>
      <c r="W14" s="130"/>
      <c r="X14" s="5"/>
      <c r="Y14" s="188"/>
      <c r="Z14" s="120"/>
      <c r="AA14" s="131"/>
    </row>
    <row r="15" spans="5:28" ht="15" customHeight="1">
      <c r="E15" s="459" t="s">
        <v>53</v>
      </c>
      <c r="F15" s="459" t="s">
        <v>1196</v>
      </c>
      <c r="G15" s="459" t="s">
        <v>535</v>
      </c>
      <c r="H15" s="459" t="s">
        <v>903</v>
      </c>
      <c r="I15" s="459"/>
      <c r="J15" s="459"/>
      <c r="K15" s="459"/>
      <c r="L15" s="130"/>
      <c r="M15" s="459"/>
      <c r="N15" s="459"/>
      <c r="O15" s="459"/>
      <c r="P15" s="459"/>
      <c r="Q15" s="130"/>
      <c r="R15" s="130"/>
      <c r="S15" s="130"/>
      <c r="T15" s="186" t="s">
        <v>1190</v>
      </c>
      <c r="U15" s="130"/>
      <c r="V15" s="130"/>
      <c r="W15" s="130"/>
      <c r="X15" s="5"/>
      <c r="Y15" s="5"/>
      <c r="Z15" s="120"/>
      <c r="AA15" s="131"/>
    </row>
    <row r="16" spans="5:28" ht="15" customHeight="1">
      <c r="E16" s="459" t="s">
        <v>53</v>
      </c>
      <c r="F16" s="459" t="s">
        <v>1290</v>
      </c>
      <c r="G16" s="459" t="s">
        <v>432</v>
      </c>
      <c r="H16" s="459" t="s">
        <v>243</v>
      </c>
      <c r="I16" s="459"/>
      <c r="J16" s="459"/>
      <c r="K16" s="459"/>
      <c r="L16" s="130"/>
      <c r="M16" s="459"/>
      <c r="N16" s="459"/>
      <c r="O16" s="459"/>
      <c r="P16" s="459"/>
      <c r="Q16" s="130"/>
      <c r="R16" s="130"/>
      <c r="S16" s="130"/>
      <c r="T16" s="186" t="s">
        <v>1190</v>
      </c>
      <c r="U16" s="130"/>
      <c r="V16" s="130"/>
      <c r="W16" s="130"/>
      <c r="X16" s="5"/>
      <c r="Y16" s="5"/>
      <c r="Z16" s="120"/>
      <c r="AA16" s="131"/>
    </row>
    <row r="17" spans="5:28" ht="15" customHeight="1">
      <c r="E17" s="459" t="s">
        <v>53</v>
      </c>
      <c r="F17" s="459" t="s">
        <v>1291</v>
      </c>
      <c r="G17" s="459" t="s">
        <v>247</v>
      </c>
      <c r="H17" s="459" t="s">
        <v>243</v>
      </c>
      <c r="I17" s="459"/>
      <c r="J17" s="459"/>
      <c r="K17" s="459"/>
      <c r="L17" s="130"/>
      <c r="M17" s="459"/>
      <c r="N17" s="459"/>
      <c r="O17" s="459"/>
      <c r="P17" s="459"/>
      <c r="Q17" s="130"/>
      <c r="R17" s="130"/>
      <c r="S17" s="130"/>
      <c r="T17" s="186" t="s">
        <v>1190</v>
      </c>
      <c r="U17" s="130"/>
      <c r="V17" s="130"/>
      <c r="W17" s="130"/>
      <c r="X17" s="5"/>
      <c r="Y17" s="5"/>
      <c r="Z17" s="120"/>
      <c r="AA17" s="131"/>
    </row>
    <row r="18" spans="5:28" ht="25">
      <c r="E18" s="459" t="s">
        <v>53</v>
      </c>
      <c r="F18" s="459" t="s">
        <v>1292</v>
      </c>
      <c r="G18" s="459" t="s">
        <v>535</v>
      </c>
      <c r="H18" s="459" t="s">
        <v>243</v>
      </c>
      <c r="I18" s="459"/>
      <c r="J18" s="459"/>
      <c r="K18" s="459"/>
      <c r="L18" s="130"/>
      <c r="M18" s="459"/>
      <c r="N18" s="459"/>
      <c r="O18" s="459"/>
      <c r="P18" s="459"/>
      <c r="Q18" s="130"/>
      <c r="R18" s="130"/>
      <c r="S18" s="130"/>
      <c r="T18" s="186" t="s">
        <v>1190</v>
      </c>
      <c r="U18" s="130"/>
      <c r="V18" s="130"/>
      <c r="W18" s="130"/>
      <c r="X18" s="5"/>
      <c r="Y18" s="5"/>
      <c r="Z18" s="120"/>
      <c r="AA18" s="131"/>
      <c r="AB18" s="5"/>
    </row>
    <row r="19" spans="5:28" ht="15" customHeight="1">
      <c r="E19" s="459" t="s">
        <v>53</v>
      </c>
      <c r="F19" s="459" t="s">
        <v>1289</v>
      </c>
      <c r="G19" s="459" t="s">
        <v>324</v>
      </c>
      <c r="H19" s="459" t="s">
        <v>243</v>
      </c>
      <c r="I19" s="459"/>
      <c r="J19" s="459"/>
      <c r="K19" s="459"/>
      <c r="L19" s="130"/>
      <c r="M19" s="459"/>
      <c r="N19" s="459"/>
      <c r="O19" s="459"/>
      <c r="P19" s="459"/>
      <c r="Q19" s="130"/>
      <c r="R19" s="130"/>
      <c r="S19" s="130"/>
      <c r="T19" s="186" t="s">
        <v>1190</v>
      </c>
      <c r="U19" s="130"/>
      <c r="V19" s="130"/>
      <c r="W19" s="130"/>
      <c r="X19" s="5"/>
      <c r="Y19" s="5"/>
      <c r="Z19" s="120"/>
      <c r="AA19" s="131"/>
      <c r="AB19" s="129"/>
    </row>
    <row r="20" spans="5:28" ht="15" customHeight="1">
      <c r="E20" s="459" t="s">
        <v>53</v>
      </c>
      <c r="F20" s="459" t="s">
        <v>1293</v>
      </c>
      <c r="G20" s="459" t="s">
        <v>432</v>
      </c>
      <c r="H20" s="459" t="s">
        <v>243</v>
      </c>
      <c r="I20" s="459"/>
      <c r="J20" s="459"/>
      <c r="K20" s="459"/>
      <c r="L20" s="130"/>
      <c r="M20" s="459"/>
      <c r="N20" s="459"/>
      <c r="O20" s="459"/>
      <c r="P20" s="459"/>
      <c r="Q20" s="130"/>
      <c r="R20" s="130"/>
      <c r="S20" s="130"/>
      <c r="T20" s="186" t="s">
        <v>1190</v>
      </c>
      <c r="U20" s="130"/>
      <c r="V20" s="130"/>
      <c r="W20" s="130"/>
      <c r="X20" s="5"/>
      <c r="Y20" s="5"/>
      <c r="Z20" s="34"/>
      <c r="AA20" s="131"/>
      <c r="AB20" s="129"/>
    </row>
    <row r="21" spans="5:28" ht="15" customHeight="1">
      <c r="E21" s="459" t="s">
        <v>53</v>
      </c>
      <c r="F21" s="459" t="s">
        <v>1288</v>
      </c>
      <c r="G21" s="459" t="s">
        <v>535</v>
      </c>
      <c r="H21" s="459" t="s">
        <v>903</v>
      </c>
      <c r="I21" s="459"/>
      <c r="J21" s="459"/>
      <c r="K21" s="459"/>
      <c r="L21" s="130"/>
      <c r="M21" s="459"/>
      <c r="N21" s="459"/>
      <c r="O21" s="459"/>
      <c r="P21" s="459"/>
      <c r="Q21" s="130"/>
      <c r="R21" s="130"/>
      <c r="S21" s="130"/>
      <c r="T21" s="186" t="s">
        <v>1190</v>
      </c>
      <c r="U21" s="130"/>
      <c r="V21" s="130"/>
      <c r="W21" s="130"/>
      <c r="X21" s="5"/>
      <c r="Y21" s="5"/>
      <c r="Z21" s="34"/>
      <c r="AA21" s="131"/>
    </row>
    <row r="22" spans="5:28" ht="12.5">
      <c r="X22" s="5"/>
      <c r="Y22" s="5"/>
      <c r="Z22" s="5"/>
      <c r="AA22" s="5"/>
      <c r="AB22" s="5"/>
    </row>
    <row r="23" spans="5:28" ht="12.5">
      <c r="E23" s="473"/>
      <c r="X23" s="5"/>
      <c r="Y23" s="5"/>
      <c r="Z23" s="5"/>
      <c r="AA23" s="5"/>
      <c r="AB23" s="5"/>
    </row>
    <row r="24" spans="5:28" ht="18" customHeight="1">
      <c r="E24" s="481" t="s">
        <v>3855</v>
      </c>
      <c r="F24" s="482"/>
      <c r="G24" s="482"/>
      <c r="H24" s="180"/>
      <c r="X24" s="5"/>
      <c r="Y24" s="5"/>
      <c r="Z24" s="5"/>
      <c r="AA24" s="5"/>
      <c r="AB24" s="5"/>
    </row>
    <row r="25" spans="5:28" ht="15.75" customHeight="1">
      <c r="E25" s="129" t="s">
        <v>3856</v>
      </c>
      <c r="S25" s="161"/>
      <c r="X25" s="5"/>
      <c r="Y25" s="5"/>
      <c r="Z25" s="5"/>
      <c r="AA25" s="5"/>
      <c r="AB25" s="5"/>
    </row>
    <row r="26" spans="5:28" ht="15.75" customHeight="1">
      <c r="E26" s="483" t="s">
        <v>3857</v>
      </c>
      <c r="X26" s="5"/>
      <c r="Y26" s="5"/>
      <c r="Z26" s="5"/>
      <c r="AA26" s="5"/>
      <c r="AB26" s="5"/>
    </row>
    <row r="27" spans="5:28" ht="15.75" customHeight="1">
      <c r="E27" s="665" t="s">
        <v>3858</v>
      </c>
      <c r="X27" s="5"/>
      <c r="Y27" s="5"/>
      <c r="Z27" s="5"/>
      <c r="AA27" s="5"/>
      <c r="AB27" s="5"/>
    </row>
    <row r="28" spans="5:28" ht="15.75" customHeight="1">
      <c r="E28" s="129"/>
      <c r="F28" s="483" t="s">
        <v>3859</v>
      </c>
      <c r="X28" s="5"/>
      <c r="Y28" s="5"/>
      <c r="Z28" s="5"/>
      <c r="AA28" s="5"/>
      <c r="AB28" s="5"/>
    </row>
    <row r="29" spans="5:28" ht="15.75" customHeight="1">
      <c r="E29" s="129"/>
      <c r="F29" s="483" t="s">
        <v>3860</v>
      </c>
      <c r="X29" s="5"/>
      <c r="Y29" s="5"/>
      <c r="Z29" s="5"/>
      <c r="AA29" s="5"/>
      <c r="AB29" s="5"/>
    </row>
  </sheetData>
  <autoFilter ref="E4:AB21" xr:uid="{00000000-0009-0000-0000-00001E000000}"/>
  <pageMargins left="0.7" right="0.7" top="0.75" bottom="0.75" header="0" footer="0"/>
  <pageSetup orientation="landscape"/>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filterMode="1">
    <outlinePr summaryBelow="0" summaryRight="0"/>
  </sheetPr>
  <dimension ref="A1:X103"/>
  <sheetViews>
    <sheetView workbookViewId="0">
      <selection activeCell="F32" sqref="F32"/>
    </sheetView>
  </sheetViews>
  <sheetFormatPr defaultColWidth="14.453125" defaultRowHeight="15" customHeight="1"/>
  <cols>
    <col min="2" max="2" width="31.7265625" customWidth="1"/>
    <col min="3" max="3" width="27.26953125" customWidth="1"/>
    <col min="5" max="6" width="9.54296875" customWidth="1"/>
    <col min="7" max="7" width="11" customWidth="1"/>
    <col min="8" max="8" width="39.7265625" customWidth="1"/>
    <col min="9" max="9" width="41.7265625" customWidth="1"/>
  </cols>
  <sheetData>
    <row r="1" spans="1:24" s="571" customFormat="1" ht="30" customHeight="1">
      <c r="A1" s="570" t="s">
        <v>3861</v>
      </c>
    </row>
    <row r="2" spans="1:24" ht="15" customHeight="1">
      <c r="A2" s="459"/>
      <c r="B2" s="459"/>
      <c r="C2" s="459"/>
      <c r="D2" s="459"/>
      <c r="E2" s="459"/>
      <c r="F2" s="459"/>
      <c r="G2" s="218" t="s">
        <v>1038</v>
      </c>
      <c r="H2" s="218"/>
      <c r="I2" s="218"/>
      <c r="J2" s="218"/>
      <c r="K2" s="218"/>
      <c r="L2" s="218"/>
      <c r="M2" s="218"/>
      <c r="N2" s="207"/>
      <c r="O2" s="207"/>
      <c r="P2" s="207"/>
      <c r="Q2" s="381"/>
      <c r="R2" s="381"/>
      <c r="S2" s="381"/>
      <c r="T2" s="56"/>
      <c r="U2" s="56"/>
      <c r="V2" s="252" t="s">
        <v>1039</v>
      </c>
      <c r="W2" s="364"/>
      <c r="X2" s="252"/>
    </row>
    <row r="3" spans="1:24" ht="15" customHeight="1">
      <c r="A3" s="208" t="s">
        <v>224</v>
      </c>
      <c r="B3" s="208" t="s">
        <v>225</v>
      </c>
      <c r="C3" s="208" t="s">
        <v>226</v>
      </c>
      <c r="D3" s="208" t="s">
        <v>227</v>
      </c>
      <c r="E3" s="208" t="s">
        <v>1044</v>
      </c>
      <c r="F3" s="208" t="s">
        <v>1045</v>
      </c>
      <c r="G3" s="218" t="s">
        <v>1046</v>
      </c>
      <c r="H3" s="218" t="s">
        <v>100</v>
      </c>
      <c r="I3" s="218" t="s">
        <v>101</v>
      </c>
      <c r="J3" s="218" t="s">
        <v>102</v>
      </c>
      <c r="K3" s="218" t="s">
        <v>103</v>
      </c>
      <c r="L3" s="218" t="s">
        <v>104</v>
      </c>
      <c r="M3" s="218" t="s">
        <v>105</v>
      </c>
      <c r="N3" s="207" t="s">
        <v>111</v>
      </c>
      <c r="O3" s="207" t="s">
        <v>112</v>
      </c>
      <c r="P3" s="207" t="s">
        <v>103</v>
      </c>
      <c r="Q3" s="381"/>
      <c r="R3" s="381"/>
      <c r="S3" s="381"/>
      <c r="T3" s="226" t="s">
        <v>1049</v>
      </c>
      <c r="U3" s="226" t="s">
        <v>1050</v>
      </c>
      <c r="V3" s="226" t="s">
        <v>237</v>
      </c>
      <c r="W3" s="366" t="s">
        <v>1</v>
      </c>
      <c r="X3" s="226" t="s">
        <v>238</v>
      </c>
    </row>
    <row r="4" spans="1:24" ht="12.5" hidden="1">
      <c r="A4" s="441" t="s">
        <v>55</v>
      </c>
      <c r="B4" s="441" t="s">
        <v>3402</v>
      </c>
      <c r="C4" s="441" t="s">
        <v>247</v>
      </c>
      <c r="D4" s="441" t="s">
        <v>243</v>
      </c>
      <c r="E4" s="441"/>
      <c r="F4" s="382">
        <v>2</v>
      </c>
    </row>
    <row r="5" spans="1:24" ht="12.5">
      <c r="A5" s="441" t="s">
        <v>55</v>
      </c>
      <c r="B5" s="441" t="s">
        <v>921</v>
      </c>
      <c r="C5" s="441" t="s">
        <v>922</v>
      </c>
      <c r="D5" s="441" t="s">
        <v>243</v>
      </c>
      <c r="E5" s="441"/>
      <c r="F5" s="382">
        <v>6</v>
      </c>
      <c r="G5" s="441" t="s">
        <v>682</v>
      </c>
      <c r="H5" s="441" t="s">
        <v>3862</v>
      </c>
      <c r="I5" s="441" t="s">
        <v>970</v>
      </c>
    </row>
    <row r="6" spans="1:24" ht="12.5">
      <c r="A6" s="441" t="s">
        <v>55</v>
      </c>
      <c r="B6" s="441" t="s">
        <v>971</v>
      </c>
      <c r="C6" s="441" t="s">
        <v>324</v>
      </c>
      <c r="D6" s="441" t="s">
        <v>243</v>
      </c>
      <c r="E6" s="441"/>
      <c r="F6" s="382">
        <v>7</v>
      </c>
      <c r="G6" s="441" t="s">
        <v>682</v>
      </c>
      <c r="H6" s="441" t="s">
        <v>3862</v>
      </c>
      <c r="I6" s="441" t="s">
        <v>972</v>
      </c>
    </row>
    <row r="7" spans="1:24" ht="12.5" hidden="1">
      <c r="A7" s="441" t="s">
        <v>55</v>
      </c>
      <c r="B7" s="441" t="s">
        <v>3349</v>
      </c>
      <c r="C7" s="441" t="s">
        <v>324</v>
      </c>
      <c r="D7" s="441" t="s">
        <v>243</v>
      </c>
      <c r="E7" s="441"/>
      <c r="F7" s="382">
        <v>8</v>
      </c>
    </row>
    <row r="8" spans="1:24" ht="12.5" hidden="1">
      <c r="A8" s="441" t="s">
        <v>55</v>
      </c>
      <c r="B8" s="441" t="s">
        <v>3351</v>
      </c>
      <c r="C8" s="441" t="s">
        <v>324</v>
      </c>
      <c r="D8" s="441" t="s">
        <v>243</v>
      </c>
      <c r="E8" s="441"/>
      <c r="F8" s="382">
        <v>9</v>
      </c>
    </row>
    <row r="9" spans="1:24" ht="12.5">
      <c r="A9" s="441" t="s">
        <v>61</v>
      </c>
      <c r="B9" s="441" t="s">
        <v>936</v>
      </c>
      <c r="C9" s="441" t="s">
        <v>247</v>
      </c>
      <c r="D9" s="441" t="s">
        <v>243</v>
      </c>
      <c r="E9" s="441"/>
      <c r="F9" s="382">
        <v>10</v>
      </c>
      <c r="G9" s="441" t="s">
        <v>682</v>
      </c>
      <c r="H9" s="441" t="s">
        <v>3862</v>
      </c>
      <c r="I9" s="441" t="s">
        <v>986</v>
      </c>
    </row>
    <row r="10" spans="1:24" ht="12.5">
      <c r="A10" s="441" t="s">
        <v>55</v>
      </c>
      <c r="B10" s="441" t="s">
        <v>987</v>
      </c>
      <c r="C10" s="441" t="s">
        <v>247</v>
      </c>
      <c r="D10" s="441" t="s">
        <v>243</v>
      </c>
      <c r="E10" s="441"/>
      <c r="F10" s="382">
        <v>11</v>
      </c>
      <c r="G10" s="441" t="s">
        <v>682</v>
      </c>
      <c r="H10" s="441" t="s">
        <v>3862</v>
      </c>
      <c r="I10" s="441" t="s">
        <v>988</v>
      </c>
    </row>
    <row r="11" spans="1:24" ht="12.5">
      <c r="A11" s="441" t="s">
        <v>55</v>
      </c>
      <c r="B11" s="441" t="s">
        <v>989</v>
      </c>
      <c r="C11" s="441" t="s">
        <v>247</v>
      </c>
      <c r="D11" s="441" t="s">
        <v>243</v>
      </c>
      <c r="E11" s="441"/>
      <c r="F11" s="382">
        <v>12</v>
      </c>
      <c r="G11" s="441" t="s">
        <v>682</v>
      </c>
      <c r="H11" s="441" t="s">
        <v>3862</v>
      </c>
      <c r="I11" s="441" t="s">
        <v>990</v>
      </c>
    </row>
    <row r="12" spans="1:24" ht="12.5" hidden="1">
      <c r="A12" s="441" t="s">
        <v>55</v>
      </c>
      <c r="B12" s="441" t="s">
        <v>420</v>
      </c>
      <c r="C12" s="441" t="s">
        <v>3863</v>
      </c>
      <c r="D12" s="441" t="s">
        <v>243</v>
      </c>
      <c r="E12" s="441"/>
      <c r="F12" s="382">
        <v>100</v>
      </c>
    </row>
    <row r="13" spans="1:24" ht="12.5" hidden="1">
      <c r="A13" s="441" t="s">
        <v>55</v>
      </c>
      <c r="B13" s="441" t="s">
        <v>3414</v>
      </c>
      <c r="C13" s="441" t="s">
        <v>429</v>
      </c>
      <c r="D13" s="441" t="s">
        <v>243</v>
      </c>
      <c r="E13" s="441"/>
      <c r="F13" s="382">
        <v>13</v>
      </c>
    </row>
    <row r="14" spans="1:24" ht="12.5" hidden="1">
      <c r="A14" s="441" t="s">
        <v>53</v>
      </c>
      <c r="B14" s="441" t="s">
        <v>1189</v>
      </c>
      <c r="C14" s="441" t="s">
        <v>249</v>
      </c>
      <c r="D14" s="441" t="s">
        <v>243</v>
      </c>
      <c r="E14" s="441"/>
      <c r="F14" s="382">
        <v>14</v>
      </c>
    </row>
    <row r="15" spans="1:24" ht="12.5" hidden="1">
      <c r="A15" s="441" t="s">
        <v>53</v>
      </c>
      <c r="B15" s="441" t="s">
        <v>1191</v>
      </c>
      <c r="C15" s="441" t="s">
        <v>252</v>
      </c>
      <c r="D15" s="441" t="s">
        <v>243</v>
      </c>
      <c r="E15" s="441"/>
      <c r="F15" s="382">
        <v>15</v>
      </c>
    </row>
    <row r="16" spans="1:24" ht="12.5" hidden="1">
      <c r="A16" s="441" t="s">
        <v>53</v>
      </c>
      <c r="B16" s="441" t="s">
        <v>1192</v>
      </c>
      <c r="C16" s="441" t="s">
        <v>242</v>
      </c>
      <c r="D16" s="441" t="s">
        <v>243</v>
      </c>
      <c r="E16" s="441"/>
      <c r="F16" s="382">
        <v>16</v>
      </c>
    </row>
    <row r="17" spans="1:9" ht="12.5" hidden="1">
      <c r="A17" s="441" t="s">
        <v>53</v>
      </c>
      <c r="B17" s="441" t="s">
        <v>1193</v>
      </c>
      <c r="C17" s="441" t="s">
        <v>247</v>
      </c>
      <c r="D17" s="441" t="s">
        <v>243</v>
      </c>
      <c r="E17" s="441"/>
      <c r="F17" s="382">
        <v>17</v>
      </c>
    </row>
    <row r="18" spans="1:9" ht="12.5" hidden="1">
      <c r="A18" s="441" t="s">
        <v>53</v>
      </c>
      <c r="B18" s="441" t="s">
        <v>1194</v>
      </c>
      <c r="C18" s="441" t="s">
        <v>252</v>
      </c>
      <c r="D18" s="441" t="s">
        <v>243</v>
      </c>
      <c r="E18" s="441"/>
      <c r="F18" s="382">
        <v>18</v>
      </c>
    </row>
    <row r="19" spans="1:9" ht="12.5" hidden="1">
      <c r="A19" s="441" t="s">
        <v>53</v>
      </c>
      <c r="B19" s="441" t="s">
        <v>1195</v>
      </c>
      <c r="C19" s="441" t="s">
        <v>247</v>
      </c>
      <c r="D19" s="441" t="s">
        <v>243</v>
      </c>
      <c r="E19" s="441"/>
      <c r="F19" s="382">
        <v>19</v>
      </c>
    </row>
    <row r="20" spans="1:9" ht="12.5" hidden="1">
      <c r="A20" s="441" t="s">
        <v>53</v>
      </c>
      <c r="B20" s="441" t="s">
        <v>1196</v>
      </c>
      <c r="C20" s="441" t="s">
        <v>535</v>
      </c>
      <c r="D20" s="441" t="s">
        <v>903</v>
      </c>
      <c r="E20" s="441"/>
      <c r="F20" s="382">
        <v>20</v>
      </c>
    </row>
    <row r="21" spans="1:9" ht="12.5" hidden="1">
      <c r="A21" s="441" t="s">
        <v>55</v>
      </c>
      <c r="B21" s="441" t="s">
        <v>3416</v>
      </c>
      <c r="C21" s="441" t="s">
        <v>324</v>
      </c>
      <c r="D21" s="441" t="s">
        <v>243</v>
      </c>
      <c r="E21" s="441"/>
      <c r="F21" s="382">
        <v>21</v>
      </c>
    </row>
    <row r="22" spans="1:9" ht="12.5" hidden="1">
      <c r="A22" s="441" t="s">
        <v>55</v>
      </c>
      <c r="B22" s="441" t="s">
        <v>3734</v>
      </c>
      <c r="C22" s="441" t="s">
        <v>3501</v>
      </c>
      <c r="D22" s="441" t="s">
        <v>243</v>
      </c>
      <c r="E22" s="441"/>
      <c r="F22" s="382">
        <v>22</v>
      </c>
    </row>
    <row r="23" spans="1:9" ht="12.5" hidden="1">
      <c r="A23" s="441" t="s">
        <v>55</v>
      </c>
      <c r="B23" s="441" t="s">
        <v>938</v>
      </c>
      <c r="C23" s="441" t="s">
        <v>255</v>
      </c>
      <c r="D23" s="441" t="s">
        <v>243</v>
      </c>
      <c r="E23" s="441"/>
      <c r="F23" s="382">
        <v>23</v>
      </c>
    </row>
    <row r="24" spans="1:9" ht="12.5" hidden="1">
      <c r="A24" s="441" t="s">
        <v>55</v>
      </c>
      <c r="B24" s="441" t="s">
        <v>3422</v>
      </c>
      <c r="C24" s="441" t="s">
        <v>324</v>
      </c>
      <c r="D24" s="441" t="s">
        <v>243</v>
      </c>
      <c r="E24" s="441"/>
      <c r="F24" s="382">
        <v>24</v>
      </c>
    </row>
    <row r="25" spans="1:9" ht="12.5">
      <c r="A25" s="441" t="s">
        <v>55</v>
      </c>
      <c r="B25" s="441" t="s">
        <v>924</v>
      </c>
      <c r="C25" s="441" t="s">
        <v>925</v>
      </c>
      <c r="D25" s="441" t="s">
        <v>243</v>
      </c>
      <c r="E25" s="441"/>
      <c r="F25" s="382">
        <v>25</v>
      </c>
      <c r="G25" s="441" t="s">
        <v>682</v>
      </c>
      <c r="H25" s="441" t="s">
        <v>3862</v>
      </c>
      <c r="I25" s="441" t="s">
        <v>973</v>
      </c>
    </row>
    <row r="26" spans="1:9" ht="12.5" hidden="1">
      <c r="A26" s="441" t="s">
        <v>55</v>
      </c>
      <c r="B26" s="441" t="s">
        <v>3864</v>
      </c>
      <c r="C26" s="441" t="s">
        <v>264</v>
      </c>
      <c r="D26" s="441" t="s">
        <v>243</v>
      </c>
      <c r="E26" s="441"/>
      <c r="F26" s="382">
        <v>99</v>
      </c>
    </row>
    <row r="27" spans="1:9" ht="12.5" hidden="1">
      <c r="A27" s="441" t="s">
        <v>55</v>
      </c>
      <c r="B27" s="441" t="s">
        <v>3865</v>
      </c>
      <c r="C27" s="441" t="s">
        <v>246</v>
      </c>
      <c r="D27" s="441" t="s">
        <v>243</v>
      </c>
      <c r="E27" s="441"/>
      <c r="F27" s="382">
        <v>86</v>
      </c>
    </row>
    <row r="28" spans="1:9" ht="12.5" hidden="1">
      <c r="A28" s="441" t="s">
        <v>55</v>
      </c>
      <c r="B28" s="441" t="s">
        <v>3740</v>
      </c>
      <c r="C28" s="441" t="s">
        <v>535</v>
      </c>
      <c r="D28" s="441" t="s">
        <v>243</v>
      </c>
      <c r="E28" s="441"/>
      <c r="F28" s="382">
        <v>76</v>
      </c>
    </row>
    <row r="29" spans="1:9" ht="49.5" customHeight="1">
      <c r="A29" s="441" t="s">
        <v>55</v>
      </c>
      <c r="B29" s="441" t="s">
        <v>1032</v>
      </c>
      <c r="C29" s="441" t="s">
        <v>535</v>
      </c>
      <c r="D29" s="441" t="s">
        <v>243</v>
      </c>
      <c r="E29" s="441"/>
      <c r="F29" s="382">
        <v>77</v>
      </c>
      <c r="G29" s="441" t="s">
        <v>682</v>
      </c>
      <c r="H29" s="441" t="s">
        <v>3862</v>
      </c>
      <c r="I29" s="193" t="s">
        <v>3866</v>
      </c>
    </row>
    <row r="30" spans="1:9" ht="12.5" hidden="1">
      <c r="A30" s="441" t="s">
        <v>55</v>
      </c>
      <c r="B30" s="441" t="s">
        <v>3433</v>
      </c>
      <c r="C30" s="441" t="s">
        <v>324</v>
      </c>
      <c r="D30" s="441" t="s">
        <v>243</v>
      </c>
      <c r="E30" s="441"/>
      <c r="F30" s="382">
        <v>26</v>
      </c>
    </row>
    <row r="31" spans="1:9" ht="12.5" hidden="1">
      <c r="A31" s="441" t="s">
        <v>55</v>
      </c>
      <c r="B31" s="441" t="s">
        <v>3435</v>
      </c>
      <c r="C31" s="441" t="s">
        <v>324</v>
      </c>
      <c r="D31" s="441" t="s">
        <v>243</v>
      </c>
      <c r="E31" s="441"/>
      <c r="F31" s="382">
        <v>27</v>
      </c>
    </row>
    <row r="32" spans="1:9" ht="12.5">
      <c r="A32" s="441" t="s">
        <v>55</v>
      </c>
      <c r="B32" s="441" t="s">
        <v>950</v>
      </c>
      <c r="C32" s="441" t="s">
        <v>324</v>
      </c>
      <c r="D32" s="441" t="s">
        <v>243</v>
      </c>
      <c r="E32" s="441"/>
      <c r="F32" s="382">
        <v>28</v>
      </c>
      <c r="G32" s="441" t="s">
        <v>682</v>
      </c>
      <c r="H32" s="441" t="s">
        <v>3862</v>
      </c>
      <c r="I32" s="441" t="s">
        <v>964</v>
      </c>
    </row>
    <row r="33" spans="1:9" ht="12.5" hidden="1">
      <c r="A33" s="441" t="s">
        <v>55</v>
      </c>
      <c r="B33" s="441" t="s">
        <v>3443</v>
      </c>
      <c r="C33" s="441" t="s">
        <v>324</v>
      </c>
      <c r="D33" s="441" t="s">
        <v>243</v>
      </c>
      <c r="E33" s="441"/>
      <c r="F33" s="382">
        <v>29</v>
      </c>
    </row>
    <row r="34" spans="1:9" ht="12.5" hidden="1">
      <c r="A34" s="441" t="s">
        <v>55</v>
      </c>
      <c r="B34" s="441" t="s">
        <v>3445</v>
      </c>
      <c r="C34" s="441" t="s">
        <v>324</v>
      </c>
      <c r="D34" s="441" t="s">
        <v>243</v>
      </c>
      <c r="E34" s="441"/>
      <c r="F34" s="382">
        <v>30</v>
      </c>
    </row>
    <row r="35" spans="1:9" ht="12.5" hidden="1">
      <c r="A35" s="441" t="s">
        <v>55</v>
      </c>
      <c r="B35" s="441" t="s">
        <v>3867</v>
      </c>
      <c r="C35" s="441" t="s">
        <v>249</v>
      </c>
      <c r="D35" s="441" t="s">
        <v>243</v>
      </c>
      <c r="E35" s="441"/>
      <c r="F35" s="382">
        <v>93</v>
      </c>
    </row>
    <row r="36" spans="1:9" ht="12.5" hidden="1">
      <c r="A36" s="441" t="s">
        <v>55</v>
      </c>
      <c r="B36" s="441" t="s">
        <v>1031</v>
      </c>
      <c r="C36" s="441" t="s">
        <v>249</v>
      </c>
      <c r="D36" s="441" t="s">
        <v>243</v>
      </c>
      <c r="E36" s="441"/>
      <c r="F36" s="382">
        <v>31</v>
      </c>
    </row>
    <row r="37" spans="1:9" ht="12.5">
      <c r="A37" s="441" t="s">
        <v>55</v>
      </c>
      <c r="B37" s="441" t="s">
        <v>914</v>
      </c>
      <c r="C37" s="441" t="s">
        <v>3868</v>
      </c>
      <c r="D37" s="441" t="s">
        <v>243</v>
      </c>
      <c r="E37" s="441"/>
      <c r="F37" s="382">
        <v>32</v>
      </c>
      <c r="G37" s="441" t="s">
        <v>682</v>
      </c>
      <c r="H37" s="441" t="s">
        <v>3862</v>
      </c>
      <c r="I37" s="441" t="s">
        <v>965</v>
      </c>
    </row>
    <row r="38" spans="1:9" ht="12.5" hidden="1">
      <c r="A38" s="441" t="s">
        <v>55</v>
      </c>
      <c r="B38" s="441" t="s">
        <v>3460</v>
      </c>
      <c r="C38" s="441" t="s">
        <v>255</v>
      </c>
      <c r="D38" s="441" t="s">
        <v>243</v>
      </c>
      <c r="E38" s="441"/>
      <c r="F38" s="382">
        <v>33</v>
      </c>
    </row>
    <row r="39" spans="1:9" ht="12.5" hidden="1">
      <c r="A39" s="441" t="s">
        <v>55</v>
      </c>
      <c r="B39" s="441" t="s">
        <v>3462</v>
      </c>
      <c r="C39" s="441" t="s">
        <v>255</v>
      </c>
      <c r="D39" s="441" t="s">
        <v>243</v>
      </c>
      <c r="E39" s="441"/>
      <c r="F39" s="382">
        <v>34</v>
      </c>
    </row>
    <row r="40" spans="1:9" ht="12.5">
      <c r="A40" s="441" t="s">
        <v>55</v>
      </c>
      <c r="B40" s="441" t="s">
        <v>174</v>
      </c>
      <c r="C40" s="441" t="s">
        <v>909</v>
      </c>
      <c r="D40" s="441" t="s">
        <v>243</v>
      </c>
      <c r="E40" s="441"/>
      <c r="F40" s="382">
        <v>35</v>
      </c>
      <c r="G40" s="441" t="s">
        <v>682</v>
      </c>
      <c r="H40" s="441" t="s">
        <v>3862</v>
      </c>
      <c r="I40" s="441" t="s">
        <v>3869</v>
      </c>
    </row>
    <row r="41" spans="1:9" ht="12.5" hidden="1">
      <c r="A41" s="441" t="s">
        <v>55</v>
      </c>
      <c r="B41" s="441" t="s">
        <v>3759</v>
      </c>
      <c r="C41" s="441" t="s">
        <v>535</v>
      </c>
      <c r="D41" s="441" t="s">
        <v>243</v>
      </c>
      <c r="E41" s="441"/>
      <c r="F41" s="382">
        <v>78</v>
      </c>
    </row>
    <row r="42" spans="1:9" ht="12.5" hidden="1">
      <c r="A42" s="441" t="s">
        <v>55</v>
      </c>
      <c r="B42" s="441" t="s">
        <v>3761</v>
      </c>
      <c r="C42" s="441" t="s">
        <v>324</v>
      </c>
      <c r="D42" s="441" t="s">
        <v>243</v>
      </c>
      <c r="E42" s="441"/>
      <c r="F42" s="382">
        <v>36</v>
      </c>
    </row>
    <row r="43" spans="1:9" ht="12.5" hidden="1">
      <c r="A43" s="441" t="s">
        <v>55</v>
      </c>
      <c r="B43" s="441" t="s">
        <v>3470</v>
      </c>
      <c r="C43" s="441" t="s">
        <v>324</v>
      </c>
      <c r="D43" s="441" t="s">
        <v>243</v>
      </c>
      <c r="E43" s="441"/>
      <c r="F43" s="382">
        <v>37</v>
      </c>
    </row>
    <row r="44" spans="1:9" ht="12.5" hidden="1">
      <c r="A44" s="441" t="s">
        <v>55</v>
      </c>
      <c r="B44" s="441" t="s">
        <v>940</v>
      </c>
      <c r="C44" s="441" t="s">
        <v>941</v>
      </c>
      <c r="D44" s="441" t="s">
        <v>243</v>
      </c>
      <c r="E44" s="441"/>
      <c r="F44" s="382">
        <v>38</v>
      </c>
    </row>
    <row r="45" spans="1:9" ht="12.5" hidden="1">
      <c r="A45" s="441" t="s">
        <v>53</v>
      </c>
      <c r="B45" s="441" t="s">
        <v>124</v>
      </c>
      <c r="C45" s="441" t="s">
        <v>535</v>
      </c>
      <c r="D45" s="441" t="s">
        <v>903</v>
      </c>
      <c r="E45" s="441"/>
      <c r="F45" s="382">
        <v>1</v>
      </c>
    </row>
    <row r="46" spans="1:9" ht="12.5" hidden="1">
      <c r="A46" s="441" t="s">
        <v>55</v>
      </c>
      <c r="B46" s="441" t="s">
        <v>3765</v>
      </c>
      <c r="C46" s="441" t="s">
        <v>589</v>
      </c>
      <c r="D46" s="441" t="s">
        <v>243</v>
      </c>
      <c r="E46" s="441"/>
      <c r="F46" s="382">
        <v>39</v>
      </c>
    </row>
    <row r="47" spans="1:9" ht="12.5" hidden="1">
      <c r="A47" s="441" t="s">
        <v>55</v>
      </c>
      <c r="B47" s="441" t="s">
        <v>3870</v>
      </c>
      <c r="C47" s="441" t="s">
        <v>249</v>
      </c>
      <c r="D47" s="441" t="s">
        <v>243</v>
      </c>
      <c r="E47" s="441"/>
      <c r="F47" s="382">
        <v>97</v>
      </c>
    </row>
    <row r="48" spans="1:9" ht="12.5" hidden="1">
      <c r="A48" s="441" t="s">
        <v>55</v>
      </c>
      <c r="B48" s="441" t="s">
        <v>3771</v>
      </c>
      <c r="C48" s="441" t="s">
        <v>264</v>
      </c>
      <c r="D48" s="441" t="s">
        <v>243</v>
      </c>
      <c r="E48" s="441"/>
      <c r="F48" s="382">
        <v>84</v>
      </c>
    </row>
    <row r="49" spans="1:9" ht="12.5">
      <c r="A49" s="441" t="s">
        <v>55</v>
      </c>
      <c r="B49" s="441" t="s">
        <v>916</v>
      </c>
      <c r="C49" s="441" t="s">
        <v>247</v>
      </c>
      <c r="D49" s="441" t="s">
        <v>243</v>
      </c>
      <c r="E49" s="441"/>
      <c r="F49" s="382">
        <v>40</v>
      </c>
      <c r="G49" s="441" t="s">
        <v>682</v>
      </c>
      <c r="H49" s="441" t="s">
        <v>3862</v>
      </c>
      <c r="I49" s="441" t="s">
        <v>967</v>
      </c>
    </row>
    <row r="50" spans="1:9" ht="12.5">
      <c r="A50" s="441" t="s">
        <v>55</v>
      </c>
      <c r="B50" s="441" t="s">
        <v>3483</v>
      </c>
      <c r="C50" s="441" t="s">
        <v>247</v>
      </c>
      <c r="D50" s="441" t="s">
        <v>243</v>
      </c>
      <c r="E50" s="441"/>
      <c r="F50" s="382">
        <v>89</v>
      </c>
      <c r="G50" s="441" t="s">
        <v>682</v>
      </c>
      <c r="H50" s="441" t="s">
        <v>3862</v>
      </c>
      <c r="I50" s="441" t="s">
        <v>973</v>
      </c>
    </row>
    <row r="51" spans="1:9" ht="12.5" hidden="1">
      <c r="A51" s="441" t="s">
        <v>55</v>
      </c>
      <c r="B51" s="441" t="s">
        <v>3485</v>
      </c>
      <c r="C51" s="441" t="s">
        <v>247</v>
      </c>
      <c r="D51" s="441" t="s">
        <v>243</v>
      </c>
      <c r="E51" s="441"/>
      <c r="F51" s="382">
        <v>91</v>
      </c>
    </row>
    <row r="52" spans="1:9" ht="12.5">
      <c r="A52" s="441" t="s">
        <v>55</v>
      </c>
      <c r="B52" s="441" t="s">
        <v>918</v>
      </c>
      <c r="C52" s="441" t="s">
        <v>919</v>
      </c>
      <c r="D52" s="441" t="s">
        <v>243</v>
      </c>
      <c r="E52" s="441"/>
      <c r="F52" s="382">
        <v>41</v>
      </c>
      <c r="G52" s="441" t="s">
        <v>682</v>
      </c>
      <c r="H52" s="441" t="s">
        <v>3862</v>
      </c>
      <c r="I52" s="441" t="s">
        <v>3869</v>
      </c>
    </row>
    <row r="53" spans="1:9" ht="12.5">
      <c r="A53" s="441" t="s">
        <v>55</v>
      </c>
      <c r="B53" s="441" t="s">
        <v>3491</v>
      </c>
      <c r="C53" s="441" t="s">
        <v>247</v>
      </c>
      <c r="D53" s="441" t="s">
        <v>243</v>
      </c>
      <c r="E53" s="441"/>
      <c r="F53" s="382">
        <v>87</v>
      </c>
      <c r="G53" s="441" t="s">
        <v>682</v>
      </c>
      <c r="H53" s="441" t="s">
        <v>3862</v>
      </c>
      <c r="I53" s="441" t="s">
        <v>975</v>
      </c>
    </row>
    <row r="54" spans="1:9" ht="12.5">
      <c r="A54" s="441" t="s">
        <v>55</v>
      </c>
      <c r="B54" s="441" t="s">
        <v>3493</v>
      </c>
      <c r="C54" s="441" t="s">
        <v>247</v>
      </c>
      <c r="D54" s="441" t="s">
        <v>243</v>
      </c>
      <c r="E54" s="441"/>
      <c r="F54" s="382">
        <v>88</v>
      </c>
      <c r="G54" s="441" t="s">
        <v>682</v>
      </c>
      <c r="H54" s="441" t="s">
        <v>3862</v>
      </c>
      <c r="I54" s="441" t="s">
        <v>3871</v>
      </c>
    </row>
    <row r="55" spans="1:9" ht="12.5">
      <c r="A55" s="441" t="s">
        <v>55</v>
      </c>
      <c r="B55" s="441" t="s">
        <v>3494</v>
      </c>
      <c r="C55" s="441" t="s">
        <v>247</v>
      </c>
      <c r="D55" s="441" t="s">
        <v>243</v>
      </c>
      <c r="E55" s="441"/>
      <c r="F55" s="382">
        <v>90</v>
      </c>
      <c r="G55" s="441" t="s">
        <v>682</v>
      </c>
      <c r="H55" s="441" t="s">
        <v>3862</v>
      </c>
      <c r="I55" s="441" t="s">
        <v>977</v>
      </c>
    </row>
    <row r="56" spans="1:9" ht="12.5" hidden="1">
      <c r="A56" s="441" t="s">
        <v>55</v>
      </c>
      <c r="B56" s="441" t="s">
        <v>3495</v>
      </c>
      <c r="C56" s="441" t="s">
        <v>324</v>
      </c>
      <c r="D56" s="441" t="s">
        <v>243</v>
      </c>
      <c r="E56" s="441"/>
      <c r="F56" s="382">
        <v>42</v>
      </c>
    </row>
    <row r="57" spans="1:9" ht="12.5">
      <c r="A57" s="441" t="s">
        <v>55</v>
      </c>
      <c r="B57" s="441" t="s">
        <v>943</v>
      </c>
      <c r="C57" s="441" t="s">
        <v>247</v>
      </c>
      <c r="D57" s="441" t="s">
        <v>243</v>
      </c>
      <c r="E57" s="441"/>
      <c r="F57" s="382">
        <v>43</v>
      </c>
      <c r="G57" s="441" t="s">
        <v>682</v>
      </c>
      <c r="H57" s="441" t="s">
        <v>3862</v>
      </c>
      <c r="I57" s="441" t="s">
        <v>966</v>
      </c>
    </row>
    <row r="58" spans="1:9" ht="12.5" hidden="1">
      <c r="A58" s="441" t="s">
        <v>55</v>
      </c>
      <c r="B58" s="441" t="s">
        <v>3500</v>
      </c>
      <c r="C58" s="441" t="s">
        <v>3501</v>
      </c>
      <c r="D58" s="441" t="s">
        <v>243</v>
      </c>
      <c r="E58" s="441"/>
      <c r="F58" s="382">
        <v>44</v>
      </c>
    </row>
    <row r="59" spans="1:9" ht="12.5" hidden="1">
      <c r="A59" s="441" t="s">
        <v>55</v>
      </c>
      <c r="B59" s="441" t="s">
        <v>1021</v>
      </c>
      <c r="C59" s="441" t="s">
        <v>324</v>
      </c>
      <c r="D59" s="441" t="s">
        <v>243</v>
      </c>
      <c r="E59" s="441"/>
      <c r="F59" s="382">
        <v>45</v>
      </c>
    </row>
    <row r="60" spans="1:9" ht="12.5" hidden="1">
      <c r="A60" s="441" t="s">
        <v>55</v>
      </c>
      <c r="B60" s="441" t="s">
        <v>1028</v>
      </c>
      <c r="C60" s="441" t="s">
        <v>324</v>
      </c>
      <c r="D60" s="441" t="s">
        <v>243</v>
      </c>
      <c r="E60" s="441"/>
      <c r="F60" s="382">
        <v>46</v>
      </c>
    </row>
    <row r="61" spans="1:9" ht="36.75" customHeight="1">
      <c r="A61" s="441" t="s">
        <v>55</v>
      </c>
      <c r="B61" s="441" t="s">
        <v>934</v>
      </c>
      <c r="C61" s="441" t="s">
        <v>264</v>
      </c>
      <c r="D61" s="441" t="s">
        <v>243</v>
      </c>
      <c r="E61" s="441"/>
      <c r="F61" s="382">
        <v>47</v>
      </c>
      <c r="G61" s="441" t="s">
        <v>682</v>
      </c>
      <c r="H61" s="441" t="s">
        <v>3862</v>
      </c>
      <c r="I61" s="441" t="s">
        <v>3872</v>
      </c>
    </row>
    <row r="62" spans="1:9" ht="12.5" hidden="1">
      <c r="A62" s="441" t="s">
        <v>55</v>
      </c>
      <c r="B62" s="441" t="s">
        <v>3364</v>
      </c>
      <c r="C62" s="441" t="s">
        <v>995</v>
      </c>
      <c r="D62" s="441" t="s">
        <v>243</v>
      </c>
      <c r="E62" s="441"/>
      <c r="F62" s="382">
        <v>48</v>
      </c>
    </row>
    <row r="63" spans="1:9" ht="12.5">
      <c r="A63" s="441" t="s">
        <v>55</v>
      </c>
      <c r="B63" s="441" t="s">
        <v>945</v>
      </c>
      <c r="C63" s="441" t="s">
        <v>264</v>
      </c>
      <c r="D63" s="441" t="s">
        <v>243</v>
      </c>
      <c r="E63" s="441"/>
      <c r="F63" s="382">
        <v>49</v>
      </c>
      <c r="G63" s="441" t="s">
        <v>682</v>
      </c>
      <c r="H63" s="441" t="s">
        <v>3862</v>
      </c>
      <c r="I63" s="441" t="s">
        <v>991</v>
      </c>
    </row>
    <row r="64" spans="1:9" ht="12.5" hidden="1">
      <c r="A64" s="441" t="s">
        <v>55</v>
      </c>
      <c r="B64" s="441" t="s">
        <v>3368</v>
      </c>
      <c r="C64" s="441" t="s">
        <v>995</v>
      </c>
      <c r="D64" s="441" t="s">
        <v>243</v>
      </c>
      <c r="E64" s="441"/>
      <c r="F64" s="382">
        <v>50</v>
      </c>
    </row>
    <row r="65" spans="1:9" ht="12.5" hidden="1">
      <c r="A65" s="441" t="s">
        <v>55</v>
      </c>
      <c r="B65" s="441" t="s">
        <v>912</v>
      </c>
      <c r="C65" s="441" t="s">
        <v>324</v>
      </c>
      <c r="D65" s="441" t="s">
        <v>243</v>
      </c>
      <c r="E65" s="441"/>
      <c r="F65" s="382">
        <v>51</v>
      </c>
    </row>
    <row r="66" spans="1:9" ht="12.5" hidden="1">
      <c r="A66" s="441" t="s">
        <v>55</v>
      </c>
      <c r="B66" s="441" t="s">
        <v>3516</v>
      </c>
      <c r="C66" s="441" t="s">
        <v>324</v>
      </c>
      <c r="D66" s="441" t="s">
        <v>243</v>
      </c>
      <c r="E66" s="441"/>
      <c r="F66" s="382">
        <v>52</v>
      </c>
    </row>
    <row r="67" spans="1:9" ht="25">
      <c r="A67" s="441" t="s">
        <v>61</v>
      </c>
      <c r="B67" s="441" t="s">
        <v>3522</v>
      </c>
      <c r="C67" s="441" t="s">
        <v>535</v>
      </c>
      <c r="D67" s="441" t="s">
        <v>243</v>
      </c>
      <c r="E67" s="441"/>
      <c r="F67" s="382">
        <v>79</v>
      </c>
      <c r="G67" s="441" t="s">
        <v>682</v>
      </c>
      <c r="H67" s="441" t="s">
        <v>3862</v>
      </c>
      <c r="I67" s="441" t="s">
        <v>3873</v>
      </c>
    </row>
    <row r="68" spans="1:9" ht="12.5" hidden="1">
      <c r="A68" s="441" t="s">
        <v>55</v>
      </c>
      <c r="B68" s="441" t="s">
        <v>3874</v>
      </c>
      <c r="C68" s="441" t="s">
        <v>264</v>
      </c>
      <c r="D68" s="441" t="s">
        <v>243</v>
      </c>
      <c r="E68" s="441"/>
      <c r="F68" s="382">
        <v>95</v>
      </c>
    </row>
    <row r="69" spans="1:9" ht="12.5" hidden="1">
      <c r="A69" s="441" t="s">
        <v>55</v>
      </c>
      <c r="B69" s="441" t="s">
        <v>3789</v>
      </c>
      <c r="C69" s="441" t="s">
        <v>432</v>
      </c>
      <c r="D69" s="441" t="s">
        <v>243</v>
      </c>
      <c r="E69" s="441"/>
      <c r="F69" s="382">
        <v>83</v>
      </c>
    </row>
    <row r="70" spans="1:9" ht="12.5" hidden="1">
      <c r="A70" s="441" t="s">
        <v>55</v>
      </c>
      <c r="B70" s="441" t="s">
        <v>3875</v>
      </c>
      <c r="C70" s="441" t="s">
        <v>247</v>
      </c>
      <c r="D70" s="441" t="s">
        <v>243</v>
      </c>
      <c r="E70" s="441"/>
      <c r="F70" s="382">
        <v>94</v>
      </c>
    </row>
    <row r="71" spans="1:9" ht="12.5" hidden="1">
      <c r="A71" s="441" t="s">
        <v>55</v>
      </c>
      <c r="B71" s="441" t="s">
        <v>3520</v>
      </c>
      <c r="C71" s="441" t="s">
        <v>255</v>
      </c>
      <c r="D71" s="441" t="s">
        <v>243</v>
      </c>
      <c r="E71" s="441"/>
      <c r="F71" s="382">
        <v>55</v>
      </c>
    </row>
    <row r="72" spans="1:9" ht="12.5" hidden="1">
      <c r="A72" s="441" t="s">
        <v>55</v>
      </c>
      <c r="B72" s="441" t="s">
        <v>3525</v>
      </c>
      <c r="C72" s="441" t="s">
        <v>255</v>
      </c>
      <c r="D72" s="441" t="s">
        <v>243</v>
      </c>
      <c r="E72" s="441"/>
      <c r="F72" s="382">
        <v>56</v>
      </c>
    </row>
    <row r="73" spans="1:9" ht="12.5" hidden="1">
      <c r="A73" s="441" t="s">
        <v>55</v>
      </c>
      <c r="B73" s="441" t="s">
        <v>1286</v>
      </c>
      <c r="C73" s="441" t="s">
        <v>429</v>
      </c>
      <c r="D73" s="441" t="s">
        <v>243</v>
      </c>
      <c r="E73" s="441"/>
      <c r="F73" s="382">
        <v>57</v>
      </c>
    </row>
    <row r="74" spans="1:9" ht="12.5" hidden="1">
      <c r="A74" s="441" t="s">
        <v>55</v>
      </c>
      <c r="B74" s="441" t="s">
        <v>3876</v>
      </c>
      <c r="C74" s="441" t="s">
        <v>249</v>
      </c>
      <c r="D74" s="441" t="s">
        <v>243</v>
      </c>
      <c r="E74" s="441"/>
      <c r="F74" s="382">
        <v>96</v>
      </c>
    </row>
    <row r="75" spans="1:9" ht="12.5" hidden="1">
      <c r="A75" s="441" t="s">
        <v>55</v>
      </c>
      <c r="B75" s="441" t="s">
        <v>3794</v>
      </c>
      <c r="C75" s="441" t="s">
        <v>324</v>
      </c>
      <c r="D75" s="441" t="s">
        <v>243</v>
      </c>
      <c r="E75" s="441"/>
      <c r="F75" s="382">
        <v>58</v>
      </c>
    </row>
    <row r="76" spans="1:9" ht="12.5" hidden="1">
      <c r="A76" s="441" t="s">
        <v>55</v>
      </c>
      <c r="B76" s="441" t="s">
        <v>3796</v>
      </c>
      <c r="C76" s="441" t="s">
        <v>324</v>
      </c>
      <c r="D76" s="441" t="s">
        <v>243</v>
      </c>
      <c r="E76" s="441"/>
      <c r="F76" s="382">
        <v>59</v>
      </c>
    </row>
    <row r="77" spans="1:9" ht="12.5" hidden="1">
      <c r="A77" s="441" t="s">
        <v>55</v>
      </c>
      <c r="B77" s="441" t="s">
        <v>947</v>
      </c>
      <c r="C77" s="441" t="s">
        <v>324</v>
      </c>
      <c r="D77" s="441" t="s">
        <v>243</v>
      </c>
      <c r="E77" s="441"/>
      <c r="F77" s="382">
        <v>60</v>
      </c>
    </row>
    <row r="78" spans="1:9" ht="12.5" hidden="1">
      <c r="A78" s="441" t="s">
        <v>55</v>
      </c>
      <c r="B78" s="441" t="s">
        <v>3536</v>
      </c>
      <c r="C78" s="441" t="s">
        <v>242</v>
      </c>
      <c r="D78" s="441" t="s">
        <v>243</v>
      </c>
      <c r="E78" s="441"/>
      <c r="F78" s="382">
        <v>61</v>
      </c>
    </row>
    <row r="79" spans="1:9" ht="12.5" hidden="1">
      <c r="A79" s="441" t="s">
        <v>55</v>
      </c>
      <c r="B79" s="441" t="s">
        <v>3540</v>
      </c>
      <c r="C79" s="441" t="s">
        <v>242</v>
      </c>
      <c r="D79" s="441" t="s">
        <v>243</v>
      </c>
      <c r="E79" s="441"/>
      <c r="F79" s="382">
        <v>63</v>
      </c>
    </row>
    <row r="80" spans="1:9" ht="12.5" hidden="1">
      <c r="A80" s="441" t="s">
        <v>55</v>
      </c>
      <c r="B80" s="441" t="s">
        <v>1023</v>
      </c>
      <c r="C80" s="441" t="s">
        <v>1876</v>
      </c>
      <c r="D80" s="441" t="s">
        <v>243</v>
      </c>
      <c r="E80" s="441"/>
      <c r="F80" s="382">
        <v>64</v>
      </c>
    </row>
    <row r="81" spans="1:9" ht="12.5" hidden="1">
      <c r="A81" s="441" t="s">
        <v>55</v>
      </c>
      <c r="B81" s="441" t="s">
        <v>3543</v>
      </c>
      <c r="C81" s="441" t="s">
        <v>2468</v>
      </c>
      <c r="D81" s="441" t="s">
        <v>243</v>
      </c>
      <c r="E81" s="441"/>
      <c r="F81" s="382">
        <v>3</v>
      </c>
    </row>
    <row r="82" spans="1:9" ht="12.5" hidden="1">
      <c r="A82" s="441" t="s">
        <v>55</v>
      </c>
      <c r="B82" s="441" t="s">
        <v>3545</v>
      </c>
      <c r="C82" s="441" t="s">
        <v>324</v>
      </c>
      <c r="D82" s="441" t="s">
        <v>243</v>
      </c>
      <c r="E82" s="441"/>
      <c r="F82" s="382">
        <v>65</v>
      </c>
    </row>
    <row r="83" spans="1:9" ht="12.5" hidden="1">
      <c r="A83" s="441" t="s">
        <v>55</v>
      </c>
      <c r="B83" s="441" t="s">
        <v>3802</v>
      </c>
      <c r="C83" s="441" t="s">
        <v>324</v>
      </c>
      <c r="D83" s="441" t="s">
        <v>243</v>
      </c>
      <c r="E83" s="441"/>
      <c r="F83" s="382">
        <v>80</v>
      </c>
    </row>
    <row r="84" spans="1:9" ht="12.5">
      <c r="A84" s="441" t="s">
        <v>55</v>
      </c>
      <c r="B84" s="441" t="s">
        <v>927</v>
      </c>
      <c r="C84" s="441" t="s">
        <v>925</v>
      </c>
      <c r="D84" s="441" t="s">
        <v>243</v>
      </c>
      <c r="E84" s="441"/>
      <c r="F84" s="382">
        <v>66</v>
      </c>
      <c r="G84" s="441" t="s">
        <v>682</v>
      </c>
      <c r="H84" s="441" t="s">
        <v>3862</v>
      </c>
      <c r="I84" s="441" t="s">
        <v>975</v>
      </c>
    </row>
    <row r="85" spans="1:9" ht="26.25" customHeight="1">
      <c r="A85" s="441" t="s">
        <v>55</v>
      </c>
      <c r="B85" s="441" t="s">
        <v>994</v>
      </c>
      <c r="C85" s="441" t="s">
        <v>247</v>
      </c>
      <c r="D85" s="441" t="s">
        <v>243</v>
      </c>
      <c r="E85" s="441"/>
      <c r="F85" s="382">
        <v>82</v>
      </c>
      <c r="G85" s="441" t="s">
        <v>682</v>
      </c>
      <c r="H85" s="441" t="s">
        <v>3862</v>
      </c>
      <c r="I85" s="441" t="s">
        <v>3877</v>
      </c>
    </row>
    <row r="86" spans="1:9" ht="12.5" hidden="1">
      <c r="A86" s="441" t="s">
        <v>53</v>
      </c>
      <c r="B86" s="441" t="s">
        <v>1288</v>
      </c>
      <c r="C86" s="441" t="s">
        <v>535</v>
      </c>
      <c r="D86" s="441" t="s">
        <v>903</v>
      </c>
      <c r="E86" s="441"/>
      <c r="F86" s="382">
        <v>75</v>
      </c>
    </row>
    <row r="87" spans="1:9" ht="12.5" hidden="1">
      <c r="A87" s="441" t="s">
        <v>53</v>
      </c>
      <c r="B87" s="441" t="s">
        <v>1289</v>
      </c>
      <c r="C87" s="441" t="s">
        <v>324</v>
      </c>
      <c r="D87" s="441" t="s">
        <v>243</v>
      </c>
      <c r="E87" s="441"/>
      <c r="F87" s="382">
        <v>67</v>
      </c>
    </row>
    <row r="88" spans="1:9" ht="12.5" hidden="1">
      <c r="A88" s="441" t="s">
        <v>53</v>
      </c>
      <c r="B88" s="441" t="s">
        <v>1290</v>
      </c>
      <c r="C88" s="441" t="s">
        <v>432</v>
      </c>
      <c r="D88" s="441" t="s">
        <v>243</v>
      </c>
      <c r="E88" s="441"/>
      <c r="F88" s="382">
        <v>53</v>
      </c>
    </row>
    <row r="89" spans="1:9" ht="12.5" hidden="1">
      <c r="A89" s="441" t="s">
        <v>53</v>
      </c>
      <c r="B89" s="441" t="s">
        <v>1291</v>
      </c>
      <c r="C89" s="441" t="s">
        <v>247</v>
      </c>
      <c r="D89" s="441" t="s">
        <v>243</v>
      </c>
      <c r="E89" s="441"/>
      <c r="F89" s="382">
        <v>54</v>
      </c>
    </row>
    <row r="90" spans="1:9" ht="12.5" hidden="1">
      <c r="A90" s="441" t="s">
        <v>53</v>
      </c>
      <c r="B90" s="441" t="s">
        <v>1292</v>
      </c>
      <c r="C90" s="441" t="s">
        <v>535</v>
      </c>
      <c r="D90" s="441" t="s">
        <v>243</v>
      </c>
      <c r="E90" s="441"/>
      <c r="F90" s="382">
        <v>62</v>
      </c>
    </row>
    <row r="91" spans="1:9" ht="12.5" hidden="1">
      <c r="A91" s="441" t="s">
        <v>53</v>
      </c>
      <c r="B91" s="441" t="s">
        <v>1293</v>
      </c>
      <c r="C91" s="441" t="s">
        <v>432</v>
      </c>
      <c r="D91" s="441" t="s">
        <v>243</v>
      </c>
      <c r="E91" s="441"/>
      <c r="F91" s="382">
        <v>68</v>
      </c>
    </row>
    <row r="92" spans="1:9" ht="12.5" hidden="1">
      <c r="A92" s="441" t="s">
        <v>55</v>
      </c>
      <c r="B92" s="441" t="s">
        <v>3878</v>
      </c>
      <c r="C92" s="441" t="s">
        <v>249</v>
      </c>
      <c r="D92" s="441" t="s">
        <v>243</v>
      </c>
      <c r="E92" s="441"/>
      <c r="F92" s="382">
        <v>85</v>
      </c>
    </row>
    <row r="93" spans="1:9" ht="12.5" hidden="1">
      <c r="A93" s="441" t="s">
        <v>55</v>
      </c>
      <c r="B93" s="441" t="s">
        <v>3553</v>
      </c>
      <c r="C93" s="441" t="s">
        <v>247</v>
      </c>
      <c r="D93" s="441" t="s">
        <v>243</v>
      </c>
      <c r="E93" s="441"/>
      <c r="F93" s="382">
        <v>92</v>
      </c>
    </row>
    <row r="94" spans="1:9" ht="12.5" hidden="1">
      <c r="A94" s="441" t="s">
        <v>55</v>
      </c>
      <c r="B94" s="441" t="s">
        <v>3879</v>
      </c>
      <c r="C94" s="441" t="s">
        <v>247</v>
      </c>
      <c r="D94" s="441" t="s">
        <v>243</v>
      </c>
      <c r="E94" s="441"/>
      <c r="F94" s="382">
        <v>81</v>
      </c>
    </row>
    <row r="95" spans="1:9" ht="12.5" hidden="1">
      <c r="A95" s="441" t="s">
        <v>55</v>
      </c>
      <c r="B95" s="441" t="s">
        <v>3554</v>
      </c>
      <c r="C95" s="441" t="s">
        <v>247</v>
      </c>
      <c r="D95" s="441" t="s">
        <v>243</v>
      </c>
      <c r="E95" s="441"/>
      <c r="F95" s="382">
        <v>69</v>
      </c>
    </row>
    <row r="96" spans="1:9" ht="12.5">
      <c r="A96" s="441" t="s">
        <v>55</v>
      </c>
      <c r="B96" s="441" t="s">
        <v>3556</v>
      </c>
      <c r="C96" s="441" t="s">
        <v>324</v>
      </c>
      <c r="D96" s="441" t="s">
        <v>243</v>
      </c>
      <c r="E96" s="441"/>
      <c r="F96" s="382">
        <v>70</v>
      </c>
    </row>
    <row r="97" spans="1:9" ht="12.5">
      <c r="A97" s="441" t="s">
        <v>61</v>
      </c>
      <c r="B97" s="441" t="s">
        <v>123</v>
      </c>
      <c r="C97" s="441" t="s">
        <v>535</v>
      </c>
      <c r="D97" s="441" t="s">
        <v>243</v>
      </c>
      <c r="E97" s="441"/>
      <c r="F97" s="382">
        <v>71</v>
      </c>
      <c r="G97" s="441" t="s">
        <v>682</v>
      </c>
      <c r="H97" s="441" t="s">
        <v>1184</v>
      </c>
      <c r="I97" s="441" t="s">
        <v>3880</v>
      </c>
    </row>
    <row r="98" spans="1:9" ht="12.5" hidden="1">
      <c r="A98" s="441" t="s">
        <v>55</v>
      </c>
      <c r="B98" s="441" t="s">
        <v>122</v>
      </c>
      <c r="C98" s="441" t="s">
        <v>264</v>
      </c>
      <c r="D98" s="441" t="s">
        <v>243</v>
      </c>
      <c r="E98" s="441"/>
      <c r="F98" s="382">
        <v>72</v>
      </c>
    </row>
    <row r="99" spans="1:9" ht="12.5" hidden="1">
      <c r="A99" s="441" t="s">
        <v>55</v>
      </c>
      <c r="B99" s="441" t="s">
        <v>948</v>
      </c>
      <c r="C99" s="441" t="s">
        <v>324</v>
      </c>
      <c r="D99" s="441" t="s">
        <v>243</v>
      </c>
      <c r="E99" s="441"/>
      <c r="F99" s="382">
        <v>73</v>
      </c>
    </row>
    <row r="100" spans="1:9" ht="12.5" hidden="1">
      <c r="A100" s="441" t="s">
        <v>55</v>
      </c>
      <c r="B100" s="441" t="s">
        <v>3564</v>
      </c>
      <c r="C100" s="441" t="s">
        <v>242</v>
      </c>
      <c r="D100" s="441" t="s">
        <v>243</v>
      </c>
      <c r="E100" s="441"/>
      <c r="F100" s="382">
        <v>4</v>
      </c>
    </row>
    <row r="101" spans="1:9" ht="12.5" hidden="1">
      <c r="A101" s="441" t="s">
        <v>55</v>
      </c>
      <c r="B101" s="441" t="s">
        <v>3565</v>
      </c>
      <c r="C101" s="441" t="s">
        <v>242</v>
      </c>
      <c r="D101" s="441" t="s">
        <v>243</v>
      </c>
      <c r="E101" s="441"/>
      <c r="F101" s="382">
        <v>5</v>
      </c>
    </row>
    <row r="102" spans="1:9" ht="12.5" hidden="1">
      <c r="A102" s="441" t="s">
        <v>55</v>
      </c>
      <c r="B102" s="441" t="s">
        <v>3881</v>
      </c>
      <c r="C102" s="441" t="s">
        <v>432</v>
      </c>
      <c r="D102" s="441" t="s">
        <v>243</v>
      </c>
      <c r="E102" s="441"/>
      <c r="F102" s="382">
        <v>98</v>
      </c>
    </row>
    <row r="103" spans="1:9" ht="12.5">
      <c r="A103" s="441" t="s">
        <v>55</v>
      </c>
      <c r="B103" s="441" t="s">
        <v>929</v>
      </c>
      <c r="C103" s="441" t="s">
        <v>930</v>
      </c>
      <c r="D103" s="441" t="s">
        <v>243</v>
      </c>
      <c r="E103" s="441"/>
      <c r="F103" s="382">
        <v>74</v>
      </c>
      <c r="G103" s="441" t="s">
        <v>682</v>
      </c>
      <c r="H103" s="441" t="s">
        <v>3862</v>
      </c>
      <c r="I103" s="441" t="s">
        <v>977</v>
      </c>
    </row>
  </sheetData>
  <autoFilter ref="A3:X103" xr:uid="{00000000-0001-0000-1B00-000000000000}">
    <filterColumn colId="6">
      <filters>
        <filter val="Y"/>
      </filters>
    </filterColumn>
  </autoFilter>
  <pageMargins left="0" right="0" top="0" bottom="0" header="0" footer="0"/>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filterMode="1">
    <outlinePr summaryBelow="0" summaryRight="0"/>
  </sheetPr>
  <dimension ref="A1:X22"/>
  <sheetViews>
    <sheetView workbookViewId="0">
      <selection activeCell="C25" sqref="C25"/>
    </sheetView>
  </sheetViews>
  <sheetFormatPr defaultColWidth="14.453125" defaultRowHeight="15" customHeight="1"/>
  <cols>
    <col min="1" max="1" width="14.54296875" customWidth="1"/>
    <col min="2" max="2" width="27" customWidth="1"/>
    <col min="3" max="3" width="21.7265625" customWidth="1"/>
    <col min="4" max="4" width="12.81640625" customWidth="1"/>
    <col min="5" max="5" width="10" customWidth="1"/>
    <col min="6" max="7" width="8.453125" customWidth="1"/>
    <col min="8" max="8" width="45" customWidth="1"/>
    <col min="9" max="9" width="54.7265625" customWidth="1"/>
    <col min="10" max="10" width="17.26953125" customWidth="1"/>
    <col min="11" max="11" width="15.7265625" customWidth="1"/>
    <col min="12" max="12" width="27.26953125" customWidth="1"/>
    <col min="13" max="13" width="17.26953125" customWidth="1"/>
    <col min="14" max="14" width="7.453125" customWidth="1"/>
    <col min="15" max="15" width="21.1796875" customWidth="1"/>
    <col min="16" max="16" width="33.7265625" customWidth="1"/>
    <col min="17" max="19" width="9.81640625" customWidth="1"/>
    <col min="20" max="20" width="6.453125" customWidth="1"/>
    <col min="21" max="21" width="17.26953125" customWidth="1"/>
    <col min="22" max="22" width="15.1796875" customWidth="1"/>
    <col min="23" max="23" width="10.81640625" customWidth="1"/>
    <col min="24" max="24" width="45.26953125" customWidth="1"/>
  </cols>
  <sheetData>
    <row r="1" spans="1:24" s="571" customFormat="1" ht="30" customHeight="1">
      <c r="A1" s="570" t="s">
        <v>3861</v>
      </c>
    </row>
    <row r="2" spans="1:24" s="471" customFormat="1" ht="15" customHeight="1">
      <c r="A2" s="507" t="s">
        <v>3570</v>
      </c>
    </row>
    <row r="3" spans="1:24" ht="15" customHeight="1">
      <c r="A3" s="459"/>
      <c r="B3" s="459"/>
      <c r="C3" s="459"/>
      <c r="D3" s="459"/>
      <c r="E3" s="459"/>
      <c r="F3" s="459"/>
      <c r="G3" s="218" t="s">
        <v>1038</v>
      </c>
      <c r="H3" s="218"/>
      <c r="I3" s="218"/>
      <c r="J3" s="218"/>
      <c r="K3" s="218"/>
      <c r="L3" s="218"/>
      <c r="M3" s="218"/>
      <c r="N3" s="207"/>
      <c r="O3" s="207"/>
      <c r="P3" s="207"/>
      <c r="Q3" s="381"/>
      <c r="R3" s="381"/>
      <c r="S3" s="381"/>
      <c r="T3" s="56"/>
      <c r="U3" s="56"/>
      <c r="V3" s="252" t="s">
        <v>1039</v>
      </c>
      <c r="W3" s="364"/>
      <c r="X3" s="252"/>
    </row>
    <row r="4" spans="1:24" ht="15" customHeight="1">
      <c r="A4" s="208" t="s">
        <v>224</v>
      </c>
      <c r="B4" s="208" t="s">
        <v>225</v>
      </c>
      <c r="C4" s="208" t="s">
        <v>226</v>
      </c>
      <c r="D4" s="208" t="s">
        <v>227</v>
      </c>
      <c r="E4" s="208" t="s">
        <v>1044</v>
      </c>
      <c r="F4" s="208" t="s">
        <v>1045</v>
      </c>
      <c r="G4" s="218" t="s">
        <v>1046</v>
      </c>
      <c r="H4" s="218" t="s">
        <v>100</v>
      </c>
      <c r="I4" s="218" t="s">
        <v>101</v>
      </c>
      <c r="J4" s="218" t="s">
        <v>102</v>
      </c>
      <c r="K4" s="218" t="s">
        <v>103</v>
      </c>
      <c r="L4" s="218" t="s">
        <v>104</v>
      </c>
      <c r="M4" s="218" t="s">
        <v>105</v>
      </c>
      <c r="N4" s="207" t="s">
        <v>111</v>
      </c>
      <c r="O4" s="207" t="s">
        <v>112</v>
      </c>
      <c r="P4" s="207" t="s">
        <v>103</v>
      </c>
      <c r="Q4" s="381"/>
      <c r="R4" s="381"/>
      <c r="S4" s="381"/>
      <c r="T4" s="226" t="s">
        <v>1049</v>
      </c>
      <c r="U4" s="226" t="s">
        <v>1050</v>
      </c>
      <c r="V4" s="226" t="s">
        <v>237</v>
      </c>
      <c r="W4" s="366" t="s">
        <v>1</v>
      </c>
      <c r="X4" s="226" t="s">
        <v>238</v>
      </c>
    </row>
    <row r="5" spans="1:24" ht="45.75" customHeight="1">
      <c r="A5" s="459" t="s">
        <v>61</v>
      </c>
      <c r="B5" s="459" t="s">
        <v>1010</v>
      </c>
      <c r="C5" s="459" t="s">
        <v>535</v>
      </c>
      <c r="D5" s="459" t="s">
        <v>903</v>
      </c>
      <c r="E5" s="459"/>
      <c r="F5" s="459"/>
      <c r="G5" s="459" t="s">
        <v>682</v>
      </c>
      <c r="H5" s="130" t="s">
        <v>3882</v>
      </c>
      <c r="I5" s="380" t="s">
        <v>3883</v>
      </c>
      <c r="J5" s="130"/>
      <c r="K5" s="459"/>
      <c r="L5" s="459"/>
      <c r="M5" s="130"/>
      <c r="N5" s="130"/>
      <c r="O5" s="130"/>
      <c r="P5" s="130" t="s">
        <v>3835</v>
      </c>
      <c r="Q5" s="130"/>
      <c r="R5" s="130"/>
      <c r="S5" s="130"/>
      <c r="T5" s="5">
        <v>1</v>
      </c>
      <c r="U5" s="5"/>
      <c r="V5" s="120" t="s">
        <v>3748</v>
      </c>
      <c r="W5" s="131">
        <v>43418</v>
      </c>
      <c r="X5" t="s">
        <v>1057</v>
      </c>
    </row>
    <row r="6" spans="1:24" ht="43.5" customHeight="1">
      <c r="A6" s="459" t="s">
        <v>61</v>
      </c>
      <c r="B6" s="459" t="s">
        <v>936</v>
      </c>
      <c r="C6" s="459" t="s">
        <v>242</v>
      </c>
      <c r="D6" s="459" t="s">
        <v>243</v>
      </c>
      <c r="E6" s="459"/>
      <c r="F6" s="459"/>
      <c r="G6" t="s">
        <v>682</v>
      </c>
      <c r="H6" s="130" t="s">
        <v>3882</v>
      </c>
      <c r="I6" s="459" t="s">
        <v>3884</v>
      </c>
      <c r="J6" s="130"/>
      <c r="P6" s="130" t="s">
        <v>3837</v>
      </c>
      <c r="T6" s="5">
        <v>2</v>
      </c>
      <c r="U6" s="5"/>
      <c r="V6" s="120" t="s">
        <v>3729</v>
      </c>
      <c r="W6" s="131">
        <v>43476</v>
      </c>
      <c r="X6" t="s">
        <v>3838</v>
      </c>
    </row>
    <row r="7" spans="1:24" ht="15" customHeight="1">
      <c r="A7" s="459" t="s">
        <v>61</v>
      </c>
      <c r="B7" s="459" t="s">
        <v>123</v>
      </c>
      <c r="C7" s="459" t="s">
        <v>535</v>
      </c>
      <c r="D7" s="459" t="s">
        <v>903</v>
      </c>
      <c r="E7" s="459"/>
      <c r="F7" s="459"/>
      <c r="G7" t="s">
        <v>682</v>
      </c>
      <c r="H7" s="130" t="s">
        <v>1184</v>
      </c>
      <c r="I7" s="130" t="s">
        <v>3880</v>
      </c>
      <c r="J7" s="130"/>
      <c r="P7" s="130" t="s">
        <v>3839</v>
      </c>
      <c r="T7" s="5">
        <v>3</v>
      </c>
      <c r="U7" s="5"/>
      <c r="V7" s="120" t="s">
        <v>3748</v>
      </c>
      <c r="W7" s="131">
        <v>43418</v>
      </c>
      <c r="X7" s="129" t="s">
        <v>3840</v>
      </c>
    </row>
    <row r="8" spans="1:24" ht="15" hidden="1" customHeight="1">
      <c r="A8" s="441" t="s">
        <v>55</v>
      </c>
      <c r="B8" s="441" t="s">
        <v>3528</v>
      </c>
      <c r="C8" s="441" t="s">
        <v>242</v>
      </c>
      <c r="D8" s="441" t="s">
        <v>243</v>
      </c>
      <c r="E8" s="459"/>
      <c r="F8" s="459"/>
      <c r="H8" s="130"/>
      <c r="I8" s="130"/>
      <c r="J8" s="130"/>
      <c r="P8" s="130"/>
      <c r="T8" s="5"/>
      <c r="U8" s="5"/>
      <c r="V8" s="120"/>
      <c r="W8" s="131"/>
      <c r="X8" s="129"/>
    </row>
    <row r="9" spans="1:24" ht="15" hidden="1" customHeight="1">
      <c r="A9" s="459" t="s">
        <v>53</v>
      </c>
      <c r="B9" s="459" t="s">
        <v>124</v>
      </c>
      <c r="C9" s="459" t="s">
        <v>535</v>
      </c>
      <c r="D9" s="459" t="s">
        <v>903</v>
      </c>
      <c r="E9" s="459"/>
      <c r="F9" s="459"/>
      <c r="G9" s="459"/>
      <c r="H9" s="130"/>
      <c r="I9" s="459"/>
      <c r="J9" s="459"/>
      <c r="K9" s="459"/>
      <c r="L9" s="459"/>
      <c r="M9" s="130"/>
      <c r="N9" s="130"/>
      <c r="O9" s="130"/>
      <c r="P9" s="186" t="s">
        <v>1190</v>
      </c>
      <c r="Q9" s="130"/>
      <c r="R9" s="130"/>
      <c r="S9" s="130"/>
      <c r="T9" s="5"/>
      <c r="U9" s="5"/>
      <c r="V9" s="120"/>
      <c r="W9" s="131"/>
    </row>
    <row r="10" spans="1:24" ht="15" hidden="1" customHeight="1">
      <c r="A10" s="459" t="s">
        <v>53</v>
      </c>
      <c r="B10" s="459" t="s">
        <v>1189</v>
      </c>
      <c r="C10" s="459" t="s">
        <v>249</v>
      </c>
      <c r="D10" s="459" t="s">
        <v>243</v>
      </c>
      <c r="E10" s="459"/>
      <c r="F10" s="459"/>
      <c r="G10" s="459"/>
      <c r="H10" s="130"/>
      <c r="I10" s="459"/>
      <c r="J10" s="459"/>
      <c r="K10" s="459"/>
      <c r="L10" s="459"/>
      <c r="M10" s="130"/>
      <c r="N10" s="130"/>
      <c r="O10" s="130"/>
      <c r="P10" s="186" t="s">
        <v>1190</v>
      </c>
      <c r="Q10" s="130"/>
      <c r="R10" s="130"/>
      <c r="S10" s="130"/>
      <c r="T10" s="5"/>
      <c r="U10" s="5"/>
      <c r="V10" s="120"/>
      <c r="W10" s="131"/>
    </row>
    <row r="11" spans="1:24" ht="15" hidden="1" customHeight="1">
      <c r="A11" s="459" t="s">
        <v>53</v>
      </c>
      <c r="B11" s="459" t="s">
        <v>1191</v>
      </c>
      <c r="C11" s="459" t="s">
        <v>252</v>
      </c>
      <c r="D11" s="459" t="s">
        <v>243</v>
      </c>
      <c r="E11" s="459"/>
      <c r="F11" s="459"/>
      <c r="G11" s="459"/>
      <c r="H11" s="130"/>
      <c r="I11" s="459"/>
      <c r="J11" s="459"/>
      <c r="K11" s="459"/>
      <c r="L11" s="459"/>
      <c r="M11" s="130"/>
      <c r="N11" s="130"/>
      <c r="O11" s="130"/>
      <c r="P11" s="186" t="s">
        <v>1190</v>
      </c>
      <c r="Q11" s="130"/>
      <c r="R11" s="130"/>
      <c r="S11" s="130"/>
      <c r="T11" s="5"/>
      <c r="U11" s="5"/>
      <c r="V11" s="120"/>
      <c r="W11" s="131"/>
    </row>
    <row r="12" spans="1:24" ht="15" hidden="1" customHeight="1">
      <c r="A12" s="459" t="s">
        <v>53</v>
      </c>
      <c r="B12" s="459" t="s">
        <v>1192</v>
      </c>
      <c r="C12" s="459" t="s">
        <v>242</v>
      </c>
      <c r="D12" s="459" t="s">
        <v>243</v>
      </c>
      <c r="E12" s="459"/>
      <c r="F12" s="459"/>
      <c r="G12" s="459"/>
      <c r="H12" s="130"/>
      <c r="I12" s="459"/>
      <c r="J12" s="459"/>
      <c r="K12" s="459"/>
      <c r="L12" s="459"/>
      <c r="M12" s="130"/>
      <c r="N12" s="130"/>
      <c r="O12" s="130"/>
      <c r="P12" s="186" t="s">
        <v>1190</v>
      </c>
      <c r="Q12" s="130"/>
      <c r="R12" s="130"/>
      <c r="S12" s="130"/>
      <c r="T12" s="5"/>
      <c r="U12" s="188"/>
      <c r="V12" s="120"/>
      <c r="W12" s="131"/>
    </row>
    <row r="13" spans="1:24" ht="15" hidden="1" customHeight="1">
      <c r="A13" s="459" t="s">
        <v>53</v>
      </c>
      <c r="B13" s="459" t="s">
        <v>1193</v>
      </c>
      <c r="C13" s="459" t="s">
        <v>247</v>
      </c>
      <c r="D13" s="459" t="s">
        <v>243</v>
      </c>
      <c r="E13" s="459"/>
      <c r="F13" s="459"/>
      <c r="G13" s="459"/>
      <c r="H13" s="130"/>
      <c r="I13" s="459"/>
      <c r="J13" s="459"/>
      <c r="K13" s="459"/>
      <c r="L13" s="459"/>
      <c r="M13" s="130"/>
      <c r="N13" s="130"/>
      <c r="O13" s="130"/>
      <c r="P13" s="186" t="s">
        <v>1190</v>
      </c>
      <c r="Q13" s="130"/>
      <c r="R13" s="130"/>
      <c r="S13" s="130"/>
      <c r="T13" s="5"/>
      <c r="U13" s="188"/>
      <c r="V13" s="120"/>
      <c r="W13" s="131"/>
    </row>
    <row r="14" spans="1:24" ht="15" hidden="1" customHeight="1">
      <c r="A14" s="459" t="s">
        <v>53</v>
      </c>
      <c r="B14" s="459" t="s">
        <v>1194</v>
      </c>
      <c r="C14" s="459" t="s">
        <v>252</v>
      </c>
      <c r="D14" s="459" t="s">
        <v>243</v>
      </c>
      <c r="E14" s="459"/>
      <c r="F14" s="459"/>
      <c r="G14" s="459"/>
      <c r="H14" s="130"/>
      <c r="I14" s="459"/>
      <c r="J14" s="459"/>
      <c r="K14" s="459"/>
      <c r="L14" s="459"/>
      <c r="M14" s="130"/>
      <c r="N14" s="130"/>
      <c r="O14" s="130"/>
      <c r="P14" s="186" t="s">
        <v>1190</v>
      </c>
      <c r="Q14" s="130"/>
      <c r="R14" s="130"/>
      <c r="S14" s="130"/>
      <c r="T14" s="5"/>
      <c r="U14" s="188"/>
      <c r="V14" s="120"/>
      <c r="W14" s="131"/>
    </row>
    <row r="15" spans="1:24" ht="15" hidden="1" customHeight="1">
      <c r="A15" s="459" t="s">
        <v>53</v>
      </c>
      <c r="B15" s="459" t="s">
        <v>1195</v>
      </c>
      <c r="C15" s="459" t="s">
        <v>247</v>
      </c>
      <c r="D15" s="459" t="s">
        <v>243</v>
      </c>
      <c r="E15" s="459"/>
      <c r="F15" s="459"/>
      <c r="G15" s="459"/>
      <c r="H15" s="130"/>
      <c r="I15" s="459"/>
      <c r="J15" s="459"/>
      <c r="K15" s="459"/>
      <c r="L15" s="459"/>
      <c r="M15" s="130"/>
      <c r="N15" s="130"/>
      <c r="O15" s="130"/>
      <c r="P15" s="186" t="s">
        <v>1190</v>
      </c>
      <c r="Q15" s="130"/>
      <c r="R15" s="130"/>
      <c r="S15" s="130"/>
      <c r="T15" s="5"/>
      <c r="U15" s="188"/>
      <c r="V15" s="120"/>
      <c r="W15" s="131"/>
    </row>
    <row r="16" spans="1:24" ht="15" hidden="1" customHeight="1">
      <c r="A16" s="459" t="s">
        <v>53</v>
      </c>
      <c r="B16" s="459" t="s">
        <v>1196</v>
      </c>
      <c r="C16" s="459" t="s">
        <v>535</v>
      </c>
      <c r="D16" s="459" t="s">
        <v>903</v>
      </c>
      <c r="E16" s="459"/>
      <c r="F16" s="459"/>
      <c r="G16" s="459"/>
      <c r="H16" s="130"/>
      <c r="I16" s="459"/>
      <c r="J16" s="459"/>
      <c r="K16" s="459"/>
      <c r="L16" s="459"/>
      <c r="M16" s="130"/>
      <c r="N16" s="130"/>
      <c r="O16" s="130"/>
      <c r="P16" s="186" t="s">
        <v>1190</v>
      </c>
      <c r="Q16" s="130"/>
      <c r="R16" s="130"/>
      <c r="S16" s="130"/>
      <c r="T16" s="5"/>
      <c r="U16" s="5"/>
      <c r="V16" s="120"/>
      <c r="W16" s="131"/>
    </row>
    <row r="17" spans="1:24" ht="15" hidden="1" customHeight="1">
      <c r="A17" s="459" t="s">
        <v>53</v>
      </c>
      <c r="B17" s="459" t="s">
        <v>1290</v>
      </c>
      <c r="C17" s="459" t="s">
        <v>432</v>
      </c>
      <c r="D17" s="459" t="s">
        <v>243</v>
      </c>
      <c r="E17" s="459"/>
      <c r="F17" s="459"/>
      <c r="G17" s="459"/>
      <c r="H17" s="130"/>
      <c r="I17" s="459"/>
      <c r="J17" s="459"/>
      <c r="K17" s="459"/>
      <c r="L17" s="459"/>
      <c r="M17" s="130"/>
      <c r="N17" s="130"/>
      <c r="O17" s="130"/>
      <c r="P17" s="186" t="s">
        <v>1190</v>
      </c>
      <c r="Q17" s="130"/>
      <c r="R17" s="130"/>
      <c r="S17" s="130"/>
      <c r="T17" s="5"/>
      <c r="U17" s="5"/>
      <c r="V17" s="120"/>
      <c r="W17" s="131"/>
    </row>
    <row r="18" spans="1:24" ht="15" hidden="1" customHeight="1">
      <c r="A18" s="459" t="s">
        <v>53</v>
      </c>
      <c r="B18" s="459" t="s">
        <v>1291</v>
      </c>
      <c r="C18" s="459" t="s">
        <v>247</v>
      </c>
      <c r="D18" s="459" t="s">
        <v>243</v>
      </c>
      <c r="E18" s="459"/>
      <c r="F18" s="459"/>
      <c r="G18" s="459"/>
      <c r="H18" s="130"/>
      <c r="I18" s="459"/>
      <c r="J18" s="459"/>
      <c r="K18" s="459"/>
      <c r="L18" s="459"/>
      <c r="M18" s="130"/>
      <c r="N18" s="130"/>
      <c r="O18" s="130"/>
      <c r="P18" s="186" t="s">
        <v>1190</v>
      </c>
      <c r="Q18" s="130"/>
      <c r="R18" s="130"/>
      <c r="S18" s="130"/>
      <c r="T18" s="5"/>
      <c r="U18" s="5"/>
      <c r="V18" s="120"/>
      <c r="W18" s="131"/>
    </row>
    <row r="19" spans="1:24" ht="12.5" hidden="1">
      <c r="A19" s="459" t="s">
        <v>53</v>
      </c>
      <c r="B19" s="459" t="s">
        <v>1292</v>
      </c>
      <c r="C19" s="459" t="s">
        <v>535</v>
      </c>
      <c r="D19" s="459" t="s">
        <v>243</v>
      </c>
      <c r="E19" s="459"/>
      <c r="F19" s="459"/>
      <c r="G19" s="459"/>
      <c r="H19" s="130"/>
      <c r="I19" s="459"/>
      <c r="J19" s="459"/>
      <c r="K19" s="459"/>
      <c r="L19" s="459"/>
      <c r="M19" s="130"/>
      <c r="N19" s="130"/>
      <c r="O19" s="130"/>
      <c r="P19" s="186" t="s">
        <v>1190</v>
      </c>
      <c r="Q19" s="130"/>
      <c r="R19" s="130"/>
      <c r="S19" s="130"/>
      <c r="T19" s="5"/>
      <c r="U19" s="5"/>
      <c r="V19" s="120"/>
      <c r="W19" s="131"/>
      <c r="X19" s="5"/>
    </row>
    <row r="20" spans="1:24" ht="15" hidden="1" customHeight="1">
      <c r="A20" s="459" t="s">
        <v>53</v>
      </c>
      <c r="B20" s="459" t="s">
        <v>1289</v>
      </c>
      <c r="C20" s="459" t="s">
        <v>324</v>
      </c>
      <c r="D20" s="459" t="s">
        <v>243</v>
      </c>
      <c r="E20" s="459"/>
      <c r="F20" s="459"/>
      <c r="G20" s="459"/>
      <c r="H20" s="130"/>
      <c r="I20" s="459"/>
      <c r="J20" s="459"/>
      <c r="K20" s="459"/>
      <c r="L20" s="459"/>
      <c r="M20" s="130"/>
      <c r="N20" s="130"/>
      <c r="O20" s="130"/>
      <c r="P20" s="186" t="s">
        <v>1190</v>
      </c>
      <c r="Q20" s="130"/>
      <c r="R20" s="130"/>
      <c r="S20" s="130"/>
      <c r="T20" s="5"/>
      <c r="U20" s="5"/>
      <c r="V20" s="120"/>
      <c r="W20" s="131"/>
      <c r="X20" s="129"/>
    </row>
    <row r="21" spans="1:24" ht="15" hidden="1" customHeight="1">
      <c r="A21" s="459" t="s">
        <v>53</v>
      </c>
      <c r="B21" s="459" t="s">
        <v>1293</v>
      </c>
      <c r="C21" s="459" t="s">
        <v>432</v>
      </c>
      <c r="D21" s="459" t="s">
        <v>243</v>
      </c>
      <c r="E21" s="459"/>
      <c r="F21" s="459"/>
      <c r="G21" s="459"/>
      <c r="H21" s="130"/>
      <c r="I21" s="459"/>
      <c r="J21" s="459"/>
      <c r="K21" s="459"/>
      <c r="L21" s="459"/>
      <c r="M21" s="130"/>
      <c r="N21" s="130"/>
      <c r="O21" s="130"/>
      <c r="P21" s="186" t="s">
        <v>1190</v>
      </c>
      <c r="Q21" s="130"/>
      <c r="R21" s="130"/>
      <c r="S21" s="130"/>
      <c r="T21" s="5"/>
      <c r="U21" s="5"/>
      <c r="V21" s="34"/>
      <c r="W21" s="131"/>
      <c r="X21" s="129"/>
    </row>
    <row r="22" spans="1:24" ht="15" hidden="1" customHeight="1">
      <c r="A22" s="459" t="s">
        <v>53</v>
      </c>
      <c r="B22" s="459" t="s">
        <v>1288</v>
      </c>
      <c r="C22" s="459" t="s">
        <v>535</v>
      </c>
      <c r="D22" s="459" t="s">
        <v>903</v>
      </c>
      <c r="E22" s="459"/>
      <c r="F22" s="459"/>
      <c r="G22" s="459"/>
      <c r="H22" s="130"/>
      <c r="I22" s="459"/>
      <c r="J22" s="459"/>
      <c r="K22" s="459"/>
      <c r="L22" s="459"/>
      <c r="M22" s="130"/>
      <c r="N22" s="130"/>
      <c r="O22" s="130"/>
      <c r="P22" s="186" t="s">
        <v>1190</v>
      </c>
      <c r="Q22" s="130"/>
      <c r="R22" s="130"/>
      <c r="S22" s="130"/>
      <c r="T22" s="5"/>
      <c r="U22" s="5"/>
      <c r="V22" s="34"/>
      <c r="W22" s="131"/>
    </row>
  </sheetData>
  <autoFilter ref="A4:X22" xr:uid="{00000000-0009-0000-0000-00001C000000}">
    <filterColumn colId="6">
      <filters>
        <filter val="Y"/>
      </filters>
    </filterColumn>
  </autoFilter>
  <hyperlinks>
    <hyperlink ref="I5" r:id="rId1" xr:uid="{00000000-0004-0000-1C00-000000000000}"/>
  </hyperlinks>
  <pageMargins left="0.7" right="0.7" top="0.75" bottom="0.75" header="0" footer="0"/>
  <pageSetup orientation="landscape"/>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E8DB82-376E-47FF-8664-AFC2B7B9B1AC}">
  <sheetPr filterMode="1"/>
  <dimension ref="A1:AB106"/>
  <sheetViews>
    <sheetView workbookViewId="0">
      <pane ySplit="2" topLeftCell="A3" activePane="bottomLeft" state="frozen"/>
      <selection pane="bottomLeft" activeCell="F58" sqref="F58"/>
    </sheetView>
  </sheetViews>
  <sheetFormatPr defaultColWidth="9.1796875" defaultRowHeight="12.5"/>
  <cols>
    <col min="1" max="4" width="9.1796875" style="193" hidden="1" customWidth="1"/>
    <col min="5" max="5" width="23.81640625" style="193" customWidth="1"/>
    <col min="6" max="6" width="32.453125" style="193" customWidth="1"/>
    <col min="7" max="7" width="21.7265625" style="193" customWidth="1"/>
    <col min="8" max="8" width="17.26953125" style="193" customWidth="1"/>
    <col min="9" max="9" width="15.7265625" style="193" customWidth="1"/>
    <col min="10" max="10" width="8.453125" style="193" customWidth="1"/>
    <col min="11" max="11" width="10.1796875" style="193" customWidth="1"/>
    <col min="12" max="12" width="40.7265625" style="193" customWidth="1"/>
    <col min="13" max="13" width="44.7265625" style="193" customWidth="1"/>
    <col min="14" max="14" width="17.26953125" style="193" customWidth="1"/>
    <col min="15" max="15" width="15.7265625" style="193" customWidth="1"/>
    <col min="16" max="16" width="27.26953125" style="193" customWidth="1"/>
    <col min="17" max="17" width="17.26953125" style="193" customWidth="1"/>
    <col min="18" max="18" width="23.453125" style="193" customWidth="1"/>
    <col min="19" max="19" width="21.1796875" style="193" customWidth="1"/>
    <col min="20" max="20" width="33.7265625" style="193" customWidth="1"/>
    <col min="21" max="23" width="9.81640625" style="193" customWidth="1"/>
    <col min="24" max="24" width="16.7265625" style="193" customWidth="1"/>
    <col min="25" max="25" width="17.26953125" style="193" customWidth="1"/>
    <col min="26" max="26" width="23.26953125" style="193" customWidth="1"/>
    <col min="27" max="27" width="17.26953125" style="193" customWidth="1"/>
    <col min="28" max="28" width="45.26953125" style="193" customWidth="1"/>
    <col min="29" max="16384" width="9.1796875" style="193"/>
  </cols>
  <sheetData>
    <row r="1" spans="5:28" customFormat="1" ht="12.75" customHeight="1">
      <c r="E1" s="459"/>
      <c r="F1" s="459"/>
      <c r="G1" s="459"/>
      <c r="H1" s="459"/>
      <c r="I1" s="459"/>
      <c r="J1" s="459"/>
      <c r="K1" s="218" t="s">
        <v>1038</v>
      </c>
      <c r="L1" s="218"/>
      <c r="M1" s="218"/>
      <c r="N1" s="218"/>
      <c r="O1" s="218"/>
      <c r="P1" s="218"/>
      <c r="Q1" s="218"/>
      <c r="R1" s="207"/>
      <c r="S1" s="282"/>
      <c r="T1" s="207"/>
      <c r="U1" s="84"/>
      <c r="V1" s="84"/>
      <c r="W1" s="84"/>
      <c r="X1" s="56"/>
      <c r="Y1" s="56"/>
      <c r="Z1" s="85" t="s">
        <v>1039</v>
      </c>
      <c r="AA1" s="504"/>
      <c r="AB1" s="85"/>
    </row>
    <row r="2" spans="5:28" customFormat="1" ht="12.75" customHeight="1">
      <c r="E2" s="208" t="s">
        <v>224</v>
      </c>
      <c r="F2" s="208" t="s">
        <v>225</v>
      </c>
      <c r="G2" s="208" t="s">
        <v>226</v>
      </c>
      <c r="H2" s="208" t="s">
        <v>227</v>
      </c>
      <c r="I2" s="208" t="s">
        <v>1044</v>
      </c>
      <c r="J2" s="208" t="s">
        <v>1045</v>
      </c>
      <c r="K2" s="218" t="s">
        <v>1046</v>
      </c>
      <c r="L2" s="218" t="s">
        <v>100</v>
      </c>
      <c r="M2" s="218" t="s">
        <v>101</v>
      </c>
      <c r="N2" s="218" t="s">
        <v>102</v>
      </c>
      <c r="O2" s="218" t="s">
        <v>103</v>
      </c>
      <c r="P2" s="218" t="s">
        <v>104</v>
      </c>
      <c r="Q2" s="218" t="s">
        <v>105</v>
      </c>
      <c r="R2" s="207" t="s">
        <v>111</v>
      </c>
      <c r="S2" s="282" t="s">
        <v>112</v>
      </c>
      <c r="T2" s="207" t="s">
        <v>103</v>
      </c>
      <c r="U2" s="84"/>
      <c r="V2" s="84"/>
      <c r="W2" s="84"/>
      <c r="X2" s="52" t="s">
        <v>1049</v>
      </c>
      <c r="Y2" s="52" t="s">
        <v>1050</v>
      </c>
      <c r="Z2" s="52" t="s">
        <v>237</v>
      </c>
      <c r="AA2" s="505" t="s">
        <v>1</v>
      </c>
      <c r="AB2" s="52" t="s">
        <v>238</v>
      </c>
    </row>
    <row r="3" spans="5:28" ht="12.75" customHeight="1">
      <c r="E3" s="441" t="s">
        <v>55</v>
      </c>
      <c r="F3" s="441" t="s">
        <v>3402</v>
      </c>
      <c r="G3" s="441" t="s">
        <v>247</v>
      </c>
      <c r="H3" s="441" t="s">
        <v>243</v>
      </c>
      <c r="I3" s="441"/>
      <c r="J3" s="382">
        <v>2</v>
      </c>
      <c r="K3" s="499"/>
      <c r="L3" s="499"/>
      <c r="M3" s="499"/>
      <c r="N3" s="499"/>
      <c r="O3" s="499"/>
      <c r="P3" s="499"/>
      <c r="Q3" s="368"/>
      <c r="R3" s="368"/>
      <c r="S3" s="368"/>
      <c r="T3" s="368"/>
      <c r="U3" s="368"/>
      <c r="V3" s="368"/>
      <c r="W3" s="368"/>
      <c r="X3" s="278"/>
      <c r="Y3" s="278"/>
      <c r="Z3" s="278"/>
      <c r="AA3" s="278"/>
      <c r="AB3" s="268"/>
    </row>
    <row r="4" spans="5:28" ht="12.75" customHeight="1">
      <c r="E4" s="441" t="s">
        <v>55</v>
      </c>
      <c r="F4" s="441" t="s">
        <v>921</v>
      </c>
      <c r="G4" s="441" t="s">
        <v>922</v>
      </c>
      <c r="H4" s="441" t="s">
        <v>243</v>
      </c>
      <c r="I4" s="441"/>
      <c r="J4" s="382">
        <v>6</v>
      </c>
      <c r="K4" s="499"/>
      <c r="L4" s="368"/>
      <c r="M4" s="499"/>
      <c r="N4" s="499"/>
      <c r="O4" s="499"/>
      <c r="P4" s="499"/>
      <c r="Q4" s="368"/>
      <c r="R4" s="368"/>
      <c r="S4" s="368"/>
      <c r="T4" s="368"/>
      <c r="U4" s="368"/>
      <c r="V4" s="368"/>
      <c r="W4" s="368"/>
      <c r="X4" s="278"/>
      <c r="Y4" s="278"/>
      <c r="Z4" s="247"/>
      <c r="AA4" s="371"/>
      <c r="AB4" s="290"/>
    </row>
    <row r="5" spans="5:28" ht="12.75" customHeight="1">
      <c r="E5" s="441" t="s">
        <v>55</v>
      </c>
      <c r="F5" s="441" t="s">
        <v>971</v>
      </c>
      <c r="G5" s="441" t="s">
        <v>324</v>
      </c>
      <c r="H5" s="441" t="s">
        <v>243</v>
      </c>
      <c r="I5" s="441"/>
      <c r="J5" s="382">
        <v>7</v>
      </c>
      <c r="K5" s="499"/>
      <c r="L5" s="499"/>
      <c r="M5" s="499"/>
      <c r="N5" s="499"/>
      <c r="O5" s="499"/>
      <c r="P5" s="499"/>
      <c r="Q5" s="368"/>
      <c r="R5" s="368"/>
      <c r="S5" s="368"/>
      <c r="T5" s="368"/>
      <c r="U5" s="368"/>
      <c r="V5" s="368"/>
      <c r="W5" s="368"/>
      <c r="X5" s="278"/>
      <c r="Y5" s="278"/>
      <c r="Z5" s="278"/>
      <c r="AA5" s="278"/>
      <c r="AB5" s="268"/>
    </row>
    <row r="6" spans="5:28" ht="12.75" customHeight="1">
      <c r="E6" s="441" t="s">
        <v>55</v>
      </c>
      <c r="F6" s="441" t="s">
        <v>3349</v>
      </c>
      <c r="G6" s="441" t="s">
        <v>324</v>
      </c>
      <c r="H6" s="441" t="s">
        <v>243</v>
      </c>
      <c r="I6" s="441"/>
      <c r="J6" s="382">
        <v>8</v>
      </c>
      <c r="K6" s="499"/>
      <c r="L6" s="499"/>
      <c r="M6" s="499"/>
      <c r="N6" s="499"/>
      <c r="O6" s="499"/>
      <c r="P6" s="499"/>
      <c r="Q6" s="368"/>
      <c r="R6" s="368"/>
      <c r="S6" s="368"/>
      <c r="T6" s="368"/>
      <c r="U6" s="368"/>
      <c r="V6" s="368"/>
      <c r="W6" s="368"/>
      <c r="X6" s="278"/>
      <c r="Y6" s="278"/>
      <c r="Z6" s="278"/>
      <c r="AA6" s="278"/>
      <c r="AB6" s="268"/>
    </row>
    <row r="7" spans="5:28" ht="12.75" customHeight="1">
      <c r="E7" s="441" t="s">
        <v>55</v>
      </c>
      <c r="F7" s="441" t="s">
        <v>3351</v>
      </c>
      <c r="G7" s="441" t="s">
        <v>324</v>
      </c>
      <c r="H7" s="441" t="s">
        <v>243</v>
      </c>
      <c r="I7" s="441"/>
      <c r="J7" s="382">
        <v>9</v>
      </c>
      <c r="K7" s="499"/>
      <c r="L7" s="499"/>
      <c r="M7" s="499"/>
      <c r="N7" s="499"/>
      <c r="O7" s="499"/>
      <c r="P7" s="499"/>
      <c r="Q7" s="368"/>
      <c r="R7" s="368"/>
      <c r="S7" s="368"/>
      <c r="T7" s="368"/>
      <c r="U7" s="368"/>
      <c r="V7" s="368"/>
      <c r="W7" s="368"/>
      <c r="X7" s="278"/>
      <c r="Y7" s="278"/>
      <c r="Z7" s="278"/>
      <c r="AA7" s="278"/>
      <c r="AB7" s="268"/>
    </row>
    <row r="8" spans="5:28" ht="12.75" customHeight="1">
      <c r="E8" s="441" t="s">
        <v>61</v>
      </c>
      <c r="F8" s="441" t="s">
        <v>936</v>
      </c>
      <c r="G8" s="441" t="s">
        <v>247</v>
      </c>
      <c r="H8" s="441" t="s">
        <v>243</v>
      </c>
      <c r="I8" s="441"/>
      <c r="J8" s="382">
        <v>10</v>
      </c>
      <c r="K8" s="499" t="s">
        <v>682</v>
      </c>
      <c r="L8" s="130" t="s">
        <v>2570</v>
      </c>
      <c r="M8" s="459" t="s">
        <v>2573</v>
      </c>
      <c r="N8" s="499"/>
      <c r="O8" s="499"/>
      <c r="P8" s="499"/>
      <c r="Q8" s="368"/>
      <c r="R8" s="130"/>
      <c r="S8" s="140" t="s">
        <v>3885</v>
      </c>
      <c r="T8" s="130" t="s">
        <v>3728</v>
      </c>
      <c r="U8" s="368"/>
      <c r="V8" s="368"/>
      <c r="W8" s="368"/>
    </row>
    <row r="9" spans="5:28" ht="12.75" customHeight="1">
      <c r="E9" s="441" t="s">
        <v>55</v>
      </c>
      <c r="F9" s="441" t="s">
        <v>987</v>
      </c>
      <c r="G9" s="441" t="s">
        <v>247</v>
      </c>
      <c r="H9" s="441" t="s">
        <v>243</v>
      </c>
      <c r="I9" s="441"/>
      <c r="J9" s="382">
        <v>11</v>
      </c>
      <c r="K9" s="499"/>
      <c r="L9" s="368"/>
      <c r="M9" s="499"/>
      <c r="N9" s="499"/>
      <c r="O9" s="499"/>
      <c r="P9" s="499"/>
      <c r="Q9" s="368"/>
      <c r="R9" s="130"/>
      <c r="S9" s="140"/>
      <c r="T9" s="130"/>
      <c r="U9" s="368"/>
      <c r="V9" s="368"/>
      <c r="W9" s="368"/>
      <c r="X9" s="278"/>
      <c r="Y9" s="278"/>
      <c r="Z9" s="369"/>
      <c r="AA9" s="371"/>
      <c r="AB9" s="290"/>
    </row>
    <row r="10" spans="5:28" ht="12.75" customHeight="1">
      <c r="E10" s="441" t="s">
        <v>55</v>
      </c>
      <c r="F10" s="441" t="s">
        <v>989</v>
      </c>
      <c r="G10" s="441" t="s">
        <v>247</v>
      </c>
      <c r="H10" s="441" t="s">
        <v>243</v>
      </c>
      <c r="I10" s="441"/>
      <c r="J10" s="382">
        <v>12</v>
      </c>
      <c r="K10" s="499"/>
      <c r="L10" s="499"/>
      <c r="M10" s="499"/>
      <c r="N10" s="499"/>
      <c r="O10" s="499"/>
      <c r="P10" s="499"/>
      <c r="Q10" s="368"/>
      <c r="R10" s="130"/>
      <c r="S10" s="130"/>
      <c r="T10" s="130"/>
      <c r="U10" s="368"/>
      <c r="V10" s="368"/>
      <c r="W10" s="368"/>
      <c r="X10" s="278"/>
      <c r="Y10" s="278"/>
      <c r="Z10" s="278"/>
      <c r="AA10" s="278"/>
      <c r="AB10" s="268"/>
    </row>
    <row r="11" spans="5:28" ht="12.75" customHeight="1">
      <c r="E11" s="441" t="s">
        <v>55</v>
      </c>
      <c r="F11" s="441" t="s">
        <v>420</v>
      </c>
      <c r="G11" s="441" t="s">
        <v>3863</v>
      </c>
      <c r="H11" s="441" t="s">
        <v>243</v>
      </c>
      <c r="I11" s="441"/>
      <c r="J11" s="382">
        <v>100</v>
      </c>
      <c r="K11" s="499"/>
      <c r="L11" s="499"/>
      <c r="M11" s="499"/>
      <c r="N11" s="499"/>
      <c r="O11" s="499"/>
      <c r="P11" s="499"/>
      <c r="Q11" s="368"/>
      <c r="R11" s="130"/>
      <c r="S11" s="130"/>
      <c r="T11" s="130"/>
      <c r="U11" s="368"/>
      <c r="V11" s="368"/>
      <c r="W11" s="368"/>
      <c r="X11" s="278"/>
      <c r="Y11" s="278"/>
      <c r="Z11" s="278"/>
      <c r="AA11" s="278"/>
      <c r="AB11" s="268"/>
    </row>
    <row r="12" spans="5:28" ht="12.75" customHeight="1">
      <c r="E12" s="441" t="s">
        <v>55</v>
      </c>
      <c r="F12" s="441" t="s">
        <v>3414</v>
      </c>
      <c r="G12" s="441" t="s">
        <v>429</v>
      </c>
      <c r="H12" s="441" t="s">
        <v>243</v>
      </c>
      <c r="I12" s="441"/>
      <c r="J12" s="382">
        <v>13</v>
      </c>
      <c r="K12" s="499"/>
      <c r="L12" s="499"/>
      <c r="M12" s="499"/>
      <c r="N12" s="499"/>
      <c r="O12" s="499"/>
      <c r="P12" s="499"/>
      <c r="Q12" s="368"/>
      <c r="R12" s="130"/>
      <c r="S12" s="130"/>
      <c r="T12" s="130"/>
      <c r="U12" s="368"/>
      <c r="V12" s="368"/>
      <c r="W12" s="368"/>
      <c r="X12" s="278"/>
      <c r="Y12" s="278"/>
      <c r="Z12" s="278"/>
      <c r="AA12" s="278"/>
      <c r="AB12" s="268"/>
    </row>
    <row r="13" spans="5:28">
      <c r="E13" s="441" t="s">
        <v>53</v>
      </c>
      <c r="F13" s="441" t="s">
        <v>1189</v>
      </c>
      <c r="G13" s="441" t="s">
        <v>249</v>
      </c>
      <c r="H13" s="441" t="s">
        <v>243</v>
      </c>
      <c r="I13" s="441"/>
      <c r="J13" s="382">
        <v>14</v>
      </c>
      <c r="K13" s="499"/>
      <c r="L13" s="499"/>
      <c r="M13" s="499"/>
      <c r="N13" s="499"/>
      <c r="O13" s="499"/>
      <c r="P13" s="499"/>
      <c r="Q13" s="134"/>
      <c r="R13" s="186"/>
      <c r="S13" s="186"/>
      <c r="T13" s="186"/>
      <c r="U13" s="134"/>
      <c r="V13" s="134"/>
      <c r="W13" s="134"/>
    </row>
    <row r="14" spans="5:28" ht="12.75" customHeight="1">
      <c r="E14" s="441" t="s">
        <v>53</v>
      </c>
      <c r="F14" s="441" t="s">
        <v>1191</v>
      </c>
      <c r="G14" s="441" t="s">
        <v>252</v>
      </c>
      <c r="H14" s="441" t="s">
        <v>243</v>
      </c>
      <c r="I14" s="441"/>
      <c r="J14" s="382">
        <v>15</v>
      </c>
      <c r="K14" s="499"/>
      <c r="L14" s="499"/>
      <c r="M14" s="499"/>
      <c r="N14" s="499"/>
      <c r="O14" s="499"/>
      <c r="P14" s="499"/>
      <c r="Q14" s="368"/>
      <c r="R14" s="186"/>
      <c r="S14" s="186"/>
      <c r="T14" s="186"/>
      <c r="U14" s="134"/>
      <c r="V14" s="134"/>
      <c r="W14" s="134"/>
    </row>
    <row r="15" spans="5:28" ht="12.75" customHeight="1">
      <c r="E15" s="441" t="s">
        <v>53</v>
      </c>
      <c r="F15" s="441" t="s">
        <v>1192</v>
      </c>
      <c r="G15" s="441" t="s">
        <v>242</v>
      </c>
      <c r="H15" s="441" t="s">
        <v>243</v>
      </c>
      <c r="I15" s="441"/>
      <c r="J15" s="382">
        <v>16</v>
      </c>
      <c r="K15" s="499"/>
      <c r="L15" s="499"/>
      <c r="M15" s="499"/>
      <c r="N15" s="499"/>
      <c r="O15" s="499"/>
      <c r="P15" s="499"/>
      <c r="Q15" s="368"/>
      <c r="R15" s="186"/>
      <c r="S15" s="186"/>
      <c r="T15" s="186"/>
      <c r="U15" s="134"/>
      <c r="V15" s="134"/>
      <c r="W15" s="134"/>
    </row>
    <row r="16" spans="5:28" ht="12.75" customHeight="1">
      <c r="E16" s="441" t="s">
        <v>53</v>
      </c>
      <c r="F16" s="441" t="s">
        <v>1193</v>
      </c>
      <c r="G16" s="441" t="s">
        <v>247</v>
      </c>
      <c r="H16" s="441" t="s">
        <v>243</v>
      </c>
      <c r="I16" s="441"/>
      <c r="J16" s="382">
        <v>17</v>
      </c>
      <c r="K16" s="499"/>
      <c r="L16" s="499"/>
      <c r="M16" s="499"/>
      <c r="N16" s="499"/>
      <c r="O16" s="499"/>
      <c r="P16" s="499"/>
      <c r="Q16" s="368"/>
      <c r="R16" s="186"/>
      <c r="S16" s="186"/>
      <c r="T16" s="186"/>
      <c r="U16" s="134"/>
      <c r="V16" s="134"/>
      <c r="W16" s="134"/>
    </row>
    <row r="17" spans="5:28" ht="12.75" customHeight="1">
      <c r="E17" s="441" t="s">
        <v>53</v>
      </c>
      <c r="F17" s="441" t="s">
        <v>1194</v>
      </c>
      <c r="G17" s="441" t="s">
        <v>252</v>
      </c>
      <c r="H17" s="441" t="s">
        <v>243</v>
      </c>
      <c r="I17" s="441"/>
      <c r="J17" s="382">
        <v>18</v>
      </c>
      <c r="K17" s="499"/>
      <c r="L17" s="499"/>
      <c r="M17" s="499"/>
      <c r="N17" s="499"/>
      <c r="O17" s="499"/>
      <c r="P17" s="499"/>
      <c r="Q17" s="368"/>
      <c r="R17" s="186"/>
      <c r="S17" s="186"/>
      <c r="T17" s="186"/>
      <c r="U17" s="134"/>
      <c r="V17" s="134"/>
      <c r="W17" s="134"/>
    </row>
    <row r="18" spans="5:28" ht="12.75" customHeight="1">
      <c r="E18" s="441" t="s">
        <v>53</v>
      </c>
      <c r="F18" s="441" t="s">
        <v>1195</v>
      </c>
      <c r="G18" s="441" t="s">
        <v>247</v>
      </c>
      <c r="H18" s="441" t="s">
        <v>243</v>
      </c>
      <c r="I18" s="441"/>
      <c r="J18" s="382">
        <v>19</v>
      </c>
      <c r="K18" s="499"/>
      <c r="L18" s="499"/>
      <c r="M18" s="499"/>
      <c r="N18" s="499"/>
      <c r="O18" s="499"/>
      <c r="P18" s="499"/>
      <c r="Q18" s="368"/>
      <c r="R18" s="134"/>
      <c r="S18" s="134"/>
      <c r="T18" s="134"/>
      <c r="U18" s="134"/>
      <c r="V18" s="134"/>
      <c r="W18" s="134"/>
    </row>
    <row r="19" spans="5:28" ht="12.75" customHeight="1">
      <c r="E19" s="441" t="s">
        <v>53</v>
      </c>
      <c r="F19" s="441" t="s">
        <v>1196</v>
      </c>
      <c r="G19" s="441" t="s">
        <v>535</v>
      </c>
      <c r="H19" s="441" t="s">
        <v>903</v>
      </c>
      <c r="I19" s="441"/>
      <c r="J19" s="382">
        <v>20</v>
      </c>
      <c r="K19" s="499"/>
      <c r="L19" s="499"/>
      <c r="M19" s="499"/>
      <c r="N19" s="499"/>
      <c r="O19" s="499"/>
      <c r="P19" s="499"/>
      <c r="Q19" s="368"/>
      <c r="R19" s="134"/>
      <c r="S19" s="134"/>
      <c r="T19" s="134"/>
      <c r="U19" s="134"/>
      <c r="V19" s="134"/>
      <c r="W19" s="134"/>
    </row>
    <row r="20" spans="5:28" ht="12.75" customHeight="1">
      <c r="E20" s="441" t="s">
        <v>55</v>
      </c>
      <c r="F20" s="441" t="s">
        <v>3416</v>
      </c>
      <c r="G20" s="441" t="s">
        <v>324</v>
      </c>
      <c r="H20" s="441" t="s">
        <v>243</v>
      </c>
      <c r="I20" s="441"/>
      <c r="J20" s="382">
        <v>21</v>
      </c>
      <c r="K20" s="499"/>
      <c r="L20" s="499"/>
      <c r="M20" s="499"/>
      <c r="N20" s="499"/>
      <c r="O20" s="499"/>
      <c r="P20" s="499"/>
      <c r="Q20" s="368"/>
      <c r="R20" s="134"/>
      <c r="S20" s="134"/>
      <c r="T20" s="134"/>
      <c r="U20" s="134"/>
      <c r="V20" s="134"/>
      <c r="W20" s="134"/>
      <c r="X20" s="278"/>
      <c r="Y20" s="278"/>
      <c r="Z20" s="278"/>
      <c r="AA20" s="278"/>
      <c r="AB20" s="268"/>
    </row>
    <row r="21" spans="5:28" ht="12.75" customHeight="1">
      <c r="E21" s="441" t="s">
        <v>55</v>
      </c>
      <c r="F21" s="441" t="s">
        <v>3734</v>
      </c>
      <c r="G21" s="441" t="s">
        <v>3501</v>
      </c>
      <c r="H21" s="441" t="s">
        <v>243</v>
      </c>
      <c r="I21" s="441"/>
      <c r="J21" s="382">
        <v>22</v>
      </c>
      <c r="K21" s="499"/>
      <c r="L21" s="499"/>
      <c r="M21" s="499"/>
      <c r="N21" s="499"/>
      <c r="O21" s="499"/>
      <c r="P21" s="499"/>
      <c r="Q21" s="368"/>
      <c r="R21" s="368"/>
      <c r="S21" s="368"/>
      <c r="T21" s="368"/>
      <c r="U21" s="368"/>
      <c r="V21" s="368"/>
      <c r="W21" s="368"/>
    </row>
    <row r="22" spans="5:28" ht="12.75" customHeight="1">
      <c r="E22" s="441" t="s">
        <v>55</v>
      </c>
      <c r="F22" s="441" t="s">
        <v>938</v>
      </c>
      <c r="G22" s="441" t="s">
        <v>255</v>
      </c>
      <c r="H22" s="441" t="s">
        <v>243</v>
      </c>
      <c r="I22" s="441"/>
      <c r="J22" s="382">
        <v>23</v>
      </c>
      <c r="K22" s="499"/>
      <c r="L22" s="499"/>
      <c r="M22" s="499"/>
      <c r="N22" s="499"/>
      <c r="O22" s="499"/>
      <c r="P22" s="499"/>
      <c r="Q22" s="368"/>
      <c r="R22" s="368"/>
      <c r="S22" s="368"/>
      <c r="T22" s="368"/>
      <c r="U22" s="368"/>
      <c r="V22" s="368"/>
      <c r="W22" s="368"/>
    </row>
    <row r="23" spans="5:28" ht="12.75" customHeight="1">
      <c r="E23" s="441" t="s">
        <v>55</v>
      </c>
      <c r="F23" s="441" t="s">
        <v>3422</v>
      </c>
      <c r="G23" s="441" t="s">
        <v>324</v>
      </c>
      <c r="H23" s="441" t="s">
        <v>243</v>
      </c>
      <c r="I23" s="441"/>
      <c r="J23" s="382">
        <v>24</v>
      </c>
      <c r="K23" s="499"/>
      <c r="L23" s="499"/>
      <c r="M23" s="499"/>
      <c r="N23" s="499"/>
      <c r="O23" s="499"/>
      <c r="P23" s="499"/>
      <c r="Q23" s="368"/>
      <c r="R23" s="368"/>
      <c r="S23" s="368"/>
      <c r="T23" s="368"/>
      <c r="U23" s="368"/>
      <c r="V23" s="368"/>
      <c r="W23" s="368"/>
    </row>
    <row r="24" spans="5:28" ht="12.75" customHeight="1">
      <c r="E24" s="441" t="s">
        <v>55</v>
      </c>
      <c r="F24" s="441" t="s">
        <v>924</v>
      </c>
      <c r="G24" s="441" t="s">
        <v>925</v>
      </c>
      <c r="H24" s="441" t="s">
        <v>243</v>
      </c>
      <c r="I24" s="441"/>
      <c r="J24" s="382">
        <v>25</v>
      </c>
      <c r="K24" s="499"/>
      <c r="L24" s="368"/>
      <c r="M24" s="325"/>
      <c r="N24" s="325"/>
      <c r="O24" s="325"/>
      <c r="P24" s="325"/>
      <c r="Q24" s="325"/>
      <c r="R24" s="325"/>
      <c r="S24" s="325"/>
      <c r="T24" s="325"/>
      <c r="U24" s="325"/>
      <c r="V24" s="325"/>
      <c r="W24" s="325"/>
      <c r="X24" s="325"/>
      <c r="Y24" s="325"/>
      <c r="Z24" s="325"/>
      <c r="AA24" s="501"/>
      <c r="AB24" s="325"/>
    </row>
    <row r="25" spans="5:28" ht="12.75" customHeight="1">
      <c r="E25" s="441" t="s">
        <v>55</v>
      </c>
      <c r="F25" s="441" t="s">
        <v>3864</v>
      </c>
      <c r="G25" s="441" t="s">
        <v>264</v>
      </c>
      <c r="H25" s="441" t="s">
        <v>243</v>
      </c>
      <c r="I25" s="441"/>
      <c r="J25" s="382">
        <v>99</v>
      </c>
      <c r="K25" s="499"/>
      <c r="L25" s="499"/>
      <c r="M25" s="499"/>
      <c r="N25" s="499"/>
      <c r="O25" s="499"/>
      <c r="P25" s="499"/>
      <c r="Q25" s="368"/>
      <c r="R25" s="368"/>
      <c r="S25" s="368"/>
      <c r="T25" s="368"/>
      <c r="U25" s="368"/>
      <c r="V25" s="368"/>
      <c r="W25" s="368"/>
    </row>
    <row r="26" spans="5:28" ht="12.75" customHeight="1">
      <c r="E26" s="441" t="s">
        <v>55</v>
      </c>
      <c r="F26" s="441" t="s">
        <v>3865</v>
      </c>
      <c r="G26" s="441" t="s">
        <v>246</v>
      </c>
      <c r="H26" s="441" t="s">
        <v>243</v>
      </c>
      <c r="I26" s="441"/>
      <c r="J26" s="382">
        <v>86</v>
      </c>
      <c r="K26" s="499"/>
      <c r="L26" s="499"/>
      <c r="M26" s="499"/>
      <c r="N26" s="499"/>
      <c r="O26" s="499"/>
      <c r="P26" s="499"/>
      <c r="Q26" s="368"/>
      <c r="R26" s="368"/>
      <c r="S26" s="368"/>
      <c r="T26" s="368"/>
      <c r="U26" s="368"/>
      <c r="V26" s="368"/>
      <c r="W26" s="368"/>
    </row>
    <row r="27" spans="5:28" ht="12.75" customHeight="1">
      <c r="E27" s="441" t="s">
        <v>55</v>
      </c>
      <c r="F27" s="441" t="s">
        <v>3740</v>
      </c>
      <c r="G27" s="441" t="s">
        <v>535</v>
      </c>
      <c r="H27" s="441" t="s">
        <v>243</v>
      </c>
      <c r="I27" s="441"/>
      <c r="J27" s="382">
        <v>76</v>
      </c>
      <c r="K27" s="499"/>
      <c r="L27" s="368"/>
      <c r="N27" s="325"/>
      <c r="O27" s="325"/>
      <c r="P27" s="325"/>
      <c r="Q27" s="325"/>
      <c r="R27" s="325"/>
      <c r="S27" s="325"/>
      <c r="T27" s="325"/>
      <c r="U27" s="325"/>
      <c r="V27" s="325"/>
      <c r="W27" s="325"/>
      <c r="X27" s="325"/>
      <c r="Y27" s="325"/>
      <c r="Z27" s="325"/>
      <c r="AA27" s="501"/>
      <c r="AB27" s="325"/>
    </row>
    <row r="28" spans="5:28" ht="12.75" customHeight="1">
      <c r="E28" s="441" t="s">
        <v>55</v>
      </c>
      <c r="F28" s="441" t="s">
        <v>1032</v>
      </c>
      <c r="G28" s="441" t="s">
        <v>535</v>
      </c>
      <c r="H28" s="441" t="s">
        <v>243</v>
      </c>
      <c r="I28" s="441"/>
      <c r="J28" s="382">
        <v>77</v>
      </c>
      <c r="K28" s="499"/>
      <c r="L28" s="499"/>
      <c r="M28" s="499"/>
      <c r="N28" s="499"/>
      <c r="O28" s="499"/>
      <c r="P28" s="499"/>
      <c r="Q28" s="368"/>
      <c r="R28" s="368"/>
      <c r="S28" s="368"/>
      <c r="T28" s="368"/>
      <c r="U28" s="368"/>
      <c r="V28" s="368"/>
      <c r="W28" s="368"/>
    </row>
    <row r="29" spans="5:28" ht="12.75" customHeight="1">
      <c r="E29" s="441" t="s">
        <v>55</v>
      </c>
      <c r="F29" s="441" t="s">
        <v>3433</v>
      </c>
      <c r="G29" s="441" t="s">
        <v>324</v>
      </c>
      <c r="H29" s="441" t="s">
        <v>243</v>
      </c>
      <c r="I29" s="441"/>
      <c r="J29" s="382">
        <v>26</v>
      </c>
      <c r="K29" s="499"/>
      <c r="L29" s="368"/>
      <c r="M29" s="499"/>
      <c r="N29" s="499"/>
      <c r="O29" s="499"/>
      <c r="P29" s="499"/>
      <c r="Q29" s="368"/>
      <c r="R29" s="368"/>
      <c r="S29" s="368"/>
      <c r="T29" s="368"/>
      <c r="U29" s="368"/>
      <c r="V29" s="368"/>
      <c r="W29" s="368"/>
    </row>
    <row r="30" spans="5:28" ht="12.75" customHeight="1">
      <c r="E30" s="441" t="s">
        <v>55</v>
      </c>
      <c r="F30" s="441" t="s">
        <v>3435</v>
      </c>
      <c r="G30" s="441" t="s">
        <v>324</v>
      </c>
      <c r="H30" s="441" t="s">
        <v>243</v>
      </c>
      <c r="I30" s="441"/>
      <c r="J30" s="382">
        <v>27</v>
      </c>
      <c r="K30" s="499"/>
      <c r="L30" s="499"/>
      <c r="M30" s="499"/>
      <c r="N30" s="499"/>
      <c r="O30" s="499"/>
      <c r="P30" s="499"/>
      <c r="Q30" s="368"/>
      <c r="R30" s="368"/>
      <c r="S30" s="368"/>
      <c r="T30" s="368"/>
      <c r="U30" s="368"/>
      <c r="V30" s="368"/>
      <c r="W30" s="368"/>
    </row>
    <row r="31" spans="5:28" ht="12.75" customHeight="1">
      <c r="E31" s="441" t="s">
        <v>55</v>
      </c>
      <c r="F31" s="441" t="s">
        <v>950</v>
      </c>
      <c r="G31" s="441" t="s">
        <v>324</v>
      </c>
      <c r="H31" s="441" t="s">
        <v>243</v>
      </c>
      <c r="I31" s="441"/>
      <c r="J31" s="382">
        <v>28</v>
      </c>
      <c r="K31" s="499" t="s">
        <v>682</v>
      </c>
      <c r="L31" s="130" t="s">
        <v>2570</v>
      </c>
      <c r="M31" s="459" t="s">
        <v>2579</v>
      </c>
      <c r="N31" s="499"/>
      <c r="O31" s="499"/>
      <c r="P31" s="499"/>
      <c r="Q31" s="368"/>
      <c r="R31" s="130"/>
      <c r="S31" s="140" t="s">
        <v>3886</v>
      </c>
      <c r="T31" s="130" t="s">
        <v>3747</v>
      </c>
      <c r="U31" s="368"/>
      <c r="V31" s="368"/>
      <c r="W31" s="368"/>
      <c r="X31" s="278"/>
      <c r="Y31" s="278"/>
      <c r="Z31" s="369"/>
      <c r="AA31" s="371"/>
      <c r="AB31" s="370"/>
    </row>
    <row r="32" spans="5:28" ht="12.75" customHeight="1">
      <c r="E32" s="441" t="s">
        <v>55</v>
      </c>
      <c r="F32" s="441" t="s">
        <v>3443</v>
      </c>
      <c r="G32" s="441" t="s">
        <v>324</v>
      </c>
      <c r="H32" s="441" t="s">
        <v>243</v>
      </c>
      <c r="I32" s="441"/>
      <c r="J32" s="382">
        <v>29</v>
      </c>
      <c r="K32" s="499" t="s">
        <v>682</v>
      </c>
      <c r="L32" s="130" t="s">
        <v>2570</v>
      </c>
      <c r="M32" s="459" t="s">
        <v>2581</v>
      </c>
      <c r="N32" s="499"/>
      <c r="O32" s="499"/>
      <c r="P32" s="499"/>
      <c r="Q32" s="368"/>
      <c r="R32" s="130"/>
      <c r="S32" s="140" t="s">
        <v>3887</v>
      </c>
      <c r="T32" s="130" t="s">
        <v>3750</v>
      </c>
      <c r="U32" s="368"/>
      <c r="V32" s="368"/>
      <c r="W32" s="368"/>
    </row>
    <row r="33" spans="5:28" ht="12.75" customHeight="1">
      <c r="E33" s="441" t="s">
        <v>55</v>
      </c>
      <c r="F33" s="441" t="s">
        <v>3445</v>
      </c>
      <c r="G33" s="441" t="s">
        <v>324</v>
      </c>
      <c r="H33" s="441" t="s">
        <v>243</v>
      </c>
      <c r="I33" s="441"/>
      <c r="J33" s="382">
        <v>30</v>
      </c>
      <c r="K33" s="499"/>
      <c r="L33" s="499"/>
      <c r="M33" s="499"/>
      <c r="N33" s="499"/>
      <c r="O33" s="499"/>
      <c r="P33" s="499"/>
      <c r="Q33" s="368"/>
      <c r="R33" s="368"/>
      <c r="S33" s="368"/>
      <c r="T33" s="368"/>
      <c r="U33" s="368"/>
      <c r="V33" s="368"/>
      <c r="W33" s="368"/>
    </row>
    <row r="34" spans="5:28" ht="12.75" customHeight="1">
      <c r="E34" s="441" t="s">
        <v>55</v>
      </c>
      <c r="F34" s="441" t="s">
        <v>3867</v>
      </c>
      <c r="G34" s="441" t="s">
        <v>249</v>
      </c>
      <c r="H34" s="441" t="s">
        <v>243</v>
      </c>
      <c r="I34" s="441"/>
      <c r="J34" s="382">
        <v>93</v>
      </c>
      <c r="K34" s="499"/>
      <c r="L34" s="368"/>
      <c r="M34" s="499"/>
      <c r="N34" s="499"/>
      <c r="O34" s="499"/>
      <c r="P34" s="499"/>
      <c r="Q34" s="368"/>
      <c r="R34" s="368"/>
      <c r="S34" s="368"/>
      <c r="T34" s="368"/>
      <c r="U34" s="368"/>
      <c r="V34" s="368"/>
      <c r="W34" s="368"/>
      <c r="X34" s="278"/>
      <c r="Y34" s="278"/>
      <c r="Z34" s="247"/>
      <c r="AA34" s="371"/>
      <c r="AB34" s="290"/>
    </row>
    <row r="35" spans="5:28" ht="12.75" customHeight="1">
      <c r="E35" s="441" t="s">
        <v>55</v>
      </c>
      <c r="F35" s="441" t="s">
        <v>1031</v>
      </c>
      <c r="G35" s="441" t="s">
        <v>249</v>
      </c>
      <c r="H35" s="441" t="s">
        <v>243</v>
      </c>
      <c r="I35" s="441"/>
      <c r="J35" s="382">
        <v>31</v>
      </c>
      <c r="K35" s="499"/>
      <c r="L35" s="499"/>
      <c r="M35" s="499"/>
      <c r="N35" s="499"/>
      <c r="O35" s="499"/>
      <c r="P35" s="499"/>
      <c r="Q35" s="368"/>
      <c r="R35" s="368"/>
      <c r="S35" s="368"/>
      <c r="T35" s="368"/>
      <c r="U35" s="368"/>
      <c r="V35" s="368"/>
      <c r="W35" s="368"/>
    </row>
    <row r="36" spans="5:28" ht="12.75" customHeight="1">
      <c r="E36" s="441" t="s">
        <v>55</v>
      </c>
      <c r="F36" s="441" t="s">
        <v>914</v>
      </c>
      <c r="G36" s="441" t="s">
        <v>3868</v>
      </c>
      <c r="H36" s="441" t="s">
        <v>243</v>
      </c>
      <c r="I36" s="441"/>
      <c r="J36" s="382">
        <v>32</v>
      </c>
      <c r="K36" s="499"/>
      <c r="L36" s="368"/>
      <c r="M36" s="499"/>
      <c r="N36" s="499"/>
      <c r="O36" s="499"/>
      <c r="P36" s="499"/>
      <c r="Q36" s="368"/>
      <c r="R36" s="368"/>
      <c r="S36" s="368"/>
      <c r="T36" s="368"/>
      <c r="U36" s="368"/>
      <c r="V36" s="368"/>
      <c r="W36" s="368"/>
      <c r="X36" s="278"/>
      <c r="Y36" s="278"/>
      <c r="Z36" s="369"/>
      <c r="AA36" s="371"/>
      <c r="AB36" s="370"/>
    </row>
    <row r="37" spans="5:28" ht="12.75" customHeight="1">
      <c r="E37" s="441" t="s">
        <v>55</v>
      </c>
      <c r="F37" s="441" t="s">
        <v>3460</v>
      </c>
      <c r="G37" s="441" t="s">
        <v>255</v>
      </c>
      <c r="H37" s="441" t="s">
        <v>243</v>
      </c>
      <c r="I37" s="441"/>
      <c r="J37" s="382">
        <v>33</v>
      </c>
      <c r="K37" s="499"/>
      <c r="L37" s="499"/>
      <c r="M37" s="499"/>
      <c r="N37" s="499"/>
      <c r="O37" s="499"/>
      <c r="P37" s="499"/>
      <c r="Q37" s="368"/>
      <c r="R37" s="368"/>
      <c r="S37" s="368"/>
      <c r="T37" s="368"/>
      <c r="U37" s="368"/>
      <c r="V37" s="368"/>
      <c r="W37" s="368"/>
    </row>
    <row r="38" spans="5:28" ht="12.75" customHeight="1">
      <c r="E38" s="441" t="s">
        <v>55</v>
      </c>
      <c r="F38" s="441" t="s">
        <v>3462</v>
      </c>
      <c r="G38" s="441" t="s">
        <v>255</v>
      </c>
      <c r="H38" s="441" t="s">
        <v>243</v>
      </c>
      <c r="I38" s="441"/>
      <c r="J38" s="382">
        <v>34</v>
      </c>
      <c r="K38" s="499"/>
      <c r="L38" s="499"/>
      <c r="M38" s="499"/>
      <c r="N38" s="499"/>
      <c r="O38" s="499"/>
      <c r="P38" s="499"/>
      <c r="Q38" s="368"/>
      <c r="R38" s="368"/>
      <c r="S38" s="368"/>
      <c r="T38" s="368"/>
      <c r="U38" s="368"/>
      <c r="V38" s="368"/>
      <c r="W38" s="368"/>
    </row>
    <row r="39" spans="5:28" ht="12.75" customHeight="1">
      <c r="E39" s="441" t="s">
        <v>55</v>
      </c>
      <c r="F39" s="441" t="s">
        <v>174</v>
      </c>
      <c r="G39" s="441" t="s">
        <v>909</v>
      </c>
      <c r="H39" s="441" t="s">
        <v>243</v>
      </c>
      <c r="I39" s="441"/>
      <c r="J39" s="382">
        <v>35</v>
      </c>
      <c r="K39" s="499" t="s">
        <v>682</v>
      </c>
      <c r="L39" s="130" t="s">
        <v>2570</v>
      </c>
      <c r="M39" s="459" t="s">
        <v>2574</v>
      </c>
      <c r="N39" s="499"/>
      <c r="O39" s="499"/>
      <c r="P39" s="499"/>
      <c r="Q39" s="368"/>
      <c r="R39" s="130"/>
      <c r="S39" s="140" t="s">
        <v>3888</v>
      </c>
      <c r="T39" s="130" t="s">
        <v>3758</v>
      </c>
      <c r="U39" s="368"/>
      <c r="V39" s="368"/>
      <c r="W39" s="368"/>
      <c r="X39" s="278"/>
      <c r="Y39" s="278"/>
      <c r="Z39" s="369"/>
      <c r="AA39" s="371"/>
      <c r="AB39" s="370"/>
    </row>
    <row r="40" spans="5:28" ht="12.75" customHeight="1">
      <c r="E40" s="441" t="s">
        <v>55</v>
      </c>
      <c r="F40" s="441" t="s">
        <v>3759</v>
      </c>
      <c r="G40" s="441" t="s">
        <v>535</v>
      </c>
      <c r="H40" s="441" t="s">
        <v>243</v>
      </c>
      <c r="I40" s="441"/>
      <c r="J40" s="382">
        <v>78</v>
      </c>
      <c r="K40" s="499"/>
      <c r="L40" s="499"/>
      <c r="M40" s="499"/>
      <c r="N40" s="499"/>
      <c r="O40" s="499"/>
      <c r="P40" s="499"/>
      <c r="Q40" s="368"/>
      <c r="R40" s="368"/>
      <c r="S40" s="368"/>
      <c r="T40" s="368"/>
      <c r="U40" s="368"/>
      <c r="V40" s="368"/>
      <c r="W40" s="368"/>
    </row>
    <row r="41" spans="5:28" ht="12.75" customHeight="1">
      <c r="E41" s="441" t="s">
        <v>55</v>
      </c>
      <c r="F41" s="441" t="s">
        <v>3761</v>
      </c>
      <c r="G41" s="441" t="s">
        <v>324</v>
      </c>
      <c r="H41" s="441" t="s">
        <v>243</v>
      </c>
      <c r="I41" s="441"/>
      <c r="J41" s="382">
        <v>36</v>
      </c>
      <c r="K41" s="499"/>
      <c r="L41" s="499"/>
      <c r="M41" s="499"/>
      <c r="N41" s="499"/>
      <c r="O41" s="499"/>
      <c r="P41" s="499"/>
      <c r="Q41" s="368"/>
      <c r="R41" s="368"/>
      <c r="S41" s="368"/>
      <c r="T41" s="368"/>
      <c r="U41" s="368"/>
      <c r="V41" s="368"/>
      <c r="W41" s="368"/>
    </row>
    <row r="42" spans="5:28" ht="12.75" customHeight="1">
      <c r="E42" s="441" t="s">
        <v>55</v>
      </c>
      <c r="F42" s="441" t="s">
        <v>3470</v>
      </c>
      <c r="G42" s="441" t="s">
        <v>324</v>
      </c>
      <c r="H42" s="441" t="s">
        <v>243</v>
      </c>
      <c r="I42" s="441"/>
      <c r="J42" s="382">
        <v>37</v>
      </c>
      <c r="K42" s="499"/>
      <c r="L42" s="499"/>
      <c r="M42" s="499"/>
      <c r="N42" s="499"/>
      <c r="O42" s="499"/>
      <c r="P42" s="499"/>
      <c r="Q42" s="368"/>
      <c r="R42" s="368"/>
      <c r="S42" s="368"/>
      <c r="T42" s="368"/>
      <c r="U42" s="368"/>
      <c r="V42" s="368"/>
      <c r="W42" s="368"/>
    </row>
    <row r="43" spans="5:28" ht="12.75" customHeight="1">
      <c r="E43" s="441" t="s">
        <v>55</v>
      </c>
      <c r="F43" s="441" t="s">
        <v>940</v>
      </c>
      <c r="G43" s="441" t="s">
        <v>941</v>
      </c>
      <c r="H43" s="441" t="s">
        <v>243</v>
      </c>
      <c r="I43" s="441"/>
      <c r="J43" s="382">
        <v>38</v>
      </c>
      <c r="K43" s="499"/>
      <c r="L43" s="499"/>
      <c r="M43" s="499"/>
      <c r="N43" s="499"/>
      <c r="O43" s="499"/>
      <c r="P43" s="499"/>
      <c r="Q43" s="368"/>
      <c r="R43" s="368"/>
      <c r="S43" s="368"/>
      <c r="T43" s="368"/>
      <c r="U43" s="368"/>
      <c r="V43" s="368"/>
      <c r="W43" s="368"/>
    </row>
    <row r="44" spans="5:28" ht="12.75" customHeight="1">
      <c r="E44" s="441" t="s">
        <v>53</v>
      </c>
      <c r="F44" s="441" t="s">
        <v>124</v>
      </c>
      <c r="G44" s="441" t="s">
        <v>535</v>
      </c>
      <c r="H44" s="441" t="s">
        <v>903</v>
      </c>
      <c r="I44" s="441"/>
      <c r="J44" s="382">
        <v>1</v>
      </c>
      <c r="K44" s="499"/>
      <c r="L44" s="499"/>
      <c r="M44" s="499"/>
      <c r="N44" s="499"/>
      <c r="O44" s="499"/>
      <c r="P44" s="499"/>
      <c r="Q44" s="368"/>
      <c r="R44" s="134"/>
      <c r="S44" s="134"/>
      <c r="T44" s="134"/>
      <c r="U44" s="134"/>
      <c r="V44" s="134"/>
      <c r="W44" s="134"/>
    </row>
    <row r="45" spans="5:28" ht="12.75" customHeight="1">
      <c r="E45" s="441" t="s">
        <v>55</v>
      </c>
      <c r="F45" s="441" t="s">
        <v>3765</v>
      </c>
      <c r="G45" s="441" t="s">
        <v>589</v>
      </c>
      <c r="H45" s="441" t="s">
        <v>243</v>
      </c>
      <c r="I45" s="441"/>
      <c r="J45" s="382">
        <v>39</v>
      </c>
      <c r="K45" s="499"/>
      <c r="L45" s="368"/>
      <c r="M45" s="499"/>
      <c r="N45" s="499"/>
      <c r="O45" s="499"/>
      <c r="P45" s="499"/>
      <c r="Q45" s="368"/>
      <c r="R45" s="368"/>
      <c r="S45" s="368"/>
      <c r="T45" s="368"/>
      <c r="U45" s="368"/>
      <c r="V45" s="368"/>
      <c r="W45" s="368"/>
    </row>
    <row r="46" spans="5:28">
      <c r="E46" s="441" t="s">
        <v>55</v>
      </c>
      <c r="F46" s="441" t="s">
        <v>3870</v>
      </c>
      <c r="G46" s="441" t="s">
        <v>249</v>
      </c>
      <c r="H46" s="441" t="s">
        <v>243</v>
      </c>
      <c r="I46" s="441"/>
      <c r="J46" s="382">
        <v>97</v>
      </c>
      <c r="K46" s="499"/>
      <c r="L46" s="368"/>
      <c r="M46" s="499"/>
      <c r="N46" s="499"/>
      <c r="O46" s="499"/>
      <c r="P46" s="499"/>
      <c r="Q46" s="368"/>
      <c r="R46" s="368"/>
      <c r="S46" s="368"/>
      <c r="T46" s="368"/>
      <c r="U46" s="368"/>
      <c r="V46" s="368"/>
      <c r="W46" s="368"/>
    </row>
    <row r="47" spans="5:28" ht="12.75" customHeight="1">
      <c r="E47" s="441" t="s">
        <v>55</v>
      </c>
      <c r="F47" s="441" t="s">
        <v>3771</v>
      </c>
      <c r="G47" s="441" t="s">
        <v>264</v>
      </c>
      <c r="H47" s="441" t="s">
        <v>243</v>
      </c>
      <c r="I47" s="441"/>
      <c r="J47" s="382">
        <v>84</v>
      </c>
      <c r="K47" s="499"/>
      <c r="L47" s="499"/>
      <c r="M47" s="499"/>
      <c r="N47" s="499"/>
      <c r="O47" s="499"/>
      <c r="P47" s="499"/>
      <c r="Q47" s="368"/>
      <c r="R47" s="368"/>
      <c r="S47" s="368"/>
      <c r="T47" s="368"/>
      <c r="U47" s="368"/>
      <c r="V47" s="368"/>
      <c r="W47" s="368"/>
    </row>
    <row r="48" spans="5:28" ht="12.75" customHeight="1">
      <c r="E48" s="441" t="s">
        <v>55</v>
      </c>
      <c r="F48" s="441" t="s">
        <v>916</v>
      </c>
      <c r="G48" s="441" t="s">
        <v>247</v>
      </c>
      <c r="H48" s="441" t="s">
        <v>243</v>
      </c>
      <c r="I48" s="441"/>
      <c r="J48" s="382">
        <v>40</v>
      </c>
      <c r="K48" s="499"/>
      <c r="L48" s="499"/>
      <c r="M48" s="499"/>
      <c r="N48" s="499"/>
      <c r="O48" s="499"/>
      <c r="P48" s="499"/>
      <c r="Q48" s="368"/>
      <c r="R48" s="368"/>
      <c r="S48" s="368"/>
      <c r="T48" s="368"/>
      <c r="U48" s="368"/>
      <c r="V48" s="368"/>
      <c r="W48" s="368"/>
    </row>
    <row r="49" spans="5:28" ht="12.75" customHeight="1">
      <c r="E49" s="441" t="s">
        <v>55</v>
      </c>
      <c r="F49" s="441" t="s">
        <v>3483</v>
      </c>
      <c r="G49" s="441" t="s">
        <v>247</v>
      </c>
      <c r="H49" s="441" t="s">
        <v>243</v>
      </c>
      <c r="I49" s="441"/>
      <c r="J49" s="382">
        <v>89</v>
      </c>
      <c r="K49" s="499"/>
      <c r="L49" s="368"/>
      <c r="M49" s="499"/>
      <c r="N49" s="499"/>
      <c r="O49" s="499"/>
      <c r="P49" s="499"/>
      <c r="Q49" s="368"/>
      <c r="R49" s="368"/>
      <c r="S49" s="368"/>
      <c r="T49" s="368"/>
      <c r="U49" s="368"/>
      <c r="V49" s="368"/>
      <c r="W49" s="368"/>
      <c r="X49" s="278"/>
      <c r="Y49" s="502"/>
      <c r="Z49" s="369"/>
      <c r="AA49" s="371"/>
      <c r="AB49" s="370"/>
    </row>
    <row r="50" spans="5:28" ht="12.75" customHeight="1">
      <c r="E50" s="441" t="s">
        <v>55</v>
      </c>
      <c r="F50" s="441" t="s">
        <v>3485</v>
      </c>
      <c r="G50" s="441" t="s">
        <v>247</v>
      </c>
      <c r="H50" s="441" t="s">
        <v>243</v>
      </c>
      <c r="I50" s="441"/>
      <c r="J50" s="382">
        <v>91</v>
      </c>
      <c r="K50" s="499"/>
      <c r="L50" s="368"/>
      <c r="M50" s="499"/>
      <c r="N50" s="499"/>
      <c r="O50" s="499"/>
      <c r="P50" s="499"/>
      <c r="Q50" s="368"/>
      <c r="R50" s="368"/>
      <c r="S50" s="500"/>
      <c r="T50" s="368"/>
      <c r="U50" s="368"/>
      <c r="V50" s="368"/>
      <c r="W50" s="368"/>
    </row>
    <row r="51" spans="5:28" ht="12.75" customHeight="1">
      <c r="E51" s="441" t="s">
        <v>55</v>
      </c>
      <c r="F51" s="441" t="s">
        <v>918</v>
      </c>
      <c r="G51" s="441" t="s">
        <v>919</v>
      </c>
      <c r="H51" s="441" t="s">
        <v>243</v>
      </c>
      <c r="I51" s="441"/>
      <c r="J51" s="382">
        <v>41</v>
      </c>
      <c r="K51" s="499" t="s">
        <v>682</v>
      </c>
      <c r="L51" s="130" t="s">
        <v>2570</v>
      </c>
      <c r="M51" s="459" t="s">
        <v>2574</v>
      </c>
      <c r="N51" s="499"/>
      <c r="O51" s="499"/>
      <c r="P51" s="499"/>
      <c r="Q51" s="368"/>
      <c r="R51" s="130"/>
      <c r="S51" s="140" t="s">
        <v>3888</v>
      </c>
      <c r="T51" s="130" t="s">
        <v>3775</v>
      </c>
      <c r="U51" s="368"/>
      <c r="V51" s="368"/>
      <c r="W51" s="368"/>
    </row>
    <row r="52" spans="5:28" ht="12.75" customHeight="1">
      <c r="E52" s="441" t="s">
        <v>55</v>
      </c>
      <c r="F52" s="441" t="s">
        <v>3491</v>
      </c>
      <c r="G52" s="441" t="s">
        <v>247</v>
      </c>
      <c r="H52" s="441" t="s">
        <v>243</v>
      </c>
      <c r="I52" s="441"/>
      <c r="J52" s="382">
        <v>87</v>
      </c>
      <c r="K52" s="499"/>
      <c r="L52" s="368"/>
      <c r="M52" s="499"/>
      <c r="N52" s="499"/>
      <c r="O52" s="499"/>
      <c r="P52" s="499"/>
      <c r="Q52" s="368"/>
      <c r="R52" s="368"/>
      <c r="S52" s="368"/>
      <c r="T52" s="368"/>
      <c r="U52" s="368"/>
      <c r="V52" s="368"/>
      <c r="W52" s="368"/>
    </row>
    <row r="53" spans="5:28" ht="12.75" customHeight="1">
      <c r="E53" s="441" t="s">
        <v>55</v>
      </c>
      <c r="F53" s="441" t="s">
        <v>3493</v>
      </c>
      <c r="G53" s="441" t="s">
        <v>247</v>
      </c>
      <c r="H53" s="441" t="s">
        <v>243</v>
      </c>
      <c r="I53" s="441"/>
      <c r="J53" s="382">
        <v>88</v>
      </c>
      <c r="K53" s="499"/>
      <c r="L53" s="368"/>
      <c r="M53" s="499"/>
      <c r="N53" s="499"/>
      <c r="O53" s="499"/>
      <c r="P53" s="499"/>
      <c r="Q53" s="368"/>
      <c r="R53" s="368"/>
      <c r="S53" s="368"/>
      <c r="T53" s="368"/>
      <c r="U53" s="368"/>
      <c r="V53" s="368"/>
      <c r="W53" s="368"/>
    </row>
    <row r="54" spans="5:28" ht="12.75" customHeight="1">
      <c r="E54" s="441" t="s">
        <v>55</v>
      </c>
      <c r="F54" s="441" t="s">
        <v>3494</v>
      </c>
      <c r="G54" s="441" t="s">
        <v>247</v>
      </c>
      <c r="H54" s="441" t="s">
        <v>243</v>
      </c>
      <c r="I54" s="441"/>
      <c r="J54" s="382">
        <v>90</v>
      </c>
      <c r="K54" s="499"/>
      <c r="L54" s="368"/>
      <c r="M54" s="499"/>
      <c r="N54" s="499"/>
      <c r="O54" s="499"/>
      <c r="P54" s="499"/>
      <c r="Q54" s="368"/>
      <c r="R54" s="368"/>
      <c r="S54" s="500"/>
      <c r="T54" s="368"/>
      <c r="U54" s="368"/>
      <c r="V54" s="368"/>
      <c r="W54" s="368"/>
      <c r="X54" s="278"/>
      <c r="Y54" s="502"/>
      <c r="Z54" s="369"/>
      <c r="AA54" s="371"/>
      <c r="AB54" s="370"/>
    </row>
    <row r="55" spans="5:28" ht="12.75" customHeight="1">
      <c r="E55" s="441" t="s">
        <v>55</v>
      </c>
      <c r="F55" s="441" t="s">
        <v>3495</v>
      </c>
      <c r="G55" s="441" t="s">
        <v>324</v>
      </c>
      <c r="H55" s="441" t="s">
        <v>243</v>
      </c>
      <c r="I55" s="441"/>
      <c r="J55" s="382">
        <v>42</v>
      </c>
      <c r="K55" s="499"/>
      <c r="L55" s="368"/>
      <c r="M55" s="499"/>
      <c r="N55" s="499"/>
      <c r="O55" s="499"/>
      <c r="P55" s="499"/>
      <c r="Q55" s="368"/>
      <c r="R55" s="368"/>
      <c r="S55" s="500"/>
      <c r="T55" s="368"/>
      <c r="U55" s="368"/>
      <c r="V55" s="368"/>
      <c r="W55" s="368"/>
      <c r="X55" s="278"/>
      <c r="Y55" s="278"/>
      <c r="Z55" s="369"/>
      <c r="AA55" s="371"/>
      <c r="AB55" s="370"/>
    </row>
    <row r="56" spans="5:28" ht="12.75" customHeight="1">
      <c r="E56" s="441" t="s">
        <v>55</v>
      </c>
      <c r="F56" s="441" t="s">
        <v>943</v>
      </c>
      <c r="G56" s="441" t="s">
        <v>247</v>
      </c>
      <c r="H56" s="441" t="s">
        <v>243</v>
      </c>
      <c r="I56" s="441"/>
      <c r="J56" s="382">
        <v>43</v>
      </c>
      <c r="K56" s="499"/>
      <c r="L56" s="368"/>
      <c r="M56" s="499"/>
      <c r="N56" s="499"/>
      <c r="O56" s="499"/>
      <c r="P56" s="499"/>
      <c r="Q56" s="368"/>
      <c r="R56" s="368"/>
      <c r="S56" s="368"/>
      <c r="T56" s="368"/>
      <c r="U56" s="368"/>
      <c r="V56" s="368"/>
      <c r="W56" s="368"/>
      <c r="X56" s="278"/>
      <c r="Y56" s="278"/>
      <c r="Z56" s="247"/>
      <c r="AA56" s="371"/>
      <c r="AB56" s="290"/>
    </row>
    <row r="57" spans="5:28" ht="12.75" customHeight="1">
      <c r="E57" s="441" t="s">
        <v>55</v>
      </c>
      <c r="F57" s="441" t="s">
        <v>3500</v>
      </c>
      <c r="G57" s="441" t="s">
        <v>3501</v>
      </c>
      <c r="H57" s="441" t="s">
        <v>243</v>
      </c>
      <c r="I57" s="441"/>
      <c r="J57" s="382">
        <v>44</v>
      </c>
      <c r="K57" s="499"/>
      <c r="L57" s="499"/>
      <c r="M57" s="499"/>
      <c r="N57" s="499"/>
      <c r="O57" s="499"/>
      <c r="P57" s="499"/>
      <c r="Q57" s="368"/>
      <c r="R57" s="368"/>
      <c r="S57" s="368"/>
      <c r="T57" s="368"/>
      <c r="U57" s="368"/>
      <c r="V57" s="368"/>
      <c r="W57" s="368"/>
    </row>
    <row r="58" spans="5:28" ht="12.75" customHeight="1">
      <c r="E58" s="441" t="s">
        <v>55</v>
      </c>
      <c r="F58" s="441" t="s">
        <v>1021</v>
      </c>
      <c r="G58" s="441" t="s">
        <v>324</v>
      </c>
      <c r="H58" s="441" t="s">
        <v>243</v>
      </c>
      <c r="I58" s="441"/>
      <c r="J58" s="382">
        <v>45</v>
      </c>
      <c r="K58" s="499" t="s">
        <v>682</v>
      </c>
      <c r="L58" s="130" t="s">
        <v>2570</v>
      </c>
      <c r="M58" s="459" t="s">
        <v>3842</v>
      </c>
      <c r="N58" s="499"/>
      <c r="O58" s="499"/>
      <c r="P58" s="499"/>
      <c r="Q58" s="368"/>
      <c r="R58" s="130" t="s">
        <v>3889</v>
      </c>
      <c r="S58" s="140" t="s">
        <v>3890</v>
      </c>
      <c r="T58" s="130" t="s">
        <v>3778</v>
      </c>
      <c r="U58" s="368"/>
      <c r="V58" s="368"/>
      <c r="W58" s="368"/>
    </row>
    <row r="59" spans="5:28" ht="12.75" customHeight="1">
      <c r="E59" s="441" t="s">
        <v>55</v>
      </c>
      <c r="F59" s="441" t="s">
        <v>1028</v>
      </c>
      <c r="G59" s="441" t="s">
        <v>324</v>
      </c>
      <c r="H59" s="441" t="s">
        <v>243</v>
      </c>
      <c r="I59" s="441"/>
      <c r="J59" s="382">
        <v>46</v>
      </c>
      <c r="K59" s="499" t="s">
        <v>682</v>
      </c>
      <c r="L59" s="130" t="s">
        <v>2570</v>
      </c>
      <c r="M59" s="459" t="s">
        <v>3891</v>
      </c>
      <c r="N59" s="499"/>
      <c r="O59" s="499"/>
      <c r="P59" s="499"/>
      <c r="Q59" s="368"/>
      <c r="R59" s="130" t="s">
        <v>3889</v>
      </c>
      <c r="S59" s="140" t="s">
        <v>3890</v>
      </c>
      <c r="T59" s="130" t="s">
        <v>3779</v>
      </c>
      <c r="U59" s="368"/>
      <c r="V59" s="368"/>
      <c r="W59" s="368"/>
    </row>
    <row r="60" spans="5:28" ht="12.75" customHeight="1">
      <c r="E60" s="441" t="s">
        <v>55</v>
      </c>
      <c r="F60" s="441" t="s">
        <v>934</v>
      </c>
      <c r="G60" s="441" t="s">
        <v>264</v>
      </c>
      <c r="H60" s="441" t="s">
        <v>243</v>
      </c>
      <c r="I60" s="441"/>
      <c r="J60" s="382">
        <v>47</v>
      </c>
      <c r="K60" s="499"/>
      <c r="L60" s="499"/>
      <c r="M60" s="499"/>
      <c r="N60" s="499"/>
      <c r="O60" s="499"/>
      <c r="P60" s="499"/>
      <c r="Q60" s="368"/>
      <c r="R60" s="368"/>
      <c r="S60" s="368"/>
      <c r="T60" s="368"/>
      <c r="U60" s="368"/>
      <c r="V60" s="368"/>
      <c r="W60" s="368"/>
    </row>
    <row r="61" spans="5:28" ht="12.75" customHeight="1">
      <c r="E61" s="441" t="s">
        <v>55</v>
      </c>
      <c r="F61" s="441" t="s">
        <v>3364</v>
      </c>
      <c r="G61" s="441" t="s">
        <v>995</v>
      </c>
      <c r="H61" s="441" t="s">
        <v>243</v>
      </c>
      <c r="I61" s="441"/>
      <c r="J61" s="382">
        <v>48</v>
      </c>
      <c r="K61" s="499"/>
      <c r="L61" s="499"/>
      <c r="M61" s="499"/>
      <c r="N61" s="499"/>
      <c r="O61" s="499"/>
      <c r="P61" s="499"/>
      <c r="Q61" s="368"/>
      <c r="R61" s="368"/>
      <c r="S61" s="368"/>
      <c r="T61" s="368"/>
      <c r="U61" s="368"/>
      <c r="V61" s="368"/>
      <c r="W61" s="368"/>
    </row>
    <row r="62" spans="5:28" ht="12.75" customHeight="1">
      <c r="E62" s="441" t="s">
        <v>55</v>
      </c>
      <c r="F62" s="441" t="s">
        <v>945</v>
      </c>
      <c r="G62" s="441" t="s">
        <v>264</v>
      </c>
      <c r="H62" s="441" t="s">
        <v>243</v>
      </c>
      <c r="I62" s="441"/>
      <c r="J62" s="382">
        <v>49</v>
      </c>
      <c r="K62" s="499"/>
      <c r="L62" s="499"/>
      <c r="M62" s="499"/>
      <c r="N62" s="499"/>
      <c r="O62" s="499"/>
      <c r="P62" s="499"/>
      <c r="Q62" s="368"/>
      <c r="R62" s="368"/>
      <c r="S62" s="368"/>
      <c r="T62" s="368"/>
      <c r="U62" s="368"/>
      <c r="V62" s="368"/>
      <c r="W62" s="368"/>
    </row>
    <row r="63" spans="5:28" ht="12.75" customHeight="1">
      <c r="E63" s="441" t="s">
        <v>55</v>
      </c>
      <c r="F63" s="441" t="s">
        <v>3368</v>
      </c>
      <c r="G63" s="441" t="s">
        <v>995</v>
      </c>
      <c r="H63" s="441" t="s">
        <v>243</v>
      </c>
      <c r="I63" s="441"/>
      <c r="J63" s="382">
        <v>50</v>
      </c>
      <c r="K63" s="499"/>
      <c r="L63" s="499"/>
      <c r="M63" s="499"/>
      <c r="N63" s="499"/>
      <c r="O63" s="499"/>
      <c r="P63" s="499"/>
      <c r="Q63" s="368"/>
      <c r="R63" s="368"/>
      <c r="S63" s="368"/>
      <c r="T63" s="368"/>
      <c r="U63" s="368"/>
      <c r="V63" s="368"/>
      <c r="W63" s="368"/>
    </row>
    <row r="64" spans="5:28" ht="12.75" customHeight="1">
      <c r="E64" s="441" t="s">
        <v>55</v>
      </c>
      <c r="F64" s="441" t="s">
        <v>912</v>
      </c>
      <c r="G64" s="441" t="s">
        <v>324</v>
      </c>
      <c r="H64" s="441" t="s">
        <v>243</v>
      </c>
      <c r="I64" s="441"/>
      <c r="J64" s="382">
        <v>51</v>
      </c>
      <c r="K64" s="499"/>
      <c r="L64" s="499"/>
      <c r="M64" s="499"/>
      <c r="N64" s="499"/>
      <c r="O64" s="499"/>
      <c r="P64" s="499"/>
      <c r="Q64" s="368"/>
      <c r="R64" s="368"/>
      <c r="S64" s="368"/>
      <c r="T64" s="368"/>
      <c r="U64" s="368"/>
      <c r="V64" s="368"/>
      <c r="W64" s="368"/>
    </row>
    <row r="65" spans="5:28" ht="12.75" customHeight="1">
      <c r="E65" s="441" t="s">
        <v>55</v>
      </c>
      <c r="F65" s="441" t="s">
        <v>3516</v>
      </c>
      <c r="G65" s="441" t="s">
        <v>324</v>
      </c>
      <c r="H65" s="441" t="s">
        <v>243</v>
      </c>
      <c r="I65" s="441"/>
      <c r="J65" s="382">
        <v>52</v>
      </c>
      <c r="K65" s="499"/>
      <c r="L65" s="499"/>
      <c r="M65" s="499"/>
      <c r="N65" s="499"/>
      <c r="O65" s="499"/>
      <c r="P65" s="499"/>
      <c r="Q65" s="368"/>
      <c r="R65" s="368"/>
      <c r="S65" s="368"/>
      <c r="T65" s="368"/>
      <c r="U65" s="368"/>
      <c r="V65" s="368"/>
      <c r="W65" s="368"/>
    </row>
    <row r="66" spans="5:28" ht="12.75" customHeight="1">
      <c r="E66" s="441" t="s">
        <v>61</v>
      </c>
      <c r="F66" s="441" t="s">
        <v>3522</v>
      </c>
      <c r="G66" s="441" t="s">
        <v>535</v>
      </c>
      <c r="H66" s="441" t="s">
        <v>243</v>
      </c>
      <c r="I66" s="441"/>
      <c r="J66" s="382">
        <v>79</v>
      </c>
      <c r="K66" s="499"/>
      <c r="L66" s="499"/>
      <c r="M66" s="499"/>
      <c r="N66" s="499"/>
      <c r="O66" s="499"/>
      <c r="P66" s="499"/>
      <c r="Q66" s="368"/>
      <c r="R66" s="368"/>
      <c r="S66" s="368"/>
      <c r="T66" s="368"/>
      <c r="U66" s="368"/>
      <c r="V66" s="368"/>
      <c r="W66" s="368"/>
    </row>
    <row r="67" spans="5:28" ht="12.75" customHeight="1">
      <c r="E67" s="441" t="s">
        <v>55</v>
      </c>
      <c r="F67" s="441" t="s">
        <v>3874</v>
      </c>
      <c r="G67" s="441" t="s">
        <v>264</v>
      </c>
      <c r="H67" s="441" t="s">
        <v>243</v>
      </c>
      <c r="I67" s="441"/>
      <c r="J67" s="382">
        <v>95</v>
      </c>
      <c r="K67" s="499"/>
      <c r="L67" s="499"/>
      <c r="M67" s="499"/>
      <c r="N67" s="499"/>
      <c r="O67" s="499"/>
      <c r="P67" s="499"/>
      <c r="Q67" s="368"/>
      <c r="R67" s="368"/>
      <c r="S67" s="368"/>
      <c r="T67" s="368"/>
      <c r="U67" s="368"/>
      <c r="V67" s="368"/>
      <c r="W67" s="368"/>
    </row>
    <row r="68" spans="5:28" ht="12.75" customHeight="1">
      <c r="E68" s="441" t="s">
        <v>55</v>
      </c>
      <c r="F68" s="441" t="s">
        <v>3789</v>
      </c>
      <c r="G68" s="441" t="s">
        <v>432</v>
      </c>
      <c r="H68" s="441" t="s">
        <v>243</v>
      </c>
      <c r="I68" s="441"/>
      <c r="J68" s="382">
        <v>83</v>
      </c>
      <c r="K68" s="499"/>
      <c r="L68" s="499"/>
      <c r="M68" s="499"/>
      <c r="N68" s="499"/>
      <c r="O68" s="499"/>
      <c r="P68" s="499"/>
      <c r="Q68" s="368"/>
      <c r="R68" s="368"/>
      <c r="S68" s="368"/>
      <c r="T68" s="368"/>
      <c r="U68" s="368"/>
      <c r="V68" s="368"/>
      <c r="W68" s="368"/>
    </row>
    <row r="69" spans="5:28" ht="12.75" customHeight="1">
      <c r="E69" s="441" t="s">
        <v>55</v>
      </c>
      <c r="F69" s="441" t="s">
        <v>3875</v>
      </c>
      <c r="G69" s="441" t="s">
        <v>247</v>
      </c>
      <c r="H69" s="441" t="s">
        <v>243</v>
      </c>
      <c r="I69" s="441"/>
      <c r="J69" s="382">
        <v>94</v>
      </c>
      <c r="K69" s="499"/>
      <c r="L69" s="499"/>
      <c r="M69" s="499"/>
      <c r="N69" s="499"/>
      <c r="O69" s="499"/>
      <c r="P69" s="499"/>
      <c r="Q69" s="368"/>
      <c r="R69" s="368"/>
      <c r="S69" s="368"/>
      <c r="T69" s="368"/>
      <c r="U69" s="368"/>
      <c r="V69" s="368"/>
      <c r="W69" s="368"/>
    </row>
    <row r="70" spans="5:28" ht="12.75" customHeight="1">
      <c r="E70" s="441" t="s">
        <v>55</v>
      </c>
      <c r="F70" s="441" t="s">
        <v>3520</v>
      </c>
      <c r="G70" s="441" t="s">
        <v>255</v>
      </c>
      <c r="H70" s="441" t="s">
        <v>243</v>
      </c>
      <c r="I70" s="441"/>
      <c r="J70" s="382">
        <v>55</v>
      </c>
      <c r="K70" s="499"/>
      <c r="L70" s="499"/>
      <c r="M70" s="499"/>
      <c r="N70" s="499"/>
      <c r="O70" s="499"/>
      <c r="P70" s="499"/>
      <c r="Q70" s="368"/>
      <c r="R70" s="368"/>
      <c r="S70" s="368"/>
      <c r="T70" s="368"/>
      <c r="U70" s="368"/>
      <c r="V70" s="368"/>
      <c r="W70" s="368"/>
    </row>
    <row r="71" spans="5:28" ht="12.75" customHeight="1">
      <c r="E71" s="441" t="s">
        <v>55</v>
      </c>
      <c r="F71" s="441" t="s">
        <v>3525</v>
      </c>
      <c r="G71" s="441" t="s">
        <v>255</v>
      </c>
      <c r="H71" s="441" t="s">
        <v>243</v>
      </c>
      <c r="I71" s="441"/>
      <c r="J71" s="382">
        <v>56</v>
      </c>
      <c r="K71" s="499"/>
      <c r="L71" s="368"/>
      <c r="M71" s="499"/>
      <c r="N71" s="499"/>
      <c r="O71" s="499"/>
      <c r="P71" s="499"/>
      <c r="Q71" s="368"/>
      <c r="R71" s="368"/>
      <c r="S71" s="368"/>
      <c r="T71" s="368"/>
      <c r="U71" s="368"/>
      <c r="V71" s="368"/>
      <c r="W71" s="368"/>
      <c r="X71" s="278"/>
      <c r="Y71" s="278"/>
      <c r="Z71" s="369"/>
      <c r="AA71" s="371"/>
      <c r="AB71" s="370"/>
    </row>
    <row r="72" spans="5:28" ht="12.75" customHeight="1">
      <c r="E72" s="441" t="s">
        <v>55</v>
      </c>
      <c r="F72" s="441" t="s">
        <v>1286</v>
      </c>
      <c r="G72" s="441" t="s">
        <v>429</v>
      </c>
      <c r="H72" s="441" t="s">
        <v>243</v>
      </c>
      <c r="I72" s="441"/>
      <c r="J72" s="382">
        <v>57</v>
      </c>
      <c r="K72" s="499"/>
      <c r="L72" s="499"/>
      <c r="M72" s="499"/>
      <c r="N72" s="499"/>
      <c r="O72" s="499"/>
      <c r="P72" s="499"/>
      <c r="Q72" s="368"/>
      <c r="R72" s="368"/>
      <c r="S72" s="368"/>
      <c r="T72" s="368"/>
      <c r="U72" s="368"/>
      <c r="V72" s="368"/>
      <c r="W72" s="368"/>
    </row>
    <row r="73" spans="5:28" ht="12.75" customHeight="1">
      <c r="E73" s="441" t="s">
        <v>55</v>
      </c>
      <c r="F73" s="441" t="s">
        <v>3876</v>
      </c>
      <c r="G73" s="441" t="s">
        <v>249</v>
      </c>
      <c r="H73" s="441" t="s">
        <v>243</v>
      </c>
      <c r="I73" s="441"/>
      <c r="J73" s="382">
        <v>96</v>
      </c>
      <c r="K73" s="499"/>
      <c r="L73" s="499"/>
      <c r="M73" s="499"/>
      <c r="N73" s="499"/>
      <c r="O73" s="499"/>
      <c r="P73" s="499"/>
      <c r="Q73" s="368"/>
      <c r="R73" s="368"/>
      <c r="S73" s="368"/>
      <c r="T73" s="368"/>
      <c r="U73" s="368"/>
      <c r="V73" s="368"/>
      <c r="W73" s="368"/>
    </row>
    <row r="74" spans="5:28" ht="12.75" customHeight="1">
      <c r="E74" s="441" t="s">
        <v>55</v>
      </c>
      <c r="F74" s="441" t="s">
        <v>3794</v>
      </c>
      <c r="G74" s="441" t="s">
        <v>324</v>
      </c>
      <c r="H74" s="441" t="s">
        <v>243</v>
      </c>
      <c r="I74" s="441"/>
      <c r="J74" s="382">
        <v>58</v>
      </c>
      <c r="K74" s="499"/>
      <c r="L74" s="368"/>
      <c r="M74" s="499"/>
      <c r="N74" s="499"/>
      <c r="O74" s="499"/>
      <c r="P74" s="499"/>
      <c r="Q74" s="368"/>
      <c r="R74" s="368"/>
      <c r="S74" s="500"/>
      <c r="T74" s="368"/>
      <c r="U74" s="368"/>
      <c r="V74" s="368"/>
      <c r="W74" s="368"/>
      <c r="X74" s="278"/>
      <c r="Y74" s="502"/>
      <c r="Z74" s="369"/>
      <c r="AA74" s="371"/>
      <c r="AB74" s="370"/>
    </row>
    <row r="75" spans="5:28" ht="12.75" customHeight="1">
      <c r="E75" s="441" t="s">
        <v>55</v>
      </c>
      <c r="F75" s="441" t="s">
        <v>3796</v>
      </c>
      <c r="G75" s="441" t="s">
        <v>324</v>
      </c>
      <c r="H75" s="441" t="s">
        <v>243</v>
      </c>
      <c r="I75" s="441"/>
      <c r="J75" s="382">
        <v>59</v>
      </c>
      <c r="K75" s="499"/>
      <c r="L75" s="499"/>
      <c r="M75" s="499"/>
      <c r="N75" s="499"/>
      <c r="O75" s="499"/>
      <c r="P75" s="499"/>
      <c r="Q75" s="368"/>
      <c r="R75" s="368"/>
      <c r="S75" s="368"/>
      <c r="T75" s="368"/>
      <c r="U75" s="368"/>
      <c r="V75" s="368"/>
      <c r="W75" s="368"/>
      <c r="X75" s="278"/>
      <c r="Y75" s="278"/>
      <c r="Z75" s="278"/>
      <c r="AA75" s="278"/>
      <c r="AB75" s="268"/>
    </row>
    <row r="76" spans="5:28" ht="12.75" customHeight="1">
      <c r="E76" s="441" t="s">
        <v>55</v>
      </c>
      <c r="F76" s="441" t="s">
        <v>947</v>
      </c>
      <c r="G76" s="441" t="s">
        <v>324</v>
      </c>
      <c r="H76" s="441" t="s">
        <v>243</v>
      </c>
      <c r="I76" s="441"/>
      <c r="J76" s="382">
        <v>60</v>
      </c>
      <c r="K76" s="499"/>
      <c r="L76" s="368"/>
      <c r="M76" s="499"/>
      <c r="N76" s="499"/>
      <c r="O76" s="499"/>
      <c r="P76" s="499"/>
      <c r="Q76" s="368"/>
      <c r="R76" s="368"/>
      <c r="S76" s="368"/>
      <c r="T76" s="368"/>
      <c r="U76" s="368"/>
      <c r="V76" s="368"/>
      <c r="W76" s="368"/>
    </row>
    <row r="77" spans="5:28" ht="12.75" customHeight="1">
      <c r="E77" s="441" t="s">
        <v>55</v>
      </c>
      <c r="F77" s="441" t="s">
        <v>3536</v>
      </c>
      <c r="G77" s="441" t="s">
        <v>242</v>
      </c>
      <c r="H77" s="441" t="s">
        <v>243</v>
      </c>
      <c r="I77" s="441"/>
      <c r="J77" s="382">
        <v>61</v>
      </c>
      <c r="K77" s="499"/>
      <c r="L77" s="499"/>
      <c r="M77" s="499"/>
      <c r="N77" s="499"/>
      <c r="O77" s="499"/>
      <c r="P77" s="499"/>
      <c r="Q77" s="368"/>
      <c r="R77" s="368"/>
      <c r="S77" s="368"/>
      <c r="T77" s="368"/>
      <c r="U77" s="368"/>
      <c r="V77" s="368"/>
      <c r="W77" s="368"/>
    </row>
    <row r="78" spans="5:28" ht="12.75" customHeight="1">
      <c r="E78" s="441" t="s">
        <v>55</v>
      </c>
      <c r="F78" s="441" t="s">
        <v>3540</v>
      </c>
      <c r="G78" s="441" t="s">
        <v>242</v>
      </c>
      <c r="H78" s="441" t="s">
        <v>243</v>
      </c>
      <c r="I78" s="441"/>
      <c r="J78" s="382">
        <v>63</v>
      </c>
      <c r="K78" s="499"/>
      <c r="L78" s="368"/>
      <c r="N78" s="325"/>
      <c r="O78" s="325"/>
      <c r="P78" s="325"/>
      <c r="Q78" s="325"/>
      <c r="R78" s="325"/>
      <c r="S78" s="325"/>
      <c r="T78" s="325"/>
      <c r="U78" s="325"/>
      <c r="V78" s="325"/>
      <c r="W78" s="325"/>
      <c r="X78" s="325"/>
      <c r="Y78" s="325"/>
      <c r="Z78" s="325"/>
      <c r="AA78" s="501"/>
      <c r="AB78" s="325"/>
    </row>
    <row r="79" spans="5:28" ht="12.75" customHeight="1">
      <c r="E79" s="441" t="s">
        <v>55</v>
      </c>
      <c r="F79" s="441" t="s">
        <v>1023</v>
      </c>
      <c r="G79" s="441" t="s">
        <v>1876</v>
      </c>
      <c r="H79" s="441" t="s">
        <v>243</v>
      </c>
      <c r="I79" s="441"/>
      <c r="J79" s="382">
        <v>64</v>
      </c>
      <c r="K79" s="499" t="s">
        <v>682</v>
      </c>
      <c r="L79" s="130" t="s">
        <v>2570</v>
      </c>
      <c r="M79" s="459" t="s">
        <v>2573</v>
      </c>
      <c r="N79" s="499"/>
      <c r="O79" s="499"/>
      <c r="P79" s="499"/>
      <c r="Q79" s="368"/>
      <c r="R79" s="368"/>
      <c r="S79" s="140" t="s">
        <v>3885</v>
      </c>
      <c r="T79" s="130" t="s">
        <v>3799</v>
      </c>
      <c r="U79" s="368"/>
      <c r="V79" s="368"/>
      <c r="W79" s="368"/>
      <c r="X79" s="278"/>
      <c r="Y79" s="278"/>
      <c r="Z79" s="278"/>
      <c r="AA79" s="278"/>
      <c r="AB79" s="268"/>
    </row>
    <row r="80" spans="5:28" ht="12.75" customHeight="1">
      <c r="E80" s="441" t="s">
        <v>55</v>
      </c>
      <c r="F80" s="441" t="s">
        <v>3543</v>
      </c>
      <c r="G80" s="441" t="s">
        <v>2468</v>
      </c>
      <c r="H80" s="441" t="s">
        <v>243</v>
      </c>
      <c r="I80" s="441"/>
      <c r="J80" s="382">
        <v>3</v>
      </c>
      <c r="K80" s="499"/>
      <c r="L80" s="499"/>
      <c r="M80" s="499"/>
      <c r="N80" s="499"/>
      <c r="O80" s="499"/>
      <c r="P80" s="499"/>
      <c r="Q80" s="368"/>
      <c r="R80" s="134"/>
      <c r="S80" s="134"/>
      <c r="T80" s="134"/>
      <c r="U80" s="134"/>
      <c r="V80" s="134"/>
      <c r="W80" s="134"/>
    </row>
    <row r="81" spans="1:28" ht="12.75" customHeight="1">
      <c r="E81" s="441" t="s">
        <v>55</v>
      </c>
      <c r="F81" s="441" t="s">
        <v>3545</v>
      </c>
      <c r="G81" s="441" t="s">
        <v>324</v>
      </c>
      <c r="H81" s="441" t="s">
        <v>243</v>
      </c>
      <c r="I81" s="441"/>
      <c r="J81" s="382">
        <v>65</v>
      </c>
      <c r="K81" s="499"/>
      <c r="L81" s="499"/>
      <c r="M81" s="499"/>
      <c r="N81" s="499"/>
      <c r="O81" s="499"/>
      <c r="P81" s="499"/>
      <c r="Q81" s="368"/>
      <c r="R81" s="134"/>
      <c r="S81" s="134"/>
      <c r="T81" s="134"/>
      <c r="U81" s="134"/>
      <c r="V81" s="134"/>
      <c r="W81" s="134"/>
    </row>
    <row r="82" spans="1:28" ht="12.75" customHeight="1">
      <c r="E82" s="441" t="s">
        <v>55</v>
      </c>
      <c r="F82" s="441" t="s">
        <v>3802</v>
      </c>
      <c r="G82" s="441" t="s">
        <v>324</v>
      </c>
      <c r="H82" s="441" t="s">
        <v>243</v>
      </c>
      <c r="I82" s="441"/>
      <c r="J82" s="382">
        <v>80</v>
      </c>
      <c r="K82" s="499"/>
      <c r="L82" s="499"/>
      <c r="M82" s="499"/>
      <c r="N82" s="499"/>
      <c r="O82" s="499"/>
      <c r="P82" s="499"/>
      <c r="Q82" s="368"/>
      <c r="R82" s="134"/>
      <c r="S82" s="134"/>
      <c r="T82" s="134"/>
      <c r="U82" s="134"/>
      <c r="V82" s="134"/>
      <c r="W82" s="134"/>
    </row>
    <row r="83" spans="1:28" ht="12.75" customHeight="1">
      <c r="E83" s="441" t="s">
        <v>55</v>
      </c>
      <c r="F83" s="441" t="s">
        <v>927</v>
      </c>
      <c r="G83" s="441" t="s">
        <v>925</v>
      </c>
      <c r="H83" s="441" t="s">
        <v>243</v>
      </c>
      <c r="I83" s="441"/>
      <c r="J83" s="382">
        <v>66</v>
      </c>
      <c r="K83" s="499"/>
      <c r="L83" s="499"/>
      <c r="M83" s="499"/>
      <c r="N83" s="499"/>
      <c r="O83" s="499"/>
      <c r="P83" s="499"/>
      <c r="Q83" s="368"/>
      <c r="R83" s="134"/>
      <c r="S83" s="134"/>
      <c r="T83" s="134"/>
      <c r="U83" s="134"/>
      <c r="V83" s="134"/>
      <c r="W83" s="134"/>
    </row>
    <row r="84" spans="1:28" ht="12.75" customHeight="1">
      <c r="E84" s="441" t="s">
        <v>55</v>
      </c>
      <c r="F84" s="441" t="s">
        <v>994</v>
      </c>
      <c r="G84" s="441" t="s">
        <v>247</v>
      </c>
      <c r="H84" s="441" t="s">
        <v>243</v>
      </c>
      <c r="I84" s="441"/>
      <c r="J84" s="382">
        <v>82</v>
      </c>
      <c r="K84" s="499"/>
      <c r="L84" s="499"/>
      <c r="M84" s="499"/>
      <c r="N84" s="499"/>
      <c r="O84" s="499"/>
      <c r="P84" s="499"/>
      <c r="Q84" s="368"/>
      <c r="R84" s="134"/>
      <c r="S84" s="134"/>
      <c r="T84" s="134"/>
      <c r="U84" s="134"/>
      <c r="V84" s="134"/>
      <c r="W84" s="134"/>
    </row>
    <row r="85" spans="1:28" ht="12.75" customHeight="1">
      <c r="E85" s="441" t="s">
        <v>53</v>
      </c>
      <c r="F85" s="441" t="s">
        <v>1288</v>
      </c>
      <c r="G85" s="441" t="s">
        <v>535</v>
      </c>
      <c r="H85" s="441" t="s">
        <v>903</v>
      </c>
      <c r="I85" s="441"/>
      <c r="J85" s="382">
        <v>75</v>
      </c>
      <c r="K85" s="499"/>
      <c r="L85" s="499"/>
      <c r="M85" s="499"/>
      <c r="N85" s="499"/>
      <c r="O85" s="499"/>
      <c r="P85" s="499"/>
      <c r="Q85" s="368"/>
      <c r="R85" s="134"/>
      <c r="S85" s="134"/>
      <c r="T85" s="134"/>
      <c r="U85" s="134"/>
      <c r="V85" s="134"/>
      <c r="W85" s="134"/>
    </row>
    <row r="86" spans="1:28" ht="12.75" customHeight="1">
      <c r="E86" s="441" t="s">
        <v>53</v>
      </c>
      <c r="F86" s="441" t="s">
        <v>1289</v>
      </c>
      <c r="G86" s="441" t="s">
        <v>324</v>
      </c>
      <c r="H86" s="441" t="s">
        <v>243</v>
      </c>
      <c r="I86" s="441"/>
      <c r="J86" s="382">
        <v>67</v>
      </c>
      <c r="K86" s="499"/>
      <c r="L86" s="368"/>
      <c r="M86" s="499"/>
      <c r="N86" s="499"/>
      <c r="O86" s="499"/>
      <c r="P86" s="499"/>
      <c r="Q86" s="368"/>
      <c r="R86" s="368"/>
      <c r="S86" s="368"/>
      <c r="T86" s="368"/>
      <c r="U86" s="368"/>
      <c r="V86" s="368"/>
      <c r="W86" s="368"/>
    </row>
    <row r="87" spans="1:28" ht="12.75" customHeight="1">
      <c r="E87" s="441" t="s">
        <v>53</v>
      </c>
      <c r="F87" s="441" t="s">
        <v>1290</v>
      </c>
      <c r="G87" s="441" t="s">
        <v>432</v>
      </c>
      <c r="H87" s="441" t="s">
        <v>243</v>
      </c>
      <c r="I87" s="441"/>
      <c r="J87" s="382">
        <v>53</v>
      </c>
      <c r="K87" s="499"/>
      <c r="L87" s="499"/>
      <c r="M87" s="499"/>
      <c r="N87" s="499"/>
      <c r="O87" s="499"/>
      <c r="P87" s="499"/>
      <c r="Q87" s="368"/>
      <c r="R87" s="368"/>
      <c r="S87" s="368"/>
      <c r="T87" s="325"/>
      <c r="U87" s="325"/>
      <c r="V87" s="325"/>
      <c r="W87" s="325"/>
    </row>
    <row r="88" spans="1:28" ht="12.75" customHeight="1">
      <c r="E88" s="441" t="s">
        <v>53</v>
      </c>
      <c r="F88" s="441" t="s">
        <v>1291</v>
      </c>
      <c r="G88" s="441" t="s">
        <v>247</v>
      </c>
      <c r="H88" s="441" t="s">
        <v>243</v>
      </c>
      <c r="I88" s="441"/>
      <c r="J88" s="382">
        <v>54</v>
      </c>
      <c r="K88" s="499"/>
      <c r="L88" s="499"/>
      <c r="M88" s="499"/>
      <c r="N88" s="499"/>
      <c r="O88" s="499"/>
      <c r="P88" s="499"/>
      <c r="Q88" s="368"/>
      <c r="R88" s="368"/>
      <c r="S88" s="368"/>
      <c r="T88" s="325"/>
      <c r="U88" s="325"/>
      <c r="V88" s="325"/>
      <c r="W88" s="325"/>
    </row>
    <row r="89" spans="1:28" ht="12.75" customHeight="1">
      <c r="E89" s="441" t="s">
        <v>53</v>
      </c>
      <c r="F89" s="441" t="s">
        <v>1292</v>
      </c>
      <c r="G89" s="441" t="s">
        <v>535</v>
      </c>
      <c r="H89" s="441" t="s">
        <v>243</v>
      </c>
      <c r="I89" s="441"/>
      <c r="J89" s="382">
        <v>62</v>
      </c>
      <c r="K89" s="499"/>
      <c r="L89" s="499"/>
      <c r="M89" s="499"/>
      <c r="N89" s="499"/>
      <c r="O89" s="499"/>
      <c r="P89" s="499"/>
      <c r="Q89" s="368"/>
      <c r="R89" s="368"/>
      <c r="S89" s="368"/>
      <c r="T89" s="325"/>
      <c r="U89" s="325"/>
      <c r="V89" s="325"/>
      <c r="W89" s="325"/>
    </row>
    <row r="90" spans="1:28" ht="12.75" customHeight="1">
      <c r="E90" s="441" t="s">
        <v>53</v>
      </c>
      <c r="F90" s="441" t="s">
        <v>1293</v>
      </c>
      <c r="G90" s="441" t="s">
        <v>432</v>
      </c>
      <c r="H90" s="441" t="s">
        <v>243</v>
      </c>
      <c r="I90" s="441"/>
      <c r="J90" s="382">
        <v>68</v>
      </c>
      <c r="K90" s="499"/>
      <c r="L90" s="499"/>
      <c r="M90" s="499"/>
      <c r="N90" s="499"/>
      <c r="O90" s="499"/>
      <c r="P90" s="499"/>
      <c r="Q90" s="368"/>
      <c r="R90" s="368"/>
      <c r="S90" s="368"/>
      <c r="T90" s="368"/>
      <c r="U90" s="368"/>
      <c r="V90" s="368"/>
      <c r="W90" s="368"/>
    </row>
    <row r="91" spans="1:28" ht="12.75" customHeight="1">
      <c r="E91" s="441" t="s">
        <v>55</v>
      </c>
      <c r="F91" s="441" t="s">
        <v>3878</v>
      </c>
      <c r="G91" s="441" t="s">
        <v>249</v>
      </c>
      <c r="H91" s="441" t="s">
        <v>243</v>
      </c>
      <c r="I91" s="441"/>
      <c r="J91" s="382">
        <v>85</v>
      </c>
      <c r="K91" s="499"/>
      <c r="L91" s="368"/>
      <c r="M91" s="499"/>
      <c r="N91" s="499"/>
      <c r="O91" s="499"/>
      <c r="P91" s="499"/>
      <c r="Q91" s="368"/>
      <c r="R91" s="368"/>
      <c r="S91" s="500"/>
      <c r="T91" s="368"/>
      <c r="U91" s="368"/>
      <c r="V91" s="368"/>
      <c r="W91" s="368"/>
      <c r="X91" s="278"/>
      <c r="Y91" s="502"/>
      <c r="Z91" s="369"/>
      <c r="AA91" s="371"/>
      <c r="AB91" s="370"/>
    </row>
    <row r="92" spans="1:28" ht="12.75" customHeight="1">
      <c r="E92" s="441" t="s">
        <v>55</v>
      </c>
      <c r="F92" s="441" t="s">
        <v>3553</v>
      </c>
      <c r="G92" s="441" t="s">
        <v>247</v>
      </c>
      <c r="H92" s="441" t="s">
        <v>243</v>
      </c>
      <c r="I92" s="441"/>
      <c r="J92" s="382">
        <v>92</v>
      </c>
      <c r="K92" s="499"/>
      <c r="L92" s="368"/>
      <c r="M92" s="499"/>
      <c r="N92" s="499"/>
      <c r="O92" s="499"/>
      <c r="P92" s="499"/>
      <c r="Q92" s="368"/>
      <c r="R92" s="368"/>
      <c r="S92" s="500"/>
      <c r="T92" s="368"/>
      <c r="U92" s="368"/>
      <c r="V92" s="368"/>
      <c r="W92" s="368"/>
      <c r="X92" s="278"/>
      <c r="Y92" s="278"/>
      <c r="Z92" s="369"/>
      <c r="AA92" s="371"/>
      <c r="AB92" s="370"/>
    </row>
    <row r="93" spans="1:28" ht="12.75" customHeight="1">
      <c r="E93" s="441" t="s">
        <v>55</v>
      </c>
      <c r="F93" s="441" t="s">
        <v>3879</v>
      </c>
      <c r="G93" s="441" t="s">
        <v>247</v>
      </c>
      <c r="H93" s="441" t="s">
        <v>243</v>
      </c>
      <c r="I93" s="441"/>
      <c r="J93" s="382">
        <v>81</v>
      </c>
      <c r="K93" s="499"/>
      <c r="L93" s="368"/>
      <c r="M93" s="499"/>
      <c r="N93" s="499"/>
      <c r="O93" s="499"/>
      <c r="P93" s="499"/>
      <c r="Q93" s="368"/>
      <c r="R93" s="368"/>
      <c r="S93" s="368"/>
      <c r="T93" s="368"/>
      <c r="U93" s="368"/>
      <c r="V93" s="368"/>
      <c r="W93" s="368"/>
      <c r="X93" s="278"/>
      <c r="Y93" s="278"/>
      <c r="Z93" s="369"/>
      <c r="AA93" s="371"/>
      <c r="AB93" s="370"/>
    </row>
    <row r="94" spans="1:28" ht="12.75" customHeight="1">
      <c r="E94" s="441" t="s">
        <v>55</v>
      </c>
      <c r="F94" s="441" t="s">
        <v>3554</v>
      </c>
      <c r="G94" s="441" t="s">
        <v>247</v>
      </c>
      <c r="H94" s="441" t="s">
        <v>243</v>
      </c>
      <c r="I94" s="441"/>
      <c r="J94" s="382">
        <v>69</v>
      </c>
      <c r="K94" s="499"/>
      <c r="L94" s="499"/>
      <c r="M94" s="499"/>
      <c r="N94" s="499"/>
      <c r="O94" s="499"/>
      <c r="P94" s="499"/>
      <c r="Q94" s="368"/>
      <c r="R94" s="368"/>
      <c r="S94" s="368"/>
      <c r="T94" s="368"/>
      <c r="U94" s="368"/>
      <c r="V94" s="368"/>
      <c r="W94" s="368"/>
      <c r="X94" s="278"/>
      <c r="Y94" s="278"/>
      <c r="Z94" s="278"/>
      <c r="AA94" s="278"/>
      <c r="AB94" s="268"/>
    </row>
    <row r="95" spans="1:28" ht="12.75" customHeight="1">
      <c r="E95" s="441" t="s">
        <v>55</v>
      </c>
      <c r="F95" s="441" t="s">
        <v>3556</v>
      </c>
      <c r="G95" s="441" t="s">
        <v>324</v>
      </c>
      <c r="H95" s="441" t="s">
        <v>243</v>
      </c>
      <c r="I95" s="441"/>
      <c r="J95" s="382">
        <v>70</v>
      </c>
      <c r="K95" s="499"/>
      <c r="L95" s="499"/>
      <c r="M95" s="499"/>
      <c r="N95" s="499"/>
      <c r="O95" s="499"/>
      <c r="P95" s="499"/>
      <c r="Q95" s="368"/>
      <c r="R95" s="368"/>
      <c r="S95" s="368"/>
      <c r="T95" s="368"/>
      <c r="U95" s="368"/>
      <c r="V95" s="368"/>
      <c r="W95" s="368"/>
      <c r="X95" s="278"/>
      <c r="Y95" s="278"/>
      <c r="Z95" s="278"/>
      <c r="AA95" s="278"/>
      <c r="AB95" s="268"/>
    </row>
    <row r="96" spans="1:28">
      <c r="A96" s="557"/>
      <c r="B96" s="557"/>
      <c r="C96" s="557"/>
      <c r="D96" s="557"/>
      <c r="E96" s="441" t="s">
        <v>61</v>
      </c>
      <c r="F96" s="441" t="s">
        <v>123</v>
      </c>
      <c r="G96" s="441" t="s">
        <v>535</v>
      </c>
      <c r="H96" s="441" t="s">
        <v>243</v>
      </c>
      <c r="I96" s="441"/>
      <c r="J96" s="382">
        <v>71</v>
      </c>
      <c r="K96" s="499" t="s">
        <v>682</v>
      </c>
      <c r="L96" s="499" t="s">
        <v>1184</v>
      </c>
      <c r="M96" s="459" t="s">
        <v>2577</v>
      </c>
      <c r="N96" s="499"/>
      <c r="O96" s="499"/>
      <c r="P96" s="499"/>
      <c r="Q96" s="368"/>
      <c r="R96" s="368"/>
      <c r="S96" s="140">
        <v>109221</v>
      </c>
      <c r="T96" s="130" t="s">
        <v>3814</v>
      </c>
      <c r="U96" s="368"/>
      <c r="V96" s="368"/>
      <c r="W96" s="368"/>
    </row>
    <row r="97" spans="5:28" ht="12.75" customHeight="1">
      <c r="E97" s="441" t="s">
        <v>55</v>
      </c>
      <c r="F97" s="441" t="s">
        <v>122</v>
      </c>
      <c r="G97" s="441" t="s">
        <v>264</v>
      </c>
      <c r="H97" s="441" t="s">
        <v>243</v>
      </c>
      <c r="I97" s="441"/>
      <c r="J97" s="382">
        <v>72</v>
      </c>
      <c r="K97" s="499" t="s">
        <v>682</v>
      </c>
      <c r="L97" s="499" t="s">
        <v>1184</v>
      </c>
      <c r="M97" s="459" t="s">
        <v>2576</v>
      </c>
      <c r="N97" s="499"/>
      <c r="O97" s="499"/>
      <c r="P97" s="499"/>
      <c r="Q97" s="368"/>
      <c r="R97" s="368"/>
      <c r="S97" s="140" t="s">
        <v>3892</v>
      </c>
      <c r="T97" s="130" t="s">
        <v>3815</v>
      </c>
      <c r="U97" s="368"/>
      <c r="V97" s="368"/>
      <c r="W97" s="368"/>
    </row>
    <row r="98" spans="5:28" ht="12.75" customHeight="1">
      <c r="E98" s="441" t="s">
        <v>55</v>
      </c>
      <c r="F98" s="441" t="s">
        <v>948</v>
      </c>
      <c r="G98" s="441" t="s">
        <v>324</v>
      </c>
      <c r="H98" s="441" t="s">
        <v>243</v>
      </c>
      <c r="I98" s="441"/>
      <c r="J98" s="382">
        <v>73</v>
      </c>
      <c r="K98" s="499"/>
      <c r="L98" s="499"/>
      <c r="M98" s="499"/>
      <c r="N98" s="499"/>
      <c r="O98" s="499"/>
      <c r="P98" s="499"/>
      <c r="Q98" s="368"/>
      <c r="R98" s="368"/>
      <c r="S98" s="368"/>
      <c r="T98" s="368"/>
      <c r="U98" s="368"/>
      <c r="V98" s="368"/>
      <c r="W98" s="368"/>
    </row>
    <row r="99" spans="5:28" ht="12.75" customHeight="1">
      <c r="E99" s="441" t="s">
        <v>55</v>
      </c>
      <c r="F99" s="441" t="s">
        <v>3564</v>
      </c>
      <c r="G99" s="441" t="s">
        <v>242</v>
      </c>
      <c r="H99" s="441" t="s">
        <v>243</v>
      </c>
      <c r="I99" s="441"/>
      <c r="J99" s="382">
        <v>4</v>
      </c>
      <c r="K99" s="499"/>
      <c r="L99" s="368"/>
      <c r="N99" s="325"/>
      <c r="O99" s="325"/>
      <c r="P99" s="325"/>
      <c r="Q99" s="325"/>
      <c r="R99" s="325"/>
      <c r="S99" s="325"/>
      <c r="T99" s="325"/>
      <c r="U99" s="325"/>
      <c r="V99" s="325"/>
      <c r="W99" s="325"/>
      <c r="X99" s="325"/>
      <c r="Y99" s="325"/>
      <c r="Z99" s="325"/>
      <c r="AA99" s="501"/>
      <c r="AB99" s="325"/>
    </row>
    <row r="100" spans="5:28" ht="12.75" customHeight="1">
      <c r="E100" s="441" t="s">
        <v>55</v>
      </c>
      <c r="F100" s="441" t="s">
        <v>3565</v>
      </c>
      <c r="G100" s="441" t="s">
        <v>242</v>
      </c>
      <c r="H100" s="441" t="s">
        <v>243</v>
      </c>
      <c r="I100" s="441"/>
      <c r="J100" s="382">
        <v>5</v>
      </c>
      <c r="S100" s="503"/>
      <c r="X100" s="278"/>
      <c r="Y100" s="278"/>
      <c r="Z100" s="278"/>
      <c r="AA100" s="278"/>
      <c r="AB100" s="268"/>
    </row>
    <row r="101" spans="5:28">
      <c r="E101" s="441" t="s">
        <v>55</v>
      </c>
      <c r="F101" s="441" t="s">
        <v>3881</v>
      </c>
      <c r="G101" s="441" t="s">
        <v>432</v>
      </c>
      <c r="H101" s="441" t="s">
        <v>243</v>
      </c>
      <c r="I101" s="441"/>
      <c r="J101" s="382">
        <v>98</v>
      </c>
      <c r="S101" s="503"/>
      <c r="X101" s="278"/>
      <c r="Y101" s="278"/>
      <c r="Z101" s="278"/>
      <c r="AA101" s="278"/>
      <c r="AB101" s="268"/>
    </row>
    <row r="102" spans="5:28" ht="37.5" customHeight="1">
      <c r="E102" s="441" t="s">
        <v>55</v>
      </c>
      <c r="F102" s="441" t="s">
        <v>929</v>
      </c>
      <c r="G102" s="441" t="s">
        <v>930</v>
      </c>
      <c r="H102" s="441" t="s">
        <v>243</v>
      </c>
      <c r="I102" s="441"/>
      <c r="J102" s="382">
        <v>74</v>
      </c>
      <c r="S102" s="503"/>
      <c r="X102" s="278"/>
      <c r="Y102" s="278"/>
      <c r="Z102" s="278"/>
      <c r="AA102" s="278"/>
      <c r="AB102" s="268"/>
    </row>
    <row r="103" spans="5:28" ht="12.75" customHeight="1">
      <c r="E103" s="689"/>
      <c r="F103" s="690"/>
      <c r="G103" s="690"/>
      <c r="H103" s="325"/>
      <c r="I103" s="325"/>
      <c r="S103" s="503"/>
      <c r="X103" s="278"/>
      <c r="Y103" s="278"/>
      <c r="Z103" s="278"/>
      <c r="AA103" s="278"/>
      <c r="AB103" s="268"/>
    </row>
    <row r="104" spans="5:28" ht="12.75" customHeight="1">
      <c r="E104" s="149" t="s">
        <v>3893</v>
      </c>
      <c r="F104"/>
      <c r="G104"/>
      <c r="S104" s="503"/>
      <c r="X104" s="278"/>
      <c r="Y104" s="278"/>
      <c r="Z104" s="278"/>
      <c r="AA104" s="278"/>
      <c r="AB104" s="268"/>
    </row>
    <row r="105" spans="5:28" ht="41.25" customHeight="1">
      <c r="E105" s="691" t="s">
        <v>3894</v>
      </c>
      <c r="F105" s="692"/>
      <c r="G105" s="692"/>
      <c r="S105" s="503"/>
      <c r="X105" s="278"/>
      <c r="Y105" s="278"/>
      <c r="Z105" s="278"/>
      <c r="AA105" s="278"/>
      <c r="AB105" s="268"/>
    </row>
    <row r="106" spans="5:28" ht="12.75" customHeight="1">
      <c r="E106" s="691" t="s">
        <v>3895</v>
      </c>
      <c r="F106" s="692"/>
      <c r="G106" s="692"/>
      <c r="S106" s="503"/>
      <c r="X106" s="278"/>
      <c r="Y106" s="278"/>
      <c r="Z106" s="278"/>
      <c r="AA106" s="278"/>
      <c r="AB106" s="268"/>
    </row>
  </sheetData>
  <autoFilter ref="E2:AB102" xr:uid="{D7E8DB82-376E-47FF-8664-AFC2B7B9B1AC}">
    <filterColumn colId="6">
      <filters>
        <filter val="Y"/>
      </filters>
    </filterColumn>
  </autoFilter>
  <mergeCells count="3">
    <mergeCell ref="E103:G103"/>
    <mergeCell ref="E105:G105"/>
    <mergeCell ref="E106:G106"/>
  </mergeCells>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E16CC7-2AF3-4057-8561-E219F8B86DFF}">
  <sheetPr filterMode="1">
    <outlinePr summaryBelow="0" summaryRight="0"/>
  </sheetPr>
  <dimension ref="A1:AB25"/>
  <sheetViews>
    <sheetView workbookViewId="0">
      <pane xSplit="2" ySplit="4" topLeftCell="E5" activePane="bottomRight" state="frozen"/>
      <selection pane="topRight" activeCell="C1" sqref="C1"/>
      <selection pane="bottomLeft" activeCell="A3" sqref="A3"/>
      <selection pane="bottomRight" activeCell="M6" sqref="M6"/>
    </sheetView>
  </sheetViews>
  <sheetFormatPr defaultColWidth="14.453125" defaultRowHeight="15" customHeight="1"/>
  <cols>
    <col min="1" max="4" width="17.26953125" hidden="1" customWidth="1"/>
    <col min="5" max="5" width="13.81640625" customWidth="1"/>
    <col min="6" max="6" width="26" customWidth="1"/>
    <col min="7" max="7" width="21.7265625" customWidth="1"/>
    <col min="8" max="8" width="11.26953125" customWidth="1"/>
    <col min="9" max="9" width="12.81640625" customWidth="1"/>
    <col min="10" max="11" width="8.453125" customWidth="1"/>
    <col min="12" max="12" width="42.1796875" customWidth="1"/>
    <col min="13" max="13" width="48.54296875" customWidth="1"/>
    <col min="14" max="14" width="17.26953125" customWidth="1"/>
    <col min="15" max="15" width="15.7265625" customWidth="1"/>
    <col min="16" max="16" width="27.26953125" customWidth="1"/>
    <col min="17" max="17" width="17.26953125" customWidth="1"/>
    <col min="18" max="18" width="27.7265625" customWidth="1"/>
    <col min="19" max="19" width="21.1796875" customWidth="1"/>
    <col min="20" max="20" width="33.7265625" customWidth="1"/>
    <col min="21" max="23" width="9.81640625" customWidth="1"/>
    <col min="24" max="24" width="6.453125" customWidth="1"/>
    <col min="25" max="25" width="17.26953125" customWidth="1"/>
    <col min="26" max="26" width="15.1796875" customWidth="1"/>
    <col min="27" max="27" width="10.81640625" customWidth="1"/>
    <col min="28" max="28" width="45.26953125" customWidth="1"/>
  </cols>
  <sheetData>
    <row r="1" spans="5:28" s="471" customFormat="1" ht="15" customHeight="1">
      <c r="E1" s="472" t="s">
        <v>3827</v>
      </c>
    </row>
    <row r="2" spans="5:28" s="471" customFormat="1" ht="15" customHeight="1">
      <c r="E2" s="507" t="s">
        <v>3570</v>
      </c>
    </row>
    <row r="3" spans="5:28" ht="15" customHeight="1">
      <c r="E3" s="459"/>
      <c r="F3" s="459"/>
      <c r="G3" s="459"/>
      <c r="H3" s="459"/>
      <c r="I3" s="459"/>
      <c r="J3" s="459"/>
      <c r="K3" s="218" t="s">
        <v>1038</v>
      </c>
      <c r="L3" s="218"/>
      <c r="M3" s="218"/>
      <c r="N3" s="218"/>
      <c r="O3" s="218"/>
      <c r="P3" s="218"/>
      <c r="Q3" s="218"/>
      <c r="R3" s="207"/>
      <c r="S3" s="207"/>
      <c r="T3" s="207"/>
      <c r="U3" s="381"/>
      <c r="V3" s="381"/>
      <c r="W3" s="381"/>
      <c r="X3" s="56"/>
      <c r="Y3" s="56"/>
      <c r="Z3" s="252" t="s">
        <v>1039</v>
      </c>
      <c r="AA3" s="364"/>
      <c r="AB3" s="252"/>
    </row>
    <row r="4" spans="5:28" ht="15" customHeight="1">
      <c r="E4" s="208" t="s">
        <v>224</v>
      </c>
      <c r="F4" s="208" t="s">
        <v>225</v>
      </c>
      <c r="G4" s="208" t="s">
        <v>226</v>
      </c>
      <c r="H4" s="208" t="s">
        <v>227</v>
      </c>
      <c r="I4" s="208" t="s">
        <v>1044</v>
      </c>
      <c r="J4" s="208" t="s">
        <v>1045</v>
      </c>
      <c r="K4" s="218" t="s">
        <v>1046</v>
      </c>
      <c r="L4" s="218" t="s">
        <v>100</v>
      </c>
      <c r="M4" s="218" t="s">
        <v>101</v>
      </c>
      <c r="N4" s="218" t="s">
        <v>102</v>
      </c>
      <c r="O4" s="218" t="s">
        <v>103</v>
      </c>
      <c r="P4" s="218" t="s">
        <v>104</v>
      </c>
      <c r="Q4" s="218" t="s">
        <v>105</v>
      </c>
      <c r="R4" s="207" t="s">
        <v>111</v>
      </c>
      <c r="S4" s="207" t="s">
        <v>112</v>
      </c>
      <c r="T4" s="207" t="s">
        <v>103</v>
      </c>
      <c r="U4" s="381"/>
      <c r="V4" s="381"/>
      <c r="W4" s="381"/>
      <c r="X4" s="226" t="s">
        <v>1049</v>
      </c>
      <c r="Y4" s="226" t="s">
        <v>1050</v>
      </c>
      <c r="Z4" s="226" t="s">
        <v>237</v>
      </c>
      <c r="AA4" s="366" t="s">
        <v>1</v>
      </c>
      <c r="AB4" s="226" t="s">
        <v>238</v>
      </c>
    </row>
    <row r="5" spans="5:28" ht="42" customHeight="1">
      <c r="E5" s="459" t="s">
        <v>61</v>
      </c>
      <c r="F5" s="459" t="s">
        <v>3828</v>
      </c>
      <c r="G5" s="459" t="s">
        <v>535</v>
      </c>
      <c r="H5" s="459" t="s">
        <v>903</v>
      </c>
      <c r="I5" s="459"/>
      <c r="J5" s="459"/>
      <c r="K5" s="459" t="s">
        <v>682</v>
      </c>
      <c r="L5" s="130" t="s">
        <v>2608</v>
      </c>
      <c r="M5" s="459" t="s">
        <v>3896</v>
      </c>
      <c r="N5" s="130" t="s">
        <v>1895</v>
      </c>
      <c r="O5" s="459"/>
      <c r="P5" s="459"/>
      <c r="Q5" s="130"/>
      <c r="R5" s="130"/>
      <c r="S5" s="130"/>
      <c r="T5" s="130" t="s">
        <v>3897</v>
      </c>
      <c r="U5" s="130"/>
      <c r="V5" s="130"/>
      <c r="W5" s="130"/>
      <c r="X5" s="5">
        <v>1</v>
      </c>
      <c r="Y5" s="5"/>
      <c r="Z5" s="120" t="s">
        <v>3748</v>
      </c>
      <c r="AA5" s="131">
        <v>44488</v>
      </c>
      <c r="AB5" t="s">
        <v>3832</v>
      </c>
    </row>
    <row r="6" spans="5:28" ht="40.5" customHeight="1">
      <c r="E6" s="459" t="s">
        <v>61</v>
      </c>
      <c r="F6" s="459" t="s">
        <v>3852</v>
      </c>
      <c r="G6" s="459" t="s">
        <v>535</v>
      </c>
      <c r="H6" s="459" t="s">
        <v>903</v>
      </c>
      <c r="I6" s="459"/>
      <c r="J6" s="459"/>
      <c r="K6" s="459" t="s">
        <v>682</v>
      </c>
      <c r="L6" s="130" t="s">
        <v>2608</v>
      </c>
      <c r="M6" s="459" t="s">
        <v>3898</v>
      </c>
      <c r="N6" s="130" t="s">
        <v>3834</v>
      </c>
      <c r="O6" s="459"/>
      <c r="P6" s="459"/>
      <c r="Q6" s="130"/>
      <c r="R6" s="130"/>
      <c r="S6" s="130"/>
      <c r="T6" s="130" t="s">
        <v>3835</v>
      </c>
      <c r="U6" s="130"/>
      <c r="V6" s="130"/>
      <c r="W6" s="130"/>
      <c r="X6" s="5">
        <v>1</v>
      </c>
      <c r="Y6" s="5"/>
      <c r="Z6" s="120" t="s">
        <v>3748</v>
      </c>
      <c r="AA6" s="131">
        <v>43418</v>
      </c>
      <c r="AB6" t="s">
        <v>1057</v>
      </c>
    </row>
    <row r="7" spans="5:28" ht="43.5" customHeight="1">
      <c r="E7" s="459" t="s">
        <v>61</v>
      </c>
      <c r="F7" s="459" t="s">
        <v>936</v>
      </c>
      <c r="G7" s="459" t="s">
        <v>242</v>
      </c>
      <c r="H7" s="459" t="s">
        <v>903</v>
      </c>
      <c r="I7" s="459"/>
      <c r="J7" s="459"/>
      <c r="K7" t="s">
        <v>682</v>
      </c>
      <c r="L7" s="130" t="s">
        <v>2608</v>
      </c>
      <c r="M7" s="459" t="s">
        <v>3899</v>
      </c>
      <c r="N7" s="130" t="s">
        <v>247</v>
      </c>
      <c r="T7" s="130" t="s">
        <v>3837</v>
      </c>
      <c r="X7" s="5">
        <v>2</v>
      </c>
      <c r="Y7" s="5"/>
      <c r="Z7" s="120" t="s">
        <v>3729</v>
      </c>
      <c r="AA7" s="131">
        <v>43476</v>
      </c>
      <c r="AB7" t="s">
        <v>3838</v>
      </c>
    </row>
    <row r="8" spans="5:28" ht="27" customHeight="1">
      <c r="E8" s="459" t="s">
        <v>53</v>
      </c>
      <c r="F8" s="459" t="s">
        <v>123</v>
      </c>
      <c r="G8" s="459" t="s">
        <v>535</v>
      </c>
      <c r="H8" s="459" t="s">
        <v>903</v>
      </c>
      <c r="I8" s="459"/>
      <c r="J8" s="459"/>
      <c r="K8" t="s">
        <v>682</v>
      </c>
      <c r="L8" s="130" t="s">
        <v>1184</v>
      </c>
      <c r="M8" s="459" t="s">
        <v>2577</v>
      </c>
      <c r="N8" s="130"/>
      <c r="T8" s="130" t="s">
        <v>3839</v>
      </c>
      <c r="X8" s="5">
        <v>3</v>
      </c>
      <c r="Y8" s="5"/>
      <c r="Z8" s="120" t="s">
        <v>3748</v>
      </c>
      <c r="AA8" s="131">
        <v>43418</v>
      </c>
      <c r="AB8" s="129" t="s">
        <v>3840</v>
      </c>
    </row>
    <row r="9" spans="5:28" ht="12.5" hidden="1">
      <c r="E9" s="441" t="s">
        <v>55</v>
      </c>
      <c r="F9" s="441" t="s">
        <v>3528</v>
      </c>
      <c r="G9" s="441" t="s">
        <v>242</v>
      </c>
      <c r="H9" s="441" t="s">
        <v>243</v>
      </c>
      <c r="K9" s="441"/>
      <c r="L9" s="130"/>
      <c r="M9" s="459"/>
      <c r="N9" s="459"/>
      <c r="O9" s="459"/>
      <c r="P9" s="459"/>
      <c r="Q9" s="130"/>
      <c r="R9" s="130"/>
      <c r="X9" s="441"/>
      <c r="AA9" s="147"/>
      <c r="AB9" s="441"/>
    </row>
    <row r="10" spans="5:28" ht="15" hidden="1" customHeight="1">
      <c r="E10" s="459" t="s">
        <v>53</v>
      </c>
      <c r="F10" s="459" t="s">
        <v>1189</v>
      </c>
      <c r="G10" s="459" t="s">
        <v>249</v>
      </c>
      <c r="H10" s="459" t="s">
        <v>243</v>
      </c>
      <c r="I10" s="459"/>
      <c r="J10" s="459"/>
      <c r="K10" s="459"/>
      <c r="L10" s="130"/>
      <c r="M10" s="459"/>
      <c r="N10" s="459"/>
      <c r="O10" s="459"/>
      <c r="P10" s="459"/>
      <c r="Q10" s="130"/>
      <c r="R10" s="130"/>
      <c r="S10" s="130"/>
      <c r="T10" s="186" t="s">
        <v>1190</v>
      </c>
      <c r="U10" s="130"/>
      <c r="V10" s="130"/>
      <c r="W10" s="130"/>
      <c r="X10" s="5"/>
      <c r="Y10" s="5"/>
      <c r="Z10" s="120"/>
      <c r="AA10" s="131"/>
    </row>
    <row r="11" spans="5:28" ht="15" hidden="1" customHeight="1">
      <c r="E11" s="459" t="s">
        <v>53</v>
      </c>
      <c r="F11" s="459" t="s">
        <v>1191</v>
      </c>
      <c r="G11" s="459" t="s">
        <v>252</v>
      </c>
      <c r="H11" s="459" t="s">
        <v>243</v>
      </c>
      <c r="I11" s="459"/>
      <c r="J11" s="459"/>
      <c r="K11" s="459"/>
      <c r="L11" s="130"/>
      <c r="M11" s="459"/>
      <c r="N11" s="459"/>
      <c r="O11" s="459"/>
      <c r="P11" s="459"/>
      <c r="Q11" s="130"/>
      <c r="R11" s="130"/>
      <c r="S11" s="130"/>
      <c r="T11" s="186" t="s">
        <v>1190</v>
      </c>
      <c r="U11" s="130"/>
      <c r="V11" s="130"/>
      <c r="W11" s="130"/>
      <c r="X11" s="5"/>
      <c r="Y11" s="5"/>
      <c r="Z11" s="120"/>
      <c r="AA11" s="131"/>
    </row>
    <row r="12" spans="5:28" ht="15" hidden="1" customHeight="1">
      <c r="E12" s="459" t="s">
        <v>53</v>
      </c>
      <c r="F12" s="459" t="s">
        <v>1192</v>
      </c>
      <c r="G12" s="459" t="s">
        <v>242</v>
      </c>
      <c r="H12" s="459" t="s">
        <v>243</v>
      </c>
      <c r="I12" s="459"/>
      <c r="J12" s="459"/>
      <c r="K12" s="459"/>
      <c r="L12" s="130"/>
      <c r="M12" s="459"/>
      <c r="N12" s="459"/>
      <c r="O12" s="459"/>
      <c r="P12" s="459"/>
      <c r="Q12" s="130"/>
      <c r="R12" s="130"/>
      <c r="S12" s="130"/>
      <c r="T12" s="186" t="s">
        <v>1190</v>
      </c>
      <c r="U12" s="130"/>
      <c r="V12" s="130"/>
      <c r="W12" s="130"/>
      <c r="X12" s="5"/>
      <c r="Y12" s="188"/>
      <c r="Z12" s="120"/>
      <c r="AA12" s="131"/>
    </row>
    <row r="13" spans="5:28" ht="15" hidden="1" customHeight="1">
      <c r="E13" s="459" t="s">
        <v>53</v>
      </c>
      <c r="F13" s="459" t="s">
        <v>1193</v>
      </c>
      <c r="G13" s="459" t="s">
        <v>247</v>
      </c>
      <c r="H13" s="459" t="s">
        <v>243</v>
      </c>
      <c r="I13" s="459"/>
      <c r="J13" s="459"/>
      <c r="K13" s="459"/>
      <c r="L13" s="130"/>
      <c r="M13" s="459"/>
      <c r="N13" s="459"/>
      <c r="O13" s="459"/>
      <c r="P13" s="459"/>
      <c r="Q13" s="130"/>
      <c r="R13" s="130"/>
      <c r="S13" s="130"/>
      <c r="T13" s="186" t="s">
        <v>1190</v>
      </c>
      <c r="U13" s="130"/>
      <c r="V13" s="130"/>
      <c r="W13" s="130"/>
      <c r="X13" s="5"/>
      <c r="Y13" s="188"/>
      <c r="Z13" s="120"/>
      <c r="AA13" s="131"/>
    </row>
    <row r="14" spans="5:28" ht="15" hidden="1" customHeight="1">
      <c r="E14" s="459" t="s">
        <v>53</v>
      </c>
      <c r="F14" s="459" t="s">
        <v>1194</v>
      </c>
      <c r="G14" s="459" t="s">
        <v>252</v>
      </c>
      <c r="H14" s="459" t="s">
        <v>243</v>
      </c>
      <c r="I14" s="459"/>
      <c r="J14" s="459"/>
      <c r="K14" s="459"/>
      <c r="L14" s="130"/>
      <c r="M14" s="459"/>
      <c r="N14" s="459"/>
      <c r="O14" s="459"/>
      <c r="P14" s="459"/>
      <c r="Q14" s="130"/>
      <c r="R14" s="130"/>
      <c r="S14" s="130"/>
      <c r="T14" s="186" t="s">
        <v>1190</v>
      </c>
      <c r="U14" s="130"/>
      <c r="V14" s="130"/>
      <c r="W14" s="130"/>
      <c r="X14" s="5"/>
      <c r="Y14" s="188"/>
      <c r="Z14" s="120"/>
      <c r="AA14" s="131"/>
    </row>
    <row r="15" spans="5:28" ht="15" hidden="1" customHeight="1">
      <c r="E15" s="459" t="s">
        <v>53</v>
      </c>
      <c r="F15" s="459" t="s">
        <v>1195</v>
      </c>
      <c r="G15" s="459" t="s">
        <v>247</v>
      </c>
      <c r="H15" s="459" t="s">
        <v>243</v>
      </c>
      <c r="I15" s="459"/>
      <c r="J15" s="459"/>
      <c r="K15" s="459"/>
      <c r="L15" s="130"/>
      <c r="M15" s="459"/>
      <c r="N15" s="459"/>
      <c r="O15" s="459"/>
      <c r="P15" s="459"/>
      <c r="Q15" s="130"/>
      <c r="R15" s="130"/>
      <c r="S15" s="130"/>
      <c r="T15" s="186" t="s">
        <v>1190</v>
      </c>
      <c r="U15" s="130"/>
      <c r="V15" s="130"/>
      <c r="W15" s="130"/>
      <c r="X15" s="5"/>
      <c r="Y15" s="188"/>
      <c r="Z15" s="120"/>
      <c r="AA15" s="131"/>
    </row>
    <row r="16" spans="5:28" ht="15" hidden="1" customHeight="1">
      <c r="E16" s="459" t="s">
        <v>53</v>
      </c>
      <c r="F16" s="459" t="s">
        <v>1196</v>
      </c>
      <c r="G16" s="459" t="s">
        <v>535</v>
      </c>
      <c r="H16" s="459" t="s">
        <v>903</v>
      </c>
      <c r="I16" s="459"/>
      <c r="J16" s="459"/>
      <c r="K16" s="459"/>
      <c r="L16" s="130"/>
      <c r="M16" s="459"/>
      <c r="N16" s="459"/>
      <c r="O16" s="459"/>
      <c r="P16" s="459"/>
      <c r="Q16" s="130"/>
      <c r="R16" s="130"/>
      <c r="S16" s="130"/>
      <c r="T16" s="186" t="s">
        <v>1190</v>
      </c>
      <c r="U16" s="130"/>
      <c r="V16" s="130"/>
      <c r="W16" s="130"/>
      <c r="X16" s="5"/>
      <c r="Y16" s="5"/>
      <c r="Z16" s="120"/>
      <c r="AA16" s="131"/>
    </row>
    <row r="17" spans="5:28" ht="15" hidden="1" customHeight="1">
      <c r="E17" s="459" t="s">
        <v>53</v>
      </c>
      <c r="F17" s="459" t="s">
        <v>1290</v>
      </c>
      <c r="G17" s="459" t="s">
        <v>432</v>
      </c>
      <c r="H17" s="459" t="s">
        <v>243</v>
      </c>
      <c r="I17" s="459"/>
      <c r="J17" s="459"/>
      <c r="K17" s="459"/>
      <c r="L17" s="130"/>
      <c r="M17" s="459"/>
      <c r="N17" s="459"/>
      <c r="O17" s="459"/>
      <c r="P17" s="459"/>
      <c r="Q17" s="130"/>
      <c r="R17" s="130"/>
      <c r="S17" s="130"/>
      <c r="T17" s="186" t="s">
        <v>1190</v>
      </c>
      <c r="U17" s="130"/>
      <c r="V17" s="130"/>
      <c r="W17" s="130"/>
      <c r="X17" s="5"/>
      <c r="Y17" s="5"/>
      <c r="Z17" s="120"/>
      <c r="AA17" s="131"/>
    </row>
    <row r="18" spans="5:28" ht="15" hidden="1" customHeight="1">
      <c r="E18" s="459" t="s">
        <v>53</v>
      </c>
      <c r="F18" s="459" t="s">
        <v>1291</v>
      </c>
      <c r="G18" s="459" t="s">
        <v>247</v>
      </c>
      <c r="H18" s="459" t="s">
        <v>243</v>
      </c>
      <c r="I18" s="459"/>
      <c r="J18" s="459"/>
      <c r="K18" s="459"/>
      <c r="L18" s="130"/>
      <c r="M18" s="459"/>
      <c r="N18" s="459"/>
      <c r="O18" s="459"/>
      <c r="P18" s="459"/>
      <c r="Q18" s="130"/>
      <c r="R18" s="130"/>
      <c r="S18" s="130"/>
      <c r="T18" s="186" t="s">
        <v>1190</v>
      </c>
      <c r="U18" s="130"/>
      <c r="V18" s="130"/>
      <c r="W18" s="130"/>
      <c r="X18" s="5"/>
      <c r="Y18" s="5"/>
      <c r="Z18" s="120"/>
      <c r="AA18" s="131"/>
    </row>
    <row r="19" spans="5:28" ht="12.5" hidden="1">
      <c r="E19" s="459" t="s">
        <v>53</v>
      </c>
      <c r="F19" s="459" t="s">
        <v>1292</v>
      </c>
      <c r="G19" s="459" t="s">
        <v>535</v>
      </c>
      <c r="H19" s="459" t="s">
        <v>243</v>
      </c>
      <c r="I19" s="459"/>
      <c r="J19" s="459"/>
      <c r="K19" s="459"/>
      <c r="L19" s="130"/>
      <c r="M19" s="459"/>
      <c r="N19" s="459"/>
      <c r="O19" s="459"/>
      <c r="P19" s="459"/>
      <c r="Q19" s="130"/>
      <c r="R19" s="130"/>
      <c r="S19" s="130"/>
      <c r="T19" s="186" t="s">
        <v>1190</v>
      </c>
      <c r="U19" s="130"/>
      <c r="V19" s="130"/>
      <c r="W19" s="130"/>
      <c r="X19" s="5"/>
      <c r="Y19" s="5"/>
      <c r="Z19" s="120"/>
      <c r="AA19" s="131"/>
      <c r="AB19" s="5"/>
    </row>
    <row r="20" spans="5:28" ht="15" hidden="1" customHeight="1">
      <c r="E20" s="459" t="s">
        <v>53</v>
      </c>
      <c r="F20" s="459" t="s">
        <v>1289</v>
      </c>
      <c r="G20" s="459" t="s">
        <v>324</v>
      </c>
      <c r="H20" s="459" t="s">
        <v>243</v>
      </c>
      <c r="I20" s="459"/>
      <c r="J20" s="459"/>
      <c r="K20" s="459"/>
      <c r="L20" s="130"/>
      <c r="M20" s="459"/>
      <c r="N20" s="459"/>
      <c r="O20" s="459"/>
      <c r="P20" s="459"/>
      <c r="Q20" s="130"/>
      <c r="R20" s="130"/>
      <c r="S20" s="130"/>
      <c r="T20" s="186" t="s">
        <v>1190</v>
      </c>
      <c r="U20" s="130"/>
      <c r="V20" s="130"/>
      <c r="W20" s="130"/>
      <c r="X20" s="5"/>
      <c r="Y20" s="5"/>
      <c r="Z20" s="120"/>
      <c r="AA20" s="131"/>
      <c r="AB20" s="129"/>
    </row>
    <row r="21" spans="5:28" ht="15" hidden="1" customHeight="1">
      <c r="E21" s="459" t="s">
        <v>53</v>
      </c>
      <c r="F21" s="459" t="s">
        <v>1293</v>
      </c>
      <c r="G21" s="459" t="s">
        <v>432</v>
      </c>
      <c r="H21" s="459" t="s">
        <v>243</v>
      </c>
      <c r="I21" s="459"/>
      <c r="J21" s="459"/>
      <c r="K21" s="459"/>
      <c r="L21" s="130"/>
      <c r="M21" s="459"/>
      <c r="N21" s="459"/>
      <c r="O21" s="459"/>
      <c r="P21" s="459"/>
      <c r="Q21" s="130"/>
      <c r="R21" s="130"/>
      <c r="S21" s="130"/>
      <c r="T21" s="186" t="s">
        <v>1190</v>
      </c>
      <c r="U21" s="130"/>
      <c r="V21" s="130"/>
      <c r="W21" s="130"/>
      <c r="X21" s="5"/>
      <c r="Y21" s="5"/>
      <c r="Z21" s="34"/>
      <c r="AA21" s="131"/>
      <c r="AB21" s="129"/>
    </row>
    <row r="22" spans="5:28" ht="15" hidden="1" customHeight="1">
      <c r="E22" s="459" t="s">
        <v>53</v>
      </c>
      <c r="F22" s="459" t="s">
        <v>1288</v>
      </c>
      <c r="G22" s="459" t="s">
        <v>535</v>
      </c>
      <c r="H22" s="459" t="s">
        <v>903</v>
      </c>
      <c r="I22" s="459"/>
      <c r="J22" s="459"/>
      <c r="K22" s="459"/>
      <c r="L22" s="130"/>
      <c r="M22" s="459"/>
      <c r="N22" s="459"/>
      <c r="O22" s="459"/>
      <c r="P22" s="459"/>
      <c r="Q22" s="130"/>
      <c r="R22" s="130"/>
      <c r="S22" s="130"/>
      <c r="T22" s="186" t="s">
        <v>1190</v>
      </c>
      <c r="U22" s="130"/>
      <c r="V22" s="130"/>
      <c r="W22" s="130"/>
      <c r="X22" s="5"/>
      <c r="Y22" s="5"/>
      <c r="Z22" s="34"/>
      <c r="AA22" s="131"/>
    </row>
    <row r="23" spans="5:28" ht="12.5">
      <c r="X23" s="5"/>
      <c r="Y23" s="5"/>
      <c r="Z23" s="5"/>
      <c r="AA23" s="5"/>
      <c r="AB23" s="5"/>
    </row>
    <row r="24" spans="5:28" ht="15.75" customHeight="1">
      <c r="E24" s="149" t="s">
        <v>3893</v>
      </c>
      <c r="X24" s="5"/>
      <c r="Y24" s="5"/>
      <c r="Z24" s="5"/>
      <c r="AA24" s="5"/>
      <c r="AB24" s="5"/>
    </row>
    <row r="25" spans="5:28" ht="15.75" customHeight="1">
      <c r="E25" s="691" t="s">
        <v>3900</v>
      </c>
      <c r="F25" s="692"/>
      <c r="G25" s="692"/>
      <c r="H25" s="692"/>
      <c r="I25" s="692"/>
      <c r="X25" s="5"/>
      <c r="Y25" s="5"/>
      <c r="Z25" s="5"/>
      <c r="AA25" s="5"/>
      <c r="AB25" s="5"/>
    </row>
  </sheetData>
  <autoFilter ref="A4:AB22" xr:uid="{7AE16CC7-2AF3-4057-8561-E219F8B86DFF}">
    <filterColumn colId="10">
      <filters>
        <filter val="Y"/>
      </filters>
    </filterColumn>
  </autoFilter>
  <mergeCells count="1">
    <mergeCell ref="E25:I25"/>
  </mergeCells>
  <pageMargins left="0.7" right="0.7" top="0.75" bottom="0.75" header="0" footer="0"/>
  <pageSetup orientation="landscape"/>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filterMode="1">
    <outlinePr summaryBelow="0" summaryRight="0"/>
  </sheetPr>
  <dimension ref="A1:AB25"/>
  <sheetViews>
    <sheetView workbookViewId="0">
      <pane xSplit="2" ySplit="4" topLeftCell="E5" activePane="bottomRight" state="frozen"/>
      <selection pane="topRight" activeCell="C1" sqref="C1"/>
      <selection pane="bottomLeft" activeCell="A3" sqref="A3"/>
      <selection pane="bottomRight" activeCell="L20" sqref="L20"/>
    </sheetView>
  </sheetViews>
  <sheetFormatPr defaultColWidth="14.453125" defaultRowHeight="15" customHeight="1"/>
  <cols>
    <col min="1" max="4" width="17.26953125" hidden="1" customWidth="1"/>
    <col min="5" max="5" width="13.81640625" customWidth="1"/>
    <col min="6" max="6" width="15.26953125" customWidth="1"/>
    <col min="7" max="7" width="21.7265625" customWidth="1"/>
    <col min="8" max="8" width="17.26953125" customWidth="1"/>
    <col min="9" max="9" width="15.7265625" customWidth="1"/>
    <col min="10" max="11" width="8.453125" customWidth="1"/>
    <col min="12" max="12" width="42.1796875" customWidth="1"/>
    <col min="13" max="13" width="52.7265625" customWidth="1"/>
    <col min="14" max="14" width="22.7265625" customWidth="1"/>
    <col min="15" max="15" width="15.7265625" customWidth="1"/>
    <col min="16" max="16" width="27.26953125" customWidth="1"/>
    <col min="17" max="17" width="17.26953125" customWidth="1"/>
    <col min="18" max="18" width="27.7265625" customWidth="1"/>
    <col min="19" max="19" width="21.1796875" customWidth="1"/>
    <col min="20" max="20" width="33.7265625" customWidth="1"/>
    <col min="21" max="23" width="9.81640625" customWidth="1"/>
    <col min="24" max="24" width="6.453125" customWidth="1"/>
    <col min="25" max="25" width="17.26953125" customWidth="1"/>
    <col min="26" max="26" width="15.1796875" customWidth="1"/>
    <col min="27" max="27" width="10.81640625" customWidth="1"/>
    <col min="28" max="28" width="45.26953125" customWidth="1"/>
  </cols>
  <sheetData>
    <row r="1" spans="5:28" s="471" customFormat="1" ht="15" customHeight="1">
      <c r="E1" s="472" t="s">
        <v>3850</v>
      </c>
    </row>
    <row r="2" spans="5:28" s="471" customFormat="1" ht="15" customHeight="1">
      <c r="E2" s="472" t="s">
        <v>3851</v>
      </c>
    </row>
    <row r="3" spans="5:28" ht="15" customHeight="1">
      <c r="E3" s="459"/>
      <c r="F3" s="459"/>
      <c r="G3" s="459"/>
      <c r="H3" s="459"/>
      <c r="I3" s="459"/>
      <c r="J3" s="459"/>
      <c r="K3" s="218" t="s">
        <v>1038</v>
      </c>
      <c r="L3" s="218"/>
      <c r="M3" s="218"/>
      <c r="N3" s="218"/>
      <c r="O3" s="218"/>
      <c r="P3" s="218"/>
      <c r="Q3" s="218"/>
      <c r="R3" s="207"/>
      <c r="S3" s="207"/>
      <c r="T3" s="207"/>
      <c r="U3" s="381"/>
      <c r="V3" s="381"/>
      <c r="W3" s="381"/>
      <c r="X3" s="56"/>
      <c r="Y3" s="56"/>
      <c r="Z3" s="252" t="s">
        <v>1039</v>
      </c>
      <c r="AA3" s="364"/>
      <c r="AB3" s="252"/>
    </row>
    <row r="4" spans="5:28" ht="15" customHeight="1">
      <c r="E4" s="208" t="s">
        <v>224</v>
      </c>
      <c r="F4" s="208" t="s">
        <v>225</v>
      </c>
      <c r="G4" s="208" t="s">
        <v>226</v>
      </c>
      <c r="H4" s="208" t="s">
        <v>227</v>
      </c>
      <c r="I4" s="208" t="s">
        <v>1044</v>
      </c>
      <c r="J4" s="208" t="s">
        <v>1045</v>
      </c>
      <c r="K4" s="218" t="s">
        <v>1046</v>
      </c>
      <c r="L4" s="218" t="s">
        <v>100</v>
      </c>
      <c r="M4" s="218" t="s">
        <v>101</v>
      </c>
      <c r="N4" s="218" t="s">
        <v>102</v>
      </c>
      <c r="O4" s="218" t="s">
        <v>103</v>
      </c>
      <c r="P4" s="218" t="s">
        <v>104</v>
      </c>
      <c r="Q4" s="218" t="s">
        <v>105</v>
      </c>
      <c r="R4" s="207" t="s">
        <v>111</v>
      </c>
      <c r="S4" s="207" t="s">
        <v>112</v>
      </c>
      <c r="T4" s="207" t="s">
        <v>103</v>
      </c>
      <c r="U4" s="381"/>
      <c r="V4" s="381"/>
      <c r="W4" s="381"/>
      <c r="X4" s="226" t="s">
        <v>1049</v>
      </c>
      <c r="Y4" s="226" t="s">
        <v>1050</v>
      </c>
      <c r="Z4" s="226" t="s">
        <v>237</v>
      </c>
      <c r="AA4" s="366" t="s">
        <v>1</v>
      </c>
      <c r="AB4" s="226" t="s">
        <v>238</v>
      </c>
    </row>
    <row r="5" spans="5:28" ht="35.25" customHeight="1">
      <c r="E5" s="459" t="s">
        <v>61</v>
      </c>
      <c r="F5" s="459" t="s">
        <v>1010</v>
      </c>
      <c r="G5" s="459" t="s">
        <v>535</v>
      </c>
      <c r="H5" s="459" t="s">
        <v>903</v>
      </c>
      <c r="I5" s="459"/>
      <c r="J5" s="459"/>
      <c r="K5" s="459" t="s">
        <v>682</v>
      </c>
      <c r="L5" s="130" t="s">
        <v>2608</v>
      </c>
      <c r="M5" s="459" t="s">
        <v>3898</v>
      </c>
      <c r="N5" s="130" t="s">
        <v>3834</v>
      </c>
      <c r="O5" s="459"/>
      <c r="P5" s="459"/>
      <c r="Q5" s="130"/>
      <c r="R5" s="130" t="s">
        <v>3901</v>
      </c>
      <c r="S5" s="130"/>
      <c r="T5" s="130" t="s">
        <v>3835</v>
      </c>
      <c r="U5" s="130"/>
      <c r="V5" s="130"/>
      <c r="W5" s="130"/>
      <c r="X5" s="5">
        <v>1</v>
      </c>
      <c r="Y5" s="5"/>
      <c r="Z5" s="120" t="s">
        <v>3748</v>
      </c>
      <c r="AA5" s="131">
        <v>43418</v>
      </c>
      <c r="AB5" t="s">
        <v>1057</v>
      </c>
    </row>
    <row r="6" spans="5:28" ht="33" customHeight="1">
      <c r="E6" s="459" t="s">
        <v>61</v>
      </c>
      <c r="F6" s="459" t="s">
        <v>3828</v>
      </c>
      <c r="G6" s="459" t="s">
        <v>242</v>
      </c>
      <c r="H6" s="459" t="s">
        <v>1012</v>
      </c>
      <c r="I6" s="459"/>
      <c r="J6" s="459"/>
      <c r="K6" t="s">
        <v>682</v>
      </c>
      <c r="L6" s="130" t="s">
        <v>2608</v>
      </c>
      <c r="M6" s="459" t="s">
        <v>3902</v>
      </c>
      <c r="N6" s="130" t="s">
        <v>247</v>
      </c>
      <c r="R6" s="129" t="s">
        <v>3903</v>
      </c>
      <c r="T6" s="130" t="s">
        <v>3837</v>
      </c>
      <c r="X6" s="5">
        <v>2</v>
      </c>
      <c r="Y6" s="5"/>
      <c r="Z6" s="120" t="s">
        <v>3729</v>
      </c>
      <c r="AA6" s="131">
        <v>43476</v>
      </c>
      <c r="AB6" t="s">
        <v>3838</v>
      </c>
    </row>
    <row r="7" spans="5:28" ht="27" customHeight="1">
      <c r="E7" s="459" t="s">
        <v>53</v>
      </c>
      <c r="F7" s="459" t="s">
        <v>123</v>
      </c>
      <c r="G7" s="459" t="s">
        <v>535</v>
      </c>
      <c r="H7" s="459" t="s">
        <v>903</v>
      </c>
      <c r="I7" s="459"/>
      <c r="J7" s="459"/>
      <c r="K7" t="s">
        <v>682</v>
      </c>
      <c r="L7" s="130" t="s">
        <v>1184</v>
      </c>
      <c r="M7" s="459" t="s">
        <v>3558</v>
      </c>
      <c r="N7" s="130"/>
      <c r="T7" s="130" t="s">
        <v>3839</v>
      </c>
      <c r="X7" s="5">
        <v>3</v>
      </c>
      <c r="Y7" s="5"/>
      <c r="Z7" s="120" t="s">
        <v>3748</v>
      </c>
      <c r="AA7" s="131">
        <v>43418</v>
      </c>
      <c r="AB7" s="129" t="s">
        <v>3840</v>
      </c>
    </row>
    <row r="8" spans="5:28" ht="12.5">
      <c r="E8" s="441" t="s">
        <v>55</v>
      </c>
      <c r="F8" s="441" t="s">
        <v>3528</v>
      </c>
      <c r="G8" s="441" t="s">
        <v>242</v>
      </c>
      <c r="H8" s="441" t="s">
        <v>243</v>
      </c>
      <c r="K8" s="441" t="s">
        <v>682</v>
      </c>
      <c r="L8" s="130" t="s">
        <v>2608</v>
      </c>
      <c r="M8" s="459" t="s">
        <v>1022</v>
      </c>
      <c r="N8" s="459"/>
      <c r="O8" s="459"/>
      <c r="P8" s="459"/>
      <c r="Q8" s="130"/>
      <c r="R8" s="130" t="s">
        <v>3904</v>
      </c>
      <c r="X8" s="441">
        <v>4</v>
      </c>
      <c r="AA8" s="147">
        <v>44232</v>
      </c>
      <c r="AB8" s="441" t="s">
        <v>1156</v>
      </c>
    </row>
    <row r="9" spans="5:28" ht="15" hidden="1" customHeight="1">
      <c r="E9" s="459" t="s">
        <v>53</v>
      </c>
      <c r="F9" s="459" t="s">
        <v>1189</v>
      </c>
      <c r="G9" s="459" t="s">
        <v>249</v>
      </c>
      <c r="H9" s="459" t="s">
        <v>243</v>
      </c>
      <c r="I9" s="459"/>
      <c r="J9" s="459"/>
      <c r="K9" s="459"/>
      <c r="L9" s="130"/>
      <c r="M9" s="459"/>
      <c r="N9" s="459"/>
      <c r="O9" s="459"/>
      <c r="P9" s="459"/>
      <c r="Q9" s="130"/>
      <c r="R9" s="130"/>
      <c r="S9" s="130"/>
      <c r="T9" s="186" t="s">
        <v>1190</v>
      </c>
      <c r="U9" s="130"/>
      <c r="V9" s="130"/>
      <c r="W9" s="130"/>
      <c r="X9" s="5"/>
      <c r="Y9" s="5"/>
      <c r="Z9" s="120"/>
      <c r="AA9" s="131"/>
    </row>
    <row r="10" spans="5:28" ht="15" hidden="1" customHeight="1">
      <c r="E10" s="459" t="s">
        <v>53</v>
      </c>
      <c r="F10" s="459" t="s">
        <v>1191</v>
      </c>
      <c r="G10" s="459" t="s">
        <v>252</v>
      </c>
      <c r="H10" s="459" t="s">
        <v>243</v>
      </c>
      <c r="I10" s="459"/>
      <c r="J10" s="459"/>
      <c r="K10" s="459"/>
      <c r="L10" s="130"/>
      <c r="M10" s="459"/>
      <c r="N10" s="459"/>
      <c r="O10" s="459"/>
      <c r="P10" s="459"/>
      <c r="Q10" s="130"/>
      <c r="R10" s="130"/>
      <c r="S10" s="130"/>
      <c r="T10" s="186" t="s">
        <v>1190</v>
      </c>
      <c r="U10" s="130"/>
      <c r="V10" s="130"/>
      <c r="W10" s="130"/>
      <c r="X10" s="5"/>
      <c r="Y10" s="5"/>
      <c r="Z10" s="120"/>
      <c r="AA10" s="131"/>
    </row>
    <row r="11" spans="5:28" ht="15" hidden="1" customHeight="1">
      <c r="E11" s="459" t="s">
        <v>53</v>
      </c>
      <c r="F11" s="459" t="s">
        <v>1192</v>
      </c>
      <c r="G11" s="459" t="s">
        <v>242</v>
      </c>
      <c r="H11" s="459" t="s">
        <v>243</v>
      </c>
      <c r="I11" s="459"/>
      <c r="J11" s="459"/>
      <c r="K11" s="459"/>
      <c r="L11" s="130"/>
      <c r="M11" s="459"/>
      <c r="N11" s="459"/>
      <c r="O11" s="459"/>
      <c r="P11" s="459"/>
      <c r="Q11" s="130"/>
      <c r="R11" s="130"/>
      <c r="S11" s="130"/>
      <c r="T11" s="186" t="s">
        <v>1190</v>
      </c>
      <c r="U11" s="130"/>
      <c r="V11" s="130"/>
      <c r="W11" s="130"/>
      <c r="X11" s="5"/>
      <c r="Y11" s="188"/>
      <c r="Z11" s="120"/>
      <c r="AA11" s="131"/>
    </row>
    <row r="12" spans="5:28" ht="15" hidden="1" customHeight="1">
      <c r="E12" s="459" t="s">
        <v>53</v>
      </c>
      <c r="F12" s="459" t="s">
        <v>1193</v>
      </c>
      <c r="G12" s="459" t="s">
        <v>247</v>
      </c>
      <c r="H12" s="459" t="s">
        <v>243</v>
      </c>
      <c r="I12" s="459"/>
      <c r="J12" s="459"/>
      <c r="K12" s="459"/>
      <c r="L12" s="130"/>
      <c r="M12" s="459"/>
      <c r="N12" s="459"/>
      <c r="O12" s="459"/>
      <c r="P12" s="459"/>
      <c r="Q12" s="130"/>
      <c r="R12" s="130"/>
      <c r="S12" s="130"/>
      <c r="T12" s="186" t="s">
        <v>1190</v>
      </c>
      <c r="U12" s="130"/>
      <c r="V12" s="130"/>
      <c r="W12" s="130"/>
      <c r="X12" s="5"/>
      <c r="Y12" s="188"/>
      <c r="Z12" s="120"/>
      <c r="AA12" s="131"/>
    </row>
    <row r="13" spans="5:28" ht="15" hidden="1" customHeight="1">
      <c r="E13" s="459" t="s">
        <v>53</v>
      </c>
      <c r="F13" s="459" t="s">
        <v>1194</v>
      </c>
      <c r="G13" s="459" t="s">
        <v>252</v>
      </c>
      <c r="H13" s="459" t="s">
        <v>243</v>
      </c>
      <c r="I13" s="459"/>
      <c r="J13" s="459"/>
      <c r="K13" s="459"/>
      <c r="L13" s="130"/>
      <c r="M13" s="459"/>
      <c r="N13" s="459"/>
      <c r="O13" s="459"/>
      <c r="P13" s="459"/>
      <c r="Q13" s="130"/>
      <c r="R13" s="130"/>
      <c r="S13" s="130"/>
      <c r="T13" s="186" t="s">
        <v>1190</v>
      </c>
      <c r="U13" s="130"/>
      <c r="V13" s="130"/>
      <c r="W13" s="130"/>
      <c r="X13" s="5"/>
      <c r="Y13" s="188"/>
      <c r="Z13" s="120"/>
      <c r="AA13" s="131"/>
    </row>
    <row r="14" spans="5:28" ht="15" hidden="1" customHeight="1">
      <c r="E14" s="459" t="s">
        <v>53</v>
      </c>
      <c r="F14" s="459" t="s">
        <v>1195</v>
      </c>
      <c r="G14" s="459" t="s">
        <v>247</v>
      </c>
      <c r="H14" s="459" t="s">
        <v>243</v>
      </c>
      <c r="I14" s="459"/>
      <c r="J14" s="459"/>
      <c r="K14" s="459"/>
      <c r="L14" s="130"/>
      <c r="M14" s="459"/>
      <c r="N14" s="459"/>
      <c r="O14" s="459"/>
      <c r="P14" s="459"/>
      <c r="Q14" s="130"/>
      <c r="R14" s="130"/>
      <c r="S14" s="130"/>
      <c r="T14" s="186" t="s">
        <v>1190</v>
      </c>
      <c r="U14" s="130"/>
      <c r="V14" s="130"/>
      <c r="W14" s="130"/>
      <c r="X14" s="5"/>
      <c r="Y14" s="188"/>
      <c r="Z14" s="120"/>
      <c r="AA14" s="131"/>
    </row>
    <row r="15" spans="5:28" ht="15" hidden="1" customHeight="1">
      <c r="E15" s="459" t="s">
        <v>53</v>
      </c>
      <c r="F15" s="459" t="s">
        <v>1196</v>
      </c>
      <c r="G15" s="459" t="s">
        <v>535</v>
      </c>
      <c r="H15" s="459" t="s">
        <v>903</v>
      </c>
      <c r="I15" s="459"/>
      <c r="J15" s="459"/>
      <c r="K15" s="459"/>
      <c r="L15" s="130"/>
      <c r="M15" s="459"/>
      <c r="N15" s="459"/>
      <c r="O15" s="459"/>
      <c r="P15" s="459"/>
      <c r="Q15" s="130"/>
      <c r="R15" s="130"/>
      <c r="S15" s="130"/>
      <c r="T15" s="186" t="s">
        <v>1190</v>
      </c>
      <c r="U15" s="130"/>
      <c r="V15" s="130"/>
      <c r="W15" s="130"/>
      <c r="X15" s="5"/>
      <c r="Y15" s="5"/>
      <c r="Z15" s="120"/>
      <c r="AA15" s="131"/>
    </row>
    <row r="16" spans="5:28" ht="15" hidden="1" customHeight="1">
      <c r="E16" s="459" t="s">
        <v>53</v>
      </c>
      <c r="F16" s="459" t="s">
        <v>1290</v>
      </c>
      <c r="G16" s="459" t="s">
        <v>432</v>
      </c>
      <c r="H16" s="459" t="s">
        <v>243</v>
      </c>
      <c r="I16" s="459"/>
      <c r="J16" s="459"/>
      <c r="K16" s="459"/>
      <c r="L16" s="130"/>
      <c r="M16" s="459"/>
      <c r="N16" s="459"/>
      <c r="O16" s="459"/>
      <c r="P16" s="459"/>
      <c r="Q16" s="130"/>
      <c r="R16" s="130"/>
      <c r="S16" s="130"/>
      <c r="T16" s="186" t="s">
        <v>1190</v>
      </c>
      <c r="U16" s="130"/>
      <c r="V16" s="130"/>
      <c r="W16" s="130"/>
      <c r="X16" s="5"/>
      <c r="Y16" s="5"/>
      <c r="Z16" s="120"/>
      <c r="AA16" s="131"/>
    </row>
    <row r="17" spans="5:28" ht="15" hidden="1" customHeight="1">
      <c r="E17" s="459" t="s">
        <v>53</v>
      </c>
      <c r="F17" s="459" t="s">
        <v>1291</v>
      </c>
      <c r="G17" s="459" t="s">
        <v>247</v>
      </c>
      <c r="H17" s="459" t="s">
        <v>243</v>
      </c>
      <c r="I17" s="459"/>
      <c r="J17" s="459"/>
      <c r="K17" s="459"/>
      <c r="L17" s="130"/>
      <c r="M17" s="459"/>
      <c r="N17" s="459"/>
      <c r="O17" s="459"/>
      <c r="P17" s="459"/>
      <c r="Q17" s="130"/>
      <c r="R17" s="130"/>
      <c r="S17" s="130"/>
      <c r="T17" s="186" t="s">
        <v>1190</v>
      </c>
      <c r="U17" s="130"/>
      <c r="V17" s="130"/>
      <c r="W17" s="130"/>
      <c r="X17" s="5"/>
      <c r="Y17" s="5"/>
      <c r="Z17" s="120"/>
      <c r="AA17" s="131"/>
    </row>
    <row r="18" spans="5:28" ht="25" hidden="1">
      <c r="E18" s="459" t="s">
        <v>53</v>
      </c>
      <c r="F18" s="459" t="s">
        <v>1292</v>
      </c>
      <c r="G18" s="459" t="s">
        <v>535</v>
      </c>
      <c r="H18" s="459" t="s">
        <v>243</v>
      </c>
      <c r="I18" s="459"/>
      <c r="J18" s="459"/>
      <c r="K18" s="459"/>
      <c r="L18" s="130"/>
      <c r="M18" s="459"/>
      <c r="N18" s="459"/>
      <c r="O18" s="459"/>
      <c r="P18" s="459"/>
      <c r="Q18" s="130"/>
      <c r="R18" s="130"/>
      <c r="S18" s="130"/>
      <c r="T18" s="186" t="s">
        <v>1190</v>
      </c>
      <c r="U18" s="130"/>
      <c r="V18" s="130"/>
      <c r="W18" s="130"/>
      <c r="X18" s="5"/>
      <c r="Y18" s="5"/>
      <c r="Z18" s="120"/>
      <c r="AA18" s="131"/>
      <c r="AB18" s="5"/>
    </row>
    <row r="19" spans="5:28" ht="15" hidden="1" customHeight="1">
      <c r="E19" s="459" t="s">
        <v>53</v>
      </c>
      <c r="F19" s="459" t="s">
        <v>1289</v>
      </c>
      <c r="G19" s="459" t="s">
        <v>324</v>
      </c>
      <c r="H19" s="459" t="s">
        <v>243</v>
      </c>
      <c r="I19" s="459"/>
      <c r="J19" s="459"/>
      <c r="K19" s="459"/>
      <c r="L19" s="130"/>
      <c r="M19" s="459"/>
      <c r="N19" s="459"/>
      <c r="O19" s="459"/>
      <c r="P19" s="459"/>
      <c r="Q19" s="130"/>
      <c r="R19" s="130"/>
      <c r="S19" s="130"/>
      <c r="T19" s="186" t="s">
        <v>1190</v>
      </c>
      <c r="U19" s="130"/>
      <c r="V19" s="130"/>
      <c r="W19" s="130"/>
      <c r="X19" s="5"/>
      <c r="Y19" s="5"/>
      <c r="Z19" s="120"/>
      <c r="AA19" s="131"/>
      <c r="AB19" s="129"/>
    </row>
    <row r="20" spans="5:28" ht="15" hidden="1" customHeight="1">
      <c r="E20" s="459" t="s">
        <v>53</v>
      </c>
      <c r="F20" s="459" t="s">
        <v>1293</v>
      </c>
      <c r="G20" s="459" t="s">
        <v>432</v>
      </c>
      <c r="H20" s="459" t="s">
        <v>243</v>
      </c>
      <c r="I20" s="459"/>
      <c r="J20" s="459"/>
      <c r="K20" s="459"/>
      <c r="L20" s="130"/>
      <c r="M20" s="459"/>
      <c r="N20" s="459"/>
      <c r="O20" s="459"/>
      <c r="P20" s="459"/>
      <c r="Q20" s="130"/>
      <c r="R20" s="130"/>
      <c r="S20" s="130"/>
      <c r="T20" s="186" t="s">
        <v>1190</v>
      </c>
      <c r="U20" s="130"/>
      <c r="V20" s="130"/>
      <c r="W20" s="130"/>
      <c r="X20" s="5"/>
      <c r="Y20" s="5"/>
      <c r="Z20" s="34"/>
      <c r="AA20" s="131"/>
      <c r="AB20" s="129"/>
    </row>
    <row r="21" spans="5:28" ht="15" hidden="1" customHeight="1">
      <c r="E21" s="459" t="s">
        <v>53</v>
      </c>
      <c r="F21" s="459" t="s">
        <v>1288</v>
      </c>
      <c r="G21" s="459" t="s">
        <v>535</v>
      </c>
      <c r="H21" s="459" t="s">
        <v>903</v>
      </c>
      <c r="I21" s="459"/>
      <c r="J21" s="459"/>
      <c r="K21" s="459"/>
      <c r="L21" s="130"/>
      <c r="M21" s="459"/>
      <c r="N21" s="459"/>
      <c r="O21" s="459"/>
      <c r="P21" s="459"/>
      <c r="Q21" s="130"/>
      <c r="R21" s="130"/>
      <c r="S21" s="130"/>
      <c r="T21" s="186" t="s">
        <v>1190</v>
      </c>
      <c r="U21" s="130"/>
      <c r="V21" s="130"/>
      <c r="W21" s="130"/>
      <c r="X21" s="5"/>
      <c r="Y21" s="5"/>
      <c r="Z21" s="34"/>
      <c r="AA21" s="131"/>
    </row>
    <row r="22" spans="5:28" ht="12.5">
      <c r="X22" s="5"/>
      <c r="Y22" s="5"/>
      <c r="Z22" s="5"/>
      <c r="AA22" s="5"/>
      <c r="AB22" s="5"/>
    </row>
    <row r="23" spans="5:28" ht="15.75" customHeight="1">
      <c r="E23" s="474" t="s">
        <v>3905</v>
      </c>
      <c r="X23" s="5"/>
      <c r="Y23" s="5"/>
      <c r="Z23" s="5"/>
      <c r="AA23" s="5"/>
      <c r="AB23" s="5"/>
    </row>
    <row r="24" spans="5:28" ht="15.75" customHeight="1">
      <c r="E24" s="120" t="s">
        <v>3906</v>
      </c>
      <c r="X24" s="5"/>
      <c r="Y24" s="5"/>
      <c r="Z24" s="5"/>
      <c r="AA24" s="5"/>
      <c r="AB24" s="5"/>
    </row>
    <row r="25" spans="5:28" ht="15.75" customHeight="1">
      <c r="E25" s="120" t="s">
        <v>3907</v>
      </c>
      <c r="X25" s="5"/>
      <c r="Y25" s="5"/>
      <c r="Z25" s="5"/>
      <c r="AA25" s="5"/>
      <c r="AB25" s="5"/>
    </row>
  </sheetData>
  <autoFilter ref="E4:AB21" xr:uid="{00000000-0009-0000-0000-000020000000}">
    <filterColumn colId="6">
      <filters>
        <filter val="Y"/>
      </filters>
    </filterColumn>
  </autoFilter>
  <pageMargins left="0.7" right="0.7" top="0.75" bottom="0.75" header="0" footer="0"/>
  <pageSetup orientation="landscape"/>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tabColor rgb="FFFFFFFF"/>
    <outlinePr summaryBelow="0" summaryRight="0"/>
  </sheetPr>
  <dimension ref="A1:AB225"/>
  <sheetViews>
    <sheetView workbookViewId="0">
      <pane xSplit="6" ySplit="2" topLeftCell="G32" activePane="bottomRight" state="frozen"/>
      <selection pane="topRight" activeCell="G1" sqref="G1"/>
      <selection pane="bottomLeft" activeCell="A3" sqref="A3"/>
      <selection pane="bottomRight" activeCell="G3" sqref="G3"/>
    </sheetView>
  </sheetViews>
  <sheetFormatPr defaultColWidth="14.453125" defaultRowHeight="15" customHeight="1"/>
  <cols>
    <col min="1" max="4" width="10.7265625" hidden="1" customWidth="1"/>
    <col min="5" max="5" width="22.453125" customWidth="1"/>
    <col min="6" max="6" width="37" customWidth="1"/>
    <col min="7" max="7" width="22.7265625" customWidth="1"/>
    <col min="8" max="8" width="8.7265625" customWidth="1"/>
    <col min="9" max="9" width="8.453125" customWidth="1"/>
    <col min="10" max="10" width="5.26953125" customWidth="1"/>
    <col min="11" max="11" width="8.7265625" customWidth="1"/>
    <col min="12" max="12" width="25.7265625" customWidth="1"/>
    <col min="13" max="13" width="17.453125" customWidth="1"/>
    <col min="14" max="14" width="20" customWidth="1"/>
    <col min="15" max="15" width="41.81640625" customWidth="1"/>
    <col min="16" max="16" width="49.26953125" customWidth="1"/>
    <col min="17" max="17" width="37.1796875" customWidth="1"/>
    <col min="18" max="18" width="10.7265625" customWidth="1"/>
    <col min="19" max="19" width="20.453125" customWidth="1"/>
    <col min="20" max="20" width="62.26953125" customWidth="1"/>
    <col min="21" max="23" width="8.81640625" customWidth="1"/>
    <col min="24" max="24" width="9.453125" customWidth="1"/>
    <col min="25" max="25" width="16.1796875" customWidth="1"/>
    <col min="26" max="26" width="44.453125" customWidth="1"/>
    <col min="27" max="27" width="10.7265625" customWidth="1"/>
    <col min="28" max="28" width="84" customWidth="1"/>
  </cols>
  <sheetData>
    <row r="1" spans="1:28" ht="39.75" customHeight="1">
      <c r="A1" s="186"/>
      <c r="B1" s="186"/>
      <c r="C1" s="186"/>
      <c r="D1" s="186"/>
      <c r="E1" s="289" t="s">
        <v>1322</v>
      </c>
      <c r="F1" s="186"/>
      <c r="G1" s="186"/>
      <c r="H1" s="186"/>
      <c r="I1" s="186"/>
      <c r="J1" s="186"/>
      <c r="K1" s="282" t="s">
        <v>1038</v>
      </c>
      <c r="L1" s="207"/>
      <c r="M1" s="207"/>
      <c r="N1" s="207"/>
      <c r="O1" s="207"/>
      <c r="P1" s="207"/>
      <c r="Q1" s="207"/>
      <c r="R1" s="186"/>
      <c r="S1" s="186"/>
      <c r="T1" s="186"/>
      <c r="U1" s="186"/>
      <c r="V1" s="186"/>
      <c r="W1" s="186"/>
      <c r="X1" s="56"/>
      <c r="Y1" s="56"/>
      <c r="Z1" s="252" t="s">
        <v>1039</v>
      </c>
      <c r="AA1" s="253"/>
      <c r="AB1" s="254"/>
    </row>
    <row r="2" spans="1:28" ht="43.5" customHeight="1">
      <c r="A2" s="208" t="s">
        <v>1040</v>
      </c>
      <c r="B2" s="208" t="s">
        <v>1041</v>
      </c>
      <c r="C2" s="208" t="s">
        <v>1042</v>
      </c>
      <c r="D2" s="208" t="s">
        <v>1043</v>
      </c>
      <c r="E2" s="208" t="s">
        <v>224</v>
      </c>
      <c r="F2" s="208" t="s">
        <v>225</v>
      </c>
      <c r="G2" s="208" t="s">
        <v>226</v>
      </c>
      <c r="H2" s="208" t="s">
        <v>227</v>
      </c>
      <c r="I2" s="283" t="s">
        <v>1044</v>
      </c>
      <c r="J2" s="208" t="s">
        <v>1045</v>
      </c>
      <c r="K2" s="284" t="s">
        <v>1046</v>
      </c>
      <c r="L2" s="285" t="s">
        <v>100</v>
      </c>
      <c r="M2" s="285" t="s">
        <v>101</v>
      </c>
      <c r="N2" s="285" t="s">
        <v>102</v>
      </c>
      <c r="O2" s="285" t="s">
        <v>103</v>
      </c>
      <c r="P2" s="285" t="s">
        <v>104</v>
      </c>
      <c r="Q2" s="285" t="s">
        <v>105</v>
      </c>
      <c r="R2" s="283" t="s">
        <v>111</v>
      </c>
      <c r="S2" s="283" t="s">
        <v>112</v>
      </c>
      <c r="T2" s="283" t="s">
        <v>113</v>
      </c>
      <c r="U2" s="286"/>
      <c r="V2" s="286"/>
      <c r="W2" s="286"/>
      <c r="X2" s="226" t="s">
        <v>1049</v>
      </c>
      <c r="Y2" s="226" t="s">
        <v>1050</v>
      </c>
      <c r="Z2" s="226" t="s">
        <v>237</v>
      </c>
      <c r="AA2" s="227" t="s">
        <v>1</v>
      </c>
      <c r="AB2" s="255" t="s">
        <v>238</v>
      </c>
    </row>
    <row r="3" spans="1:28" ht="18.75" customHeight="1">
      <c r="A3" s="213"/>
      <c r="B3" s="213"/>
      <c r="C3" s="210" t="s">
        <v>1986</v>
      </c>
      <c r="D3" s="210">
        <v>1</v>
      </c>
      <c r="E3" s="186" t="s">
        <v>61</v>
      </c>
      <c r="F3" s="186" t="s">
        <v>120</v>
      </c>
      <c r="G3" s="186" t="s">
        <v>250</v>
      </c>
      <c r="H3" s="186" t="s">
        <v>243</v>
      </c>
      <c r="I3" s="186"/>
      <c r="J3" s="186">
        <v>24</v>
      </c>
      <c r="K3" s="186" t="s">
        <v>682</v>
      </c>
      <c r="L3" s="186" t="s">
        <v>3908</v>
      </c>
      <c r="M3" s="186" t="s">
        <v>295</v>
      </c>
      <c r="N3" s="186" t="s">
        <v>1709</v>
      </c>
      <c r="O3" s="186" t="s">
        <v>1987</v>
      </c>
      <c r="P3" s="186" t="s">
        <v>3909</v>
      </c>
      <c r="Q3" s="186" t="s">
        <v>1201</v>
      </c>
      <c r="R3" s="186"/>
      <c r="S3" s="186" t="s">
        <v>1201</v>
      </c>
      <c r="T3" s="186" t="s">
        <v>1986</v>
      </c>
      <c r="U3" s="186"/>
      <c r="V3" s="186"/>
      <c r="W3" s="186"/>
      <c r="X3">
        <v>1</v>
      </c>
      <c r="Z3" t="s">
        <v>1920</v>
      </c>
      <c r="AA3" s="30">
        <v>43449</v>
      </c>
    </row>
    <row r="4" spans="1:28" ht="18.75" customHeight="1">
      <c r="A4" s="213"/>
      <c r="B4" s="213"/>
      <c r="C4" s="210"/>
      <c r="D4" s="210"/>
      <c r="E4" s="186" t="s">
        <v>59</v>
      </c>
      <c r="F4" s="186" t="s">
        <v>498</v>
      </c>
      <c r="G4" s="186" t="s">
        <v>242</v>
      </c>
      <c r="H4" s="186" t="s">
        <v>243</v>
      </c>
      <c r="I4" s="186"/>
      <c r="J4" s="186">
        <v>97</v>
      </c>
      <c r="K4" s="186" t="s">
        <v>682</v>
      </c>
      <c r="L4" s="186" t="s">
        <v>3908</v>
      </c>
      <c r="M4" s="186" t="s">
        <v>301</v>
      </c>
      <c r="N4" s="186" t="s">
        <v>1390</v>
      </c>
      <c r="O4" s="186" t="s">
        <v>2297</v>
      </c>
      <c r="P4" s="186" t="s">
        <v>3910</v>
      </c>
      <c r="Q4" s="186"/>
      <c r="R4" s="186"/>
      <c r="S4" s="186"/>
      <c r="T4" s="186" t="s">
        <v>2299</v>
      </c>
      <c r="U4" s="186"/>
      <c r="V4" s="186"/>
      <c r="W4" s="186"/>
      <c r="X4">
        <v>2</v>
      </c>
      <c r="Z4" t="s">
        <v>1920</v>
      </c>
      <c r="AA4" s="30">
        <v>43449</v>
      </c>
    </row>
    <row r="5" spans="1:28" ht="18.75" customHeight="1">
      <c r="A5" s="213"/>
      <c r="B5" s="213"/>
      <c r="C5" s="210"/>
      <c r="D5" s="210"/>
      <c r="E5" s="186" t="s">
        <v>61</v>
      </c>
      <c r="F5" s="186" t="s">
        <v>118</v>
      </c>
      <c r="G5" s="186" t="s">
        <v>247</v>
      </c>
      <c r="H5" s="186" t="s">
        <v>243</v>
      </c>
      <c r="I5" s="186"/>
      <c r="J5" s="186">
        <v>-1</v>
      </c>
      <c r="K5" s="186" t="s">
        <v>682</v>
      </c>
      <c r="L5" s="186" t="s">
        <v>3908</v>
      </c>
      <c r="M5" s="186" t="s">
        <v>302</v>
      </c>
      <c r="N5" s="186" t="s">
        <v>1328</v>
      </c>
      <c r="O5" s="186" t="s">
        <v>1919</v>
      </c>
      <c r="P5" s="186" t="s">
        <v>3911</v>
      </c>
      <c r="Q5" s="186"/>
      <c r="R5" s="186"/>
      <c r="S5" s="186">
        <v>52100123</v>
      </c>
      <c r="T5" s="186" t="s">
        <v>1330</v>
      </c>
      <c r="U5" s="186"/>
      <c r="V5" s="186"/>
      <c r="W5" s="186"/>
      <c r="X5">
        <v>3</v>
      </c>
      <c r="Z5" t="s">
        <v>1920</v>
      </c>
      <c r="AA5" s="30">
        <v>43449</v>
      </c>
    </row>
    <row r="6" spans="1:28" ht="18.75" customHeight="1">
      <c r="A6" s="213"/>
      <c r="B6" s="213"/>
      <c r="C6" s="210"/>
      <c r="D6" s="210"/>
      <c r="E6" s="186" t="s">
        <v>59</v>
      </c>
      <c r="F6" s="186" t="s">
        <v>499</v>
      </c>
      <c r="G6" s="186" t="s">
        <v>242</v>
      </c>
      <c r="H6" s="186" t="s">
        <v>243</v>
      </c>
      <c r="I6" s="186"/>
      <c r="J6" s="186">
        <v>51</v>
      </c>
      <c r="K6" s="186" t="s">
        <v>682</v>
      </c>
      <c r="L6" s="186" t="s">
        <v>3908</v>
      </c>
      <c r="M6" s="186" t="s">
        <v>500</v>
      </c>
      <c r="N6" s="186" t="s">
        <v>1390</v>
      </c>
      <c r="O6" s="186" t="s">
        <v>2129</v>
      </c>
      <c r="P6" s="186" t="s">
        <v>3912</v>
      </c>
      <c r="Q6" s="186"/>
      <c r="R6" s="186"/>
      <c r="S6" s="186" t="s">
        <v>2131</v>
      </c>
      <c r="T6" s="186" t="s">
        <v>2132</v>
      </c>
      <c r="U6" s="186"/>
      <c r="V6" s="186"/>
      <c r="W6" s="186"/>
      <c r="X6">
        <v>4</v>
      </c>
      <c r="Z6" t="s">
        <v>1920</v>
      </c>
      <c r="AA6" s="30">
        <v>43449</v>
      </c>
    </row>
    <row r="7" spans="1:28" ht="18.75" customHeight="1">
      <c r="A7" s="213"/>
      <c r="B7" s="213"/>
      <c r="C7" s="210"/>
      <c r="D7" s="210"/>
      <c r="E7" s="186" t="s">
        <v>59</v>
      </c>
      <c r="F7" s="186" t="s">
        <v>501</v>
      </c>
      <c r="G7" s="186" t="s">
        <v>346</v>
      </c>
      <c r="H7" s="186" t="s">
        <v>243</v>
      </c>
      <c r="I7" s="186"/>
      <c r="J7" s="186">
        <v>52</v>
      </c>
      <c r="K7" s="186" t="s">
        <v>682</v>
      </c>
      <c r="L7" s="186" t="s">
        <v>3908</v>
      </c>
      <c r="M7" s="186" t="s">
        <v>502</v>
      </c>
      <c r="N7" s="186" t="s">
        <v>1390</v>
      </c>
      <c r="O7" s="186" t="s">
        <v>2133</v>
      </c>
      <c r="P7" s="186" t="s">
        <v>3913</v>
      </c>
      <c r="Q7" s="186"/>
      <c r="R7" s="186"/>
      <c r="S7" s="186" t="s">
        <v>2135</v>
      </c>
      <c r="T7" s="186" t="s">
        <v>2136</v>
      </c>
      <c r="U7" s="186"/>
      <c r="V7" s="186"/>
      <c r="W7" s="186"/>
      <c r="X7">
        <v>5</v>
      </c>
      <c r="Z7" t="s">
        <v>1920</v>
      </c>
      <c r="AA7" s="30">
        <v>43449</v>
      </c>
    </row>
    <row r="8" spans="1:28" ht="18.75" customHeight="1">
      <c r="A8" s="213"/>
      <c r="B8" s="213"/>
      <c r="C8" s="210"/>
      <c r="D8" s="210"/>
      <c r="E8" s="186" t="s">
        <v>59</v>
      </c>
      <c r="F8" s="186" t="s">
        <v>138</v>
      </c>
      <c r="G8" s="186" t="s">
        <v>346</v>
      </c>
      <c r="H8" s="186" t="s">
        <v>243</v>
      </c>
      <c r="I8" s="186"/>
      <c r="J8" s="186">
        <v>63</v>
      </c>
      <c r="K8" s="186" t="s">
        <v>682</v>
      </c>
      <c r="L8" s="186" t="s">
        <v>3908</v>
      </c>
      <c r="M8" s="186" t="s">
        <v>504</v>
      </c>
      <c r="N8" s="186" t="s">
        <v>1390</v>
      </c>
      <c r="O8" s="186" t="s">
        <v>2193</v>
      </c>
      <c r="P8" s="186" t="s">
        <v>3914</v>
      </c>
      <c r="Q8" s="186"/>
      <c r="R8" s="186"/>
      <c r="S8" s="186" t="s">
        <v>2137</v>
      </c>
      <c r="T8" s="186" t="s">
        <v>2195</v>
      </c>
      <c r="U8" s="186"/>
      <c r="V8" s="186"/>
      <c r="W8" s="186"/>
      <c r="X8">
        <v>6</v>
      </c>
      <c r="Z8" t="s">
        <v>1920</v>
      </c>
      <c r="AA8" s="30">
        <v>43449</v>
      </c>
      <c r="AB8" t="s">
        <v>3915</v>
      </c>
    </row>
    <row r="9" spans="1:28" ht="18.75" customHeight="1">
      <c r="A9" s="213"/>
      <c r="B9" s="213"/>
      <c r="C9" s="210"/>
      <c r="D9" s="210"/>
      <c r="E9" s="186" t="s">
        <v>55</v>
      </c>
      <c r="F9" s="186" t="s">
        <v>505</v>
      </c>
      <c r="G9" s="186" t="s">
        <v>247</v>
      </c>
      <c r="H9" s="186" t="s">
        <v>243</v>
      </c>
      <c r="I9" s="186"/>
      <c r="J9" s="72">
        <v>183</v>
      </c>
      <c r="K9" s="186" t="s">
        <v>682</v>
      </c>
      <c r="L9" s="186" t="s">
        <v>3908</v>
      </c>
      <c r="M9" s="186" t="s">
        <v>506</v>
      </c>
      <c r="N9" s="186" t="s">
        <v>1328</v>
      </c>
      <c r="O9" s="186" t="s">
        <v>2412</v>
      </c>
      <c r="P9" s="186" t="s">
        <v>3916</v>
      </c>
      <c r="Q9" s="186" t="s">
        <v>2302</v>
      </c>
      <c r="R9" s="186"/>
      <c r="S9" s="186"/>
      <c r="T9" s="90" t="s">
        <v>2414</v>
      </c>
      <c r="U9" s="90"/>
      <c r="V9" s="90"/>
      <c r="W9" s="90"/>
      <c r="X9">
        <v>7</v>
      </c>
      <c r="Z9" t="s">
        <v>1920</v>
      </c>
      <c r="AA9" s="30">
        <v>43449</v>
      </c>
    </row>
    <row r="10" spans="1:28" ht="18.75" customHeight="1">
      <c r="A10" s="213"/>
      <c r="B10" s="213"/>
      <c r="C10" s="210" t="s">
        <v>1093</v>
      </c>
      <c r="D10" s="210">
        <v>1</v>
      </c>
      <c r="E10" s="186" t="s">
        <v>61</v>
      </c>
      <c r="F10" s="186" t="s">
        <v>150</v>
      </c>
      <c r="G10" s="186" t="s">
        <v>247</v>
      </c>
      <c r="H10" s="186" t="s">
        <v>243</v>
      </c>
      <c r="I10" s="186"/>
      <c r="J10" s="186">
        <v>141</v>
      </c>
      <c r="K10" s="186" t="s">
        <v>682</v>
      </c>
      <c r="L10" s="186" t="s">
        <v>3908</v>
      </c>
      <c r="M10" s="186" t="s">
        <v>507</v>
      </c>
      <c r="N10" s="186"/>
      <c r="O10" s="186"/>
      <c r="P10" s="186" t="s">
        <v>3917</v>
      </c>
      <c r="Q10" s="186"/>
      <c r="R10" s="289" t="s">
        <v>1346</v>
      </c>
      <c r="S10" s="186" t="s">
        <v>1947</v>
      </c>
      <c r="T10" s="186" t="s">
        <v>1383</v>
      </c>
      <c r="U10" s="186"/>
      <c r="V10" s="186"/>
      <c r="W10" s="186"/>
      <c r="X10">
        <v>8</v>
      </c>
      <c r="Z10" t="s">
        <v>1920</v>
      </c>
      <c r="AA10" s="30">
        <v>43449</v>
      </c>
    </row>
    <row r="11" spans="1:28" ht="18.75" customHeight="1">
      <c r="A11" s="213"/>
      <c r="B11" s="213"/>
      <c r="C11" s="210"/>
      <c r="D11" s="210"/>
      <c r="E11" s="186" t="s">
        <v>59</v>
      </c>
      <c r="F11" s="186" t="s">
        <v>308</v>
      </c>
      <c r="G11" s="186" t="s">
        <v>247</v>
      </c>
      <c r="H11" s="186" t="s">
        <v>243</v>
      </c>
      <c r="I11" s="186"/>
      <c r="J11" s="186">
        <v>142</v>
      </c>
      <c r="K11" s="186" t="s">
        <v>682</v>
      </c>
      <c r="L11" s="186" t="s">
        <v>3908</v>
      </c>
      <c r="M11" s="186" t="s">
        <v>508</v>
      </c>
      <c r="N11" s="186"/>
      <c r="O11" s="186"/>
      <c r="P11" s="186" t="s">
        <v>3918</v>
      </c>
      <c r="Q11" s="186"/>
      <c r="R11" s="289" t="s">
        <v>1346</v>
      </c>
      <c r="S11" s="186" t="s">
        <v>1948</v>
      </c>
      <c r="T11" s="186" t="s">
        <v>1389</v>
      </c>
      <c r="U11" s="186"/>
      <c r="V11" s="186"/>
      <c r="W11" s="186"/>
      <c r="X11">
        <v>9</v>
      </c>
      <c r="Z11" t="s">
        <v>1920</v>
      </c>
      <c r="AA11" s="30">
        <v>43449</v>
      </c>
    </row>
    <row r="12" spans="1:28" ht="18.75" customHeight="1">
      <c r="A12" s="213"/>
      <c r="B12" s="213"/>
      <c r="C12" s="210"/>
      <c r="D12" s="210"/>
      <c r="E12" s="186" t="s">
        <v>59</v>
      </c>
      <c r="F12" s="186" t="s">
        <v>310</v>
      </c>
      <c r="G12" s="186" t="s">
        <v>247</v>
      </c>
      <c r="H12" s="186" t="s">
        <v>243</v>
      </c>
      <c r="I12" s="186"/>
      <c r="J12" s="186">
        <v>143</v>
      </c>
      <c r="K12" s="186" t="s">
        <v>682</v>
      </c>
      <c r="L12" s="186" t="s">
        <v>3908</v>
      </c>
      <c r="M12" s="186" t="s">
        <v>509</v>
      </c>
      <c r="N12" s="186"/>
      <c r="O12" s="186"/>
      <c r="P12" s="186" t="s">
        <v>3919</v>
      </c>
      <c r="Q12" s="186"/>
      <c r="R12" s="289" t="s">
        <v>1346</v>
      </c>
      <c r="S12" s="186" t="s">
        <v>1949</v>
      </c>
      <c r="T12" s="186" t="s">
        <v>1394</v>
      </c>
      <c r="U12" s="186"/>
      <c r="V12" s="186"/>
      <c r="W12" s="186"/>
      <c r="X12">
        <v>10</v>
      </c>
      <c r="Z12" t="s">
        <v>1920</v>
      </c>
      <c r="AA12" s="30">
        <v>43449</v>
      </c>
    </row>
    <row r="13" spans="1:28" ht="18.75" customHeight="1">
      <c r="A13" s="213"/>
      <c r="B13" s="213"/>
      <c r="C13" s="210"/>
      <c r="D13" s="210"/>
      <c r="E13" s="186" t="s">
        <v>61</v>
      </c>
      <c r="F13" s="186" t="s">
        <v>126</v>
      </c>
      <c r="G13" s="186" t="s">
        <v>242</v>
      </c>
      <c r="H13" s="186" t="s">
        <v>243</v>
      </c>
      <c r="I13" s="186"/>
      <c r="J13" s="186">
        <v>155</v>
      </c>
      <c r="K13" s="186" t="s">
        <v>682</v>
      </c>
      <c r="L13" s="186" t="s">
        <v>3908</v>
      </c>
      <c r="M13" s="186" t="s">
        <v>314</v>
      </c>
      <c r="N13" s="186" t="s">
        <v>1580</v>
      </c>
      <c r="O13" s="186" t="s">
        <v>2156</v>
      </c>
      <c r="P13" s="186" t="s">
        <v>3920</v>
      </c>
      <c r="Q13" s="186"/>
      <c r="R13" s="186" t="s">
        <v>2158</v>
      </c>
      <c r="S13" s="186" t="s">
        <v>2159</v>
      </c>
      <c r="T13" s="186" t="s">
        <v>1584</v>
      </c>
      <c r="U13" s="186"/>
      <c r="V13" s="186"/>
      <c r="W13" s="186"/>
      <c r="X13">
        <v>11</v>
      </c>
      <c r="Z13" t="s">
        <v>1920</v>
      </c>
      <c r="AA13" s="30">
        <v>43449</v>
      </c>
    </row>
    <row r="14" spans="1:28" ht="18.75" customHeight="1">
      <c r="A14" s="213"/>
      <c r="B14" s="213"/>
      <c r="C14" s="210" t="s">
        <v>1548</v>
      </c>
      <c r="D14" s="210">
        <v>1</v>
      </c>
      <c r="E14" s="186" t="s">
        <v>61</v>
      </c>
      <c r="F14" s="186" t="s">
        <v>152</v>
      </c>
      <c r="G14" s="186" t="s">
        <v>247</v>
      </c>
      <c r="H14" s="186" t="s">
        <v>243</v>
      </c>
      <c r="I14" s="186"/>
      <c r="J14" s="186">
        <v>154</v>
      </c>
      <c r="K14" s="186" t="s">
        <v>682</v>
      </c>
      <c r="L14" s="186" t="s">
        <v>3908</v>
      </c>
      <c r="M14" s="186" t="s">
        <v>315</v>
      </c>
      <c r="N14" s="186" t="s">
        <v>1604</v>
      </c>
      <c r="O14" s="186" t="s">
        <v>2333</v>
      </c>
      <c r="P14" s="186" t="s">
        <v>3921</v>
      </c>
      <c r="Q14" s="186"/>
      <c r="R14" s="289" t="s">
        <v>1346</v>
      </c>
      <c r="S14" s="186"/>
      <c r="T14" s="186" t="s">
        <v>1686</v>
      </c>
      <c r="U14" s="186"/>
      <c r="V14" s="186"/>
      <c r="W14" s="186"/>
      <c r="X14">
        <v>12</v>
      </c>
      <c r="Z14" t="s">
        <v>1920</v>
      </c>
      <c r="AA14" s="30">
        <v>43449</v>
      </c>
    </row>
    <row r="15" spans="1:28" ht="18.75" customHeight="1">
      <c r="A15" s="213"/>
      <c r="B15" s="213"/>
      <c r="C15" s="210" t="s">
        <v>1589</v>
      </c>
      <c r="D15" s="210">
        <v>1</v>
      </c>
      <c r="E15" s="186" t="s">
        <v>59</v>
      </c>
      <c r="F15" s="186" t="s">
        <v>316</v>
      </c>
      <c r="G15" s="186" t="s">
        <v>264</v>
      </c>
      <c r="H15" s="186" t="s">
        <v>243</v>
      </c>
      <c r="I15" s="186"/>
      <c r="J15" s="186">
        <v>157</v>
      </c>
      <c r="K15" s="186" t="s">
        <v>682</v>
      </c>
      <c r="L15" s="186" t="s">
        <v>3908</v>
      </c>
      <c r="M15" s="186" t="s">
        <v>510</v>
      </c>
      <c r="N15" s="186" t="s">
        <v>1604</v>
      </c>
      <c r="O15" s="186" t="s">
        <v>1589</v>
      </c>
      <c r="P15" s="186" t="s">
        <v>3921</v>
      </c>
      <c r="Q15" s="186" t="s">
        <v>2399</v>
      </c>
      <c r="R15" s="289" t="s">
        <v>1346</v>
      </c>
      <c r="S15" s="186"/>
      <c r="T15" s="186" t="s">
        <v>1589</v>
      </c>
      <c r="U15" s="186"/>
      <c r="V15" s="186"/>
      <c r="W15" s="186"/>
      <c r="X15">
        <v>13</v>
      </c>
      <c r="Z15" t="s">
        <v>1920</v>
      </c>
      <c r="AA15" s="30">
        <v>43449</v>
      </c>
    </row>
    <row r="16" spans="1:28" ht="18.75" customHeight="1">
      <c r="A16" s="213"/>
      <c r="B16" s="213"/>
      <c r="C16" s="210" t="s">
        <v>1525</v>
      </c>
      <c r="D16" s="210">
        <v>1</v>
      </c>
      <c r="E16" s="186" t="s">
        <v>59</v>
      </c>
      <c r="F16" s="186" t="s">
        <v>318</v>
      </c>
      <c r="G16" s="186" t="s">
        <v>264</v>
      </c>
      <c r="H16" s="186" t="s">
        <v>243</v>
      </c>
      <c r="I16" s="186"/>
      <c r="J16" s="186">
        <v>158</v>
      </c>
      <c r="K16" s="186" t="s">
        <v>682</v>
      </c>
      <c r="L16" s="186" t="s">
        <v>3908</v>
      </c>
      <c r="M16" s="186" t="s">
        <v>511</v>
      </c>
      <c r="N16" s="186" t="s">
        <v>1604</v>
      </c>
      <c r="O16" s="186" t="s">
        <v>1525</v>
      </c>
      <c r="P16" s="186" t="s">
        <v>3922</v>
      </c>
      <c r="Q16" s="186" t="s">
        <v>2128</v>
      </c>
      <c r="R16" s="289" t="s">
        <v>1346</v>
      </c>
      <c r="S16" s="186">
        <v>261941306</v>
      </c>
      <c r="T16" s="186" t="s">
        <v>318</v>
      </c>
      <c r="U16" s="186"/>
      <c r="V16" s="186"/>
      <c r="W16" s="186"/>
      <c r="X16">
        <v>14</v>
      </c>
      <c r="Z16" t="s">
        <v>1920</v>
      </c>
      <c r="AA16" s="30">
        <v>43449</v>
      </c>
    </row>
    <row r="17" spans="1:28" ht="18.75" customHeight="1">
      <c r="A17" s="213"/>
      <c r="B17" s="213"/>
      <c r="C17" s="210" t="s">
        <v>1569</v>
      </c>
      <c r="D17" s="210">
        <v>1</v>
      </c>
      <c r="E17" s="186" t="s">
        <v>59</v>
      </c>
      <c r="F17" s="186" t="s">
        <v>320</v>
      </c>
      <c r="G17" s="186" t="s">
        <v>264</v>
      </c>
      <c r="H17" s="186" t="s">
        <v>243</v>
      </c>
      <c r="I17" s="186"/>
      <c r="J17" s="186">
        <v>160</v>
      </c>
      <c r="K17" s="186" t="s">
        <v>682</v>
      </c>
      <c r="L17" s="186" t="s">
        <v>3908</v>
      </c>
      <c r="M17" s="388" t="s">
        <v>2362</v>
      </c>
      <c r="N17" s="186" t="s">
        <v>1604</v>
      </c>
      <c r="O17" s="186" t="s">
        <v>1569</v>
      </c>
      <c r="P17" s="186" t="s">
        <v>3923</v>
      </c>
      <c r="Q17" s="186" t="s">
        <v>2364</v>
      </c>
      <c r="R17" s="289" t="s">
        <v>1346</v>
      </c>
      <c r="S17" s="186"/>
      <c r="T17" s="186" t="s">
        <v>320</v>
      </c>
      <c r="U17" s="186"/>
      <c r="V17" s="186"/>
      <c r="W17" s="186"/>
      <c r="X17">
        <v>15</v>
      </c>
      <c r="Z17" t="s">
        <v>1920</v>
      </c>
      <c r="AA17" s="30">
        <v>43449</v>
      </c>
      <c r="AB17" t="s">
        <v>1985</v>
      </c>
    </row>
    <row r="18" spans="1:28" ht="18.75" customHeight="1">
      <c r="A18" s="213"/>
      <c r="B18" s="213"/>
      <c r="C18" s="210"/>
      <c r="D18" s="210"/>
      <c r="E18" s="186" t="s">
        <v>59</v>
      </c>
      <c r="F18" s="186" t="s">
        <v>322</v>
      </c>
      <c r="G18" s="186" t="s">
        <v>264</v>
      </c>
      <c r="H18" s="186" t="s">
        <v>243</v>
      </c>
      <c r="I18" s="186"/>
      <c r="J18" s="186">
        <v>159</v>
      </c>
      <c r="K18" s="186" t="s">
        <v>682</v>
      </c>
      <c r="L18" s="186" t="s">
        <v>3908</v>
      </c>
      <c r="M18" s="186" t="s">
        <v>513</v>
      </c>
      <c r="N18" s="186" t="s">
        <v>1604</v>
      </c>
      <c r="O18" s="186" t="s">
        <v>322</v>
      </c>
      <c r="P18" s="186" t="s">
        <v>3924</v>
      </c>
      <c r="Q18" s="186" t="s">
        <v>2233</v>
      </c>
      <c r="R18" s="289" t="s">
        <v>1346</v>
      </c>
      <c r="S18" s="186" t="s">
        <v>2234</v>
      </c>
      <c r="T18" s="186" t="s">
        <v>322</v>
      </c>
      <c r="U18" s="186"/>
      <c r="V18" s="186"/>
      <c r="W18" s="186"/>
      <c r="X18">
        <v>16</v>
      </c>
      <c r="Z18" t="s">
        <v>1920</v>
      </c>
      <c r="AA18" s="30">
        <v>43449</v>
      </c>
    </row>
    <row r="19" spans="1:28" ht="18.75" customHeight="1">
      <c r="A19" s="213"/>
      <c r="B19" s="213"/>
      <c r="C19" s="210" t="s">
        <v>47</v>
      </c>
      <c r="D19" s="210">
        <v>1</v>
      </c>
      <c r="E19" s="186" t="s">
        <v>61</v>
      </c>
      <c r="F19" s="186" t="s">
        <v>153</v>
      </c>
      <c r="G19" s="186" t="s">
        <v>324</v>
      </c>
      <c r="H19" s="186" t="s">
        <v>243</v>
      </c>
      <c r="I19" s="186"/>
      <c r="J19" s="186">
        <v>156</v>
      </c>
      <c r="K19" s="186" t="s">
        <v>682</v>
      </c>
      <c r="L19" s="186" t="s">
        <v>3908</v>
      </c>
      <c r="M19" s="186" t="s">
        <v>325</v>
      </c>
      <c r="N19" s="186" t="s">
        <v>1736</v>
      </c>
      <c r="O19" s="186" t="s">
        <v>2348</v>
      </c>
      <c r="P19" s="186" t="s">
        <v>3925</v>
      </c>
      <c r="Q19" s="186"/>
      <c r="R19" s="289" t="s">
        <v>1346</v>
      </c>
      <c r="S19" s="186"/>
      <c r="T19" s="186" t="s">
        <v>1740</v>
      </c>
      <c r="U19" s="186"/>
      <c r="V19" s="186"/>
      <c r="W19" s="186"/>
      <c r="X19">
        <v>17</v>
      </c>
      <c r="Z19" t="s">
        <v>1920</v>
      </c>
      <c r="AA19" s="30">
        <v>43449</v>
      </c>
    </row>
    <row r="20" spans="1:28" ht="18.75" customHeight="1">
      <c r="A20" s="213"/>
      <c r="B20" s="213"/>
      <c r="C20" s="210"/>
      <c r="D20" s="210"/>
      <c r="E20" s="186" t="s">
        <v>61</v>
      </c>
      <c r="F20" s="186" t="s">
        <v>129</v>
      </c>
      <c r="G20" s="186" t="s">
        <v>250</v>
      </c>
      <c r="H20" s="186" t="s">
        <v>243</v>
      </c>
      <c r="I20" s="186"/>
      <c r="J20" s="186">
        <v>83</v>
      </c>
      <c r="K20" s="186" t="s">
        <v>682</v>
      </c>
      <c r="L20" s="186" t="s">
        <v>3908</v>
      </c>
      <c r="M20" s="186" t="s">
        <v>514</v>
      </c>
      <c r="N20" s="186" t="s">
        <v>1554</v>
      </c>
      <c r="O20" s="186" t="s">
        <v>2251</v>
      </c>
      <c r="P20" s="186" t="s">
        <v>3909</v>
      </c>
      <c r="Q20" s="186"/>
      <c r="R20" s="186"/>
      <c r="S20" s="186" t="s">
        <v>1201</v>
      </c>
      <c r="T20" s="186" t="s">
        <v>2253</v>
      </c>
      <c r="U20" s="186"/>
      <c r="V20" s="186"/>
      <c r="W20" s="186"/>
      <c r="X20">
        <v>18</v>
      </c>
      <c r="Z20" t="s">
        <v>1920</v>
      </c>
      <c r="AA20" s="30">
        <v>43449</v>
      </c>
    </row>
    <row r="21" spans="1:28" ht="18.75" customHeight="1">
      <c r="A21" s="213"/>
      <c r="B21" s="213"/>
      <c r="C21" s="210"/>
      <c r="D21" s="210"/>
      <c r="E21" s="186" t="s">
        <v>59</v>
      </c>
      <c r="F21" s="186" t="s">
        <v>341</v>
      </c>
      <c r="G21" s="186" t="s">
        <v>247</v>
      </c>
      <c r="H21" s="186" t="s">
        <v>243</v>
      </c>
      <c r="I21" s="186"/>
      <c r="J21" s="186">
        <v>151</v>
      </c>
      <c r="K21" s="186" t="s">
        <v>682</v>
      </c>
      <c r="L21" s="186" t="s">
        <v>3908</v>
      </c>
      <c r="M21" s="186" t="s">
        <v>342</v>
      </c>
      <c r="N21" s="186" t="s">
        <v>1554</v>
      </c>
      <c r="O21" s="186" t="s">
        <v>2120</v>
      </c>
      <c r="P21" s="186" t="s">
        <v>3909</v>
      </c>
      <c r="Q21" s="186"/>
      <c r="R21" s="289" t="s">
        <v>1346</v>
      </c>
      <c r="S21" s="186" t="s">
        <v>1252</v>
      </c>
      <c r="T21" s="186" t="s">
        <v>2122</v>
      </c>
      <c r="U21" s="186"/>
      <c r="V21" s="186"/>
      <c r="W21" s="186"/>
      <c r="X21">
        <v>19</v>
      </c>
      <c r="Z21" t="s">
        <v>1920</v>
      </c>
      <c r="AA21" s="30">
        <v>43449</v>
      </c>
    </row>
    <row r="22" spans="1:28" ht="18.75" customHeight="1">
      <c r="A22" s="213"/>
      <c r="B22" s="213"/>
      <c r="C22" s="210"/>
      <c r="D22" s="210"/>
      <c r="E22" s="186" t="s">
        <v>59</v>
      </c>
      <c r="F22" s="186" t="s">
        <v>343</v>
      </c>
      <c r="G22" s="186" t="s">
        <v>247</v>
      </c>
      <c r="H22" s="186" t="s">
        <v>243</v>
      </c>
      <c r="I22" s="186"/>
      <c r="J22" s="186">
        <v>152</v>
      </c>
      <c r="K22" s="186" t="s">
        <v>682</v>
      </c>
      <c r="L22" s="186" t="s">
        <v>3908</v>
      </c>
      <c r="M22" s="186" t="s">
        <v>344</v>
      </c>
      <c r="N22" s="186" t="s">
        <v>1554</v>
      </c>
      <c r="O22" s="186" t="s">
        <v>2123</v>
      </c>
      <c r="P22" s="186" t="s">
        <v>3909</v>
      </c>
      <c r="Q22" s="186"/>
      <c r="R22" s="289" t="s">
        <v>1346</v>
      </c>
      <c r="S22" s="186" t="s">
        <v>1252</v>
      </c>
      <c r="T22" s="186" t="s">
        <v>1560</v>
      </c>
      <c r="U22" s="186"/>
      <c r="V22" s="186"/>
      <c r="W22" s="186"/>
      <c r="X22">
        <v>20</v>
      </c>
      <c r="Z22" t="s">
        <v>1920</v>
      </c>
      <c r="AA22" s="30">
        <v>43449</v>
      </c>
    </row>
    <row r="23" spans="1:28" ht="18.75" customHeight="1">
      <c r="A23" s="213"/>
      <c r="B23" s="213"/>
      <c r="C23" s="210" t="s">
        <v>1552</v>
      </c>
      <c r="D23" s="210">
        <v>1</v>
      </c>
      <c r="E23" s="186" t="s">
        <v>59</v>
      </c>
      <c r="F23" s="186" t="s">
        <v>151</v>
      </c>
      <c r="G23" s="186" t="s">
        <v>247</v>
      </c>
      <c r="H23" s="186" t="s">
        <v>243</v>
      </c>
      <c r="I23" s="186"/>
      <c r="J23" s="186">
        <v>147</v>
      </c>
      <c r="K23" s="186" t="s">
        <v>682</v>
      </c>
      <c r="L23" s="186" t="s">
        <v>3908</v>
      </c>
      <c r="M23" s="186" t="s">
        <v>515</v>
      </c>
      <c r="N23" s="186" t="s">
        <v>1390</v>
      </c>
      <c r="O23" s="186" t="s">
        <v>2357</v>
      </c>
      <c r="P23" s="186" t="s">
        <v>3926</v>
      </c>
      <c r="Q23" s="186"/>
      <c r="R23" s="289" t="s">
        <v>1346</v>
      </c>
      <c r="S23" s="186"/>
      <c r="T23" s="186" t="s">
        <v>1752</v>
      </c>
      <c r="U23" s="186"/>
      <c r="V23" s="186"/>
      <c r="W23" s="186"/>
      <c r="X23">
        <v>21</v>
      </c>
      <c r="Z23" t="s">
        <v>1920</v>
      </c>
      <c r="AA23" s="30">
        <v>43449</v>
      </c>
    </row>
    <row r="24" spans="1:28" ht="18.75" customHeight="1">
      <c r="A24" s="213"/>
      <c r="B24" s="213"/>
      <c r="C24" s="210"/>
      <c r="D24" s="210"/>
      <c r="E24" s="186" t="s">
        <v>59</v>
      </c>
      <c r="F24" s="186" t="s">
        <v>349</v>
      </c>
      <c r="G24" s="186" t="s">
        <v>247</v>
      </c>
      <c r="H24" s="186" t="s">
        <v>243</v>
      </c>
      <c r="I24" s="186"/>
      <c r="J24" s="186">
        <v>148</v>
      </c>
      <c r="K24" s="186" t="s">
        <v>682</v>
      </c>
      <c r="L24" s="186" t="s">
        <v>3908</v>
      </c>
      <c r="M24" s="186" t="s">
        <v>516</v>
      </c>
      <c r="N24" s="186" t="s">
        <v>1390</v>
      </c>
      <c r="O24" s="186" t="s">
        <v>2359</v>
      </c>
      <c r="P24" s="186" t="s">
        <v>3927</v>
      </c>
      <c r="Q24" s="186"/>
      <c r="R24" s="289" t="s">
        <v>1346</v>
      </c>
      <c r="S24" s="186"/>
      <c r="T24" s="186" t="s">
        <v>1756</v>
      </c>
      <c r="U24" s="186"/>
      <c r="V24" s="186"/>
      <c r="W24" s="186"/>
      <c r="X24">
        <v>22</v>
      </c>
      <c r="Z24" t="s">
        <v>1920</v>
      </c>
      <c r="AA24" s="30">
        <v>43449</v>
      </c>
    </row>
    <row r="25" spans="1:28" ht="18.75" customHeight="1">
      <c r="A25" s="213"/>
      <c r="B25" s="213"/>
      <c r="C25" s="210"/>
      <c r="D25" s="210"/>
      <c r="E25" s="186" t="s">
        <v>59</v>
      </c>
      <c r="F25" s="186" t="s">
        <v>351</v>
      </c>
      <c r="G25" s="186" t="s">
        <v>247</v>
      </c>
      <c r="H25" s="186" t="s">
        <v>243</v>
      </c>
      <c r="I25" s="186"/>
      <c r="J25" s="186">
        <v>149</v>
      </c>
      <c r="K25" s="186" t="s">
        <v>682</v>
      </c>
      <c r="L25" s="186" t="s">
        <v>3908</v>
      </c>
      <c r="M25" s="186" t="s">
        <v>517</v>
      </c>
      <c r="N25" s="186" t="s">
        <v>1390</v>
      </c>
      <c r="O25" s="186" t="s">
        <v>2360</v>
      </c>
      <c r="P25" s="186" t="s">
        <v>3928</v>
      </c>
      <c r="Q25" s="186"/>
      <c r="R25" s="289" t="s">
        <v>1346</v>
      </c>
      <c r="S25" s="186"/>
      <c r="T25" s="186" t="s">
        <v>2361</v>
      </c>
      <c r="U25" s="186"/>
      <c r="V25" s="186"/>
      <c r="W25" s="186"/>
      <c r="X25">
        <v>23</v>
      </c>
      <c r="Z25" t="s">
        <v>1920</v>
      </c>
      <c r="AA25" s="30">
        <v>43449</v>
      </c>
    </row>
    <row r="26" spans="1:28" ht="18.75" customHeight="1">
      <c r="A26" s="213"/>
      <c r="B26" s="213"/>
      <c r="C26" s="210"/>
      <c r="D26" s="210"/>
      <c r="E26" s="186" t="s">
        <v>59</v>
      </c>
      <c r="F26" s="186" t="s">
        <v>353</v>
      </c>
      <c r="G26" s="186" t="s">
        <v>346</v>
      </c>
      <c r="H26" s="186" t="s">
        <v>243</v>
      </c>
      <c r="I26" s="186"/>
      <c r="J26" s="186">
        <v>162</v>
      </c>
      <c r="K26" s="186" t="s">
        <v>682</v>
      </c>
      <c r="L26" s="186" t="s">
        <v>3908</v>
      </c>
      <c r="M26" s="186" t="s">
        <v>354</v>
      </c>
      <c r="N26" s="186" t="s">
        <v>1663</v>
      </c>
      <c r="O26" s="186" t="s">
        <v>2300</v>
      </c>
      <c r="P26" s="186" t="s">
        <v>3929</v>
      </c>
      <c r="Q26" s="186" t="s">
        <v>2302</v>
      </c>
      <c r="R26" s="289" t="s">
        <v>1346</v>
      </c>
      <c r="S26" s="186"/>
      <c r="T26" s="186" t="s">
        <v>1665</v>
      </c>
      <c r="U26" s="186"/>
      <c r="V26" s="186"/>
      <c r="W26" s="186"/>
      <c r="X26">
        <v>24</v>
      </c>
      <c r="Z26" t="s">
        <v>1920</v>
      </c>
      <c r="AA26" s="30">
        <v>43449</v>
      </c>
    </row>
    <row r="27" spans="1:28" ht="18.75" customHeight="1">
      <c r="A27" s="213"/>
      <c r="B27" s="213"/>
      <c r="C27" s="210"/>
      <c r="D27" s="210"/>
      <c r="E27" s="186" t="s">
        <v>55</v>
      </c>
      <c r="F27" s="186" t="s">
        <v>355</v>
      </c>
      <c r="G27" s="186" t="s">
        <v>346</v>
      </c>
      <c r="H27" s="186" t="s">
        <v>243</v>
      </c>
      <c r="I27" s="186"/>
      <c r="J27" s="186">
        <v>153</v>
      </c>
      <c r="K27" s="186" t="s">
        <v>682</v>
      </c>
      <c r="L27" s="186" t="s">
        <v>3908</v>
      </c>
      <c r="M27" s="186" t="s">
        <v>356</v>
      </c>
      <c r="N27" s="186" t="s">
        <v>1663</v>
      </c>
      <c r="O27" s="186" t="s">
        <v>1765</v>
      </c>
      <c r="P27" s="186" t="s">
        <v>3930</v>
      </c>
      <c r="Q27" s="186"/>
      <c r="R27" s="289" t="s">
        <v>1346</v>
      </c>
      <c r="S27" s="186"/>
      <c r="T27" s="186" t="s">
        <v>1765</v>
      </c>
      <c r="U27" s="186"/>
      <c r="V27" s="186"/>
      <c r="W27" s="186"/>
      <c r="X27">
        <v>25</v>
      </c>
      <c r="Z27" t="s">
        <v>1920</v>
      </c>
      <c r="AA27" s="30">
        <v>43449</v>
      </c>
    </row>
    <row r="28" spans="1:28" ht="18.75" customHeight="1">
      <c r="A28" s="213"/>
      <c r="B28" s="213"/>
      <c r="C28" s="210"/>
      <c r="D28" s="210"/>
      <c r="E28" s="186" t="s">
        <v>59</v>
      </c>
      <c r="F28" s="186" t="s">
        <v>361</v>
      </c>
      <c r="G28" s="186" t="s">
        <v>252</v>
      </c>
      <c r="H28" s="186" t="s">
        <v>243</v>
      </c>
      <c r="I28" s="186"/>
      <c r="J28" s="186">
        <v>161</v>
      </c>
      <c r="K28" s="186" t="s">
        <v>682</v>
      </c>
      <c r="L28" s="186" t="s">
        <v>3908</v>
      </c>
      <c r="M28" s="186" t="s">
        <v>518</v>
      </c>
      <c r="N28" s="186" t="s">
        <v>1925</v>
      </c>
      <c r="O28" s="186" t="s">
        <v>2229</v>
      </c>
      <c r="P28" s="186" t="s">
        <v>3916</v>
      </c>
      <c r="Q28" s="186"/>
      <c r="R28" s="289" t="s">
        <v>1346</v>
      </c>
      <c r="S28" s="186"/>
      <c r="T28" s="186" t="s">
        <v>2231</v>
      </c>
      <c r="U28" s="186"/>
      <c r="V28" s="186"/>
      <c r="W28" s="186"/>
      <c r="X28">
        <v>26</v>
      </c>
      <c r="Z28" t="s">
        <v>1920</v>
      </c>
      <c r="AA28" s="30">
        <v>43449</v>
      </c>
    </row>
    <row r="29" spans="1:28" ht="18.75" customHeight="1">
      <c r="A29" s="213"/>
      <c r="B29" s="213"/>
      <c r="C29" s="210"/>
      <c r="D29" s="210"/>
      <c r="E29" s="186" t="s">
        <v>59</v>
      </c>
      <c r="F29" s="186" t="s">
        <v>363</v>
      </c>
      <c r="G29" s="186" t="s">
        <v>364</v>
      </c>
      <c r="H29" s="186" t="s">
        <v>243</v>
      </c>
      <c r="I29" s="186"/>
      <c r="J29" s="186">
        <v>150</v>
      </c>
      <c r="K29" s="186" t="s">
        <v>682</v>
      </c>
      <c r="L29" s="186" t="s">
        <v>3908</v>
      </c>
      <c r="M29" s="186" t="s">
        <v>519</v>
      </c>
      <c r="N29" s="186" t="s">
        <v>1921</v>
      </c>
      <c r="O29" s="186" t="s">
        <v>2125</v>
      </c>
      <c r="P29" s="186" t="s">
        <v>3916</v>
      </c>
      <c r="Q29" s="186"/>
      <c r="R29" s="289" t="s">
        <v>1346</v>
      </c>
      <c r="S29" s="186">
        <v>2.17</v>
      </c>
      <c r="T29" s="186" t="s">
        <v>1564</v>
      </c>
      <c r="U29" s="186"/>
      <c r="V29" s="186"/>
      <c r="W29" s="186"/>
      <c r="X29">
        <v>27</v>
      </c>
      <c r="Z29" t="s">
        <v>1920</v>
      </c>
      <c r="AA29" s="30">
        <v>43449</v>
      </c>
    </row>
    <row r="30" spans="1:28" ht="18.75" customHeight="1">
      <c r="A30" s="213"/>
      <c r="B30" s="213"/>
      <c r="C30" s="210"/>
      <c r="D30" s="210"/>
      <c r="E30" s="186" t="s">
        <v>55</v>
      </c>
      <c r="F30" s="186" t="s">
        <v>376</v>
      </c>
      <c r="G30" s="186" t="s">
        <v>247</v>
      </c>
      <c r="H30" s="186" t="s">
        <v>243</v>
      </c>
      <c r="I30" s="186"/>
      <c r="J30" s="186">
        <v>144</v>
      </c>
      <c r="K30" s="186" t="s">
        <v>682</v>
      </c>
      <c r="L30" s="186" t="s">
        <v>3908</v>
      </c>
      <c r="M30" s="186" t="s">
        <v>377</v>
      </c>
      <c r="N30" s="186" t="s">
        <v>1390</v>
      </c>
      <c r="O30" s="186" t="s">
        <v>1958</v>
      </c>
      <c r="P30" s="186" t="s">
        <v>3916</v>
      </c>
      <c r="Q30" s="186"/>
      <c r="R30" s="186"/>
      <c r="S30" s="186"/>
      <c r="T30" s="186" t="s">
        <v>1412</v>
      </c>
      <c r="U30" s="186"/>
      <c r="V30" s="186"/>
      <c r="W30" s="186"/>
      <c r="X30">
        <v>28</v>
      </c>
      <c r="Z30" t="s">
        <v>1920</v>
      </c>
      <c r="AA30" s="30">
        <v>43449</v>
      </c>
    </row>
    <row r="31" spans="1:28" ht="18.75" customHeight="1">
      <c r="A31" s="213"/>
      <c r="B31" s="213"/>
      <c r="C31" s="210"/>
      <c r="D31" s="210"/>
      <c r="E31" s="186" t="s">
        <v>59</v>
      </c>
      <c r="F31" s="186" t="s">
        <v>520</v>
      </c>
      <c r="G31" s="186" t="s">
        <v>252</v>
      </c>
      <c r="H31" s="186" t="s">
        <v>243</v>
      </c>
      <c r="I31" s="186"/>
      <c r="J31" s="186">
        <v>145</v>
      </c>
      <c r="K31" s="186" t="s">
        <v>682</v>
      </c>
      <c r="L31" s="186" t="s">
        <v>3908</v>
      </c>
      <c r="M31" s="186" t="s">
        <v>521</v>
      </c>
      <c r="N31" s="186" t="s">
        <v>1925</v>
      </c>
      <c r="O31" s="186" t="s">
        <v>2105</v>
      </c>
      <c r="P31" s="186" t="s">
        <v>3916</v>
      </c>
      <c r="Q31" s="186"/>
      <c r="R31" s="186"/>
      <c r="S31" s="186"/>
      <c r="T31" s="186" t="s">
        <v>1547</v>
      </c>
      <c r="U31" s="186"/>
      <c r="V31" s="186"/>
      <c r="W31" s="186"/>
      <c r="X31">
        <v>29</v>
      </c>
      <c r="Z31" t="s">
        <v>1920</v>
      </c>
      <c r="AA31" s="30">
        <v>43449</v>
      </c>
    </row>
    <row r="32" spans="1:28" ht="18.75" customHeight="1">
      <c r="A32" s="213"/>
      <c r="B32" s="213"/>
      <c r="C32" s="210"/>
      <c r="D32" s="210"/>
      <c r="E32" s="186" t="s">
        <v>59</v>
      </c>
      <c r="F32" s="186" t="s">
        <v>522</v>
      </c>
      <c r="G32" s="186" t="s">
        <v>329</v>
      </c>
      <c r="H32" s="186" t="s">
        <v>243</v>
      </c>
      <c r="I32" s="186"/>
      <c r="J32" s="186">
        <v>146</v>
      </c>
      <c r="K32" s="186" t="s">
        <v>682</v>
      </c>
      <c r="L32" s="186" t="s">
        <v>3908</v>
      </c>
      <c r="M32" s="186" t="s">
        <v>523</v>
      </c>
      <c r="N32" s="186" t="s">
        <v>1921</v>
      </c>
      <c r="O32" s="186" t="s">
        <v>1549</v>
      </c>
      <c r="P32" s="186" t="s">
        <v>3931</v>
      </c>
      <c r="Q32" s="186"/>
      <c r="R32" s="186"/>
      <c r="S32" s="186"/>
      <c r="T32" s="186" t="s">
        <v>1549</v>
      </c>
      <c r="U32" s="186"/>
      <c r="V32" s="186"/>
      <c r="W32" s="186"/>
      <c r="X32">
        <v>30</v>
      </c>
      <c r="Z32" t="s">
        <v>1920</v>
      </c>
      <c r="AA32" s="30">
        <v>43449</v>
      </c>
    </row>
    <row r="33" spans="1:28" ht="18.75" customHeight="1">
      <c r="A33" s="213"/>
      <c r="B33" s="213"/>
      <c r="C33" s="210"/>
      <c r="D33" s="210"/>
      <c r="E33" s="186" t="s">
        <v>55</v>
      </c>
      <c r="F33" s="186" t="s">
        <v>524</v>
      </c>
      <c r="G33" s="186" t="s">
        <v>429</v>
      </c>
      <c r="H33" s="186" t="s">
        <v>243</v>
      </c>
      <c r="I33" s="186"/>
      <c r="J33" s="186">
        <v>128</v>
      </c>
      <c r="K33" s="186" t="s">
        <v>682</v>
      </c>
      <c r="L33" s="186" t="s">
        <v>3908</v>
      </c>
      <c r="M33" s="186" t="s">
        <v>525</v>
      </c>
      <c r="N33" s="186" t="s">
        <v>1593</v>
      </c>
      <c r="O33" s="186" t="s">
        <v>2428</v>
      </c>
      <c r="P33" s="186" t="s">
        <v>3932</v>
      </c>
      <c r="Q33" s="186"/>
      <c r="R33" s="186"/>
      <c r="S33" s="186"/>
      <c r="T33" s="186" t="s">
        <v>2430</v>
      </c>
      <c r="U33" s="186"/>
      <c r="V33" s="186"/>
      <c r="W33" s="186"/>
      <c r="X33">
        <v>31</v>
      </c>
      <c r="Z33" t="s">
        <v>1920</v>
      </c>
      <c r="AA33" s="30">
        <v>43449</v>
      </c>
    </row>
    <row r="34" spans="1:28" ht="18.75" customHeight="1">
      <c r="A34" s="213"/>
      <c r="B34" s="213"/>
      <c r="C34" s="210"/>
      <c r="D34" s="210"/>
      <c r="E34" s="186" t="s">
        <v>59</v>
      </c>
      <c r="F34" s="186" t="s">
        <v>378</v>
      </c>
      <c r="G34" s="186" t="s">
        <v>247</v>
      </c>
      <c r="H34" s="186" t="s">
        <v>243</v>
      </c>
      <c r="I34" s="186"/>
      <c r="J34" s="186">
        <v>166</v>
      </c>
      <c r="K34" s="186" t="s">
        <v>682</v>
      </c>
      <c r="L34" s="186" t="s">
        <v>3908</v>
      </c>
      <c r="M34" s="186" t="s">
        <v>526</v>
      </c>
      <c r="N34" s="186" t="s">
        <v>1604</v>
      </c>
      <c r="O34" s="186" t="s">
        <v>2420</v>
      </c>
      <c r="P34" s="186" t="s">
        <v>3916</v>
      </c>
      <c r="Q34" s="186" t="s">
        <v>2399</v>
      </c>
      <c r="R34" s="289" t="s">
        <v>1346</v>
      </c>
      <c r="S34" s="186"/>
      <c r="T34" s="186" t="s">
        <v>2422</v>
      </c>
      <c r="U34" s="186"/>
      <c r="V34" s="186"/>
      <c r="W34" s="186"/>
      <c r="X34">
        <v>32</v>
      </c>
      <c r="Z34" t="s">
        <v>1920</v>
      </c>
      <c r="AA34" s="30">
        <v>43449</v>
      </c>
    </row>
    <row r="35" spans="1:28" ht="18.75" customHeight="1">
      <c r="A35" s="213"/>
      <c r="B35" s="213"/>
      <c r="C35" s="210"/>
      <c r="D35" s="210"/>
      <c r="E35" s="186" t="s">
        <v>59</v>
      </c>
      <c r="F35" s="186" t="s">
        <v>380</v>
      </c>
      <c r="G35" s="186" t="s">
        <v>324</v>
      </c>
      <c r="H35" s="186" t="s">
        <v>243</v>
      </c>
      <c r="I35" s="186"/>
      <c r="J35" s="186">
        <v>167</v>
      </c>
      <c r="K35" s="186" t="s">
        <v>682</v>
      </c>
      <c r="L35" s="186" t="s">
        <v>3908</v>
      </c>
      <c r="M35" s="186" t="s">
        <v>381</v>
      </c>
      <c r="N35" s="186" t="s">
        <v>1736</v>
      </c>
      <c r="O35" s="186" t="s">
        <v>2423</v>
      </c>
      <c r="P35" s="186" t="s">
        <v>3916</v>
      </c>
      <c r="Q35" s="186"/>
      <c r="R35" s="289" t="s">
        <v>1346</v>
      </c>
      <c r="S35" s="186"/>
      <c r="T35" s="186" t="s">
        <v>1811</v>
      </c>
      <c r="U35" s="186"/>
      <c r="V35" s="186"/>
      <c r="W35" s="186"/>
      <c r="X35">
        <v>33</v>
      </c>
      <c r="Z35" t="s">
        <v>1920</v>
      </c>
      <c r="AA35" s="30">
        <v>43449</v>
      </c>
    </row>
    <row r="36" spans="1:28" ht="18.75" customHeight="1">
      <c r="A36" s="213"/>
      <c r="B36" s="213"/>
      <c r="C36" s="210"/>
      <c r="D36" s="210"/>
      <c r="E36" s="186" t="s">
        <v>55</v>
      </c>
      <c r="F36" s="186" t="s">
        <v>527</v>
      </c>
      <c r="G36" s="186" t="s">
        <v>255</v>
      </c>
      <c r="H36" s="186" t="s">
        <v>243</v>
      </c>
      <c r="I36" s="186"/>
      <c r="J36" s="72">
        <v>190</v>
      </c>
      <c r="K36" s="186" t="s">
        <v>682</v>
      </c>
      <c r="L36" s="186" t="s">
        <v>3908</v>
      </c>
      <c r="M36" s="186" t="s">
        <v>529</v>
      </c>
      <c r="N36" s="186" t="s">
        <v>1925</v>
      </c>
      <c r="O36" s="186" t="s">
        <v>1930</v>
      </c>
      <c r="P36" s="186" t="s">
        <v>3933</v>
      </c>
      <c r="Q36" s="186"/>
      <c r="R36" s="186"/>
      <c r="S36" s="186"/>
      <c r="T36" s="90" t="s">
        <v>1932</v>
      </c>
      <c r="U36" s="90"/>
      <c r="V36" s="90"/>
      <c r="W36" s="90"/>
      <c r="X36">
        <v>34</v>
      </c>
      <c r="Z36" t="s">
        <v>1920</v>
      </c>
      <c r="AA36" s="30">
        <v>43449</v>
      </c>
      <c r="AB36" t="s">
        <v>3934</v>
      </c>
    </row>
    <row r="37" spans="1:28" ht="18.75" customHeight="1">
      <c r="A37" s="213"/>
      <c r="B37" s="213"/>
      <c r="C37" s="210"/>
      <c r="D37" s="210"/>
      <c r="E37" s="186" t="s">
        <v>55</v>
      </c>
      <c r="F37" s="186" t="s">
        <v>530</v>
      </c>
      <c r="G37" s="186" t="s">
        <v>255</v>
      </c>
      <c r="H37" s="186" t="s">
        <v>243</v>
      </c>
      <c r="I37" s="186"/>
      <c r="J37" s="72">
        <v>191</v>
      </c>
      <c r="K37" s="186" t="s">
        <v>682</v>
      </c>
      <c r="L37" s="186" t="s">
        <v>3908</v>
      </c>
      <c r="M37" s="186" t="s">
        <v>531</v>
      </c>
      <c r="N37" s="186" t="s">
        <v>1925</v>
      </c>
      <c r="O37" s="186" t="s">
        <v>1926</v>
      </c>
      <c r="P37" s="186" t="s">
        <v>3916</v>
      </c>
      <c r="Q37" s="186"/>
      <c r="R37" s="186"/>
      <c r="S37" s="186"/>
      <c r="T37" s="90" t="s">
        <v>1928</v>
      </c>
      <c r="U37" s="90"/>
      <c r="V37" s="90"/>
      <c r="W37" s="90"/>
      <c r="X37">
        <v>35</v>
      </c>
      <c r="Z37" t="s">
        <v>1920</v>
      </c>
      <c r="AA37" s="30">
        <v>43449</v>
      </c>
      <c r="AB37" t="s">
        <v>3934</v>
      </c>
    </row>
    <row r="38" spans="1:28" ht="18.75" customHeight="1">
      <c r="A38" s="213"/>
      <c r="B38" s="213"/>
      <c r="C38" s="210"/>
      <c r="D38" s="210"/>
      <c r="E38" s="186" t="s">
        <v>55</v>
      </c>
      <c r="F38" s="186" t="s">
        <v>420</v>
      </c>
      <c r="G38" s="186" t="s">
        <v>329</v>
      </c>
      <c r="H38" s="186" t="s">
        <v>243</v>
      </c>
      <c r="I38" s="186"/>
      <c r="J38" s="186">
        <v>140</v>
      </c>
      <c r="K38" s="186" t="s">
        <v>682</v>
      </c>
      <c r="L38" s="186" t="s">
        <v>3908</v>
      </c>
      <c r="M38" s="186" t="s">
        <v>532</v>
      </c>
      <c r="N38" s="186" t="s">
        <v>1943</v>
      </c>
      <c r="O38" s="186" t="s">
        <v>1944</v>
      </c>
      <c r="P38" s="186" t="s">
        <v>3916</v>
      </c>
      <c r="Q38" s="186"/>
      <c r="R38" s="186"/>
      <c r="S38" s="186">
        <v>5.16</v>
      </c>
      <c r="T38" s="186" t="s">
        <v>1946</v>
      </c>
      <c r="U38" s="186"/>
      <c r="V38" s="186"/>
      <c r="W38" s="186"/>
      <c r="X38">
        <v>36</v>
      </c>
      <c r="Z38" t="s">
        <v>1920</v>
      </c>
      <c r="AA38" s="30">
        <v>43449</v>
      </c>
    </row>
    <row r="39" spans="1:28" ht="18.75" customHeight="1">
      <c r="A39" s="213"/>
      <c r="B39" s="213"/>
      <c r="C39" s="210"/>
      <c r="D39" s="210"/>
      <c r="E39" s="186" t="s">
        <v>61</v>
      </c>
      <c r="F39" s="186" t="s">
        <v>533</v>
      </c>
      <c r="G39" s="186" t="s">
        <v>242</v>
      </c>
      <c r="H39" s="186" t="s">
        <v>243</v>
      </c>
      <c r="I39" s="186"/>
      <c r="J39" s="186">
        <v>72</v>
      </c>
      <c r="K39" s="186" t="s">
        <v>682</v>
      </c>
      <c r="L39" s="186" t="s">
        <v>3908</v>
      </c>
      <c r="M39" s="186" t="s">
        <v>534</v>
      </c>
      <c r="N39" s="186" t="s">
        <v>1573</v>
      </c>
      <c r="O39" s="186" t="s">
        <v>2211</v>
      </c>
      <c r="P39" s="186" t="s">
        <v>3935</v>
      </c>
      <c r="Q39" s="186" t="s">
        <v>3936</v>
      </c>
      <c r="R39" s="186"/>
      <c r="S39" s="186">
        <v>521001236117</v>
      </c>
      <c r="T39" s="186" t="s">
        <v>2213</v>
      </c>
      <c r="U39" s="186"/>
      <c r="V39" s="186"/>
      <c r="W39" s="186"/>
      <c r="X39">
        <v>37</v>
      </c>
      <c r="Z39" t="s">
        <v>1920</v>
      </c>
      <c r="AA39" s="30">
        <v>43449</v>
      </c>
    </row>
    <row r="40" spans="1:28" ht="18.75" customHeight="1">
      <c r="A40" s="213"/>
      <c r="B40" s="213"/>
      <c r="C40" s="210"/>
      <c r="D40" s="210"/>
      <c r="E40" s="186" t="s">
        <v>59</v>
      </c>
      <c r="F40" s="186" t="s">
        <v>139</v>
      </c>
      <c r="G40" s="186" t="s">
        <v>535</v>
      </c>
      <c r="H40" s="186" t="s">
        <v>243</v>
      </c>
      <c r="I40" s="186"/>
      <c r="J40" s="186">
        <v>73</v>
      </c>
      <c r="K40" s="186" t="s">
        <v>682</v>
      </c>
      <c r="L40" s="186" t="s">
        <v>3908</v>
      </c>
      <c r="M40" s="186" t="s">
        <v>536</v>
      </c>
      <c r="N40" s="186" t="s">
        <v>1573</v>
      </c>
      <c r="O40" s="186" t="s">
        <v>2214</v>
      </c>
      <c r="P40" s="186" t="s">
        <v>3935</v>
      </c>
      <c r="Q40" s="186" t="s">
        <v>2216</v>
      </c>
      <c r="R40" s="186"/>
      <c r="S40" s="186"/>
      <c r="T40" s="186" t="s">
        <v>2217</v>
      </c>
      <c r="U40" s="186"/>
      <c r="V40" s="186"/>
      <c r="W40" s="186"/>
      <c r="X40">
        <v>38</v>
      </c>
      <c r="Z40" t="s">
        <v>1920</v>
      </c>
      <c r="AA40" s="30">
        <v>43449</v>
      </c>
    </row>
    <row r="41" spans="1:28" ht="18.75" customHeight="1">
      <c r="A41" s="213"/>
      <c r="B41" s="213"/>
      <c r="C41" s="210"/>
      <c r="D41" s="210"/>
      <c r="E41" s="186" t="s">
        <v>55</v>
      </c>
      <c r="F41" s="186" t="s">
        <v>537</v>
      </c>
      <c r="G41" s="186" t="s">
        <v>346</v>
      </c>
      <c r="H41" s="186" t="s">
        <v>243</v>
      </c>
      <c r="I41" s="186"/>
      <c r="J41" s="186">
        <v>98</v>
      </c>
      <c r="K41" s="186" t="s">
        <v>682</v>
      </c>
      <c r="L41" s="186" t="s">
        <v>3908</v>
      </c>
      <c r="M41" s="186" t="s">
        <v>538</v>
      </c>
      <c r="N41" s="186" t="s">
        <v>1573</v>
      </c>
      <c r="O41" s="186" t="s">
        <v>2303</v>
      </c>
      <c r="P41" s="186" t="s">
        <v>3935</v>
      </c>
      <c r="Q41" s="186" t="s">
        <v>2305</v>
      </c>
      <c r="R41" s="186"/>
      <c r="S41" s="186"/>
      <c r="T41" s="186" t="s">
        <v>2306</v>
      </c>
      <c r="U41" s="186"/>
      <c r="V41" s="186"/>
      <c r="W41" s="186"/>
      <c r="X41">
        <v>39</v>
      </c>
      <c r="Z41" t="s">
        <v>1920</v>
      </c>
      <c r="AA41" s="30">
        <v>43449</v>
      </c>
    </row>
    <row r="42" spans="1:28" ht="18.75" customHeight="1">
      <c r="A42" s="213"/>
      <c r="B42" s="213"/>
      <c r="C42" s="210"/>
      <c r="D42" s="210"/>
      <c r="E42" s="186" t="s">
        <v>55</v>
      </c>
      <c r="F42" s="186" t="s">
        <v>539</v>
      </c>
      <c r="G42" s="186" t="s">
        <v>242</v>
      </c>
      <c r="H42" s="186" t="s">
        <v>243</v>
      </c>
      <c r="I42" s="186"/>
      <c r="J42" s="186">
        <v>217</v>
      </c>
      <c r="K42" s="186" t="s">
        <v>682</v>
      </c>
      <c r="L42" s="186" t="s">
        <v>3908</v>
      </c>
      <c r="M42" s="186" t="s">
        <v>540</v>
      </c>
      <c r="N42" s="186" t="s">
        <v>1573</v>
      </c>
      <c r="O42" s="186" t="s">
        <v>2312</v>
      </c>
      <c r="P42" s="186" t="s">
        <v>3935</v>
      </c>
      <c r="Q42" s="186"/>
      <c r="R42" s="186"/>
      <c r="S42" s="186"/>
      <c r="T42" s="186" t="s">
        <v>2314</v>
      </c>
      <c r="U42" s="186"/>
      <c r="V42" s="186"/>
      <c r="W42" s="186"/>
      <c r="X42">
        <v>40</v>
      </c>
      <c r="Z42" t="s">
        <v>1920</v>
      </c>
      <c r="AA42" s="30">
        <v>43449</v>
      </c>
      <c r="AB42" t="s">
        <v>3934</v>
      </c>
    </row>
    <row r="43" spans="1:28" ht="18.75" customHeight="1">
      <c r="A43" s="213"/>
      <c r="B43" s="213"/>
      <c r="C43" s="210"/>
      <c r="D43" s="210"/>
      <c r="E43" s="186" t="s">
        <v>55</v>
      </c>
      <c r="F43" s="186" t="s">
        <v>541</v>
      </c>
      <c r="G43" s="186" t="s">
        <v>535</v>
      </c>
      <c r="H43" s="186" t="s">
        <v>243</v>
      </c>
      <c r="I43" s="186"/>
      <c r="J43" s="72">
        <v>171</v>
      </c>
      <c r="K43" s="186" t="s">
        <v>682</v>
      </c>
      <c r="L43" s="186" t="s">
        <v>3908</v>
      </c>
      <c r="M43" s="186" t="s">
        <v>542</v>
      </c>
      <c r="N43" s="186" t="s">
        <v>1573</v>
      </c>
      <c r="O43" s="186" t="s">
        <v>2312</v>
      </c>
      <c r="P43" s="186" t="s">
        <v>3935</v>
      </c>
      <c r="Q43" s="186"/>
      <c r="R43" s="186"/>
      <c r="S43" s="186"/>
      <c r="T43" s="90" t="s">
        <v>2315</v>
      </c>
      <c r="U43" s="90"/>
      <c r="V43" s="90"/>
      <c r="W43" s="90"/>
      <c r="X43">
        <v>41</v>
      </c>
      <c r="Z43" t="s">
        <v>1920</v>
      </c>
      <c r="AA43" s="30">
        <v>43449</v>
      </c>
      <c r="AB43" t="s">
        <v>3934</v>
      </c>
    </row>
    <row r="44" spans="1:28" ht="18.75" customHeight="1">
      <c r="A44" s="213"/>
      <c r="B44" s="213"/>
      <c r="C44" s="210"/>
      <c r="D44" s="210"/>
      <c r="E44" s="186" t="s">
        <v>59</v>
      </c>
      <c r="F44" s="186" t="s">
        <v>147</v>
      </c>
      <c r="G44" s="186" t="s">
        <v>242</v>
      </c>
      <c r="H44" s="186" t="s">
        <v>243</v>
      </c>
      <c r="I44" s="186"/>
      <c r="J44" s="186">
        <v>122</v>
      </c>
      <c r="K44" s="186" t="s">
        <v>682</v>
      </c>
      <c r="L44" s="186" t="s">
        <v>3908</v>
      </c>
      <c r="M44" s="186" t="s">
        <v>382</v>
      </c>
      <c r="N44" s="186" t="s">
        <v>1573</v>
      </c>
      <c r="O44" s="186" t="s">
        <v>2390</v>
      </c>
      <c r="P44" s="186" t="s">
        <v>3937</v>
      </c>
      <c r="Q44" s="186"/>
      <c r="R44" s="186"/>
      <c r="S44" s="186"/>
      <c r="T44" s="186" t="s">
        <v>2392</v>
      </c>
      <c r="U44" s="186"/>
      <c r="V44" s="186"/>
      <c r="W44" s="186"/>
      <c r="X44">
        <v>42</v>
      </c>
      <c r="Z44" t="s">
        <v>1920</v>
      </c>
      <c r="AA44" s="30">
        <v>43449</v>
      </c>
    </row>
    <row r="45" spans="1:28" ht="46.5" customHeight="1">
      <c r="A45" s="213"/>
      <c r="B45" s="213"/>
      <c r="C45" s="210" t="s">
        <v>226</v>
      </c>
      <c r="D45" s="210">
        <v>1</v>
      </c>
      <c r="E45" s="186" t="s">
        <v>61</v>
      </c>
      <c r="F45" s="186" t="s">
        <v>137</v>
      </c>
      <c r="G45" s="186" t="s">
        <v>346</v>
      </c>
      <c r="H45" s="186" t="s">
        <v>243</v>
      </c>
      <c r="I45" s="186"/>
      <c r="J45" s="186">
        <v>61</v>
      </c>
      <c r="K45" s="186" t="s">
        <v>682</v>
      </c>
      <c r="L45" s="186" t="s">
        <v>3908</v>
      </c>
      <c r="M45" s="186" t="s">
        <v>543</v>
      </c>
      <c r="N45" s="186" t="s">
        <v>1663</v>
      </c>
      <c r="O45" s="186" t="s">
        <v>2184</v>
      </c>
      <c r="P45" s="186" t="s">
        <v>3938</v>
      </c>
      <c r="Q45" s="186"/>
      <c r="R45" s="186"/>
      <c r="S45" s="186" t="s">
        <v>2186</v>
      </c>
      <c r="T45" s="186" t="s">
        <v>2187</v>
      </c>
      <c r="U45" s="186"/>
      <c r="V45" s="186"/>
      <c r="W45" s="186"/>
      <c r="X45">
        <v>43</v>
      </c>
      <c r="Z45" t="s">
        <v>1920</v>
      </c>
      <c r="AA45" s="30">
        <v>43449</v>
      </c>
    </row>
    <row r="46" spans="1:28" ht="18.75" customHeight="1">
      <c r="A46" s="213"/>
      <c r="B46" s="213"/>
      <c r="C46" s="210"/>
      <c r="D46" s="210"/>
      <c r="E46" s="186" t="s">
        <v>55</v>
      </c>
      <c r="F46" s="186" t="s">
        <v>544</v>
      </c>
      <c r="G46" s="186" t="s">
        <v>346</v>
      </c>
      <c r="H46" s="186" t="s">
        <v>243</v>
      </c>
      <c r="I46" s="186"/>
      <c r="J46" s="72">
        <v>204</v>
      </c>
      <c r="K46" s="186" t="s">
        <v>682</v>
      </c>
      <c r="L46" s="186" t="s">
        <v>3908</v>
      </c>
      <c r="M46" s="186" t="s">
        <v>545</v>
      </c>
      <c r="N46" s="186" t="s">
        <v>1390</v>
      </c>
      <c r="O46" s="186" t="s">
        <v>2180</v>
      </c>
      <c r="P46" s="186" t="s">
        <v>3939</v>
      </c>
      <c r="Q46" s="186"/>
      <c r="R46" s="186"/>
      <c r="S46" s="186" t="s">
        <v>2182</v>
      </c>
      <c r="T46" s="78" t="s">
        <v>2183</v>
      </c>
      <c r="U46" s="78"/>
      <c r="V46" s="78"/>
      <c r="W46" s="78"/>
      <c r="X46">
        <v>44</v>
      </c>
      <c r="Z46" t="s">
        <v>1920</v>
      </c>
      <c r="AA46" s="30">
        <v>43449</v>
      </c>
    </row>
    <row r="47" spans="1:28" ht="18.75" customHeight="1">
      <c r="A47" s="213"/>
      <c r="B47" s="213"/>
      <c r="C47" s="210"/>
      <c r="D47" s="210"/>
      <c r="E47" s="186" t="s">
        <v>55</v>
      </c>
      <c r="F47" s="186" t="s">
        <v>546</v>
      </c>
      <c r="G47" s="186" t="s">
        <v>346</v>
      </c>
      <c r="H47" s="186" t="s">
        <v>243</v>
      </c>
      <c r="I47" s="186"/>
      <c r="J47" s="186">
        <v>106</v>
      </c>
      <c r="K47" s="186" t="s">
        <v>682</v>
      </c>
      <c r="L47" s="186" t="s">
        <v>3908</v>
      </c>
      <c r="M47" s="186" t="s">
        <v>547</v>
      </c>
      <c r="N47" s="186" t="s">
        <v>1663</v>
      </c>
      <c r="O47" s="186" t="s">
        <v>2343</v>
      </c>
      <c r="P47" s="186" t="s">
        <v>3916</v>
      </c>
      <c r="Q47" s="186"/>
      <c r="R47" s="186"/>
      <c r="S47" s="186"/>
      <c r="T47" s="186" t="s">
        <v>2345</v>
      </c>
      <c r="U47" s="186"/>
      <c r="V47" s="186"/>
      <c r="W47" s="186"/>
      <c r="X47">
        <v>45</v>
      </c>
      <c r="Z47" t="s">
        <v>1920</v>
      </c>
      <c r="AA47" s="30">
        <v>43449</v>
      </c>
    </row>
    <row r="48" spans="1:28" ht="18.75" customHeight="1">
      <c r="A48" s="213"/>
      <c r="B48" s="213"/>
      <c r="C48" s="210"/>
      <c r="D48" s="210"/>
      <c r="E48" s="186" t="s">
        <v>59</v>
      </c>
      <c r="F48" s="186" t="s">
        <v>135</v>
      </c>
      <c r="G48" s="186" t="s">
        <v>346</v>
      </c>
      <c r="H48" s="186" t="s">
        <v>243</v>
      </c>
      <c r="I48" s="186"/>
      <c r="J48" s="186">
        <v>59</v>
      </c>
      <c r="K48" s="186" t="s">
        <v>682</v>
      </c>
      <c r="L48" s="186" t="s">
        <v>3908</v>
      </c>
      <c r="M48" s="186" t="s">
        <v>548</v>
      </c>
      <c r="N48" s="186" t="s">
        <v>1709</v>
      </c>
      <c r="O48" s="186" t="s">
        <v>2171</v>
      </c>
      <c r="P48" s="186" t="s">
        <v>3940</v>
      </c>
      <c r="Q48" s="186"/>
      <c r="R48" s="186"/>
      <c r="S48" s="186" t="s">
        <v>2172</v>
      </c>
      <c r="T48" s="186" t="s">
        <v>2173</v>
      </c>
      <c r="U48" s="186"/>
      <c r="V48" s="186"/>
      <c r="W48" s="186"/>
      <c r="X48">
        <v>46</v>
      </c>
      <c r="Z48" t="s">
        <v>1920</v>
      </c>
      <c r="AA48" s="30">
        <v>43449</v>
      </c>
      <c r="AB48" t="s">
        <v>3941</v>
      </c>
    </row>
    <row r="49" spans="1:28" ht="18.75" customHeight="1">
      <c r="A49" s="213"/>
      <c r="B49" s="213"/>
      <c r="C49" s="210"/>
      <c r="D49" s="210"/>
      <c r="E49" s="186" t="s">
        <v>59</v>
      </c>
      <c r="F49" s="186" t="s">
        <v>149</v>
      </c>
      <c r="G49" s="186" t="s">
        <v>242</v>
      </c>
      <c r="H49" s="186" t="s">
        <v>243</v>
      </c>
      <c r="I49" s="186"/>
      <c r="J49" s="186">
        <v>139</v>
      </c>
      <c r="K49" s="186" t="s">
        <v>682</v>
      </c>
      <c r="L49" s="186" t="s">
        <v>3908</v>
      </c>
      <c r="M49" s="186" t="s">
        <v>549</v>
      </c>
      <c r="N49" s="186" t="s">
        <v>1390</v>
      </c>
      <c r="O49" s="186" t="s">
        <v>2177</v>
      </c>
      <c r="P49" s="186" t="s">
        <v>3942</v>
      </c>
      <c r="Q49" s="186"/>
      <c r="R49" s="186"/>
      <c r="S49" s="186" t="s">
        <v>2178</v>
      </c>
      <c r="T49" s="186" t="s">
        <v>2179</v>
      </c>
      <c r="U49" s="186"/>
      <c r="V49" s="186"/>
      <c r="W49" s="186"/>
      <c r="X49">
        <v>47</v>
      </c>
      <c r="Z49" t="s">
        <v>1920</v>
      </c>
      <c r="AA49" s="30">
        <v>43449</v>
      </c>
    </row>
    <row r="50" spans="1:28" ht="18.75" customHeight="1">
      <c r="A50" s="213"/>
      <c r="B50" s="213"/>
      <c r="C50" s="210"/>
      <c r="D50" s="210"/>
      <c r="E50" s="186" t="s">
        <v>59</v>
      </c>
      <c r="F50" s="186" t="s">
        <v>550</v>
      </c>
      <c r="G50" s="186" t="s">
        <v>432</v>
      </c>
      <c r="H50" s="186" t="s">
        <v>243</v>
      </c>
      <c r="I50" s="186"/>
      <c r="J50" s="186">
        <v>55</v>
      </c>
      <c r="K50" s="186" t="s">
        <v>682</v>
      </c>
      <c r="L50" s="186" t="s">
        <v>3908</v>
      </c>
      <c r="M50" s="186" t="s">
        <v>551</v>
      </c>
      <c r="N50" s="186" t="s">
        <v>1593</v>
      </c>
      <c r="O50" s="186" t="s">
        <v>2150</v>
      </c>
      <c r="P50" s="186" t="s">
        <v>3916</v>
      </c>
      <c r="Q50" s="186"/>
      <c r="R50" s="186"/>
      <c r="S50" s="186" t="s">
        <v>680</v>
      </c>
      <c r="T50" s="186" t="s">
        <v>2152</v>
      </c>
      <c r="U50" s="186"/>
      <c r="V50" s="186"/>
      <c r="W50" s="186"/>
      <c r="X50">
        <v>48</v>
      </c>
      <c r="Z50" t="s">
        <v>1920</v>
      </c>
      <c r="AA50" s="30">
        <v>43449</v>
      </c>
    </row>
    <row r="51" spans="1:28" ht="18.75" customHeight="1">
      <c r="A51" s="213"/>
      <c r="B51" s="213"/>
      <c r="C51" s="210"/>
      <c r="D51" s="210"/>
      <c r="E51" s="186" t="s">
        <v>59</v>
      </c>
      <c r="F51" s="186" t="s">
        <v>146</v>
      </c>
      <c r="G51" s="186" t="s">
        <v>432</v>
      </c>
      <c r="H51" s="186" t="s">
        <v>243</v>
      </c>
      <c r="I51" s="186"/>
      <c r="J51" s="186">
        <v>113</v>
      </c>
      <c r="K51" s="186" t="s">
        <v>682</v>
      </c>
      <c r="L51" s="186" t="s">
        <v>3908</v>
      </c>
      <c r="M51" s="186" t="s">
        <v>552</v>
      </c>
      <c r="N51" s="186" t="s">
        <v>1593</v>
      </c>
      <c r="O51" s="186" t="s">
        <v>2377</v>
      </c>
      <c r="P51" s="186" t="s">
        <v>3932</v>
      </c>
      <c r="Q51" s="186" t="s">
        <v>2379</v>
      </c>
      <c r="R51" s="186"/>
      <c r="S51" s="186"/>
      <c r="T51" s="186" t="s">
        <v>2380</v>
      </c>
      <c r="U51" s="186"/>
      <c r="V51" s="186"/>
      <c r="W51" s="186"/>
      <c r="X51">
        <v>49</v>
      </c>
      <c r="Z51" t="s">
        <v>1920</v>
      </c>
      <c r="AA51" s="30">
        <v>43449</v>
      </c>
    </row>
    <row r="52" spans="1:28" ht="18.75" customHeight="1">
      <c r="A52" s="213"/>
      <c r="B52" s="213"/>
      <c r="C52" s="210"/>
      <c r="D52" s="210"/>
      <c r="E52" s="186" t="s">
        <v>59</v>
      </c>
      <c r="F52" s="186" t="s">
        <v>128</v>
      </c>
      <c r="G52" s="186" t="s">
        <v>432</v>
      </c>
      <c r="H52" s="186" t="s">
        <v>243</v>
      </c>
      <c r="I52" s="186"/>
      <c r="J52" s="186">
        <v>77</v>
      </c>
      <c r="K52" s="186" t="s">
        <v>682</v>
      </c>
      <c r="L52" s="186" t="s">
        <v>3908</v>
      </c>
      <c r="M52" s="186" t="s">
        <v>553</v>
      </c>
      <c r="N52" s="186" t="s">
        <v>1593</v>
      </c>
      <c r="O52" s="186" t="s">
        <v>2295</v>
      </c>
      <c r="P52" s="186" t="s">
        <v>3916</v>
      </c>
      <c r="Q52" s="186"/>
      <c r="R52" s="186"/>
      <c r="S52" s="186"/>
      <c r="T52" s="186" t="s">
        <v>2296</v>
      </c>
      <c r="U52" s="186"/>
      <c r="V52" s="186"/>
      <c r="W52" s="186"/>
      <c r="X52">
        <v>50</v>
      </c>
      <c r="Z52" t="s">
        <v>1920</v>
      </c>
      <c r="AA52" s="30">
        <v>43449</v>
      </c>
    </row>
    <row r="53" spans="1:28" ht="18.75" customHeight="1">
      <c r="A53" s="213"/>
      <c r="B53" s="213"/>
      <c r="C53" s="210"/>
      <c r="D53" s="210"/>
      <c r="E53" s="186" t="s">
        <v>55</v>
      </c>
      <c r="F53" s="186" t="s">
        <v>554</v>
      </c>
      <c r="G53" s="186" t="s">
        <v>247</v>
      </c>
      <c r="H53" s="186" t="s">
        <v>243</v>
      </c>
      <c r="I53" s="186"/>
      <c r="J53" s="186">
        <v>48</v>
      </c>
      <c r="K53" s="186" t="s">
        <v>682</v>
      </c>
      <c r="L53" s="186" t="s">
        <v>3908</v>
      </c>
      <c r="M53" s="186" t="s">
        <v>555</v>
      </c>
      <c r="N53" s="186" t="s">
        <v>1390</v>
      </c>
      <c r="O53" s="186" t="s">
        <v>2114</v>
      </c>
      <c r="P53" s="186" t="s">
        <v>3916</v>
      </c>
      <c r="Q53" s="186"/>
      <c r="R53" s="186"/>
      <c r="S53" s="186" t="s">
        <v>2116</v>
      </c>
      <c r="T53" s="186" t="s">
        <v>2117</v>
      </c>
      <c r="U53" s="186"/>
      <c r="V53" s="186"/>
      <c r="W53" s="186"/>
      <c r="X53">
        <v>51</v>
      </c>
      <c r="Z53" t="s">
        <v>1920</v>
      </c>
      <c r="AA53" s="30">
        <v>43449</v>
      </c>
    </row>
    <row r="54" spans="1:28" ht="18.75" customHeight="1">
      <c r="A54" s="213"/>
      <c r="B54" s="213"/>
      <c r="C54" s="210"/>
      <c r="D54" s="210"/>
      <c r="E54" s="186" t="s">
        <v>55</v>
      </c>
      <c r="F54" s="186" t="s">
        <v>556</v>
      </c>
      <c r="G54" s="186" t="s">
        <v>346</v>
      </c>
      <c r="H54" s="186" t="s">
        <v>243</v>
      </c>
      <c r="I54" s="186"/>
      <c r="J54" s="186">
        <v>71</v>
      </c>
      <c r="K54" s="186" t="s">
        <v>682</v>
      </c>
      <c r="L54" s="186" t="s">
        <v>3908</v>
      </c>
      <c r="M54" s="186" t="s">
        <v>557</v>
      </c>
      <c r="N54" s="186" t="s">
        <v>1593</v>
      </c>
      <c r="O54" s="186" t="s">
        <v>2208</v>
      </c>
      <c r="P54" s="186" t="s">
        <v>3916</v>
      </c>
      <c r="Q54" s="186"/>
      <c r="R54" s="186"/>
      <c r="S54" s="186"/>
      <c r="T54" s="186" t="s">
        <v>2210</v>
      </c>
      <c r="U54" s="186"/>
      <c r="V54" s="186"/>
      <c r="W54" s="186"/>
      <c r="X54">
        <v>52</v>
      </c>
      <c r="Z54" t="s">
        <v>1920</v>
      </c>
      <c r="AA54" s="30">
        <v>43449</v>
      </c>
    </row>
    <row r="55" spans="1:28" ht="18.75" customHeight="1">
      <c r="A55" s="213"/>
      <c r="B55" s="213"/>
      <c r="C55" s="210"/>
      <c r="D55" s="210"/>
      <c r="E55" s="186" t="s">
        <v>55</v>
      </c>
      <c r="F55" s="186" t="s">
        <v>558</v>
      </c>
      <c r="G55" s="186" t="s">
        <v>346</v>
      </c>
      <c r="H55" s="186" t="s">
        <v>243</v>
      </c>
      <c r="I55" s="186"/>
      <c r="J55" s="186">
        <v>66</v>
      </c>
      <c r="K55" s="186" t="s">
        <v>682</v>
      </c>
      <c r="L55" s="186" t="s">
        <v>3908</v>
      </c>
      <c r="M55" s="186" t="s">
        <v>559</v>
      </c>
      <c r="N55" s="186" t="s">
        <v>1390</v>
      </c>
      <c r="O55" s="186" t="s">
        <v>2196</v>
      </c>
      <c r="P55" s="186" t="s">
        <v>3916</v>
      </c>
      <c r="Q55" s="186"/>
      <c r="R55" s="186"/>
      <c r="S55" s="186" t="s">
        <v>2198</v>
      </c>
      <c r="T55" s="186" t="s">
        <v>2199</v>
      </c>
      <c r="U55" s="186"/>
      <c r="V55" s="186"/>
      <c r="W55" s="186"/>
      <c r="X55">
        <v>53</v>
      </c>
      <c r="Z55" t="s">
        <v>1920</v>
      </c>
      <c r="AA55" s="30">
        <v>43449</v>
      </c>
    </row>
    <row r="56" spans="1:28" ht="18.75" customHeight="1">
      <c r="A56" s="213"/>
      <c r="B56" s="213"/>
      <c r="C56" s="210" t="s">
        <v>2400</v>
      </c>
      <c r="D56" s="210">
        <v>1</v>
      </c>
      <c r="E56" s="186" t="s">
        <v>61</v>
      </c>
      <c r="F56" s="186" t="s">
        <v>148</v>
      </c>
      <c r="G56" s="186" t="s">
        <v>255</v>
      </c>
      <c r="H56" s="186" t="s">
        <v>243</v>
      </c>
      <c r="I56" s="186"/>
      <c r="J56" s="186">
        <v>123</v>
      </c>
      <c r="K56" s="186" t="s">
        <v>682</v>
      </c>
      <c r="L56" s="186" t="s">
        <v>3908</v>
      </c>
      <c r="M56" s="186" t="s">
        <v>384</v>
      </c>
      <c r="N56" s="186" t="s">
        <v>1925</v>
      </c>
      <c r="O56" s="186" t="s">
        <v>2400</v>
      </c>
      <c r="P56" s="186" t="s">
        <v>3943</v>
      </c>
      <c r="Q56" s="186"/>
      <c r="R56" s="186"/>
      <c r="S56" s="186"/>
      <c r="T56" s="186" t="s">
        <v>2400</v>
      </c>
      <c r="U56" s="186"/>
      <c r="V56" s="186"/>
      <c r="W56" s="186"/>
      <c r="X56">
        <v>54</v>
      </c>
      <c r="Z56" t="s">
        <v>1920</v>
      </c>
      <c r="AA56" s="30">
        <v>43449</v>
      </c>
    </row>
    <row r="57" spans="1:28" ht="18.75" customHeight="1">
      <c r="A57" s="213"/>
      <c r="B57" s="213"/>
      <c r="C57" s="210"/>
      <c r="D57" s="210"/>
      <c r="E57" s="186" t="s">
        <v>55</v>
      </c>
      <c r="F57" s="186" t="s">
        <v>560</v>
      </c>
      <c r="G57" s="186" t="s">
        <v>255</v>
      </c>
      <c r="H57" s="186" t="s">
        <v>243</v>
      </c>
      <c r="I57" s="186"/>
      <c r="J57" s="186">
        <v>3</v>
      </c>
      <c r="K57" s="186" t="s">
        <v>682</v>
      </c>
      <c r="L57" s="186" t="s">
        <v>3908</v>
      </c>
      <c r="M57" s="186" t="s">
        <v>561</v>
      </c>
      <c r="N57" s="186" t="s">
        <v>1925</v>
      </c>
      <c r="O57" s="186" t="s">
        <v>1933</v>
      </c>
      <c r="P57" s="186" t="s">
        <v>3943</v>
      </c>
      <c r="Q57" s="186"/>
      <c r="R57" s="186"/>
      <c r="S57" s="186">
        <v>43532</v>
      </c>
      <c r="T57" s="186" t="s">
        <v>1935</v>
      </c>
      <c r="U57" s="186"/>
      <c r="V57" s="186"/>
      <c r="W57" s="186"/>
      <c r="X57">
        <v>55</v>
      </c>
      <c r="Z57" t="s">
        <v>1920</v>
      </c>
      <c r="AA57" s="30">
        <v>43449</v>
      </c>
    </row>
    <row r="58" spans="1:28" ht="18.75" customHeight="1">
      <c r="A58" s="213"/>
      <c r="B58" s="213"/>
      <c r="C58" s="210"/>
      <c r="D58" s="210"/>
      <c r="E58" s="186" t="s">
        <v>61</v>
      </c>
      <c r="F58" s="186" t="s">
        <v>136</v>
      </c>
      <c r="G58" s="186" t="s">
        <v>255</v>
      </c>
      <c r="H58" s="186" t="s">
        <v>243</v>
      </c>
      <c r="I58" s="186"/>
      <c r="J58" s="186">
        <v>60</v>
      </c>
      <c r="K58" s="186" t="s">
        <v>682</v>
      </c>
      <c r="L58" s="186" t="s">
        <v>3908</v>
      </c>
      <c r="M58" s="186" t="s">
        <v>562</v>
      </c>
      <c r="N58" s="186" t="s">
        <v>1925</v>
      </c>
      <c r="O58" s="186" t="s">
        <v>2174</v>
      </c>
      <c r="P58" s="186" t="s">
        <v>3943</v>
      </c>
      <c r="Q58" s="186"/>
      <c r="R58" s="186"/>
      <c r="S58" s="186">
        <v>43532</v>
      </c>
      <c r="T58" s="186" t="s">
        <v>2176</v>
      </c>
      <c r="U58" s="186"/>
      <c r="V58" s="186"/>
      <c r="W58" s="186"/>
      <c r="X58">
        <v>56</v>
      </c>
      <c r="Z58" t="s">
        <v>1920</v>
      </c>
      <c r="AA58" s="30">
        <v>43449</v>
      </c>
    </row>
    <row r="59" spans="1:28" ht="18.75" customHeight="1">
      <c r="A59" s="213"/>
      <c r="B59" s="213"/>
      <c r="C59" s="210"/>
      <c r="D59" s="210"/>
      <c r="E59" s="186" t="s">
        <v>55</v>
      </c>
      <c r="F59" s="186" t="s">
        <v>563</v>
      </c>
      <c r="G59" s="186" t="s">
        <v>346</v>
      </c>
      <c r="H59" s="186" t="s">
        <v>243</v>
      </c>
      <c r="I59" s="186"/>
      <c r="J59" s="186">
        <v>56</v>
      </c>
      <c r="K59" s="186" t="s">
        <v>682</v>
      </c>
      <c r="L59" s="186" t="s">
        <v>3908</v>
      </c>
      <c r="M59" s="388" t="s">
        <v>2160</v>
      </c>
      <c r="N59" s="186" t="s">
        <v>1925</v>
      </c>
      <c r="O59" s="186" t="s">
        <v>2161</v>
      </c>
      <c r="P59" s="186" t="s">
        <v>3943</v>
      </c>
      <c r="Q59" s="186" t="s">
        <v>2163</v>
      </c>
      <c r="R59" s="186"/>
      <c r="S59" s="90" t="s">
        <v>2164</v>
      </c>
      <c r="T59" s="186" t="s">
        <v>2165</v>
      </c>
      <c r="U59" s="186"/>
      <c r="V59" s="186"/>
      <c r="W59" s="186"/>
      <c r="X59">
        <v>57</v>
      </c>
      <c r="Z59" t="s">
        <v>1920</v>
      </c>
      <c r="AA59" s="30">
        <v>43449</v>
      </c>
      <c r="AB59" t="s">
        <v>1985</v>
      </c>
    </row>
    <row r="60" spans="1:28" ht="18.75" customHeight="1">
      <c r="A60" s="213"/>
      <c r="B60" s="213"/>
      <c r="C60" s="210"/>
      <c r="D60" s="210"/>
      <c r="E60" s="186" t="s">
        <v>55</v>
      </c>
      <c r="F60" s="186" t="s">
        <v>565</v>
      </c>
      <c r="G60" s="186" t="s">
        <v>255</v>
      </c>
      <c r="H60" s="186" t="s">
        <v>243</v>
      </c>
      <c r="I60" s="186"/>
      <c r="J60" s="72">
        <v>189</v>
      </c>
      <c r="K60" s="186" t="s">
        <v>682</v>
      </c>
      <c r="L60" s="186" t="s">
        <v>3908</v>
      </c>
      <c r="M60" s="186" t="s">
        <v>566</v>
      </c>
      <c r="N60" s="186" t="s">
        <v>1925</v>
      </c>
      <c r="O60" s="186" t="s">
        <v>2330</v>
      </c>
      <c r="P60" s="186" t="s">
        <v>3943</v>
      </c>
      <c r="Q60" s="186"/>
      <c r="R60" s="186"/>
      <c r="S60" s="186"/>
      <c r="T60" s="90" t="s">
        <v>2332</v>
      </c>
      <c r="U60" s="90"/>
      <c r="V60" s="90"/>
      <c r="W60" s="90"/>
      <c r="X60">
        <v>58</v>
      </c>
      <c r="Z60" t="s">
        <v>1920</v>
      </c>
      <c r="AA60" s="30">
        <v>43449</v>
      </c>
    </row>
    <row r="61" spans="1:28" ht="18.75" customHeight="1">
      <c r="A61" s="213"/>
      <c r="B61" s="213"/>
      <c r="C61" s="210"/>
      <c r="D61" s="210"/>
      <c r="E61" s="186" t="s">
        <v>55</v>
      </c>
      <c r="F61" s="186" t="s">
        <v>567</v>
      </c>
      <c r="G61" s="186" t="s">
        <v>255</v>
      </c>
      <c r="H61" s="186" t="s">
        <v>243</v>
      </c>
      <c r="I61" s="186"/>
      <c r="J61" s="186">
        <v>49</v>
      </c>
      <c r="K61" s="186" t="s">
        <v>682</v>
      </c>
      <c r="L61" s="186" t="s">
        <v>3908</v>
      </c>
      <c r="M61" s="186" t="s">
        <v>568</v>
      </c>
      <c r="N61" s="186" t="s">
        <v>1925</v>
      </c>
      <c r="O61" s="186" t="s">
        <v>2118</v>
      </c>
      <c r="P61" s="186" t="s">
        <v>3943</v>
      </c>
      <c r="Q61" s="186"/>
      <c r="R61" s="186"/>
      <c r="S61" s="186">
        <v>43532</v>
      </c>
      <c r="T61" s="186" t="s">
        <v>2118</v>
      </c>
      <c r="U61" s="186"/>
      <c r="V61" s="186"/>
      <c r="W61" s="186"/>
      <c r="X61">
        <v>59</v>
      </c>
      <c r="Z61" t="s">
        <v>1920</v>
      </c>
      <c r="AA61" s="30">
        <v>43449</v>
      </c>
      <c r="AB61" t="s">
        <v>3934</v>
      </c>
    </row>
    <row r="62" spans="1:28" ht="18.75" customHeight="1">
      <c r="A62" s="213"/>
      <c r="B62" s="213"/>
      <c r="C62" s="210"/>
      <c r="D62" s="210"/>
      <c r="E62" s="186" t="s">
        <v>59</v>
      </c>
      <c r="F62" s="186" t="s">
        <v>569</v>
      </c>
      <c r="G62" s="186" t="s">
        <v>255</v>
      </c>
      <c r="H62" s="186" t="s">
        <v>243</v>
      </c>
      <c r="I62" s="186"/>
      <c r="J62" s="186">
        <v>62</v>
      </c>
      <c r="K62" s="186" t="s">
        <v>682</v>
      </c>
      <c r="L62" s="186" t="s">
        <v>3908</v>
      </c>
      <c r="M62" s="186" t="s">
        <v>570</v>
      </c>
      <c r="N62" s="186" t="s">
        <v>1925</v>
      </c>
      <c r="O62" s="186" t="s">
        <v>2191</v>
      </c>
      <c r="P62" s="186" t="s">
        <v>3943</v>
      </c>
      <c r="Q62" s="186"/>
      <c r="R62" s="186"/>
      <c r="S62" s="186">
        <v>43532</v>
      </c>
      <c r="T62" s="186" t="s">
        <v>2192</v>
      </c>
      <c r="U62" s="186"/>
      <c r="V62" s="186"/>
      <c r="W62" s="186"/>
      <c r="X62">
        <v>60</v>
      </c>
      <c r="Z62" t="s">
        <v>1920</v>
      </c>
      <c r="AA62" s="30">
        <v>43449</v>
      </c>
    </row>
    <row r="63" spans="1:28" ht="18.75" customHeight="1">
      <c r="A63" s="213"/>
      <c r="B63" s="213"/>
      <c r="C63" s="210"/>
      <c r="D63" s="210"/>
      <c r="E63" s="186" t="s">
        <v>55</v>
      </c>
      <c r="F63" s="186" t="s">
        <v>571</v>
      </c>
      <c r="G63" s="186" t="s">
        <v>346</v>
      </c>
      <c r="H63" s="186" t="s">
        <v>243</v>
      </c>
      <c r="I63" s="186"/>
      <c r="J63" s="186">
        <v>105</v>
      </c>
      <c r="K63" s="186" t="s">
        <v>682</v>
      </c>
      <c r="L63" s="186" t="s">
        <v>3908</v>
      </c>
      <c r="M63" s="186" t="s">
        <v>572</v>
      </c>
      <c r="N63" s="186" t="s">
        <v>1925</v>
      </c>
      <c r="O63" s="186" t="s">
        <v>2340</v>
      </c>
      <c r="P63" s="186" t="s">
        <v>3916</v>
      </c>
      <c r="Q63" s="186"/>
      <c r="R63" s="186"/>
      <c r="S63" s="186"/>
      <c r="T63" s="186" t="s">
        <v>2342</v>
      </c>
      <c r="U63" s="186"/>
      <c r="V63" s="186"/>
      <c r="W63" s="186"/>
      <c r="X63">
        <v>61</v>
      </c>
      <c r="Z63" t="s">
        <v>1920</v>
      </c>
      <c r="AA63" s="30">
        <v>43449</v>
      </c>
    </row>
    <row r="64" spans="1:28" ht="18.75" customHeight="1">
      <c r="A64" s="213"/>
      <c r="B64" s="213"/>
      <c r="C64" s="210"/>
      <c r="D64" s="210"/>
      <c r="E64" s="186" t="s">
        <v>59</v>
      </c>
      <c r="F64" s="186" t="s">
        <v>573</v>
      </c>
      <c r="G64" s="186" t="s">
        <v>255</v>
      </c>
      <c r="H64" s="186" t="s">
        <v>243</v>
      </c>
      <c r="I64" s="186"/>
      <c r="J64" s="186">
        <v>99</v>
      </c>
      <c r="K64" s="186" t="s">
        <v>682</v>
      </c>
      <c r="L64" s="186" t="s">
        <v>3908</v>
      </c>
      <c r="M64" s="186" t="s">
        <v>574</v>
      </c>
      <c r="N64" s="186" t="s">
        <v>1925</v>
      </c>
      <c r="O64" s="186" t="s">
        <v>2319</v>
      </c>
      <c r="P64" s="186" t="s">
        <v>3916</v>
      </c>
      <c r="Q64" s="186"/>
      <c r="R64" s="186"/>
      <c r="S64" s="186"/>
      <c r="T64" s="186" t="s">
        <v>2322</v>
      </c>
      <c r="U64" s="186"/>
      <c r="V64" s="186"/>
      <c r="W64" s="186"/>
      <c r="X64">
        <v>62</v>
      </c>
      <c r="Z64" t="s">
        <v>1920</v>
      </c>
      <c r="AA64" s="30">
        <v>43449</v>
      </c>
    </row>
    <row r="65" spans="1:28" ht="18.75" customHeight="1">
      <c r="A65" s="213"/>
      <c r="B65" s="213"/>
      <c r="C65" s="210"/>
      <c r="D65" s="210"/>
      <c r="E65" s="186" t="s">
        <v>55</v>
      </c>
      <c r="F65" s="186" t="s">
        <v>575</v>
      </c>
      <c r="G65" s="186" t="s">
        <v>255</v>
      </c>
      <c r="H65" s="186" t="s">
        <v>243</v>
      </c>
      <c r="I65" s="186"/>
      <c r="J65" s="72">
        <v>187</v>
      </c>
      <c r="K65" s="186" t="s">
        <v>682</v>
      </c>
      <c r="L65" s="186" t="s">
        <v>3908</v>
      </c>
      <c r="M65" s="186" t="s">
        <v>576</v>
      </c>
      <c r="N65" s="186" t="s">
        <v>1925</v>
      </c>
      <c r="O65" s="186" t="s">
        <v>2188</v>
      </c>
      <c r="P65" s="186" t="s">
        <v>3916</v>
      </c>
      <c r="Q65" s="186"/>
      <c r="R65" s="186"/>
      <c r="S65" s="186"/>
      <c r="T65" s="90" t="s">
        <v>2190</v>
      </c>
      <c r="U65" s="90"/>
      <c r="V65" s="90"/>
      <c r="W65" s="90"/>
      <c r="X65">
        <v>63</v>
      </c>
      <c r="Z65" t="s">
        <v>1920</v>
      </c>
      <c r="AA65" s="30">
        <v>43449</v>
      </c>
    </row>
    <row r="66" spans="1:28" ht="18.75" customHeight="1">
      <c r="A66" s="213"/>
      <c r="B66" s="213"/>
      <c r="C66" s="210"/>
      <c r="D66" s="210"/>
      <c r="E66" s="186" t="s">
        <v>55</v>
      </c>
      <c r="F66" s="186" t="s">
        <v>577</v>
      </c>
      <c r="G66" s="186" t="s">
        <v>255</v>
      </c>
      <c r="H66" s="186" t="s">
        <v>243</v>
      </c>
      <c r="I66" s="186"/>
      <c r="J66" s="72">
        <v>188</v>
      </c>
      <c r="K66" s="186" t="s">
        <v>682</v>
      </c>
      <c r="L66" s="186" t="s">
        <v>3908</v>
      </c>
      <c r="M66" s="186" t="s">
        <v>578</v>
      </c>
      <c r="N66" s="186" t="s">
        <v>1925</v>
      </c>
      <c r="O66" s="186" t="s">
        <v>2324</v>
      </c>
      <c r="P66" s="186" t="s">
        <v>3943</v>
      </c>
      <c r="Q66" s="186" t="s">
        <v>2325</v>
      </c>
      <c r="R66" s="186"/>
      <c r="S66" s="186"/>
      <c r="T66" s="90" t="s">
        <v>2326</v>
      </c>
      <c r="U66" s="90"/>
      <c r="V66" s="90"/>
      <c r="W66" s="90"/>
      <c r="X66">
        <v>64</v>
      </c>
      <c r="Z66" t="s">
        <v>1920</v>
      </c>
      <c r="AA66" s="30">
        <v>43449</v>
      </c>
    </row>
    <row r="67" spans="1:28" ht="18.75" customHeight="1">
      <c r="A67" s="213"/>
      <c r="B67" s="213"/>
      <c r="C67" s="210"/>
      <c r="D67" s="210"/>
      <c r="E67" s="186" t="s">
        <v>55</v>
      </c>
      <c r="F67" s="186" t="s">
        <v>579</v>
      </c>
      <c r="G67" s="186" t="s">
        <v>329</v>
      </c>
      <c r="H67" s="186" t="s">
        <v>243</v>
      </c>
      <c r="I67" s="186"/>
      <c r="J67" s="72">
        <v>177</v>
      </c>
      <c r="K67" s="186" t="s">
        <v>682</v>
      </c>
      <c r="L67" s="186" t="s">
        <v>3908</v>
      </c>
      <c r="M67" s="186" t="s">
        <v>580</v>
      </c>
      <c r="N67" s="186" t="s">
        <v>1921</v>
      </c>
      <c r="O67" s="186" t="s">
        <v>2153</v>
      </c>
      <c r="P67" s="186" t="s">
        <v>3916</v>
      </c>
      <c r="Q67" s="186"/>
      <c r="R67" s="186"/>
      <c r="S67" s="186"/>
      <c r="T67" s="90" t="s">
        <v>2155</v>
      </c>
      <c r="U67" s="90"/>
      <c r="V67" s="90"/>
      <c r="W67" s="90"/>
      <c r="X67">
        <v>65</v>
      </c>
      <c r="Z67" t="s">
        <v>1920</v>
      </c>
      <c r="AA67" s="30">
        <v>43449</v>
      </c>
    </row>
    <row r="68" spans="1:28" ht="18.75" customHeight="1">
      <c r="A68" s="213"/>
      <c r="B68" s="213"/>
      <c r="C68" s="210"/>
      <c r="D68" s="210"/>
      <c r="E68" s="186" t="s">
        <v>55</v>
      </c>
      <c r="F68" s="186" t="s">
        <v>581</v>
      </c>
      <c r="G68" s="186" t="s">
        <v>250</v>
      </c>
      <c r="H68" s="186" t="s">
        <v>243</v>
      </c>
      <c r="I68" s="186"/>
      <c r="J68" s="186">
        <v>47</v>
      </c>
      <c r="K68" s="186" t="s">
        <v>682</v>
      </c>
      <c r="L68" s="186" t="s">
        <v>3908</v>
      </c>
      <c r="M68" s="186" t="s">
        <v>582</v>
      </c>
      <c r="N68" s="186" t="s">
        <v>1709</v>
      </c>
      <c r="O68" s="186" t="s">
        <v>2108</v>
      </c>
      <c r="P68" s="186" t="s">
        <v>3909</v>
      </c>
      <c r="Q68" s="186" t="s">
        <v>2110</v>
      </c>
      <c r="R68" s="186"/>
      <c r="S68" s="186" t="s">
        <v>1201</v>
      </c>
      <c r="T68" s="186" t="s">
        <v>2111</v>
      </c>
      <c r="U68" s="186"/>
      <c r="V68" s="186"/>
      <c r="W68" s="186"/>
      <c r="X68">
        <v>66</v>
      </c>
      <c r="Z68" t="s">
        <v>1920</v>
      </c>
      <c r="AA68" s="30">
        <v>43449</v>
      </c>
    </row>
    <row r="69" spans="1:28" ht="18.75" customHeight="1">
      <c r="A69" s="213"/>
      <c r="B69" s="213"/>
      <c r="C69" s="210"/>
      <c r="D69" s="210"/>
      <c r="E69" s="186" t="s">
        <v>59</v>
      </c>
      <c r="F69" s="186" t="s">
        <v>145</v>
      </c>
      <c r="G69" s="186" t="s">
        <v>250</v>
      </c>
      <c r="H69" s="186" t="s">
        <v>243</v>
      </c>
      <c r="I69" s="186"/>
      <c r="J69" s="186">
        <v>110</v>
      </c>
      <c r="K69" s="186" t="s">
        <v>682</v>
      </c>
      <c r="L69" s="186" t="s">
        <v>3908</v>
      </c>
      <c r="M69" s="186" t="s">
        <v>583</v>
      </c>
      <c r="N69" s="186" t="s">
        <v>1709</v>
      </c>
      <c r="O69" s="186" t="s">
        <v>2366</v>
      </c>
      <c r="P69" s="186" t="s">
        <v>3909</v>
      </c>
      <c r="Q69" s="186"/>
      <c r="R69" s="186"/>
      <c r="S69" s="186"/>
      <c r="T69" s="186" t="s">
        <v>2368</v>
      </c>
      <c r="U69" s="186"/>
      <c r="V69" s="186"/>
      <c r="W69" s="186"/>
      <c r="X69">
        <v>67</v>
      </c>
      <c r="Z69" t="s">
        <v>1920</v>
      </c>
      <c r="AA69" s="30">
        <v>43449</v>
      </c>
    </row>
    <row r="70" spans="1:28" ht="18.75" customHeight="1">
      <c r="A70" s="213"/>
      <c r="B70" s="213"/>
      <c r="C70" s="210"/>
      <c r="D70" s="210"/>
      <c r="E70" s="186" t="s">
        <v>55</v>
      </c>
      <c r="F70" s="186" t="s">
        <v>584</v>
      </c>
      <c r="G70" s="186" t="s">
        <v>242</v>
      </c>
      <c r="H70" s="186" t="s">
        <v>243</v>
      </c>
      <c r="I70" s="186"/>
      <c r="J70" s="186">
        <v>43</v>
      </c>
      <c r="K70" s="186" t="s">
        <v>682</v>
      </c>
      <c r="L70" s="186" t="s">
        <v>3908</v>
      </c>
      <c r="M70" s="388" t="s">
        <v>2097</v>
      </c>
      <c r="N70" s="186" t="s">
        <v>1390</v>
      </c>
      <c r="O70" s="186" t="s">
        <v>2098</v>
      </c>
      <c r="P70" s="186" t="s">
        <v>3944</v>
      </c>
      <c r="Q70" s="186"/>
      <c r="R70" s="186"/>
      <c r="S70" s="186"/>
      <c r="T70" s="186" t="s">
        <v>2100</v>
      </c>
      <c r="U70" s="186"/>
      <c r="V70" s="186"/>
      <c r="W70" s="186"/>
      <c r="X70">
        <v>68</v>
      </c>
      <c r="Z70" t="s">
        <v>1920</v>
      </c>
      <c r="AA70" s="30">
        <v>43449</v>
      </c>
      <c r="AB70" t="s">
        <v>1985</v>
      </c>
    </row>
    <row r="71" spans="1:28" ht="18.75" customHeight="1">
      <c r="A71" s="213"/>
      <c r="B71" s="213"/>
      <c r="C71" s="210"/>
      <c r="D71" s="210"/>
      <c r="E71" s="186" t="s">
        <v>59</v>
      </c>
      <c r="F71" s="186" t="s">
        <v>586</v>
      </c>
      <c r="G71" s="186" t="s">
        <v>242</v>
      </c>
      <c r="H71" s="186" t="s">
        <v>243</v>
      </c>
      <c r="I71" s="186"/>
      <c r="J71" s="186">
        <v>42</v>
      </c>
      <c r="K71" s="186" t="s">
        <v>682</v>
      </c>
      <c r="L71" s="186" t="s">
        <v>3908</v>
      </c>
      <c r="M71" s="186" t="s">
        <v>587</v>
      </c>
      <c r="N71" s="186" t="s">
        <v>1390</v>
      </c>
      <c r="O71" s="186" t="s">
        <v>2094</v>
      </c>
      <c r="P71" s="186" t="s">
        <v>3945</v>
      </c>
      <c r="Q71" s="186"/>
      <c r="R71" s="186"/>
      <c r="S71" s="186"/>
      <c r="T71" s="186" t="s">
        <v>2096</v>
      </c>
      <c r="U71" s="186"/>
      <c r="V71" s="186"/>
      <c r="W71" s="186"/>
      <c r="X71">
        <v>69</v>
      </c>
      <c r="Z71" t="s">
        <v>1920</v>
      </c>
      <c r="AA71" s="30">
        <v>43449</v>
      </c>
    </row>
    <row r="72" spans="1:28" ht="18.75" customHeight="1">
      <c r="A72" s="213"/>
      <c r="B72" s="213"/>
      <c r="C72" s="210"/>
      <c r="D72" s="210"/>
      <c r="E72" s="186" t="s">
        <v>59</v>
      </c>
      <c r="F72" s="186" t="s">
        <v>588</v>
      </c>
      <c r="G72" s="186" t="s">
        <v>589</v>
      </c>
      <c r="H72" s="186" t="s">
        <v>243</v>
      </c>
      <c r="I72" s="186"/>
      <c r="J72" s="186">
        <v>121</v>
      </c>
      <c r="K72" s="186" t="s">
        <v>682</v>
      </c>
      <c r="L72" s="186" t="s">
        <v>3908</v>
      </c>
      <c r="M72" s="186" t="s">
        <v>590</v>
      </c>
      <c r="N72" s="186" t="s">
        <v>2393</v>
      </c>
      <c r="O72" s="186" t="s">
        <v>2394</v>
      </c>
      <c r="P72" s="186" t="s">
        <v>3916</v>
      </c>
      <c r="Q72" s="186"/>
      <c r="R72" s="186"/>
      <c r="S72" s="186"/>
      <c r="T72" s="186" t="s">
        <v>110</v>
      </c>
      <c r="U72" s="186"/>
      <c r="V72" s="186"/>
      <c r="W72" s="186"/>
      <c r="X72">
        <v>70</v>
      </c>
      <c r="Z72" t="s">
        <v>1920</v>
      </c>
      <c r="AA72" s="30">
        <v>43449</v>
      </c>
    </row>
    <row r="73" spans="1:28" ht="18.75" customHeight="1">
      <c r="A73" s="213"/>
      <c r="B73" s="213"/>
      <c r="C73" s="210" t="s">
        <v>1691</v>
      </c>
      <c r="D73" s="210">
        <v>1</v>
      </c>
      <c r="E73" s="186" t="s">
        <v>61</v>
      </c>
      <c r="F73" s="186" t="s">
        <v>144</v>
      </c>
      <c r="G73" s="186" t="s">
        <v>329</v>
      </c>
      <c r="H73" s="186" t="s">
        <v>243</v>
      </c>
      <c r="I73" s="186"/>
      <c r="J73" s="186">
        <v>102</v>
      </c>
      <c r="K73" s="186" t="s">
        <v>682</v>
      </c>
      <c r="L73" s="186" t="s">
        <v>3908</v>
      </c>
      <c r="M73" s="186" t="s">
        <v>385</v>
      </c>
      <c r="N73" s="186" t="s">
        <v>2335</v>
      </c>
      <c r="O73" s="186" t="s">
        <v>2336</v>
      </c>
      <c r="P73" s="186" t="s">
        <v>3946</v>
      </c>
      <c r="Q73" s="186"/>
      <c r="R73" s="186"/>
      <c r="S73" s="186"/>
      <c r="T73" s="186" t="s">
        <v>2338</v>
      </c>
      <c r="U73" s="186"/>
      <c r="V73" s="186"/>
      <c r="W73" s="186"/>
      <c r="X73">
        <v>71</v>
      </c>
      <c r="Z73" t="s">
        <v>1920</v>
      </c>
      <c r="AA73" s="30">
        <v>43449</v>
      </c>
    </row>
    <row r="74" spans="1:28" ht="18.75" customHeight="1">
      <c r="A74" s="213"/>
      <c r="B74" s="213"/>
      <c r="C74" s="210"/>
      <c r="D74" s="210"/>
      <c r="E74" s="186" t="s">
        <v>55</v>
      </c>
      <c r="F74" s="186" t="s">
        <v>386</v>
      </c>
      <c r="G74" s="186" t="s">
        <v>329</v>
      </c>
      <c r="H74" s="186" t="s">
        <v>243</v>
      </c>
      <c r="I74" s="186"/>
      <c r="J74" s="72">
        <v>170</v>
      </c>
      <c r="K74" s="186" t="s">
        <v>682</v>
      </c>
      <c r="L74" s="186" t="s">
        <v>3908</v>
      </c>
      <c r="M74" s="186" t="s">
        <v>387</v>
      </c>
      <c r="N74" s="186" t="s">
        <v>2272</v>
      </c>
      <c r="O74" s="186" t="s">
        <v>2316</v>
      </c>
      <c r="P74" s="186" t="s">
        <v>3931</v>
      </c>
      <c r="Q74" s="186"/>
      <c r="R74" s="186"/>
      <c r="S74" s="186"/>
      <c r="T74" s="90" t="s">
        <v>2318</v>
      </c>
      <c r="U74" s="90"/>
      <c r="V74" s="90"/>
      <c r="W74" s="90"/>
      <c r="X74">
        <v>72</v>
      </c>
      <c r="Z74" t="s">
        <v>1920</v>
      </c>
      <c r="AA74" s="30">
        <v>43449</v>
      </c>
    </row>
    <row r="75" spans="1:28" ht="18.75" customHeight="1">
      <c r="A75" s="213"/>
      <c r="B75" s="213"/>
      <c r="C75" s="210" t="s">
        <v>2044</v>
      </c>
      <c r="D75" s="210">
        <v>1</v>
      </c>
      <c r="E75" s="186" t="s">
        <v>61</v>
      </c>
      <c r="F75" s="186" t="s">
        <v>133</v>
      </c>
      <c r="G75" s="186" t="s">
        <v>329</v>
      </c>
      <c r="H75" s="186" t="s">
        <v>243</v>
      </c>
      <c r="I75" s="186"/>
      <c r="J75" s="186">
        <v>32</v>
      </c>
      <c r="K75" s="186" t="s">
        <v>682</v>
      </c>
      <c r="L75" s="186" t="s">
        <v>3908</v>
      </c>
      <c r="M75" s="186" t="s">
        <v>591</v>
      </c>
      <c r="N75" s="186" t="s">
        <v>1921</v>
      </c>
      <c r="O75" s="186" t="s">
        <v>2045</v>
      </c>
      <c r="P75" s="186" t="s">
        <v>3931</v>
      </c>
      <c r="Q75" s="186"/>
      <c r="R75" s="186"/>
      <c r="S75" s="186">
        <v>1</v>
      </c>
      <c r="T75" s="186" t="s">
        <v>1510</v>
      </c>
      <c r="U75" s="186"/>
      <c r="V75" s="186"/>
      <c r="W75" s="186"/>
      <c r="X75">
        <v>73</v>
      </c>
      <c r="Z75" t="s">
        <v>1920</v>
      </c>
      <c r="AA75" s="30">
        <v>43449</v>
      </c>
    </row>
    <row r="76" spans="1:28" ht="18.75" customHeight="1">
      <c r="A76" s="213"/>
      <c r="B76" s="213"/>
      <c r="C76" s="210"/>
      <c r="D76" s="210"/>
      <c r="E76" s="186" t="s">
        <v>61</v>
      </c>
      <c r="F76" s="186" t="s">
        <v>142</v>
      </c>
      <c r="G76" s="186" t="s">
        <v>329</v>
      </c>
      <c r="H76" s="186" t="s">
        <v>243</v>
      </c>
      <c r="I76" s="186"/>
      <c r="J76" s="186">
        <v>91</v>
      </c>
      <c r="K76" s="186" t="s">
        <v>682</v>
      </c>
      <c r="L76" s="186" t="s">
        <v>3908</v>
      </c>
      <c r="M76" s="186" t="s">
        <v>389</v>
      </c>
      <c r="N76" s="186" t="s">
        <v>1921</v>
      </c>
      <c r="O76" s="186" t="s">
        <v>2281</v>
      </c>
      <c r="P76" s="186" t="s">
        <v>3931</v>
      </c>
      <c r="Q76" s="186"/>
      <c r="R76" s="186"/>
      <c r="S76" s="186">
        <v>1</v>
      </c>
      <c r="T76" s="186" t="s">
        <v>2044</v>
      </c>
      <c r="U76" s="186"/>
      <c r="V76" s="186"/>
      <c r="W76" s="186"/>
      <c r="X76">
        <v>74</v>
      </c>
      <c r="Z76" t="s">
        <v>1920</v>
      </c>
      <c r="AA76" s="30">
        <v>43449</v>
      </c>
    </row>
    <row r="77" spans="1:28" ht="18.75" customHeight="1">
      <c r="A77" s="213"/>
      <c r="B77" s="213"/>
      <c r="C77" s="210"/>
      <c r="D77" s="210"/>
      <c r="E77" s="186" t="s">
        <v>55</v>
      </c>
      <c r="F77" s="186" t="s">
        <v>592</v>
      </c>
      <c r="G77" s="186" t="s">
        <v>329</v>
      </c>
      <c r="H77" s="186" t="s">
        <v>243</v>
      </c>
      <c r="I77" s="186"/>
      <c r="J77" s="186">
        <v>84</v>
      </c>
      <c r="K77" s="186" t="s">
        <v>682</v>
      </c>
      <c r="L77" s="186" t="s">
        <v>3908</v>
      </c>
      <c r="M77" s="186" t="s">
        <v>399</v>
      </c>
      <c r="N77" s="186" t="s">
        <v>1943</v>
      </c>
      <c r="O77" s="186" t="s">
        <v>2248</v>
      </c>
      <c r="P77" s="186" t="s">
        <v>3931</v>
      </c>
      <c r="Q77" s="186"/>
      <c r="R77" s="186"/>
      <c r="S77" s="186">
        <v>258</v>
      </c>
      <c r="T77" s="186" t="s">
        <v>2250</v>
      </c>
      <c r="U77" s="186"/>
      <c r="V77" s="186"/>
      <c r="W77" s="186"/>
      <c r="X77">
        <v>75</v>
      </c>
      <c r="Z77" t="s">
        <v>1920</v>
      </c>
      <c r="AA77" s="30">
        <v>43449</v>
      </c>
    </row>
    <row r="78" spans="1:28" ht="18.75" customHeight="1">
      <c r="A78" s="213"/>
      <c r="B78" s="213"/>
      <c r="C78" s="210"/>
      <c r="D78" s="210"/>
      <c r="E78" s="186" t="s">
        <v>55</v>
      </c>
      <c r="F78" s="186" t="s">
        <v>593</v>
      </c>
      <c r="G78" s="186" t="s">
        <v>329</v>
      </c>
      <c r="H78" s="186" t="s">
        <v>243</v>
      </c>
      <c r="I78" s="186"/>
      <c r="J78" s="186">
        <v>25</v>
      </c>
      <c r="K78" s="186" t="s">
        <v>682</v>
      </c>
      <c r="L78" s="186" t="s">
        <v>3908</v>
      </c>
      <c r="M78" s="186" t="s">
        <v>594</v>
      </c>
      <c r="N78" s="186" t="s">
        <v>1943</v>
      </c>
      <c r="O78" s="186" t="s">
        <v>1977</v>
      </c>
      <c r="P78" s="186" t="s">
        <v>3931</v>
      </c>
      <c r="Q78" s="186"/>
      <c r="R78" s="186"/>
      <c r="S78" s="186">
        <v>258</v>
      </c>
      <c r="T78" s="186" t="s">
        <v>1979</v>
      </c>
      <c r="U78" s="186"/>
      <c r="V78" s="186"/>
      <c r="W78" s="186"/>
      <c r="X78">
        <v>76</v>
      </c>
      <c r="Z78" t="s">
        <v>1920</v>
      </c>
      <c r="AA78" s="30">
        <v>43449</v>
      </c>
    </row>
    <row r="79" spans="1:28" ht="18.75" customHeight="1">
      <c r="A79" s="213"/>
      <c r="B79" s="213"/>
      <c r="C79" s="210"/>
      <c r="D79" s="210"/>
      <c r="E79" s="186" t="s">
        <v>55</v>
      </c>
      <c r="F79" s="186" t="s">
        <v>595</v>
      </c>
      <c r="G79" s="186" t="s">
        <v>329</v>
      </c>
      <c r="H79" s="186" t="s">
        <v>243</v>
      </c>
      <c r="I79" s="186"/>
      <c r="J79" s="72">
        <v>184</v>
      </c>
      <c r="K79" s="186" t="s">
        <v>682</v>
      </c>
      <c r="L79" s="186" t="s">
        <v>3908</v>
      </c>
      <c r="M79" s="186" t="s">
        <v>596</v>
      </c>
      <c r="N79" s="186" t="s">
        <v>1943</v>
      </c>
      <c r="O79" s="186" t="s">
        <v>1996</v>
      </c>
      <c r="P79" s="186" t="s">
        <v>3931</v>
      </c>
      <c r="Q79" s="186"/>
      <c r="R79" s="186"/>
      <c r="S79" s="186">
        <v>258</v>
      </c>
      <c r="T79" s="90" t="s">
        <v>1997</v>
      </c>
      <c r="U79" s="90"/>
      <c r="V79" s="90"/>
      <c r="W79" s="90"/>
      <c r="X79">
        <v>77</v>
      </c>
      <c r="Z79" t="s">
        <v>1920</v>
      </c>
      <c r="AA79" s="30">
        <v>43449</v>
      </c>
    </row>
    <row r="80" spans="1:28" ht="18.75" customHeight="1">
      <c r="A80" s="213"/>
      <c r="B80" s="213"/>
      <c r="C80" s="210"/>
      <c r="D80" s="210"/>
      <c r="E80" s="186" t="s">
        <v>55</v>
      </c>
      <c r="F80" s="186" t="s">
        <v>597</v>
      </c>
      <c r="G80" s="186" t="s">
        <v>329</v>
      </c>
      <c r="H80" s="186" t="s">
        <v>243</v>
      </c>
      <c r="I80" s="186"/>
      <c r="J80" s="72">
        <v>193</v>
      </c>
      <c r="K80" s="186" t="s">
        <v>682</v>
      </c>
      <c r="L80" s="186" t="s">
        <v>3908</v>
      </c>
      <c r="M80" s="186" t="s">
        <v>598</v>
      </c>
      <c r="N80" s="186" t="s">
        <v>1943</v>
      </c>
      <c r="O80" s="186" t="s">
        <v>1993</v>
      </c>
      <c r="P80" s="186" t="s">
        <v>3931</v>
      </c>
      <c r="Q80" s="186" t="s">
        <v>1994</v>
      </c>
      <c r="R80" s="186"/>
      <c r="S80" s="186">
        <v>258</v>
      </c>
      <c r="T80" s="90" t="s">
        <v>1995</v>
      </c>
      <c r="U80" s="90"/>
      <c r="V80" s="90"/>
      <c r="W80" s="90"/>
      <c r="X80">
        <v>78</v>
      </c>
      <c r="Z80" t="s">
        <v>1920</v>
      </c>
      <c r="AA80" s="30">
        <v>43449</v>
      </c>
    </row>
    <row r="81" spans="1:28" ht="18.75" customHeight="1">
      <c r="A81" s="213"/>
      <c r="B81" s="213"/>
      <c r="C81" s="210"/>
      <c r="D81" s="210"/>
      <c r="E81" s="186" t="s">
        <v>55</v>
      </c>
      <c r="F81" s="186" t="s">
        <v>599</v>
      </c>
      <c r="G81" s="186" t="s">
        <v>329</v>
      </c>
      <c r="H81" s="186" t="s">
        <v>243</v>
      </c>
      <c r="I81" s="186"/>
      <c r="J81" s="72">
        <v>194</v>
      </c>
      <c r="K81" s="186" t="s">
        <v>682</v>
      </c>
      <c r="L81" s="186" t="s">
        <v>3908</v>
      </c>
      <c r="M81" s="186" t="s">
        <v>600</v>
      </c>
      <c r="N81" s="186" t="s">
        <v>1943</v>
      </c>
      <c r="O81" s="186" t="s">
        <v>2254</v>
      </c>
      <c r="P81" s="186" t="s">
        <v>3931</v>
      </c>
      <c r="Q81" s="186"/>
      <c r="R81" s="186"/>
      <c r="S81" s="186"/>
      <c r="T81" s="90" t="s">
        <v>2256</v>
      </c>
      <c r="U81" s="90"/>
      <c r="V81" s="90"/>
      <c r="W81" s="90"/>
      <c r="X81">
        <v>79</v>
      </c>
      <c r="Z81" t="s">
        <v>1920</v>
      </c>
      <c r="AA81" s="30">
        <v>43449</v>
      </c>
    </row>
    <row r="82" spans="1:28" ht="18.75" customHeight="1">
      <c r="A82" s="213"/>
      <c r="B82" s="213"/>
      <c r="C82" s="210"/>
      <c r="D82" s="210"/>
      <c r="E82" s="186" t="s">
        <v>61</v>
      </c>
      <c r="F82" s="186" t="s">
        <v>140</v>
      </c>
      <c r="G82" s="186" t="s">
        <v>329</v>
      </c>
      <c r="H82" s="186" t="s">
        <v>243</v>
      </c>
      <c r="I82" s="186"/>
      <c r="J82" s="186">
        <v>80</v>
      </c>
      <c r="K82" s="186" t="s">
        <v>682</v>
      </c>
      <c r="L82" s="186" t="s">
        <v>3908</v>
      </c>
      <c r="M82" s="186" t="s">
        <v>601</v>
      </c>
      <c r="N82" s="186" t="s">
        <v>1921</v>
      </c>
      <c r="O82" s="186" t="s">
        <v>2240</v>
      </c>
      <c r="P82" s="186" t="s">
        <v>3946</v>
      </c>
      <c r="Q82" s="186"/>
      <c r="R82" s="186"/>
      <c r="S82" s="186">
        <v>258</v>
      </c>
      <c r="T82" s="186" t="s">
        <v>2242</v>
      </c>
      <c r="U82" s="186"/>
      <c r="V82" s="186"/>
      <c r="W82" s="186"/>
      <c r="X82">
        <v>80</v>
      </c>
      <c r="Z82" t="s">
        <v>1920</v>
      </c>
      <c r="AA82" s="30">
        <v>43449</v>
      </c>
    </row>
    <row r="83" spans="1:28" ht="18.75" customHeight="1">
      <c r="A83" s="213"/>
      <c r="B83" s="213"/>
      <c r="C83" s="210"/>
      <c r="D83" s="210"/>
      <c r="E83" s="186" t="s">
        <v>59</v>
      </c>
      <c r="F83" s="186" t="s">
        <v>141</v>
      </c>
      <c r="G83" s="186" t="s">
        <v>329</v>
      </c>
      <c r="H83" s="186" t="s">
        <v>243</v>
      </c>
      <c r="I83" s="186"/>
      <c r="J83" s="186">
        <v>87</v>
      </c>
      <c r="K83" s="186" t="s">
        <v>682</v>
      </c>
      <c r="L83" s="186" t="s">
        <v>3908</v>
      </c>
      <c r="M83" s="186" t="s">
        <v>602</v>
      </c>
      <c r="N83" s="186" t="s">
        <v>2272</v>
      </c>
      <c r="O83" s="186" t="s">
        <v>2273</v>
      </c>
      <c r="P83" s="186" t="s">
        <v>3946</v>
      </c>
      <c r="Q83" s="186"/>
      <c r="R83" s="186"/>
      <c r="S83" s="186">
        <v>258</v>
      </c>
      <c r="T83" s="186" t="s">
        <v>2274</v>
      </c>
      <c r="U83" s="186"/>
      <c r="V83" s="186"/>
      <c r="W83" s="186"/>
      <c r="X83">
        <v>81</v>
      </c>
      <c r="Z83" t="s">
        <v>1920</v>
      </c>
      <c r="AA83" s="30">
        <v>43449</v>
      </c>
      <c r="AB83" t="s">
        <v>3934</v>
      </c>
    </row>
    <row r="84" spans="1:28" ht="18.75" customHeight="1">
      <c r="A84" s="213"/>
      <c r="B84" s="213"/>
      <c r="C84" s="210" t="s">
        <v>1968</v>
      </c>
      <c r="D84" s="210">
        <v>1</v>
      </c>
      <c r="E84" s="186" t="s">
        <v>61</v>
      </c>
      <c r="F84" s="186" t="s">
        <v>131</v>
      </c>
      <c r="G84" s="186" t="s">
        <v>329</v>
      </c>
      <c r="H84" s="186" t="s">
        <v>243</v>
      </c>
      <c r="I84" s="186"/>
      <c r="J84" s="186">
        <v>21</v>
      </c>
      <c r="K84" s="186" t="s">
        <v>682</v>
      </c>
      <c r="L84" s="186" t="s">
        <v>3908</v>
      </c>
      <c r="M84" s="186" t="s">
        <v>603</v>
      </c>
      <c r="N84" s="186" t="s">
        <v>1943</v>
      </c>
      <c r="O84" s="186" t="s">
        <v>1969</v>
      </c>
      <c r="P84" s="186" t="s">
        <v>3946</v>
      </c>
      <c r="Q84" s="186"/>
      <c r="R84" s="186"/>
      <c r="S84" s="186">
        <v>258</v>
      </c>
      <c r="T84" s="186" t="s">
        <v>1971</v>
      </c>
      <c r="U84" s="186"/>
      <c r="V84" s="186"/>
      <c r="W84" s="186"/>
      <c r="X84">
        <v>82</v>
      </c>
      <c r="Z84" t="s">
        <v>1920</v>
      </c>
      <c r="AA84" s="30">
        <v>43449</v>
      </c>
    </row>
    <row r="85" spans="1:28" ht="18.75" customHeight="1">
      <c r="A85" s="213"/>
      <c r="B85" s="213"/>
      <c r="C85" s="210"/>
      <c r="D85" s="210"/>
      <c r="E85" s="186" t="s">
        <v>59</v>
      </c>
      <c r="F85" s="186" t="s">
        <v>132</v>
      </c>
      <c r="G85" s="186" t="s">
        <v>329</v>
      </c>
      <c r="H85" s="186" t="s">
        <v>243</v>
      </c>
      <c r="I85" s="186"/>
      <c r="J85" s="186">
        <v>28</v>
      </c>
      <c r="K85" s="186" t="s">
        <v>682</v>
      </c>
      <c r="L85" s="186" t="s">
        <v>3908</v>
      </c>
      <c r="M85" s="186" t="s">
        <v>604</v>
      </c>
      <c r="N85" s="186" t="s">
        <v>1943</v>
      </c>
      <c r="O85" s="186" t="s">
        <v>2009</v>
      </c>
      <c r="P85" s="186" t="s">
        <v>3946</v>
      </c>
      <c r="Q85" s="186" t="s">
        <v>2010</v>
      </c>
      <c r="R85" s="186"/>
      <c r="S85" s="186"/>
      <c r="T85" s="186" t="s">
        <v>2024</v>
      </c>
      <c r="U85" s="186"/>
      <c r="V85" s="186"/>
      <c r="W85" s="186"/>
      <c r="X85">
        <v>83</v>
      </c>
      <c r="Z85" t="s">
        <v>1920</v>
      </c>
      <c r="AA85" s="30">
        <v>43449</v>
      </c>
    </row>
    <row r="86" spans="1:28" ht="18.75" customHeight="1">
      <c r="A86" s="213"/>
      <c r="B86" s="213"/>
      <c r="C86" s="210"/>
      <c r="D86" s="210"/>
      <c r="E86" s="186" t="s">
        <v>55</v>
      </c>
      <c r="F86" s="186" t="s">
        <v>605</v>
      </c>
      <c r="G86" s="186" t="s">
        <v>329</v>
      </c>
      <c r="H86" s="186" t="s">
        <v>243</v>
      </c>
      <c r="I86" s="186"/>
      <c r="J86" s="186">
        <v>29</v>
      </c>
      <c r="K86" s="186" t="s">
        <v>682</v>
      </c>
      <c r="L86" s="186" t="s">
        <v>3908</v>
      </c>
      <c r="M86" s="186" t="s">
        <v>606</v>
      </c>
      <c r="N86" s="186" t="s">
        <v>1943</v>
      </c>
      <c r="O86" s="186" t="s">
        <v>2009</v>
      </c>
      <c r="P86" s="186" t="s">
        <v>3931</v>
      </c>
      <c r="Q86" s="186" t="s">
        <v>3947</v>
      </c>
      <c r="R86" s="186"/>
      <c r="S86" s="186"/>
      <c r="T86" s="186" t="s">
        <v>2026</v>
      </c>
      <c r="U86" s="186"/>
      <c r="V86" s="186"/>
      <c r="W86" s="186"/>
      <c r="X86">
        <v>84</v>
      </c>
      <c r="Z86" t="s">
        <v>1920</v>
      </c>
      <c r="AA86" s="30">
        <v>43449</v>
      </c>
    </row>
    <row r="87" spans="1:28" ht="18.75" customHeight="1">
      <c r="A87" s="213"/>
      <c r="B87" s="213"/>
      <c r="C87" s="210"/>
      <c r="D87" s="210"/>
      <c r="E87" s="186" t="s">
        <v>55</v>
      </c>
      <c r="F87" s="186" t="s">
        <v>607</v>
      </c>
      <c r="G87" s="186" t="s">
        <v>329</v>
      </c>
      <c r="H87" s="186" t="s">
        <v>243</v>
      </c>
      <c r="I87" s="186"/>
      <c r="J87" s="186">
        <v>30</v>
      </c>
      <c r="K87" s="186" t="s">
        <v>682</v>
      </c>
      <c r="L87" s="186" t="s">
        <v>3908</v>
      </c>
      <c r="M87" s="186" t="s">
        <v>608</v>
      </c>
      <c r="N87" s="186" t="s">
        <v>1943</v>
      </c>
      <c r="O87" s="186" t="s">
        <v>2009</v>
      </c>
      <c r="P87" s="186" t="s">
        <v>3931</v>
      </c>
      <c r="Q87" s="186" t="s">
        <v>3948</v>
      </c>
      <c r="R87" s="186"/>
      <c r="S87" s="186"/>
      <c r="T87" s="186" t="s">
        <v>2028</v>
      </c>
      <c r="U87" s="186"/>
      <c r="V87" s="186"/>
      <c r="W87" s="186"/>
      <c r="X87">
        <v>85</v>
      </c>
      <c r="Z87" t="s">
        <v>1920</v>
      </c>
      <c r="AA87" s="30">
        <v>43449</v>
      </c>
    </row>
    <row r="88" spans="1:28" ht="18.75" customHeight="1">
      <c r="A88" s="213"/>
      <c r="B88" s="213"/>
      <c r="C88" s="210"/>
      <c r="D88" s="210"/>
      <c r="E88" s="186" t="s">
        <v>55</v>
      </c>
      <c r="F88" s="186" t="s">
        <v>609</v>
      </c>
      <c r="G88" s="186" t="s">
        <v>329</v>
      </c>
      <c r="H88" s="186" t="s">
        <v>243</v>
      </c>
      <c r="I88" s="186"/>
      <c r="J88" s="72">
        <v>212</v>
      </c>
      <c r="K88" s="186" t="s">
        <v>682</v>
      </c>
      <c r="L88" s="186" t="s">
        <v>3908</v>
      </c>
      <c r="M88" s="388" t="s">
        <v>1980</v>
      </c>
      <c r="N88" s="186" t="s">
        <v>1943</v>
      </c>
      <c r="O88" s="186" t="s">
        <v>1981</v>
      </c>
      <c r="P88" s="186" t="s">
        <v>3931</v>
      </c>
      <c r="Q88" s="186" t="s">
        <v>3949</v>
      </c>
      <c r="R88" s="186"/>
      <c r="S88" s="186">
        <v>258</v>
      </c>
      <c r="T88" s="90" t="s">
        <v>1984</v>
      </c>
      <c r="U88" s="90"/>
      <c r="V88" s="90"/>
      <c r="W88" s="90"/>
      <c r="X88">
        <v>86</v>
      </c>
      <c r="Z88" t="s">
        <v>1920</v>
      </c>
      <c r="AA88" s="30">
        <v>43449</v>
      </c>
      <c r="AB88" t="s">
        <v>1985</v>
      </c>
    </row>
    <row r="89" spans="1:28" ht="18.75" customHeight="1">
      <c r="A89" s="213"/>
      <c r="B89" s="213"/>
      <c r="C89" s="210"/>
      <c r="D89" s="210"/>
      <c r="E89" s="186" t="s">
        <v>55</v>
      </c>
      <c r="F89" s="186" t="s">
        <v>611</v>
      </c>
      <c r="G89" s="186" t="s">
        <v>329</v>
      </c>
      <c r="H89" s="186" t="s">
        <v>243</v>
      </c>
      <c r="I89" s="186"/>
      <c r="J89" s="72">
        <v>200</v>
      </c>
      <c r="K89" s="186" t="s">
        <v>682</v>
      </c>
      <c r="L89" s="186" t="s">
        <v>3908</v>
      </c>
      <c r="M89" s="186" t="s">
        <v>612</v>
      </c>
      <c r="N89" s="186" t="s">
        <v>1943</v>
      </c>
      <c r="O89" s="186" t="s">
        <v>1989</v>
      </c>
      <c r="P89" s="186" t="s">
        <v>3946</v>
      </c>
      <c r="Q89" s="186" t="s">
        <v>3950</v>
      </c>
      <c r="R89" s="186"/>
      <c r="S89" s="186">
        <v>-258</v>
      </c>
      <c r="T89" s="90" t="s">
        <v>1992</v>
      </c>
      <c r="U89" s="90"/>
      <c r="V89" s="90"/>
      <c r="W89" s="90"/>
      <c r="X89">
        <v>87</v>
      </c>
      <c r="Z89" t="s">
        <v>1920</v>
      </c>
      <c r="AA89" s="30">
        <v>43449</v>
      </c>
    </row>
    <row r="90" spans="1:28" ht="18.75" customHeight="1">
      <c r="A90" s="213"/>
      <c r="B90" s="213"/>
      <c r="C90" s="210"/>
      <c r="D90" s="210"/>
      <c r="E90" s="186" t="s">
        <v>55</v>
      </c>
      <c r="F90" s="186" t="s">
        <v>613</v>
      </c>
      <c r="G90" s="186" t="s">
        <v>329</v>
      </c>
      <c r="H90" s="186" t="s">
        <v>243</v>
      </c>
      <c r="I90" s="186"/>
      <c r="J90" s="72">
        <v>180</v>
      </c>
      <c r="K90" s="186" t="s">
        <v>682</v>
      </c>
      <c r="L90" s="186" t="s">
        <v>3908</v>
      </c>
      <c r="M90" s="186" t="s">
        <v>614</v>
      </c>
      <c r="N90" s="186" t="s">
        <v>1943</v>
      </c>
      <c r="O90" s="186" t="s">
        <v>2009</v>
      </c>
      <c r="P90" s="186" t="s">
        <v>3946</v>
      </c>
      <c r="Q90" s="186" t="s">
        <v>2010</v>
      </c>
      <c r="R90" s="186"/>
      <c r="S90" s="186">
        <v>258</v>
      </c>
      <c r="T90" s="90" t="s">
        <v>2011</v>
      </c>
      <c r="U90" s="90"/>
      <c r="V90" s="90"/>
      <c r="W90" s="90"/>
      <c r="X90">
        <v>88</v>
      </c>
      <c r="Z90" t="s">
        <v>1920</v>
      </c>
      <c r="AA90" s="30">
        <v>43449</v>
      </c>
    </row>
    <row r="91" spans="1:28" ht="18.75" customHeight="1">
      <c r="A91" s="213"/>
      <c r="B91" s="213"/>
      <c r="C91" s="210"/>
      <c r="D91" s="210"/>
      <c r="E91" s="186" t="s">
        <v>55</v>
      </c>
      <c r="F91" s="186" t="s">
        <v>615</v>
      </c>
      <c r="G91" s="186" t="s">
        <v>329</v>
      </c>
      <c r="H91" s="186" t="s">
        <v>243</v>
      </c>
      <c r="I91" s="186"/>
      <c r="J91" s="72">
        <v>186</v>
      </c>
      <c r="K91" s="186" t="s">
        <v>682</v>
      </c>
      <c r="L91" s="186" t="s">
        <v>3908</v>
      </c>
      <c r="M91" s="186" t="s">
        <v>616</v>
      </c>
      <c r="N91" s="186" t="s">
        <v>1943</v>
      </c>
      <c r="O91" s="186" t="s">
        <v>2260</v>
      </c>
      <c r="P91" s="186" t="s">
        <v>3946</v>
      </c>
      <c r="Q91" s="186"/>
      <c r="R91" s="186"/>
      <c r="S91" s="186">
        <v>-258</v>
      </c>
      <c r="T91" s="90" t="s">
        <v>2262</v>
      </c>
      <c r="U91" s="90"/>
      <c r="V91" s="90"/>
      <c r="W91" s="90"/>
      <c r="X91">
        <v>89</v>
      </c>
      <c r="Z91" t="s">
        <v>1920</v>
      </c>
      <c r="AA91" s="30">
        <v>43449</v>
      </c>
      <c r="AB91" t="s">
        <v>3934</v>
      </c>
    </row>
    <row r="92" spans="1:28" ht="18.75" customHeight="1">
      <c r="A92" s="213"/>
      <c r="B92" s="213"/>
      <c r="C92" s="210"/>
      <c r="D92" s="210"/>
      <c r="E92" s="186" t="s">
        <v>55</v>
      </c>
      <c r="F92" s="186" t="s">
        <v>617</v>
      </c>
      <c r="G92" s="186" t="s">
        <v>329</v>
      </c>
      <c r="H92" s="186" t="s">
        <v>243</v>
      </c>
      <c r="I92" s="186"/>
      <c r="J92" s="72">
        <v>185</v>
      </c>
      <c r="K92" s="186" t="s">
        <v>682</v>
      </c>
      <c r="L92" s="186" t="s">
        <v>3908</v>
      </c>
      <c r="M92" s="186" t="s">
        <v>618</v>
      </c>
      <c r="N92" s="186" t="s">
        <v>1943</v>
      </c>
      <c r="O92" s="186" t="s">
        <v>2005</v>
      </c>
      <c r="P92" s="186" t="s">
        <v>3946</v>
      </c>
      <c r="Q92" s="186" t="s">
        <v>2007</v>
      </c>
      <c r="R92" s="186"/>
      <c r="S92" s="186">
        <v>258</v>
      </c>
      <c r="T92" s="90" t="s">
        <v>2008</v>
      </c>
      <c r="U92" s="90"/>
      <c r="V92" s="90"/>
      <c r="W92" s="90"/>
      <c r="X92">
        <v>90</v>
      </c>
      <c r="Z92" t="s">
        <v>1920</v>
      </c>
      <c r="AA92" s="30">
        <v>43449</v>
      </c>
      <c r="AB92" t="s">
        <v>3934</v>
      </c>
    </row>
    <row r="93" spans="1:28" ht="18.75" customHeight="1">
      <c r="A93" s="213"/>
      <c r="B93" s="213"/>
      <c r="C93" s="210"/>
      <c r="D93" s="210"/>
      <c r="E93" s="186" t="s">
        <v>55</v>
      </c>
      <c r="F93" s="186" t="s">
        <v>619</v>
      </c>
      <c r="G93" s="186" t="s">
        <v>329</v>
      </c>
      <c r="H93" s="186" t="s">
        <v>243</v>
      </c>
      <c r="I93" s="186"/>
      <c r="J93" s="186">
        <v>79</v>
      </c>
      <c r="K93" s="186" t="s">
        <v>682</v>
      </c>
      <c r="L93" s="186" t="s">
        <v>3908</v>
      </c>
      <c r="M93" s="186" t="s">
        <v>412</v>
      </c>
      <c r="N93" s="186" t="s">
        <v>1921</v>
      </c>
      <c r="O93" s="186" t="s">
        <v>2237</v>
      </c>
      <c r="P93" s="186" t="s">
        <v>3931</v>
      </c>
      <c r="Q93" s="186" t="s">
        <v>1034</v>
      </c>
      <c r="R93" s="186"/>
      <c r="S93" s="186">
        <v>258</v>
      </c>
      <c r="T93" s="186" t="s">
        <v>2239</v>
      </c>
      <c r="U93" s="186"/>
      <c r="V93" s="186"/>
      <c r="W93" s="186"/>
      <c r="X93">
        <v>91</v>
      </c>
      <c r="Z93" t="s">
        <v>1920</v>
      </c>
      <c r="AA93" s="30">
        <v>43449</v>
      </c>
    </row>
    <row r="94" spans="1:28" ht="18.75" customHeight="1">
      <c r="A94" s="213"/>
      <c r="B94" s="213"/>
      <c r="C94" s="210"/>
      <c r="D94" s="210"/>
      <c r="E94" s="186" t="s">
        <v>55</v>
      </c>
      <c r="F94" s="186" t="s">
        <v>620</v>
      </c>
      <c r="G94" s="186" t="s">
        <v>329</v>
      </c>
      <c r="H94" s="186" t="s">
        <v>243</v>
      </c>
      <c r="I94" s="186"/>
      <c r="J94" s="186">
        <v>92</v>
      </c>
      <c r="K94" s="186" t="s">
        <v>682</v>
      </c>
      <c r="L94" s="186" t="s">
        <v>3908</v>
      </c>
      <c r="M94" s="186" t="s">
        <v>622</v>
      </c>
      <c r="N94" s="186" t="s">
        <v>1921</v>
      </c>
      <c r="O94" s="186" t="s">
        <v>2283</v>
      </c>
      <c r="P94" s="186" t="s">
        <v>3931</v>
      </c>
      <c r="Q94" s="186"/>
      <c r="R94" s="186"/>
      <c r="S94" s="186"/>
      <c r="T94" s="186" t="s">
        <v>2285</v>
      </c>
      <c r="U94" s="186"/>
      <c r="V94" s="186"/>
      <c r="W94" s="186"/>
      <c r="X94">
        <v>92</v>
      </c>
      <c r="Z94" t="s">
        <v>1920</v>
      </c>
      <c r="AA94" s="30">
        <v>43449</v>
      </c>
      <c r="AB94" t="s">
        <v>3934</v>
      </c>
    </row>
    <row r="95" spans="1:28" ht="18.75" customHeight="1">
      <c r="A95" s="213"/>
      <c r="B95" s="213"/>
      <c r="C95" s="210"/>
      <c r="D95" s="210"/>
      <c r="E95" s="186" t="s">
        <v>55</v>
      </c>
      <c r="F95" s="186" t="s">
        <v>623</v>
      </c>
      <c r="G95" s="186" t="s">
        <v>329</v>
      </c>
      <c r="H95" s="186" t="s">
        <v>243</v>
      </c>
      <c r="I95" s="186"/>
      <c r="J95" s="186">
        <v>33</v>
      </c>
      <c r="K95" s="186" t="s">
        <v>682</v>
      </c>
      <c r="L95" s="186" t="s">
        <v>3908</v>
      </c>
      <c r="M95" s="186" t="s">
        <v>624</v>
      </c>
      <c r="N95" s="186" t="s">
        <v>1943</v>
      </c>
      <c r="O95" s="186" t="s">
        <v>2047</v>
      </c>
      <c r="P95" s="186" t="s">
        <v>3931</v>
      </c>
      <c r="Q95" s="186" t="s">
        <v>2049</v>
      </c>
      <c r="R95" s="186"/>
      <c r="S95" s="186"/>
      <c r="T95" s="186" t="s">
        <v>2050</v>
      </c>
      <c r="U95" s="186"/>
      <c r="V95" s="186"/>
      <c r="W95" s="186"/>
      <c r="X95">
        <v>93</v>
      </c>
      <c r="Z95" t="s">
        <v>1920</v>
      </c>
      <c r="AA95" s="30">
        <v>43449</v>
      </c>
    </row>
    <row r="96" spans="1:28" ht="18.75" customHeight="1">
      <c r="A96" s="213"/>
      <c r="B96" s="213"/>
      <c r="C96" s="210"/>
      <c r="D96" s="210"/>
      <c r="E96" s="186" t="s">
        <v>55</v>
      </c>
      <c r="F96" s="186" t="s">
        <v>625</v>
      </c>
      <c r="G96" s="186" t="s">
        <v>329</v>
      </c>
      <c r="H96" s="186" t="s">
        <v>243</v>
      </c>
      <c r="I96" s="186"/>
      <c r="J96" s="72">
        <v>201</v>
      </c>
      <c r="K96" s="186" t="s">
        <v>682</v>
      </c>
      <c r="L96" s="186" t="s">
        <v>3908</v>
      </c>
      <c r="M96" s="186" t="s">
        <v>626</v>
      </c>
      <c r="N96" s="186" t="s">
        <v>1921</v>
      </c>
      <c r="O96" s="186" t="s">
        <v>1922</v>
      </c>
      <c r="P96" s="186" t="s">
        <v>3931</v>
      </c>
      <c r="Q96" s="186"/>
      <c r="R96" s="186"/>
      <c r="S96" s="186"/>
      <c r="T96" s="90" t="s">
        <v>1924</v>
      </c>
      <c r="U96" s="90"/>
      <c r="V96" s="90"/>
      <c r="W96" s="90"/>
      <c r="X96">
        <v>94</v>
      </c>
      <c r="Z96" t="s">
        <v>1920</v>
      </c>
      <c r="AA96" s="30">
        <v>43449</v>
      </c>
    </row>
    <row r="97" spans="1:28" ht="18.75" customHeight="1">
      <c r="A97" s="213"/>
      <c r="B97" s="213"/>
      <c r="C97" s="210"/>
      <c r="D97" s="210"/>
      <c r="E97" s="186" t="s">
        <v>55</v>
      </c>
      <c r="F97" s="186" t="s">
        <v>627</v>
      </c>
      <c r="G97" s="186" t="s">
        <v>329</v>
      </c>
      <c r="H97" s="186" t="s">
        <v>243</v>
      </c>
      <c r="I97" s="186"/>
      <c r="J97" s="186">
        <v>82</v>
      </c>
      <c r="K97" s="186" t="s">
        <v>682</v>
      </c>
      <c r="L97" s="186" t="s">
        <v>3908</v>
      </c>
      <c r="M97" s="186" t="s">
        <v>628</v>
      </c>
      <c r="N97" s="186" t="s">
        <v>1943</v>
      </c>
      <c r="O97" s="186" t="s">
        <v>2245</v>
      </c>
      <c r="P97" s="186" t="s">
        <v>3931</v>
      </c>
      <c r="Q97" s="186"/>
      <c r="R97" s="186"/>
      <c r="S97" s="186"/>
      <c r="T97" s="186" t="s">
        <v>2247</v>
      </c>
      <c r="U97" s="186"/>
      <c r="V97" s="186"/>
      <c r="W97" s="186"/>
      <c r="X97">
        <v>95</v>
      </c>
      <c r="Z97" t="s">
        <v>1920</v>
      </c>
      <c r="AA97" s="30">
        <v>43449</v>
      </c>
    </row>
    <row r="98" spans="1:28" ht="18.75" customHeight="1">
      <c r="A98" s="213"/>
      <c r="B98" s="213"/>
      <c r="C98" s="210"/>
      <c r="D98" s="210"/>
      <c r="E98" s="186" t="s">
        <v>59</v>
      </c>
      <c r="F98" s="186" t="s">
        <v>629</v>
      </c>
      <c r="G98" s="186" t="s">
        <v>329</v>
      </c>
      <c r="H98" s="186" t="s">
        <v>243</v>
      </c>
      <c r="I98" s="186"/>
      <c r="J98" s="186">
        <v>23</v>
      </c>
      <c r="K98" s="186" t="s">
        <v>682</v>
      </c>
      <c r="L98" s="186" t="s">
        <v>3908</v>
      </c>
      <c r="M98" s="186" t="s">
        <v>630</v>
      </c>
      <c r="N98" s="186" t="s">
        <v>1943</v>
      </c>
      <c r="O98" s="186" t="s">
        <v>1974</v>
      </c>
      <c r="P98" s="186" t="s">
        <v>3931</v>
      </c>
      <c r="Q98" s="186"/>
      <c r="R98" s="186"/>
      <c r="S98" s="186">
        <v>1</v>
      </c>
      <c r="T98" s="186" t="s">
        <v>1976</v>
      </c>
      <c r="U98" s="186"/>
      <c r="V98" s="186"/>
      <c r="W98" s="186"/>
      <c r="X98">
        <v>96</v>
      </c>
      <c r="Z98" t="s">
        <v>1920</v>
      </c>
      <c r="AA98" s="30">
        <v>43449</v>
      </c>
    </row>
    <row r="99" spans="1:28" ht="18.75" customHeight="1">
      <c r="A99" s="213"/>
      <c r="B99" s="213"/>
      <c r="C99" s="210"/>
      <c r="D99" s="210"/>
      <c r="E99" s="186" t="s">
        <v>55</v>
      </c>
      <c r="F99" s="186" t="s">
        <v>631</v>
      </c>
      <c r="G99" s="186" t="s">
        <v>329</v>
      </c>
      <c r="H99" s="186" t="s">
        <v>243</v>
      </c>
      <c r="I99" s="186"/>
      <c r="J99" s="186">
        <v>38</v>
      </c>
      <c r="K99" s="186" t="s">
        <v>682</v>
      </c>
      <c r="L99" s="186" t="s">
        <v>3908</v>
      </c>
      <c r="M99" s="186" t="s">
        <v>632</v>
      </c>
      <c r="N99" s="186" t="s">
        <v>1943</v>
      </c>
      <c r="O99" s="186" t="s">
        <v>2068</v>
      </c>
      <c r="P99" s="186" t="s">
        <v>3931</v>
      </c>
      <c r="Q99" s="186"/>
      <c r="R99" s="186"/>
      <c r="S99" s="186"/>
      <c r="T99" s="186" t="s">
        <v>2070</v>
      </c>
      <c r="U99" s="186"/>
      <c r="V99" s="186"/>
      <c r="W99" s="186"/>
      <c r="X99">
        <v>97</v>
      </c>
      <c r="Z99" t="s">
        <v>1920</v>
      </c>
      <c r="AA99" s="30">
        <v>43449</v>
      </c>
    </row>
    <row r="100" spans="1:28" ht="18.75" customHeight="1">
      <c r="A100" s="213"/>
      <c r="B100" s="213"/>
      <c r="C100" s="210"/>
      <c r="D100" s="210"/>
      <c r="E100" s="186" t="s">
        <v>55</v>
      </c>
      <c r="F100" s="186" t="s">
        <v>633</v>
      </c>
      <c r="G100" s="186" t="s">
        <v>329</v>
      </c>
      <c r="H100" s="186" t="s">
        <v>243</v>
      </c>
      <c r="I100" s="186"/>
      <c r="J100" s="72">
        <v>196</v>
      </c>
      <c r="K100" s="186" t="s">
        <v>682</v>
      </c>
      <c r="L100" s="186" t="s">
        <v>3908</v>
      </c>
      <c r="M100" s="186" t="s">
        <v>634</v>
      </c>
      <c r="N100" s="186" t="s">
        <v>1943</v>
      </c>
      <c r="O100" s="186" t="s">
        <v>2034</v>
      </c>
      <c r="P100" s="186" t="s">
        <v>3931</v>
      </c>
      <c r="Q100" s="186" t="s">
        <v>3951</v>
      </c>
      <c r="R100" s="186"/>
      <c r="S100" s="186"/>
      <c r="T100" s="90" t="s">
        <v>2037</v>
      </c>
      <c r="U100" s="90"/>
      <c r="V100" s="90"/>
      <c r="W100" s="90"/>
      <c r="X100">
        <v>98</v>
      </c>
      <c r="Z100" t="s">
        <v>1920</v>
      </c>
      <c r="AA100" s="30">
        <v>43449</v>
      </c>
    </row>
    <row r="101" spans="1:28" ht="18.75" customHeight="1">
      <c r="A101" s="213"/>
      <c r="B101" s="213"/>
      <c r="C101" s="210"/>
      <c r="D101" s="210"/>
      <c r="E101" s="186" t="s">
        <v>55</v>
      </c>
      <c r="F101" s="186" t="s">
        <v>635</v>
      </c>
      <c r="G101" s="186" t="s">
        <v>329</v>
      </c>
      <c r="H101" s="186" t="s">
        <v>243</v>
      </c>
      <c r="I101" s="186"/>
      <c r="J101" s="72">
        <v>173</v>
      </c>
      <c r="K101" s="186" t="s">
        <v>682</v>
      </c>
      <c r="L101" s="186" t="s">
        <v>3908</v>
      </c>
      <c r="M101" s="186" t="s">
        <v>636</v>
      </c>
      <c r="N101" s="186" t="s">
        <v>1943</v>
      </c>
      <c r="O101" s="186" t="s">
        <v>2034</v>
      </c>
      <c r="P101" s="186" t="s">
        <v>3931</v>
      </c>
      <c r="Q101" s="186" t="s">
        <v>3952</v>
      </c>
      <c r="R101" s="186"/>
      <c r="S101" s="186"/>
      <c r="T101" s="90" t="s">
        <v>2041</v>
      </c>
      <c r="U101" s="90"/>
      <c r="V101" s="90"/>
      <c r="W101" s="90"/>
      <c r="X101">
        <v>99</v>
      </c>
      <c r="Z101" t="s">
        <v>1920</v>
      </c>
      <c r="AA101" s="30">
        <v>43449</v>
      </c>
    </row>
    <row r="102" spans="1:28" ht="18.75" customHeight="1">
      <c r="A102" s="213"/>
      <c r="B102" s="213"/>
      <c r="C102" s="210"/>
      <c r="D102" s="210"/>
      <c r="E102" s="186" t="s">
        <v>55</v>
      </c>
      <c r="F102" s="186" t="s">
        <v>637</v>
      </c>
      <c r="G102" s="186" t="s">
        <v>329</v>
      </c>
      <c r="H102" s="186" t="s">
        <v>243</v>
      </c>
      <c r="I102" s="186"/>
      <c r="J102" s="72">
        <v>197</v>
      </c>
      <c r="K102" s="186" t="s">
        <v>682</v>
      </c>
      <c r="L102" s="186" t="s">
        <v>3953</v>
      </c>
      <c r="M102" s="186" t="s">
        <v>638</v>
      </c>
      <c r="N102" s="186" t="s">
        <v>1943</v>
      </c>
      <c r="O102" s="186" t="s">
        <v>2034</v>
      </c>
      <c r="P102" s="186" t="s">
        <v>3931</v>
      </c>
      <c r="Q102" s="186" t="s">
        <v>3952</v>
      </c>
      <c r="R102" s="186"/>
      <c r="S102" s="186"/>
      <c r="T102" s="90" t="s">
        <v>2038</v>
      </c>
      <c r="U102" s="90"/>
      <c r="V102" s="90"/>
      <c r="W102" s="90"/>
      <c r="X102">
        <v>100</v>
      </c>
      <c r="Z102" t="s">
        <v>1920</v>
      </c>
      <c r="AA102" s="30">
        <v>43449</v>
      </c>
    </row>
    <row r="103" spans="1:28" ht="18.75" customHeight="1">
      <c r="A103" s="213"/>
      <c r="B103" s="213"/>
      <c r="C103" s="210"/>
      <c r="D103" s="210"/>
      <c r="E103" s="186" t="s">
        <v>59</v>
      </c>
      <c r="F103" s="186" t="s">
        <v>639</v>
      </c>
      <c r="G103" s="186" t="s">
        <v>329</v>
      </c>
      <c r="H103" s="186" t="s">
        <v>243</v>
      </c>
      <c r="I103" s="186"/>
      <c r="J103" s="186">
        <v>41</v>
      </c>
      <c r="K103" s="186" t="s">
        <v>682</v>
      </c>
      <c r="L103" s="186" t="s">
        <v>3953</v>
      </c>
      <c r="M103" s="186" t="s">
        <v>640</v>
      </c>
      <c r="N103" s="186" t="s">
        <v>1943</v>
      </c>
      <c r="O103" s="186" t="s">
        <v>2078</v>
      </c>
      <c r="P103" s="186" t="s">
        <v>3931</v>
      </c>
      <c r="Q103" s="186" t="s">
        <v>2080</v>
      </c>
      <c r="R103" s="186"/>
      <c r="S103" s="186"/>
      <c r="T103" s="186" t="s">
        <v>2081</v>
      </c>
      <c r="U103" s="186"/>
      <c r="V103" s="186"/>
      <c r="W103" s="186"/>
      <c r="X103">
        <v>101</v>
      </c>
      <c r="Z103" t="s">
        <v>1920</v>
      </c>
      <c r="AA103" s="30">
        <v>43449</v>
      </c>
    </row>
    <row r="104" spans="1:28" ht="18.75" customHeight="1">
      <c r="A104" s="213"/>
      <c r="B104" s="213"/>
      <c r="C104" s="210"/>
      <c r="D104" s="210"/>
      <c r="E104" s="186" t="s">
        <v>55</v>
      </c>
      <c r="F104" s="186" t="s">
        <v>641</v>
      </c>
      <c r="G104" s="186" t="s">
        <v>329</v>
      </c>
      <c r="H104" s="186" t="s">
        <v>243</v>
      </c>
      <c r="I104" s="186"/>
      <c r="J104" s="72">
        <v>172</v>
      </c>
      <c r="K104" s="186" t="s">
        <v>682</v>
      </c>
      <c r="L104" s="186" t="s">
        <v>3953</v>
      </c>
      <c r="M104" s="186" t="s">
        <v>642</v>
      </c>
      <c r="N104" s="186" t="s">
        <v>1943</v>
      </c>
      <c r="O104" s="186" t="s">
        <v>1998</v>
      </c>
      <c r="P104" s="186" t="s">
        <v>3931</v>
      </c>
      <c r="Q104" s="186" t="s">
        <v>2000</v>
      </c>
      <c r="R104" s="186"/>
      <c r="S104" s="186"/>
      <c r="T104" s="90" t="s">
        <v>2001</v>
      </c>
      <c r="U104" s="90"/>
      <c r="V104" s="90"/>
      <c r="W104" s="90"/>
      <c r="X104">
        <v>102</v>
      </c>
      <c r="Z104" t="s">
        <v>1920</v>
      </c>
      <c r="AA104" s="30">
        <v>43449</v>
      </c>
      <c r="AB104" t="s">
        <v>3934</v>
      </c>
    </row>
    <row r="105" spans="1:28" ht="18.75" customHeight="1">
      <c r="A105" s="213"/>
      <c r="B105" s="213"/>
      <c r="C105" s="210"/>
      <c r="D105" s="210"/>
      <c r="E105" s="186" t="s">
        <v>59</v>
      </c>
      <c r="F105" s="186" t="s">
        <v>643</v>
      </c>
      <c r="G105" s="186" t="s">
        <v>329</v>
      </c>
      <c r="H105" s="186" t="s">
        <v>243</v>
      </c>
      <c r="I105" s="186"/>
      <c r="J105" s="186">
        <v>111</v>
      </c>
      <c r="K105" s="186" t="s">
        <v>682</v>
      </c>
      <c r="L105" s="186" t="s">
        <v>3953</v>
      </c>
      <c r="M105" s="186" t="s">
        <v>644</v>
      </c>
      <c r="N105" s="186" t="s">
        <v>1921</v>
      </c>
      <c r="O105" s="186" t="s">
        <v>2369</v>
      </c>
      <c r="P105" s="186" t="s">
        <v>3931</v>
      </c>
      <c r="Q105" s="186" t="s">
        <v>2370</v>
      </c>
      <c r="R105" s="186"/>
      <c r="S105" s="186"/>
      <c r="T105" s="186" t="s">
        <v>2371</v>
      </c>
      <c r="U105" s="186"/>
      <c r="V105" s="186"/>
      <c r="W105" s="186"/>
      <c r="X105">
        <v>103</v>
      </c>
      <c r="Z105" t="s">
        <v>1920</v>
      </c>
      <c r="AA105" s="30">
        <v>43449</v>
      </c>
    </row>
    <row r="106" spans="1:28" ht="18.75" customHeight="1">
      <c r="A106" s="213"/>
      <c r="B106" s="213"/>
      <c r="C106" s="210"/>
      <c r="D106" s="210"/>
      <c r="E106" s="186" t="s">
        <v>55</v>
      </c>
      <c r="F106" s="186" t="s">
        <v>645</v>
      </c>
      <c r="G106" s="186" t="s">
        <v>329</v>
      </c>
      <c r="H106" s="186" t="s">
        <v>243</v>
      </c>
      <c r="I106" s="186"/>
      <c r="J106" s="72">
        <v>202</v>
      </c>
      <c r="K106" s="186" t="s">
        <v>682</v>
      </c>
      <c r="L106" s="186" t="s">
        <v>3953</v>
      </c>
      <c r="M106" s="186" t="s">
        <v>646</v>
      </c>
      <c r="N106" s="186" t="s">
        <v>1943</v>
      </c>
      <c r="O106" s="186" t="s">
        <v>2002</v>
      </c>
      <c r="P106" s="186" t="s">
        <v>3931</v>
      </c>
      <c r="Q106" s="186"/>
      <c r="R106" s="186"/>
      <c r="S106" s="186"/>
      <c r="T106" s="90" t="s">
        <v>2004</v>
      </c>
      <c r="U106" s="90"/>
      <c r="V106" s="90"/>
      <c r="W106" s="90"/>
      <c r="X106">
        <v>104</v>
      </c>
      <c r="Z106" t="s">
        <v>1920</v>
      </c>
      <c r="AA106" s="30">
        <v>43449</v>
      </c>
    </row>
    <row r="107" spans="1:28" ht="18.75" customHeight="1">
      <c r="A107" s="213"/>
      <c r="B107" s="213"/>
      <c r="C107" s="210"/>
      <c r="D107" s="210"/>
      <c r="E107" s="186" t="s">
        <v>55</v>
      </c>
      <c r="F107" s="186" t="s">
        <v>647</v>
      </c>
      <c r="G107" s="186" t="s">
        <v>329</v>
      </c>
      <c r="H107" s="186" t="s">
        <v>243</v>
      </c>
      <c r="I107" s="186"/>
      <c r="J107" s="72">
        <v>214</v>
      </c>
      <c r="K107" s="186" t="s">
        <v>682</v>
      </c>
      <c r="L107" s="186" t="s">
        <v>3953</v>
      </c>
      <c r="M107" s="186" t="s">
        <v>648</v>
      </c>
      <c r="N107" s="186" t="s">
        <v>1943</v>
      </c>
      <c r="O107" s="186" t="s">
        <v>2082</v>
      </c>
      <c r="P107" s="186" t="s">
        <v>3931</v>
      </c>
      <c r="Q107" s="186"/>
      <c r="R107" s="186"/>
      <c r="S107" s="186">
        <v>1</v>
      </c>
      <c r="T107" s="90" t="s">
        <v>2084</v>
      </c>
      <c r="U107" s="90"/>
      <c r="V107" s="90"/>
      <c r="W107" s="90"/>
      <c r="X107">
        <v>105</v>
      </c>
      <c r="Z107" t="s">
        <v>1920</v>
      </c>
      <c r="AA107" s="30">
        <v>43449</v>
      </c>
    </row>
    <row r="108" spans="1:28" ht="18.75" customHeight="1">
      <c r="A108" s="213"/>
      <c r="B108" s="213"/>
      <c r="C108" s="210"/>
      <c r="D108" s="210"/>
      <c r="E108" s="186" t="s">
        <v>55</v>
      </c>
      <c r="F108" s="186" t="s">
        <v>649</v>
      </c>
      <c r="G108" s="186" t="s">
        <v>329</v>
      </c>
      <c r="H108" s="186" t="s">
        <v>243</v>
      </c>
      <c r="I108" s="186"/>
      <c r="J108" s="72">
        <v>213</v>
      </c>
      <c r="K108" s="186" t="s">
        <v>682</v>
      </c>
      <c r="L108" s="186" t="s">
        <v>3953</v>
      </c>
      <c r="M108" s="186" t="s">
        <v>650</v>
      </c>
      <c r="N108" s="186" t="s">
        <v>1943</v>
      </c>
      <c r="O108" s="186" t="s">
        <v>2085</v>
      </c>
      <c r="P108" s="186" t="s">
        <v>3931</v>
      </c>
      <c r="Q108" s="186"/>
      <c r="R108" s="186"/>
      <c r="S108" s="186"/>
      <c r="T108" s="90" t="s">
        <v>2087</v>
      </c>
      <c r="U108" s="90"/>
      <c r="V108" s="90"/>
      <c r="W108" s="90"/>
      <c r="X108">
        <v>106</v>
      </c>
      <c r="Z108" t="s">
        <v>1920</v>
      </c>
      <c r="AA108" s="30">
        <v>43449</v>
      </c>
    </row>
    <row r="109" spans="1:28" ht="18.75" customHeight="1">
      <c r="A109" s="213"/>
      <c r="B109" s="213"/>
      <c r="C109" s="210"/>
      <c r="D109" s="210"/>
      <c r="E109" s="186" t="s">
        <v>59</v>
      </c>
      <c r="F109" s="186" t="s">
        <v>651</v>
      </c>
      <c r="G109" s="186" t="s">
        <v>329</v>
      </c>
      <c r="H109" s="186" t="s">
        <v>243</v>
      </c>
      <c r="I109" s="186"/>
      <c r="J109" s="186">
        <v>26</v>
      </c>
      <c r="K109" s="186" t="s">
        <v>682</v>
      </c>
      <c r="L109" s="186" t="s">
        <v>3953</v>
      </c>
      <c r="M109" s="186" t="s">
        <v>652</v>
      </c>
      <c r="N109" s="186" t="s">
        <v>1943</v>
      </c>
      <c r="O109" s="186" t="s">
        <v>2012</v>
      </c>
      <c r="P109" s="186" t="s">
        <v>3931</v>
      </c>
      <c r="Q109" s="186" t="s">
        <v>2014</v>
      </c>
      <c r="R109" s="186"/>
      <c r="S109" s="186"/>
      <c r="T109" s="186" t="s">
        <v>2015</v>
      </c>
      <c r="U109" s="186"/>
      <c r="V109" s="186"/>
      <c r="W109" s="186"/>
      <c r="X109">
        <v>107</v>
      </c>
      <c r="Z109" t="s">
        <v>1920</v>
      </c>
      <c r="AA109" s="30">
        <v>43449</v>
      </c>
    </row>
    <row r="110" spans="1:28" ht="18.75" customHeight="1">
      <c r="A110" s="213"/>
      <c r="B110" s="213"/>
      <c r="C110" s="210"/>
      <c r="D110" s="210"/>
      <c r="E110" s="186" t="s">
        <v>55</v>
      </c>
      <c r="F110" s="186" t="s">
        <v>653</v>
      </c>
      <c r="G110" s="186" t="s">
        <v>329</v>
      </c>
      <c r="H110" s="186" t="s">
        <v>243</v>
      </c>
      <c r="I110" s="186"/>
      <c r="J110" s="72">
        <v>210</v>
      </c>
      <c r="K110" s="186" t="s">
        <v>682</v>
      </c>
      <c r="L110" s="186" t="s">
        <v>3953</v>
      </c>
      <c r="M110" s="186" t="s">
        <v>654</v>
      </c>
      <c r="N110" s="186" t="s">
        <v>1943</v>
      </c>
      <c r="O110" s="186" t="s">
        <v>2012</v>
      </c>
      <c r="P110" s="186" t="s">
        <v>3931</v>
      </c>
      <c r="Q110" s="186" t="s">
        <v>2014</v>
      </c>
      <c r="R110" s="186"/>
      <c r="S110" s="186"/>
      <c r="T110" s="90" t="s">
        <v>2018</v>
      </c>
      <c r="U110" s="90"/>
      <c r="V110" s="90"/>
      <c r="W110" s="90"/>
      <c r="X110">
        <v>108</v>
      </c>
      <c r="Z110" t="s">
        <v>1920</v>
      </c>
      <c r="AA110" s="30">
        <v>43449</v>
      </c>
    </row>
    <row r="111" spans="1:28" ht="18.75" customHeight="1">
      <c r="A111" s="213"/>
      <c r="B111" s="213"/>
      <c r="C111" s="210"/>
      <c r="D111" s="210"/>
      <c r="E111" s="186" t="s">
        <v>59</v>
      </c>
      <c r="F111" s="186" t="s">
        <v>655</v>
      </c>
      <c r="G111" s="186" t="s">
        <v>329</v>
      </c>
      <c r="H111" s="186" t="s">
        <v>243</v>
      </c>
      <c r="I111" s="186"/>
      <c r="J111" s="186">
        <v>85</v>
      </c>
      <c r="K111" s="186" t="s">
        <v>682</v>
      </c>
      <c r="L111" s="186" t="s">
        <v>3953</v>
      </c>
      <c r="M111" s="186" t="s">
        <v>656</v>
      </c>
      <c r="N111" s="186" t="s">
        <v>1943</v>
      </c>
      <c r="O111" s="186" t="s">
        <v>2265</v>
      </c>
      <c r="P111" s="186" t="s">
        <v>3931</v>
      </c>
      <c r="Q111" s="186"/>
      <c r="R111" s="186"/>
      <c r="S111" s="186"/>
      <c r="T111" s="186" t="s">
        <v>2267</v>
      </c>
      <c r="U111" s="186"/>
      <c r="V111" s="186"/>
      <c r="W111" s="186"/>
      <c r="X111">
        <v>109</v>
      </c>
      <c r="Z111" t="s">
        <v>1920</v>
      </c>
      <c r="AA111" s="30">
        <v>43449</v>
      </c>
      <c r="AB111" t="s">
        <v>3934</v>
      </c>
    </row>
    <row r="112" spans="1:28" ht="18.75" customHeight="1">
      <c r="A112" s="213"/>
      <c r="B112" s="213"/>
      <c r="C112" s="210"/>
      <c r="D112" s="210"/>
      <c r="E112" s="186" t="s">
        <v>59</v>
      </c>
      <c r="F112" s="186" t="s">
        <v>657</v>
      </c>
      <c r="G112" s="186" t="s">
        <v>329</v>
      </c>
      <c r="H112" s="186" t="s">
        <v>243</v>
      </c>
      <c r="I112" s="186"/>
      <c r="J112" s="186">
        <v>40</v>
      </c>
      <c r="K112" s="186" t="s">
        <v>682</v>
      </c>
      <c r="L112" s="186" t="s">
        <v>3953</v>
      </c>
      <c r="M112" s="186" t="s">
        <v>658</v>
      </c>
      <c r="N112" s="186" t="s">
        <v>1943</v>
      </c>
      <c r="O112" s="186" t="s">
        <v>2073</v>
      </c>
      <c r="P112" s="186" t="s">
        <v>3931</v>
      </c>
      <c r="Q112" s="186"/>
      <c r="R112" s="186"/>
      <c r="S112" s="186"/>
      <c r="T112" s="186" t="s">
        <v>2074</v>
      </c>
      <c r="U112" s="186"/>
      <c r="V112" s="186"/>
      <c r="W112" s="186"/>
      <c r="X112">
        <v>110</v>
      </c>
      <c r="Z112" t="s">
        <v>1920</v>
      </c>
      <c r="AA112" s="30">
        <v>43449</v>
      </c>
    </row>
    <row r="113" spans="1:28" ht="18.75" customHeight="1">
      <c r="A113" s="213"/>
      <c r="B113" s="213"/>
      <c r="C113" s="210"/>
      <c r="D113" s="210"/>
      <c r="E113" s="186" t="s">
        <v>55</v>
      </c>
      <c r="F113" s="186" t="s">
        <v>659</v>
      </c>
      <c r="G113" s="186" t="s">
        <v>329</v>
      </c>
      <c r="H113" s="186" t="s">
        <v>243</v>
      </c>
      <c r="I113" s="186"/>
      <c r="J113" s="72">
        <v>211</v>
      </c>
      <c r="K113" s="186" t="s">
        <v>682</v>
      </c>
      <c r="L113" s="186" t="s">
        <v>3953</v>
      </c>
      <c r="M113" s="186" t="s">
        <v>660</v>
      </c>
      <c r="N113" s="186" t="s">
        <v>1943</v>
      </c>
      <c r="O113" s="186" t="s">
        <v>2019</v>
      </c>
      <c r="P113" s="186" t="s">
        <v>3931</v>
      </c>
      <c r="Q113" s="186"/>
      <c r="R113" s="186"/>
      <c r="S113" s="186"/>
      <c r="T113" s="90" t="s">
        <v>2021</v>
      </c>
      <c r="U113" s="90"/>
      <c r="V113" s="90"/>
      <c r="W113" s="90"/>
      <c r="X113">
        <v>111</v>
      </c>
      <c r="Z113" t="s">
        <v>1920</v>
      </c>
      <c r="AA113" s="30">
        <v>43449</v>
      </c>
    </row>
    <row r="114" spans="1:28" ht="18.75" customHeight="1">
      <c r="A114" s="213"/>
      <c r="B114" s="213"/>
      <c r="C114" s="210"/>
      <c r="D114" s="210"/>
      <c r="E114" s="186" t="s">
        <v>59</v>
      </c>
      <c r="F114" s="186" t="s">
        <v>661</v>
      </c>
      <c r="G114" s="186" t="s">
        <v>329</v>
      </c>
      <c r="H114" s="186" t="s">
        <v>243</v>
      </c>
      <c r="I114" s="186"/>
      <c r="J114" s="186">
        <v>95</v>
      </c>
      <c r="K114" s="186" t="s">
        <v>682</v>
      </c>
      <c r="L114" s="186" t="s">
        <v>3953</v>
      </c>
      <c r="M114" s="186" t="s">
        <v>662</v>
      </c>
      <c r="N114" s="186" t="s">
        <v>2272</v>
      </c>
      <c r="O114" s="186" t="s">
        <v>2291</v>
      </c>
      <c r="P114" s="186" t="s">
        <v>3931</v>
      </c>
      <c r="Q114" s="186"/>
      <c r="R114" s="186"/>
      <c r="S114" s="186"/>
      <c r="T114" s="186" t="s">
        <v>2293</v>
      </c>
      <c r="U114" s="186"/>
      <c r="V114" s="186"/>
      <c r="W114" s="186"/>
      <c r="X114">
        <v>112</v>
      </c>
      <c r="Z114" t="s">
        <v>1920</v>
      </c>
      <c r="AA114" s="30">
        <v>43449</v>
      </c>
    </row>
    <row r="115" spans="1:28" ht="18.75" customHeight="1">
      <c r="A115" s="213"/>
      <c r="B115" s="213"/>
      <c r="C115" s="210"/>
      <c r="D115" s="210"/>
      <c r="E115" s="186" t="s">
        <v>59</v>
      </c>
      <c r="F115" s="186" t="s">
        <v>134</v>
      </c>
      <c r="G115" s="186" t="s">
        <v>329</v>
      </c>
      <c r="H115" s="186" t="s">
        <v>243</v>
      </c>
      <c r="I115" s="186"/>
      <c r="J115" s="186">
        <v>36</v>
      </c>
      <c r="K115" s="186" t="s">
        <v>682</v>
      </c>
      <c r="L115" s="186" t="s">
        <v>3953</v>
      </c>
      <c r="M115" s="186" t="s">
        <v>663</v>
      </c>
      <c r="N115" s="186" t="s">
        <v>1943</v>
      </c>
      <c r="O115" s="186" t="s">
        <v>2059</v>
      </c>
      <c r="P115" s="186" t="s">
        <v>3931</v>
      </c>
      <c r="Q115" s="186" t="s">
        <v>2057</v>
      </c>
      <c r="R115" s="186"/>
      <c r="S115" s="186"/>
      <c r="T115" s="186" t="s">
        <v>2061</v>
      </c>
      <c r="U115" s="186"/>
      <c r="V115" s="186"/>
      <c r="W115" s="186"/>
      <c r="X115">
        <v>113</v>
      </c>
      <c r="Z115" t="s">
        <v>1920</v>
      </c>
      <c r="AA115" s="30">
        <v>43449</v>
      </c>
    </row>
    <row r="116" spans="1:28" ht="18.75" customHeight="1">
      <c r="A116" s="213"/>
      <c r="B116" s="213"/>
      <c r="C116" s="210"/>
      <c r="D116" s="210"/>
      <c r="E116" s="186" t="s">
        <v>59</v>
      </c>
      <c r="F116" s="186" t="s">
        <v>143</v>
      </c>
      <c r="G116" s="186" t="s">
        <v>329</v>
      </c>
      <c r="H116" s="186" t="s">
        <v>243</v>
      </c>
      <c r="I116" s="186"/>
      <c r="J116" s="186">
        <v>93</v>
      </c>
      <c r="K116" s="186" t="s">
        <v>682</v>
      </c>
      <c r="L116" s="186" t="s">
        <v>3953</v>
      </c>
      <c r="M116" s="186" t="s">
        <v>664</v>
      </c>
      <c r="N116" s="186" t="s">
        <v>2272</v>
      </c>
      <c r="O116" s="186" t="s">
        <v>2286</v>
      </c>
      <c r="P116" s="186" t="s">
        <v>3931</v>
      </c>
      <c r="Q116" s="186"/>
      <c r="R116" s="186"/>
      <c r="S116" s="186"/>
      <c r="T116" s="186" t="s">
        <v>2288</v>
      </c>
      <c r="U116" s="186"/>
      <c r="V116" s="186"/>
      <c r="W116" s="186"/>
      <c r="X116">
        <v>114</v>
      </c>
      <c r="Z116" t="s">
        <v>1920</v>
      </c>
      <c r="AA116" s="30">
        <v>43449</v>
      </c>
    </row>
    <row r="117" spans="1:28" ht="18.75" customHeight="1">
      <c r="A117" s="213"/>
      <c r="B117" s="213"/>
      <c r="C117" s="210"/>
      <c r="D117" s="210"/>
      <c r="E117" s="186" t="s">
        <v>59</v>
      </c>
      <c r="F117" s="186" t="s">
        <v>665</v>
      </c>
      <c r="G117" s="186" t="s">
        <v>329</v>
      </c>
      <c r="H117" s="186" t="s">
        <v>243</v>
      </c>
      <c r="I117" s="186"/>
      <c r="J117" s="186">
        <v>35</v>
      </c>
      <c r="K117" s="186" t="s">
        <v>682</v>
      </c>
      <c r="L117" s="186" t="s">
        <v>3953</v>
      </c>
      <c r="M117" s="186" t="s">
        <v>666</v>
      </c>
      <c r="N117" s="186" t="s">
        <v>1943</v>
      </c>
      <c r="O117" s="186" t="s">
        <v>2055</v>
      </c>
      <c r="P117" s="186" t="s">
        <v>3931</v>
      </c>
      <c r="Q117" s="186" t="s">
        <v>2057</v>
      </c>
      <c r="R117" s="186"/>
      <c r="S117" s="186"/>
      <c r="T117" s="186" t="s">
        <v>2058</v>
      </c>
      <c r="U117" s="186"/>
      <c r="V117" s="186"/>
      <c r="W117" s="186"/>
      <c r="X117">
        <v>115</v>
      </c>
      <c r="Z117" t="s">
        <v>1920</v>
      </c>
      <c r="AA117" s="30">
        <v>43449</v>
      </c>
    </row>
    <row r="118" spans="1:28" ht="18.75" customHeight="1">
      <c r="A118" s="213"/>
      <c r="B118" s="213"/>
      <c r="C118" s="210"/>
      <c r="D118" s="210"/>
      <c r="E118" s="186" t="s">
        <v>55</v>
      </c>
      <c r="F118" s="186" t="s">
        <v>667</v>
      </c>
      <c r="G118" s="186" t="s">
        <v>329</v>
      </c>
      <c r="H118" s="186" t="s">
        <v>243</v>
      </c>
      <c r="I118" s="186"/>
      <c r="J118" s="186">
        <v>39</v>
      </c>
      <c r="K118" s="186" t="s">
        <v>682</v>
      </c>
      <c r="L118" s="186" t="s">
        <v>3953</v>
      </c>
      <c r="M118" s="186" t="s">
        <v>668</v>
      </c>
      <c r="N118" s="186" t="s">
        <v>1943</v>
      </c>
      <c r="O118" s="186" t="s">
        <v>2071</v>
      </c>
      <c r="P118" s="186" t="s">
        <v>3931</v>
      </c>
      <c r="Q118" s="186" t="s">
        <v>2057</v>
      </c>
      <c r="R118" s="186"/>
      <c r="S118" s="186"/>
      <c r="T118" s="186" t="s">
        <v>2072</v>
      </c>
      <c r="U118" s="186"/>
      <c r="V118" s="186"/>
      <c r="W118" s="186"/>
      <c r="X118">
        <v>116</v>
      </c>
      <c r="Z118" t="s">
        <v>1920</v>
      </c>
      <c r="AA118" s="30">
        <v>43449</v>
      </c>
    </row>
    <row r="119" spans="1:28" ht="18.75" customHeight="1">
      <c r="A119" s="213"/>
      <c r="B119" s="213"/>
      <c r="C119" s="210"/>
      <c r="D119" s="210"/>
      <c r="E119" s="186" t="s">
        <v>59</v>
      </c>
      <c r="F119" s="186" t="s">
        <v>669</v>
      </c>
      <c r="G119" s="186" t="s">
        <v>329</v>
      </c>
      <c r="H119" s="186" t="s">
        <v>243</v>
      </c>
      <c r="I119" s="186"/>
      <c r="J119" s="186">
        <v>34</v>
      </c>
      <c r="K119" s="186" t="s">
        <v>682</v>
      </c>
      <c r="L119" s="186" t="s">
        <v>3953</v>
      </c>
      <c r="M119" s="186" t="s">
        <v>670</v>
      </c>
      <c r="N119" s="186" t="s">
        <v>1943</v>
      </c>
      <c r="O119" s="186" t="s">
        <v>2051</v>
      </c>
      <c r="P119" s="186" t="s">
        <v>3931</v>
      </c>
      <c r="Q119" s="186" t="s">
        <v>2053</v>
      </c>
      <c r="R119" s="186"/>
      <c r="S119" s="186"/>
      <c r="T119" s="186" t="s">
        <v>2054</v>
      </c>
      <c r="U119" s="186"/>
      <c r="V119" s="186"/>
      <c r="W119" s="186"/>
      <c r="X119">
        <v>117</v>
      </c>
      <c r="Z119" t="s">
        <v>1920</v>
      </c>
      <c r="AA119" s="30">
        <v>43449</v>
      </c>
    </row>
    <row r="120" spans="1:28" ht="18.75" customHeight="1">
      <c r="A120" s="213"/>
      <c r="B120" s="213"/>
      <c r="C120" s="210"/>
      <c r="D120" s="210"/>
      <c r="E120" s="186" t="s">
        <v>55</v>
      </c>
      <c r="F120" s="186" t="s">
        <v>671</v>
      </c>
      <c r="G120" s="186" t="s">
        <v>329</v>
      </c>
      <c r="H120" s="186" t="s">
        <v>243</v>
      </c>
      <c r="I120" s="186"/>
      <c r="J120" s="72">
        <v>203</v>
      </c>
      <c r="K120" s="186" t="s">
        <v>682</v>
      </c>
      <c r="L120" s="186" t="s">
        <v>3953</v>
      </c>
      <c r="M120" s="186" t="s">
        <v>672</v>
      </c>
      <c r="N120" s="186" t="s">
        <v>1943</v>
      </c>
      <c r="O120" s="186" t="s">
        <v>2257</v>
      </c>
      <c r="P120" s="186" t="s">
        <v>3931</v>
      </c>
      <c r="Q120" s="186"/>
      <c r="R120" s="186"/>
      <c r="S120" s="186"/>
      <c r="T120" s="90" t="s">
        <v>2259</v>
      </c>
      <c r="U120" s="90"/>
      <c r="V120" s="90"/>
      <c r="W120" s="90"/>
      <c r="X120">
        <v>118</v>
      </c>
      <c r="Z120" t="s">
        <v>1920</v>
      </c>
      <c r="AA120" s="30">
        <v>43449</v>
      </c>
      <c r="AB120" t="s">
        <v>3934</v>
      </c>
    </row>
    <row r="121" spans="1:28" ht="18.75" customHeight="1">
      <c r="A121" s="213"/>
      <c r="B121" s="213"/>
      <c r="C121" s="210"/>
      <c r="D121" s="210"/>
      <c r="E121" s="186" t="s">
        <v>55</v>
      </c>
      <c r="F121" s="186" t="s">
        <v>673</v>
      </c>
      <c r="G121" s="186" t="s">
        <v>329</v>
      </c>
      <c r="H121" s="186" t="s">
        <v>243</v>
      </c>
      <c r="I121" s="186"/>
      <c r="J121" s="186">
        <v>20</v>
      </c>
      <c r="K121" s="186" t="s">
        <v>682</v>
      </c>
      <c r="L121" s="186" t="s">
        <v>3953</v>
      </c>
      <c r="M121" s="186" t="s">
        <v>674</v>
      </c>
      <c r="N121" s="186" t="s">
        <v>1943</v>
      </c>
      <c r="O121" s="186" t="s">
        <v>1964</v>
      </c>
      <c r="P121" s="186" t="s">
        <v>3931</v>
      </c>
      <c r="Q121" s="186" t="s">
        <v>1966</v>
      </c>
      <c r="R121" s="186"/>
      <c r="S121" s="186">
        <v>380.21</v>
      </c>
      <c r="T121" s="186" t="s">
        <v>1967</v>
      </c>
      <c r="U121" s="186"/>
      <c r="V121" s="186"/>
      <c r="W121" s="186"/>
      <c r="X121">
        <v>119</v>
      </c>
      <c r="Z121" t="s">
        <v>1920</v>
      </c>
      <c r="AA121" s="30">
        <v>43449</v>
      </c>
      <c r="AB121" t="s">
        <v>3934</v>
      </c>
    </row>
    <row r="122" spans="1:28" ht="18.75" customHeight="1">
      <c r="A122" s="213"/>
      <c r="B122" s="213"/>
      <c r="C122" s="210"/>
      <c r="D122" s="210"/>
      <c r="E122" s="186" t="s">
        <v>55</v>
      </c>
      <c r="F122" s="186" t="s">
        <v>675</v>
      </c>
      <c r="G122" s="186" t="s">
        <v>346</v>
      </c>
      <c r="H122" s="186" t="s">
        <v>243</v>
      </c>
      <c r="I122" s="186"/>
      <c r="J122" s="186">
        <v>53</v>
      </c>
      <c r="K122" s="186" t="s">
        <v>1154</v>
      </c>
      <c r="L122" s="186"/>
      <c r="M122" s="186"/>
      <c r="N122" s="186"/>
      <c r="O122" s="186"/>
      <c r="P122" s="186" t="e">
        <v>#N/A</v>
      </c>
      <c r="Q122" s="186">
        <v>0</v>
      </c>
      <c r="R122" s="186"/>
      <c r="S122" s="186" t="s">
        <v>2137</v>
      </c>
      <c r="T122" s="186" t="s">
        <v>2138</v>
      </c>
      <c r="U122" s="186"/>
      <c r="V122" s="186"/>
      <c r="W122" s="186"/>
      <c r="X122">
        <v>999</v>
      </c>
      <c r="Y122" t="s">
        <v>3954</v>
      </c>
      <c r="AA122" s="30" t="s">
        <v>3955</v>
      </c>
      <c r="AB122" t="s">
        <v>3956</v>
      </c>
    </row>
    <row r="123" spans="1:28" ht="18.75" customHeight="1">
      <c r="A123" s="213"/>
      <c r="B123" s="213"/>
      <c r="C123" s="210"/>
      <c r="D123" s="210"/>
      <c r="E123" s="186" t="s">
        <v>55</v>
      </c>
      <c r="F123" s="186" t="s">
        <v>677</v>
      </c>
      <c r="G123" s="186" t="s">
        <v>247</v>
      </c>
      <c r="H123" s="186" t="s">
        <v>243</v>
      </c>
      <c r="I123" s="186"/>
      <c r="J123" s="72">
        <v>215</v>
      </c>
      <c r="K123" s="72" t="s">
        <v>1154</v>
      </c>
      <c r="L123" s="186"/>
      <c r="M123" s="186"/>
      <c r="N123" s="186"/>
      <c r="O123" s="186"/>
      <c r="P123" s="186" t="e">
        <v>#N/A</v>
      </c>
      <c r="Q123" s="186"/>
      <c r="R123" s="186"/>
      <c r="S123" s="186"/>
      <c r="T123" s="90" t="s">
        <v>2416</v>
      </c>
      <c r="U123" s="90"/>
      <c r="V123" s="90"/>
      <c r="W123" s="90"/>
      <c r="X123">
        <v>999</v>
      </c>
      <c r="Y123" t="s">
        <v>3954</v>
      </c>
      <c r="AA123" s="30" t="s">
        <v>3955</v>
      </c>
      <c r="AB123" t="s">
        <v>3941</v>
      </c>
    </row>
    <row r="124" spans="1:28" ht="18.75" customHeight="1">
      <c r="A124" s="213"/>
      <c r="B124" s="213"/>
      <c r="C124" s="210"/>
      <c r="D124" s="210"/>
      <c r="E124" s="186" t="s">
        <v>53</v>
      </c>
      <c r="F124" s="186" t="s">
        <v>123</v>
      </c>
      <c r="G124" s="186" t="s">
        <v>535</v>
      </c>
      <c r="H124" s="186" t="s">
        <v>243</v>
      </c>
      <c r="I124" s="186"/>
      <c r="J124" s="186">
        <v>135</v>
      </c>
      <c r="K124" s="79" t="s">
        <v>680</v>
      </c>
      <c r="L124" s="186"/>
      <c r="M124" s="186"/>
      <c r="N124" s="186"/>
      <c r="O124" s="186"/>
      <c r="P124" s="186"/>
      <c r="Q124" s="186"/>
      <c r="R124" s="186"/>
      <c r="S124" s="186"/>
      <c r="T124" s="186" t="s">
        <v>1190</v>
      </c>
      <c r="U124" s="186"/>
      <c r="V124" s="186"/>
      <c r="W124" s="186"/>
      <c r="Y124" t="s">
        <v>1917</v>
      </c>
      <c r="AA124" s="30"/>
    </row>
    <row r="125" spans="1:28" ht="18.75" customHeight="1">
      <c r="A125" s="213"/>
      <c r="B125" s="213"/>
      <c r="C125" s="210"/>
      <c r="D125" s="210"/>
      <c r="E125" s="186" t="s">
        <v>63</v>
      </c>
      <c r="F125" s="186" t="s">
        <v>2339</v>
      </c>
      <c r="G125" s="186" t="s">
        <v>995</v>
      </c>
      <c r="H125" s="186" t="s">
        <v>243</v>
      </c>
      <c r="I125" s="186"/>
      <c r="J125" s="186">
        <v>138</v>
      </c>
      <c r="K125" s="79" t="s">
        <v>680</v>
      </c>
      <c r="L125" s="186"/>
      <c r="M125" s="186"/>
      <c r="N125" s="186"/>
      <c r="O125" s="186"/>
      <c r="P125" s="186"/>
      <c r="Q125" s="186"/>
      <c r="R125" s="186"/>
      <c r="S125" s="186"/>
      <c r="T125" s="186" t="s">
        <v>1190</v>
      </c>
      <c r="U125" s="186"/>
      <c r="V125" s="186"/>
      <c r="W125" s="186"/>
      <c r="Y125" t="s">
        <v>1917</v>
      </c>
      <c r="AA125" s="30"/>
    </row>
    <row r="126" spans="1:28" ht="18.75" customHeight="1">
      <c r="A126" s="213"/>
      <c r="B126" s="213"/>
      <c r="C126" s="210"/>
      <c r="D126" s="297"/>
      <c r="E126" s="186" t="s">
        <v>63</v>
      </c>
      <c r="F126" s="186" t="s">
        <v>122</v>
      </c>
      <c r="G126" s="186" t="s">
        <v>2396</v>
      </c>
      <c r="H126" s="186"/>
      <c r="I126" s="186"/>
      <c r="J126" s="186">
        <v>35</v>
      </c>
      <c r="K126" s="79" t="s">
        <v>680</v>
      </c>
      <c r="L126" s="186"/>
      <c r="M126" s="186"/>
      <c r="N126" s="186"/>
      <c r="O126" s="186"/>
      <c r="P126" s="186"/>
      <c r="Q126" s="186"/>
      <c r="R126" s="186"/>
      <c r="S126" s="186"/>
      <c r="T126" s="186" t="s">
        <v>1190</v>
      </c>
      <c r="U126" s="186"/>
      <c r="V126" s="186"/>
      <c r="W126" s="186"/>
      <c r="Y126" t="s">
        <v>1917</v>
      </c>
      <c r="AA126" s="30"/>
    </row>
    <row r="127" spans="1:28" ht="18.75" customHeight="1">
      <c r="A127" s="213"/>
      <c r="B127" s="213"/>
      <c r="C127" s="210"/>
      <c r="D127" s="210"/>
      <c r="E127" s="186" t="s">
        <v>53</v>
      </c>
      <c r="F127" s="186" t="s">
        <v>124</v>
      </c>
      <c r="G127" s="186" t="s">
        <v>535</v>
      </c>
      <c r="H127" s="186" t="s">
        <v>903</v>
      </c>
      <c r="I127" s="186"/>
      <c r="J127" s="186">
        <v>1</v>
      </c>
      <c r="K127" s="79" t="s">
        <v>680</v>
      </c>
      <c r="L127" s="186"/>
      <c r="M127" s="186"/>
      <c r="N127" s="186"/>
      <c r="O127" s="186"/>
      <c r="P127" s="186"/>
      <c r="Q127" s="186"/>
      <c r="R127" s="186"/>
      <c r="S127" s="186"/>
      <c r="T127" s="186" t="s">
        <v>1190</v>
      </c>
      <c r="U127" s="186"/>
      <c r="V127" s="186"/>
      <c r="W127" s="186"/>
      <c r="Y127" t="s">
        <v>1917</v>
      </c>
      <c r="AA127" s="30"/>
    </row>
    <row r="128" spans="1:28" ht="18.75" customHeight="1">
      <c r="A128" s="213"/>
      <c r="B128" s="213"/>
      <c r="C128" s="210"/>
      <c r="D128" s="210"/>
      <c r="E128" s="186" t="s">
        <v>53</v>
      </c>
      <c r="F128" s="186" t="s">
        <v>1189</v>
      </c>
      <c r="G128" s="186" t="s">
        <v>249</v>
      </c>
      <c r="H128" s="186" t="s">
        <v>243</v>
      </c>
      <c r="I128" s="186"/>
      <c r="J128" s="186">
        <v>9</v>
      </c>
      <c r="K128" s="79" t="s">
        <v>680</v>
      </c>
      <c r="L128" s="186"/>
      <c r="M128" s="186"/>
      <c r="N128" s="186"/>
      <c r="O128" s="186"/>
      <c r="P128" s="186"/>
      <c r="Q128" s="186"/>
      <c r="R128" s="186"/>
      <c r="S128" s="186"/>
      <c r="T128" s="186" t="s">
        <v>1190</v>
      </c>
      <c r="U128" s="186"/>
      <c r="V128" s="186"/>
      <c r="W128" s="186"/>
      <c r="Y128" t="s">
        <v>1917</v>
      </c>
      <c r="AA128" s="30"/>
    </row>
    <row r="129" spans="1:27" ht="18.75" customHeight="1">
      <c r="A129" s="213"/>
      <c r="B129" s="213"/>
      <c r="C129" s="210"/>
      <c r="D129" s="210"/>
      <c r="E129" s="186" t="s">
        <v>53</v>
      </c>
      <c r="F129" s="186" t="s">
        <v>1191</v>
      </c>
      <c r="G129" s="186" t="s">
        <v>252</v>
      </c>
      <c r="H129" s="186" t="s">
        <v>243</v>
      </c>
      <c r="I129" s="186"/>
      <c r="J129" s="186">
        <v>10</v>
      </c>
      <c r="K129" s="79" t="s">
        <v>680</v>
      </c>
      <c r="L129" s="186"/>
      <c r="M129" s="186"/>
      <c r="N129" s="186"/>
      <c r="O129" s="186"/>
      <c r="P129" s="186"/>
      <c r="Q129" s="186"/>
      <c r="R129" s="186"/>
      <c r="S129" s="186"/>
      <c r="T129" s="186" t="s">
        <v>1190</v>
      </c>
      <c r="U129" s="186"/>
      <c r="V129" s="186"/>
      <c r="W129" s="186"/>
      <c r="Y129" t="s">
        <v>1917</v>
      </c>
      <c r="AA129" s="30"/>
    </row>
    <row r="130" spans="1:27" ht="18.75" customHeight="1">
      <c r="A130" s="213"/>
      <c r="B130" s="213"/>
      <c r="C130" s="210"/>
      <c r="D130" s="210"/>
      <c r="E130" s="186" t="s">
        <v>53</v>
      </c>
      <c r="F130" s="186" t="s">
        <v>1192</v>
      </c>
      <c r="G130" s="186" t="s">
        <v>242</v>
      </c>
      <c r="H130" s="186" t="s">
        <v>243</v>
      </c>
      <c r="I130" s="186"/>
      <c r="J130" s="186">
        <v>11</v>
      </c>
      <c r="K130" s="79" t="s">
        <v>680</v>
      </c>
      <c r="L130" s="186"/>
      <c r="M130" s="186"/>
      <c r="N130" s="186"/>
      <c r="O130" s="186"/>
      <c r="P130" s="186"/>
      <c r="Q130" s="186"/>
      <c r="R130" s="186"/>
      <c r="S130" s="186"/>
      <c r="T130" s="186" t="s">
        <v>1190</v>
      </c>
      <c r="U130" s="186"/>
      <c r="V130" s="186"/>
      <c r="W130" s="186"/>
      <c r="Y130" t="s">
        <v>1917</v>
      </c>
      <c r="AA130" s="30"/>
    </row>
    <row r="131" spans="1:27" ht="18.75" customHeight="1">
      <c r="A131" s="213"/>
      <c r="B131" s="213"/>
      <c r="C131" s="210"/>
      <c r="D131" s="210"/>
      <c r="E131" s="186" t="s">
        <v>53</v>
      </c>
      <c r="F131" s="186" t="s">
        <v>1193</v>
      </c>
      <c r="G131" s="186" t="s">
        <v>247</v>
      </c>
      <c r="H131" s="186" t="s">
        <v>243</v>
      </c>
      <c r="I131" s="186"/>
      <c r="J131" s="186">
        <v>12</v>
      </c>
      <c r="K131" s="79" t="s">
        <v>680</v>
      </c>
      <c r="L131" s="186"/>
      <c r="M131" s="186"/>
      <c r="N131" s="186"/>
      <c r="O131" s="186"/>
      <c r="P131" s="186"/>
      <c r="Q131" s="186"/>
      <c r="R131" s="186"/>
      <c r="S131" s="186"/>
      <c r="T131" s="186" t="s">
        <v>1190</v>
      </c>
      <c r="U131" s="186"/>
      <c r="V131" s="186"/>
      <c r="W131" s="186"/>
      <c r="Y131" t="s">
        <v>1917</v>
      </c>
      <c r="AA131" s="30"/>
    </row>
    <row r="132" spans="1:27" ht="18.75" customHeight="1">
      <c r="A132" s="213"/>
      <c r="B132" s="213"/>
      <c r="C132" s="210"/>
      <c r="D132" s="210"/>
      <c r="E132" s="186" t="s">
        <v>53</v>
      </c>
      <c r="F132" s="186" t="s">
        <v>1194</v>
      </c>
      <c r="G132" s="186" t="s">
        <v>252</v>
      </c>
      <c r="H132" s="186" t="s">
        <v>243</v>
      </c>
      <c r="I132" s="186"/>
      <c r="J132" s="186">
        <v>13</v>
      </c>
      <c r="K132" s="79" t="s">
        <v>680</v>
      </c>
      <c r="L132" s="186"/>
      <c r="M132" s="186"/>
      <c r="N132" s="186"/>
      <c r="O132" s="186"/>
      <c r="P132" s="186"/>
      <c r="Q132" s="186"/>
      <c r="R132" s="186"/>
      <c r="S132" s="186"/>
      <c r="T132" s="186" t="s">
        <v>1190</v>
      </c>
      <c r="U132" s="186"/>
      <c r="V132" s="186"/>
      <c r="W132" s="186"/>
      <c r="Y132" t="s">
        <v>1917</v>
      </c>
      <c r="AA132" s="30"/>
    </row>
    <row r="133" spans="1:27" ht="18.75" customHeight="1">
      <c r="A133" s="213"/>
      <c r="B133" s="213"/>
      <c r="C133" s="210"/>
      <c r="D133" s="210"/>
      <c r="E133" s="186" t="s">
        <v>53</v>
      </c>
      <c r="F133" s="186" t="s">
        <v>1195</v>
      </c>
      <c r="G133" s="186" t="s">
        <v>247</v>
      </c>
      <c r="H133" s="186" t="s">
        <v>243</v>
      </c>
      <c r="I133" s="186"/>
      <c r="J133" s="186">
        <v>14</v>
      </c>
      <c r="K133" s="79" t="s">
        <v>680</v>
      </c>
      <c r="L133" s="186"/>
      <c r="M133" s="186"/>
      <c r="N133" s="186"/>
      <c r="O133" s="186"/>
      <c r="P133" s="186"/>
      <c r="Q133" s="186"/>
      <c r="R133" s="186"/>
      <c r="S133" s="186"/>
      <c r="T133" s="186" t="s">
        <v>1190</v>
      </c>
      <c r="U133" s="186"/>
      <c r="V133" s="186"/>
      <c r="W133" s="186"/>
      <c r="Y133" t="s">
        <v>1917</v>
      </c>
      <c r="AA133" s="30"/>
    </row>
    <row r="134" spans="1:27" ht="18.75" customHeight="1">
      <c r="A134" s="213"/>
      <c r="B134" s="213"/>
      <c r="C134" s="210"/>
      <c r="D134" s="210"/>
      <c r="E134" s="186" t="s">
        <v>53</v>
      </c>
      <c r="F134" s="186" t="s">
        <v>1956</v>
      </c>
      <c r="G134" s="186" t="s">
        <v>252</v>
      </c>
      <c r="H134" s="186" t="s">
        <v>243</v>
      </c>
      <c r="I134" s="186"/>
      <c r="J134" s="186">
        <v>15</v>
      </c>
      <c r="K134" s="79" t="s">
        <v>680</v>
      </c>
      <c r="L134" s="186"/>
      <c r="M134" s="186"/>
      <c r="N134" s="186"/>
      <c r="O134" s="186"/>
      <c r="P134" s="186"/>
      <c r="Q134" s="186"/>
      <c r="R134" s="186"/>
      <c r="S134" s="186"/>
      <c r="T134" s="186" t="s">
        <v>1190</v>
      </c>
      <c r="U134" s="186"/>
      <c r="V134" s="186"/>
      <c r="W134" s="186"/>
      <c r="Y134" t="s">
        <v>1917</v>
      </c>
      <c r="AA134" s="30"/>
    </row>
    <row r="135" spans="1:27" ht="18.75" customHeight="1">
      <c r="A135" s="213"/>
      <c r="B135" s="213"/>
      <c r="C135" s="210"/>
      <c r="D135" s="210"/>
      <c r="E135" s="186" t="s">
        <v>53</v>
      </c>
      <c r="F135" s="186" t="s">
        <v>1957</v>
      </c>
      <c r="G135" s="186" t="s">
        <v>252</v>
      </c>
      <c r="H135" s="186" t="s">
        <v>243</v>
      </c>
      <c r="I135" s="186"/>
      <c r="J135" s="186">
        <v>16</v>
      </c>
      <c r="K135" s="79" t="s">
        <v>680</v>
      </c>
      <c r="L135" s="186"/>
      <c r="M135" s="186"/>
      <c r="N135" s="186"/>
      <c r="O135" s="186"/>
      <c r="P135" s="186"/>
      <c r="Q135" s="186"/>
      <c r="R135" s="186"/>
      <c r="S135" s="186"/>
      <c r="T135" s="186" t="s">
        <v>1190</v>
      </c>
      <c r="U135" s="186"/>
      <c r="V135" s="186"/>
      <c r="W135" s="186"/>
      <c r="Y135" t="s">
        <v>1917</v>
      </c>
      <c r="AA135" s="30"/>
    </row>
    <row r="136" spans="1:27" ht="18.75" customHeight="1">
      <c r="A136" s="213"/>
      <c r="B136" s="213"/>
      <c r="C136" s="210"/>
      <c r="D136" s="210"/>
      <c r="E136" s="186" t="s">
        <v>53</v>
      </c>
      <c r="F136" s="186" t="s">
        <v>1196</v>
      </c>
      <c r="G136" s="186" t="s">
        <v>535</v>
      </c>
      <c r="H136" s="186" t="s">
        <v>243</v>
      </c>
      <c r="I136" s="186"/>
      <c r="J136" s="186">
        <v>17</v>
      </c>
      <c r="K136" s="79" t="s">
        <v>680</v>
      </c>
      <c r="L136" s="186"/>
      <c r="M136" s="186"/>
      <c r="N136" s="186"/>
      <c r="O136" s="186"/>
      <c r="P136" s="186"/>
      <c r="Q136" s="186"/>
      <c r="R136" s="186"/>
      <c r="S136" s="186"/>
      <c r="T136" s="186" t="s">
        <v>1190</v>
      </c>
      <c r="U136" s="186"/>
      <c r="V136" s="186"/>
      <c r="W136" s="186"/>
      <c r="Y136" t="s">
        <v>1917</v>
      </c>
      <c r="AA136" s="30"/>
    </row>
    <row r="137" spans="1:27" ht="18.75" customHeight="1">
      <c r="A137" s="213"/>
      <c r="B137" s="213"/>
      <c r="C137" s="210"/>
      <c r="D137" s="210"/>
      <c r="E137" s="186" t="s">
        <v>53</v>
      </c>
      <c r="F137" s="186" t="s">
        <v>1290</v>
      </c>
      <c r="G137" s="186" t="s">
        <v>432</v>
      </c>
      <c r="H137" s="186" t="s">
        <v>243</v>
      </c>
      <c r="I137" s="186"/>
      <c r="J137" s="186">
        <v>103</v>
      </c>
      <c r="K137" s="79" t="s">
        <v>680</v>
      </c>
      <c r="L137" s="186"/>
      <c r="M137" s="186"/>
      <c r="N137" s="186"/>
      <c r="O137" s="186"/>
      <c r="P137" s="186"/>
      <c r="Q137" s="186"/>
      <c r="R137" s="186"/>
      <c r="S137" s="186"/>
      <c r="T137" s="186" t="s">
        <v>1190</v>
      </c>
      <c r="U137" s="186"/>
      <c r="V137" s="186"/>
      <c r="W137" s="186"/>
      <c r="Y137" t="s">
        <v>1917</v>
      </c>
      <c r="AA137" s="30"/>
    </row>
    <row r="138" spans="1:27" ht="18.75" customHeight="1">
      <c r="A138" s="213"/>
      <c r="B138" s="213"/>
      <c r="C138" s="210"/>
      <c r="D138" s="210"/>
      <c r="E138" s="186" t="s">
        <v>53</v>
      </c>
      <c r="F138" s="186" t="s">
        <v>1291</v>
      </c>
      <c r="G138" s="186" t="s">
        <v>247</v>
      </c>
      <c r="H138" s="186" t="s">
        <v>243</v>
      </c>
      <c r="I138" s="186"/>
      <c r="J138" s="186">
        <v>104</v>
      </c>
      <c r="K138" s="79" t="s">
        <v>680</v>
      </c>
      <c r="L138" s="186"/>
      <c r="M138" s="186"/>
      <c r="N138" s="186"/>
      <c r="O138" s="186"/>
      <c r="P138" s="186"/>
      <c r="Q138" s="186"/>
      <c r="R138" s="186"/>
      <c r="S138" s="186"/>
      <c r="T138" s="186" t="s">
        <v>1190</v>
      </c>
      <c r="U138" s="186"/>
      <c r="V138" s="186"/>
      <c r="W138" s="186"/>
      <c r="Y138" t="s">
        <v>1917</v>
      </c>
      <c r="AA138" s="30"/>
    </row>
    <row r="139" spans="1:27" ht="18.75" customHeight="1">
      <c r="A139" s="213"/>
      <c r="B139" s="213"/>
      <c r="C139" s="210"/>
      <c r="D139" s="210"/>
      <c r="E139" s="186" t="s">
        <v>53</v>
      </c>
      <c r="F139" s="186" t="s">
        <v>1292</v>
      </c>
      <c r="G139" s="186" t="s">
        <v>535</v>
      </c>
      <c r="H139" s="186" t="s">
        <v>243</v>
      </c>
      <c r="I139" s="186"/>
      <c r="J139" s="186">
        <v>109</v>
      </c>
      <c r="K139" s="79" t="s">
        <v>680</v>
      </c>
      <c r="L139" s="186"/>
      <c r="M139" s="186"/>
      <c r="N139" s="186"/>
      <c r="O139" s="186"/>
      <c r="P139" s="186"/>
      <c r="Q139" s="186"/>
      <c r="R139" s="186"/>
      <c r="S139" s="186"/>
      <c r="T139" s="186" t="s">
        <v>1190</v>
      </c>
      <c r="U139" s="186"/>
      <c r="V139" s="186"/>
      <c r="W139" s="186"/>
      <c r="Y139" t="s">
        <v>1917</v>
      </c>
      <c r="AA139" s="30"/>
    </row>
    <row r="140" spans="1:27" ht="18.75" customHeight="1">
      <c r="A140" s="213"/>
      <c r="B140" s="213"/>
      <c r="C140" s="210"/>
      <c r="D140" s="210"/>
      <c r="E140" s="186" t="s">
        <v>53</v>
      </c>
      <c r="F140" s="186" t="s">
        <v>1289</v>
      </c>
      <c r="G140" s="186" t="s">
        <v>324</v>
      </c>
      <c r="H140" s="186" t="s">
        <v>243</v>
      </c>
      <c r="I140" s="186"/>
      <c r="J140" s="186">
        <v>114</v>
      </c>
      <c r="K140" s="79" t="s">
        <v>680</v>
      </c>
      <c r="L140" s="186"/>
      <c r="M140" s="186"/>
      <c r="N140" s="186"/>
      <c r="O140" s="186"/>
      <c r="P140" s="186"/>
      <c r="Q140" s="186"/>
      <c r="R140" s="186"/>
      <c r="S140" s="186"/>
      <c r="T140" s="186" t="s">
        <v>1190</v>
      </c>
      <c r="U140" s="186"/>
      <c r="V140" s="186"/>
      <c r="W140" s="186"/>
      <c r="Y140" t="s">
        <v>1917</v>
      </c>
      <c r="AA140" s="30"/>
    </row>
    <row r="141" spans="1:27" ht="18.75" customHeight="1">
      <c r="A141" s="213"/>
      <c r="B141" s="213"/>
      <c r="C141" s="210"/>
      <c r="D141" s="210"/>
      <c r="E141" s="186" t="s">
        <v>53</v>
      </c>
      <c r="F141" s="186" t="s">
        <v>1293</v>
      </c>
      <c r="G141" s="186" t="s">
        <v>432</v>
      </c>
      <c r="H141" s="186" t="s">
        <v>243</v>
      </c>
      <c r="I141" s="186"/>
      <c r="J141" s="186">
        <v>115</v>
      </c>
      <c r="K141" s="79" t="s">
        <v>680</v>
      </c>
      <c r="L141" s="186"/>
      <c r="M141" s="186"/>
      <c r="N141" s="186"/>
      <c r="O141" s="186"/>
      <c r="P141" s="186"/>
      <c r="Q141" s="186"/>
      <c r="R141" s="186"/>
      <c r="S141" s="186"/>
      <c r="T141" s="186" t="s">
        <v>1190</v>
      </c>
      <c r="U141" s="186"/>
      <c r="V141" s="186"/>
      <c r="W141" s="186"/>
      <c r="Y141" t="s">
        <v>1917</v>
      </c>
      <c r="AA141" s="30"/>
    </row>
    <row r="142" spans="1:27" ht="18.75" customHeight="1">
      <c r="A142" s="213"/>
      <c r="B142" s="213"/>
      <c r="C142" s="210"/>
      <c r="D142" s="210"/>
      <c r="E142" s="186" t="s">
        <v>53</v>
      </c>
      <c r="F142" s="186" t="s">
        <v>2427</v>
      </c>
      <c r="G142" s="186" t="s">
        <v>535</v>
      </c>
      <c r="H142" s="186" t="s">
        <v>243</v>
      </c>
      <c r="I142" s="186"/>
      <c r="J142" s="186">
        <v>130</v>
      </c>
      <c r="K142" s="79" t="s">
        <v>680</v>
      </c>
      <c r="L142" s="186"/>
      <c r="M142" s="186"/>
      <c r="N142" s="186"/>
      <c r="O142" s="186"/>
      <c r="P142" s="186"/>
      <c r="Q142" s="186"/>
      <c r="R142" s="186"/>
      <c r="S142" s="186"/>
      <c r="T142" s="186" t="s">
        <v>1190</v>
      </c>
      <c r="U142" s="186"/>
      <c r="V142" s="186"/>
      <c r="W142" s="186"/>
      <c r="Y142" t="s">
        <v>1917</v>
      </c>
      <c r="AA142" s="30"/>
    </row>
    <row r="143" spans="1:27" ht="18.75" customHeight="1">
      <c r="A143" s="213"/>
      <c r="B143" s="213"/>
      <c r="C143" s="210"/>
      <c r="D143" s="210"/>
      <c r="E143" s="186" t="s">
        <v>53</v>
      </c>
      <c r="F143" s="186" t="s">
        <v>1010</v>
      </c>
      <c r="G143" s="186" t="s">
        <v>535</v>
      </c>
      <c r="H143" s="186" t="s">
        <v>243</v>
      </c>
      <c r="I143" s="186"/>
      <c r="J143" s="186">
        <v>131</v>
      </c>
      <c r="K143" s="79" t="s">
        <v>680</v>
      </c>
      <c r="L143" s="186"/>
      <c r="M143" s="186"/>
      <c r="N143" s="186"/>
      <c r="O143" s="186"/>
      <c r="P143" s="186"/>
      <c r="Q143" s="186"/>
      <c r="R143" s="186"/>
      <c r="S143" s="186"/>
      <c r="T143" s="186" t="s">
        <v>1190</v>
      </c>
      <c r="U143" s="186"/>
      <c r="V143" s="186"/>
      <c r="W143" s="186"/>
      <c r="Y143" t="s">
        <v>1917</v>
      </c>
      <c r="AA143" s="30"/>
    </row>
    <row r="144" spans="1:27" ht="18.75" customHeight="1">
      <c r="A144" s="213"/>
      <c r="B144" s="213"/>
      <c r="C144" s="210"/>
      <c r="D144" s="210"/>
      <c r="E144" s="186" t="s">
        <v>53</v>
      </c>
      <c r="F144" s="186" t="s">
        <v>1406</v>
      </c>
      <c r="G144" s="186" t="s">
        <v>535</v>
      </c>
      <c r="H144" s="186" t="s">
        <v>243</v>
      </c>
      <c r="I144" s="186"/>
      <c r="J144" s="186">
        <v>132</v>
      </c>
      <c r="K144" s="79" t="s">
        <v>680</v>
      </c>
      <c r="L144" s="186"/>
      <c r="M144" s="186"/>
      <c r="N144" s="186"/>
      <c r="O144" s="186"/>
      <c r="P144" s="186"/>
      <c r="Q144" s="186"/>
      <c r="R144" s="186"/>
      <c r="S144" s="186"/>
      <c r="T144" s="186" t="s">
        <v>1190</v>
      </c>
      <c r="U144" s="186"/>
      <c r="V144" s="186"/>
      <c r="W144" s="186"/>
      <c r="Y144" t="s">
        <v>1917</v>
      </c>
      <c r="AA144" s="30"/>
    </row>
    <row r="145" spans="1:27" ht="18.75" customHeight="1">
      <c r="A145" s="213"/>
      <c r="B145" s="213"/>
      <c r="C145" s="210"/>
      <c r="D145" s="210"/>
      <c r="E145" s="186" t="s">
        <v>53</v>
      </c>
      <c r="F145" s="186" t="s">
        <v>1288</v>
      </c>
      <c r="G145" s="186" t="s">
        <v>535</v>
      </c>
      <c r="H145" s="186" t="s">
        <v>243</v>
      </c>
      <c r="I145" s="186"/>
      <c r="J145" s="186">
        <v>133</v>
      </c>
      <c r="K145" s="79" t="s">
        <v>680</v>
      </c>
      <c r="L145" s="186"/>
      <c r="M145" s="186"/>
      <c r="N145" s="186"/>
      <c r="O145" s="186"/>
      <c r="P145" s="186"/>
      <c r="Q145" s="186"/>
      <c r="R145" s="186"/>
      <c r="S145" s="186"/>
      <c r="T145" s="186" t="s">
        <v>1190</v>
      </c>
      <c r="U145" s="186"/>
      <c r="V145" s="186"/>
      <c r="W145" s="186"/>
      <c r="Y145" t="s">
        <v>1917</v>
      </c>
      <c r="AA145" s="30"/>
    </row>
    <row r="146" spans="1:27" ht="18.75" customHeight="1">
      <c r="A146" s="213"/>
      <c r="B146" s="213"/>
      <c r="C146" s="210"/>
      <c r="D146" s="210"/>
      <c r="E146" s="186" t="s">
        <v>53</v>
      </c>
      <c r="F146" s="186" t="s">
        <v>2352</v>
      </c>
      <c r="G146" s="186" t="s">
        <v>535</v>
      </c>
      <c r="H146" s="186" t="s">
        <v>243</v>
      </c>
      <c r="I146" s="186"/>
      <c r="J146" s="186">
        <v>134</v>
      </c>
      <c r="K146" s="79" t="s">
        <v>680</v>
      </c>
      <c r="L146" s="186"/>
      <c r="M146" s="186"/>
      <c r="N146" s="186"/>
      <c r="O146" s="186"/>
      <c r="P146" s="186"/>
      <c r="Q146" s="186"/>
      <c r="R146" s="186"/>
      <c r="S146" s="186"/>
      <c r="T146" s="186" t="s">
        <v>1190</v>
      </c>
      <c r="U146" s="186"/>
      <c r="V146" s="186"/>
      <c r="W146" s="186"/>
      <c r="Y146" t="s">
        <v>1917</v>
      </c>
      <c r="AA146" s="30"/>
    </row>
    <row r="147" spans="1:27" ht="18.75" customHeight="1">
      <c r="A147" s="213"/>
      <c r="B147" s="213"/>
      <c r="C147" s="210"/>
      <c r="D147" s="210"/>
      <c r="E147" s="186" t="s">
        <v>53</v>
      </c>
      <c r="F147" s="186" t="s">
        <v>1952</v>
      </c>
      <c r="G147" s="186" t="s">
        <v>255</v>
      </c>
      <c r="H147" s="186" t="s">
        <v>243</v>
      </c>
      <c r="I147" s="186"/>
      <c r="J147" s="186">
        <v>6</v>
      </c>
      <c r="K147" s="79" t="s">
        <v>680</v>
      </c>
      <c r="L147" s="186"/>
      <c r="M147" s="186"/>
      <c r="N147" s="186"/>
      <c r="O147" s="186"/>
      <c r="P147" s="186"/>
      <c r="Q147" s="186"/>
      <c r="R147" s="186"/>
      <c r="S147" s="186"/>
      <c r="T147" s="186" t="s">
        <v>1190</v>
      </c>
      <c r="U147" s="186"/>
      <c r="V147" s="186"/>
      <c r="W147" s="186"/>
      <c r="Y147" t="s">
        <v>1917</v>
      </c>
      <c r="AA147" s="30"/>
    </row>
    <row r="148" spans="1:27" ht="18.75" customHeight="1">
      <c r="A148" s="213"/>
      <c r="B148" s="213"/>
      <c r="C148" s="210"/>
      <c r="D148" s="210"/>
      <c r="E148" s="186" t="s">
        <v>53</v>
      </c>
      <c r="F148" s="186" t="s">
        <v>1953</v>
      </c>
      <c r="G148" s="186" t="s">
        <v>255</v>
      </c>
      <c r="H148" s="186" t="s">
        <v>243</v>
      </c>
      <c r="I148" s="186"/>
      <c r="J148" s="186">
        <v>7</v>
      </c>
      <c r="K148" s="79" t="s">
        <v>680</v>
      </c>
      <c r="L148" s="186"/>
      <c r="M148" s="186"/>
      <c r="N148" s="186"/>
      <c r="O148" s="186"/>
      <c r="P148" s="186"/>
      <c r="Q148" s="186"/>
      <c r="R148" s="186"/>
      <c r="S148" s="186"/>
      <c r="T148" s="186" t="s">
        <v>1190</v>
      </c>
      <c r="U148" s="186"/>
      <c r="V148" s="186"/>
      <c r="W148" s="186"/>
      <c r="Y148" t="s">
        <v>1917</v>
      </c>
      <c r="AA148" s="30"/>
    </row>
    <row r="149" spans="1:27" ht="18.75" customHeight="1">
      <c r="A149" s="213"/>
      <c r="B149" s="213"/>
      <c r="C149" s="210"/>
      <c r="D149" s="210"/>
      <c r="E149" s="186" t="s">
        <v>55</v>
      </c>
      <c r="F149" s="186" t="s">
        <v>1343</v>
      </c>
      <c r="G149" s="186" t="s">
        <v>346</v>
      </c>
      <c r="H149" s="186" t="s">
        <v>243</v>
      </c>
      <c r="I149" s="186"/>
      <c r="J149" s="186">
        <v>164</v>
      </c>
      <c r="K149" s="79" t="s">
        <v>680</v>
      </c>
      <c r="L149" s="186"/>
      <c r="M149" s="186"/>
      <c r="N149" s="186"/>
      <c r="O149" s="186"/>
      <c r="P149" s="186"/>
      <c r="Q149" s="186"/>
      <c r="R149" s="289" t="s">
        <v>1346</v>
      </c>
      <c r="S149" s="186"/>
      <c r="T149" s="186" t="s">
        <v>1936</v>
      </c>
      <c r="U149" s="186"/>
      <c r="V149" s="186"/>
      <c r="W149" s="186"/>
      <c r="Y149" t="s">
        <v>1917</v>
      </c>
      <c r="AA149" s="30"/>
    </row>
    <row r="150" spans="1:27" ht="18.75" customHeight="1">
      <c r="A150" s="213"/>
      <c r="B150" s="213"/>
      <c r="C150" s="210"/>
      <c r="D150" s="210"/>
      <c r="E150" s="186" t="s">
        <v>55</v>
      </c>
      <c r="F150" s="186" t="s">
        <v>489</v>
      </c>
      <c r="G150" s="186" t="s">
        <v>346</v>
      </c>
      <c r="H150" s="186" t="s">
        <v>243</v>
      </c>
      <c r="I150" s="186"/>
      <c r="J150" s="186">
        <v>4</v>
      </c>
      <c r="K150" s="79" t="s">
        <v>680</v>
      </c>
      <c r="L150" s="186"/>
      <c r="M150" s="186"/>
      <c r="N150" s="186"/>
      <c r="O150" s="186"/>
      <c r="P150" s="186"/>
      <c r="Q150" s="186"/>
      <c r="R150" s="289" t="s">
        <v>1346</v>
      </c>
      <c r="S150" s="186"/>
      <c r="T150" s="186" t="s">
        <v>1936</v>
      </c>
      <c r="U150" s="186"/>
      <c r="V150" s="186"/>
      <c r="W150" s="186"/>
      <c r="Y150" t="s">
        <v>1917</v>
      </c>
      <c r="AA150" s="30"/>
    </row>
    <row r="151" spans="1:27" ht="18.75" customHeight="1">
      <c r="A151" s="213"/>
      <c r="B151" s="213"/>
      <c r="C151" s="210"/>
      <c r="D151" s="210"/>
      <c r="E151" s="186" t="s">
        <v>55</v>
      </c>
      <c r="F151" s="186" t="s">
        <v>486</v>
      </c>
      <c r="G151" s="186" t="s">
        <v>346</v>
      </c>
      <c r="H151" s="186" t="s">
        <v>243</v>
      </c>
      <c r="I151" s="186"/>
      <c r="J151" s="186">
        <v>165</v>
      </c>
      <c r="K151" s="79" t="s">
        <v>680</v>
      </c>
      <c r="L151" s="186"/>
      <c r="M151" s="186"/>
      <c r="N151" s="186"/>
      <c r="O151" s="186"/>
      <c r="P151" s="186"/>
      <c r="Q151" s="186"/>
      <c r="R151" s="289" t="s">
        <v>1346</v>
      </c>
      <c r="S151" s="186"/>
      <c r="T151" s="186" t="s">
        <v>1936</v>
      </c>
      <c r="U151" s="186"/>
      <c r="V151" s="186"/>
      <c r="W151" s="186"/>
      <c r="Y151" t="s">
        <v>1917</v>
      </c>
      <c r="AA151" s="30"/>
    </row>
    <row r="152" spans="1:27" ht="18.75" customHeight="1">
      <c r="A152" s="213"/>
      <c r="B152" s="213"/>
      <c r="C152" s="210"/>
      <c r="D152" s="210"/>
      <c r="E152" s="186" t="s">
        <v>55</v>
      </c>
      <c r="F152" s="186" t="s">
        <v>1939</v>
      </c>
      <c r="G152" s="186" t="s">
        <v>264</v>
      </c>
      <c r="H152" s="186" t="s">
        <v>243</v>
      </c>
      <c r="I152" s="186"/>
      <c r="J152" s="72">
        <v>205</v>
      </c>
      <c r="K152" s="79" t="s">
        <v>680</v>
      </c>
      <c r="L152" s="186"/>
      <c r="M152" s="186"/>
      <c r="N152" s="186"/>
      <c r="O152" s="186"/>
      <c r="P152" s="186"/>
      <c r="Q152" s="186"/>
      <c r="R152" s="186"/>
      <c r="S152" s="186"/>
      <c r="T152" s="90" t="s">
        <v>1940</v>
      </c>
      <c r="U152" s="90"/>
      <c r="V152" s="90"/>
      <c r="W152" s="90"/>
      <c r="Y152" t="s">
        <v>1917</v>
      </c>
      <c r="AA152" s="30"/>
    </row>
    <row r="153" spans="1:27" ht="18.75" customHeight="1">
      <c r="A153" s="213"/>
      <c r="B153" s="213"/>
      <c r="C153" s="210"/>
      <c r="D153" s="210"/>
      <c r="E153" s="186" t="s">
        <v>59</v>
      </c>
      <c r="F153" s="186" t="s">
        <v>1941</v>
      </c>
      <c r="G153" s="186" t="s">
        <v>242</v>
      </c>
      <c r="H153" s="186" t="s">
        <v>243</v>
      </c>
      <c r="I153" s="186"/>
      <c r="J153" s="186">
        <v>5</v>
      </c>
      <c r="K153" s="79" t="s">
        <v>680</v>
      </c>
      <c r="L153" s="186"/>
      <c r="M153" s="186"/>
      <c r="N153" s="186"/>
      <c r="O153" s="186"/>
      <c r="P153" s="186"/>
      <c r="Q153" s="186"/>
      <c r="R153" s="186"/>
      <c r="S153" s="186"/>
      <c r="T153" s="186" t="s">
        <v>1942</v>
      </c>
      <c r="U153" s="186"/>
      <c r="V153" s="186"/>
      <c r="W153" s="186"/>
      <c r="Y153" t="s">
        <v>1917</v>
      </c>
      <c r="AA153" s="30"/>
    </row>
    <row r="154" spans="1:27" ht="18.75" customHeight="1">
      <c r="A154" s="213"/>
      <c r="B154" s="213"/>
      <c r="C154" s="210"/>
      <c r="D154" s="210"/>
      <c r="E154" s="186" t="s">
        <v>55</v>
      </c>
      <c r="F154" s="186" t="s">
        <v>1954</v>
      </c>
      <c r="G154" s="186" t="s">
        <v>346</v>
      </c>
      <c r="H154" s="186" t="s">
        <v>243</v>
      </c>
      <c r="I154" s="186"/>
      <c r="J154" s="186">
        <v>8</v>
      </c>
      <c r="K154" s="79" t="s">
        <v>680</v>
      </c>
      <c r="L154" s="186"/>
      <c r="M154" s="186"/>
      <c r="N154" s="186"/>
      <c r="O154" s="186"/>
      <c r="P154" s="186"/>
      <c r="Q154" s="186"/>
      <c r="R154" s="186"/>
      <c r="S154" s="186"/>
      <c r="T154" s="186" t="s">
        <v>1955</v>
      </c>
      <c r="U154" s="186"/>
      <c r="V154" s="186"/>
      <c r="W154" s="186"/>
      <c r="Y154" t="s">
        <v>1917</v>
      </c>
      <c r="AA154" s="30"/>
    </row>
    <row r="155" spans="1:27" ht="18.75" customHeight="1">
      <c r="A155" s="213"/>
      <c r="B155" s="213"/>
      <c r="C155" s="210"/>
      <c r="D155" s="210"/>
      <c r="E155" s="186" t="s">
        <v>55</v>
      </c>
      <c r="F155" s="186" t="s">
        <v>1960</v>
      </c>
      <c r="G155" s="186" t="s">
        <v>346</v>
      </c>
      <c r="H155" s="186" t="s">
        <v>243</v>
      </c>
      <c r="I155" s="186"/>
      <c r="J155" s="186">
        <v>18</v>
      </c>
      <c r="K155" s="79" t="s">
        <v>680</v>
      </c>
      <c r="L155" s="186"/>
      <c r="M155" s="186"/>
      <c r="N155" s="186"/>
      <c r="O155" s="186"/>
      <c r="P155" s="186"/>
      <c r="Q155" s="186"/>
      <c r="R155" s="186"/>
      <c r="S155" s="186"/>
      <c r="T155" s="186" t="s">
        <v>1961</v>
      </c>
      <c r="U155" s="186"/>
      <c r="V155" s="186"/>
      <c r="W155" s="186"/>
      <c r="Y155" t="s">
        <v>1917</v>
      </c>
      <c r="AA155" s="30"/>
    </row>
    <row r="156" spans="1:27" ht="18.75" customHeight="1">
      <c r="A156" s="213"/>
      <c r="B156" s="213"/>
      <c r="C156" s="210"/>
      <c r="D156" s="210"/>
      <c r="E156" s="186" t="s">
        <v>55</v>
      </c>
      <c r="F156" s="186" t="s">
        <v>1962</v>
      </c>
      <c r="G156" s="186" t="s">
        <v>329</v>
      </c>
      <c r="H156" s="186" t="s">
        <v>243</v>
      </c>
      <c r="I156" s="186"/>
      <c r="J156" s="186">
        <v>19</v>
      </c>
      <c r="K156" s="79" t="s">
        <v>680</v>
      </c>
      <c r="L156" s="186"/>
      <c r="M156" s="186"/>
      <c r="N156" s="186"/>
      <c r="O156" s="186"/>
      <c r="P156" s="186"/>
      <c r="Q156" s="186"/>
      <c r="R156" s="186"/>
      <c r="S156" s="186"/>
      <c r="T156" s="186" t="s">
        <v>1963</v>
      </c>
      <c r="U156" s="186"/>
      <c r="V156" s="186"/>
      <c r="W156" s="186"/>
      <c r="Y156" t="s">
        <v>1917</v>
      </c>
      <c r="AA156" s="30"/>
    </row>
    <row r="157" spans="1:27" ht="18.75" customHeight="1">
      <c r="A157" s="213"/>
      <c r="B157" s="213"/>
      <c r="C157" s="210"/>
      <c r="D157" s="210"/>
      <c r="E157" s="186" t="s">
        <v>55</v>
      </c>
      <c r="F157" s="186" t="s">
        <v>1972</v>
      </c>
      <c r="G157" s="186" t="s">
        <v>329</v>
      </c>
      <c r="H157" s="186" t="s">
        <v>243</v>
      </c>
      <c r="I157" s="186"/>
      <c r="J157" s="186">
        <v>22</v>
      </c>
      <c r="K157" s="79" t="s">
        <v>680</v>
      </c>
      <c r="L157" s="186"/>
      <c r="M157" s="186"/>
      <c r="N157" s="186"/>
      <c r="O157" s="186"/>
      <c r="P157" s="186"/>
      <c r="Q157" s="186"/>
      <c r="R157" s="186"/>
      <c r="S157" s="186"/>
      <c r="T157" s="186" t="s">
        <v>1973</v>
      </c>
      <c r="U157" s="186"/>
      <c r="V157" s="186"/>
      <c r="W157" s="186"/>
      <c r="Y157" t="s">
        <v>1917</v>
      </c>
      <c r="AA157" s="30"/>
    </row>
    <row r="158" spans="1:27" ht="18.75" customHeight="1">
      <c r="A158" s="213"/>
      <c r="B158" s="213"/>
      <c r="C158" s="210"/>
      <c r="D158" s="210"/>
      <c r="E158" s="186" t="s">
        <v>55</v>
      </c>
      <c r="F158" s="186" t="s">
        <v>2016</v>
      </c>
      <c r="G158" s="186" t="s">
        <v>329</v>
      </c>
      <c r="H158" s="186" t="s">
        <v>243</v>
      </c>
      <c r="I158" s="186"/>
      <c r="J158" s="186">
        <v>27</v>
      </c>
      <c r="K158" s="79" t="s">
        <v>680</v>
      </c>
      <c r="L158" s="186"/>
      <c r="M158" s="186"/>
      <c r="N158" s="186"/>
      <c r="O158" s="186"/>
      <c r="P158" s="186"/>
      <c r="Q158" s="186"/>
      <c r="R158" s="186"/>
      <c r="S158" s="186"/>
      <c r="T158" s="186" t="s">
        <v>2017</v>
      </c>
      <c r="U158" s="186"/>
      <c r="V158" s="186"/>
      <c r="W158" s="186"/>
      <c r="Y158" t="s">
        <v>1917</v>
      </c>
      <c r="AA158" s="30"/>
    </row>
    <row r="159" spans="1:27" ht="18.75" customHeight="1">
      <c r="A159" s="213"/>
      <c r="B159" s="213"/>
      <c r="C159" s="210"/>
      <c r="D159" s="210"/>
      <c r="E159" s="186" t="s">
        <v>55</v>
      </c>
      <c r="F159" s="186" t="s">
        <v>2022</v>
      </c>
      <c r="G159" s="186" t="s">
        <v>329</v>
      </c>
      <c r="H159" s="186" t="s">
        <v>243</v>
      </c>
      <c r="I159" s="186"/>
      <c r="J159" s="72">
        <v>178</v>
      </c>
      <c r="K159" s="79" t="s">
        <v>680</v>
      </c>
      <c r="L159" s="186"/>
      <c r="M159" s="186"/>
      <c r="N159" s="186"/>
      <c r="O159" s="186"/>
      <c r="P159" s="186"/>
      <c r="Q159" s="186"/>
      <c r="R159" s="186"/>
      <c r="S159" s="186"/>
      <c r="T159" s="90" t="s">
        <v>2023</v>
      </c>
      <c r="U159" s="90"/>
      <c r="V159" s="90"/>
      <c r="W159" s="90"/>
      <c r="Y159" t="s">
        <v>1917</v>
      </c>
      <c r="AA159" s="30"/>
    </row>
    <row r="160" spans="1:27" ht="18.75" customHeight="1">
      <c r="A160" s="213"/>
      <c r="B160" s="213"/>
      <c r="C160" s="210"/>
      <c r="D160" s="210"/>
      <c r="E160" s="186" t="s">
        <v>55</v>
      </c>
      <c r="F160" s="186" t="s">
        <v>2039</v>
      </c>
      <c r="G160" s="186" t="s">
        <v>329</v>
      </c>
      <c r="H160" s="186" t="s">
        <v>243</v>
      </c>
      <c r="I160" s="186"/>
      <c r="J160" s="72">
        <v>198</v>
      </c>
      <c r="K160" s="79" t="s">
        <v>680</v>
      </c>
      <c r="L160" s="186"/>
      <c r="M160" s="186"/>
      <c r="N160" s="186"/>
      <c r="O160" s="186"/>
      <c r="P160" s="186"/>
      <c r="Q160" s="186"/>
      <c r="R160" s="186"/>
      <c r="S160" s="186"/>
      <c r="T160" s="90" t="s">
        <v>2040</v>
      </c>
      <c r="U160" s="90"/>
      <c r="V160" s="90"/>
      <c r="W160" s="90"/>
      <c r="Y160" t="s">
        <v>1917</v>
      </c>
      <c r="AA160" s="30"/>
    </row>
    <row r="161" spans="1:27" ht="18.75" customHeight="1">
      <c r="A161" s="213"/>
      <c r="B161" s="213"/>
      <c r="C161" s="210"/>
      <c r="D161" s="210"/>
      <c r="E161" s="186" t="s">
        <v>55</v>
      </c>
      <c r="F161" s="186" t="s">
        <v>2042</v>
      </c>
      <c r="G161" s="186" t="s">
        <v>329</v>
      </c>
      <c r="H161" s="186" t="s">
        <v>243</v>
      </c>
      <c r="I161" s="186"/>
      <c r="J161" s="186">
        <v>31</v>
      </c>
      <c r="K161" s="79" t="s">
        <v>680</v>
      </c>
      <c r="L161" s="186"/>
      <c r="M161" s="186"/>
      <c r="N161" s="186"/>
      <c r="O161" s="186"/>
      <c r="P161" s="186"/>
      <c r="Q161" s="186"/>
      <c r="R161" s="186"/>
      <c r="S161" s="186"/>
      <c r="T161" s="186" t="s">
        <v>2043</v>
      </c>
      <c r="U161" s="186"/>
      <c r="V161" s="186"/>
      <c r="W161" s="186"/>
      <c r="Y161" t="s">
        <v>1917</v>
      </c>
      <c r="AA161" s="30"/>
    </row>
    <row r="162" spans="1:27" ht="18.75" customHeight="1">
      <c r="A162" s="213"/>
      <c r="B162" s="213"/>
      <c r="C162" s="210"/>
      <c r="D162" s="210"/>
      <c r="E162" s="186" t="s">
        <v>55</v>
      </c>
      <c r="F162" s="186" t="s">
        <v>2062</v>
      </c>
      <c r="G162" s="186" t="s">
        <v>329</v>
      </c>
      <c r="H162" s="186" t="s">
        <v>243</v>
      </c>
      <c r="I162" s="186"/>
      <c r="J162" s="186">
        <v>37</v>
      </c>
      <c r="K162" s="79" t="s">
        <v>680</v>
      </c>
      <c r="L162" s="186"/>
      <c r="M162" s="186"/>
      <c r="N162" s="186"/>
      <c r="O162" s="186"/>
      <c r="P162" s="186"/>
      <c r="Q162" s="186"/>
      <c r="R162" s="186"/>
      <c r="S162" s="186"/>
      <c r="T162" s="186" t="s">
        <v>2063</v>
      </c>
      <c r="U162" s="186"/>
      <c r="V162" s="186"/>
      <c r="W162" s="186"/>
      <c r="Y162" t="s">
        <v>1917</v>
      </c>
      <c r="AA162" s="30"/>
    </row>
    <row r="163" spans="1:27" ht="18.75" customHeight="1">
      <c r="A163" s="213"/>
      <c r="B163" s="213"/>
      <c r="C163" s="210"/>
      <c r="D163" s="210"/>
      <c r="E163" s="186" t="s">
        <v>55</v>
      </c>
      <c r="F163" s="186" t="s">
        <v>2064</v>
      </c>
      <c r="G163" s="186" t="s">
        <v>329</v>
      </c>
      <c r="H163" s="186" t="s">
        <v>243</v>
      </c>
      <c r="I163" s="186"/>
      <c r="J163" s="72">
        <v>206</v>
      </c>
      <c r="K163" s="79" t="s">
        <v>680</v>
      </c>
      <c r="L163" s="186"/>
      <c r="M163" s="186"/>
      <c r="N163" s="186"/>
      <c r="O163" s="186"/>
      <c r="P163" s="186"/>
      <c r="Q163" s="186"/>
      <c r="R163" s="186"/>
      <c r="S163" s="186"/>
      <c r="T163" s="90" t="s">
        <v>2065</v>
      </c>
      <c r="U163" s="90"/>
      <c r="V163" s="90"/>
      <c r="W163" s="90"/>
      <c r="Y163" t="s">
        <v>1917</v>
      </c>
      <c r="AA163" s="30"/>
    </row>
    <row r="164" spans="1:27" ht="18.75" customHeight="1">
      <c r="A164" s="213"/>
      <c r="B164" s="213"/>
      <c r="C164" s="210"/>
      <c r="D164" s="210"/>
      <c r="E164" s="186" t="s">
        <v>55</v>
      </c>
      <c r="F164" s="186" t="s">
        <v>2066</v>
      </c>
      <c r="G164" s="186" t="s">
        <v>329</v>
      </c>
      <c r="H164" s="186" t="s">
        <v>243</v>
      </c>
      <c r="I164" s="186"/>
      <c r="J164" s="72">
        <v>207</v>
      </c>
      <c r="K164" s="79" t="s">
        <v>680</v>
      </c>
      <c r="L164" s="186"/>
      <c r="M164" s="186"/>
      <c r="N164" s="186"/>
      <c r="O164" s="186"/>
      <c r="P164" s="186"/>
      <c r="Q164" s="186"/>
      <c r="R164" s="186"/>
      <c r="S164" s="186"/>
      <c r="T164" s="90" t="s">
        <v>2067</v>
      </c>
      <c r="U164" s="90"/>
      <c r="V164" s="90"/>
      <c r="W164" s="90"/>
      <c r="Y164" t="s">
        <v>1917</v>
      </c>
      <c r="AA164" s="30"/>
    </row>
    <row r="165" spans="1:27" ht="18.75" customHeight="1">
      <c r="A165" s="213"/>
      <c r="B165" s="213"/>
      <c r="C165" s="210"/>
      <c r="D165" s="210"/>
      <c r="E165" s="186" t="s">
        <v>55</v>
      </c>
      <c r="F165" s="186" t="s">
        <v>2088</v>
      </c>
      <c r="G165" s="186" t="s">
        <v>329</v>
      </c>
      <c r="H165" s="186" t="s">
        <v>243</v>
      </c>
      <c r="I165" s="186"/>
      <c r="J165" s="72">
        <v>199</v>
      </c>
      <c r="K165" s="79" t="s">
        <v>680</v>
      </c>
      <c r="L165" s="186"/>
      <c r="M165" s="186"/>
      <c r="N165" s="186"/>
      <c r="O165" s="186"/>
      <c r="P165" s="186"/>
      <c r="Q165" s="186"/>
      <c r="R165" s="186"/>
      <c r="S165" s="186"/>
      <c r="T165" s="90" t="s">
        <v>2089</v>
      </c>
      <c r="U165" s="90"/>
      <c r="V165" s="90"/>
      <c r="W165" s="90"/>
      <c r="Y165" t="s">
        <v>1917</v>
      </c>
      <c r="AA165" s="30"/>
    </row>
    <row r="166" spans="1:27" ht="18.75" customHeight="1">
      <c r="A166" s="213"/>
      <c r="B166" s="213"/>
      <c r="C166" s="210"/>
      <c r="D166" s="210"/>
      <c r="E166" s="186" t="s">
        <v>55</v>
      </c>
      <c r="F166" s="186" t="s">
        <v>2101</v>
      </c>
      <c r="G166" s="186" t="s">
        <v>346</v>
      </c>
      <c r="H166" s="186" t="s">
        <v>243</v>
      </c>
      <c r="I166" s="186"/>
      <c r="J166" s="186">
        <v>44</v>
      </c>
      <c r="K166" s="79" t="s">
        <v>680</v>
      </c>
      <c r="L166" s="186"/>
      <c r="M166" s="186"/>
      <c r="N166" s="186"/>
      <c r="O166" s="186"/>
      <c r="P166" s="186"/>
      <c r="Q166" s="186"/>
      <c r="R166" s="186"/>
      <c r="S166" s="186"/>
      <c r="T166" s="186" t="s">
        <v>2102</v>
      </c>
      <c r="U166" s="186"/>
      <c r="V166" s="186"/>
      <c r="W166" s="186"/>
      <c r="Y166" t="s">
        <v>1917</v>
      </c>
      <c r="AA166" s="30"/>
    </row>
    <row r="167" spans="1:27" ht="18.75" customHeight="1">
      <c r="A167" s="213"/>
      <c r="B167" s="213"/>
      <c r="C167" s="210"/>
      <c r="D167" s="210"/>
      <c r="E167" s="186" t="s">
        <v>55</v>
      </c>
      <c r="F167" s="186" t="s">
        <v>2103</v>
      </c>
      <c r="G167" s="186" t="s">
        <v>242</v>
      </c>
      <c r="H167" s="186" t="s">
        <v>243</v>
      </c>
      <c r="I167" s="186"/>
      <c r="J167" s="186">
        <v>45</v>
      </c>
      <c r="K167" s="79" t="s">
        <v>680</v>
      </c>
      <c r="L167" s="186"/>
      <c r="M167" s="186"/>
      <c r="N167" s="186"/>
      <c r="O167" s="186"/>
      <c r="P167" s="186"/>
      <c r="Q167" s="186"/>
      <c r="R167" s="186"/>
      <c r="S167" s="186"/>
      <c r="T167" s="186" t="s">
        <v>2104</v>
      </c>
      <c r="U167" s="186"/>
      <c r="V167" s="186"/>
      <c r="W167" s="186"/>
      <c r="Y167" t="s">
        <v>1917</v>
      </c>
      <c r="AA167" s="30"/>
    </row>
    <row r="168" spans="1:27" ht="18.75" customHeight="1">
      <c r="A168" s="213"/>
      <c r="B168" s="213"/>
      <c r="C168" s="210"/>
      <c r="D168" s="210"/>
      <c r="E168" s="186" t="s">
        <v>55</v>
      </c>
      <c r="F168" s="186" t="s">
        <v>2112</v>
      </c>
      <c r="G168" s="186" t="s">
        <v>995</v>
      </c>
      <c r="H168" s="186" t="s">
        <v>243</v>
      </c>
      <c r="I168" s="186"/>
      <c r="J168" s="186">
        <v>46</v>
      </c>
      <c r="K168" s="79" t="s">
        <v>680</v>
      </c>
      <c r="L168" s="186"/>
      <c r="M168" s="186"/>
      <c r="N168" s="186"/>
      <c r="O168" s="186"/>
      <c r="P168" s="186"/>
      <c r="Q168" s="186"/>
      <c r="R168" s="186"/>
      <c r="S168" s="186"/>
      <c r="T168" s="186" t="s">
        <v>2113</v>
      </c>
      <c r="U168" s="186"/>
      <c r="V168" s="186"/>
      <c r="W168" s="186"/>
      <c r="Y168" t="s">
        <v>1917</v>
      </c>
      <c r="AA168" s="30"/>
    </row>
    <row r="169" spans="1:27" ht="18.75" customHeight="1">
      <c r="A169" s="213"/>
      <c r="B169" s="213"/>
      <c r="C169" s="210"/>
      <c r="D169" s="210"/>
      <c r="E169" s="186" t="s">
        <v>55</v>
      </c>
      <c r="F169" s="186" t="s">
        <v>2141</v>
      </c>
      <c r="G169" s="186" t="s">
        <v>249</v>
      </c>
      <c r="H169" s="186" t="s">
        <v>243</v>
      </c>
      <c r="I169" s="186"/>
      <c r="J169" s="72">
        <v>192</v>
      </c>
      <c r="K169" s="79" t="s">
        <v>680</v>
      </c>
      <c r="L169" s="186"/>
      <c r="M169" s="186"/>
      <c r="N169" s="186"/>
      <c r="O169" s="186"/>
      <c r="P169" s="186"/>
      <c r="Q169" s="186">
        <v>0</v>
      </c>
      <c r="R169" s="186"/>
      <c r="S169" s="186"/>
      <c r="T169" s="90" t="s">
        <v>2142</v>
      </c>
      <c r="U169" s="90"/>
      <c r="V169" s="90"/>
      <c r="W169" s="90"/>
      <c r="Y169" t="s">
        <v>1917</v>
      </c>
      <c r="AA169" s="30"/>
    </row>
    <row r="170" spans="1:27" ht="18.75" customHeight="1">
      <c r="A170" s="213"/>
      <c r="B170" s="213"/>
      <c r="C170" s="210"/>
      <c r="D170" s="210"/>
      <c r="E170" s="186" t="s">
        <v>59</v>
      </c>
      <c r="F170" s="186" t="s">
        <v>476</v>
      </c>
      <c r="G170" s="186" t="s">
        <v>242</v>
      </c>
      <c r="H170" s="186" t="s">
        <v>243</v>
      </c>
      <c r="I170" s="186"/>
      <c r="J170" s="186">
        <v>168</v>
      </c>
      <c r="K170" s="79" t="s">
        <v>680</v>
      </c>
      <c r="L170" s="186"/>
      <c r="M170" s="186"/>
      <c r="N170" s="186"/>
      <c r="O170" s="186"/>
      <c r="P170" s="186"/>
      <c r="Q170" s="186"/>
      <c r="R170" s="186"/>
      <c r="S170" s="186"/>
      <c r="T170" s="186" t="s">
        <v>2145</v>
      </c>
      <c r="U170" s="186"/>
      <c r="V170" s="186"/>
      <c r="W170" s="186"/>
      <c r="Y170" t="s">
        <v>1917</v>
      </c>
      <c r="AA170" s="30"/>
    </row>
    <row r="171" spans="1:27" ht="18.75" customHeight="1">
      <c r="A171" s="213"/>
      <c r="B171" s="213"/>
      <c r="C171" s="210"/>
      <c r="D171" s="210"/>
      <c r="E171" s="186" t="s">
        <v>55</v>
      </c>
      <c r="F171" s="186" t="s">
        <v>2146</v>
      </c>
      <c r="G171" s="186" t="s">
        <v>329</v>
      </c>
      <c r="H171" s="186" t="s">
        <v>243</v>
      </c>
      <c r="I171" s="186"/>
      <c r="J171" s="186">
        <v>169</v>
      </c>
      <c r="K171" s="79" t="s">
        <v>680</v>
      </c>
      <c r="L171" s="186"/>
      <c r="M171" s="186"/>
      <c r="N171" s="186"/>
      <c r="O171" s="186"/>
      <c r="P171" s="186"/>
      <c r="Q171" s="186"/>
      <c r="R171" s="186"/>
      <c r="S171" s="186"/>
      <c r="T171" s="186" t="s">
        <v>2147</v>
      </c>
      <c r="U171" s="186"/>
      <c r="V171" s="186"/>
      <c r="W171" s="186"/>
      <c r="Y171" t="s">
        <v>1917</v>
      </c>
      <c r="AA171" s="30"/>
    </row>
    <row r="172" spans="1:27" ht="18.75" customHeight="1">
      <c r="A172" s="213"/>
      <c r="B172" s="213"/>
      <c r="C172" s="210"/>
      <c r="D172" s="210"/>
      <c r="E172" s="186" t="s">
        <v>55</v>
      </c>
      <c r="F172" s="186" t="s">
        <v>2148</v>
      </c>
      <c r="G172" s="186" t="s">
        <v>329</v>
      </c>
      <c r="H172" s="186" t="s">
        <v>243</v>
      </c>
      <c r="I172" s="186"/>
      <c r="J172" s="186">
        <v>54</v>
      </c>
      <c r="K172" s="79" t="s">
        <v>680</v>
      </c>
      <c r="L172" s="186"/>
      <c r="M172" s="186"/>
      <c r="N172" s="186"/>
      <c r="O172" s="186"/>
      <c r="P172" s="186"/>
      <c r="Q172" s="186"/>
      <c r="R172" s="186"/>
      <c r="S172" s="186"/>
      <c r="T172" s="186" t="s">
        <v>2149</v>
      </c>
      <c r="U172" s="186"/>
      <c r="V172" s="186"/>
      <c r="W172" s="186"/>
      <c r="Y172" t="s">
        <v>1917</v>
      </c>
      <c r="AA172" s="30"/>
    </row>
    <row r="173" spans="1:27" ht="18.75" customHeight="1">
      <c r="A173" s="213"/>
      <c r="B173" s="213"/>
      <c r="C173" s="210"/>
      <c r="D173" s="210"/>
      <c r="E173" s="186" t="s">
        <v>55</v>
      </c>
      <c r="F173" s="186" t="s">
        <v>2166</v>
      </c>
      <c r="G173" s="186" t="s">
        <v>346</v>
      </c>
      <c r="H173" s="186" t="s">
        <v>243</v>
      </c>
      <c r="I173" s="186"/>
      <c r="J173" s="186">
        <v>57</v>
      </c>
      <c r="K173" s="79" t="s">
        <v>680</v>
      </c>
      <c r="L173" s="186"/>
      <c r="M173" s="186"/>
      <c r="N173" s="186"/>
      <c r="O173" s="186"/>
      <c r="P173" s="186"/>
      <c r="Q173" s="186"/>
      <c r="R173" s="186"/>
      <c r="S173" s="186"/>
      <c r="T173" s="186" t="s">
        <v>2167</v>
      </c>
      <c r="U173" s="186"/>
      <c r="V173" s="186"/>
      <c r="W173" s="186"/>
      <c r="Y173" t="s">
        <v>1917</v>
      </c>
      <c r="AA173" s="30"/>
    </row>
    <row r="174" spans="1:27" ht="18.75" customHeight="1">
      <c r="A174" s="213"/>
      <c r="B174" s="213"/>
      <c r="C174" s="210"/>
      <c r="D174" s="210"/>
      <c r="E174" s="186" t="s">
        <v>55</v>
      </c>
      <c r="F174" s="186" t="s">
        <v>2168</v>
      </c>
      <c r="G174" s="186" t="s">
        <v>346</v>
      </c>
      <c r="H174" s="186" t="s">
        <v>243</v>
      </c>
      <c r="I174" s="186"/>
      <c r="J174" s="186">
        <v>58</v>
      </c>
      <c r="K174" s="79" t="s">
        <v>680</v>
      </c>
      <c r="L174" s="186"/>
      <c r="M174" s="186"/>
      <c r="N174" s="186"/>
      <c r="O174" s="186"/>
      <c r="P174" s="186"/>
      <c r="Q174" s="186"/>
      <c r="R174" s="186"/>
      <c r="S174" s="186"/>
      <c r="T174" s="186" t="s">
        <v>2170</v>
      </c>
      <c r="U174" s="186"/>
      <c r="V174" s="186"/>
      <c r="W174" s="186"/>
      <c r="Y174" t="s">
        <v>1917</v>
      </c>
      <c r="AA174" s="30"/>
    </row>
    <row r="175" spans="1:27" ht="18.75" customHeight="1">
      <c r="A175" s="213"/>
      <c r="B175" s="213"/>
      <c r="C175" s="210"/>
      <c r="D175" s="210"/>
      <c r="E175" s="186" t="s">
        <v>55</v>
      </c>
      <c r="F175" s="186" t="s">
        <v>2200</v>
      </c>
      <c r="G175" s="186" t="s">
        <v>346</v>
      </c>
      <c r="H175" s="186" t="s">
        <v>243</v>
      </c>
      <c r="I175" s="186"/>
      <c r="J175" s="186">
        <v>67</v>
      </c>
      <c r="K175" s="79" t="s">
        <v>680</v>
      </c>
      <c r="L175" s="186"/>
      <c r="M175" s="186"/>
      <c r="N175" s="186"/>
      <c r="O175" s="186"/>
      <c r="P175" s="186"/>
      <c r="Q175" s="186"/>
      <c r="R175" s="186"/>
      <c r="S175" s="186"/>
      <c r="T175" s="186" t="s">
        <v>2201</v>
      </c>
      <c r="U175" s="186"/>
      <c r="V175" s="186"/>
      <c r="W175" s="186"/>
      <c r="Y175" t="s">
        <v>1917</v>
      </c>
      <c r="AA175" s="30"/>
    </row>
    <row r="176" spans="1:27" ht="18.75" customHeight="1">
      <c r="A176" s="213"/>
      <c r="B176" s="213"/>
      <c r="C176" s="210"/>
      <c r="D176" s="210"/>
      <c r="E176" s="186" t="s">
        <v>55</v>
      </c>
      <c r="F176" s="186" t="s">
        <v>2202</v>
      </c>
      <c r="G176" s="186" t="s">
        <v>346</v>
      </c>
      <c r="H176" s="186" t="s">
        <v>243</v>
      </c>
      <c r="I176" s="186"/>
      <c r="J176" s="186">
        <v>68</v>
      </c>
      <c r="K176" s="79" t="s">
        <v>680</v>
      </c>
      <c r="L176" s="186"/>
      <c r="M176" s="186"/>
      <c r="N176" s="186"/>
      <c r="O176" s="186"/>
      <c r="P176" s="186"/>
      <c r="Q176" s="186"/>
      <c r="R176" s="186"/>
      <c r="S176" s="186"/>
      <c r="T176" s="186" t="s">
        <v>2203</v>
      </c>
      <c r="U176" s="186"/>
      <c r="V176" s="186"/>
      <c r="W176" s="186"/>
      <c r="Y176" t="s">
        <v>1917</v>
      </c>
      <c r="AA176" s="30"/>
    </row>
    <row r="177" spans="1:27" ht="18.75" customHeight="1">
      <c r="A177" s="213"/>
      <c r="B177" s="213"/>
      <c r="C177" s="210"/>
      <c r="D177" s="210"/>
      <c r="E177" s="186" t="s">
        <v>55</v>
      </c>
      <c r="F177" s="186" t="s">
        <v>2204</v>
      </c>
      <c r="G177" s="186" t="s">
        <v>346</v>
      </c>
      <c r="H177" s="186" t="s">
        <v>243</v>
      </c>
      <c r="I177" s="186"/>
      <c r="J177" s="186">
        <v>69</v>
      </c>
      <c r="K177" s="79" t="s">
        <v>680</v>
      </c>
      <c r="L177" s="186"/>
      <c r="M177" s="186"/>
      <c r="N177" s="186"/>
      <c r="O177" s="186"/>
      <c r="P177" s="186"/>
      <c r="Q177" s="186"/>
      <c r="R177" s="186"/>
      <c r="S177" s="186"/>
      <c r="T177" s="186" t="s">
        <v>2205</v>
      </c>
      <c r="U177" s="186"/>
      <c r="V177" s="186"/>
      <c r="W177" s="186"/>
      <c r="Y177" t="s">
        <v>1917</v>
      </c>
      <c r="AA177" s="30"/>
    </row>
    <row r="178" spans="1:27" ht="18.75" customHeight="1">
      <c r="A178" s="213"/>
      <c r="B178" s="213"/>
      <c r="C178" s="210"/>
      <c r="D178" s="210"/>
      <c r="E178" s="186" t="s">
        <v>55</v>
      </c>
      <c r="F178" s="186" t="s">
        <v>2206</v>
      </c>
      <c r="G178" s="186" t="s">
        <v>346</v>
      </c>
      <c r="H178" s="186" t="s">
        <v>243</v>
      </c>
      <c r="I178" s="186"/>
      <c r="J178" s="186">
        <v>70</v>
      </c>
      <c r="K178" s="79" t="s">
        <v>680</v>
      </c>
      <c r="L178" s="186"/>
      <c r="M178" s="186"/>
      <c r="N178" s="186"/>
      <c r="O178" s="186"/>
      <c r="P178" s="186"/>
      <c r="Q178" s="186"/>
      <c r="R178" s="186"/>
      <c r="S178" s="186"/>
      <c r="T178" s="186" t="s">
        <v>2207</v>
      </c>
      <c r="U178" s="186"/>
      <c r="V178" s="186"/>
      <c r="W178" s="186"/>
      <c r="Y178" t="s">
        <v>1917</v>
      </c>
      <c r="AA178" s="30"/>
    </row>
    <row r="179" spans="1:27" ht="18.75" customHeight="1">
      <c r="A179" s="213"/>
      <c r="B179" s="213"/>
      <c r="C179" s="210"/>
      <c r="D179" s="210"/>
      <c r="E179" s="186" t="s">
        <v>55</v>
      </c>
      <c r="F179" s="186" t="s">
        <v>2218</v>
      </c>
      <c r="G179" s="186" t="s">
        <v>346</v>
      </c>
      <c r="H179" s="186" t="s">
        <v>243</v>
      </c>
      <c r="I179" s="186"/>
      <c r="J179" s="186">
        <v>74</v>
      </c>
      <c r="K179" s="79" t="s">
        <v>680</v>
      </c>
      <c r="L179" s="186"/>
      <c r="M179" s="186"/>
      <c r="N179" s="186"/>
      <c r="O179" s="186"/>
      <c r="P179" s="186"/>
      <c r="Q179" s="186"/>
      <c r="R179" s="186"/>
      <c r="S179" s="186"/>
      <c r="T179" s="186" t="s">
        <v>2219</v>
      </c>
      <c r="U179" s="186"/>
      <c r="V179" s="186"/>
      <c r="W179" s="186"/>
      <c r="Y179" t="s">
        <v>1917</v>
      </c>
      <c r="AA179" s="30"/>
    </row>
    <row r="180" spans="1:27" ht="18.75" customHeight="1">
      <c r="A180" s="213"/>
      <c r="B180" s="213"/>
      <c r="C180" s="210"/>
      <c r="D180" s="210"/>
      <c r="E180" s="186" t="s">
        <v>55</v>
      </c>
      <c r="F180" s="186" t="s">
        <v>2220</v>
      </c>
      <c r="G180" s="186" t="s">
        <v>250</v>
      </c>
      <c r="H180" s="186" t="s">
        <v>243</v>
      </c>
      <c r="I180" s="186"/>
      <c r="J180" s="186">
        <v>64</v>
      </c>
      <c r="K180" s="79" t="s">
        <v>680</v>
      </c>
      <c r="L180" s="186"/>
      <c r="M180" s="186"/>
      <c r="N180" s="186"/>
      <c r="O180" s="186"/>
      <c r="P180" s="186"/>
      <c r="Q180" s="186"/>
      <c r="R180" s="186"/>
      <c r="S180" s="186"/>
      <c r="T180" s="186" t="s">
        <v>2221</v>
      </c>
      <c r="U180" s="186"/>
      <c r="V180" s="186"/>
      <c r="W180" s="186"/>
      <c r="Y180" t="s">
        <v>1917</v>
      </c>
      <c r="AA180" s="30"/>
    </row>
    <row r="181" spans="1:27" ht="18.75" customHeight="1">
      <c r="A181" s="213"/>
      <c r="B181" s="213"/>
      <c r="C181" s="210"/>
      <c r="D181" s="210"/>
      <c r="E181" s="186" t="s">
        <v>55</v>
      </c>
      <c r="F181" s="186" t="s">
        <v>2222</v>
      </c>
      <c r="G181" s="186" t="s">
        <v>250</v>
      </c>
      <c r="H181" s="186" t="s">
        <v>243</v>
      </c>
      <c r="I181" s="186"/>
      <c r="J181" s="186">
        <v>65</v>
      </c>
      <c r="K181" s="79" t="s">
        <v>680</v>
      </c>
      <c r="L181" s="186"/>
      <c r="M181" s="186"/>
      <c r="N181" s="186"/>
      <c r="O181" s="186"/>
      <c r="P181" s="186"/>
      <c r="Q181" s="186"/>
      <c r="R181" s="186"/>
      <c r="S181" s="186"/>
      <c r="T181" s="186" t="s">
        <v>2223</v>
      </c>
      <c r="U181" s="186"/>
      <c r="V181" s="186"/>
      <c r="W181" s="186"/>
      <c r="Y181" t="s">
        <v>1917</v>
      </c>
      <c r="AA181" s="30"/>
    </row>
    <row r="182" spans="1:27" ht="18.75" customHeight="1">
      <c r="A182" s="213"/>
      <c r="B182" s="213"/>
      <c r="C182" s="210"/>
      <c r="D182" s="210"/>
      <c r="E182" s="186" t="s">
        <v>55</v>
      </c>
      <c r="F182" s="186" t="s">
        <v>2224</v>
      </c>
      <c r="G182" s="186" t="s">
        <v>346</v>
      </c>
      <c r="H182" s="186" t="s">
        <v>243</v>
      </c>
      <c r="I182" s="186"/>
      <c r="J182" s="186">
        <v>75</v>
      </c>
      <c r="K182" s="79" t="s">
        <v>680</v>
      </c>
      <c r="L182" s="186"/>
      <c r="M182" s="186"/>
      <c r="N182" s="186"/>
      <c r="O182" s="186"/>
      <c r="P182" s="186"/>
      <c r="Q182" s="186"/>
      <c r="R182" s="186"/>
      <c r="S182" s="186"/>
      <c r="T182" s="186" t="s">
        <v>2226</v>
      </c>
      <c r="U182" s="186"/>
      <c r="V182" s="186"/>
      <c r="W182" s="186"/>
      <c r="Y182" t="s">
        <v>1917</v>
      </c>
      <c r="AA182" s="30"/>
    </row>
    <row r="183" spans="1:27" ht="18.75" customHeight="1">
      <c r="A183" s="213"/>
      <c r="B183" s="213"/>
      <c r="C183" s="210"/>
      <c r="D183" s="210"/>
      <c r="E183" s="186" t="s">
        <v>55</v>
      </c>
      <c r="F183" s="186" t="s">
        <v>2227</v>
      </c>
      <c r="G183" s="186" t="s">
        <v>346</v>
      </c>
      <c r="H183" s="186" t="s">
        <v>243</v>
      </c>
      <c r="I183" s="186"/>
      <c r="J183" s="186">
        <v>76</v>
      </c>
      <c r="K183" s="79" t="s">
        <v>680</v>
      </c>
      <c r="L183" s="186"/>
      <c r="M183" s="186"/>
      <c r="N183" s="186"/>
      <c r="O183" s="186"/>
      <c r="P183" s="186"/>
      <c r="Q183" s="186"/>
      <c r="R183" s="186"/>
      <c r="S183" s="186"/>
      <c r="T183" s="186" t="s">
        <v>2228</v>
      </c>
      <c r="U183" s="186"/>
      <c r="V183" s="186"/>
      <c r="W183" s="186"/>
      <c r="Y183" t="s">
        <v>1917</v>
      </c>
      <c r="AA183" s="30"/>
    </row>
    <row r="184" spans="1:27" ht="18.75" customHeight="1">
      <c r="A184" s="213"/>
      <c r="B184" s="213"/>
      <c r="C184" s="210"/>
      <c r="D184" s="210"/>
      <c r="E184" s="186" t="s">
        <v>55</v>
      </c>
      <c r="F184" s="186" t="s">
        <v>2235</v>
      </c>
      <c r="G184" s="186" t="s">
        <v>329</v>
      </c>
      <c r="H184" s="186" t="s">
        <v>243</v>
      </c>
      <c r="I184" s="186"/>
      <c r="J184" s="186">
        <v>78</v>
      </c>
      <c r="K184" s="79" t="s">
        <v>680</v>
      </c>
      <c r="L184" s="186"/>
      <c r="M184" s="186"/>
      <c r="N184" s="186"/>
      <c r="O184" s="186"/>
      <c r="P184" s="186"/>
      <c r="Q184" s="186"/>
      <c r="R184" s="186"/>
      <c r="S184" s="186"/>
      <c r="T184" s="186" t="s">
        <v>2236</v>
      </c>
      <c r="U184" s="186"/>
      <c r="V184" s="186"/>
      <c r="W184" s="186"/>
      <c r="Y184" t="s">
        <v>1917</v>
      </c>
      <c r="AA184" s="30"/>
    </row>
    <row r="185" spans="1:27" ht="18.75" customHeight="1">
      <c r="A185" s="213"/>
      <c r="B185" s="213"/>
      <c r="C185" s="210"/>
      <c r="D185" s="210"/>
      <c r="E185" s="186" t="s">
        <v>55</v>
      </c>
      <c r="F185" s="186" t="s">
        <v>2243</v>
      </c>
      <c r="G185" s="186" t="s">
        <v>329</v>
      </c>
      <c r="H185" s="186" t="s">
        <v>243</v>
      </c>
      <c r="I185" s="186"/>
      <c r="J185" s="186">
        <v>81</v>
      </c>
      <c r="K185" s="79" t="s">
        <v>680</v>
      </c>
      <c r="L185" s="186"/>
      <c r="M185" s="186"/>
      <c r="N185" s="186"/>
      <c r="O185" s="186"/>
      <c r="P185" s="186"/>
      <c r="Q185" s="186"/>
      <c r="R185" s="186"/>
      <c r="S185" s="186"/>
      <c r="T185" s="186" t="s">
        <v>2244</v>
      </c>
      <c r="U185" s="186"/>
      <c r="V185" s="186"/>
      <c r="W185" s="186"/>
      <c r="Y185" t="s">
        <v>1917</v>
      </c>
      <c r="AA185" s="30"/>
    </row>
    <row r="186" spans="1:27" ht="18.75" customHeight="1">
      <c r="A186" s="213"/>
      <c r="B186" s="213"/>
      <c r="C186" s="210"/>
      <c r="D186" s="210"/>
      <c r="E186" s="186" t="s">
        <v>55</v>
      </c>
      <c r="F186" s="186" t="s">
        <v>2263</v>
      </c>
      <c r="G186" s="186" t="s">
        <v>329</v>
      </c>
      <c r="H186" s="186" t="s">
        <v>243</v>
      </c>
      <c r="I186" s="186"/>
      <c r="J186" s="72">
        <v>181</v>
      </c>
      <c r="K186" s="79" t="s">
        <v>680</v>
      </c>
      <c r="L186" s="186"/>
      <c r="M186" s="186"/>
      <c r="N186" s="186"/>
      <c r="O186" s="186"/>
      <c r="P186" s="186"/>
      <c r="Q186" s="186"/>
      <c r="R186" s="186"/>
      <c r="S186" s="186"/>
      <c r="T186" s="90" t="s">
        <v>2264</v>
      </c>
      <c r="U186" s="90"/>
      <c r="V186" s="90"/>
      <c r="W186" s="90"/>
      <c r="Y186" t="s">
        <v>1917</v>
      </c>
      <c r="AA186" s="30"/>
    </row>
    <row r="187" spans="1:27" ht="18.75" customHeight="1">
      <c r="A187" s="213"/>
      <c r="B187" s="213"/>
      <c r="C187" s="210"/>
      <c r="D187" s="210"/>
      <c r="E187" s="186" t="s">
        <v>55</v>
      </c>
      <c r="F187" s="186" t="s">
        <v>2268</v>
      </c>
      <c r="G187" s="186" t="s">
        <v>329</v>
      </c>
      <c r="H187" s="186" t="s">
        <v>243</v>
      </c>
      <c r="I187" s="186"/>
      <c r="J187" s="186">
        <v>86</v>
      </c>
      <c r="K187" s="79" t="s">
        <v>680</v>
      </c>
      <c r="L187" s="186"/>
      <c r="M187" s="186"/>
      <c r="N187" s="186"/>
      <c r="O187" s="186"/>
      <c r="P187" s="186"/>
      <c r="Q187" s="186"/>
      <c r="R187" s="186"/>
      <c r="S187" s="186"/>
      <c r="T187" s="186" t="s">
        <v>2269</v>
      </c>
      <c r="U187" s="186"/>
      <c r="V187" s="186"/>
      <c r="W187" s="186"/>
      <c r="Y187" t="s">
        <v>1917</v>
      </c>
      <c r="AA187" s="30"/>
    </row>
    <row r="188" spans="1:27" ht="18.75" customHeight="1">
      <c r="A188" s="213"/>
      <c r="B188" s="213"/>
      <c r="C188" s="210"/>
      <c r="D188" s="210"/>
      <c r="E188" s="186" t="s">
        <v>55</v>
      </c>
      <c r="F188" s="186" t="s">
        <v>2270</v>
      </c>
      <c r="G188" s="186" t="s">
        <v>329</v>
      </c>
      <c r="H188" s="186" t="s">
        <v>243</v>
      </c>
      <c r="I188" s="186"/>
      <c r="J188" s="72">
        <v>179</v>
      </c>
      <c r="K188" s="79" t="s">
        <v>680</v>
      </c>
      <c r="L188" s="186"/>
      <c r="M188" s="186"/>
      <c r="N188" s="186"/>
      <c r="O188" s="186"/>
      <c r="P188" s="186"/>
      <c r="Q188" s="186"/>
      <c r="R188" s="186"/>
      <c r="S188" s="186"/>
      <c r="T188" s="90" t="s">
        <v>2271</v>
      </c>
      <c r="U188" s="90"/>
      <c r="V188" s="90"/>
      <c r="W188" s="90"/>
      <c r="Y188" t="s">
        <v>1917</v>
      </c>
      <c r="AA188" s="30"/>
    </row>
    <row r="189" spans="1:27" ht="18.75" customHeight="1">
      <c r="A189" s="213"/>
      <c r="B189" s="213"/>
      <c r="C189" s="210"/>
      <c r="D189" s="210"/>
      <c r="E189" s="186" t="s">
        <v>55</v>
      </c>
      <c r="F189" s="186" t="s">
        <v>2275</v>
      </c>
      <c r="G189" s="186" t="s">
        <v>329</v>
      </c>
      <c r="H189" s="186" t="s">
        <v>243</v>
      </c>
      <c r="I189" s="186"/>
      <c r="J189" s="186">
        <v>88</v>
      </c>
      <c r="K189" s="79" t="s">
        <v>680</v>
      </c>
      <c r="L189" s="186"/>
      <c r="M189" s="186"/>
      <c r="N189" s="186"/>
      <c r="O189" s="186"/>
      <c r="P189" s="186"/>
      <c r="Q189" s="186"/>
      <c r="R189" s="186"/>
      <c r="S189" s="186"/>
      <c r="T189" s="186" t="s">
        <v>2276</v>
      </c>
      <c r="U189" s="186"/>
      <c r="V189" s="186"/>
      <c r="W189" s="186"/>
      <c r="Y189" t="s">
        <v>1917</v>
      </c>
      <c r="AA189" s="30"/>
    </row>
    <row r="190" spans="1:27" ht="18.75" customHeight="1">
      <c r="A190" s="213"/>
      <c r="B190" s="213"/>
      <c r="C190" s="210"/>
      <c r="D190" s="210"/>
      <c r="E190" s="186" t="s">
        <v>55</v>
      </c>
      <c r="F190" s="186" t="s">
        <v>2277</v>
      </c>
      <c r="G190" s="186" t="s">
        <v>329</v>
      </c>
      <c r="H190" s="186" t="s">
        <v>243</v>
      </c>
      <c r="I190" s="186"/>
      <c r="J190" s="186">
        <v>89</v>
      </c>
      <c r="K190" s="79" t="s">
        <v>680</v>
      </c>
      <c r="L190" s="186"/>
      <c r="M190" s="186"/>
      <c r="N190" s="186"/>
      <c r="O190" s="186"/>
      <c r="P190" s="186"/>
      <c r="Q190" s="186"/>
      <c r="R190" s="186"/>
      <c r="S190" s="186"/>
      <c r="T190" s="186" t="s">
        <v>2278</v>
      </c>
      <c r="U190" s="186"/>
      <c r="V190" s="186"/>
      <c r="W190" s="186"/>
      <c r="Y190" t="s">
        <v>1917</v>
      </c>
      <c r="AA190" s="30"/>
    </row>
    <row r="191" spans="1:27" ht="18.75" customHeight="1">
      <c r="A191" s="213"/>
      <c r="B191" s="213"/>
      <c r="C191" s="210"/>
      <c r="D191" s="210"/>
      <c r="E191" s="186" t="s">
        <v>55</v>
      </c>
      <c r="F191" s="186" t="s">
        <v>2279</v>
      </c>
      <c r="G191" s="186" t="s">
        <v>329</v>
      </c>
      <c r="H191" s="186" t="s">
        <v>243</v>
      </c>
      <c r="I191" s="186"/>
      <c r="J191" s="186">
        <v>90</v>
      </c>
      <c r="K191" s="79" t="s">
        <v>680</v>
      </c>
      <c r="L191" s="186"/>
      <c r="M191" s="186"/>
      <c r="N191" s="186"/>
      <c r="O191" s="186"/>
      <c r="P191" s="186"/>
      <c r="Q191" s="186"/>
      <c r="R191" s="186"/>
      <c r="S191" s="186"/>
      <c r="T191" s="186" t="s">
        <v>2280</v>
      </c>
      <c r="U191" s="186"/>
      <c r="V191" s="186"/>
      <c r="W191" s="186"/>
      <c r="Y191" t="s">
        <v>1917</v>
      </c>
      <c r="AA191" s="30"/>
    </row>
    <row r="192" spans="1:27" ht="18.75" customHeight="1">
      <c r="A192" s="213"/>
      <c r="B192" s="213"/>
      <c r="C192" s="210"/>
      <c r="D192" s="210"/>
      <c r="E192" s="186" t="s">
        <v>55</v>
      </c>
      <c r="F192" s="186" t="s">
        <v>2289</v>
      </c>
      <c r="G192" s="186" t="s">
        <v>329</v>
      </c>
      <c r="H192" s="186" t="s">
        <v>243</v>
      </c>
      <c r="I192" s="186"/>
      <c r="J192" s="186">
        <v>94</v>
      </c>
      <c r="K192" s="79" t="s">
        <v>680</v>
      </c>
      <c r="L192" s="186"/>
      <c r="M192" s="186"/>
      <c r="N192" s="186"/>
      <c r="O192" s="186"/>
      <c r="P192" s="186"/>
      <c r="Q192" s="186"/>
      <c r="R192" s="186"/>
      <c r="S192" s="186"/>
      <c r="T192" s="186" t="s">
        <v>2290</v>
      </c>
      <c r="U192" s="186"/>
      <c r="V192" s="186"/>
      <c r="W192" s="186"/>
      <c r="Y192" t="s">
        <v>1917</v>
      </c>
      <c r="AA192" s="30"/>
    </row>
    <row r="193" spans="1:27" ht="18.75" customHeight="1">
      <c r="A193" s="213"/>
      <c r="B193" s="213"/>
      <c r="C193" s="210"/>
      <c r="D193" s="210"/>
      <c r="E193" s="186" t="s">
        <v>59</v>
      </c>
      <c r="F193" s="186" t="s">
        <v>2294</v>
      </c>
      <c r="G193" s="186" t="s">
        <v>329</v>
      </c>
      <c r="H193" s="186" t="s">
        <v>243</v>
      </c>
      <c r="I193" s="186"/>
      <c r="J193" s="186">
        <v>96</v>
      </c>
      <c r="K193" s="79" t="s">
        <v>680</v>
      </c>
      <c r="L193" s="186"/>
      <c r="M193" s="186"/>
      <c r="N193" s="186"/>
      <c r="O193" s="186"/>
      <c r="P193" s="186"/>
      <c r="Q193" s="186"/>
      <c r="R193" s="186"/>
      <c r="S193" s="186"/>
      <c r="T193" s="186" t="s">
        <v>2081</v>
      </c>
      <c r="U193" s="186"/>
      <c r="V193" s="186"/>
      <c r="W193" s="186"/>
      <c r="Y193" t="s">
        <v>1917</v>
      </c>
      <c r="AA193" s="30"/>
    </row>
    <row r="194" spans="1:27" ht="18.75" customHeight="1">
      <c r="A194" s="213"/>
      <c r="B194" s="213"/>
      <c r="C194" s="210"/>
      <c r="D194" s="210"/>
      <c r="E194" s="186" t="s">
        <v>55</v>
      </c>
      <c r="F194" s="186" t="s">
        <v>2307</v>
      </c>
      <c r="G194" s="186" t="s">
        <v>249</v>
      </c>
      <c r="H194" s="186" t="s">
        <v>243</v>
      </c>
      <c r="I194" s="186"/>
      <c r="J194" s="72">
        <v>195</v>
      </c>
      <c r="K194" s="79" t="s">
        <v>680</v>
      </c>
      <c r="L194" s="186"/>
      <c r="M194" s="186"/>
      <c r="N194" s="186"/>
      <c r="O194" s="186"/>
      <c r="P194" s="186"/>
      <c r="Q194" s="186"/>
      <c r="R194" s="186"/>
      <c r="S194" s="186"/>
      <c r="T194" s="90" t="s">
        <v>2309</v>
      </c>
      <c r="U194" s="90"/>
      <c r="V194" s="90"/>
      <c r="W194" s="90"/>
      <c r="Y194" t="s">
        <v>1917</v>
      </c>
      <c r="AA194" s="30"/>
    </row>
    <row r="195" spans="1:27" ht="18.75" customHeight="1">
      <c r="A195" s="213"/>
      <c r="B195" s="213"/>
      <c r="C195" s="210"/>
      <c r="D195" s="210"/>
      <c r="E195" s="186" t="s">
        <v>55</v>
      </c>
      <c r="F195" s="186" t="s">
        <v>2310</v>
      </c>
      <c r="G195" s="186" t="s">
        <v>329</v>
      </c>
      <c r="H195" s="186" t="s">
        <v>243</v>
      </c>
      <c r="I195" s="186"/>
      <c r="J195" s="72">
        <v>174</v>
      </c>
      <c r="K195" s="79" t="s">
        <v>680</v>
      </c>
      <c r="L195" s="186"/>
      <c r="M195" s="186"/>
      <c r="N195" s="186"/>
      <c r="O195" s="186"/>
      <c r="P195" s="186"/>
      <c r="Q195" s="186"/>
      <c r="R195" s="186"/>
      <c r="S195" s="186"/>
      <c r="T195" s="90" t="s">
        <v>2311</v>
      </c>
      <c r="U195" s="90"/>
      <c r="V195" s="90"/>
      <c r="W195" s="90"/>
      <c r="Y195" t="s">
        <v>1917</v>
      </c>
      <c r="AA195" s="30"/>
    </row>
    <row r="196" spans="1:27" ht="18.75" customHeight="1">
      <c r="A196" s="213"/>
      <c r="B196" s="213"/>
      <c r="C196" s="210"/>
      <c r="D196" s="210"/>
      <c r="E196" s="186" t="s">
        <v>55</v>
      </c>
      <c r="F196" s="186" t="s">
        <v>164</v>
      </c>
      <c r="G196" s="186" t="s">
        <v>255</v>
      </c>
      <c r="H196" s="186" t="s">
        <v>243</v>
      </c>
      <c r="I196" s="186"/>
      <c r="J196" s="186">
        <v>100</v>
      </c>
      <c r="K196" s="79" t="s">
        <v>680</v>
      </c>
      <c r="L196" s="186"/>
      <c r="M196" s="186"/>
      <c r="N196" s="186"/>
      <c r="O196" s="186"/>
      <c r="P196" s="186"/>
      <c r="Q196" s="186"/>
      <c r="R196" s="186"/>
      <c r="S196" s="186"/>
      <c r="T196" s="186" t="s">
        <v>2327</v>
      </c>
      <c r="U196" s="186"/>
      <c r="V196" s="186"/>
      <c r="W196" s="186"/>
      <c r="Y196" t="s">
        <v>1917</v>
      </c>
      <c r="AA196" s="30"/>
    </row>
    <row r="197" spans="1:27" ht="18.75" customHeight="1">
      <c r="A197" s="213"/>
      <c r="B197" s="213"/>
      <c r="C197" s="210"/>
      <c r="D197" s="210"/>
      <c r="E197" s="186" t="s">
        <v>55</v>
      </c>
      <c r="F197" s="186" t="s">
        <v>2328</v>
      </c>
      <c r="G197" s="186" t="s">
        <v>995</v>
      </c>
      <c r="H197" s="186" t="s">
        <v>243</v>
      </c>
      <c r="I197" s="186"/>
      <c r="J197" s="186">
        <v>101</v>
      </c>
      <c r="K197" s="79" t="s">
        <v>680</v>
      </c>
      <c r="L197" s="186"/>
      <c r="M197" s="186"/>
      <c r="N197" s="186"/>
      <c r="O197" s="186"/>
      <c r="P197" s="186"/>
      <c r="Q197" s="186"/>
      <c r="R197" s="186"/>
      <c r="S197" s="186"/>
      <c r="T197" s="186" t="s">
        <v>2329</v>
      </c>
      <c r="U197" s="186"/>
      <c r="V197" s="186"/>
      <c r="W197" s="186"/>
      <c r="Y197" t="s">
        <v>1917</v>
      </c>
      <c r="AA197" s="30"/>
    </row>
    <row r="198" spans="1:27" ht="18.75" customHeight="1">
      <c r="A198" s="213"/>
      <c r="B198" s="213"/>
      <c r="C198" s="210"/>
      <c r="D198" s="210"/>
      <c r="E198" s="186" t="s">
        <v>55</v>
      </c>
      <c r="F198" s="186" t="s">
        <v>1695</v>
      </c>
      <c r="G198" s="186" t="s">
        <v>247</v>
      </c>
      <c r="H198" s="186" t="s">
        <v>243</v>
      </c>
      <c r="I198" s="186"/>
      <c r="J198" s="186">
        <v>163</v>
      </c>
      <c r="K198" s="79" t="s">
        <v>680</v>
      </c>
      <c r="L198" s="186"/>
      <c r="M198" s="186"/>
      <c r="N198" s="186"/>
      <c r="O198" s="186"/>
      <c r="P198" s="186"/>
      <c r="Q198" s="186"/>
      <c r="R198" s="186"/>
      <c r="S198" s="186"/>
      <c r="T198" s="186" t="s">
        <v>1696</v>
      </c>
      <c r="U198" s="186"/>
      <c r="V198" s="186"/>
      <c r="W198" s="186"/>
      <c r="Y198" t="s">
        <v>1917</v>
      </c>
      <c r="AA198" s="30"/>
    </row>
    <row r="199" spans="1:27" ht="18.75" customHeight="1">
      <c r="A199" s="213"/>
      <c r="B199" s="213"/>
      <c r="C199" s="210"/>
      <c r="D199" s="210"/>
      <c r="E199" s="186" t="s">
        <v>55</v>
      </c>
      <c r="F199" s="186" t="s">
        <v>2346</v>
      </c>
      <c r="G199" s="186" t="s">
        <v>346</v>
      </c>
      <c r="H199" s="186" t="s">
        <v>243</v>
      </c>
      <c r="I199" s="186"/>
      <c r="J199" s="186">
        <v>107</v>
      </c>
      <c r="K199" s="79" t="s">
        <v>680</v>
      </c>
      <c r="L199" s="186"/>
      <c r="M199" s="186"/>
      <c r="N199" s="186"/>
      <c r="O199" s="186"/>
      <c r="P199" s="186"/>
      <c r="Q199" s="186"/>
      <c r="R199" s="186"/>
      <c r="S199" s="186"/>
      <c r="T199" s="186" t="s">
        <v>2347</v>
      </c>
      <c r="U199" s="186"/>
      <c r="V199" s="186"/>
      <c r="W199" s="186"/>
      <c r="Y199" t="s">
        <v>1917</v>
      </c>
      <c r="AA199" s="30"/>
    </row>
    <row r="200" spans="1:27" ht="18.75" customHeight="1">
      <c r="A200" s="213"/>
      <c r="B200" s="213"/>
      <c r="C200" s="210"/>
      <c r="D200" s="210"/>
      <c r="E200" s="186" t="s">
        <v>55</v>
      </c>
      <c r="F200" s="186" t="s">
        <v>2350</v>
      </c>
      <c r="G200" s="186" t="s">
        <v>329</v>
      </c>
      <c r="H200" s="186" t="s">
        <v>243</v>
      </c>
      <c r="I200" s="186"/>
      <c r="J200" s="72">
        <v>209</v>
      </c>
      <c r="K200" s="79" t="s">
        <v>680</v>
      </c>
      <c r="L200" s="186"/>
      <c r="M200" s="186"/>
      <c r="N200" s="186"/>
      <c r="O200" s="186"/>
      <c r="P200" s="186"/>
      <c r="Q200" s="186"/>
      <c r="R200" s="186"/>
      <c r="S200" s="186"/>
      <c r="T200" s="90" t="s">
        <v>2351</v>
      </c>
      <c r="U200" s="90"/>
      <c r="V200" s="90"/>
      <c r="W200" s="90"/>
      <c r="Y200" t="s">
        <v>1917</v>
      </c>
      <c r="AA200" s="30"/>
    </row>
    <row r="201" spans="1:27" ht="18.75" customHeight="1">
      <c r="A201" s="213"/>
      <c r="B201" s="213"/>
      <c r="C201" s="210"/>
      <c r="D201" s="210"/>
      <c r="E201" s="186" t="s">
        <v>55</v>
      </c>
      <c r="F201" s="186" t="s">
        <v>2353</v>
      </c>
      <c r="G201" s="186" t="s">
        <v>329</v>
      </c>
      <c r="H201" s="186" t="s">
        <v>243</v>
      </c>
      <c r="I201" s="186"/>
      <c r="J201" s="72">
        <v>208</v>
      </c>
      <c r="K201" s="79" t="s">
        <v>680</v>
      </c>
      <c r="L201" s="186"/>
      <c r="M201" s="186"/>
      <c r="N201" s="186"/>
      <c r="O201" s="186"/>
      <c r="P201" s="186"/>
      <c r="Q201" s="186"/>
      <c r="R201" s="186"/>
      <c r="S201" s="186"/>
      <c r="T201" s="90" t="s">
        <v>2354</v>
      </c>
      <c r="U201" s="90"/>
      <c r="V201" s="90"/>
      <c r="W201" s="90"/>
      <c r="Y201" t="s">
        <v>1917</v>
      </c>
      <c r="AA201" s="30"/>
    </row>
    <row r="202" spans="1:27" ht="18.75" customHeight="1">
      <c r="A202" s="213"/>
      <c r="B202" s="213"/>
      <c r="C202" s="210"/>
      <c r="D202" s="210"/>
      <c r="E202" s="186" t="s">
        <v>55</v>
      </c>
      <c r="F202" s="186" t="s">
        <v>2355</v>
      </c>
      <c r="G202" s="186" t="s">
        <v>432</v>
      </c>
      <c r="H202" s="186" t="s">
        <v>243</v>
      </c>
      <c r="I202" s="186"/>
      <c r="J202" s="186">
        <v>108</v>
      </c>
      <c r="K202" s="79" t="s">
        <v>680</v>
      </c>
      <c r="L202" s="186"/>
      <c r="M202" s="186"/>
      <c r="N202" s="186"/>
      <c r="O202" s="186"/>
      <c r="P202" s="186"/>
      <c r="Q202" s="186"/>
      <c r="R202" s="186"/>
      <c r="S202" s="186"/>
      <c r="T202" s="186" t="s">
        <v>2356</v>
      </c>
      <c r="U202" s="186"/>
      <c r="V202" s="186"/>
      <c r="W202" s="186"/>
      <c r="Y202" t="s">
        <v>1917</v>
      </c>
      <c r="AA202" s="30"/>
    </row>
    <row r="203" spans="1:27" ht="18.75" customHeight="1">
      <c r="A203" s="213"/>
      <c r="B203" s="213"/>
      <c r="C203" s="210"/>
      <c r="D203" s="210"/>
      <c r="E203" s="186" t="s">
        <v>55</v>
      </c>
      <c r="F203" s="186" t="s">
        <v>2372</v>
      </c>
      <c r="G203" s="186" t="s">
        <v>250</v>
      </c>
      <c r="H203" s="186" t="s">
        <v>243</v>
      </c>
      <c r="I203" s="186"/>
      <c r="J203" s="186">
        <v>2</v>
      </c>
      <c r="K203" s="79" t="s">
        <v>680</v>
      </c>
      <c r="L203" s="186"/>
      <c r="M203" s="186"/>
      <c r="N203" s="186"/>
      <c r="O203" s="186"/>
      <c r="P203" s="186"/>
      <c r="Q203" s="186"/>
      <c r="R203" s="186"/>
      <c r="S203" s="186"/>
      <c r="T203" s="186" t="s">
        <v>2373</v>
      </c>
      <c r="U203" s="186"/>
      <c r="V203" s="186"/>
      <c r="W203" s="186"/>
      <c r="Y203" t="s">
        <v>1917</v>
      </c>
      <c r="AA203" s="30"/>
    </row>
    <row r="204" spans="1:27" ht="18.75" customHeight="1">
      <c r="A204" s="213"/>
      <c r="B204" s="213"/>
      <c r="C204" s="210"/>
      <c r="D204" s="210"/>
      <c r="E204" s="186" t="s">
        <v>55</v>
      </c>
      <c r="F204" s="186" t="s">
        <v>2375</v>
      </c>
      <c r="G204" s="186" t="s">
        <v>329</v>
      </c>
      <c r="H204" s="186" t="s">
        <v>243</v>
      </c>
      <c r="I204" s="186"/>
      <c r="J204" s="186">
        <v>112</v>
      </c>
      <c r="K204" s="79" t="s">
        <v>680</v>
      </c>
      <c r="L204" s="186"/>
      <c r="M204" s="186"/>
      <c r="N204" s="186"/>
      <c r="O204" s="186"/>
      <c r="P204" s="186"/>
      <c r="Q204" s="186"/>
      <c r="R204" s="186"/>
      <c r="S204" s="186"/>
      <c r="T204" s="186" t="s">
        <v>2376</v>
      </c>
      <c r="U204" s="186"/>
      <c r="V204" s="186"/>
      <c r="W204" s="186"/>
      <c r="Y204" t="s">
        <v>1917</v>
      </c>
      <c r="AA204" s="30"/>
    </row>
    <row r="205" spans="1:27" ht="18.75" customHeight="1">
      <c r="A205" s="213"/>
      <c r="B205" s="213"/>
      <c r="C205" s="210"/>
      <c r="D205" s="210"/>
      <c r="E205" s="186" t="s">
        <v>55</v>
      </c>
      <c r="F205" s="186" t="s">
        <v>434</v>
      </c>
      <c r="G205" s="186" t="s">
        <v>247</v>
      </c>
      <c r="H205" s="186" t="s">
        <v>243</v>
      </c>
      <c r="I205" s="186"/>
      <c r="J205" s="186">
        <v>217</v>
      </c>
      <c r="K205" s="79" t="s">
        <v>680</v>
      </c>
      <c r="L205" s="186"/>
      <c r="M205" s="186"/>
      <c r="N205" s="186"/>
      <c r="O205" s="186"/>
      <c r="P205" s="186"/>
      <c r="Q205" s="186"/>
      <c r="R205" s="186"/>
      <c r="S205" s="186"/>
      <c r="T205" s="90" t="s">
        <v>1767</v>
      </c>
      <c r="U205" s="90"/>
      <c r="V205" s="90"/>
      <c r="W205" s="90"/>
      <c r="Y205" t="s">
        <v>1917</v>
      </c>
      <c r="AA205" s="30"/>
    </row>
    <row r="206" spans="1:27" ht="18.75" customHeight="1">
      <c r="A206" s="213"/>
      <c r="B206" s="213"/>
      <c r="C206" s="210"/>
      <c r="D206" s="210"/>
      <c r="E206" s="186" t="s">
        <v>59</v>
      </c>
      <c r="F206" s="186" t="s">
        <v>491</v>
      </c>
      <c r="G206" s="186" t="s">
        <v>346</v>
      </c>
      <c r="H206" s="186" t="s">
        <v>243</v>
      </c>
      <c r="I206" s="186"/>
      <c r="J206" s="186">
        <v>116</v>
      </c>
      <c r="K206" s="79" t="s">
        <v>680</v>
      </c>
      <c r="L206" s="186"/>
      <c r="M206" s="186"/>
      <c r="N206" s="186"/>
      <c r="O206" s="186"/>
      <c r="P206" s="186"/>
      <c r="Q206" s="186" t="s">
        <v>3957</v>
      </c>
      <c r="R206" s="186"/>
      <c r="S206" s="186"/>
      <c r="T206" s="186" t="s">
        <v>2381</v>
      </c>
      <c r="U206" s="186"/>
      <c r="V206" s="186"/>
      <c r="W206" s="186"/>
      <c r="Y206" t="s">
        <v>1917</v>
      </c>
      <c r="AA206" s="30"/>
    </row>
    <row r="207" spans="1:27" ht="18.75" customHeight="1">
      <c r="A207" s="213"/>
      <c r="B207" s="213"/>
      <c r="C207" s="210"/>
      <c r="D207" s="210"/>
      <c r="E207" s="186" t="s">
        <v>55</v>
      </c>
      <c r="F207" s="186" t="s">
        <v>1773</v>
      </c>
      <c r="G207" s="186" t="s">
        <v>247</v>
      </c>
      <c r="H207" s="186" t="s">
        <v>243</v>
      </c>
      <c r="I207" s="186"/>
      <c r="J207" s="72">
        <v>182</v>
      </c>
      <c r="K207" s="79" t="s">
        <v>680</v>
      </c>
      <c r="L207" s="186"/>
      <c r="M207" s="186"/>
      <c r="N207" s="186"/>
      <c r="O207" s="186"/>
      <c r="P207" s="186"/>
      <c r="Q207" s="186"/>
      <c r="R207" s="186"/>
      <c r="S207" s="186"/>
      <c r="T207" s="90" t="s">
        <v>1776</v>
      </c>
      <c r="U207" s="90"/>
      <c r="V207" s="90"/>
      <c r="W207" s="90"/>
      <c r="Y207" t="s">
        <v>1917</v>
      </c>
      <c r="AA207" s="30"/>
    </row>
    <row r="208" spans="1:27" ht="18.75" customHeight="1">
      <c r="A208" s="213"/>
      <c r="B208" s="213"/>
      <c r="C208" s="210"/>
      <c r="D208" s="210"/>
      <c r="E208" s="186" t="s">
        <v>59</v>
      </c>
      <c r="F208" s="186" t="s">
        <v>493</v>
      </c>
      <c r="G208" s="186" t="s">
        <v>242</v>
      </c>
      <c r="H208" s="186" t="s">
        <v>243</v>
      </c>
      <c r="I208" s="186"/>
      <c r="J208" s="186">
        <v>117</v>
      </c>
      <c r="K208" s="79" t="s">
        <v>680</v>
      </c>
      <c r="L208" s="186"/>
      <c r="M208" s="186"/>
      <c r="N208" s="186"/>
      <c r="O208" s="186"/>
      <c r="P208" s="186"/>
      <c r="Q208" s="186" t="s">
        <v>3958</v>
      </c>
      <c r="R208" s="186"/>
      <c r="S208" s="186"/>
      <c r="T208" s="186" t="s">
        <v>2383</v>
      </c>
      <c r="U208" s="186"/>
      <c r="V208" s="186"/>
      <c r="W208" s="186"/>
      <c r="Y208" t="s">
        <v>1917</v>
      </c>
      <c r="AA208" s="30"/>
    </row>
    <row r="209" spans="1:27" ht="18.75" customHeight="1">
      <c r="A209" s="213"/>
      <c r="B209" s="213"/>
      <c r="C209" s="210"/>
      <c r="D209" s="210"/>
      <c r="E209" s="186" t="s">
        <v>55</v>
      </c>
      <c r="F209" s="186" t="s">
        <v>2384</v>
      </c>
      <c r="G209" s="186" t="s">
        <v>346</v>
      </c>
      <c r="H209" s="186" t="s">
        <v>243</v>
      </c>
      <c r="I209" s="186"/>
      <c r="J209" s="186">
        <v>118</v>
      </c>
      <c r="K209" s="79" t="s">
        <v>680</v>
      </c>
      <c r="L209" s="186"/>
      <c r="M209" s="186"/>
      <c r="N209" s="186"/>
      <c r="O209" s="186"/>
      <c r="P209" s="186"/>
      <c r="Q209" s="186"/>
      <c r="R209" s="186"/>
      <c r="S209" s="186"/>
      <c r="T209" s="186" t="s">
        <v>2385</v>
      </c>
      <c r="U209" s="186"/>
      <c r="V209" s="186"/>
      <c r="W209" s="186"/>
      <c r="Y209" t="s">
        <v>1917</v>
      </c>
      <c r="AA209" s="30"/>
    </row>
    <row r="210" spans="1:27" ht="18.75" customHeight="1">
      <c r="A210" s="213"/>
      <c r="B210" s="213"/>
      <c r="C210" s="210"/>
      <c r="D210" s="210"/>
      <c r="E210" s="186" t="s">
        <v>55</v>
      </c>
      <c r="F210" s="186" t="s">
        <v>2386</v>
      </c>
      <c r="G210" s="186" t="s">
        <v>242</v>
      </c>
      <c r="H210" s="186" t="s">
        <v>243</v>
      </c>
      <c r="I210" s="186"/>
      <c r="J210" s="186">
        <v>119</v>
      </c>
      <c r="K210" s="79" t="s">
        <v>680</v>
      </c>
      <c r="L210" s="186"/>
      <c r="M210" s="186"/>
      <c r="N210" s="186"/>
      <c r="O210" s="186"/>
      <c r="P210" s="186"/>
      <c r="Q210" s="186"/>
      <c r="R210" s="186"/>
      <c r="S210" s="186"/>
      <c r="T210" s="186" t="s">
        <v>2387</v>
      </c>
      <c r="U210" s="186"/>
      <c r="V210" s="186"/>
      <c r="W210" s="186"/>
      <c r="Y210" t="s">
        <v>1917</v>
      </c>
      <c r="AA210" s="30"/>
    </row>
    <row r="211" spans="1:27" ht="18.75" customHeight="1">
      <c r="A211" s="213"/>
      <c r="B211" s="213"/>
      <c r="C211" s="210"/>
      <c r="D211" s="210"/>
      <c r="E211" s="186" t="s">
        <v>55</v>
      </c>
      <c r="F211" s="186" t="s">
        <v>2388</v>
      </c>
      <c r="G211" s="186" t="s">
        <v>432</v>
      </c>
      <c r="H211" s="186" t="s">
        <v>243</v>
      </c>
      <c r="I211" s="186"/>
      <c r="J211" s="186">
        <v>120</v>
      </c>
      <c r="K211" s="79" t="s">
        <v>680</v>
      </c>
      <c r="L211" s="186"/>
      <c r="M211" s="186"/>
      <c r="N211" s="186"/>
      <c r="O211" s="186"/>
      <c r="P211" s="186"/>
      <c r="Q211" s="186"/>
      <c r="R211" s="186"/>
      <c r="S211" s="186"/>
      <c r="T211" s="186" t="s">
        <v>2389</v>
      </c>
      <c r="U211" s="186"/>
      <c r="V211" s="186"/>
      <c r="W211" s="186"/>
      <c r="Y211" t="s">
        <v>1917</v>
      </c>
      <c r="AA211" s="30"/>
    </row>
    <row r="212" spans="1:27" ht="18.75" customHeight="1">
      <c r="A212" s="213"/>
      <c r="B212" s="213"/>
      <c r="C212" s="210"/>
      <c r="D212" s="210"/>
      <c r="E212" s="186" t="s">
        <v>55</v>
      </c>
      <c r="F212" s="186" t="s">
        <v>2397</v>
      </c>
      <c r="G212" s="186" t="s">
        <v>324</v>
      </c>
      <c r="H212" s="186" t="s">
        <v>243</v>
      </c>
      <c r="I212" s="186"/>
      <c r="J212" s="186">
        <v>137</v>
      </c>
      <c r="K212" s="79" t="s">
        <v>680</v>
      </c>
      <c r="L212" s="186"/>
      <c r="M212" s="186"/>
      <c r="N212" s="186"/>
      <c r="O212" s="186"/>
      <c r="P212" s="186"/>
      <c r="Q212" s="186"/>
      <c r="R212" s="186"/>
      <c r="S212" s="186"/>
      <c r="T212" s="186" t="s">
        <v>2398</v>
      </c>
      <c r="U212" s="186"/>
      <c r="V212" s="186"/>
      <c r="W212" s="186"/>
      <c r="Y212" t="s">
        <v>1917</v>
      </c>
      <c r="AA212" s="30"/>
    </row>
    <row r="213" spans="1:27" ht="18.75" customHeight="1">
      <c r="A213" s="213"/>
      <c r="B213" s="213"/>
      <c r="C213" s="210"/>
      <c r="D213" s="210"/>
      <c r="E213" s="186" t="s">
        <v>55</v>
      </c>
      <c r="F213" s="186" t="s">
        <v>2402</v>
      </c>
      <c r="G213" s="186" t="s">
        <v>255</v>
      </c>
      <c r="H213" s="186" t="s">
        <v>243</v>
      </c>
      <c r="I213" s="186"/>
      <c r="J213" s="186">
        <v>124</v>
      </c>
      <c r="K213" s="79" t="s">
        <v>680</v>
      </c>
      <c r="L213" s="186"/>
      <c r="M213" s="186"/>
      <c r="N213" s="186"/>
      <c r="O213" s="186"/>
      <c r="P213" s="186"/>
      <c r="Q213" s="186"/>
      <c r="R213" s="186"/>
      <c r="S213" s="186"/>
      <c r="T213" s="186" t="s">
        <v>2400</v>
      </c>
      <c r="U213" s="186"/>
      <c r="V213" s="186"/>
      <c r="W213" s="186"/>
      <c r="Y213" t="s">
        <v>1917</v>
      </c>
      <c r="AA213" s="30"/>
    </row>
    <row r="214" spans="1:27" ht="15.75" customHeight="1">
      <c r="A214" s="213"/>
      <c r="B214" s="213"/>
      <c r="C214" s="210"/>
      <c r="D214" s="210"/>
      <c r="E214" s="186" t="s">
        <v>55</v>
      </c>
      <c r="F214" s="186" t="s">
        <v>2403</v>
      </c>
      <c r="G214" s="186" t="s">
        <v>242</v>
      </c>
      <c r="H214" s="186" t="s">
        <v>243</v>
      </c>
      <c r="I214" s="186"/>
      <c r="J214" s="186">
        <v>126</v>
      </c>
      <c r="K214" s="79" t="s">
        <v>680</v>
      </c>
      <c r="L214" s="186"/>
      <c r="M214" s="186"/>
      <c r="N214" s="186"/>
      <c r="O214" s="186"/>
      <c r="P214" s="186"/>
      <c r="Q214" s="186"/>
      <c r="R214" s="186"/>
      <c r="S214" s="186"/>
      <c r="T214" s="186" t="s">
        <v>2404</v>
      </c>
      <c r="U214" s="186"/>
      <c r="V214" s="186"/>
      <c r="W214" s="186"/>
      <c r="Y214" t="s">
        <v>1917</v>
      </c>
      <c r="AA214" s="30"/>
    </row>
    <row r="215" spans="1:27" ht="18.75" customHeight="1">
      <c r="A215" s="213"/>
      <c r="B215" s="213"/>
      <c r="C215" s="210"/>
      <c r="D215" s="210"/>
      <c r="E215" s="186" t="s">
        <v>55</v>
      </c>
      <c r="F215" s="186" t="s">
        <v>2405</v>
      </c>
      <c r="G215" s="186" t="s">
        <v>329</v>
      </c>
      <c r="H215" s="186" t="s">
        <v>243</v>
      </c>
      <c r="I215" s="186"/>
      <c r="J215" s="186">
        <v>125</v>
      </c>
      <c r="K215" s="79" t="s">
        <v>680</v>
      </c>
      <c r="L215" s="186"/>
      <c r="M215" s="186"/>
      <c r="N215" s="186"/>
      <c r="O215" s="186"/>
      <c r="P215" s="186"/>
      <c r="Q215" s="186"/>
      <c r="R215" s="186"/>
      <c r="S215" s="186"/>
      <c r="T215" s="186" t="s">
        <v>2406</v>
      </c>
      <c r="U215" s="186"/>
      <c r="V215" s="186"/>
      <c r="W215" s="186"/>
      <c r="Y215" t="s">
        <v>1917</v>
      </c>
      <c r="AA215" s="30"/>
    </row>
    <row r="216" spans="1:27" ht="18.75" customHeight="1">
      <c r="A216" s="213"/>
      <c r="B216" s="213"/>
      <c r="C216" s="210"/>
      <c r="D216" s="210"/>
      <c r="E216" s="186" t="s">
        <v>55</v>
      </c>
      <c r="F216" s="186" t="s">
        <v>2407</v>
      </c>
      <c r="G216" s="186" t="s">
        <v>247</v>
      </c>
      <c r="H216" s="186" t="s">
        <v>243</v>
      </c>
      <c r="I216" s="186"/>
      <c r="J216" s="72">
        <v>175</v>
      </c>
      <c r="K216" s="79" t="s">
        <v>680</v>
      </c>
      <c r="L216" s="186"/>
      <c r="M216" s="186"/>
      <c r="N216" s="186"/>
      <c r="O216" s="186"/>
      <c r="P216" s="186"/>
      <c r="Q216" s="186"/>
      <c r="R216" s="186"/>
      <c r="S216" s="186"/>
      <c r="T216" s="90" t="s">
        <v>2409</v>
      </c>
      <c r="U216" s="90"/>
      <c r="V216" s="90"/>
      <c r="W216" s="90"/>
      <c r="Y216" t="s">
        <v>1917</v>
      </c>
      <c r="AA216" s="30"/>
    </row>
    <row r="217" spans="1:27" ht="18.75" customHeight="1">
      <c r="A217" s="213"/>
      <c r="B217" s="213"/>
      <c r="C217" s="210"/>
      <c r="D217" s="210"/>
      <c r="E217" s="186" t="s">
        <v>55</v>
      </c>
      <c r="F217" s="186" t="s">
        <v>2410</v>
      </c>
      <c r="G217" s="186" t="s">
        <v>346</v>
      </c>
      <c r="H217" s="186" t="s">
        <v>243</v>
      </c>
      <c r="I217" s="186"/>
      <c r="J217" s="72">
        <v>176</v>
      </c>
      <c r="K217" s="79" t="s">
        <v>680</v>
      </c>
      <c r="L217" s="186"/>
      <c r="M217" s="186"/>
      <c r="N217" s="186"/>
      <c r="O217" s="186"/>
      <c r="P217" s="186"/>
      <c r="Q217" s="186"/>
      <c r="R217" s="186"/>
      <c r="S217" s="186"/>
      <c r="T217" s="90" t="s">
        <v>2411</v>
      </c>
      <c r="U217" s="90"/>
      <c r="V217" s="90"/>
      <c r="W217" s="90"/>
      <c r="Y217" t="s">
        <v>1917</v>
      </c>
      <c r="AA217" s="30"/>
    </row>
    <row r="218" spans="1:27" ht="18.75" customHeight="1">
      <c r="A218" s="213"/>
      <c r="B218" s="213"/>
      <c r="C218" s="210"/>
      <c r="D218" s="210"/>
      <c r="E218" s="186" t="s">
        <v>55</v>
      </c>
      <c r="F218" s="186" t="s">
        <v>2418</v>
      </c>
      <c r="G218" s="186" t="s">
        <v>247</v>
      </c>
      <c r="H218" s="186" t="s">
        <v>243</v>
      </c>
      <c r="I218" s="186"/>
      <c r="J218" s="72">
        <v>216</v>
      </c>
      <c r="K218" s="79" t="s">
        <v>680</v>
      </c>
      <c r="L218" s="186"/>
      <c r="M218" s="186"/>
      <c r="N218" s="186"/>
      <c r="O218" s="186"/>
      <c r="P218" s="186"/>
      <c r="Q218" s="186"/>
      <c r="R218" s="186"/>
      <c r="S218" s="186"/>
      <c r="T218" s="90" t="s">
        <v>2419</v>
      </c>
      <c r="U218" s="90"/>
      <c r="V218" s="90"/>
      <c r="W218" s="90"/>
      <c r="Y218" t="s">
        <v>1917</v>
      </c>
      <c r="AA218" s="30"/>
    </row>
    <row r="219" spans="1:27" ht="18.75" customHeight="1">
      <c r="A219" s="213"/>
      <c r="B219" s="213"/>
      <c r="C219" s="210"/>
      <c r="D219" s="210"/>
      <c r="E219" s="186" t="s">
        <v>59</v>
      </c>
      <c r="F219" s="186" t="s">
        <v>2425</v>
      </c>
      <c r="G219" s="186" t="s">
        <v>346</v>
      </c>
      <c r="H219" s="186" t="s">
        <v>243</v>
      </c>
      <c r="I219" s="186"/>
      <c r="J219" s="186">
        <v>127</v>
      </c>
      <c r="K219" s="79" t="s">
        <v>680</v>
      </c>
      <c r="L219" s="186"/>
      <c r="M219" s="186"/>
      <c r="N219" s="186"/>
      <c r="O219" s="186"/>
      <c r="P219" s="186"/>
      <c r="Q219" s="186"/>
      <c r="R219" s="186"/>
      <c r="S219" s="186"/>
      <c r="T219" s="186" t="s">
        <v>2426</v>
      </c>
      <c r="U219" s="186"/>
      <c r="V219" s="186"/>
      <c r="W219" s="186"/>
      <c r="Y219" t="s">
        <v>1917</v>
      </c>
      <c r="AA219" s="30"/>
    </row>
    <row r="220" spans="1:27" ht="18.75" customHeight="1">
      <c r="A220" s="213"/>
      <c r="B220" s="213"/>
      <c r="C220" s="210"/>
      <c r="D220" s="210"/>
      <c r="E220" s="186" t="s">
        <v>55</v>
      </c>
      <c r="F220" s="186" t="s">
        <v>2431</v>
      </c>
      <c r="G220" s="186" t="s">
        <v>346</v>
      </c>
      <c r="H220" s="186" t="s">
        <v>243</v>
      </c>
      <c r="I220" s="186"/>
      <c r="J220" s="186">
        <v>129</v>
      </c>
      <c r="K220" s="79" t="s">
        <v>680</v>
      </c>
      <c r="L220" s="186"/>
      <c r="M220" s="186"/>
      <c r="N220" s="186"/>
      <c r="O220" s="186"/>
      <c r="P220" s="186"/>
      <c r="Q220" s="186"/>
      <c r="R220" s="186"/>
      <c r="S220" s="186"/>
      <c r="T220" s="186" t="s">
        <v>2432</v>
      </c>
      <c r="U220" s="186"/>
      <c r="V220" s="186"/>
      <c r="W220" s="186"/>
      <c r="Y220" t="s">
        <v>1917</v>
      </c>
      <c r="AA220" s="30"/>
    </row>
    <row r="221" spans="1:27" ht="18.75" customHeight="1">
      <c r="A221" s="213"/>
      <c r="B221" s="213"/>
      <c r="C221" s="210"/>
      <c r="D221" s="210"/>
      <c r="E221" s="186" t="s">
        <v>55</v>
      </c>
      <c r="F221" s="123" t="s">
        <v>388</v>
      </c>
      <c r="G221" s="123" t="s">
        <v>329</v>
      </c>
      <c r="H221" s="186" t="s">
        <v>243</v>
      </c>
      <c r="I221" s="186"/>
      <c r="J221" s="186"/>
      <c r="K221" s="79" t="s">
        <v>680</v>
      </c>
      <c r="L221" s="186"/>
      <c r="M221" s="186"/>
      <c r="N221" s="186"/>
      <c r="O221" s="186"/>
      <c r="P221" s="186"/>
      <c r="Q221" s="186"/>
      <c r="R221" s="186"/>
      <c r="S221" s="186"/>
      <c r="T221" s="123" t="s">
        <v>1951</v>
      </c>
      <c r="U221" s="123"/>
      <c r="V221" s="123"/>
      <c r="W221" s="123"/>
      <c r="Y221" t="s">
        <v>1917</v>
      </c>
      <c r="AA221" s="30"/>
    </row>
    <row r="222" spans="1:27" ht="18.75" customHeight="1">
      <c r="A222" s="213"/>
      <c r="B222" s="213"/>
      <c r="C222" s="210"/>
      <c r="D222" s="210"/>
      <c r="E222" s="186" t="s">
        <v>55</v>
      </c>
      <c r="F222" s="123" t="s">
        <v>390</v>
      </c>
      <c r="G222" s="123" t="s">
        <v>329</v>
      </c>
      <c r="H222" s="186" t="s">
        <v>243</v>
      </c>
      <c r="I222" s="186"/>
      <c r="J222" s="186"/>
      <c r="K222" s="79" t="s">
        <v>680</v>
      </c>
      <c r="L222" s="186"/>
      <c r="M222" s="186"/>
      <c r="N222" s="186"/>
      <c r="O222" s="186"/>
      <c r="P222" s="186"/>
      <c r="Q222" s="186"/>
      <c r="R222" s="186"/>
      <c r="S222" s="186"/>
      <c r="T222" s="123" t="s">
        <v>1399</v>
      </c>
      <c r="U222" s="123"/>
      <c r="V222" s="123"/>
      <c r="W222" s="123"/>
      <c r="Y222" t="s">
        <v>1917</v>
      </c>
      <c r="AA222" s="30"/>
    </row>
    <row r="223" spans="1:27" ht="18.75" customHeight="1">
      <c r="A223" s="213"/>
      <c r="B223" s="213"/>
      <c r="C223" s="210"/>
      <c r="D223" s="210"/>
      <c r="E223" s="186" t="s">
        <v>55</v>
      </c>
      <c r="F223" s="123" t="s">
        <v>2090</v>
      </c>
      <c r="G223" s="123" t="s">
        <v>346</v>
      </c>
      <c r="H223" s="186" t="s">
        <v>243</v>
      </c>
      <c r="I223" s="186"/>
      <c r="J223" s="186"/>
      <c r="K223" s="79" t="s">
        <v>680</v>
      </c>
      <c r="L223" s="186"/>
      <c r="M223" s="186"/>
      <c r="N223" s="186"/>
      <c r="O223" s="186"/>
      <c r="P223" s="186"/>
      <c r="Q223" s="186"/>
      <c r="R223" s="186"/>
      <c r="S223" s="186"/>
      <c r="T223" s="123" t="s">
        <v>2091</v>
      </c>
      <c r="U223" s="123"/>
      <c r="V223" s="123"/>
      <c r="W223" s="123"/>
      <c r="Y223" t="s">
        <v>1917</v>
      </c>
      <c r="AA223" s="30"/>
    </row>
    <row r="224" spans="1:27" ht="18.75" customHeight="1">
      <c r="A224" s="213"/>
      <c r="B224" s="213"/>
      <c r="C224" s="210"/>
      <c r="D224" s="210"/>
      <c r="E224" s="186" t="s">
        <v>55</v>
      </c>
      <c r="F224" s="123" t="s">
        <v>2092</v>
      </c>
      <c r="G224" s="123" t="s">
        <v>346</v>
      </c>
      <c r="H224" s="186" t="s">
        <v>243</v>
      </c>
      <c r="I224" s="186"/>
      <c r="J224" s="186"/>
      <c r="K224" s="79" t="s">
        <v>680</v>
      </c>
      <c r="L224" s="186"/>
      <c r="M224" s="186"/>
      <c r="N224" s="186"/>
      <c r="O224" s="186"/>
      <c r="P224" s="186"/>
      <c r="Q224" s="186"/>
      <c r="R224" s="186"/>
      <c r="S224" s="186"/>
      <c r="T224" s="123" t="s">
        <v>2093</v>
      </c>
      <c r="U224" s="123"/>
      <c r="V224" s="123"/>
      <c r="W224" s="123"/>
      <c r="Y224" t="s">
        <v>1917</v>
      </c>
      <c r="AA224" s="30"/>
    </row>
    <row r="225" spans="1:20" ht="18.75" customHeight="1">
      <c r="A225" s="213"/>
      <c r="B225" s="213"/>
      <c r="C225" s="210"/>
      <c r="D225" s="210"/>
      <c r="E225" s="129" t="s">
        <v>55</v>
      </c>
      <c r="F225" s="129" t="s">
        <v>2365</v>
      </c>
      <c r="G225" s="186" t="s">
        <v>329</v>
      </c>
      <c r="H225" s="129" t="s">
        <v>243</v>
      </c>
      <c r="I225" s="186"/>
      <c r="J225" s="186"/>
      <c r="K225" s="79" t="s">
        <v>680</v>
      </c>
      <c r="L225" s="186"/>
      <c r="M225" s="186"/>
      <c r="N225" s="186"/>
      <c r="O225" s="186"/>
      <c r="P225" s="186"/>
      <c r="Q225" s="186"/>
      <c r="R225" s="186"/>
      <c r="S225" s="186"/>
      <c r="T225" s="186"/>
    </row>
  </sheetData>
  <autoFilter ref="E1:T225" xr:uid="{00000000-0009-0000-0000-000022000000}"/>
  <pageMargins left="0.7" right="0.7" top="0.75" bottom="0.75" header="0" footer="0"/>
  <pageSetup orientation="landscape"/>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tabColor rgb="FFFFFFFF"/>
    <outlinePr summaryBelow="0" summaryRight="0"/>
  </sheetPr>
  <dimension ref="A1:AE65"/>
  <sheetViews>
    <sheetView workbookViewId="0">
      <pane xSplit="7" ySplit="2" topLeftCell="H3" activePane="bottomRight" state="frozen"/>
      <selection pane="topRight" activeCell="H1" sqref="H1"/>
      <selection pane="bottomLeft" activeCell="A3" sqref="A3"/>
      <selection pane="bottomRight" activeCell="H3" sqref="H3"/>
    </sheetView>
  </sheetViews>
  <sheetFormatPr defaultColWidth="14.453125" defaultRowHeight="15" customHeight="1"/>
  <cols>
    <col min="1" max="4" width="17.26953125" hidden="1" customWidth="1"/>
    <col min="5" max="5" width="17.26953125" customWidth="1"/>
    <col min="6" max="6" width="31.453125" customWidth="1"/>
    <col min="7" max="7" width="24" customWidth="1"/>
    <col min="8" max="8" width="9.453125" customWidth="1"/>
    <col min="9" max="9" width="12.26953125" customWidth="1"/>
    <col min="10" max="10" width="6.453125" customWidth="1"/>
    <col min="11" max="11" width="8" customWidth="1"/>
    <col min="12" max="12" width="19.26953125" customWidth="1"/>
    <col min="13" max="13" width="20.7265625" customWidth="1"/>
    <col min="14" max="14" width="17.26953125" customWidth="1"/>
    <col min="15" max="15" width="7.453125" customWidth="1"/>
    <col min="16" max="16" width="49.7265625" customWidth="1"/>
    <col min="17" max="17" width="17.26953125" customWidth="1"/>
    <col min="18" max="18" width="7.453125" customWidth="1"/>
    <col min="19" max="20" width="17.26953125" customWidth="1"/>
    <col min="21" max="23" width="7.26953125" customWidth="1"/>
    <col min="24" max="24" width="6.26953125" customWidth="1"/>
    <col min="25" max="25" width="16.1796875" customWidth="1"/>
    <col min="26" max="26" width="38.7265625" customWidth="1"/>
    <col min="27" max="27" width="9.1796875" customWidth="1"/>
    <col min="28" max="28" width="48.7265625" customWidth="1"/>
    <col min="29" max="31" width="17.26953125" customWidth="1"/>
  </cols>
  <sheetData>
    <row r="1" spans="5:31" ht="15" customHeight="1">
      <c r="E1" s="374" t="s">
        <v>3009</v>
      </c>
      <c r="F1" s="375"/>
      <c r="G1" s="375"/>
      <c r="H1" s="375"/>
      <c r="I1" s="375"/>
      <c r="J1" s="375"/>
      <c r="K1" s="207" t="s">
        <v>1038</v>
      </c>
      <c r="L1" s="207"/>
      <c r="M1" s="282"/>
      <c r="N1" s="207"/>
      <c r="O1" s="207"/>
      <c r="P1" s="207"/>
      <c r="Q1" s="207"/>
      <c r="R1" s="375"/>
      <c r="S1" s="375"/>
      <c r="T1" s="375"/>
      <c r="U1" s="441"/>
      <c r="V1" s="441"/>
      <c r="W1" s="441"/>
      <c r="X1" s="56"/>
      <c r="Y1" s="56"/>
      <c r="Z1" s="252" t="s">
        <v>1039</v>
      </c>
      <c r="AA1" s="364"/>
      <c r="AB1" s="252"/>
      <c r="AC1" s="441"/>
      <c r="AD1" s="441"/>
      <c r="AE1" s="441"/>
    </row>
    <row r="2" spans="5:31" ht="15" customHeight="1">
      <c r="E2" s="135" t="s">
        <v>224</v>
      </c>
      <c r="F2" s="135" t="s">
        <v>225</v>
      </c>
      <c r="G2" s="135" t="s">
        <v>226</v>
      </c>
      <c r="H2" s="135" t="s">
        <v>227</v>
      </c>
      <c r="I2" s="135" t="s">
        <v>1044</v>
      </c>
      <c r="J2" s="135" t="s">
        <v>1045</v>
      </c>
      <c r="K2" s="207" t="s">
        <v>1046</v>
      </c>
      <c r="L2" s="207" t="s">
        <v>100</v>
      </c>
      <c r="M2" s="282" t="s">
        <v>101</v>
      </c>
      <c r="N2" s="207" t="s">
        <v>102</v>
      </c>
      <c r="O2" s="207" t="s">
        <v>103</v>
      </c>
      <c r="P2" s="207" t="s">
        <v>104</v>
      </c>
      <c r="Q2" s="207" t="s">
        <v>105</v>
      </c>
      <c r="R2" s="135" t="s">
        <v>111</v>
      </c>
      <c r="S2" s="135" t="s">
        <v>112</v>
      </c>
      <c r="T2" s="136" t="s">
        <v>113</v>
      </c>
      <c r="U2" s="136"/>
      <c r="V2" s="358"/>
      <c r="W2" s="358"/>
      <c r="X2" s="226" t="s">
        <v>1049</v>
      </c>
      <c r="Y2" s="226" t="s">
        <v>1050</v>
      </c>
      <c r="Z2" s="226" t="s">
        <v>237</v>
      </c>
      <c r="AA2" s="366" t="s">
        <v>1</v>
      </c>
      <c r="AB2" s="226" t="s">
        <v>238</v>
      </c>
      <c r="AC2" s="441"/>
      <c r="AD2" s="441"/>
      <c r="AE2" s="441"/>
    </row>
    <row r="3" spans="5:31" ht="15" customHeight="1">
      <c r="E3" s="459" t="s">
        <v>55</v>
      </c>
      <c r="F3" s="459" t="s">
        <v>963</v>
      </c>
      <c r="G3" s="459" t="s">
        <v>242</v>
      </c>
      <c r="H3" s="459" t="s">
        <v>243</v>
      </c>
      <c r="I3" s="459"/>
      <c r="J3" s="139">
        <v>24</v>
      </c>
      <c r="K3" s="139" t="s">
        <v>682</v>
      </c>
      <c r="L3" s="150" t="s">
        <v>3577</v>
      </c>
      <c r="M3" s="140" t="s">
        <v>964</v>
      </c>
      <c r="N3" s="139"/>
      <c r="O3" s="459"/>
      <c r="P3" s="130" t="s">
        <v>3440</v>
      </c>
      <c r="Q3" s="459"/>
      <c r="R3" s="459"/>
      <c r="S3" s="459"/>
      <c r="T3" s="130" t="s">
        <v>3602</v>
      </c>
      <c r="U3" s="441"/>
      <c r="V3" s="441"/>
      <c r="W3" s="441"/>
      <c r="X3" s="187">
        <v>1</v>
      </c>
      <c r="Y3" s="120"/>
      <c r="Z3" s="120" t="s">
        <v>3579</v>
      </c>
      <c r="AA3" s="131">
        <v>43472</v>
      </c>
      <c r="AC3" s="441"/>
      <c r="AD3" s="441"/>
      <c r="AE3" s="441"/>
    </row>
    <row r="4" spans="5:31" ht="15" customHeight="1">
      <c r="E4" s="459" t="s">
        <v>55</v>
      </c>
      <c r="F4" s="459" t="s">
        <v>914</v>
      </c>
      <c r="G4" s="459" t="s">
        <v>925</v>
      </c>
      <c r="H4" s="459" t="s">
        <v>243</v>
      </c>
      <c r="I4" s="459"/>
      <c r="J4" s="139">
        <v>28</v>
      </c>
      <c r="K4" s="139" t="s">
        <v>682</v>
      </c>
      <c r="L4" s="150" t="s">
        <v>3577</v>
      </c>
      <c r="M4" s="140" t="s">
        <v>965</v>
      </c>
      <c r="N4" s="139"/>
      <c r="O4" s="459"/>
      <c r="P4" s="130" t="s">
        <v>3457</v>
      </c>
      <c r="Q4" s="459"/>
      <c r="R4" s="459"/>
      <c r="S4" s="459"/>
      <c r="T4" s="130" t="s">
        <v>3459</v>
      </c>
      <c r="U4" s="441"/>
      <c r="V4" s="441"/>
      <c r="W4" s="441"/>
      <c r="X4" s="187">
        <v>2</v>
      </c>
      <c r="Y4" s="120"/>
      <c r="Z4" s="120" t="s">
        <v>3579</v>
      </c>
      <c r="AA4" s="131">
        <v>43472</v>
      </c>
      <c r="AC4" s="441"/>
      <c r="AD4" s="441"/>
      <c r="AE4" s="441"/>
    </row>
    <row r="5" spans="5:31" ht="15" customHeight="1">
      <c r="E5" s="459" t="s">
        <v>55</v>
      </c>
      <c r="F5" s="459" t="s">
        <v>943</v>
      </c>
      <c r="G5" s="459" t="s">
        <v>925</v>
      </c>
      <c r="H5" s="459" t="s">
        <v>243</v>
      </c>
      <c r="I5" s="459"/>
      <c r="J5" s="139">
        <v>31</v>
      </c>
      <c r="K5" s="139" t="s">
        <v>682</v>
      </c>
      <c r="L5" s="150" t="s">
        <v>3577</v>
      </c>
      <c r="M5" s="140" t="s">
        <v>966</v>
      </c>
      <c r="N5" s="139"/>
      <c r="O5" s="459"/>
      <c r="P5" s="130" t="s">
        <v>3498</v>
      </c>
      <c r="Q5" s="459"/>
      <c r="R5" s="459"/>
      <c r="S5" s="459"/>
      <c r="T5" s="130" t="s">
        <v>3499</v>
      </c>
      <c r="U5" s="441"/>
      <c r="V5" s="441"/>
      <c r="W5" s="441"/>
      <c r="X5" s="187">
        <v>3</v>
      </c>
      <c r="Y5" s="120"/>
      <c r="Z5" s="120" t="s">
        <v>3579</v>
      </c>
      <c r="AA5" s="131">
        <v>43472</v>
      </c>
      <c r="AC5" s="441"/>
      <c r="AD5" s="441"/>
      <c r="AE5" s="441"/>
    </row>
    <row r="6" spans="5:31" ht="15" customHeight="1">
      <c r="E6" s="459" t="s">
        <v>55</v>
      </c>
      <c r="F6" s="459" t="s">
        <v>916</v>
      </c>
      <c r="G6" s="459" t="s">
        <v>925</v>
      </c>
      <c r="H6" s="459" t="s">
        <v>243</v>
      </c>
      <c r="I6" s="459"/>
      <c r="J6" s="139">
        <v>30</v>
      </c>
      <c r="K6" s="139" t="s">
        <v>682</v>
      </c>
      <c r="L6" s="150" t="s">
        <v>3577</v>
      </c>
      <c r="M6" s="140" t="s">
        <v>967</v>
      </c>
      <c r="N6" s="139"/>
      <c r="O6" s="459"/>
      <c r="P6" s="130" t="s">
        <v>3479</v>
      </c>
      <c r="Q6" s="459"/>
      <c r="R6" s="459"/>
      <c r="S6" s="459"/>
      <c r="T6" s="130" t="s">
        <v>3611</v>
      </c>
      <c r="U6" s="441"/>
      <c r="V6" s="441"/>
      <c r="W6" s="441"/>
      <c r="X6" s="187">
        <v>4</v>
      </c>
      <c r="Y6" s="120"/>
      <c r="Z6" s="120" t="s">
        <v>3579</v>
      </c>
      <c r="AA6" s="131">
        <v>43472</v>
      </c>
      <c r="AC6" s="441"/>
      <c r="AD6" s="441"/>
      <c r="AE6" s="441"/>
    </row>
    <row r="7" spans="5:31" ht="15" customHeight="1">
      <c r="E7" s="459" t="s">
        <v>61</v>
      </c>
      <c r="F7" s="459" t="s">
        <v>968</v>
      </c>
      <c r="G7" s="459" t="s">
        <v>242</v>
      </c>
      <c r="H7" s="459" t="s">
        <v>243</v>
      </c>
      <c r="I7" s="459"/>
      <c r="J7" s="139">
        <v>54</v>
      </c>
      <c r="K7" s="139" t="s">
        <v>682</v>
      </c>
      <c r="L7" s="150" t="s">
        <v>3577</v>
      </c>
      <c r="M7" s="140" t="s">
        <v>969</v>
      </c>
      <c r="N7" s="139"/>
      <c r="O7" s="459"/>
      <c r="P7" s="130" t="s">
        <v>3959</v>
      </c>
      <c r="Q7" s="459"/>
      <c r="R7" s="459"/>
      <c r="S7" s="459"/>
      <c r="T7" s="130" t="s">
        <v>3641</v>
      </c>
      <c r="U7" s="441"/>
      <c r="V7" s="441"/>
      <c r="W7" s="441"/>
      <c r="X7" s="187">
        <v>5</v>
      </c>
      <c r="Y7" s="120"/>
      <c r="Z7" s="120" t="s">
        <v>3579</v>
      </c>
      <c r="AA7" s="131">
        <v>43472</v>
      </c>
      <c r="AC7" s="441"/>
      <c r="AD7" s="441"/>
      <c r="AE7" s="441"/>
    </row>
    <row r="8" spans="5:31" ht="15" customHeight="1">
      <c r="E8" s="459" t="s">
        <v>55</v>
      </c>
      <c r="F8" s="459" t="s">
        <v>921</v>
      </c>
      <c r="G8" s="459" t="s">
        <v>925</v>
      </c>
      <c r="H8" s="459" t="s">
        <v>243</v>
      </c>
      <c r="I8" s="459"/>
      <c r="J8" s="139">
        <v>2</v>
      </c>
      <c r="K8" s="139" t="s">
        <v>682</v>
      </c>
      <c r="L8" s="150" t="s">
        <v>3577</v>
      </c>
      <c r="M8" s="140" t="s">
        <v>970</v>
      </c>
      <c r="N8" s="139"/>
      <c r="O8" s="459"/>
      <c r="P8" s="130" t="s">
        <v>3406</v>
      </c>
      <c r="Q8" s="459"/>
      <c r="R8" s="459"/>
      <c r="S8" s="459"/>
      <c r="T8" s="130" t="s">
        <v>3578</v>
      </c>
      <c r="U8" s="441"/>
      <c r="V8" s="441"/>
      <c r="W8" s="441"/>
      <c r="X8" s="187">
        <v>6</v>
      </c>
      <c r="Y8" s="120"/>
      <c r="Z8" s="120" t="s">
        <v>3579</v>
      </c>
      <c r="AA8" s="131">
        <v>43472</v>
      </c>
      <c r="AC8" s="441"/>
      <c r="AD8" s="441"/>
      <c r="AE8" s="441"/>
    </row>
    <row r="9" spans="5:31" ht="15" customHeight="1">
      <c r="E9" s="459" t="s">
        <v>55</v>
      </c>
      <c r="F9" s="459" t="s">
        <v>971</v>
      </c>
      <c r="G9" s="459" t="s">
        <v>925</v>
      </c>
      <c r="H9" s="459" t="s">
        <v>243</v>
      </c>
      <c r="I9" s="459"/>
      <c r="J9" s="139">
        <v>3</v>
      </c>
      <c r="K9" s="139" t="s">
        <v>682</v>
      </c>
      <c r="L9" s="150" t="s">
        <v>3577</v>
      </c>
      <c r="M9" s="140" t="s">
        <v>972</v>
      </c>
      <c r="N9" s="139"/>
      <c r="O9" s="459"/>
      <c r="P9" s="130" t="s">
        <v>3960</v>
      </c>
      <c r="Q9" s="459"/>
      <c r="R9" s="459"/>
      <c r="S9" s="459"/>
      <c r="T9" s="130" t="s">
        <v>3580</v>
      </c>
      <c r="U9" s="441"/>
      <c r="V9" s="441"/>
      <c r="W9" s="441"/>
      <c r="X9" s="187">
        <v>7</v>
      </c>
      <c r="Y9" s="120"/>
      <c r="Z9" s="120" t="s">
        <v>3579</v>
      </c>
      <c r="AA9" s="131">
        <v>43472</v>
      </c>
      <c r="AC9" s="441"/>
      <c r="AD9" s="441"/>
      <c r="AE9" s="441"/>
    </row>
    <row r="10" spans="5:31" ht="15" customHeight="1">
      <c r="E10" s="459" t="s">
        <v>55</v>
      </c>
      <c r="F10" s="459" t="s">
        <v>924</v>
      </c>
      <c r="G10" s="459" t="s">
        <v>925</v>
      </c>
      <c r="H10" s="459" t="s">
        <v>243</v>
      </c>
      <c r="I10" s="459"/>
      <c r="J10" s="139">
        <v>19</v>
      </c>
      <c r="K10" s="139" t="s">
        <v>682</v>
      </c>
      <c r="L10" s="150" t="s">
        <v>3577</v>
      </c>
      <c r="M10" s="140" t="s">
        <v>973</v>
      </c>
      <c r="N10" s="139"/>
      <c r="O10" s="459"/>
      <c r="P10" s="130" t="s">
        <v>3425</v>
      </c>
      <c r="Q10" s="459"/>
      <c r="R10" s="459"/>
      <c r="S10" s="459"/>
      <c r="T10" s="130" t="s">
        <v>3354</v>
      </c>
      <c r="U10" s="441"/>
      <c r="V10" s="441"/>
      <c r="W10" s="441"/>
      <c r="X10" s="187">
        <v>8</v>
      </c>
      <c r="Y10" s="120"/>
      <c r="Z10" s="120" t="s">
        <v>3579</v>
      </c>
      <c r="AA10" s="131">
        <v>43472</v>
      </c>
      <c r="AC10" s="441"/>
      <c r="AD10" s="441"/>
      <c r="AE10" s="441"/>
    </row>
    <row r="11" spans="5:31" ht="15" customHeight="1">
      <c r="E11" s="459" t="s">
        <v>55</v>
      </c>
      <c r="F11" s="459" t="s">
        <v>974</v>
      </c>
      <c r="G11" s="459" t="s">
        <v>925</v>
      </c>
      <c r="H11" s="459" t="s">
        <v>243</v>
      </c>
      <c r="I11" s="459"/>
      <c r="J11" s="139">
        <v>49</v>
      </c>
      <c r="K11" s="139" t="s">
        <v>682</v>
      </c>
      <c r="L11" s="150" t="s">
        <v>3577</v>
      </c>
      <c r="M11" s="140" t="s">
        <v>975</v>
      </c>
      <c r="N11" s="139"/>
      <c r="O11" s="459"/>
      <c r="P11" s="130" t="s">
        <v>3548</v>
      </c>
      <c r="Q11" s="459"/>
      <c r="R11" s="459"/>
      <c r="S11" s="459"/>
      <c r="T11" s="130" t="s">
        <v>3633</v>
      </c>
      <c r="U11" s="441"/>
      <c r="V11" s="441"/>
      <c r="W11" s="441"/>
      <c r="X11" s="187">
        <v>9</v>
      </c>
      <c r="Y11" s="120"/>
      <c r="Z11" s="120" t="s">
        <v>3579</v>
      </c>
      <c r="AA11" s="131">
        <v>43472</v>
      </c>
      <c r="AC11" s="441"/>
      <c r="AD11" s="441"/>
      <c r="AE11" s="441"/>
    </row>
    <row r="12" spans="5:31" ht="15" customHeight="1">
      <c r="E12" s="459" t="s">
        <v>55</v>
      </c>
      <c r="F12" s="459" t="s">
        <v>976</v>
      </c>
      <c r="G12" s="459" t="s">
        <v>925</v>
      </c>
      <c r="H12" s="459" t="s">
        <v>243</v>
      </c>
      <c r="I12" s="459"/>
      <c r="J12" s="139">
        <v>57</v>
      </c>
      <c r="K12" s="139" t="s">
        <v>682</v>
      </c>
      <c r="L12" s="150" t="s">
        <v>3577</v>
      </c>
      <c r="M12" s="140" t="s">
        <v>977</v>
      </c>
      <c r="N12" s="139"/>
      <c r="O12" s="459"/>
      <c r="P12" s="130" t="s">
        <v>3568</v>
      </c>
      <c r="Q12" s="459"/>
      <c r="R12" s="459"/>
      <c r="S12" s="459"/>
      <c r="T12" s="130" t="s">
        <v>3646</v>
      </c>
      <c r="U12" s="441"/>
      <c r="V12" s="441"/>
      <c r="W12" s="441"/>
      <c r="X12" s="187">
        <v>10</v>
      </c>
      <c r="Y12" s="120"/>
      <c r="Z12" s="120" t="s">
        <v>3579</v>
      </c>
      <c r="AA12" s="131">
        <v>43472</v>
      </c>
      <c r="AC12" s="441"/>
      <c r="AD12" s="441"/>
      <c r="AE12" s="441"/>
    </row>
    <row r="13" spans="5:31" ht="15" customHeight="1">
      <c r="E13" s="459" t="s">
        <v>55</v>
      </c>
      <c r="F13" s="459" t="s">
        <v>978</v>
      </c>
      <c r="G13" s="459" t="s">
        <v>925</v>
      </c>
      <c r="H13" s="459" t="s">
        <v>243</v>
      </c>
      <c r="I13" s="459"/>
      <c r="J13" s="139">
        <v>38</v>
      </c>
      <c r="K13" s="139" t="s">
        <v>682</v>
      </c>
      <c r="L13" s="150" t="s">
        <v>3577</v>
      </c>
      <c r="M13" s="140" t="s">
        <v>979</v>
      </c>
      <c r="N13" s="139"/>
      <c r="O13" s="459"/>
      <c r="P13" s="130" t="s">
        <v>3504</v>
      </c>
      <c r="Q13" s="459"/>
      <c r="R13" s="459"/>
      <c r="S13" s="459"/>
      <c r="T13" s="130" t="s">
        <v>3622</v>
      </c>
      <c r="U13" s="441"/>
      <c r="V13" s="441"/>
      <c r="W13" s="441"/>
      <c r="X13" s="187">
        <v>11</v>
      </c>
      <c r="Y13" s="120"/>
      <c r="Z13" s="120" t="s">
        <v>3579</v>
      </c>
      <c r="AA13" s="131">
        <v>43472</v>
      </c>
      <c r="AC13" s="441"/>
      <c r="AD13" s="441"/>
      <c r="AE13" s="441"/>
    </row>
    <row r="14" spans="5:31" ht="15" customHeight="1">
      <c r="E14" s="459" t="s">
        <v>55</v>
      </c>
      <c r="F14" s="459" t="s">
        <v>980</v>
      </c>
      <c r="G14" s="459" t="s">
        <v>925</v>
      </c>
      <c r="H14" s="459" t="s">
        <v>243</v>
      </c>
      <c r="I14" s="459"/>
      <c r="J14" s="139">
        <v>39</v>
      </c>
      <c r="K14" s="139" t="s">
        <v>682</v>
      </c>
      <c r="L14" s="150" t="s">
        <v>3577</v>
      </c>
      <c r="M14" s="140" t="s">
        <v>981</v>
      </c>
      <c r="N14" s="139"/>
      <c r="O14" s="459"/>
      <c r="P14" s="130" t="s">
        <v>3961</v>
      </c>
      <c r="Q14" s="459"/>
      <c r="R14" s="459"/>
      <c r="S14" s="459"/>
      <c r="T14" s="130" t="s">
        <v>3623</v>
      </c>
      <c r="U14" s="441"/>
      <c r="V14" s="441"/>
      <c r="W14" s="441"/>
      <c r="X14" s="187">
        <v>12</v>
      </c>
      <c r="Y14" s="120" t="s">
        <v>3624</v>
      </c>
      <c r="Z14" s="120" t="s">
        <v>3579</v>
      </c>
      <c r="AA14" s="131">
        <v>43472</v>
      </c>
      <c r="AB14" s="129" t="s">
        <v>3962</v>
      </c>
      <c r="AC14" s="441"/>
      <c r="AD14" s="441"/>
      <c r="AE14" s="441"/>
    </row>
    <row r="15" spans="5:31" ht="15" customHeight="1">
      <c r="E15" s="459" t="s">
        <v>55</v>
      </c>
      <c r="F15" s="459" t="s">
        <v>982</v>
      </c>
      <c r="G15" s="459" t="s">
        <v>925</v>
      </c>
      <c r="H15" s="459" t="s">
        <v>243</v>
      </c>
      <c r="I15" s="459"/>
      <c r="J15" s="139">
        <v>22</v>
      </c>
      <c r="K15" s="139" t="s">
        <v>682</v>
      </c>
      <c r="L15" s="150" t="s">
        <v>3577</v>
      </c>
      <c r="M15" s="140" t="s">
        <v>983</v>
      </c>
      <c r="N15" s="139"/>
      <c r="O15" s="459"/>
      <c r="P15" s="130" t="s">
        <v>3430</v>
      </c>
      <c r="Q15" s="459"/>
      <c r="R15" s="459"/>
      <c r="S15" s="459"/>
      <c r="T15" s="130" t="s">
        <v>3597</v>
      </c>
      <c r="U15" s="441"/>
      <c r="V15" s="441"/>
      <c r="W15" s="441"/>
      <c r="X15" s="187">
        <v>13</v>
      </c>
      <c r="Y15" s="120"/>
      <c r="Z15" s="120" t="s">
        <v>3579</v>
      </c>
      <c r="AA15" s="131">
        <v>43472</v>
      </c>
      <c r="AC15" s="441"/>
      <c r="AD15" s="441"/>
      <c r="AE15" s="441"/>
    </row>
    <row r="16" spans="5:31" ht="15" customHeight="1">
      <c r="E16" s="459" t="s">
        <v>55</v>
      </c>
      <c r="F16" s="459" t="s">
        <v>984</v>
      </c>
      <c r="G16" s="459" t="s">
        <v>242</v>
      </c>
      <c r="H16" s="459" t="s">
        <v>243</v>
      </c>
      <c r="I16" s="459"/>
      <c r="J16" s="139">
        <v>63</v>
      </c>
      <c r="K16" s="139" t="s">
        <v>682</v>
      </c>
      <c r="L16" s="150" t="s">
        <v>3577</v>
      </c>
      <c r="M16" s="140" t="s">
        <v>985</v>
      </c>
      <c r="N16" s="139"/>
      <c r="O16" s="459"/>
      <c r="P16" s="130" t="s">
        <v>3410</v>
      </c>
      <c r="Q16" s="459"/>
      <c r="R16" s="459"/>
      <c r="S16" s="459"/>
      <c r="T16" s="130" t="s">
        <v>3621</v>
      </c>
      <c r="U16" s="441"/>
      <c r="V16" s="441"/>
      <c r="W16" s="441"/>
      <c r="X16" s="187">
        <v>14</v>
      </c>
      <c r="Y16" s="120"/>
      <c r="Z16" s="120" t="s">
        <v>3579</v>
      </c>
      <c r="AA16" s="131">
        <v>43472</v>
      </c>
      <c r="AC16" s="441"/>
      <c r="AD16" s="441"/>
      <c r="AE16" s="441"/>
    </row>
    <row r="17" spans="5:31" ht="15" customHeight="1">
      <c r="E17" s="459" t="s">
        <v>55</v>
      </c>
      <c r="F17" s="459" t="s">
        <v>936</v>
      </c>
      <c r="G17" s="459" t="s">
        <v>264</v>
      </c>
      <c r="H17" s="459" t="s">
        <v>243</v>
      </c>
      <c r="I17" s="459"/>
      <c r="J17" s="139">
        <v>4</v>
      </c>
      <c r="K17" s="139" t="s">
        <v>682</v>
      </c>
      <c r="L17" s="150" t="s">
        <v>3577</v>
      </c>
      <c r="M17" s="140" t="s">
        <v>986</v>
      </c>
      <c r="N17" s="139"/>
      <c r="O17" s="459"/>
      <c r="P17" s="130" t="s">
        <v>3452</v>
      </c>
      <c r="Q17" s="459"/>
      <c r="R17" s="459"/>
      <c r="S17" s="459"/>
      <c r="T17" s="130" t="s">
        <v>3585</v>
      </c>
      <c r="U17" s="441"/>
      <c r="V17" s="441"/>
      <c r="W17" s="441"/>
      <c r="X17" s="187">
        <v>15</v>
      </c>
      <c r="Y17" s="120"/>
      <c r="Z17" s="120" t="s">
        <v>3579</v>
      </c>
      <c r="AA17" s="131">
        <v>43472</v>
      </c>
      <c r="AC17" s="441"/>
      <c r="AD17" s="441"/>
      <c r="AE17" s="441"/>
    </row>
    <row r="18" spans="5:31" ht="15" customHeight="1">
      <c r="E18" s="459" t="s">
        <v>55</v>
      </c>
      <c r="F18" s="459" t="s">
        <v>987</v>
      </c>
      <c r="G18" s="459" t="s">
        <v>264</v>
      </c>
      <c r="H18" s="459" t="s">
        <v>243</v>
      </c>
      <c r="I18" s="459"/>
      <c r="J18" s="139">
        <v>5</v>
      </c>
      <c r="K18" s="139" t="s">
        <v>682</v>
      </c>
      <c r="L18" s="150" t="s">
        <v>3577</v>
      </c>
      <c r="M18" s="140" t="s">
        <v>988</v>
      </c>
      <c r="N18" s="139"/>
      <c r="O18" s="459"/>
      <c r="P18" s="130" t="s">
        <v>3963</v>
      </c>
      <c r="Q18" s="459"/>
      <c r="R18" s="459"/>
      <c r="S18" s="459"/>
      <c r="T18" s="130" t="s">
        <v>3586</v>
      </c>
      <c r="U18" s="441"/>
      <c r="V18" s="441"/>
      <c r="W18" s="441"/>
      <c r="X18" s="187">
        <v>16</v>
      </c>
      <c r="Y18" s="120"/>
      <c r="Z18" s="120" t="s">
        <v>3579</v>
      </c>
      <c r="AA18" s="131">
        <v>43472</v>
      </c>
      <c r="AC18" s="441"/>
      <c r="AD18" s="441"/>
      <c r="AE18" s="441"/>
    </row>
    <row r="19" spans="5:31" ht="15" customHeight="1">
      <c r="E19" s="459" t="s">
        <v>55</v>
      </c>
      <c r="F19" s="459" t="s">
        <v>989</v>
      </c>
      <c r="G19" s="459" t="s">
        <v>264</v>
      </c>
      <c r="H19" s="459" t="s">
        <v>243</v>
      </c>
      <c r="I19" s="459"/>
      <c r="J19" s="139">
        <v>6</v>
      </c>
      <c r="K19" s="139" t="s">
        <v>682</v>
      </c>
      <c r="L19" s="150" t="s">
        <v>3577</v>
      </c>
      <c r="M19" s="140" t="s">
        <v>990</v>
      </c>
      <c r="N19" s="139"/>
      <c r="O19" s="459"/>
      <c r="P19" s="130" t="s">
        <v>3964</v>
      </c>
      <c r="Q19" s="459"/>
      <c r="R19" s="459"/>
      <c r="S19" s="459"/>
      <c r="T19" s="130" t="s">
        <v>3587</v>
      </c>
      <c r="U19" s="441"/>
      <c r="V19" s="441"/>
      <c r="W19" s="441"/>
      <c r="X19" s="187">
        <v>17</v>
      </c>
      <c r="Y19" s="120"/>
      <c r="Z19" s="120" t="s">
        <v>3579</v>
      </c>
      <c r="AA19" s="131">
        <v>43472</v>
      </c>
      <c r="AC19" s="441"/>
      <c r="AD19" s="441"/>
      <c r="AE19" s="441"/>
    </row>
    <row r="20" spans="5:31" ht="15" customHeight="1">
      <c r="E20" s="459" t="s">
        <v>55</v>
      </c>
      <c r="F20" s="459" t="s">
        <v>945</v>
      </c>
      <c r="G20" s="459" t="s">
        <v>925</v>
      </c>
      <c r="H20" s="459" t="s">
        <v>243</v>
      </c>
      <c r="I20" s="459"/>
      <c r="J20" s="139">
        <v>36</v>
      </c>
      <c r="K20" s="139" t="s">
        <v>682</v>
      </c>
      <c r="L20" s="150" t="s">
        <v>3577</v>
      </c>
      <c r="M20" s="140" t="s">
        <v>991</v>
      </c>
      <c r="N20" s="139"/>
      <c r="O20" s="459"/>
      <c r="P20" s="130" t="s">
        <v>3504</v>
      </c>
      <c r="Q20" s="459"/>
      <c r="R20" s="459"/>
      <c r="S20" s="459"/>
      <c r="T20" s="130" t="s">
        <v>3619</v>
      </c>
      <c r="U20" s="441"/>
      <c r="V20" s="441"/>
      <c r="W20" s="441"/>
      <c r="X20" s="187">
        <v>18</v>
      </c>
      <c r="Y20" s="120"/>
      <c r="Z20" s="120" t="s">
        <v>3579</v>
      </c>
      <c r="AA20" s="131">
        <v>43472</v>
      </c>
      <c r="AC20" s="441"/>
      <c r="AD20" s="441"/>
      <c r="AE20" s="441"/>
    </row>
    <row r="21" spans="5:31" ht="15" customHeight="1">
      <c r="E21" s="459" t="s">
        <v>55</v>
      </c>
      <c r="F21" s="459" t="s">
        <v>992</v>
      </c>
      <c r="G21" s="459" t="s">
        <v>925</v>
      </c>
      <c r="H21" s="459" t="s">
        <v>243</v>
      </c>
      <c r="I21" s="459"/>
      <c r="J21" s="139">
        <v>37</v>
      </c>
      <c r="K21" s="139" t="s">
        <v>682</v>
      </c>
      <c r="L21" s="150" t="s">
        <v>3577</v>
      </c>
      <c r="M21" s="140" t="s">
        <v>993</v>
      </c>
      <c r="N21" s="139"/>
      <c r="O21" s="459"/>
      <c r="P21" s="130" t="s">
        <v>3509</v>
      </c>
      <c r="Q21" s="459"/>
      <c r="R21" s="459"/>
      <c r="S21" s="459"/>
      <c r="T21" s="130" t="s">
        <v>3620</v>
      </c>
      <c r="U21" s="441"/>
      <c r="V21" s="441"/>
      <c r="W21" s="441"/>
      <c r="X21" s="187">
        <v>19</v>
      </c>
      <c r="Y21" s="120"/>
      <c r="Z21" s="120" t="s">
        <v>3579</v>
      </c>
      <c r="AA21" s="131">
        <v>43472</v>
      </c>
      <c r="AC21" s="441"/>
      <c r="AD21" s="441"/>
      <c r="AE21" s="441"/>
    </row>
    <row r="22" spans="5:31" ht="15" customHeight="1">
      <c r="E22" s="459" t="s">
        <v>55</v>
      </c>
      <c r="F22" s="459" t="s">
        <v>994</v>
      </c>
      <c r="G22" s="459" t="s">
        <v>995</v>
      </c>
      <c r="H22" s="459" t="s">
        <v>243</v>
      </c>
      <c r="I22" s="459"/>
      <c r="J22" s="139">
        <v>50</v>
      </c>
      <c r="K22" s="139" t="s">
        <v>682</v>
      </c>
      <c r="L22" s="150" t="s">
        <v>3577</v>
      </c>
      <c r="M22" s="140" t="s">
        <v>996</v>
      </c>
      <c r="N22" s="139"/>
      <c r="O22" s="459"/>
      <c r="P22" s="130" t="s">
        <v>3965</v>
      </c>
      <c r="Q22" s="459"/>
      <c r="R22" s="459"/>
      <c r="S22" s="459"/>
      <c r="T22" s="130" t="s">
        <v>3966</v>
      </c>
      <c r="U22" s="441"/>
      <c r="V22" s="441"/>
      <c r="W22" s="441"/>
      <c r="X22" s="187">
        <v>20</v>
      </c>
      <c r="Y22" s="120"/>
      <c r="Z22" s="120" t="s">
        <v>3579</v>
      </c>
      <c r="AA22" s="131">
        <v>43472</v>
      </c>
      <c r="AC22" s="441"/>
      <c r="AD22" s="441"/>
      <c r="AE22" s="441"/>
    </row>
    <row r="23" spans="5:31" ht="15" customHeight="1">
      <c r="E23" s="459" t="s">
        <v>55</v>
      </c>
      <c r="F23" s="459" t="s">
        <v>997</v>
      </c>
      <c r="G23" s="459" t="s">
        <v>925</v>
      </c>
      <c r="H23" s="459" t="s">
        <v>243</v>
      </c>
      <c r="I23" s="459"/>
      <c r="J23" s="139">
        <v>7</v>
      </c>
      <c r="K23" s="139" t="s">
        <v>682</v>
      </c>
      <c r="L23" s="150" t="s">
        <v>3577</v>
      </c>
      <c r="M23" s="140" t="s">
        <v>998</v>
      </c>
      <c r="N23" s="139"/>
      <c r="O23" s="459"/>
      <c r="P23" s="130">
        <v>0</v>
      </c>
      <c r="Q23" s="459"/>
      <c r="R23" s="459"/>
      <c r="S23" s="459"/>
      <c r="T23" s="130" t="s">
        <v>3588</v>
      </c>
      <c r="U23" s="441"/>
      <c r="V23" s="441"/>
      <c r="W23" s="441"/>
      <c r="X23" s="187">
        <v>99</v>
      </c>
      <c r="Y23" s="187" t="s">
        <v>3589</v>
      </c>
      <c r="Z23" s="120" t="s">
        <v>3579</v>
      </c>
      <c r="AA23" s="131">
        <v>43472</v>
      </c>
      <c r="AB23" s="187"/>
      <c r="AC23" s="441"/>
      <c r="AD23" s="441"/>
      <c r="AE23" s="441"/>
    </row>
    <row r="24" spans="5:31" ht="15" customHeight="1">
      <c r="E24" s="459" t="s">
        <v>55</v>
      </c>
      <c r="F24" s="459" t="s">
        <v>999</v>
      </c>
      <c r="G24" s="459" t="s">
        <v>925</v>
      </c>
      <c r="H24" s="459" t="s">
        <v>243</v>
      </c>
      <c r="I24" s="459"/>
      <c r="J24" s="139">
        <v>8</v>
      </c>
      <c r="K24" s="139" t="s">
        <v>682</v>
      </c>
      <c r="L24" s="150" t="s">
        <v>3577</v>
      </c>
      <c r="M24" s="140" t="s">
        <v>1000</v>
      </c>
      <c r="N24" s="139"/>
      <c r="O24" s="459"/>
      <c r="P24" s="130">
        <v>0</v>
      </c>
      <c r="Q24" s="459"/>
      <c r="R24" s="459"/>
      <c r="S24" s="459"/>
      <c r="T24" s="130" t="s">
        <v>3590</v>
      </c>
      <c r="U24" s="441"/>
      <c r="V24" s="441"/>
      <c r="W24" s="441"/>
      <c r="X24" s="187">
        <v>99</v>
      </c>
      <c r="Y24" s="187" t="s">
        <v>3589</v>
      </c>
      <c r="Z24" s="120" t="s">
        <v>3579</v>
      </c>
      <c r="AA24" s="131">
        <v>43472</v>
      </c>
      <c r="AB24" s="187"/>
      <c r="AC24" s="441"/>
      <c r="AD24" s="441"/>
      <c r="AE24" s="441"/>
    </row>
    <row r="25" spans="5:31" ht="15" customHeight="1">
      <c r="E25" s="459" t="s">
        <v>55</v>
      </c>
      <c r="F25" s="459" t="s">
        <v>1001</v>
      </c>
      <c r="G25" s="459" t="s">
        <v>925</v>
      </c>
      <c r="H25" s="459" t="s">
        <v>243</v>
      </c>
      <c r="I25" s="459"/>
      <c r="J25" s="139">
        <v>9</v>
      </c>
      <c r="K25" s="139" t="s">
        <v>682</v>
      </c>
      <c r="L25" s="150" t="s">
        <v>3577</v>
      </c>
      <c r="M25" s="140" t="s">
        <v>1002</v>
      </c>
      <c r="N25" s="139"/>
      <c r="O25" s="459"/>
      <c r="P25" s="130">
        <v>0</v>
      </c>
      <c r="Q25" s="459"/>
      <c r="R25" s="459"/>
      <c r="S25" s="459"/>
      <c r="T25" s="130" t="s">
        <v>3591</v>
      </c>
      <c r="U25" s="441"/>
      <c r="V25" s="441"/>
      <c r="W25" s="441"/>
      <c r="X25" s="187">
        <v>99</v>
      </c>
      <c r="Y25" s="187" t="s">
        <v>3589</v>
      </c>
      <c r="Z25" s="120" t="s">
        <v>3579</v>
      </c>
      <c r="AA25" s="131">
        <v>43472</v>
      </c>
      <c r="AB25" s="187"/>
      <c r="AC25" s="441"/>
      <c r="AD25" s="441"/>
      <c r="AE25" s="441"/>
    </row>
    <row r="26" spans="5:31" ht="15" customHeight="1">
      <c r="E26" s="459" t="s">
        <v>55</v>
      </c>
      <c r="F26" s="459" t="s">
        <v>1003</v>
      </c>
      <c r="G26" s="459" t="s">
        <v>324</v>
      </c>
      <c r="H26" s="459" t="s">
        <v>243</v>
      </c>
      <c r="I26" s="459"/>
      <c r="J26" s="139">
        <v>45</v>
      </c>
      <c r="K26" s="139" t="s">
        <v>682</v>
      </c>
      <c r="L26" s="150" t="s">
        <v>3577</v>
      </c>
      <c r="M26" s="140" t="s">
        <v>1004</v>
      </c>
      <c r="N26" s="139"/>
      <c r="O26" s="459"/>
      <c r="P26" s="130">
        <v>0</v>
      </c>
      <c r="Q26" s="459"/>
      <c r="R26" s="459"/>
      <c r="S26" s="459"/>
      <c r="T26" s="130" t="s">
        <v>3630</v>
      </c>
      <c r="U26" s="441"/>
      <c r="V26" s="441"/>
      <c r="W26" s="441"/>
      <c r="X26" s="187">
        <v>99</v>
      </c>
      <c r="Y26" s="187" t="s">
        <v>3589</v>
      </c>
      <c r="Z26" s="120" t="s">
        <v>3579</v>
      </c>
      <c r="AA26" s="131">
        <v>43472</v>
      </c>
      <c r="AB26" s="187"/>
      <c r="AC26" s="441"/>
      <c r="AD26" s="441"/>
      <c r="AE26" s="441"/>
    </row>
    <row r="27" spans="5:31" ht="15" customHeight="1">
      <c r="E27" s="459" t="s">
        <v>55</v>
      </c>
      <c r="F27" s="459" t="s">
        <v>1005</v>
      </c>
      <c r="G27" s="459" t="s">
        <v>324</v>
      </c>
      <c r="H27" s="459" t="s">
        <v>243</v>
      </c>
      <c r="I27" s="459"/>
      <c r="J27" s="139">
        <v>46</v>
      </c>
      <c r="K27" s="139" t="s">
        <v>682</v>
      </c>
      <c r="L27" s="150" t="s">
        <v>3577</v>
      </c>
      <c r="M27" s="140" t="s">
        <v>1006</v>
      </c>
      <c r="N27" s="139"/>
      <c r="O27" s="459"/>
      <c r="P27" s="130">
        <v>0</v>
      </c>
      <c r="Q27" s="459"/>
      <c r="R27" s="459"/>
      <c r="S27" s="459"/>
      <c r="T27" s="130" t="s">
        <v>3631</v>
      </c>
      <c r="U27" s="441"/>
      <c r="V27" s="441"/>
      <c r="W27" s="441"/>
      <c r="X27" s="187">
        <v>99</v>
      </c>
      <c r="Y27" s="187" t="s">
        <v>3589</v>
      </c>
      <c r="Z27" s="120" t="s">
        <v>3579</v>
      </c>
      <c r="AA27" s="131">
        <v>43472</v>
      </c>
      <c r="AB27" s="187"/>
      <c r="AC27" s="441"/>
      <c r="AD27" s="441"/>
      <c r="AE27" s="441"/>
    </row>
    <row r="28" spans="5:31" ht="15" customHeight="1">
      <c r="E28" s="459" t="s">
        <v>55</v>
      </c>
      <c r="F28" s="459" t="s">
        <v>1007</v>
      </c>
      <c r="G28" s="459" t="s">
        <v>324</v>
      </c>
      <c r="H28" s="459" t="s">
        <v>243</v>
      </c>
      <c r="I28" s="459"/>
      <c r="J28" s="139">
        <v>47</v>
      </c>
      <c r="K28" s="139" t="s">
        <v>682</v>
      </c>
      <c r="L28" s="150" t="s">
        <v>3577</v>
      </c>
      <c r="M28" s="140" t="s">
        <v>1008</v>
      </c>
      <c r="N28" s="139"/>
      <c r="O28" s="459"/>
      <c r="P28" s="130">
        <v>0</v>
      </c>
      <c r="Q28" s="459"/>
      <c r="R28" s="459"/>
      <c r="S28" s="459"/>
      <c r="T28" s="130" t="s">
        <v>3632</v>
      </c>
      <c r="U28" s="441"/>
      <c r="V28" s="441"/>
      <c r="W28" s="441"/>
      <c r="X28" s="187">
        <v>99</v>
      </c>
      <c r="Y28" s="187" t="s">
        <v>3589</v>
      </c>
      <c r="Z28" s="120" t="s">
        <v>3579</v>
      </c>
      <c r="AA28" s="131">
        <v>43472</v>
      </c>
      <c r="AB28" s="187"/>
      <c r="AC28" s="441"/>
      <c r="AD28" s="441"/>
      <c r="AE28" s="441"/>
    </row>
    <row r="29" spans="5:31" ht="15" customHeight="1">
      <c r="E29" s="459" t="s">
        <v>55</v>
      </c>
      <c r="F29" s="459" t="s">
        <v>3581</v>
      </c>
      <c r="G29" s="459" t="s">
        <v>242</v>
      </c>
      <c r="H29" s="459" t="s">
        <v>243</v>
      </c>
      <c r="I29" s="459"/>
      <c r="J29" s="139">
        <v>61</v>
      </c>
      <c r="K29" s="139" t="s">
        <v>680</v>
      </c>
      <c r="L29" s="139"/>
      <c r="M29" s="140"/>
      <c r="N29" s="139"/>
      <c r="O29" s="459"/>
      <c r="P29" s="130"/>
      <c r="Q29" s="459"/>
      <c r="R29" s="459"/>
      <c r="S29" s="459"/>
      <c r="T29" s="130" t="s">
        <v>3582</v>
      </c>
      <c r="U29" s="441"/>
      <c r="V29" s="441"/>
      <c r="W29" s="441"/>
      <c r="X29" s="187"/>
      <c r="Y29" s="187"/>
      <c r="Z29" s="120"/>
      <c r="AA29" s="131"/>
      <c r="AB29" s="187"/>
      <c r="AC29" s="441"/>
      <c r="AD29" s="441"/>
      <c r="AE29" s="441"/>
    </row>
    <row r="30" spans="5:31" ht="15" customHeight="1">
      <c r="E30" s="459" t="s">
        <v>55</v>
      </c>
      <c r="F30" s="459" t="s">
        <v>3583</v>
      </c>
      <c r="G30" s="459" t="s">
        <v>242</v>
      </c>
      <c r="H30" s="459" t="s">
        <v>243</v>
      </c>
      <c r="I30" s="459"/>
      <c r="J30" s="139">
        <v>62</v>
      </c>
      <c r="K30" s="139" t="s">
        <v>680</v>
      </c>
      <c r="L30" s="139"/>
      <c r="M30" s="140"/>
      <c r="N30" s="139"/>
      <c r="O30" s="459"/>
      <c r="P30" s="130"/>
      <c r="Q30" s="459"/>
      <c r="R30" s="459"/>
      <c r="S30" s="459"/>
      <c r="T30" s="130" t="s">
        <v>3584</v>
      </c>
      <c r="U30" s="441"/>
      <c r="V30" s="441"/>
      <c r="W30" s="441"/>
      <c r="X30" s="187"/>
      <c r="Y30" s="187"/>
      <c r="Z30" s="120"/>
      <c r="AA30" s="131"/>
      <c r="AB30" s="271"/>
      <c r="AC30" s="441"/>
      <c r="AD30" s="441"/>
      <c r="AE30" s="441"/>
    </row>
    <row r="31" spans="5:31" ht="15" customHeight="1">
      <c r="E31" s="459" t="s">
        <v>55</v>
      </c>
      <c r="F31" s="459" t="s">
        <v>3592</v>
      </c>
      <c r="G31" s="459" t="s">
        <v>995</v>
      </c>
      <c r="H31" s="459" t="s">
        <v>243</v>
      </c>
      <c r="I31" s="459"/>
      <c r="J31" s="139">
        <v>10</v>
      </c>
      <c r="K31" s="139" t="s">
        <v>680</v>
      </c>
      <c r="L31" s="139"/>
      <c r="M31" s="140"/>
      <c r="N31" s="139"/>
      <c r="O31" s="459"/>
      <c r="P31" s="130"/>
      <c r="Q31" s="459"/>
      <c r="R31" s="459"/>
      <c r="S31" s="459"/>
      <c r="T31" s="186" t="s">
        <v>1190</v>
      </c>
      <c r="U31" s="441"/>
      <c r="V31" s="441"/>
      <c r="W31" s="441"/>
      <c r="X31" s="187"/>
      <c r="Y31" s="187"/>
      <c r="Z31" s="120"/>
      <c r="AA31" s="131"/>
      <c r="AB31" s="271"/>
      <c r="AC31" s="441"/>
      <c r="AD31" s="441"/>
      <c r="AE31" s="441"/>
    </row>
    <row r="32" spans="5:31" ht="15" customHeight="1">
      <c r="E32" s="459" t="s">
        <v>53</v>
      </c>
      <c r="F32" s="459" t="s">
        <v>1406</v>
      </c>
      <c r="G32" s="459" t="s">
        <v>535</v>
      </c>
      <c r="H32" s="459" t="s">
        <v>243</v>
      </c>
      <c r="I32" s="459"/>
      <c r="J32" s="139">
        <v>58</v>
      </c>
      <c r="K32" s="139" t="s">
        <v>680</v>
      </c>
      <c r="L32" s="139"/>
      <c r="M32" s="140"/>
      <c r="N32" s="139"/>
      <c r="O32" s="459"/>
      <c r="P32" s="130"/>
      <c r="Q32" s="459"/>
      <c r="R32" s="459"/>
      <c r="S32" s="459"/>
      <c r="T32" s="186" t="s">
        <v>1190</v>
      </c>
      <c r="U32" s="441"/>
      <c r="V32" s="441"/>
      <c r="W32" s="441"/>
      <c r="X32" s="187"/>
      <c r="Y32" s="187"/>
      <c r="Z32" s="34"/>
      <c r="AA32" s="367"/>
      <c r="AB32" s="187"/>
      <c r="AC32" s="441"/>
      <c r="AD32" s="441"/>
      <c r="AE32" s="441"/>
    </row>
    <row r="33" spans="5:31" ht="15" customHeight="1">
      <c r="E33" s="459" t="s">
        <v>53</v>
      </c>
      <c r="F33" s="459" t="s">
        <v>1189</v>
      </c>
      <c r="G33" s="459" t="s">
        <v>249</v>
      </c>
      <c r="H33" s="459" t="s">
        <v>243</v>
      </c>
      <c r="I33" s="459"/>
      <c r="J33" s="139">
        <v>11</v>
      </c>
      <c r="K33" s="139" t="s">
        <v>680</v>
      </c>
      <c r="L33" s="139"/>
      <c r="M33" s="140"/>
      <c r="N33" s="139"/>
      <c r="O33" s="459"/>
      <c r="P33" s="130"/>
      <c r="Q33" s="459"/>
      <c r="R33" s="459"/>
      <c r="S33" s="459"/>
      <c r="T33" s="186" t="s">
        <v>1190</v>
      </c>
      <c r="U33" s="441"/>
      <c r="V33" s="441"/>
      <c r="W33" s="441"/>
      <c r="X33" s="187"/>
      <c r="Y33" s="187"/>
      <c r="Z33" s="120"/>
      <c r="AA33" s="131"/>
      <c r="AB33" s="271"/>
      <c r="AC33" s="441"/>
      <c r="AD33" s="441"/>
      <c r="AE33" s="441"/>
    </row>
    <row r="34" spans="5:31" ht="15" customHeight="1">
      <c r="E34" s="459" t="s">
        <v>53</v>
      </c>
      <c r="F34" s="459" t="s">
        <v>1191</v>
      </c>
      <c r="G34" s="459" t="s">
        <v>252</v>
      </c>
      <c r="H34" s="459" t="s">
        <v>243</v>
      </c>
      <c r="I34" s="459"/>
      <c r="J34" s="139">
        <v>12</v>
      </c>
      <c r="K34" s="139" t="s">
        <v>680</v>
      </c>
      <c r="L34" s="139"/>
      <c r="M34" s="140"/>
      <c r="N34" s="139"/>
      <c r="O34" s="459"/>
      <c r="P34" s="130"/>
      <c r="Q34" s="459"/>
      <c r="R34" s="459"/>
      <c r="S34" s="459"/>
      <c r="T34" s="186" t="s">
        <v>1190</v>
      </c>
      <c r="U34" s="441"/>
      <c r="V34" s="441"/>
      <c r="W34" s="441"/>
      <c r="X34" s="187"/>
      <c r="Y34" s="187"/>
      <c r="Z34" s="34"/>
      <c r="AA34" s="367"/>
      <c r="AB34" s="187"/>
      <c r="AC34" s="441"/>
      <c r="AD34" s="441"/>
      <c r="AE34" s="441"/>
    </row>
    <row r="35" spans="5:31" ht="15" customHeight="1">
      <c r="E35" s="459" t="s">
        <v>53</v>
      </c>
      <c r="F35" s="459" t="s">
        <v>1192</v>
      </c>
      <c r="G35" s="459" t="s">
        <v>242</v>
      </c>
      <c r="H35" s="459" t="s">
        <v>243</v>
      </c>
      <c r="I35" s="459"/>
      <c r="J35" s="139">
        <v>13</v>
      </c>
      <c r="K35" s="139" t="s">
        <v>680</v>
      </c>
      <c r="L35" s="139"/>
      <c r="M35" s="140"/>
      <c r="N35" s="139"/>
      <c r="O35" s="459"/>
      <c r="P35" s="130"/>
      <c r="Q35" s="459"/>
      <c r="R35" s="459"/>
      <c r="S35" s="459"/>
      <c r="T35" s="186" t="s">
        <v>1190</v>
      </c>
      <c r="U35" s="441"/>
      <c r="V35" s="441"/>
      <c r="W35" s="441"/>
      <c r="X35" s="187"/>
      <c r="Z35" s="120"/>
      <c r="AA35" s="131"/>
      <c r="AB35" s="187"/>
      <c r="AC35" s="441"/>
      <c r="AD35" s="441"/>
      <c r="AE35" s="441"/>
    </row>
    <row r="36" spans="5:31" ht="15" customHeight="1">
      <c r="E36" s="459" t="s">
        <v>53</v>
      </c>
      <c r="F36" s="459" t="s">
        <v>1193</v>
      </c>
      <c r="G36" s="459" t="s">
        <v>247</v>
      </c>
      <c r="H36" s="459" t="s">
        <v>243</v>
      </c>
      <c r="I36" s="459"/>
      <c r="J36" s="139">
        <v>14</v>
      </c>
      <c r="K36" s="139" t="s">
        <v>680</v>
      </c>
      <c r="L36" s="139"/>
      <c r="M36" s="140"/>
      <c r="N36" s="139"/>
      <c r="O36" s="459"/>
      <c r="P36" s="130"/>
      <c r="Q36" s="459"/>
      <c r="R36" s="459"/>
      <c r="S36" s="459"/>
      <c r="T36" s="186" t="s">
        <v>1190</v>
      </c>
      <c r="U36" s="441"/>
      <c r="V36" s="441"/>
      <c r="W36" s="441"/>
      <c r="X36" s="187"/>
      <c r="Y36" s="187"/>
      <c r="Z36" s="120"/>
      <c r="AA36" s="131"/>
      <c r="AB36" s="187"/>
      <c r="AC36" s="441"/>
      <c r="AD36" s="441"/>
      <c r="AE36" s="441"/>
    </row>
    <row r="37" spans="5:31" ht="15" customHeight="1">
      <c r="E37" s="459" t="s">
        <v>53</v>
      </c>
      <c r="F37" s="459" t="s">
        <v>1194</v>
      </c>
      <c r="G37" s="459" t="s">
        <v>252</v>
      </c>
      <c r="H37" s="459" t="s">
        <v>243</v>
      </c>
      <c r="I37" s="459"/>
      <c r="J37" s="139">
        <v>15</v>
      </c>
      <c r="K37" s="139" t="s">
        <v>680</v>
      </c>
      <c r="L37" s="139"/>
      <c r="M37" s="140"/>
      <c r="N37" s="139"/>
      <c r="O37" s="459"/>
      <c r="P37" s="130"/>
      <c r="Q37" s="459"/>
      <c r="R37" s="459"/>
      <c r="S37" s="459"/>
      <c r="T37" s="186" t="s">
        <v>1190</v>
      </c>
      <c r="U37" s="441"/>
      <c r="V37" s="441"/>
      <c r="W37" s="441"/>
      <c r="X37" s="187"/>
      <c r="Z37" s="120"/>
      <c r="AA37" s="131"/>
      <c r="AB37" s="187"/>
      <c r="AC37" s="441"/>
      <c r="AD37" s="441"/>
      <c r="AE37" s="441"/>
    </row>
    <row r="38" spans="5:31" ht="15" customHeight="1">
      <c r="E38" s="459" t="s">
        <v>53</v>
      </c>
      <c r="F38" s="459" t="s">
        <v>1195</v>
      </c>
      <c r="G38" s="459" t="s">
        <v>247</v>
      </c>
      <c r="H38" s="459" t="s">
        <v>243</v>
      </c>
      <c r="I38" s="459"/>
      <c r="J38" s="139">
        <v>16</v>
      </c>
      <c r="K38" s="139" t="s">
        <v>680</v>
      </c>
      <c r="L38" s="139"/>
      <c r="M38" s="140"/>
      <c r="N38" s="139"/>
      <c r="O38" s="459"/>
      <c r="P38" s="130"/>
      <c r="Q38" s="459"/>
      <c r="R38" s="459"/>
      <c r="S38" s="459"/>
      <c r="T38" s="186" t="s">
        <v>1190</v>
      </c>
      <c r="U38" s="441"/>
      <c r="V38" s="441"/>
      <c r="W38" s="441"/>
      <c r="X38" s="187"/>
      <c r="Y38" s="187"/>
      <c r="Z38" s="120"/>
      <c r="AA38" s="131"/>
      <c r="AB38" s="187"/>
      <c r="AC38" s="441"/>
      <c r="AD38" s="441"/>
      <c r="AE38" s="441"/>
    </row>
    <row r="39" spans="5:31" ht="15" customHeight="1">
      <c r="E39" s="459" t="s">
        <v>53</v>
      </c>
      <c r="F39" s="459" t="s">
        <v>1196</v>
      </c>
      <c r="G39" s="459" t="s">
        <v>535</v>
      </c>
      <c r="H39" s="459" t="s">
        <v>903</v>
      </c>
      <c r="I39" s="459"/>
      <c r="J39" s="139">
        <v>17</v>
      </c>
      <c r="K39" s="139" t="s">
        <v>680</v>
      </c>
      <c r="L39" s="139"/>
      <c r="M39" s="140"/>
      <c r="N39" s="139"/>
      <c r="O39" s="459"/>
      <c r="P39" s="130"/>
      <c r="Q39" s="459"/>
      <c r="R39" s="459"/>
      <c r="S39" s="459"/>
      <c r="T39" s="186" t="s">
        <v>1190</v>
      </c>
      <c r="U39" s="441"/>
      <c r="V39" s="441"/>
      <c r="W39" s="441"/>
      <c r="X39" s="187"/>
      <c r="Y39" s="187"/>
      <c r="Z39" s="120"/>
      <c r="AA39" s="131"/>
      <c r="AB39" s="187"/>
      <c r="AC39" s="441"/>
      <c r="AD39" s="441"/>
      <c r="AE39" s="441"/>
    </row>
    <row r="40" spans="5:31" ht="15" customHeight="1">
      <c r="E40" s="459" t="s">
        <v>55</v>
      </c>
      <c r="F40" s="459" t="s">
        <v>3593</v>
      </c>
      <c r="G40" s="459" t="s">
        <v>432</v>
      </c>
      <c r="H40" s="459" t="s">
        <v>243</v>
      </c>
      <c r="I40" s="459"/>
      <c r="J40" s="139">
        <v>18</v>
      </c>
      <c r="K40" s="139" t="s">
        <v>680</v>
      </c>
      <c r="L40" s="139"/>
      <c r="M40" s="140"/>
      <c r="N40" s="139"/>
      <c r="O40" s="459"/>
      <c r="P40" s="130"/>
      <c r="Q40" s="459"/>
      <c r="R40" s="459"/>
      <c r="S40" s="459"/>
      <c r="T40" s="138" t="s">
        <v>3594</v>
      </c>
      <c r="U40" s="441"/>
      <c r="V40" s="441"/>
      <c r="W40" s="441"/>
      <c r="X40" s="187"/>
      <c r="Y40" s="187"/>
      <c r="Z40" s="120"/>
      <c r="AA40" s="131"/>
      <c r="AB40" s="271"/>
      <c r="AC40" s="441"/>
      <c r="AD40" s="441"/>
      <c r="AE40" s="441"/>
    </row>
    <row r="41" spans="5:31" ht="15" customHeight="1">
      <c r="E41" s="459" t="s">
        <v>55</v>
      </c>
      <c r="F41" s="459" t="s">
        <v>3595</v>
      </c>
      <c r="G41" s="459" t="s">
        <v>925</v>
      </c>
      <c r="H41" s="459" t="s">
        <v>243</v>
      </c>
      <c r="I41" s="459"/>
      <c r="J41" s="139">
        <v>20</v>
      </c>
      <c r="K41" s="139" t="s">
        <v>680</v>
      </c>
      <c r="L41" s="139"/>
      <c r="M41" s="140"/>
      <c r="N41" s="139"/>
      <c r="O41" s="459"/>
      <c r="P41" s="130"/>
      <c r="Q41" s="459"/>
      <c r="R41" s="459"/>
      <c r="S41" s="459"/>
      <c r="T41" s="130"/>
      <c r="U41" s="441"/>
      <c r="V41" s="441"/>
      <c r="W41" s="441"/>
      <c r="X41" s="187"/>
      <c r="Y41" s="187"/>
      <c r="Z41" s="34"/>
      <c r="AA41" s="367"/>
      <c r="AB41" s="187"/>
      <c r="AC41" s="441"/>
      <c r="AD41" s="441"/>
      <c r="AE41" s="441"/>
    </row>
    <row r="42" spans="5:31" ht="15" customHeight="1">
      <c r="E42" s="459" t="s">
        <v>55</v>
      </c>
      <c r="F42" s="459" t="s">
        <v>3596</v>
      </c>
      <c r="G42" s="459" t="s">
        <v>247</v>
      </c>
      <c r="H42" s="459" t="s">
        <v>243</v>
      </c>
      <c r="I42" s="459"/>
      <c r="J42" s="139">
        <v>21</v>
      </c>
      <c r="K42" s="139" t="s">
        <v>680</v>
      </c>
      <c r="L42" s="139"/>
      <c r="M42" s="140"/>
      <c r="N42" s="139"/>
      <c r="O42" s="459"/>
      <c r="P42" s="130"/>
      <c r="Q42" s="459"/>
      <c r="R42" s="459"/>
      <c r="S42" s="459"/>
      <c r="T42" s="130"/>
      <c r="U42" s="441"/>
      <c r="V42" s="441"/>
      <c r="W42" s="441"/>
      <c r="X42" s="187"/>
      <c r="Y42" s="187"/>
      <c r="Z42" s="34"/>
      <c r="AA42" s="367"/>
      <c r="AB42" s="187"/>
      <c r="AC42" s="441"/>
      <c r="AD42" s="441"/>
      <c r="AE42" s="441"/>
    </row>
    <row r="43" spans="5:31" ht="15" customHeight="1">
      <c r="E43" s="459" t="s">
        <v>55</v>
      </c>
      <c r="F43" s="459" t="s">
        <v>3598</v>
      </c>
      <c r="G43" s="459" t="s">
        <v>255</v>
      </c>
      <c r="H43" s="459" t="s">
        <v>243</v>
      </c>
      <c r="I43" s="459"/>
      <c r="J43" s="139">
        <v>23</v>
      </c>
      <c r="K43" s="139" t="s">
        <v>680</v>
      </c>
      <c r="L43" s="139"/>
      <c r="M43" s="140"/>
      <c r="N43" s="139"/>
      <c r="O43" s="459"/>
      <c r="P43" s="130"/>
      <c r="Q43" s="459"/>
      <c r="R43" s="459"/>
      <c r="S43" s="459"/>
      <c r="T43" s="130" t="s">
        <v>3600</v>
      </c>
      <c r="U43" s="441"/>
      <c r="V43" s="441"/>
      <c r="W43" s="441"/>
      <c r="X43" s="187"/>
      <c r="Y43" s="187"/>
      <c r="Z43" s="34"/>
      <c r="AA43" s="367"/>
      <c r="AB43" s="187"/>
      <c r="AC43" s="441"/>
      <c r="AD43" s="441"/>
      <c r="AE43" s="441"/>
    </row>
    <row r="44" spans="5:31" ht="15" customHeight="1">
      <c r="E44" s="459" t="s">
        <v>55</v>
      </c>
      <c r="F44" s="459" t="s">
        <v>2580</v>
      </c>
      <c r="G44" s="459" t="s">
        <v>3603</v>
      </c>
      <c r="H44" s="459" t="s">
        <v>243</v>
      </c>
      <c r="I44" s="459"/>
      <c r="J44" s="139">
        <v>25</v>
      </c>
      <c r="K44" s="139" t="s">
        <v>680</v>
      </c>
      <c r="L44" s="139"/>
      <c r="M44" s="140"/>
      <c r="N44" s="139"/>
      <c r="O44" s="459"/>
      <c r="P44" s="130"/>
      <c r="Q44" s="459"/>
      <c r="R44" s="459"/>
      <c r="S44" s="459"/>
      <c r="T44" s="130" t="s">
        <v>3605</v>
      </c>
      <c r="U44" s="441"/>
      <c r="V44" s="441"/>
      <c r="W44" s="441"/>
      <c r="X44" s="187"/>
      <c r="Y44" s="187"/>
      <c r="Z44" s="34"/>
      <c r="AA44" s="367"/>
      <c r="AB44" s="271"/>
      <c r="AC44" s="441"/>
      <c r="AD44" s="441"/>
      <c r="AE44" s="441"/>
    </row>
    <row r="45" spans="5:31" ht="15" customHeight="1">
      <c r="E45" s="459" t="s">
        <v>55</v>
      </c>
      <c r="F45" s="459" t="s">
        <v>3606</v>
      </c>
      <c r="G45" s="459" t="s">
        <v>3603</v>
      </c>
      <c r="H45" s="459" t="s">
        <v>243</v>
      </c>
      <c r="I45" s="459"/>
      <c r="J45" s="139">
        <v>26</v>
      </c>
      <c r="K45" s="139" t="s">
        <v>680</v>
      </c>
      <c r="L45" s="139"/>
      <c r="M45" s="140"/>
      <c r="N45" s="139"/>
      <c r="O45" s="459"/>
      <c r="P45" s="130"/>
      <c r="Q45" s="459"/>
      <c r="R45" s="459"/>
      <c r="S45" s="459"/>
      <c r="T45" s="130" t="s">
        <v>3607</v>
      </c>
      <c r="U45" s="441"/>
      <c r="V45" s="441"/>
      <c r="W45" s="441"/>
      <c r="X45" s="187"/>
      <c r="Y45" s="187"/>
      <c r="Z45" s="34"/>
      <c r="AA45" s="367"/>
      <c r="AB45" s="187"/>
      <c r="AC45" s="441"/>
      <c r="AD45" s="441"/>
      <c r="AE45" s="441"/>
    </row>
    <row r="46" spans="5:31" ht="15" customHeight="1">
      <c r="E46" s="459" t="s">
        <v>55</v>
      </c>
      <c r="F46" s="459" t="s">
        <v>3608</v>
      </c>
      <c r="G46" s="459" t="s">
        <v>242</v>
      </c>
      <c r="H46" s="459" t="s">
        <v>243</v>
      </c>
      <c r="I46" s="459"/>
      <c r="J46" s="139">
        <v>27</v>
      </c>
      <c r="K46" s="139" t="s">
        <v>680</v>
      </c>
      <c r="L46" s="139"/>
      <c r="M46" s="140"/>
      <c r="N46" s="139"/>
      <c r="O46" s="459"/>
      <c r="P46" s="130"/>
      <c r="Q46" s="459"/>
      <c r="R46" s="459"/>
      <c r="S46" s="459"/>
      <c r="T46" s="130" t="s">
        <v>3609</v>
      </c>
      <c r="U46" s="441"/>
      <c r="V46" s="441"/>
      <c r="W46" s="441"/>
      <c r="X46" s="187"/>
      <c r="Y46" s="187"/>
      <c r="Z46" s="34"/>
      <c r="AA46" s="367"/>
      <c r="AB46" s="271"/>
      <c r="AC46" s="441"/>
      <c r="AD46" s="441"/>
      <c r="AE46" s="441"/>
    </row>
    <row r="47" spans="5:31" ht="15" customHeight="1">
      <c r="E47" s="459" t="s">
        <v>53</v>
      </c>
      <c r="F47" s="459" t="s">
        <v>124</v>
      </c>
      <c r="G47" s="459" t="s">
        <v>535</v>
      </c>
      <c r="H47" s="459" t="s">
        <v>903</v>
      </c>
      <c r="I47" s="459"/>
      <c r="J47" s="139">
        <v>1</v>
      </c>
      <c r="K47" s="139" t="s">
        <v>680</v>
      </c>
      <c r="L47" s="139"/>
      <c r="M47" s="140"/>
      <c r="N47" s="139"/>
      <c r="O47" s="459"/>
      <c r="P47" s="130"/>
      <c r="Q47" s="459"/>
      <c r="R47" s="459"/>
      <c r="S47" s="459"/>
      <c r="T47" s="186" t="s">
        <v>1190</v>
      </c>
      <c r="U47" s="441"/>
      <c r="V47" s="441"/>
      <c r="W47" s="441"/>
      <c r="X47" s="187"/>
      <c r="Y47" s="187"/>
      <c r="Z47" s="34"/>
      <c r="AA47" s="367"/>
      <c r="AB47" s="187"/>
      <c r="AC47" s="441"/>
      <c r="AD47" s="441"/>
      <c r="AE47" s="441"/>
    </row>
    <row r="48" spans="5:31" ht="15" customHeight="1">
      <c r="E48" s="459" t="s">
        <v>53</v>
      </c>
      <c r="F48" s="459" t="s">
        <v>3610</v>
      </c>
      <c r="G48" s="459" t="s">
        <v>252</v>
      </c>
      <c r="H48" s="459" t="s">
        <v>243</v>
      </c>
      <c r="I48" s="459"/>
      <c r="J48" s="139">
        <v>29</v>
      </c>
      <c r="K48" s="139" t="s">
        <v>680</v>
      </c>
      <c r="L48" s="139"/>
      <c r="M48" s="140"/>
      <c r="N48" s="139"/>
      <c r="O48" s="459"/>
      <c r="P48" s="130"/>
      <c r="Q48" s="459"/>
      <c r="R48" s="459"/>
      <c r="S48" s="459"/>
      <c r="T48" s="186" t="s">
        <v>1190</v>
      </c>
      <c r="U48" s="441"/>
      <c r="V48" s="441"/>
      <c r="W48" s="441"/>
      <c r="X48" s="187"/>
      <c r="Y48" s="187"/>
      <c r="Z48" s="34"/>
      <c r="AA48" s="367"/>
      <c r="AB48" s="271"/>
      <c r="AC48" s="441"/>
      <c r="AD48" s="441"/>
      <c r="AE48" s="441"/>
    </row>
    <row r="49" spans="5:31" ht="15" customHeight="1">
      <c r="E49" s="459" t="s">
        <v>55</v>
      </c>
      <c r="F49" s="459" t="s">
        <v>3612</v>
      </c>
      <c r="G49" s="459" t="s">
        <v>324</v>
      </c>
      <c r="H49" s="459" t="s">
        <v>243</v>
      </c>
      <c r="I49" s="459"/>
      <c r="J49" s="139">
        <v>32</v>
      </c>
      <c r="K49" s="139" t="s">
        <v>680</v>
      </c>
      <c r="L49" s="139"/>
      <c r="M49" s="140"/>
      <c r="N49" s="139"/>
      <c r="O49" s="459"/>
      <c r="P49" s="130"/>
      <c r="Q49" s="459"/>
      <c r="R49" s="459"/>
      <c r="S49" s="459"/>
      <c r="T49" s="130" t="s">
        <v>3613</v>
      </c>
      <c r="U49" s="441"/>
      <c r="V49" s="441"/>
      <c r="W49" s="441"/>
      <c r="X49" s="187"/>
      <c r="Y49" s="187"/>
      <c r="Z49" s="187"/>
      <c r="AA49" s="367"/>
      <c r="AB49" s="187"/>
      <c r="AC49" s="441"/>
      <c r="AD49" s="441"/>
      <c r="AE49" s="441"/>
    </row>
    <row r="50" spans="5:31" ht="15" customHeight="1">
      <c r="E50" s="459" t="s">
        <v>55</v>
      </c>
      <c r="F50" s="459" t="s">
        <v>3614</v>
      </c>
      <c r="G50" s="459" t="s">
        <v>925</v>
      </c>
      <c r="H50" s="459" t="s">
        <v>243</v>
      </c>
      <c r="I50" s="459"/>
      <c r="J50" s="139">
        <v>33</v>
      </c>
      <c r="K50" s="139" t="s">
        <v>680</v>
      </c>
      <c r="L50" s="139"/>
      <c r="M50" s="140"/>
      <c r="N50" s="139"/>
      <c r="O50" s="459"/>
      <c r="P50" s="130"/>
      <c r="Q50" s="459"/>
      <c r="R50" s="459"/>
      <c r="S50" s="459"/>
      <c r="T50" s="130" t="s">
        <v>3615</v>
      </c>
      <c r="U50" s="441"/>
      <c r="V50" s="441"/>
      <c r="W50" s="441"/>
      <c r="X50" s="187"/>
      <c r="Y50" s="187"/>
      <c r="Z50" s="187"/>
      <c r="AA50" s="367"/>
      <c r="AB50" s="187"/>
      <c r="AC50" s="441"/>
      <c r="AD50" s="441"/>
      <c r="AE50" s="441"/>
    </row>
    <row r="51" spans="5:31" ht="15" customHeight="1">
      <c r="E51" s="459" t="s">
        <v>55</v>
      </c>
      <c r="F51" s="459" t="s">
        <v>3616</v>
      </c>
      <c r="G51" s="459" t="s">
        <v>255</v>
      </c>
      <c r="H51" s="459" t="s">
        <v>243</v>
      </c>
      <c r="I51" s="459"/>
      <c r="J51" s="139">
        <v>34</v>
      </c>
      <c r="K51" s="139" t="s">
        <v>680</v>
      </c>
      <c r="L51" s="139"/>
      <c r="M51" s="140"/>
      <c r="N51" s="139"/>
      <c r="O51" s="459"/>
      <c r="P51" s="130"/>
      <c r="Q51" s="459"/>
      <c r="R51" s="459"/>
      <c r="S51" s="459"/>
      <c r="T51" s="130" t="s">
        <v>3617</v>
      </c>
      <c r="U51" s="441"/>
      <c r="V51" s="441"/>
      <c r="W51" s="441"/>
      <c r="X51" s="187"/>
      <c r="Y51" s="187"/>
      <c r="Z51" s="187"/>
      <c r="AA51" s="367"/>
      <c r="AB51" s="187"/>
      <c r="AC51" s="441"/>
      <c r="AD51" s="441"/>
      <c r="AE51" s="441"/>
    </row>
    <row r="52" spans="5:31" ht="15" customHeight="1">
      <c r="E52" s="459" t="s">
        <v>55</v>
      </c>
      <c r="F52" s="459" t="s">
        <v>3618</v>
      </c>
      <c r="G52" s="459" t="s">
        <v>255</v>
      </c>
      <c r="H52" s="459" t="s">
        <v>243</v>
      </c>
      <c r="I52" s="459"/>
      <c r="J52" s="139">
        <v>35</v>
      </c>
      <c r="K52" s="139" t="s">
        <v>680</v>
      </c>
      <c r="L52" s="139"/>
      <c r="M52" s="140"/>
      <c r="N52" s="139"/>
      <c r="O52" s="459"/>
      <c r="P52" s="130"/>
      <c r="Q52" s="459"/>
      <c r="R52" s="459"/>
      <c r="S52" s="459"/>
      <c r="T52" s="186" t="s">
        <v>1190</v>
      </c>
      <c r="U52" s="441"/>
      <c r="V52" s="441"/>
      <c r="W52" s="441"/>
      <c r="X52" s="187"/>
      <c r="Y52" s="187"/>
      <c r="Z52" s="187"/>
      <c r="AA52" s="367"/>
      <c r="AB52" s="187"/>
      <c r="AC52" s="441"/>
      <c r="AD52" s="441"/>
      <c r="AE52" s="441"/>
    </row>
    <row r="53" spans="5:31" ht="15" customHeight="1">
      <c r="E53" s="459" t="s">
        <v>55</v>
      </c>
      <c r="F53" s="459" t="s">
        <v>3625</v>
      </c>
      <c r="G53" s="459" t="s">
        <v>925</v>
      </c>
      <c r="H53" s="459" t="s">
        <v>243</v>
      </c>
      <c r="I53" s="459"/>
      <c r="J53" s="139">
        <v>40</v>
      </c>
      <c r="K53" s="139" t="s">
        <v>680</v>
      </c>
      <c r="L53" s="139"/>
      <c r="M53" s="140"/>
      <c r="N53" s="139"/>
      <c r="O53" s="459"/>
      <c r="P53" s="130"/>
      <c r="Q53" s="459"/>
      <c r="R53" s="459"/>
      <c r="S53" s="459"/>
      <c r="T53" s="130" t="s">
        <v>3626</v>
      </c>
      <c r="U53" s="441"/>
      <c r="V53" s="441"/>
      <c r="W53" s="441"/>
      <c r="X53" s="187"/>
      <c r="Y53" s="187"/>
      <c r="Z53" s="187"/>
      <c r="AA53" s="367"/>
      <c r="AB53" s="187"/>
      <c r="AC53" s="441"/>
      <c r="AD53" s="441"/>
      <c r="AE53" s="441"/>
    </row>
    <row r="54" spans="5:31" ht="15" customHeight="1">
      <c r="E54" s="459" t="s">
        <v>55</v>
      </c>
      <c r="F54" s="459" t="s">
        <v>3627</v>
      </c>
      <c r="G54" s="459" t="s">
        <v>432</v>
      </c>
      <c r="H54" s="459" t="s">
        <v>243</v>
      </c>
      <c r="I54" s="459"/>
      <c r="J54" s="139">
        <v>41</v>
      </c>
      <c r="K54" s="139" t="s">
        <v>680</v>
      </c>
      <c r="L54" s="139"/>
      <c r="M54" s="140"/>
      <c r="N54" s="139"/>
      <c r="O54" s="459"/>
      <c r="P54" s="130"/>
      <c r="Q54" s="459"/>
      <c r="R54" s="459"/>
      <c r="S54" s="459"/>
      <c r="T54" s="130"/>
      <c r="U54" s="441"/>
      <c r="V54" s="441"/>
      <c r="W54" s="441"/>
      <c r="X54" s="187"/>
      <c r="Y54" s="187"/>
      <c r="Z54" s="187"/>
      <c r="AA54" s="367"/>
      <c r="AB54" s="187"/>
      <c r="AC54" s="441"/>
      <c r="AD54" s="441"/>
      <c r="AE54" s="441"/>
    </row>
    <row r="55" spans="5:31" ht="15.75" customHeight="1">
      <c r="E55" s="459" t="s">
        <v>55</v>
      </c>
      <c r="F55" s="459" t="s">
        <v>3628</v>
      </c>
      <c r="G55" s="459" t="s">
        <v>242</v>
      </c>
      <c r="H55" s="459" t="s">
        <v>243</v>
      </c>
      <c r="I55" s="459"/>
      <c r="J55" s="139">
        <v>44</v>
      </c>
      <c r="K55" s="139" t="s">
        <v>680</v>
      </c>
      <c r="L55" s="139"/>
      <c r="M55" s="140"/>
      <c r="N55" s="139"/>
      <c r="O55" s="459"/>
      <c r="P55" s="130"/>
      <c r="Q55" s="459"/>
      <c r="R55" s="459"/>
      <c r="S55" s="459"/>
      <c r="T55" s="130" t="s">
        <v>3629</v>
      </c>
      <c r="U55" s="441"/>
      <c r="V55" s="441"/>
      <c r="W55" s="441"/>
      <c r="X55" s="187"/>
      <c r="Y55" s="187"/>
      <c r="Z55" s="187"/>
      <c r="AA55" s="367"/>
      <c r="AB55" s="187"/>
      <c r="AC55" s="441"/>
      <c r="AD55" s="441"/>
      <c r="AE55" s="441"/>
    </row>
    <row r="56" spans="5:31" ht="15.75" customHeight="1">
      <c r="E56" s="459" t="s">
        <v>53</v>
      </c>
      <c r="F56" s="459" t="s">
        <v>1288</v>
      </c>
      <c r="G56" s="459" t="s">
        <v>535</v>
      </c>
      <c r="H56" s="459" t="s">
        <v>903</v>
      </c>
      <c r="I56" s="459"/>
      <c r="J56" s="139">
        <v>59</v>
      </c>
      <c r="K56" s="139" t="s">
        <v>680</v>
      </c>
      <c r="L56" s="139"/>
      <c r="M56" s="140"/>
      <c r="N56" s="139"/>
      <c r="O56" s="459"/>
      <c r="P56" s="130"/>
      <c r="Q56" s="459"/>
      <c r="R56" s="459"/>
      <c r="S56" s="459"/>
      <c r="T56" s="186" t="s">
        <v>1190</v>
      </c>
      <c r="U56" s="441"/>
      <c r="V56" s="441"/>
      <c r="W56" s="441"/>
      <c r="X56" s="187"/>
      <c r="Y56" s="187"/>
      <c r="Z56" s="187"/>
      <c r="AA56" s="367"/>
      <c r="AB56" s="187"/>
      <c r="AC56" s="441"/>
      <c r="AD56" s="441"/>
      <c r="AE56" s="441"/>
    </row>
    <row r="57" spans="5:31" ht="15.75" customHeight="1">
      <c r="E57" s="459" t="s">
        <v>53</v>
      </c>
      <c r="F57" s="459" t="s">
        <v>1289</v>
      </c>
      <c r="G57" s="459" t="s">
        <v>324</v>
      </c>
      <c r="H57" s="459" t="s">
        <v>243</v>
      </c>
      <c r="I57" s="459"/>
      <c r="J57" s="139">
        <v>51</v>
      </c>
      <c r="K57" s="139" t="s">
        <v>680</v>
      </c>
      <c r="L57" s="139"/>
      <c r="M57" s="140"/>
      <c r="N57" s="139"/>
      <c r="O57" s="459"/>
      <c r="P57" s="130"/>
      <c r="Q57" s="459"/>
      <c r="R57" s="459"/>
      <c r="S57" s="459"/>
      <c r="T57" s="186" t="s">
        <v>1190</v>
      </c>
      <c r="U57" s="441"/>
      <c r="V57" s="441"/>
      <c r="W57" s="441"/>
      <c r="X57" s="187"/>
      <c r="Y57" s="187"/>
      <c r="Z57" s="187"/>
      <c r="AA57" s="367"/>
      <c r="AB57" s="187"/>
      <c r="AC57" s="441"/>
      <c r="AD57" s="441"/>
      <c r="AE57" s="441"/>
    </row>
    <row r="58" spans="5:31" ht="15.75" customHeight="1">
      <c r="E58" s="459" t="s">
        <v>53</v>
      </c>
      <c r="F58" s="459" t="s">
        <v>1290</v>
      </c>
      <c r="G58" s="459" t="s">
        <v>432</v>
      </c>
      <c r="H58" s="459" t="s">
        <v>243</v>
      </c>
      <c r="I58" s="459"/>
      <c r="J58" s="139">
        <v>42</v>
      </c>
      <c r="K58" s="139" t="s">
        <v>680</v>
      </c>
      <c r="L58" s="139"/>
      <c r="M58" s="140"/>
      <c r="N58" s="139"/>
      <c r="O58" s="459"/>
      <c r="P58" s="130"/>
      <c r="Q58" s="459"/>
      <c r="R58" s="459"/>
      <c r="S58" s="459"/>
      <c r="T58" s="186" t="s">
        <v>1190</v>
      </c>
      <c r="U58" s="441"/>
      <c r="V58" s="441"/>
      <c r="W58" s="441"/>
      <c r="X58" s="187"/>
      <c r="Y58" s="187"/>
      <c r="Z58" s="187"/>
      <c r="AA58" s="367"/>
      <c r="AB58" s="187"/>
      <c r="AC58" s="441"/>
      <c r="AD58" s="441"/>
      <c r="AE58" s="441"/>
    </row>
    <row r="59" spans="5:31" ht="15.75" customHeight="1">
      <c r="E59" s="459" t="s">
        <v>53</v>
      </c>
      <c r="F59" s="459" t="s">
        <v>1291</v>
      </c>
      <c r="G59" s="459" t="s">
        <v>247</v>
      </c>
      <c r="H59" s="459" t="s">
        <v>243</v>
      </c>
      <c r="I59" s="459"/>
      <c r="J59" s="139">
        <v>43</v>
      </c>
      <c r="K59" s="139" t="s">
        <v>680</v>
      </c>
      <c r="L59" s="139"/>
      <c r="M59" s="140"/>
      <c r="N59" s="139"/>
      <c r="O59" s="459"/>
      <c r="P59" s="130"/>
      <c r="Q59" s="459"/>
      <c r="R59" s="459"/>
      <c r="S59" s="459"/>
      <c r="T59" s="186" t="s">
        <v>1190</v>
      </c>
      <c r="U59" s="441"/>
      <c r="V59" s="441"/>
      <c r="W59" s="441"/>
      <c r="X59" s="187"/>
      <c r="Y59" s="187"/>
      <c r="Z59" s="187"/>
      <c r="AA59" s="367"/>
      <c r="AB59" s="187"/>
      <c r="AC59" s="441"/>
      <c r="AD59" s="441"/>
      <c r="AE59" s="441"/>
    </row>
    <row r="60" spans="5:31" ht="15.75" customHeight="1">
      <c r="E60" s="459" t="s">
        <v>53</v>
      </c>
      <c r="F60" s="459" t="s">
        <v>1292</v>
      </c>
      <c r="G60" s="459" t="s">
        <v>535</v>
      </c>
      <c r="H60" s="459" t="s">
        <v>243</v>
      </c>
      <c r="I60" s="459"/>
      <c r="J60" s="139">
        <v>48</v>
      </c>
      <c r="K60" s="139" t="s">
        <v>680</v>
      </c>
      <c r="L60" s="139"/>
      <c r="M60" s="140"/>
      <c r="N60" s="139"/>
      <c r="O60" s="459"/>
      <c r="P60" s="130"/>
      <c r="Q60" s="459"/>
      <c r="R60" s="459"/>
      <c r="S60" s="459"/>
      <c r="T60" s="186" t="s">
        <v>1190</v>
      </c>
      <c r="U60" s="441"/>
      <c r="V60" s="441"/>
      <c r="W60" s="441"/>
      <c r="X60" s="187"/>
      <c r="Y60" s="187"/>
      <c r="Z60" s="187"/>
      <c r="AA60" s="367"/>
      <c r="AB60" s="187"/>
      <c r="AC60" s="441"/>
      <c r="AD60" s="441"/>
      <c r="AE60" s="441"/>
    </row>
    <row r="61" spans="5:31" ht="15.75" customHeight="1">
      <c r="E61" s="459" t="s">
        <v>53</v>
      </c>
      <c r="F61" s="459" t="s">
        <v>1293</v>
      </c>
      <c r="G61" s="459" t="s">
        <v>432</v>
      </c>
      <c r="H61" s="459" t="s">
        <v>243</v>
      </c>
      <c r="I61" s="459"/>
      <c r="J61" s="139">
        <v>52</v>
      </c>
      <c r="K61" s="139" t="s">
        <v>680</v>
      </c>
      <c r="L61" s="139"/>
      <c r="M61" s="140"/>
      <c r="N61" s="139"/>
      <c r="O61" s="459"/>
      <c r="P61" s="130"/>
      <c r="Q61" s="459"/>
      <c r="R61" s="459"/>
      <c r="S61" s="459"/>
      <c r="T61" s="186" t="s">
        <v>1190</v>
      </c>
      <c r="U61" s="441"/>
      <c r="V61" s="441"/>
      <c r="W61" s="441"/>
      <c r="X61" s="187"/>
      <c r="Y61" s="187"/>
      <c r="Z61" s="187"/>
      <c r="AA61" s="367"/>
      <c r="AB61" s="187"/>
      <c r="AC61" s="441"/>
      <c r="AD61" s="441"/>
      <c r="AE61" s="441"/>
    </row>
    <row r="62" spans="5:31" ht="15.75" customHeight="1">
      <c r="E62" s="459" t="s">
        <v>61</v>
      </c>
      <c r="F62" s="459" t="s">
        <v>123</v>
      </c>
      <c r="G62" s="459" t="s">
        <v>535</v>
      </c>
      <c r="H62" s="459" t="s">
        <v>243</v>
      </c>
      <c r="I62" s="459"/>
      <c r="J62" s="139">
        <v>60</v>
      </c>
      <c r="K62" s="139" t="s">
        <v>680</v>
      </c>
      <c r="L62" s="139"/>
      <c r="M62" s="140"/>
      <c r="N62" s="139"/>
      <c r="O62" s="459"/>
      <c r="P62" s="130"/>
      <c r="Q62" s="459"/>
      <c r="R62" s="459"/>
      <c r="S62" s="459"/>
      <c r="T62" s="130" t="s">
        <v>3638</v>
      </c>
      <c r="U62" s="441"/>
      <c r="V62" s="441"/>
      <c r="W62" s="441"/>
      <c r="X62" s="187"/>
      <c r="Y62" s="187"/>
      <c r="Z62" s="187"/>
      <c r="AA62" s="367"/>
      <c r="AB62" s="187"/>
      <c r="AC62" s="441"/>
      <c r="AD62" s="441"/>
      <c r="AE62" s="441"/>
    </row>
    <row r="63" spans="5:31" ht="15.75" customHeight="1">
      <c r="E63" s="459" t="s">
        <v>55</v>
      </c>
      <c r="F63" s="459" t="s">
        <v>948</v>
      </c>
      <c r="G63" s="459" t="s">
        <v>925</v>
      </c>
      <c r="H63" s="459" t="s">
        <v>243</v>
      </c>
      <c r="I63" s="459"/>
      <c r="J63" s="139">
        <v>53</v>
      </c>
      <c r="K63" s="139" t="s">
        <v>680</v>
      </c>
      <c r="L63" s="139"/>
      <c r="M63" s="140"/>
      <c r="N63" s="139"/>
      <c r="O63" s="459"/>
      <c r="P63" s="130"/>
      <c r="Q63" s="459"/>
      <c r="R63" s="459"/>
      <c r="S63" s="459"/>
      <c r="T63" s="130" t="s">
        <v>3640</v>
      </c>
      <c r="U63" s="441"/>
      <c r="V63" s="441"/>
      <c r="W63" s="441"/>
      <c r="X63" s="187"/>
      <c r="Y63" s="187"/>
      <c r="Z63" s="187"/>
      <c r="AA63" s="367"/>
      <c r="AB63" s="187"/>
      <c r="AC63" s="441"/>
      <c r="AD63" s="441"/>
      <c r="AE63" s="441"/>
    </row>
    <row r="64" spans="5:31" ht="15.75" customHeight="1">
      <c r="E64" s="459" t="s">
        <v>55</v>
      </c>
      <c r="F64" s="459" t="s">
        <v>3642</v>
      </c>
      <c r="G64" s="459" t="s">
        <v>255</v>
      </c>
      <c r="H64" s="459" t="s">
        <v>243</v>
      </c>
      <c r="I64" s="459"/>
      <c r="J64" s="139">
        <v>55</v>
      </c>
      <c r="K64" s="139" t="s">
        <v>680</v>
      </c>
      <c r="L64" s="139"/>
      <c r="M64" s="140"/>
      <c r="N64" s="139"/>
      <c r="O64" s="459"/>
      <c r="P64" s="130"/>
      <c r="Q64" s="459"/>
      <c r="R64" s="459"/>
      <c r="S64" s="459"/>
      <c r="T64" s="130" t="s">
        <v>3643</v>
      </c>
      <c r="U64" s="441"/>
      <c r="V64" s="441"/>
      <c r="W64" s="441"/>
      <c r="X64" s="187"/>
      <c r="Y64" s="187"/>
      <c r="Z64" s="187"/>
      <c r="AA64" s="367"/>
      <c r="AB64" s="187"/>
      <c r="AC64" s="441"/>
      <c r="AD64" s="441"/>
      <c r="AE64" s="441"/>
    </row>
    <row r="65" spans="5:31" ht="15.75" customHeight="1">
      <c r="E65" s="459" t="s">
        <v>55</v>
      </c>
      <c r="F65" s="459" t="s">
        <v>3644</v>
      </c>
      <c r="G65" s="459" t="s">
        <v>324</v>
      </c>
      <c r="H65" s="459" t="s">
        <v>243</v>
      </c>
      <c r="I65" s="459"/>
      <c r="J65" s="139">
        <v>56</v>
      </c>
      <c r="K65" s="139" t="s">
        <v>680</v>
      </c>
      <c r="L65" s="139"/>
      <c r="M65" s="140"/>
      <c r="N65" s="139"/>
      <c r="O65" s="459"/>
      <c r="P65" s="130"/>
      <c r="Q65" s="459"/>
      <c r="R65" s="459"/>
      <c r="S65" s="459"/>
      <c r="T65" s="130" t="s">
        <v>3645</v>
      </c>
      <c r="U65" s="441"/>
      <c r="V65" s="441"/>
      <c r="W65" s="441"/>
      <c r="X65" s="187"/>
      <c r="Y65" s="187"/>
      <c r="Z65" s="187"/>
      <c r="AA65" s="367"/>
      <c r="AB65" s="187"/>
      <c r="AC65" s="441"/>
      <c r="AD65" s="441"/>
      <c r="AE65" s="441"/>
    </row>
  </sheetData>
  <autoFilter ref="E2:AE65" xr:uid="{00000000-0009-0000-0000-000023000000}"/>
  <pageMargins left="0.7" right="0.7" top="0.75" bottom="0.75" header="0" footer="0"/>
  <pageSetup orientation="landscape"/>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tabColor rgb="FFFFFFFF"/>
    <outlinePr summaryBelow="0" summaryRight="0"/>
  </sheetPr>
  <dimension ref="A1:AB19"/>
  <sheetViews>
    <sheetView workbookViewId="0">
      <pane xSplit="7" ySplit="2" topLeftCell="H3" activePane="bottomRight" state="frozen"/>
      <selection pane="topRight" activeCell="H1" sqref="H1"/>
      <selection pane="bottomLeft" activeCell="A3" sqref="A3"/>
      <selection pane="bottomRight" activeCell="H3" sqref="H3"/>
    </sheetView>
  </sheetViews>
  <sheetFormatPr defaultColWidth="14.453125" defaultRowHeight="15" customHeight="1"/>
  <cols>
    <col min="1" max="4" width="17.26953125" hidden="1" customWidth="1"/>
    <col min="5" max="5" width="17.26953125" customWidth="1"/>
    <col min="6" max="6" width="38.7265625" customWidth="1"/>
    <col min="7" max="7" width="27.7265625" customWidth="1"/>
    <col min="8" max="8" width="8.7265625" customWidth="1"/>
    <col min="9" max="9" width="12" customWidth="1"/>
    <col min="10" max="10" width="5.453125" customWidth="1"/>
    <col min="11" max="11" width="8" customWidth="1"/>
    <col min="12" max="12" width="20" customWidth="1"/>
    <col min="13" max="13" width="16" customWidth="1"/>
    <col min="14" max="14" width="8" customWidth="1"/>
    <col min="15" max="15" width="17.26953125" customWidth="1"/>
    <col min="16" max="16" width="19.453125" customWidth="1"/>
    <col min="17" max="17" width="11.26953125" customWidth="1"/>
    <col min="18" max="18" width="11" customWidth="1"/>
    <col min="19" max="31" width="17.26953125" customWidth="1"/>
  </cols>
  <sheetData>
    <row r="1" spans="5:28" ht="15" customHeight="1">
      <c r="E1" s="377" t="s">
        <v>3009</v>
      </c>
      <c r="F1" s="378"/>
      <c r="G1" s="378"/>
      <c r="H1" s="378"/>
      <c r="I1" s="378"/>
      <c r="J1" s="378"/>
      <c r="K1" s="218" t="s">
        <v>1038</v>
      </c>
      <c r="L1" s="218"/>
      <c r="M1" s="218"/>
      <c r="N1" s="218"/>
      <c r="O1" s="218"/>
      <c r="P1" s="218"/>
      <c r="Q1" s="218"/>
      <c r="R1" s="378"/>
      <c r="S1" s="378"/>
      <c r="T1" s="378"/>
      <c r="U1" s="188"/>
      <c r="V1" s="188"/>
      <c r="W1" s="188"/>
      <c r="X1" s="56"/>
      <c r="Y1" s="56"/>
      <c r="Z1" s="252" t="s">
        <v>1039</v>
      </c>
      <c r="AA1" s="364"/>
      <c r="AB1" s="252"/>
    </row>
    <row r="2" spans="5:28" ht="15" customHeight="1">
      <c r="E2" s="141" t="s">
        <v>224</v>
      </c>
      <c r="F2" s="141" t="s">
        <v>225</v>
      </c>
      <c r="G2" s="141" t="s">
        <v>226</v>
      </c>
      <c r="H2" s="141" t="s">
        <v>227</v>
      </c>
      <c r="I2" s="141" t="s">
        <v>1044</v>
      </c>
      <c r="J2" s="141" t="s">
        <v>1045</v>
      </c>
      <c r="K2" s="218" t="s">
        <v>1046</v>
      </c>
      <c r="L2" s="218" t="s">
        <v>100</v>
      </c>
      <c r="M2" s="218" t="s">
        <v>101</v>
      </c>
      <c r="N2" s="218" t="s">
        <v>102</v>
      </c>
      <c r="O2" s="218" t="s">
        <v>103</v>
      </c>
      <c r="P2" s="218" t="s">
        <v>104</v>
      </c>
      <c r="Q2" s="218" t="s">
        <v>105</v>
      </c>
      <c r="R2" s="141" t="s">
        <v>111</v>
      </c>
      <c r="S2" s="141" t="s">
        <v>112</v>
      </c>
      <c r="T2" s="142" t="s">
        <v>113</v>
      </c>
      <c r="U2" s="142"/>
      <c r="V2" s="379"/>
      <c r="W2" s="379"/>
      <c r="X2" s="226" t="s">
        <v>1049</v>
      </c>
      <c r="Y2" s="226" t="s">
        <v>1050</v>
      </c>
      <c r="Z2" s="226" t="s">
        <v>237</v>
      </c>
      <c r="AA2" s="366" t="s">
        <v>1</v>
      </c>
      <c r="AB2" s="226" t="s">
        <v>238</v>
      </c>
    </row>
    <row r="3" spans="5:28" ht="15" customHeight="1">
      <c r="E3" s="45" t="s">
        <v>61</v>
      </c>
      <c r="F3" s="45" t="s">
        <v>1010</v>
      </c>
      <c r="G3" s="45" t="s">
        <v>535</v>
      </c>
      <c r="H3" s="45" t="s">
        <v>903</v>
      </c>
      <c r="I3" s="45"/>
      <c r="J3" s="143">
        <v>2</v>
      </c>
      <c r="K3" s="45"/>
      <c r="L3" s="45"/>
      <c r="M3" s="144" t="s">
        <v>1011</v>
      </c>
      <c r="N3" s="45"/>
      <c r="O3" s="45"/>
      <c r="P3" s="145" t="s">
        <v>3575</v>
      </c>
      <c r="Q3" s="45"/>
      <c r="R3" s="45"/>
      <c r="S3" s="45"/>
      <c r="T3" s="46" t="s">
        <v>3687</v>
      </c>
      <c r="U3" s="188"/>
      <c r="V3" s="188"/>
      <c r="W3" s="188"/>
      <c r="X3" s="188">
        <v>1</v>
      </c>
      <c r="Y3" s="188"/>
      <c r="Z3" s="120" t="s">
        <v>3579</v>
      </c>
      <c r="AA3" s="131">
        <v>43472</v>
      </c>
      <c r="AB3" s="188"/>
    </row>
    <row r="4" spans="5:28" ht="15" customHeight="1">
      <c r="E4" s="45" t="s">
        <v>61</v>
      </c>
      <c r="F4" s="45" t="s">
        <v>968</v>
      </c>
      <c r="G4" s="45" t="s">
        <v>242</v>
      </c>
      <c r="H4" s="45" t="s">
        <v>1012</v>
      </c>
      <c r="I4" s="45"/>
      <c r="J4" s="143">
        <v>16</v>
      </c>
      <c r="K4" s="45"/>
      <c r="L4" s="45"/>
      <c r="M4" s="46" t="s">
        <v>969</v>
      </c>
      <c r="N4" s="45"/>
      <c r="O4" s="45"/>
      <c r="P4" s="45" t="s">
        <v>3967</v>
      </c>
      <c r="Q4" s="45"/>
      <c r="R4" s="45"/>
      <c r="S4" s="45"/>
      <c r="T4" s="46" t="s">
        <v>3689</v>
      </c>
      <c r="U4" s="188"/>
      <c r="V4" s="188"/>
      <c r="W4" s="188"/>
      <c r="X4" s="188">
        <v>2</v>
      </c>
      <c r="Y4" s="188"/>
      <c r="Z4" s="120" t="s">
        <v>3579</v>
      </c>
      <c r="AA4" s="131">
        <v>43472</v>
      </c>
      <c r="AB4" s="188"/>
    </row>
    <row r="5" spans="5:28" ht="15" customHeight="1">
      <c r="E5" s="45" t="s">
        <v>61</v>
      </c>
      <c r="F5" s="45" t="s">
        <v>123</v>
      </c>
      <c r="G5" s="45" t="s">
        <v>535</v>
      </c>
      <c r="H5" s="45" t="s">
        <v>903</v>
      </c>
      <c r="I5" s="45"/>
      <c r="J5" s="143">
        <v>15</v>
      </c>
      <c r="K5" s="45"/>
      <c r="L5" s="45"/>
      <c r="M5" s="46" t="s">
        <v>1013</v>
      </c>
      <c r="N5" s="45"/>
      <c r="O5" s="45"/>
      <c r="P5" s="45" t="s">
        <v>3968</v>
      </c>
      <c r="Q5" s="45"/>
      <c r="R5" s="45" t="s">
        <v>3691</v>
      </c>
      <c r="S5" s="45"/>
      <c r="T5" s="46" t="s">
        <v>3692</v>
      </c>
      <c r="U5" s="188"/>
      <c r="V5" s="188"/>
      <c r="W5" s="188"/>
      <c r="X5" s="188">
        <v>3</v>
      </c>
      <c r="Y5" s="188"/>
      <c r="Z5" s="120" t="s">
        <v>3579</v>
      </c>
      <c r="AA5" s="131">
        <v>43472</v>
      </c>
      <c r="AB5" s="188"/>
    </row>
    <row r="6" spans="5:28" ht="15" customHeight="1">
      <c r="E6" s="45" t="s">
        <v>53</v>
      </c>
      <c r="F6" s="45" t="s">
        <v>1189</v>
      </c>
      <c r="G6" s="45" t="s">
        <v>249</v>
      </c>
      <c r="H6" s="45" t="s">
        <v>243</v>
      </c>
      <c r="I6" s="45"/>
      <c r="J6" s="143">
        <v>3</v>
      </c>
      <c r="K6" s="45"/>
      <c r="L6" s="45"/>
      <c r="M6" s="46"/>
      <c r="N6" s="45"/>
      <c r="O6" s="45"/>
      <c r="P6" s="45"/>
      <c r="Q6" s="45"/>
      <c r="R6" s="45"/>
      <c r="S6" s="45"/>
      <c r="T6" s="56" t="s">
        <v>1190</v>
      </c>
      <c r="U6" s="188"/>
      <c r="V6" s="188"/>
      <c r="W6" s="188"/>
      <c r="X6" s="188"/>
      <c r="Y6" s="188"/>
      <c r="Z6" s="188"/>
      <c r="AA6" s="188"/>
      <c r="AB6" s="188"/>
    </row>
    <row r="7" spans="5:28" ht="15" customHeight="1">
      <c r="E7" s="45" t="s">
        <v>53</v>
      </c>
      <c r="F7" s="45" t="s">
        <v>1191</v>
      </c>
      <c r="G7" s="45" t="s">
        <v>252</v>
      </c>
      <c r="H7" s="45" t="s">
        <v>243</v>
      </c>
      <c r="I7" s="45"/>
      <c r="J7" s="143">
        <v>4</v>
      </c>
      <c r="K7" s="45"/>
      <c r="L7" s="45"/>
      <c r="M7" s="46"/>
      <c r="N7" s="45"/>
      <c r="O7" s="45"/>
      <c r="P7" s="45"/>
      <c r="Q7" s="45"/>
      <c r="R7" s="45"/>
      <c r="S7" s="45"/>
      <c r="T7" s="56" t="s">
        <v>1190</v>
      </c>
      <c r="U7" s="188"/>
      <c r="V7" s="188"/>
      <c r="W7" s="188"/>
      <c r="X7" s="188"/>
      <c r="Y7" s="188"/>
      <c r="Z7" s="188"/>
      <c r="AA7" s="188"/>
      <c r="AB7" s="188"/>
    </row>
    <row r="8" spans="5:28" ht="15" customHeight="1">
      <c r="E8" s="45" t="s">
        <v>53</v>
      </c>
      <c r="F8" s="45" t="s">
        <v>1192</v>
      </c>
      <c r="G8" s="45" t="s">
        <v>242</v>
      </c>
      <c r="H8" s="45" t="s">
        <v>243</v>
      </c>
      <c r="I8" s="45"/>
      <c r="J8" s="143">
        <v>5</v>
      </c>
      <c r="K8" s="45"/>
      <c r="L8" s="45"/>
      <c r="M8" s="46"/>
      <c r="N8" s="45"/>
      <c r="O8" s="45"/>
      <c r="P8" s="45"/>
      <c r="Q8" s="45"/>
      <c r="R8" s="45"/>
      <c r="S8" s="45"/>
      <c r="T8" s="56" t="s">
        <v>1190</v>
      </c>
      <c r="U8" s="188"/>
      <c r="V8" s="188"/>
      <c r="W8" s="188"/>
      <c r="X8" s="188"/>
      <c r="Y8" s="188"/>
      <c r="Z8" s="188"/>
      <c r="AA8" s="188"/>
      <c r="AB8" s="188"/>
    </row>
    <row r="9" spans="5:28" ht="15" customHeight="1">
      <c r="E9" s="45" t="s">
        <v>53</v>
      </c>
      <c r="F9" s="45" t="s">
        <v>1193</v>
      </c>
      <c r="G9" s="45" t="s">
        <v>247</v>
      </c>
      <c r="H9" s="45" t="s">
        <v>243</v>
      </c>
      <c r="I9" s="45"/>
      <c r="J9" s="143">
        <v>6</v>
      </c>
      <c r="K9" s="45"/>
      <c r="L9" s="45"/>
      <c r="M9" s="46"/>
      <c r="N9" s="45"/>
      <c r="O9" s="45"/>
      <c r="P9" s="45"/>
      <c r="Q9" s="45"/>
      <c r="R9" s="45"/>
      <c r="S9" s="45"/>
      <c r="T9" s="56" t="s">
        <v>1190</v>
      </c>
      <c r="U9" s="188"/>
      <c r="V9" s="188"/>
      <c r="W9" s="188"/>
      <c r="X9" s="188"/>
      <c r="Y9" s="188"/>
      <c r="Z9" s="188"/>
      <c r="AA9" s="188"/>
      <c r="AB9" s="188"/>
    </row>
    <row r="10" spans="5:28" ht="15" customHeight="1">
      <c r="E10" s="45" t="s">
        <v>53</v>
      </c>
      <c r="F10" s="45" t="s">
        <v>1194</v>
      </c>
      <c r="G10" s="45" t="s">
        <v>252</v>
      </c>
      <c r="H10" s="45" t="s">
        <v>243</v>
      </c>
      <c r="I10" s="45"/>
      <c r="J10" s="143">
        <v>7</v>
      </c>
      <c r="K10" s="45"/>
      <c r="L10" s="45"/>
      <c r="M10" s="46"/>
      <c r="N10" s="45"/>
      <c r="O10" s="45"/>
      <c r="P10" s="45"/>
      <c r="Q10" s="45"/>
      <c r="R10" s="45"/>
      <c r="S10" s="45"/>
      <c r="T10" s="56" t="s">
        <v>1190</v>
      </c>
      <c r="U10" s="188"/>
      <c r="V10" s="188"/>
      <c r="W10" s="188"/>
      <c r="X10" s="188"/>
      <c r="Y10" s="188"/>
      <c r="Z10" s="188"/>
      <c r="AA10" s="188"/>
      <c r="AB10" s="188"/>
    </row>
    <row r="11" spans="5:28" ht="15" customHeight="1">
      <c r="E11" s="45" t="s">
        <v>53</v>
      </c>
      <c r="F11" s="45" t="s">
        <v>1195</v>
      </c>
      <c r="G11" s="45" t="s">
        <v>247</v>
      </c>
      <c r="H11" s="45" t="s">
        <v>243</v>
      </c>
      <c r="I11" s="45"/>
      <c r="J11" s="143">
        <v>8</v>
      </c>
      <c r="K11" s="45"/>
      <c r="L11" s="45"/>
      <c r="M11" s="46"/>
      <c r="N11" s="45"/>
      <c r="O11" s="45"/>
      <c r="P11" s="45"/>
      <c r="Q11" s="45"/>
      <c r="R11" s="45"/>
      <c r="S11" s="45"/>
      <c r="T11" s="56" t="s">
        <v>1190</v>
      </c>
      <c r="U11" s="188"/>
      <c r="V11" s="188"/>
      <c r="W11" s="188"/>
      <c r="X11" s="188"/>
      <c r="Y11" s="188"/>
      <c r="Z11" s="188"/>
      <c r="AA11" s="188"/>
      <c r="AB11" s="188"/>
    </row>
    <row r="12" spans="5:28" ht="15" customHeight="1">
      <c r="E12" s="45" t="s">
        <v>53</v>
      </c>
      <c r="F12" s="45" t="s">
        <v>1196</v>
      </c>
      <c r="G12" s="45" t="s">
        <v>535</v>
      </c>
      <c r="H12" s="45" t="s">
        <v>903</v>
      </c>
      <c r="I12" s="45"/>
      <c r="J12" s="143">
        <v>9</v>
      </c>
      <c r="K12" s="45"/>
      <c r="L12" s="45"/>
      <c r="M12" s="46"/>
      <c r="N12" s="45"/>
      <c r="O12" s="45"/>
      <c r="P12" s="45"/>
      <c r="Q12" s="45"/>
      <c r="R12" s="45"/>
      <c r="S12" s="45"/>
      <c r="T12" s="56" t="s">
        <v>1190</v>
      </c>
      <c r="U12" s="188"/>
      <c r="V12" s="188"/>
      <c r="W12" s="188"/>
      <c r="X12" s="188"/>
      <c r="Y12" s="188"/>
      <c r="Z12" s="188"/>
      <c r="AA12" s="188"/>
      <c r="AB12" s="188"/>
    </row>
    <row r="13" spans="5:28" ht="15" customHeight="1">
      <c r="E13" s="45" t="s">
        <v>53</v>
      </c>
      <c r="F13" s="45" t="s">
        <v>124</v>
      </c>
      <c r="G13" s="45" t="s">
        <v>535</v>
      </c>
      <c r="H13" s="45" t="s">
        <v>903</v>
      </c>
      <c r="I13" s="45"/>
      <c r="J13" s="143">
        <v>1</v>
      </c>
      <c r="K13" s="45"/>
      <c r="L13" s="45"/>
      <c r="M13" s="46"/>
      <c r="N13" s="45"/>
      <c r="O13" s="45"/>
      <c r="P13" s="45"/>
      <c r="Q13" s="45"/>
      <c r="R13" s="45"/>
      <c r="S13" s="45"/>
      <c r="T13" s="56" t="s">
        <v>1190</v>
      </c>
      <c r="U13" s="188"/>
      <c r="V13" s="188"/>
      <c r="W13" s="188"/>
      <c r="X13" s="188"/>
      <c r="Y13" s="188"/>
      <c r="Z13" s="188"/>
      <c r="AA13" s="188"/>
      <c r="AB13" s="188"/>
    </row>
    <row r="14" spans="5:28" ht="15" customHeight="1">
      <c r="E14" s="45" t="s">
        <v>53</v>
      </c>
      <c r="F14" s="45" t="s">
        <v>1288</v>
      </c>
      <c r="G14" s="45" t="s">
        <v>535</v>
      </c>
      <c r="H14" s="45" t="s">
        <v>903</v>
      </c>
      <c r="I14" s="45"/>
      <c r="J14" s="143">
        <v>17</v>
      </c>
      <c r="K14" s="45"/>
      <c r="L14" s="45"/>
      <c r="M14" s="46"/>
      <c r="N14" s="45"/>
      <c r="O14" s="45"/>
      <c r="P14" s="45"/>
      <c r="Q14" s="45"/>
      <c r="R14" s="45"/>
      <c r="S14" s="45"/>
      <c r="T14" s="56" t="s">
        <v>1190</v>
      </c>
      <c r="U14" s="188"/>
      <c r="V14" s="188"/>
      <c r="W14" s="188"/>
      <c r="X14" s="188"/>
      <c r="Y14" s="188"/>
      <c r="Z14" s="188"/>
      <c r="AA14" s="188"/>
      <c r="AB14" s="188"/>
    </row>
    <row r="15" spans="5:28" ht="15" customHeight="1">
      <c r="E15" s="45" t="s">
        <v>53</v>
      </c>
      <c r="F15" s="45" t="s">
        <v>1289</v>
      </c>
      <c r="G15" s="45" t="s">
        <v>324</v>
      </c>
      <c r="H15" s="45" t="s">
        <v>243</v>
      </c>
      <c r="I15" s="45"/>
      <c r="J15" s="143">
        <v>13</v>
      </c>
      <c r="K15" s="45"/>
      <c r="L15" s="45"/>
      <c r="M15" s="46"/>
      <c r="N15" s="45"/>
      <c r="O15" s="45"/>
      <c r="P15" s="45"/>
      <c r="Q15" s="45"/>
      <c r="R15" s="45"/>
      <c r="S15" s="45"/>
      <c r="T15" s="56" t="s">
        <v>1190</v>
      </c>
      <c r="U15" s="188"/>
      <c r="V15" s="188"/>
      <c r="W15" s="188"/>
      <c r="X15" s="188"/>
      <c r="Y15" s="188"/>
      <c r="Z15" s="188"/>
      <c r="AA15" s="188"/>
      <c r="AB15" s="188"/>
    </row>
    <row r="16" spans="5:28" ht="15" customHeight="1">
      <c r="E16" s="45" t="s">
        <v>53</v>
      </c>
      <c r="F16" s="45" t="s">
        <v>1290</v>
      </c>
      <c r="G16" s="45" t="s">
        <v>432</v>
      </c>
      <c r="H16" s="45" t="s">
        <v>243</v>
      </c>
      <c r="I16" s="45"/>
      <c r="J16" s="143">
        <v>10</v>
      </c>
      <c r="K16" s="45"/>
      <c r="L16" s="45"/>
      <c r="M16" s="46"/>
      <c r="N16" s="45"/>
      <c r="O16" s="45"/>
      <c r="P16" s="45"/>
      <c r="Q16" s="45"/>
      <c r="R16" s="45"/>
      <c r="S16" s="45"/>
      <c r="T16" s="56" t="s">
        <v>1190</v>
      </c>
      <c r="U16" s="188"/>
      <c r="V16" s="188"/>
      <c r="W16" s="188"/>
      <c r="X16" s="188"/>
      <c r="Y16" s="188"/>
      <c r="Z16" s="188"/>
      <c r="AA16" s="188"/>
      <c r="AB16" s="188"/>
    </row>
    <row r="17" spans="5:20" ht="15" customHeight="1">
      <c r="E17" s="45" t="s">
        <v>53</v>
      </c>
      <c r="F17" s="45" t="s">
        <v>1291</v>
      </c>
      <c r="G17" s="45" t="s">
        <v>247</v>
      </c>
      <c r="H17" s="45" t="s">
        <v>243</v>
      </c>
      <c r="I17" s="45"/>
      <c r="J17" s="143">
        <v>11</v>
      </c>
      <c r="K17" s="45"/>
      <c r="L17" s="45"/>
      <c r="M17" s="46"/>
      <c r="N17" s="45"/>
      <c r="O17" s="45"/>
      <c r="P17" s="45"/>
      <c r="Q17" s="45"/>
      <c r="R17" s="45"/>
      <c r="S17" s="45"/>
      <c r="T17" s="56" t="s">
        <v>1190</v>
      </c>
    </row>
    <row r="18" spans="5:20" ht="15" customHeight="1">
      <c r="E18" s="45" t="s">
        <v>53</v>
      </c>
      <c r="F18" s="45" t="s">
        <v>1292</v>
      </c>
      <c r="G18" s="45" t="s">
        <v>535</v>
      </c>
      <c r="H18" s="45" t="s">
        <v>243</v>
      </c>
      <c r="I18" s="45"/>
      <c r="J18" s="143">
        <v>12</v>
      </c>
      <c r="K18" s="45"/>
      <c r="L18" s="45"/>
      <c r="M18" s="46"/>
      <c r="N18" s="45"/>
      <c r="O18" s="45"/>
      <c r="P18" s="45"/>
      <c r="Q18" s="45"/>
      <c r="R18" s="45"/>
      <c r="S18" s="45"/>
      <c r="T18" s="56" t="s">
        <v>1190</v>
      </c>
    </row>
    <row r="19" spans="5:20" ht="15" customHeight="1">
      <c r="E19" s="45" t="s">
        <v>53</v>
      </c>
      <c r="F19" s="45" t="s">
        <v>1293</v>
      </c>
      <c r="G19" s="45" t="s">
        <v>432</v>
      </c>
      <c r="H19" s="45" t="s">
        <v>243</v>
      </c>
      <c r="I19" s="45"/>
      <c r="J19" s="143">
        <v>14</v>
      </c>
      <c r="K19" s="45"/>
      <c r="L19" s="45"/>
      <c r="M19" s="46"/>
      <c r="N19" s="45"/>
      <c r="O19" s="45"/>
      <c r="P19" s="45"/>
      <c r="Q19" s="45"/>
      <c r="R19" s="45"/>
      <c r="S19" s="45"/>
      <c r="T19" s="56" t="s">
        <v>1190</v>
      </c>
    </row>
  </sheetData>
  <autoFilter ref="E2:AB2" xr:uid="{00000000-0009-0000-0000-000024000000}"/>
  <pageMargins left="0.7" right="0.7" top="0.75" bottom="0.75" header="0" footer="0"/>
  <pageSetup orientation="landscape"/>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outlinePr summaryBelow="0" summaryRight="0"/>
  </sheetPr>
  <dimension ref="A1:AB36"/>
  <sheetViews>
    <sheetView workbookViewId="0">
      <pane xSplit="7" ySplit="2" topLeftCell="L3" activePane="bottomRight" state="frozen"/>
      <selection pane="topRight" activeCell="H1" sqref="H1"/>
      <selection pane="bottomLeft" activeCell="A3" sqref="A3"/>
      <selection pane="bottomRight" activeCell="O7" sqref="O7"/>
    </sheetView>
  </sheetViews>
  <sheetFormatPr defaultColWidth="14.453125" defaultRowHeight="15" customHeight="1"/>
  <cols>
    <col min="1" max="4" width="17.26953125" hidden="1" customWidth="1"/>
    <col min="5" max="5" width="23.7265625" customWidth="1"/>
    <col min="6" max="6" width="24.7265625" customWidth="1"/>
    <col min="7" max="9" width="23.26953125" customWidth="1"/>
    <col min="10" max="10" width="5.453125" customWidth="1"/>
    <col min="11" max="11" width="8" customWidth="1"/>
    <col min="12" max="12" width="34.26953125" customWidth="1"/>
    <col min="13" max="13" width="27.7265625" customWidth="1"/>
    <col min="14" max="14" width="8" customWidth="1"/>
    <col min="15" max="15" width="17.26953125" customWidth="1"/>
    <col min="16" max="16" width="19.453125" customWidth="1"/>
    <col min="17" max="17" width="11.26953125" customWidth="1"/>
    <col min="18" max="18" width="11" customWidth="1"/>
    <col min="19" max="19" width="17.26953125" customWidth="1"/>
    <col min="20" max="20" width="30.453125" customWidth="1"/>
    <col min="21" max="23" width="5.7265625" customWidth="1"/>
    <col min="24" max="31" width="17.26953125" customWidth="1"/>
  </cols>
  <sheetData>
    <row r="1" spans="5:28" ht="15" customHeight="1">
      <c r="E1" s="377" t="s">
        <v>3009</v>
      </c>
      <c r="F1" s="378"/>
      <c r="G1" s="378"/>
      <c r="H1" s="378"/>
      <c r="I1" s="378"/>
      <c r="J1" s="378"/>
      <c r="K1" s="218" t="s">
        <v>1038</v>
      </c>
      <c r="L1" s="218"/>
      <c r="M1" s="218"/>
      <c r="N1" s="218"/>
      <c r="O1" s="218"/>
      <c r="P1" s="218"/>
      <c r="Q1" s="218"/>
      <c r="R1" s="378"/>
      <c r="S1" s="378"/>
      <c r="T1" s="378"/>
      <c r="U1" s="188"/>
      <c r="V1" s="188"/>
      <c r="W1" s="188"/>
      <c r="X1" s="56"/>
      <c r="Y1" s="56"/>
      <c r="Z1" s="252" t="s">
        <v>1039</v>
      </c>
      <c r="AA1" s="364"/>
      <c r="AB1" s="252"/>
    </row>
    <row r="2" spans="5:28" ht="15" customHeight="1">
      <c r="E2" s="141" t="s">
        <v>224</v>
      </c>
      <c r="F2" s="141" t="s">
        <v>225</v>
      </c>
      <c r="G2" s="141" t="s">
        <v>226</v>
      </c>
      <c r="H2" s="141" t="s">
        <v>227</v>
      </c>
      <c r="I2" s="141" t="s">
        <v>1044</v>
      </c>
      <c r="J2" s="141" t="s">
        <v>1045</v>
      </c>
      <c r="K2" s="218" t="s">
        <v>1046</v>
      </c>
      <c r="L2" s="218" t="s">
        <v>100</v>
      </c>
      <c r="M2" s="218" t="s">
        <v>101</v>
      </c>
      <c r="N2" s="218" t="s">
        <v>102</v>
      </c>
      <c r="O2" s="218" t="s">
        <v>103</v>
      </c>
      <c r="P2" s="218" t="s">
        <v>104</v>
      </c>
      <c r="Q2" s="218" t="s">
        <v>105</v>
      </c>
      <c r="R2" s="141" t="s">
        <v>111</v>
      </c>
      <c r="S2" s="141" t="s">
        <v>112</v>
      </c>
      <c r="T2" s="142" t="s">
        <v>113</v>
      </c>
      <c r="U2" s="142"/>
      <c r="V2" s="379"/>
      <c r="W2" s="379"/>
      <c r="X2" s="226" t="s">
        <v>1049</v>
      </c>
      <c r="Y2" s="226" t="s">
        <v>1050</v>
      </c>
      <c r="Z2" s="226" t="s">
        <v>237</v>
      </c>
      <c r="AA2" s="366" t="s">
        <v>1</v>
      </c>
      <c r="AB2" s="226" t="s">
        <v>238</v>
      </c>
    </row>
    <row r="3" spans="5:28" ht="50.25" customHeight="1">
      <c r="E3" s="459" t="s">
        <v>224</v>
      </c>
      <c r="F3" s="459" t="s">
        <v>1015</v>
      </c>
      <c r="G3" s="459" t="s">
        <v>247</v>
      </c>
      <c r="H3" s="459" t="s">
        <v>1012</v>
      </c>
      <c r="I3" s="459"/>
      <c r="J3" s="459">
        <v>9</v>
      </c>
      <c r="K3" s="5" t="s">
        <v>682</v>
      </c>
      <c r="L3" t="s">
        <v>3695</v>
      </c>
      <c r="M3" s="459" t="s">
        <v>3969</v>
      </c>
      <c r="N3" s="5"/>
      <c r="O3" s="5"/>
      <c r="P3" s="5"/>
      <c r="Q3" s="5"/>
      <c r="R3" s="5"/>
      <c r="S3" s="5"/>
      <c r="T3" s="130" t="s">
        <v>3697</v>
      </c>
      <c r="U3" s="5"/>
      <c r="V3" s="5"/>
      <c r="W3" s="5"/>
      <c r="X3" s="5">
        <v>1</v>
      </c>
      <c r="Y3" s="5"/>
      <c r="Z3" s="120" t="s">
        <v>3579</v>
      </c>
      <c r="AA3" s="131">
        <v>43472</v>
      </c>
      <c r="AB3" s="5"/>
    </row>
    <row r="4" spans="5:28" ht="54" customHeight="1">
      <c r="E4" s="459" t="s">
        <v>224</v>
      </c>
      <c r="F4" s="459" t="s">
        <v>968</v>
      </c>
      <c r="G4" s="459" t="s">
        <v>242</v>
      </c>
      <c r="H4" s="459" t="s">
        <v>1012</v>
      </c>
      <c r="I4" s="459"/>
      <c r="J4" s="459">
        <v>15</v>
      </c>
      <c r="K4" s="5" t="s">
        <v>682</v>
      </c>
      <c r="L4" t="s">
        <v>3695</v>
      </c>
      <c r="M4" s="459" t="s">
        <v>969</v>
      </c>
      <c r="N4" s="5"/>
      <c r="O4" s="5"/>
      <c r="P4" s="5"/>
      <c r="Q4" s="5"/>
      <c r="R4" s="5"/>
      <c r="S4" s="5"/>
      <c r="T4" s="186" t="s">
        <v>3689</v>
      </c>
      <c r="U4" s="5"/>
      <c r="V4" s="5"/>
      <c r="W4" s="5"/>
      <c r="X4" s="5">
        <v>2</v>
      </c>
      <c r="Y4" s="5"/>
      <c r="Z4" s="120" t="s">
        <v>3579</v>
      </c>
      <c r="AA4" s="131">
        <v>43472</v>
      </c>
      <c r="AB4" s="5"/>
    </row>
    <row r="5" spans="5:28" ht="15" customHeight="1">
      <c r="E5" s="459" t="s">
        <v>53</v>
      </c>
      <c r="F5" s="459" t="s">
        <v>124</v>
      </c>
      <c r="G5" s="459" t="s">
        <v>535</v>
      </c>
      <c r="H5" s="459" t="s">
        <v>903</v>
      </c>
      <c r="I5" s="459"/>
      <c r="J5" s="459">
        <v>1</v>
      </c>
      <c r="K5" s="188" t="s">
        <v>680</v>
      </c>
      <c r="L5" s="188"/>
      <c r="M5" s="187"/>
      <c r="N5" s="188"/>
      <c r="O5" s="188"/>
      <c r="P5" s="188"/>
      <c r="Q5" s="188"/>
      <c r="R5" s="188"/>
      <c r="S5" s="188"/>
      <c r="T5" s="186" t="s">
        <v>1190</v>
      </c>
      <c r="U5" s="188"/>
      <c r="V5" s="188"/>
      <c r="W5" s="188"/>
      <c r="X5" s="188"/>
      <c r="Y5" s="188"/>
      <c r="Z5" s="188"/>
      <c r="AA5" s="188"/>
      <c r="AB5" s="188"/>
    </row>
    <row r="6" spans="5:28" ht="15" customHeight="1">
      <c r="E6" s="459" t="s">
        <v>53</v>
      </c>
      <c r="F6" s="459" t="s">
        <v>1189</v>
      </c>
      <c r="G6" s="459" t="s">
        <v>249</v>
      </c>
      <c r="H6" s="459" t="s">
        <v>243</v>
      </c>
      <c r="I6" s="459"/>
      <c r="J6" s="459">
        <v>2</v>
      </c>
      <c r="K6" s="188" t="s">
        <v>680</v>
      </c>
      <c r="L6" s="188"/>
      <c r="M6" s="187"/>
      <c r="N6" s="188"/>
      <c r="O6" s="188"/>
      <c r="P6" s="188"/>
      <c r="Q6" s="188"/>
      <c r="R6" s="188"/>
      <c r="S6" s="188"/>
      <c r="T6" s="186" t="s">
        <v>1190</v>
      </c>
      <c r="U6" s="188"/>
      <c r="V6" s="188"/>
      <c r="W6" s="188"/>
      <c r="X6" s="188"/>
      <c r="Y6" s="188"/>
      <c r="Z6" s="188"/>
      <c r="AA6" s="188"/>
      <c r="AB6" s="188"/>
    </row>
    <row r="7" spans="5:28" ht="15" customHeight="1">
      <c r="E7" s="459" t="s">
        <v>53</v>
      </c>
      <c r="F7" s="459" t="s">
        <v>1191</v>
      </c>
      <c r="G7" s="459" t="s">
        <v>252</v>
      </c>
      <c r="H7" s="459" t="s">
        <v>243</v>
      </c>
      <c r="I7" s="459"/>
      <c r="J7" s="459">
        <v>3</v>
      </c>
      <c r="K7" s="188" t="s">
        <v>680</v>
      </c>
      <c r="L7" s="188"/>
      <c r="M7" s="187"/>
      <c r="N7" s="188"/>
      <c r="O7" s="188"/>
      <c r="P7" s="188"/>
      <c r="Q7" s="188"/>
      <c r="R7" s="188"/>
      <c r="S7" s="188"/>
      <c r="T7" s="186" t="s">
        <v>1190</v>
      </c>
      <c r="U7" s="188"/>
      <c r="V7" s="188"/>
      <c r="W7" s="188"/>
      <c r="X7" s="188"/>
      <c r="Y7" s="188"/>
      <c r="Z7" s="188"/>
      <c r="AA7" s="188"/>
      <c r="AB7" s="188"/>
    </row>
    <row r="8" spans="5:28" ht="15" customHeight="1">
      <c r="E8" s="459" t="s">
        <v>53</v>
      </c>
      <c r="F8" s="459" t="s">
        <v>1192</v>
      </c>
      <c r="G8" s="459" t="s">
        <v>242</v>
      </c>
      <c r="H8" s="459" t="s">
        <v>243</v>
      </c>
      <c r="I8" s="459"/>
      <c r="J8" s="459">
        <v>4</v>
      </c>
      <c r="K8" s="188" t="s">
        <v>680</v>
      </c>
      <c r="L8" s="188"/>
      <c r="M8" s="187"/>
      <c r="N8" s="188"/>
      <c r="O8" s="188"/>
      <c r="P8" s="188"/>
      <c r="Q8" s="188"/>
      <c r="R8" s="188"/>
      <c r="S8" s="188"/>
      <c r="T8" s="186" t="s">
        <v>1190</v>
      </c>
      <c r="U8" s="188"/>
      <c r="V8" s="188"/>
      <c r="W8" s="188"/>
      <c r="X8" s="188"/>
      <c r="Y8" s="188"/>
      <c r="Z8" s="188"/>
      <c r="AA8" s="188"/>
      <c r="AB8" s="188"/>
    </row>
    <row r="9" spans="5:28" ht="15" customHeight="1">
      <c r="E9" s="459" t="s">
        <v>53</v>
      </c>
      <c r="F9" s="459" t="s">
        <v>1193</v>
      </c>
      <c r="G9" s="459" t="s">
        <v>247</v>
      </c>
      <c r="H9" s="459" t="s">
        <v>243</v>
      </c>
      <c r="I9" s="459"/>
      <c r="J9" s="459">
        <v>5</v>
      </c>
      <c r="K9" s="188" t="s">
        <v>680</v>
      </c>
      <c r="L9" s="5"/>
      <c r="M9" s="70"/>
      <c r="N9" s="5"/>
      <c r="O9" s="5"/>
      <c r="P9" s="5"/>
      <c r="Q9" s="5"/>
      <c r="R9" s="5"/>
      <c r="S9" s="5"/>
      <c r="T9" s="186" t="s">
        <v>1190</v>
      </c>
      <c r="U9" s="5"/>
      <c r="V9" s="5"/>
      <c r="W9" s="5"/>
      <c r="X9" s="5"/>
      <c r="Y9" s="5"/>
      <c r="Z9" s="5"/>
      <c r="AA9" s="5"/>
      <c r="AB9" s="5"/>
    </row>
    <row r="10" spans="5:28" ht="15" customHeight="1">
      <c r="E10" s="459" t="s">
        <v>53</v>
      </c>
      <c r="F10" s="459" t="s">
        <v>1194</v>
      </c>
      <c r="G10" s="459" t="s">
        <v>252</v>
      </c>
      <c r="H10" s="459" t="s">
        <v>243</v>
      </c>
      <c r="I10" s="459"/>
      <c r="J10" s="459">
        <v>6</v>
      </c>
      <c r="K10" s="188" t="s">
        <v>680</v>
      </c>
      <c r="L10" s="5"/>
      <c r="M10" s="70"/>
      <c r="N10" s="5"/>
      <c r="O10" s="5"/>
      <c r="P10" s="5"/>
      <c r="Q10" s="5"/>
      <c r="R10" s="5"/>
      <c r="S10" s="5"/>
      <c r="T10" s="186" t="s">
        <v>1190</v>
      </c>
      <c r="U10" s="5"/>
      <c r="V10" s="5"/>
      <c r="W10" s="5"/>
      <c r="X10" s="5"/>
      <c r="Y10" s="5"/>
      <c r="Z10" s="5"/>
      <c r="AA10" s="5"/>
      <c r="AB10" s="5"/>
    </row>
    <row r="11" spans="5:28" ht="15" customHeight="1">
      <c r="E11" s="459" t="s">
        <v>53</v>
      </c>
      <c r="F11" s="459" t="s">
        <v>1195</v>
      </c>
      <c r="G11" s="459" t="s">
        <v>247</v>
      </c>
      <c r="H11" s="459" t="s">
        <v>243</v>
      </c>
      <c r="I11" s="459"/>
      <c r="J11" s="459">
        <v>7</v>
      </c>
      <c r="K11" s="188" t="s">
        <v>680</v>
      </c>
      <c r="L11" s="5"/>
      <c r="M11" s="70"/>
      <c r="N11" s="5"/>
      <c r="O11" s="5"/>
      <c r="P11" s="5"/>
      <c r="Q11" s="5"/>
      <c r="R11" s="5"/>
      <c r="S11" s="5"/>
      <c r="T11" s="186" t="s">
        <v>1190</v>
      </c>
      <c r="U11" s="5"/>
      <c r="V11" s="5"/>
      <c r="W11" s="5"/>
      <c r="X11" s="5"/>
      <c r="Y11" s="5"/>
      <c r="Z11" s="5"/>
      <c r="AA11" s="5"/>
      <c r="AB11" s="5"/>
    </row>
    <row r="12" spans="5:28" ht="15" customHeight="1">
      <c r="E12" s="459" t="s">
        <v>53</v>
      </c>
      <c r="F12" s="459" t="s">
        <v>1196</v>
      </c>
      <c r="G12" s="459" t="s">
        <v>535</v>
      </c>
      <c r="H12" s="459" t="s">
        <v>903</v>
      </c>
      <c r="I12" s="459"/>
      <c r="J12" s="459">
        <v>8</v>
      </c>
      <c r="K12" s="188" t="s">
        <v>680</v>
      </c>
      <c r="L12" s="5"/>
      <c r="M12" s="70"/>
      <c r="N12" s="5"/>
      <c r="O12" s="5"/>
      <c r="P12" s="5"/>
      <c r="Q12" s="5"/>
      <c r="R12" s="5"/>
      <c r="S12" s="5"/>
      <c r="T12" s="186" t="s">
        <v>1190</v>
      </c>
      <c r="U12" s="5"/>
      <c r="V12" s="5"/>
      <c r="W12" s="5"/>
      <c r="X12" s="5"/>
      <c r="Y12" s="5"/>
      <c r="Z12" s="5"/>
      <c r="AA12" s="5"/>
      <c r="AB12" s="5"/>
    </row>
    <row r="13" spans="5:28" ht="15" customHeight="1">
      <c r="E13" s="459" t="s">
        <v>53</v>
      </c>
      <c r="F13" s="459" t="s">
        <v>1290</v>
      </c>
      <c r="G13" s="459" t="s">
        <v>432</v>
      </c>
      <c r="H13" s="459" t="s">
        <v>243</v>
      </c>
      <c r="I13" s="459"/>
      <c r="J13" s="459">
        <v>10</v>
      </c>
      <c r="K13" s="188" t="s">
        <v>680</v>
      </c>
      <c r="L13" s="5"/>
      <c r="M13" s="5"/>
      <c r="N13" s="5"/>
      <c r="O13" s="5"/>
      <c r="P13" s="5"/>
      <c r="Q13" s="5"/>
      <c r="R13" s="5"/>
      <c r="S13" s="5"/>
      <c r="T13" s="186" t="s">
        <v>1190</v>
      </c>
      <c r="U13" s="5"/>
      <c r="V13" s="5"/>
      <c r="W13" s="5"/>
      <c r="X13" s="5"/>
      <c r="Y13" s="5"/>
      <c r="Z13" s="5"/>
      <c r="AA13" s="5"/>
      <c r="AB13" s="5"/>
    </row>
    <row r="14" spans="5:28" ht="15" customHeight="1">
      <c r="E14" s="459" t="s">
        <v>53</v>
      </c>
      <c r="F14" s="459" t="s">
        <v>1291</v>
      </c>
      <c r="G14" s="459" t="s">
        <v>247</v>
      </c>
      <c r="H14" s="459" t="s">
        <v>243</v>
      </c>
      <c r="I14" s="459"/>
      <c r="J14" s="459">
        <v>11</v>
      </c>
      <c r="K14" s="188" t="s">
        <v>680</v>
      </c>
      <c r="L14" s="5"/>
      <c r="M14" s="70"/>
      <c r="N14" s="5"/>
      <c r="O14" s="5"/>
      <c r="P14" s="5"/>
      <c r="Q14" s="5"/>
      <c r="R14" s="5"/>
      <c r="S14" s="5"/>
      <c r="T14" s="186" t="s">
        <v>1190</v>
      </c>
      <c r="U14" s="5"/>
      <c r="V14" s="5"/>
      <c r="W14" s="5"/>
      <c r="X14" s="5"/>
      <c r="Y14" s="5"/>
      <c r="Z14" s="5"/>
      <c r="AA14" s="5"/>
      <c r="AB14" s="5"/>
    </row>
    <row r="15" spans="5:28" ht="15" customHeight="1">
      <c r="E15" s="459" t="s">
        <v>53</v>
      </c>
      <c r="F15" s="459" t="s">
        <v>1292</v>
      </c>
      <c r="G15" s="459" t="s">
        <v>535</v>
      </c>
      <c r="H15" s="459" t="s">
        <v>243</v>
      </c>
      <c r="I15" s="459"/>
      <c r="J15" s="459">
        <v>12</v>
      </c>
      <c r="K15" s="188" t="s">
        <v>680</v>
      </c>
      <c r="L15" s="5"/>
      <c r="M15" s="70"/>
      <c r="N15" s="5"/>
      <c r="O15" s="5"/>
      <c r="P15" s="5"/>
      <c r="Q15" s="5"/>
      <c r="R15" s="5"/>
      <c r="S15" s="5"/>
      <c r="T15" s="186" t="s">
        <v>1190</v>
      </c>
      <c r="U15" s="5"/>
      <c r="V15" s="5"/>
      <c r="W15" s="5"/>
      <c r="X15" s="5"/>
      <c r="Y15" s="5"/>
      <c r="Z15" s="5"/>
      <c r="AA15" s="5"/>
      <c r="AB15" s="5"/>
    </row>
    <row r="16" spans="5:28" ht="15" customHeight="1">
      <c r="E16" s="459" t="s">
        <v>53</v>
      </c>
      <c r="F16" s="459" t="s">
        <v>1289</v>
      </c>
      <c r="G16" s="459" t="s">
        <v>324</v>
      </c>
      <c r="H16" s="459" t="s">
        <v>243</v>
      </c>
      <c r="I16" s="459"/>
      <c r="J16" s="459">
        <v>13</v>
      </c>
      <c r="K16" s="188" t="s">
        <v>680</v>
      </c>
      <c r="L16" s="5"/>
      <c r="M16" s="70"/>
      <c r="N16" s="5"/>
      <c r="O16" s="5"/>
      <c r="P16" s="5"/>
      <c r="Q16" s="5"/>
      <c r="R16" s="5"/>
      <c r="S16" s="5"/>
      <c r="T16" s="186" t="s">
        <v>1190</v>
      </c>
      <c r="U16" s="5"/>
      <c r="V16" s="5"/>
      <c r="W16" s="5"/>
      <c r="X16" s="5"/>
      <c r="Y16" s="5"/>
      <c r="Z16" s="5"/>
      <c r="AA16" s="5"/>
      <c r="AB16" s="5"/>
    </row>
    <row r="17" spans="5:20" ht="15" customHeight="1">
      <c r="E17" s="459" t="s">
        <v>53</v>
      </c>
      <c r="F17" s="459" t="s">
        <v>1293</v>
      </c>
      <c r="G17" s="459" t="s">
        <v>432</v>
      </c>
      <c r="H17" s="459" t="s">
        <v>243</v>
      </c>
      <c r="I17" s="459"/>
      <c r="J17" s="459">
        <v>14</v>
      </c>
      <c r="K17" s="188" t="s">
        <v>680</v>
      </c>
      <c r="L17" s="5"/>
      <c r="M17" s="5"/>
      <c r="N17" s="5"/>
      <c r="O17" s="5"/>
      <c r="P17" s="5"/>
      <c r="Q17" s="5"/>
      <c r="R17" s="5"/>
      <c r="S17" s="5"/>
      <c r="T17" s="186" t="s">
        <v>1190</v>
      </c>
    </row>
    <row r="18" spans="5:20" ht="15" customHeight="1">
      <c r="E18" s="459" t="s">
        <v>53</v>
      </c>
      <c r="F18" s="459" t="s">
        <v>1406</v>
      </c>
      <c r="G18" s="459" t="s">
        <v>535</v>
      </c>
      <c r="H18" s="459" t="s">
        <v>243</v>
      </c>
      <c r="I18" s="459"/>
      <c r="J18" s="459">
        <v>16</v>
      </c>
      <c r="K18" s="188" t="s">
        <v>680</v>
      </c>
      <c r="L18" s="5"/>
      <c r="M18" s="70"/>
      <c r="N18" s="5"/>
      <c r="O18" s="5"/>
      <c r="P18" s="5"/>
      <c r="Q18" s="5"/>
      <c r="R18" s="5"/>
      <c r="S18" s="5"/>
      <c r="T18" s="186" t="s">
        <v>1190</v>
      </c>
    </row>
    <row r="19" spans="5:20" ht="15" customHeight="1">
      <c r="E19" s="459" t="s">
        <v>53</v>
      </c>
      <c r="F19" s="459" t="s">
        <v>1288</v>
      </c>
      <c r="G19" s="459" t="s">
        <v>535</v>
      </c>
      <c r="H19" s="459" t="s">
        <v>903</v>
      </c>
      <c r="I19" s="459"/>
      <c r="J19" s="459">
        <v>17</v>
      </c>
      <c r="K19" s="188" t="s">
        <v>680</v>
      </c>
      <c r="L19" s="5"/>
      <c r="M19" s="70"/>
      <c r="N19" s="5"/>
      <c r="O19" s="5"/>
      <c r="P19" s="5"/>
      <c r="Q19" s="5"/>
      <c r="R19" s="5"/>
      <c r="S19" s="5"/>
      <c r="T19" s="186" t="s">
        <v>1190</v>
      </c>
    </row>
    <row r="20" spans="5:20" ht="15" customHeight="1">
      <c r="E20" s="459" t="s">
        <v>53</v>
      </c>
      <c r="F20" s="459" t="s">
        <v>123</v>
      </c>
      <c r="G20" s="459" t="s">
        <v>535</v>
      </c>
      <c r="H20" s="459" t="s">
        <v>243</v>
      </c>
      <c r="I20" s="459"/>
      <c r="J20" s="459">
        <v>18</v>
      </c>
      <c r="K20" s="188" t="s">
        <v>680</v>
      </c>
      <c r="L20" s="5"/>
      <c r="M20" s="70"/>
      <c r="N20" s="5"/>
      <c r="O20" s="5"/>
      <c r="P20" s="5"/>
      <c r="Q20" s="5"/>
      <c r="R20" s="5"/>
      <c r="S20" s="5"/>
      <c r="T20" s="130" t="s">
        <v>3970</v>
      </c>
    </row>
    <row r="21" spans="5:20" ht="15.75" customHeight="1">
      <c r="E21" s="5"/>
      <c r="F21" s="5"/>
      <c r="G21" s="5"/>
      <c r="H21" s="5"/>
      <c r="I21" s="5"/>
      <c r="J21" s="5"/>
      <c r="K21" s="5"/>
      <c r="L21" s="5"/>
      <c r="M21" s="70"/>
      <c r="N21" s="5"/>
      <c r="O21" s="5"/>
      <c r="P21" s="5"/>
      <c r="Q21" s="5"/>
      <c r="R21" s="5"/>
      <c r="S21" s="5"/>
      <c r="T21" s="5"/>
    </row>
    <row r="22" spans="5:20" ht="15.75" customHeight="1">
      <c r="E22" s="5"/>
      <c r="F22" s="5"/>
      <c r="G22" s="5"/>
      <c r="H22" s="5"/>
      <c r="I22" s="5"/>
      <c r="J22" s="5"/>
      <c r="K22" s="5"/>
      <c r="L22" s="5"/>
      <c r="M22" s="70"/>
      <c r="N22" s="5"/>
      <c r="O22" s="5"/>
      <c r="P22" s="5"/>
      <c r="Q22" s="5"/>
      <c r="R22" s="5"/>
      <c r="S22" s="5"/>
      <c r="T22" s="5"/>
    </row>
    <row r="23" spans="5:20" ht="15.75" customHeight="1">
      <c r="E23" s="5"/>
      <c r="F23" s="5"/>
      <c r="G23" s="5"/>
      <c r="H23" s="5"/>
      <c r="I23" s="5"/>
      <c r="J23" s="5"/>
      <c r="K23" s="5"/>
      <c r="L23" s="5"/>
      <c r="M23" s="70"/>
      <c r="N23" s="5"/>
      <c r="O23" s="5"/>
      <c r="P23" s="5"/>
      <c r="Q23" s="5"/>
      <c r="R23" s="5"/>
      <c r="S23" s="5"/>
      <c r="T23" s="5"/>
    </row>
    <row r="24" spans="5:20" ht="15.75" customHeight="1">
      <c r="E24" s="5" t="s">
        <v>3971</v>
      </c>
      <c r="F24" s="5"/>
      <c r="G24" s="5"/>
      <c r="H24" s="5"/>
      <c r="I24" s="5"/>
      <c r="J24" s="5"/>
      <c r="K24" s="5"/>
      <c r="L24" s="5"/>
      <c r="M24" s="70"/>
      <c r="N24" s="5"/>
      <c r="O24" s="5"/>
      <c r="P24" s="5"/>
      <c r="Q24" s="5"/>
      <c r="R24" s="5"/>
      <c r="S24" s="5"/>
      <c r="T24" s="5"/>
    </row>
    <row r="25" spans="5:20" ht="15.75" customHeight="1">
      <c r="E25" s="70" t="s">
        <v>3972</v>
      </c>
      <c r="F25" s="5"/>
      <c r="G25" s="5"/>
      <c r="H25" s="5"/>
      <c r="I25" s="5"/>
      <c r="J25" s="5"/>
      <c r="K25" s="5"/>
      <c r="L25" s="5"/>
      <c r="M25" s="70"/>
      <c r="N25" s="5"/>
      <c r="O25" s="5"/>
      <c r="P25" s="5"/>
      <c r="Q25" s="5"/>
      <c r="R25" s="5"/>
      <c r="S25" s="5"/>
      <c r="T25" s="5"/>
    </row>
    <row r="26" spans="5:20" ht="15.75" customHeight="1">
      <c r="E26" s="70" t="s">
        <v>3973</v>
      </c>
      <c r="F26" s="5"/>
      <c r="G26" s="5"/>
      <c r="H26" s="5"/>
      <c r="I26" s="5"/>
      <c r="J26" s="5"/>
      <c r="K26" s="5"/>
      <c r="L26" s="5"/>
      <c r="M26" s="70"/>
      <c r="N26" s="5"/>
      <c r="O26" s="5"/>
      <c r="P26" s="5"/>
      <c r="Q26" s="5"/>
      <c r="R26" s="5"/>
      <c r="S26" s="5"/>
      <c r="T26" s="5"/>
    </row>
    <row r="27" spans="5:20" ht="15.75" customHeight="1">
      <c r="E27" s="389"/>
      <c r="F27" s="390" t="s">
        <v>3974</v>
      </c>
      <c r="G27" s="390" t="s">
        <v>3974</v>
      </c>
      <c r="H27" s="390" t="s">
        <v>3974</v>
      </c>
      <c r="I27" s="390" t="s">
        <v>3974</v>
      </c>
      <c r="J27" s="5"/>
      <c r="K27" s="5"/>
      <c r="L27" s="5"/>
      <c r="M27" s="70"/>
      <c r="N27" s="5"/>
      <c r="O27" s="5"/>
      <c r="P27" s="5"/>
      <c r="Q27" s="5"/>
      <c r="R27" s="5"/>
      <c r="S27" s="5"/>
      <c r="T27" s="5"/>
    </row>
    <row r="28" spans="5:20" ht="15.75" customHeight="1">
      <c r="E28" s="389" t="s">
        <v>3975</v>
      </c>
      <c r="F28" s="391" t="s">
        <v>3976</v>
      </c>
      <c r="G28" s="391" t="s">
        <v>3977</v>
      </c>
      <c r="H28" s="391" t="s">
        <v>3978</v>
      </c>
      <c r="I28" s="151" t="s">
        <v>3979</v>
      </c>
      <c r="J28" s="5"/>
      <c r="K28" s="5"/>
      <c r="L28" s="5"/>
      <c r="M28" s="70"/>
      <c r="N28" s="5"/>
      <c r="O28" s="5"/>
      <c r="P28" s="5"/>
      <c r="Q28" s="5"/>
      <c r="R28" s="5"/>
      <c r="S28" s="5"/>
      <c r="T28" s="5"/>
    </row>
    <row r="29" spans="5:20" ht="15.75" customHeight="1">
      <c r="E29" s="392" t="s">
        <v>3976</v>
      </c>
      <c r="F29" s="393" t="s">
        <v>1078</v>
      </c>
      <c r="G29" s="392"/>
      <c r="H29" s="392"/>
      <c r="I29" s="392"/>
      <c r="J29" s="5"/>
      <c r="K29" s="5"/>
      <c r="L29" s="5"/>
      <c r="M29" s="70"/>
      <c r="N29" s="5"/>
      <c r="O29" s="5"/>
      <c r="P29" s="5"/>
      <c r="Q29" s="5"/>
      <c r="R29" s="5"/>
      <c r="S29" s="5"/>
      <c r="T29" s="5"/>
    </row>
    <row r="30" spans="5:20" ht="15.75" customHeight="1">
      <c r="E30" s="392" t="s">
        <v>3977</v>
      </c>
      <c r="F30" s="393" t="s">
        <v>1078</v>
      </c>
      <c r="G30" s="393" t="s">
        <v>1078</v>
      </c>
      <c r="H30" s="392"/>
      <c r="I30" s="392"/>
      <c r="J30" s="5"/>
      <c r="K30" s="5"/>
      <c r="L30" s="5"/>
      <c r="M30" s="70"/>
      <c r="N30" s="5"/>
      <c r="O30" s="5"/>
      <c r="P30" s="5"/>
      <c r="Q30" s="5"/>
      <c r="R30" s="5"/>
      <c r="S30" s="5"/>
      <c r="T30" s="5"/>
    </row>
    <row r="31" spans="5:20" ht="15.75" customHeight="1">
      <c r="E31" s="392" t="s">
        <v>3980</v>
      </c>
      <c r="F31" s="393" t="s">
        <v>1078</v>
      </c>
      <c r="G31" s="393" t="s">
        <v>1078</v>
      </c>
      <c r="H31" s="393" t="s">
        <v>1078</v>
      </c>
      <c r="I31" s="392"/>
      <c r="J31" s="5"/>
      <c r="K31" s="5"/>
      <c r="L31" s="5"/>
      <c r="M31" s="70"/>
      <c r="N31" s="5"/>
      <c r="O31" s="5"/>
      <c r="P31" s="5"/>
      <c r="Q31" s="5"/>
      <c r="R31" s="5"/>
      <c r="S31" s="5"/>
      <c r="T31" s="5"/>
    </row>
    <row r="32" spans="5:20" ht="15.75" customHeight="1">
      <c r="E32" s="392" t="s">
        <v>3981</v>
      </c>
      <c r="F32" s="393" t="s">
        <v>1078</v>
      </c>
      <c r="G32" s="393" t="s">
        <v>1078</v>
      </c>
      <c r="H32" s="392"/>
      <c r="I32" s="392" t="s">
        <v>1078</v>
      </c>
      <c r="J32" s="5"/>
      <c r="K32" s="5"/>
      <c r="L32" s="5"/>
      <c r="M32" s="70"/>
      <c r="N32" s="5"/>
      <c r="O32" s="5"/>
      <c r="P32" s="5"/>
      <c r="Q32" s="5"/>
      <c r="R32" s="5"/>
      <c r="S32" s="5"/>
      <c r="T32" s="5"/>
    </row>
    <row r="33" spans="5:9" ht="15.75" customHeight="1">
      <c r="E33" s="392" t="s">
        <v>3982</v>
      </c>
      <c r="F33" s="393" t="s">
        <v>1078</v>
      </c>
      <c r="G33" s="393" t="s">
        <v>1078</v>
      </c>
      <c r="H33" s="393" t="s">
        <v>1078</v>
      </c>
      <c r="I33" s="392" t="s">
        <v>1078</v>
      </c>
    </row>
    <row r="34" spans="5:9" ht="15.75" customHeight="1">
      <c r="E34" s="392" t="s">
        <v>3978</v>
      </c>
      <c r="F34" s="393" t="s">
        <v>1078</v>
      </c>
      <c r="G34" s="392"/>
      <c r="H34" s="393" t="s">
        <v>1078</v>
      </c>
      <c r="I34" s="392"/>
    </row>
    <row r="35" spans="5:9" ht="15.75" customHeight="1">
      <c r="E35" s="392" t="s">
        <v>3983</v>
      </c>
      <c r="F35" s="393" t="s">
        <v>1078</v>
      </c>
      <c r="G35" s="392"/>
      <c r="H35" s="393" t="s">
        <v>1078</v>
      </c>
      <c r="I35" s="392" t="s">
        <v>1078</v>
      </c>
    </row>
    <row r="36" spans="5:9" ht="15.75" customHeight="1">
      <c r="E36" s="392" t="s">
        <v>3979</v>
      </c>
      <c r="F36" s="393" t="s">
        <v>1078</v>
      </c>
      <c r="G36" s="392"/>
      <c r="H36" s="392"/>
      <c r="I36" s="393" t="s">
        <v>1078</v>
      </c>
    </row>
  </sheetData>
  <autoFilter ref="E2:AB2" xr:uid="{00000000-0009-0000-0000-000025000000}"/>
  <pageMargins left="0.7" right="0.7" top="0.75" bottom="0.75" header="0" footer="0"/>
  <pageSetup orientation="landscape"/>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outlinePr summaryBelow="0" summaryRight="0"/>
  </sheetPr>
  <dimension ref="A1:N35"/>
  <sheetViews>
    <sheetView workbookViewId="0">
      <pane ySplit="4" topLeftCell="A5" activePane="bottomLeft" state="frozen"/>
      <selection pane="bottomLeft" activeCell="B26" sqref="B26"/>
    </sheetView>
  </sheetViews>
  <sheetFormatPr defaultColWidth="14.453125" defaultRowHeight="15" customHeight="1"/>
  <cols>
    <col min="1" max="1" width="21.453125" customWidth="1"/>
    <col min="2" max="2" width="29.7265625" customWidth="1"/>
    <col min="3" max="3" width="20" customWidth="1"/>
    <col min="4" max="4" width="11.26953125" customWidth="1"/>
    <col min="5" max="5" width="15" customWidth="1"/>
    <col min="6" max="6" width="8.453125" customWidth="1"/>
    <col min="7" max="7" width="18.1796875" customWidth="1"/>
    <col min="8" max="9" width="17.26953125" customWidth="1"/>
    <col min="10" max="10" width="19.453125" customWidth="1"/>
    <col min="11" max="13" width="17.26953125" customWidth="1"/>
    <col min="14" max="14" width="58.26953125" bestFit="1" customWidth="1"/>
    <col min="15" max="27" width="17.26953125" customWidth="1"/>
  </cols>
  <sheetData>
    <row r="1" spans="1:14" ht="15" customHeight="1">
      <c r="A1" s="185" t="s">
        <v>3984</v>
      </c>
      <c r="B1" s="459"/>
      <c r="C1" s="459"/>
      <c r="D1" s="459"/>
      <c r="E1" s="459"/>
      <c r="F1" s="459"/>
      <c r="G1" s="177"/>
      <c r="H1" s="177"/>
      <c r="I1" s="177"/>
      <c r="J1" s="177"/>
      <c r="K1" s="177"/>
      <c r="L1" s="177"/>
      <c r="M1" s="177"/>
      <c r="N1" s="177"/>
    </row>
    <row r="2" spans="1:14" ht="15" customHeight="1">
      <c r="A2" s="568" t="s">
        <v>3985</v>
      </c>
      <c r="B2" s="459"/>
      <c r="C2" s="459"/>
      <c r="D2" s="459"/>
      <c r="E2" s="459"/>
      <c r="F2" s="459"/>
      <c r="G2" s="177"/>
      <c r="H2" s="177"/>
      <c r="I2" s="177"/>
      <c r="J2" s="177"/>
      <c r="K2" s="177"/>
      <c r="L2" s="177"/>
      <c r="M2" s="177"/>
      <c r="N2" s="177"/>
    </row>
    <row r="3" spans="1:14" ht="15" customHeight="1">
      <c r="A3" s="459"/>
      <c r="B3" s="459"/>
      <c r="C3" s="459"/>
      <c r="D3" s="459"/>
      <c r="E3" s="459"/>
      <c r="F3" s="459"/>
      <c r="G3" s="207" t="s">
        <v>1038</v>
      </c>
      <c r="H3" s="207"/>
      <c r="I3" s="207"/>
      <c r="J3" s="207"/>
      <c r="K3" s="207"/>
      <c r="L3" s="207"/>
      <c r="M3" s="207"/>
      <c r="N3" s="207"/>
    </row>
    <row r="4" spans="1:14" ht="15" customHeight="1">
      <c r="A4" s="208" t="s">
        <v>224</v>
      </c>
      <c r="B4" s="208" t="s">
        <v>225</v>
      </c>
      <c r="C4" s="208" t="s">
        <v>226</v>
      </c>
      <c r="D4" s="208" t="s">
        <v>227</v>
      </c>
      <c r="E4" s="208" t="s">
        <v>1044</v>
      </c>
      <c r="F4" s="208" t="s">
        <v>1045</v>
      </c>
      <c r="G4" s="285" t="s">
        <v>100</v>
      </c>
      <c r="H4" s="207" t="s">
        <v>101</v>
      </c>
      <c r="I4" s="207" t="s">
        <v>102</v>
      </c>
      <c r="J4" s="285" t="s">
        <v>104</v>
      </c>
      <c r="K4" s="207" t="s">
        <v>105</v>
      </c>
      <c r="L4" s="207" t="s">
        <v>111</v>
      </c>
      <c r="M4" s="207" t="s">
        <v>112</v>
      </c>
      <c r="N4" s="207" t="s">
        <v>103</v>
      </c>
    </row>
    <row r="5" spans="1:14" ht="15" customHeight="1">
      <c r="A5" s="459" t="s">
        <v>53</v>
      </c>
      <c r="B5" s="459" t="s">
        <v>124</v>
      </c>
      <c r="C5" s="459" t="s">
        <v>3986</v>
      </c>
      <c r="D5" s="459" t="s">
        <v>903</v>
      </c>
      <c r="E5" s="459"/>
      <c r="F5" s="459">
        <v>31</v>
      </c>
      <c r="G5" s="459"/>
      <c r="H5" s="459"/>
      <c r="I5" s="459"/>
      <c r="J5" s="459"/>
      <c r="K5" s="130"/>
      <c r="L5" s="130"/>
      <c r="M5" s="130"/>
      <c r="N5" s="130" t="s">
        <v>3987</v>
      </c>
    </row>
    <row r="6" spans="1:14" ht="15" customHeight="1">
      <c r="A6" s="459" t="s">
        <v>53</v>
      </c>
      <c r="B6" s="459" t="s">
        <v>1189</v>
      </c>
      <c r="C6" s="459" t="s">
        <v>3986</v>
      </c>
      <c r="D6" s="459" t="s">
        <v>243</v>
      </c>
      <c r="E6" s="459"/>
      <c r="F6" s="459">
        <v>34</v>
      </c>
      <c r="G6" s="459"/>
      <c r="H6" s="459"/>
      <c r="I6" s="459"/>
      <c r="J6" s="459"/>
      <c r="K6" s="130"/>
      <c r="L6" s="130"/>
      <c r="M6" s="130"/>
      <c r="N6" s="130" t="s">
        <v>3987</v>
      </c>
    </row>
    <row r="7" spans="1:14" ht="15" customHeight="1">
      <c r="A7" s="459" t="s">
        <v>53</v>
      </c>
      <c r="B7" s="459" t="s">
        <v>125</v>
      </c>
      <c r="C7" s="459" t="s">
        <v>255</v>
      </c>
      <c r="D7" s="459" t="s">
        <v>243</v>
      </c>
      <c r="E7" s="459"/>
      <c r="F7" s="459">
        <v>39</v>
      </c>
      <c r="G7" s="459"/>
      <c r="H7" s="459"/>
      <c r="I7" s="459"/>
      <c r="J7" s="459"/>
      <c r="K7" s="130"/>
      <c r="L7" s="130"/>
      <c r="M7" s="130"/>
      <c r="N7" s="130" t="s">
        <v>3987</v>
      </c>
    </row>
    <row r="8" spans="1:14" ht="15" customHeight="1">
      <c r="A8" s="459" t="s">
        <v>53</v>
      </c>
      <c r="B8" s="459" t="s">
        <v>1191</v>
      </c>
      <c r="C8" s="459" t="s">
        <v>3666</v>
      </c>
      <c r="D8" s="459" t="s">
        <v>243</v>
      </c>
      <c r="E8" s="459"/>
      <c r="F8" s="459">
        <v>44</v>
      </c>
      <c r="G8" s="459"/>
      <c r="H8" s="459"/>
      <c r="I8" s="459"/>
      <c r="J8" s="459"/>
      <c r="K8" s="130"/>
      <c r="L8" s="130"/>
      <c r="M8" s="130"/>
      <c r="N8" s="130" t="s">
        <v>3987</v>
      </c>
    </row>
    <row r="9" spans="1:14" ht="15" customHeight="1">
      <c r="A9" s="459" t="s">
        <v>53</v>
      </c>
      <c r="B9" s="459" t="s">
        <v>1192</v>
      </c>
      <c r="C9" s="459" t="s">
        <v>242</v>
      </c>
      <c r="D9" s="459" t="s">
        <v>243</v>
      </c>
      <c r="E9" s="459"/>
      <c r="F9" s="459">
        <v>63</v>
      </c>
      <c r="G9" s="459"/>
      <c r="H9" s="459"/>
      <c r="I9" s="459"/>
      <c r="J9" s="459"/>
      <c r="K9" s="130"/>
      <c r="L9" s="130"/>
      <c r="M9" s="130"/>
      <c r="N9" s="130" t="s">
        <v>3987</v>
      </c>
    </row>
    <row r="10" spans="1:14" ht="15" customHeight="1">
      <c r="A10" s="459" t="s">
        <v>53</v>
      </c>
      <c r="B10" s="459" t="s">
        <v>1193</v>
      </c>
      <c r="C10" s="459" t="s">
        <v>247</v>
      </c>
      <c r="D10" s="459" t="s">
        <v>243</v>
      </c>
      <c r="E10" s="459"/>
      <c r="F10" s="459">
        <v>70</v>
      </c>
      <c r="G10" s="459"/>
      <c r="H10" s="459"/>
      <c r="I10" s="459"/>
      <c r="J10" s="459"/>
      <c r="K10" s="130"/>
      <c r="L10" s="130"/>
      <c r="M10" s="130"/>
      <c r="N10" s="130" t="s">
        <v>3987</v>
      </c>
    </row>
    <row r="11" spans="1:14" ht="15" customHeight="1">
      <c r="A11" s="459" t="s">
        <v>53</v>
      </c>
      <c r="B11" s="459" t="s">
        <v>1194</v>
      </c>
      <c r="C11" s="459" t="s">
        <v>3666</v>
      </c>
      <c r="D11" s="459" t="s">
        <v>243</v>
      </c>
      <c r="E11" s="459"/>
      <c r="F11" s="459">
        <v>71</v>
      </c>
      <c r="G11" s="459"/>
      <c r="H11" s="459"/>
      <c r="I11" s="459"/>
      <c r="J11" s="459"/>
      <c r="K11" s="130"/>
      <c r="L11" s="130"/>
      <c r="M11" s="130"/>
      <c r="N11" s="130" t="s">
        <v>3987</v>
      </c>
    </row>
    <row r="12" spans="1:14" ht="15" customHeight="1">
      <c r="A12" s="459" t="s">
        <v>53</v>
      </c>
      <c r="B12" s="459" t="s">
        <v>1195</v>
      </c>
      <c r="C12" s="459" t="s">
        <v>247</v>
      </c>
      <c r="D12" s="459" t="s">
        <v>243</v>
      </c>
      <c r="E12" s="459"/>
      <c r="F12" s="459">
        <v>6</v>
      </c>
      <c r="G12" s="459"/>
      <c r="H12" s="459"/>
      <c r="I12" s="459"/>
      <c r="J12" s="459"/>
      <c r="K12" s="130"/>
      <c r="L12" s="130"/>
      <c r="M12" s="130"/>
      <c r="N12" s="130" t="s">
        <v>3987</v>
      </c>
    </row>
    <row r="13" spans="1:14" ht="15" customHeight="1">
      <c r="A13" s="459" t="s">
        <v>53</v>
      </c>
      <c r="B13" s="459" t="s">
        <v>1196</v>
      </c>
      <c r="C13" s="459" t="s">
        <v>3986</v>
      </c>
      <c r="D13" s="459" t="s">
        <v>903</v>
      </c>
      <c r="E13" s="459"/>
      <c r="F13" s="459">
        <v>27</v>
      </c>
      <c r="G13" s="459"/>
      <c r="H13" s="459"/>
      <c r="I13" s="459"/>
      <c r="J13" s="459"/>
      <c r="K13" s="130"/>
      <c r="L13" s="130"/>
      <c r="M13" s="130"/>
      <c r="N13" s="130" t="s">
        <v>3987</v>
      </c>
    </row>
    <row r="14" spans="1:14" ht="15" customHeight="1">
      <c r="A14" s="459" t="s">
        <v>59</v>
      </c>
      <c r="B14" s="459" t="s">
        <v>3988</v>
      </c>
      <c r="C14" s="459" t="s">
        <v>3986</v>
      </c>
      <c r="D14" s="459" t="s">
        <v>243</v>
      </c>
      <c r="E14" s="459"/>
      <c r="F14" s="459">
        <v>46</v>
      </c>
      <c r="G14" s="459"/>
      <c r="H14" s="459"/>
      <c r="I14" s="459"/>
      <c r="J14" s="459"/>
      <c r="K14" s="130"/>
      <c r="L14" s="130"/>
      <c r="M14" s="130"/>
      <c r="N14" s="130" t="s">
        <v>3989</v>
      </c>
    </row>
    <row r="15" spans="1:14" ht="15" customHeight="1">
      <c r="A15" s="459" t="s">
        <v>59</v>
      </c>
      <c r="B15" s="459" t="s">
        <v>3990</v>
      </c>
      <c r="C15" s="459" t="s">
        <v>3986</v>
      </c>
      <c r="D15" s="459" t="s">
        <v>243</v>
      </c>
      <c r="E15" s="459"/>
      <c r="F15" s="459">
        <v>72</v>
      </c>
      <c r="G15" s="459"/>
      <c r="H15" s="459"/>
      <c r="I15" s="459"/>
      <c r="J15" s="459"/>
      <c r="K15" s="130"/>
      <c r="L15" s="130"/>
      <c r="M15" s="130"/>
      <c r="N15" s="130" t="s">
        <v>3991</v>
      </c>
    </row>
    <row r="16" spans="1:14" ht="15" customHeight="1">
      <c r="A16" s="459" t="s">
        <v>55</v>
      </c>
      <c r="B16" s="459" t="s">
        <v>3992</v>
      </c>
      <c r="C16" s="459" t="s">
        <v>3986</v>
      </c>
      <c r="D16" s="459" t="s">
        <v>243</v>
      </c>
      <c r="E16" s="459"/>
      <c r="F16" s="459">
        <v>2</v>
      </c>
      <c r="G16" s="459"/>
      <c r="H16" s="459"/>
      <c r="I16" s="459"/>
      <c r="J16" s="459"/>
      <c r="K16" s="130"/>
      <c r="L16" s="130"/>
      <c r="M16" s="130"/>
      <c r="N16" s="130" t="s">
        <v>3993</v>
      </c>
    </row>
    <row r="17" spans="1:14" ht="15" customHeight="1">
      <c r="A17" s="459" t="s">
        <v>55</v>
      </c>
      <c r="B17" s="459" t="s">
        <v>3994</v>
      </c>
      <c r="C17" s="459" t="s">
        <v>3986</v>
      </c>
      <c r="D17" s="459" t="s">
        <v>243</v>
      </c>
      <c r="E17" s="459"/>
      <c r="F17" s="459">
        <v>3</v>
      </c>
      <c r="G17" s="459"/>
      <c r="H17" s="459"/>
      <c r="I17" s="459"/>
      <c r="J17" s="459"/>
      <c r="K17" s="130"/>
      <c r="L17" s="130"/>
      <c r="M17" s="130"/>
      <c r="N17" s="130" t="s">
        <v>3995</v>
      </c>
    </row>
    <row r="18" spans="1:14" ht="15" customHeight="1">
      <c r="A18" s="459" t="s">
        <v>55</v>
      </c>
      <c r="B18" s="459" t="s">
        <v>3996</v>
      </c>
      <c r="C18" s="459" t="s">
        <v>3986</v>
      </c>
      <c r="D18" s="459" t="s">
        <v>243</v>
      </c>
      <c r="E18" s="459"/>
      <c r="F18" s="459">
        <v>4</v>
      </c>
      <c r="G18" s="459"/>
      <c r="H18" s="459"/>
      <c r="I18" s="459"/>
      <c r="J18" s="459"/>
      <c r="K18" s="130"/>
      <c r="L18" s="130"/>
      <c r="M18" s="130"/>
      <c r="N18" s="130" t="s">
        <v>3997</v>
      </c>
    </row>
    <row r="19" spans="1:14" ht="15" customHeight="1">
      <c r="A19" s="459" t="s">
        <v>55</v>
      </c>
      <c r="B19" s="459" t="s">
        <v>2042</v>
      </c>
      <c r="C19" s="459" t="s">
        <v>3986</v>
      </c>
      <c r="D19" s="459" t="s">
        <v>243</v>
      </c>
      <c r="E19" s="459"/>
      <c r="F19" s="459">
        <v>5</v>
      </c>
      <c r="G19" s="459"/>
      <c r="H19" s="459"/>
      <c r="I19" s="459"/>
      <c r="J19" s="459"/>
      <c r="K19" s="130"/>
      <c r="L19" s="130"/>
      <c r="M19" s="130"/>
      <c r="N19" s="130" t="s">
        <v>3998</v>
      </c>
    </row>
    <row r="20" spans="1:14" ht="15" customHeight="1">
      <c r="A20" s="459" t="s">
        <v>55</v>
      </c>
      <c r="B20" s="459" t="s">
        <v>3999</v>
      </c>
      <c r="C20" s="459" t="s">
        <v>3986</v>
      </c>
      <c r="D20" s="459" t="s">
        <v>243</v>
      </c>
      <c r="E20" s="459"/>
      <c r="F20" s="459">
        <v>7</v>
      </c>
      <c r="G20" s="459"/>
      <c r="H20" s="459"/>
      <c r="I20" s="459"/>
      <c r="J20" s="459"/>
      <c r="K20" s="130"/>
      <c r="L20" s="130"/>
      <c r="M20" s="130"/>
      <c r="N20" s="130" t="s">
        <v>4000</v>
      </c>
    </row>
    <row r="21" spans="1:14" ht="15" customHeight="1">
      <c r="A21" s="459" t="s">
        <v>55</v>
      </c>
      <c r="B21" s="459" t="s">
        <v>4001</v>
      </c>
      <c r="C21" s="459" t="s">
        <v>3986</v>
      </c>
      <c r="D21" s="459" t="s">
        <v>243</v>
      </c>
      <c r="E21" s="459"/>
      <c r="F21" s="459">
        <v>8</v>
      </c>
      <c r="G21" s="459"/>
      <c r="H21" s="459"/>
      <c r="I21" s="459"/>
      <c r="J21" s="459"/>
      <c r="K21" s="130"/>
      <c r="L21" s="130"/>
      <c r="M21" s="130"/>
      <c r="N21" s="130" t="s">
        <v>4002</v>
      </c>
    </row>
    <row r="22" spans="1:14" ht="15" customHeight="1">
      <c r="A22" s="459" t="s">
        <v>55</v>
      </c>
      <c r="B22" s="459" t="s">
        <v>4003</v>
      </c>
      <c r="C22" s="459" t="s">
        <v>3986</v>
      </c>
      <c r="D22" s="459" t="s">
        <v>243</v>
      </c>
      <c r="E22" s="459"/>
      <c r="F22" s="459">
        <v>9</v>
      </c>
      <c r="G22" s="459"/>
      <c r="H22" s="459"/>
      <c r="I22" s="459"/>
      <c r="J22" s="459"/>
      <c r="K22" s="130"/>
      <c r="L22" s="130"/>
      <c r="M22" s="130"/>
      <c r="N22" s="130" t="s">
        <v>4004</v>
      </c>
    </row>
    <row r="23" spans="1:14" ht="15" customHeight="1">
      <c r="A23" s="459" t="s">
        <v>55</v>
      </c>
      <c r="B23" s="459" t="s">
        <v>4005</v>
      </c>
      <c r="C23" s="459" t="s">
        <v>3986</v>
      </c>
      <c r="D23" s="459" t="s">
        <v>243</v>
      </c>
      <c r="E23" s="459"/>
      <c r="F23" s="459">
        <v>10</v>
      </c>
      <c r="G23" s="459"/>
      <c r="H23" s="459"/>
      <c r="I23" s="459"/>
      <c r="J23" s="459"/>
      <c r="K23" s="130"/>
      <c r="L23" s="130"/>
      <c r="M23" s="130"/>
      <c r="N23" s="130" t="s">
        <v>4006</v>
      </c>
    </row>
    <row r="24" spans="1:14" ht="15" customHeight="1">
      <c r="A24" s="459" t="s">
        <v>55</v>
      </c>
      <c r="B24" s="459" t="s">
        <v>4007</v>
      </c>
      <c r="C24" s="459" t="s">
        <v>3986</v>
      </c>
      <c r="D24" s="459" t="s">
        <v>243</v>
      </c>
      <c r="E24" s="459"/>
      <c r="F24" s="459">
        <v>11</v>
      </c>
      <c r="G24" s="459"/>
      <c r="H24" s="459"/>
      <c r="I24" s="459"/>
      <c r="J24" s="459"/>
      <c r="K24" s="130"/>
      <c r="L24" s="130"/>
      <c r="M24" s="130"/>
      <c r="N24" s="130" t="s">
        <v>4008</v>
      </c>
    </row>
    <row r="25" spans="1:14" ht="15" customHeight="1">
      <c r="A25" s="459" t="s">
        <v>224</v>
      </c>
      <c r="B25" s="459" t="s">
        <v>2339</v>
      </c>
      <c r="C25" s="459" t="s">
        <v>324</v>
      </c>
      <c r="D25" s="459" t="s">
        <v>243</v>
      </c>
      <c r="E25" s="459"/>
      <c r="F25" s="459">
        <v>12</v>
      </c>
      <c r="G25" s="459"/>
      <c r="H25" s="459"/>
      <c r="I25" s="459"/>
      <c r="J25" s="459"/>
      <c r="K25" s="130"/>
      <c r="L25" s="130"/>
      <c r="M25" s="130"/>
      <c r="N25" s="130" t="s">
        <v>4009</v>
      </c>
    </row>
    <row r="26" spans="1:14" ht="15" customHeight="1">
      <c r="A26" s="459" t="s">
        <v>55</v>
      </c>
      <c r="B26" s="459" t="s">
        <v>1290</v>
      </c>
      <c r="C26" s="459" t="s">
        <v>432</v>
      </c>
      <c r="D26" s="459" t="s">
        <v>243</v>
      </c>
      <c r="E26" s="459"/>
      <c r="F26" s="459">
        <v>13</v>
      </c>
      <c r="G26" s="459"/>
      <c r="H26" s="459"/>
      <c r="I26" s="459"/>
      <c r="J26" s="459"/>
      <c r="K26" s="130"/>
      <c r="L26" s="130"/>
      <c r="M26" s="130"/>
      <c r="N26" s="130" t="s">
        <v>3987</v>
      </c>
    </row>
    <row r="27" spans="1:14" ht="15" customHeight="1">
      <c r="A27" s="459" t="s">
        <v>53</v>
      </c>
      <c r="B27" s="459" t="s">
        <v>1291</v>
      </c>
      <c r="C27" s="459" t="s">
        <v>247</v>
      </c>
      <c r="D27" s="459" t="s">
        <v>243</v>
      </c>
      <c r="E27" s="459"/>
      <c r="F27" s="459">
        <v>21</v>
      </c>
      <c r="G27" s="459"/>
      <c r="H27" s="459"/>
      <c r="I27" s="459"/>
      <c r="J27" s="459"/>
      <c r="K27" s="130"/>
      <c r="L27" s="130"/>
      <c r="M27" s="130"/>
      <c r="N27" s="130" t="s">
        <v>3987</v>
      </c>
    </row>
    <row r="28" spans="1:14" ht="15" customHeight="1">
      <c r="A28" s="459" t="s">
        <v>53</v>
      </c>
      <c r="B28" s="459" t="s">
        <v>1292</v>
      </c>
      <c r="C28" s="459" t="s">
        <v>1325</v>
      </c>
      <c r="D28" s="459" t="s">
        <v>243</v>
      </c>
      <c r="E28" s="459"/>
      <c r="F28" s="459">
        <v>22</v>
      </c>
      <c r="G28" s="459"/>
      <c r="H28" s="459"/>
      <c r="I28" s="459"/>
      <c r="J28" s="459"/>
      <c r="K28" s="130"/>
      <c r="L28" s="130"/>
      <c r="M28" s="130"/>
      <c r="N28" s="130" t="s">
        <v>3987</v>
      </c>
    </row>
    <row r="29" spans="1:14" ht="15" customHeight="1">
      <c r="A29" s="459" t="s">
        <v>53</v>
      </c>
      <c r="B29" s="459" t="s">
        <v>1289</v>
      </c>
      <c r="C29" s="459" t="s">
        <v>324</v>
      </c>
      <c r="D29" s="459" t="s">
        <v>243</v>
      </c>
      <c r="E29" s="459"/>
      <c r="F29" s="459">
        <v>23</v>
      </c>
      <c r="G29" s="459"/>
      <c r="H29" s="459"/>
      <c r="I29" s="459"/>
      <c r="J29" s="459"/>
      <c r="K29" s="130"/>
      <c r="L29" s="130"/>
      <c r="M29" s="130"/>
      <c r="N29" s="130" t="s">
        <v>3987</v>
      </c>
    </row>
    <row r="30" spans="1:14" ht="15" customHeight="1">
      <c r="A30" s="459" t="s">
        <v>53</v>
      </c>
      <c r="B30" s="459" t="s">
        <v>1293</v>
      </c>
      <c r="C30" s="459" t="s">
        <v>432</v>
      </c>
      <c r="D30" s="459" t="s">
        <v>243</v>
      </c>
      <c r="E30" s="459"/>
      <c r="F30" s="459">
        <v>24</v>
      </c>
      <c r="G30" s="459"/>
      <c r="H30" s="459"/>
      <c r="I30" s="459"/>
      <c r="J30" s="459"/>
      <c r="K30" s="130"/>
      <c r="L30" s="130"/>
      <c r="M30" s="130"/>
      <c r="N30" s="130" t="s">
        <v>3987</v>
      </c>
    </row>
    <row r="31" spans="1:14" ht="15" customHeight="1">
      <c r="A31" s="459" t="s">
        <v>55</v>
      </c>
      <c r="B31" s="459" t="s">
        <v>4010</v>
      </c>
      <c r="C31" s="459" t="s">
        <v>247</v>
      </c>
      <c r="D31" s="459" t="s">
        <v>243</v>
      </c>
      <c r="E31" s="459"/>
      <c r="F31" s="459">
        <v>25</v>
      </c>
      <c r="G31" s="459"/>
      <c r="H31" s="459"/>
      <c r="I31" s="459"/>
      <c r="J31" s="459"/>
      <c r="K31" s="130"/>
      <c r="L31" s="130"/>
      <c r="M31" s="130"/>
      <c r="N31" s="130" t="s">
        <v>4011</v>
      </c>
    </row>
    <row r="32" spans="1:14" ht="15" customHeight="1">
      <c r="A32" s="459" t="s">
        <v>224</v>
      </c>
      <c r="B32" s="459" t="s">
        <v>1010</v>
      </c>
      <c r="C32" s="459" t="s">
        <v>1325</v>
      </c>
      <c r="D32" s="459" t="s">
        <v>243</v>
      </c>
      <c r="E32" s="459"/>
      <c r="F32" s="459">
        <v>26</v>
      </c>
      <c r="G32" s="459"/>
      <c r="H32" s="459"/>
      <c r="I32" s="459"/>
      <c r="J32" s="459"/>
      <c r="K32" s="130"/>
      <c r="L32" s="130"/>
      <c r="M32" s="130"/>
      <c r="N32" s="130" t="s">
        <v>4012</v>
      </c>
    </row>
    <row r="33" spans="1:14" ht="15" customHeight="1">
      <c r="A33" s="459" t="s">
        <v>224</v>
      </c>
      <c r="B33" s="459" t="s">
        <v>1406</v>
      </c>
      <c r="C33" s="459" t="s">
        <v>1325</v>
      </c>
      <c r="D33" s="459" t="s">
        <v>243</v>
      </c>
      <c r="E33" s="459"/>
      <c r="F33" s="459">
        <v>28</v>
      </c>
      <c r="G33" s="459"/>
      <c r="H33" s="459"/>
      <c r="I33" s="459"/>
      <c r="J33" s="459"/>
      <c r="K33" s="130"/>
      <c r="L33" s="130"/>
      <c r="M33" s="130"/>
      <c r="N33" s="130" t="s">
        <v>3987</v>
      </c>
    </row>
    <row r="34" spans="1:14" ht="15" customHeight="1">
      <c r="A34" s="459" t="s">
        <v>53</v>
      </c>
      <c r="B34" s="459" t="s">
        <v>1288</v>
      </c>
      <c r="C34" s="459" t="s">
        <v>1325</v>
      </c>
      <c r="D34" s="459" t="s">
        <v>903</v>
      </c>
      <c r="E34" s="459"/>
      <c r="F34" s="459">
        <v>29</v>
      </c>
      <c r="G34" s="459"/>
      <c r="H34" s="459"/>
      <c r="I34" s="459"/>
      <c r="J34" s="459"/>
      <c r="K34" s="130"/>
      <c r="L34" s="130"/>
      <c r="M34" s="130"/>
      <c r="N34" s="130" t="s">
        <v>3987</v>
      </c>
    </row>
    <row r="35" spans="1:14" ht="15" customHeight="1">
      <c r="A35" s="459" t="s">
        <v>224</v>
      </c>
      <c r="B35" s="459" t="s">
        <v>123</v>
      </c>
      <c r="C35" s="459" t="s">
        <v>1325</v>
      </c>
      <c r="D35" s="459" t="s">
        <v>243</v>
      </c>
      <c r="E35" s="459"/>
      <c r="F35" s="459">
        <v>30</v>
      </c>
      <c r="G35" s="459"/>
      <c r="H35" s="459"/>
      <c r="I35" s="459"/>
      <c r="J35" s="459"/>
      <c r="K35" s="130"/>
      <c r="L35" s="130"/>
      <c r="M35" s="130"/>
      <c r="N35" s="130" t="s">
        <v>3987</v>
      </c>
    </row>
  </sheetData>
  <autoFilter ref="A4:N35" xr:uid="{00000000-0009-0000-0000-000026000000}"/>
  <hyperlinks>
    <hyperlink ref="A2" r:id="rId1" xr:uid="{00000000-0004-0000-2600-000000000000}"/>
  </hyperlinks>
  <pageMargins left="0.7" right="0.7" top="0.75" bottom="0.75" header="0" footer="0"/>
  <pageSetup orientation="landscape"/>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outlinePr summaryBelow="0" summaryRight="0"/>
  </sheetPr>
  <dimension ref="A1:AE371"/>
  <sheetViews>
    <sheetView workbookViewId="0">
      <pane ySplit="2" topLeftCell="A3" activePane="bottomLeft" state="frozen"/>
      <selection pane="bottomLeft" activeCell="B4" sqref="B4"/>
    </sheetView>
  </sheetViews>
  <sheetFormatPr defaultColWidth="14.453125" defaultRowHeight="15" customHeight="1"/>
  <cols>
    <col min="1" max="4" width="0.1796875" hidden="1" customWidth="1"/>
    <col min="5" max="5" width="18.1796875" customWidth="1"/>
    <col min="6" max="6" width="37.1796875" customWidth="1"/>
    <col min="7" max="7" width="24.7265625" customWidth="1"/>
    <col min="8" max="8" width="10.7265625" hidden="1" customWidth="1"/>
    <col min="9" max="9" width="13" hidden="1" customWidth="1"/>
    <col min="10" max="10" width="16.26953125" hidden="1" customWidth="1"/>
    <col min="11" max="15" width="22.1796875" hidden="1" customWidth="1"/>
    <col min="16" max="16" width="20.453125" hidden="1" customWidth="1"/>
    <col min="17" max="17" width="10.7265625" hidden="1" customWidth="1"/>
    <col min="18" max="18" width="26.453125" hidden="1" customWidth="1"/>
    <col min="19" max="19" width="31.453125" customWidth="1"/>
    <col min="20" max="20" width="34.26953125" customWidth="1"/>
    <col min="21" max="21" width="34.1796875" customWidth="1"/>
    <col min="22" max="22" width="10.7265625" customWidth="1"/>
    <col min="23" max="23" width="24" customWidth="1"/>
    <col min="24" max="24" width="10.7265625" customWidth="1"/>
    <col min="25" max="25" width="22.26953125" customWidth="1"/>
    <col min="26" max="26" width="29.453125" customWidth="1"/>
    <col min="27" max="31" width="10.7265625" customWidth="1"/>
  </cols>
  <sheetData>
    <row r="1" spans="1:31" ht="18.75" customHeight="1">
      <c r="A1" s="186"/>
      <c r="B1" s="186"/>
      <c r="C1" s="186"/>
      <c r="D1" s="186"/>
      <c r="E1" s="289" t="s">
        <v>1034</v>
      </c>
      <c r="F1" s="186"/>
      <c r="G1" s="186"/>
      <c r="H1" s="186"/>
      <c r="I1" s="186"/>
      <c r="J1" s="186"/>
      <c r="K1" s="207" t="s">
        <v>1038</v>
      </c>
      <c r="L1" s="207"/>
      <c r="M1" s="207"/>
      <c r="N1" s="207"/>
      <c r="O1" s="207"/>
      <c r="P1" s="207"/>
      <c r="Q1" s="186"/>
      <c r="R1" s="186"/>
      <c r="S1" s="186"/>
      <c r="T1" s="186"/>
      <c r="U1" s="186"/>
      <c r="V1" s="186"/>
      <c r="W1" s="186"/>
      <c r="X1" s="186"/>
      <c r="Y1" s="186"/>
      <c r="Z1" s="186"/>
      <c r="AA1" s="186"/>
      <c r="AB1" s="186"/>
      <c r="AC1" s="186"/>
      <c r="AD1" s="186"/>
      <c r="AE1" s="186"/>
    </row>
    <row r="2" spans="1:31" ht="18.75" customHeight="1">
      <c r="A2" s="208" t="s">
        <v>1040</v>
      </c>
      <c r="B2" s="208" t="s">
        <v>1041</v>
      </c>
      <c r="C2" s="208" t="s">
        <v>1042</v>
      </c>
      <c r="D2" s="208" t="s">
        <v>1043</v>
      </c>
      <c r="E2" s="208" t="s">
        <v>224</v>
      </c>
      <c r="F2" s="208" t="s">
        <v>225</v>
      </c>
      <c r="G2" s="208" t="s">
        <v>226</v>
      </c>
      <c r="H2" s="208" t="s">
        <v>227</v>
      </c>
      <c r="I2" s="208" t="s">
        <v>1044</v>
      </c>
      <c r="J2" s="208" t="s">
        <v>1045</v>
      </c>
      <c r="K2" s="207" t="s">
        <v>100</v>
      </c>
      <c r="L2" s="207" t="s">
        <v>101</v>
      </c>
      <c r="M2" s="207" t="s">
        <v>102</v>
      </c>
      <c r="N2" s="207" t="s">
        <v>103</v>
      </c>
      <c r="O2" s="207" t="s">
        <v>104</v>
      </c>
      <c r="P2" s="207" t="s">
        <v>105</v>
      </c>
      <c r="Q2" s="208" t="s">
        <v>111</v>
      </c>
      <c r="R2" s="208" t="s">
        <v>112</v>
      </c>
      <c r="S2" s="208" t="s">
        <v>113</v>
      </c>
      <c r="T2" s="208" t="s">
        <v>1326</v>
      </c>
      <c r="U2" s="208" t="s">
        <v>4013</v>
      </c>
      <c r="V2" s="186"/>
      <c r="W2" s="186"/>
      <c r="X2" s="186"/>
      <c r="Y2" s="186"/>
      <c r="Z2" s="186"/>
      <c r="AA2" s="186"/>
      <c r="AB2" s="186"/>
      <c r="AC2" s="186"/>
      <c r="AD2" s="186"/>
      <c r="AE2" s="186"/>
    </row>
    <row r="3" spans="1:31" ht="18.75" customHeight="1">
      <c r="A3" s="213"/>
      <c r="B3" s="213"/>
      <c r="C3" s="210"/>
      <c r="D3" s="210"/>
      <c r="E3" s="186" t="s">
        <v>53</v>
      </c>
      <c r="F3" s="186" t="s">
        <v>1010</v>
      </c>
      <c r="G3" s="186" t="s">
        <v>535</v>
      </c>
      <c r="H3" s="186" t="s">
        <v>243</v>
      </c>
      <c r="I3" s="186"/>
      <c r="J3" s="186">
        <v>284</v>
      </c>
      <c r="K3" s="186"/>
      <c r="L3" s="186"/>
      <c r="M3" s="90"/>
      <c r="N3" s="90"/>
      <c r="O3" s="90"/>
      <c r="P3" s="186"/>
      <c r="Q3" s="186"/>
      <c r="R3" s="122"/>
      <c r="S3" s="186" t="s">
        <v>1190</v>
      </c>
      <c r="T3" s="186"/>
      <c r="U3" s="186"/>
      <c r="V3" s="186"/>
      <c r="W3" s="186"/>
      <c r="X3" s="186"/>
      <c r="Y3" s="186"/>
      <c r="Z3" s="186"/>
      <c r="AA3" s="186"/>
      <c r="AB3" s="186"/>
      <c r="AC3" s="186"/>
      <c r="AD3" s="186"/>
      <c r="AE3" s="186"/>
    </row>
    <row r="4" spans="1:31" ht="18.75" customHeight="1">
      <c r="A4" s="213"/>
      <c r="B4" s="213"/>
      <c r="C4" s="210"/>
      <c r="D4" s="210"/>
      <c r="E4" s="186" t="s">
        <v>55</v>
      </c>
      <c r="F4" s="186" t="s">
        <v>4014</v>
      </c>
      <c r="G4" s="186" t="s">
        <v>242</v>
      </c>
      <c r="H4" s="186" t="s">
        <v>243</v>
      </c>
      <c r="I4" s="186"/>
      <c r="J4" s="186">
        <v>3</v>
      </c>
      <c r="K4" s="186"/>
      <c r="L4" s="186"/>
      <c r="M4" s="90"/>
      <c r="N4" s="90"/>
      <c r="O4" s="90"/>
      <c r="P4" s="186"/>
      <c r="Q4" s="186"/>
      <c r="R4" s="122"/>
      <c r="S4" s="186" t="s">
        <v>4015</v>
      </c>
      <c r="T4" s="186"/>
      <c r="U4" s="186"/>
      <c r="V4" s="186"/>
      <c r="W4" s="186"/>
      <c r="X4" s="186"/>
      <c r="Y4" s="186"/>
      <c r="Z4" s="186"/>
      <c r="AA4" s="186"/>
      <c r="AB4" s="186"/>
      <c r="AC4" s="186"/>
      <c r="AD4" s="186"/>
      <c r="AE4" s="186"/>
    </row>
    <row r="5" spans="1:31" ht="18.75" customHeight="1">
      <c r="A5" s="213"/>
      <c r="B5" s="213"/>
      <c r="C5" s="210"/>
      <c r="D5" s="210"/>
      <c r="E5" s="186" t="s">
        <v>61</v>
      </c>
      <c r="F5" s="186" t="s">
        <v>118</v>
      </c>
      <c r="G5" s="186" t="s">
        <v>247</v>
      </c>
      <c r="H5" s="186" t="s">
        <v>243</v>
      </c>
      <c r="I5" s="186"/>
      <c r="J5" s="186">
        <v>2</v>
      </c>
      <c r="K5" s="186"/>
      <c r="L5" s="186"/>
      <c r="M5" s="90"/>
      <c r="N5" s="90"/>
      <c r="O5" s="90"/>
      <c r="P5" s="186"/>
      <c r="Q5" s="186"/>
      <c r="R5" s="122"/>
      <c r="S5" s="186" t="s">
        <v>4016</v>
      </c>
      <c r="T5" s="186"/>
      <c r="U5" s="186"/>
      <c r="V5" s="186"/>
      <c r="W5" s="186"/>
      <c r="X5" s="186"/>
      <c r="Y5" s="186"/>
      <c r="Z5" s="186"/>
      <c r="AA5" s="186"/>
      <c r="AB5" s="186"/>
      <c r="AC5" s="186"/>
      <c r="AD5" s="186"/>
      <c r="AE5" s="186"/>
    </row>
    <row r="6" spans="1:31" ht="18.75" customHeight="1">
      <c r="A6" s="213"/>
      <c r="B6" s="213"/>
      <c r="C6" s="210"/>
      <c r="D6" s="210"/>
      <c r="E6" s="186" t="s">
        <v>55</v>
      </c>
      <c r="F6" s="186" t="s">
        <v>1343</v>
      </c>
      <c r="G6" s="186" t="s">
        <v>346</v>
      </c>
      <c r="H6" s="186" t="s">
        <v>243</v>
      </c>
      <c r="I6" s="186"/>
      <c r="J6" s="186">
        <v>4</v>
      </c>
      <c r="K6" s="186"/>
      <c r="L6" s="186"/>
      <c r="M6" s="90"/>
      <c r="N6" s="90"/>
      <c r="O6" s="90"/>
      <c r="P6" s="186"/>
      <c r="Q6" s="186"/>
      <c r="R6" s="122"/>
      <c r="S6" s="186" t="s">
        <v>1936</v>
      </c>
      <c r="T6" s="186"/>
      <c r="U6" s="186"/>
      <c r="V6" s="186"/>
      <c r="W6" s="186"/>
      <c r="X6" s="186"/>
      <c r="Y6" s="186"/>
      <c r="Z6" s="186"/>
      <c r="AA6" s="186"/>
      <c r="AB6" s="186"/>
      <c r="AC6" s="186"/>
      <c r="AD6" s="186"/>
      <c r="AE6" s="186"/>
    </row>
    <row r="7" spans="1:31" ht="18.75" customHeight="1">
      <c r="A7" s="213"/>
      <c r="B7" s="213"/>
      <c r="C7" s="210"/>
      <c r="D7" s="210"/>
      <c r="E7" s="186" t="s">
        <v>59</v>
      </c>
      <c r="F7" s="186" t="s">
        <v>489</v>
      </c>
      <c r="G7" s="186" t="s">
        <v>346</v>
      </c>
      <c r="H7" s="186" t="s">
        <v>243</v>
      </c>
      <c r="I7" s="186"/>
      <c r="J7" s="186">
        <v>6</v>
      </c>
      <c r="K7" s="186"/>
      <c r="L7" s="186"/>
      <c r="M7" s="90"/>
      <c r="N7" s="90"/>
      <c r="O7" s="90"/>
      <c r="P7" s="186"/>
      <c r="Q7" s="186"/>
      <c r="R7" s="122"/>
      <c r="S7" s="186" t="s">
        <v>4017</v>
      </c>
      <c r="T7" s="186"/>
      <c r="U7" s="186"/>
      <c r="V7" s="186"/>
      <c r="W7" s="186"/>
      <c r="X7" s="186"/>
      <c r="Y7" s="186"/>
      <c r="Z7" s="186"/>
      <c r="AA7" s="186"/>
      <c r="AB7" s="186"/>
      <c r="AC7" s="186"/>
      <c r="AD7" s="186"/>
      <c r="AE7" s="186"/>
    </row>
    <row r="8" spans="1:31" ht="18.75" customHeight="1">
      <c r="A8" s="213"/>
      <c r="B8" s="213"/>
      <c r="C8" s="210"/>
      <c r="D8" s="210"/>
      <c r="E8" s="186" t="s">
        <v>55</v>
      </c>
      <c r="F8" s="186" t="s">
        <v>486</v>
      </c>
      <c r="G8" s="186" t="s">
        <v>346</v>
      </c>
      <c r="H8" s="186" t="s">
        <v>243</v>
      </c>
      <c r="I8" s="186"/>
      <c r="J8" s="186">
        <v>5</v>
      </c>
      <c r="K8" s="186"/>
      <c r="L8" s="186"/>
      <c r="M8" s="90"/>
      <c r="N8" s="90"/>
      <c r="O8" s="90"/>
      <c r="P8" s="186"/>
      <c r="Q8" s="186"/>
      <c r="R8" s="122"/>
      <c r="S8" s="186" t="s">
        <v>1936</v>
      </c>
      <c r="T8" s="186"/>
      <c r="U8" s="186"/>
      <c r="V8" s="186"/>
      <c r="W8" s="186"/>
      <c r="X8" s="186"/>
      <c r="Y8" s="186"/>
      <c r="Z8" s="186"/>
      <c r="AA8" s="186"/>
      <c r="AB8" s="186"/>
      <c r="AC8" s="186"/>
      <c r="AD8" s="186"/>
      <c r="AE8" s="186"/>
    </row>
    <row r="9" spans="1:31" ht="18.75" customHeight="1">
      <c r="A9" s="213"/>
      <c r="B9" s="213"/>
      <c r="C9" s="210"/>
      <c r="D9" s="210"/>
      <c r="E9" s="186" t="s">
        <v>55</v>
      </c>
      <c r="F9" s="186" t="s">
        <v>4018</v>
      </c>
      <c r="G9" s="186" t="s">
        <v>242</v>
      </c>
      <c r="H9" s="186" t="s">
        <v>243</v>
      </c>
      <c r="I9" s="186"/>
      <c r="J9" s="186">
        <v>7</v>
      </c>
      <c r="K9" s="186"/>
      <c r="L9" s="186"/>
      <c r="M9" s="90"/>
      <c r="N9" s="90"/>
      <c r="O9" s="90"/>
      <c r="P9" s="186"/>
      <c r="Q9" s="186"/>
      <c r="R9" s="122"/>
      <c r="S9" s="186" t="s">
        <v>4019</v>
      </c>
      <c r="T9" s="186"/>
      <c r="U9" s="186"/>
      <c r="V9" s="186"/>
      <c r="W9" s="186"/>
      <c r="X9" s="186"/>
      <c r="Y9" s="186"/>
      <c r="Z9" s="186"/>
      <c r="AA9" s="186"/>
      <c r="AB9" s="186"/>
      <c r="AC9" s="186"/>
      <c r="AD9" s="186"/>
      <c r="AE9" s="186"/>
    </row>
    <row r="10" spans="1:31" ht="18.75" customHeight="1">
      <c r="A10" s="213"/>
      <c r="B10" s="213"/>
      <c r="C10" s="210"/>
      <c r="D10" s="210"/>
      <c r="E10" s="186" t="s">
        <v>55</v>
      </c>
      <c r="F10" s="186" t="s">
        <v>2666</v>
      </c>
      <c r="G10" s="186" t="s">
        <v>255</v>
      </c>
      <c r="H10" s="186" t="s">
        <v>243</v>
      </c>
      <c r="I10" s="186"/>
      <c r="J10" s="186">
        <v>8</v>
      </c>
      <c r="K10" s="186"/>
      <c r="L10" s="186"/>
      <c r="M10" s="90"/>
      <c r="N10" s="90"/>
      <c r="O10" s="90"/>
      <c r="P10" s="186"/>
      <c r="Q10" s="186"/>
      <c r="R10" s="122"/>
      <c r="S10" s="186" t="s">
        <v>4020</v>
      </c>
      <c r="T10" s="186"/>
      <c r="U10" s="186"/>
      <c r="V10" s="186"/>
      <c r="W10" s="186"/>
      <c r="X10" s="186"/>
      <c r="Y10" s="186"/>
      <c r="Z10" s="186"/>
      <c r="AA10" s="186"/>
      <c r="AB10" s="186"/>
      <c r="AC10" s="186"/>
      <c r="AD10" s="186"/>
      <c r="AE10" s="186"/>
    </row>
    <row r="11" spans="1:31" ht="18.75" customHeight="1">
      <c r="A11" s="213"/>
      <c r="B11" s="213"/>
      <c r="C11" s="210"/>
      <c r="D11" s="210"/>
      <c r="E11" s="186" t="s">
        <v>53</v>
      </c>
      <c r="F11" s="186" t="s">
        <v>1406</v>
      </c>
      <c r="G11" s="186" t="s">
        <v>535</v>
      </c>
      <c r="H11" s="186" t="s">
        <v>243</v>
      </c>
      <c r="I11" s="186"/>
      <c r="J11" s="186">
        <v>285</v>
      </c>
      <c r="K11" s="186"/>
      <c r="L11" s="186"/>
      <c r="M11" s="90"/>
      <c r="N11" s="90"/>
      <c r="O11" s="90"/>
      <c r="P11" s="186"/>
      <c r="Q11" s="186"/>
      <c r="R11" s="122"/>
      <c r="S11" s="186" t="s">
        <v>1190</v>
      </c>
      <c r="T11" s="186"/>
      <c r="U11" s="186"/>
      <c r="V11" s="186"/>
      <c r="W11" s="186"/>
      <c r="X11" s="186"/>
      <c r="Y11" s="186"/>
      <c r="Z11" s="186"/>
      <c r="AA11" s="186"/>
      <c r="AB11" s="186"/>
      <c r="AC11" s="186"/>
      <c r="AD11" s="186"/>
      <c r="AE11" s="186"/>
    </row>
    <row r="12" spans="1:31" ht="18.75" customHeight="1">
      <c r="A12" s="213"/>
      <c r="B12" s="213"/>
      <c r="C12" s="210"/>
      <c r="D12" s="210"/>
      <c r="E12" s="186" t="s">
        <v>53</v>
      </c>
      <c r="F12" s="186" t="s">
        <v>1189</v>
      </c>
      <c r="G12" s="186" t="s">
        <v>249</v>
      </c>
      <c r="H12" s="186" t="s">
        <v>243</v>
      </c>
      <c r="I12" s="186"/>
      <c r="J12" s="186">
        <v>9</v>
      </c>
      <c r="K12" s="186"/>
      <c r="L12" s="186"/>
      <c r="M12" s="90"/>
      <c r="N12" s="90"/>
      <c r="O12" s="90"/>
      <c r="P12" s="186"/>
      <c r="Q12" s="186"/>
      <c r="R12" s="122"/>
      <c r="S12" s="186" t="s">
        <v>1190</v>
      </c>
      <c r="T12" s="186"/>
      <c r="U12" s="186"/>
      <c r="V12" s="186"/>
      <c r="W12" s="186"/>
      <c r="X12" s="186"/>
      <c r="Y12" s="186"/>
      <c r="Z12" s="186"/>
      <c r="AA12" s="186"/>
      <c r="AB12" s="186"/>
      <c r="AC12" s="186"/>
      <c r="AD12" s="186"/>
      <c r="AE12" s="186"/>
    </row>
    <row r="13" spans="1:31" ht="18.75" customHeight="1">
      <c r="A13" s="213"/>
      <c r="B13" s="213"/>
      <c r="C13" s="210"/>
      <c r="D13" s="210"/>
      <c r="E13" s="186" t="s">
        <v>61</v>
      </c>
      <c r="F13" s="186" t="s">
        <v>125</v>
      </c>
      <c r="G13" s="186" t="s">
        <v>255</v>
      </c>
      <c r="H13" s="186" t="s">
        <v>243</v>
      </c>
      <c r="I13" s="186"/>
      <c r="J13" s="186">
        <v>10</v>
      </c>
      <c r="K13" s="186"/>
      <c r="L13" s="186"/>
      <c r="M13" s="90"/>
      <c r="N13" s="90"/>
      <c r="O13" s="90"/>
      <c r="P13" s="186"/>
      <c r="Q13" s="186"/>
      <c r="R13" s="122"/>
      <c r="S13" s="186" t="s">
        <v>4021</v>
      </c>
      <c r="T13" s="186"/>
      <c r="U13" s="186"/>
      <c r="V13" s="186"/>
      <c r="W13" s="186"/>
      <c r="X13" s="186"/>
      <c r="Y13" s="186"/>
      <c r="Z13" s="186"/>
      <c r="AA13" s="186"/>
      <c r="AB13" s="186"/>
      <c r="AC13" s="186"/>
      <c r="AD13" s="186"/>
      <c r="AE13" s="186"/>
    </row>
    <row r="14" spans="1:31" ht="18.75" customHeight="1">
      <c r="A14" s="213"/>
      <c r="B14" s="213"/>
      <c r="C14" s="210"/>
      <c r="D14" s="210"/>
      <c r="E14" s="186" t="s">
        <v>53</v>
      </c>
      <c r="F14" s="186" t="s">
        <v>1191</v>
      </c>
      <c r="G14" s="186" t="s">
        <v>252</v>
      </c>
      <c r="H14" s="186" t="s">
        <v>243</v>
      </c>
      <c r="I14" s="186"/>
      <c r="J14" s="186">
        <v>11</v>
      </c>
      <c r="K14" s="186"/>
      <c r="L14" s="186"/>
      <c r="M14" s="90"/>
      <c r="N14" s="90"/>
      <c r="O14" s="90"/>
      <c r="P14" s="186"/>
      <c r="Q14" s="186"/>
      <c r="R14" s="122"/>
      <c r="S14" s="186" t="s">
        <v>1190</v>
      </c>
      <c r="T14" s="186"/>
      <c r="U14" s="186"/>
      <c r="V14" s="186"/>
      <c r="W14" s="186"/>
      <c r="X14" s="186"/>
      <c r="Y14" s="186"/>
      <c r="Z14" s="186"/>
      <c r="AA14" s="186"/>
      <c r="AB14" s="186"/>
      <c r="AC14" s="186"/>
      <c r="AD14" s="186"/>
      <c r="AE14" s="186"/>
    </row>
    <row r="15" spans="1:31" ht="18.75" customHeight="1">
      <c r="A15" s="213"/>
      <c r="B15" s="213"/>
      <c r="C15" s="210"/>
      <c r="D15" s="210"/>
      <c r="E15" s="186" t="s">
        <v>53</v>
      </c>
      <c r="F15" s="186" t="s">
        <v>1192</v>
      </c>
      <c r="G15" s="186" t="s">
        <v>242</v>
      </c>
      <c r="H15" s="186" t="s">
        <v>243</v>
      </c>
      <c r="I15" s="186"/>
      <c r="J15" s="186">
        <v>12</v>
      </c>
      <c r="K15" s="186"/>
      <c r="L15" s="186"/>
      <c r="M15" s="90"/>
      <c r="N15" s="90"/>
      <c r="O15" s="90"/>
      <c r="P15" s="186"/>
      <c r="Q15" s="186"/>
      <c r="R15" s="122"/>
      <c r="S15" s="186" t="s">
        <v>1190</v>
      </c>
      <c r="T15" s="186"/>
      <c r="U15" s="186"/>
      <c r="V15" s="186"/>
      <c r="W15" s="186"/>
      <c r="X15" s="186"/>
      <c r="Y15" s="186"/>
      <c r="Z15" s="186"/>
      <c r="AA15" s="186"/>
      <c r="AB15" s="186"/>
      <c r="AC15" s="186"/>
      <c r="AD15" s="186"/>
      <c r="AE15" s="186"/>
    </row>
    <row r="16" spans="1:31" ht="18.75" customHeight="1">
      <c r="A16" s="213"/>
      <c r="B16" s="213"/>
      <c r="C16" s="210"/>
      <c r="D16" s="210"/>
      <c r="E16" s="186" t="s">
        <v>53</v>
      </c>
      <c r="F16" s="186" t="s">
        <v>1409</v>
      </c>
      <c r="G16" s="186" t="s">
        <v>535</v>
      </c>
      <c r="H16" s="186" t="s">
        <v>243</v>
      </c>
      <c r="I16" s="186"/>
      <c r="J16" s="186">
        <v>286</v>
      </c>
      <c r="K16" s="186"/>
      <c r="L16" s="186"/>
      <c r="M16" s="90"/>
      <c r="N16" s="90"/>
      <c r="O16" s="90"/>
      <c r="P16" s="186"/>
      <c r="Q16" s="186"/>
      <c r="R16" s="122"/>
      <c r="S16" s="186" t="s">
        <v>1190</v>
      </c>
      <c r="T16" s="186"/>
      <c r="U16" s="186"/>
      <c r="V16" s="186"/>
      <c r="W16" s="186"/>
      <c r="X16" s="186"/>
      <c r="Y16" s="186"/>
      <c r="Z16" s="186"/>
      <c r="AA16" s="186"/>
      <c r="AB16" s="186"/>
      <c r="AC16" s="186"/>
      <c r="AD16" s="186"/>
      <c r="AE16" s="186"/>
    </row>
    <row r="17" spans="1:31" ht="18.75" customHeight="1">
      <c r="A17" s="213"/>
      <c r="B17" s="213"/>
      <c r="C17" s="210"/>
      <c r="D17" s="210"/>
      <c r="E17" s="186" t="s">
        <v>63</v>
      </c>
      <c r="F17" s="186" t="s">
        <v>4022</v>
      </c>
      <c r="G17" s="186" t="s">
        <v>995</v>
      </c>
      <c r="H17" s="186" t="s">
        <v>243</v>
      </c>
      <c r="I17" s="186"/>
      <c r="J17" s="186">
        <v>13</v>
      </c>
      <c r="K17" s="186"/>
      <c r="L17" s="186"/>
      <c r="M17" s="90"/>
      <c r="N17" s="90"/>
      <c r="O17" s="90"/>
      <c r="P17" s="186"/>
      <c r="Q17" s="186"/>
      <c r="R17" s="122"/>
      <c r="S17" s="186" t="s">
        <v>1190</v>
      </c>
      <c r="T17" s="186"/>
      <c r="U17" s="186"/>
      <c r="V17" s="186"/>
      <c r="W17" s="186"/>
      <c r="X17" s="186"/>
      <c r="Y17" s="186"/>
      <c r="Z17" s="186"/>
      <c r="AA17" s="186"/>
      <c r="AB17" s="186"/>
      <c r="AC17" s="186"/>
      <c r="AD17" s="186"/>
      <c r="AE17" s="186"/>
    </row>
    <row r="18" spans="1:31" ht="18.75" customHeight="1">
      <c r="A18" s="213"/>
      <c r="B18" s="213"/>
      <c r="C18" s="210"/>
      <c r="D18" s="210"/>
      <c r="E18" s="186" t="s">
        <v>53</v>
      </c>
      <c r="F18" s="186" t="s">
        <v>1193</v>
      </c>
      <c r="G18" s="186" t="s">
        <v>247</v>
      </c>
      <c r="H18" s="186" t="s">
        <v>243</v>
      </c>
      <c r="I18" s="186"/>
      <c r="J18" s="186">
        <v>14</v>
      </c>
      <c r="K18" s="186"/>
      <c r="L18" s="186"/>
      <c r="M18" s="90"/>
      <c r="N18" s="90"/>
      <c r="O18" s="90"/>
      <c r="P18" s="186"/>
      <c r="Q18" s="186"/>
      <c r="R18" s="122"/>
      <c r="S18" s="186" t="s">
        <v>1190</v>
      </c>
      <c r="T18" s="186"/>
      <c r="U18" s="186"/>
      <c r="V18" s="186"/>
      <c r="W18" s="186"/>
      <c r="X18" s="186"/>
      <c r="Y18" s="186"/>
      <c r="Z18" s="186"/>
      <c r="AA18" s="186"/>
      <c r="AB18" s="186"/>
      <c r="AC18" s="186"/>
      <c r="AD18" s="186"/>
      <c r="AE18" s="186"/>
    </row>
    <row r="19" spans="1:31" ht="18.75" customHeight="1">
      <c r="A19" s="213"/>
      <c r="B19" s="213"/>
      <c r="C19" s="210"/>
      <c r="D19" s="210"/>
      <c r="E19" s="186" t="s">
        <v>53</v>
      </c>
      <c r="F19" s="186" t="s">
        <v>1194</v>
      </c>
      <c r="G19" s="186" t="s">
        <v>252</v>
      </c>
      <c r="H19" s="186" t="s">
        <v>243</v>
      </c>
      <c r="I19" s="186"/>
      <c r="J19" s="186">
        <v>15</v>
      </c>
      <c r="K19" s="186"/>
      <c r="L19" s="186"/>
      <c r="M19" s="90"/>
      <c r="N19" s="90"/>
      <c r="O19" s="90"/>
      <c r="P19" s="186"/>
      <c r="Q19" s="186"/>
      <c r="R19" s="122"/>
      <c r="S19" s="186" t="s">
        <v>1190</v>
      </c>
      <c r="T19" s="186"/>
      <c r="U19" s="186"/>
      <c r="V19" s="186"/>
      <c r="W19" s="186"/>
      <c r="X19" s="186"/>
      <c r="Y19" s="186"/>
      <c r="Z19" s="186"/>
      <c r="AA19" s="186"/>
      <c r="AB19" s="186"/>
      <c r="AC19" s="186"/>
      <c r="AD19" s="186"/>
      <c r="AE19" s="186"/>
    </row>
    <row r="20" spans="1:31" ht="18.75" customHeight="1">
      <c r="A20" s="213"/>
      <c r="B20" s="213"/>
      <c r="C20" s="210"/>
      <c r="D20" s="210"/>
      <c r="E20" s="186" t="s">
        <v>53</v>
      </c>
      <c r="F20" s="186" t="s">
        <v>1195</v>
      </c>
      <c r="G20" s="186" t="s">
        <v>247</v>
      </c>
      <c r="H20" s="186" t="s">
        <v>243</v>
      </c>
      <c r="I20" s="186"/>
      <c r="J20" s="186">
        <v>16</v>
      </c>
      <c r="K20" s="186"/>
      <c r="L20" s="186"/>
      <c r="M20" s="90"/>
      <c r="N20" s="90"/>
      <c r="O20" s="90"/>
      <c r="P20" s="186"/>
      <c r="Q20" s="186"/>
      <c r="R20" s="122"/>
      <c r="S20" s="186" t="s">
        <v>1190</v>
      </c>
      <c r="T20" s="186"/>
      <c r="U20" s="186"/>
      <c r="V20" s="186"/>
      <c r="W20" s="186"/>
      <c r="X20" s="186"/>
      <c r="Y20" s="186"/>
      <c r="Z20" s="186"/>
      <c r="AA20" s="186"/>
      <c r="AB20" s="186"/>
      <c r="AC20" s="186"/>
      <c r="AD20" s="186"/>
      <c r="AE20" s="186"/>
    </row>
    <row r="21" spans="1:31" ht="18.75" customHeight="1">
      <c r="A21" s="213"/>
      <c r="B21" s="213"/>
      <c r="C21" s="210"/>
      <c r="D21" s="210"/>
      <c r="E21" s="186" t="s">
        <v>53</v>
      </c>
      <c r="F21" s="186" t="s">
        <v>1196</v>
      </c>
      <c r="G21" s="186" t="s">
        <v>535</v>
      </c>
      <c r="H21" s="186" t="s">
        <v>903</v>
      </c>
      <c r="I21" s="186"/>
      <c r="J21" s="186">
        <v>17</v>
      </c>
      <c r="K21" s="186"/>
      <c r="L21" s="186"/>
      <c r="M21" s="90"/>
      <c r="N21" s="90"/>
      <c r="O21" s="90"/>
      <c r="P21" s="186"/>
      <c r="Q21" s="186"/>
      <c r="R21" s="122"/>
      <c r="S21" s="186" t="s">
        <v>1190</v>
      </c>
      <c r="T21" s="186"/>
      <c r="U21" s="186"/>
      <c r="V21" s="186"/>
      <c r="W21" s="186"/>
      <c r="X21" s="186"/>
      <c r="Y21" s="186"/>
      <c r="Z21" s="186"/>
      <c r="AA21" s="186"/>
      <c r="AB21" s="186"/>
      <c r="AC21" s="186"/>
      <c r="AD21" s="186"/>
      <c r="AE21" s="186"/>
    </row>
    <row r="22" spans="1:31" ht="18.75" customHeight="1">
      <c r="A22" s="213"/>
      <c r="B22" s="213"/>
      <c r="C22" s="210"/>
      <c r="D22" s="210"/>
      <c r="E22" s="186" t="s">
        <v>59</v>
      </c>
      <c r="F22" s="186" t="s">
        <v>413</v>
      </c>
      <c r="G22" s="186" t="s">
        <v>329</v>
      </c>
      <c r="H22" s="186" t="s">
        <v>243</v>
      </c>
      <c r="I22" s="186"/>
      <c r="J22" s="186">
        <v>18</v>
      </c>
      <c r="K22" s="186"/>
      <c r="L22" s="186"/>
      <c r="M22" s="90"/>
      <c r="N22" s="90"/>
      <c r="O22" s="90"/>
      <c r="P22" s="186"/>
      <c r="Q22" s="186"/>
      <c r="R22" s="122"/>
      <c r="S22" s="186" t="s">
        <v>4023</v>
      </c>
      <c r="T22" s="186"/>
      <c r="U22" s="186"/>
      <c r="V22" s="186"/>
      <c r="W22" s="186"/>
      <c r="X22" s="186"/>
      <c r="Y22" s="186"/>
      <c r="Z22" s="186"/>
      <c r="AA22" s="186"/>
      <c r="AB22" s="186"/>
      <c r="AC22" s="186"/>
      <c r="AD22" s="186"/>
      <c r="AE22" s="186"/>
    </row>
    <row r="23" spans="1:31" ht="18.75" customHeight="1">
      <c r="A23" s="213"/>
      <c r="B23" s="213"/>
      <c r="C23" s="210"/>
      <c r="D23" s="210"/>
      <c r="E23" s="186" t="s">
        <v>55</v>
      </c>
      <c r="F23" s="186" t="s">
        <v>4024</v>
      </c>
      <c r="G23" s="186" t="s">
        <v>329</v>
      </c>
      <c r="H23" s="186" t="s">
        <v>243</v>
      </c>
      <c r="I23" s="186"/>
      <c r="J23" s="186">
        <v>298</v>
      </c>
      <c r="K23" s="186"/>
      <c r="L23" s="186"/>
      <c r="M23" s="90"/>
      <c r="N23" s="90"/>
      <c r="O23" s="90"/>
      <c r="P23" s="186"/>
      <c r="Q23" s="186"/>
      <c r="R23" s="122"/>
      <c r="S23" s="186"/>
      <c r="T23" s="186"/>
      <c r="U23" s="186"/>
      <c r="V23" s="186"/>
      <c r="W23" s="186"/>
      <c r="X23" s="186"/>
      <c r="Y23" s="186"/>
      <c r="Z23" s="186"/>
      <c r="AA23" s="186"/>
      <c r="AB23" s="186"/>
      <c r="AC23" s="186"/>
      <c r="AD23" s="186"/>
      <c r="AE23" s="186"/>
    </row>
    <row r="24" spans="1:31" ht="18.75" customHeight="1">
      <c r="A24" s="213"/>
      <c r="B24" s="213"/>
      <c r="C24" s="210"/>
      <c r="D24" s="210"/>
      <c r="E24" s="186" t="s">
        <v>59</v>
      </c>
      <c r="F24" s="186" t="s">
        <v>400</v>
      </c>
      <c r="G24" s="186" t="s">
        <v>329</v>
      </c>
      <c r="H24" s="186" t="s">
        <v>243</v>
      </c>
      <c r="I24" s="186"/>
      <c r="J24" s="186">
        <v>19</v>
      </c>
      <c r="K24" s="186"/>
      <c r="L24" s="186"/>
      <c r="M24" s="90"/>
      <c r="N24" s="90"/>
      <c r="O24" s="90"/>
      <c r="P24" s="186"/>
      <c r="Q24" s="186"/>
      <c r="R24" s="122"/>
      <c r="S24" s="186" t="s">
        <v>4025</v>
      </c>
      <c r="T24" s="186"/>
      <c r="U24" s="186"/>
      <c r="V24" s="186"/>
      <c r="W24" s="186"/>
      <c r="X24" s="186"/>
      <c r="Y24" s="186"/>
      <c r="Z24" s="186"/>
      <c r="AA24" s="186"/>
      <c r="AB24" s="186"/>
      <c r="AC24" s="186"/>
      <c r="AD24" s="186"/>
      <c r="AE24" s="186"/>
    </row>
    <row r="25" spans="1:31" ht="18.75" customHeight="1">
      <c r="A25" s="213"/>
      <c r="B25" s="213"/>
      <c r="C25" s="210"/>
      <c r="D25" s="210"/>
      <c r="E25" s="186" t="s">
        <v>55</v>
      </c>
      <c r="F25" s="186" t="s">
        <v>4026</v>
      </c>
      <c r="G25" s="186" t="s">
        <v>329</v>
      </c>
      <c r="H25" s="186" t="s">
        <v>243</v>
      </c>
      <c r="I25" s="186"/>
      <c r="J25" s="186">
        <v>297</v>
      </c>
      <c r="K25" s="186"/>
      <c r="L25" s="186"/>
      <c r="M25" s="90"/>
      <c r="N25" s="90"/>
      <c r="O25" s="90"/>
      <c r="P25" s="186"/>
      <c r="Q25" s="186"/>
      <c r="R25" s="122"/>
      <c r="S25" s="186"/>
      <c r="T25" s="186"/>
      <c r="U25" s="186"/>
      <c r="V25" s="186"/>
      <c r="W25" s="186"/>
      <c r="X25" s="186"/>
      <c r="Y25" s="186"/>
      <c r="Z25" s="186"/>
      <c r="AA25" s="186"/>
      <c r="AB25" s="186"/>
      <c r="AC25" s="186"/>
      <c r="AD25" s="186"/>
      <c r="AE25" s="186"/>
    </row>
    <row r="26" spans="1:31" ht="18.75" customHeight="1">
      <c r="A26" s="213"/>
      <c r="B26" s="213"/>
      <c r="C26" s="210"/>
      <c r="D26" s="210"/>
      <c r="E26" s="186" t="s">
        <v>55</v>
      </c>
      <c r="F26" s="186" t="s">
        <v>4027</v>
      </c>
      <c r="G26" s="186" t="s">
        <v>329</v>
      </c>
      <c r="H26" s="186" t="s">
        <v>243</v>
      </c>
      <c r="I26" s="186"/>
      <c r="J26" s="186">
        <v>299</v>
      </c>
      <c r="K26" s="186"/>
      <c r="L26" s="186"/>
      <c r="M26" s="90"/>
      <c r="N26" s="90"/>
      <c r="O26" s="90"/>
      <c r="P26" s="186"/>
      <c r="Q26" s="186"/>
      <c r="R26" s="122"/>
      <c r="S26" s="186"/>
      <c r="T26" s="186"/>
      <c r="U26" s="186"/>
      <c r="V26" s="186"/>
      <c r="W26" s="186"/>
      <c r="X26" s="186"/>
      <c r="Y26" s="186"/>
      <c r="Z26" s="186"/>
      <c r="AA26" s="186"/>
      <c r="AB26" s="186"/>
      <c r="AC26" s="186"/>
      <c r="AD26" s="186"/>
      <c r="AE26" s="186"/>
    </row>
    <row r="27" spans="1:31" ht="18.75" customHeight="1">
      <c r="A27" s="213"/>
      <c r="B27" s="213"/>
      <c r="C27" s="210"/>
      <c r="D27" s="210"/>
      <c r="E27" s="186" t="s">
        <v>55</v>
      </c>
      <c r="F27" s="186" t="s">
        <v>4028</v>
      </c>
      <c r="G27" s="186" t="s">
        <v>329</v>
      </c>
      <c r="H27" s="186" t="s">
        <v>243</v>
      </c>
      <c r="I27" s="186"/>
      <c r="J27" s="186">
        <v>317</v>
      </c>
      <c r="K27" s="186"/>
      <c r="L27" s="186"/>
      <c r="M27" s="90"/>
      <c r="N27" s="90"/>
      <c r="O27" s="90"/>
      <c r="P27" s="186"/>
      <c r="Q27" s="186"/>
      <c r="R27" s="122"/>
      <c r="S27" s="186"/>
      <c r="T27" s="186"/>
      <c r="U27" s="186"/>
      <c r="V27" s="186"/>
      <c r="W27" s="186"/>
      <c r="X27" s="186"/>
      <c r="Y27" s="186"/>
      <c r="Z27" s="186"/>
      <c r="AA27" s="186"/>
      <c r="AB27" s="186"/>
      <c r="AC27" s="186"/>
      <c r="AD27" s="186"/>
      <c r="AE27" s="186"/>
    </row>
    <row r="28" spans="1:31" ht="18.75" customHeight="1">
      <c r="A28" s="213"/>
      <c r="B28" s="213"/>
      <c r="C28" s="210"/>
      <c r="D28" s="210"/>
      <c r="E28" s="186" t="s">
        <v>55</v>
      </c>
      <c r="F28" s="186" t="s">
        <v>4029</v>
      </c>
      <c r="G28" s="186" t="s">
        <v>329</v>
      </c>
      <c r="H28" s="186" t="s">
        <v>243</v>
      </c>
      <c r="I28" s="186"/>
      <c r="J28" s="186">
        <v>300</v>
      </c>
      <c r="K28" s="186"/>
      <c r="L28" s="186"/>
      <c r="M28" s="90"/>
      <c r="N28" s="90"/>
      <c r="O28" s="90"/>
      <c r="P28" s="186"/>
      <c r="Q28" s="186"/>
      <c r="R28" s="122"/>
      <c r="S28" s="186"/>
      <c r="T28" s="186"/>
      <c r="U28" s="186"/>
      <c r="V28" s="186"/>
      <c r="W28" s="186"/>
      <c r="X28" s="186"/>
      <c r="Y28" s="186"/>
      <c r="Z28" s="186"/>
      <c r="AA28" s="186"/>
      <c r="AB28" s="186"/>
      <c r="AC28" s="186"/>
      <c r="AD28" s="186"/>
      <c r="AE28" s="186"/>
    </row>
    <row r="29" spans="1:31" ht="18.75" customHeight="1">
      <c r="A29" s="213"/>
      <c r="B29" s="213"/>
      <c r="C29" s="210"/>
      <c r="D29" s="210"/>
      <c r="E29" s="186" t="s">
        <v>55</v>
      </c>
      <c r="F29" s="186" t="s">
        <v>4030</v>
      </c>
      <c r="G29" s="186" t="s">
        <v>329</v>
      </c>
      <c r="H29" s="186" t="s">
        <v>243</v>
      </c>
      <c r="I29" s="186"/>
      <c r="J29" s="186">
        <v>306</v>
      </c>
      <c r="K29" s="186"/>
      <c r="L29" s="186"/>
      <c r="M29" s="90"/>
      <c r="N29" s="90"/>
      <c r="O29" s="90"/>
      <c r="P29" s="186"/>
      <c r="Q29" s="186"/>
      <c r="R29" s="122"/>
      <c r="S29" s="186"/>
      <c r="T29" s="186"/>
      <c r="U29" s="186"/>
      <c r="V29" s="186"/>
      <c r="W29" s="186"/>
      <c r="X29" s="186"/>
      <c r="Y29" s="186"/>
      <c r="Z29" s="186"/>
      <c r="AA29" s="186"/>
      <c r="AB29" s="186"/>
      <c r="AC29" s="186"/>
      <c r="AD29" s="186"/>
      <c r="AE29" s="186"/>
    </row>
    <row r="30" spans="1:31" ht="18.75" customHeight="1">
      <c r="A30" s="213"/>
      <c r="B30" s="213"/>
      <c r="C30" s="210"/>
      <c r="D30" s="210"/>
      <c r="E30" s="186" t="s">
        <v>61</v>
      </c>
      <c r="F30" s="186" t="s">
        <v>120</v>
      </c>
      <c r="G30" s="186" t="s">
        <v>250</v>
      </c>
      <c r="H30" s="186" t="s">
        <v>243</v>
      </c>
      <c r="I30" s="186"/>
      <c r="J30" s="186">
        <v>20</v>
      </c>
      <c r="K30" s="186"/>
      <c r="L30" s="186"/>
      <c r="M30" s="90"/>
      <c r="N30" s="90"/>
      <c r="O30" s="90"/>
      <c r="P30" s="186"/>
      <c r="Q30" s="186"/>
      <c r="R30" s="122"/>
      <c r="S30" s="186" t="s">
        <v>4031</v>
      </c>
      <c r="T30" s="186"/>
      <c r="U30" s="186"/>
      <c r="V30" s="186"/>
      <c r="W30" s="186"/>
      <c r="X30" s="186"/>
      <c r="Y30" s="186"/>
      <c r="Z30" s="186"/>
      <c r="AA30" s="186"/>
      <c r="AB30" s="186"/>
      <c r="AC30" s="186"/>
      <c r="AD30" s="186"/>
      <c r="AE30" s="186"/>
    </row>
    <row r="31" spans="1:31" ht="18.75" customHeight="1">
      <c r="A31" s="213"/>
      <c r="B31" s="213"/>
      <c r="C31" s="210"/>
      <c r="D31" s="210"/>
      <c r="E31" s="186" t="s">
        <v>55</v>
      </c>
      <c r="F31" s="186" t="s">
        <v>4032</v>
      </c>
      <c r="G31" s="186" t="s">
        <v>329</v>
      </c>
      <c r="H31" s="186" t="s">
        <v>243</v>
      </c>
      <c r="I31" s="186"/>
      <c r="J31" s="186">
        <v>21</v>
      </c>
      <c r="K31" s="186"/>
      <c r="L31" s="186"/>
      <c r="M31" s="90"/>
      <c r="N31" s="90"/>
      <c r="O31" s="90"/>
      <c r="P31" s="186"/>
      <c r="Q31" s="186"/>
      <c r="R31" s="122"/>
      <c r="S31" s="186" t="s">
        <v>4033</v>
      </c>
      <c r="T31" s="186"/>
      <c r="U31" s="186"/>
      <c r="V31" s="186"/>
      <c r="W31" s="186"/>
      <c r="X31" s="186"/>
      <c r="Y31" s="186"/>
      <c r="Z31" s="186"/>
      <c r="AA31" s="186"/>
      <c r="AB31" s="186"/>
      <c r="AC31" s="186"/>
      <c r="AD31" s="186"/>
      <c r="AE31" s="186"/>
    </row>
    <row r="32" spans="1:31" ht="18.75" customHeight="1">
      <c r="A32" s="213"/>
      <c r="B32" s="213"/>
      <c r="C32" s="210"/>
      <c r="D32" s="210"/>
      <c r="E32" s="186" t="s">
        <v>55</v>
      </c>
      <c r="F32" s="186" t="s">
        <v>4034</v>
      </c>
      <c r="G32" s="186" t="s">
        <v>329</v>
      </c>
      <c r="H32" s="186" t="s">
        <v>243</v>
      </c>
      <c r="I32" s="186"/>
      <c r="J32" s="186">
        <v>22</v>
      </c>
      <c r="K32" s="186"/>
      <c r="L32" s="186"/>
      <c r="M32" s="90"/>
      <c r="N32" s="90"/>
      <c r="O32" s="90"/>
      <c r="P32" s="186"/>
      <c r="Q32" s="186"/>
      <c r="R32" s="122"/>
      <c r="S32" s="186" t="s">
        <v>4035</v>
      </c>
      <c r="T32" s="186"/>
      <c r="U32" s="186"/>
      <c r="V32" s="186"/>
      <c r="W32" s="186"/>
      <c r="X32" s="186"/>
      <c r="Y32" s="186"/>
      <c r="Z32" s="186"/>
      <c r="AA32" s="186"/>
      <c r="AB32" s="186"/>
      <c r="AC32" s="186"/>
      <c r="AD32" s="186"/>
      <c r="AE32" s="186"/>
    </row>
    <row r="33" spans="1:31" ht="18.75" customHeight="1">
      <c r="A33" s="213"/>
      <c r="B33" s="213"/>
      <c r="C33" s="210"/>
      <c r="D33" s="210"/>
      <c r="E33" s="186" t="s">
        <v>55</v>
      </c>
      <c r="F33" s="186" t="s">
        <v>4036</v>
      </c>
      <c r="G33" s="186" t="s">
        <v>329</v>
      </c>
      <c r="H33" s="186" t="s">
        <v>243</v>
      </c>
      <c r="I33" s="186"/>
      <c r="J33" s="186">
        <v>23</v>
      </c>
      <c r="K33" s="186"/>
      <c r="L33" s="186"/>
      <c r="M33" s="90"/>
      <c r="N33" s="90"/>
      <c r="O33" s="90"/>
      <c r="P33" s="186"/>
      <c r="Q33" s="186"/>
      <c r="R33" s="122"/>
      <c r="S33" s="186" t="s">
        <v>4037</v>
      </c>
      <c r="T33" s="186"/>
      <c r="U33" s="186"/>
      <c r="V33" s="186"/>
      <c r="W33" s="186"/>
      <c r="X33" s="186"/>
      <c r="Y33" s="186"/>
      <c r="Z33" s="186"/>
      <c r="AA33" s="186"/>
      <c r="AB33" s="186"/>
      <c r="AC33" s="186"/>
      <c r="AD33" s="186"/>
      <c r="AE33" s="186"/>
    </row>
    <row r="34" spans="1:31" ht="18.75" customHeight="1">
      <c r="A34" s="213"/>
      <c r="B34" s="213"/>
      <c r="C34" s="210"/>
      <c r="D34" s="210"/>
      <c r="E34" s="186" t="s">
        <v>55</v>
      </c>
      <c r="F34" s="186" t="s">
        <v>4038</v>
      </c>
      <c r="G34" s="186" t="s">
        <v>329</v>
      </c>
      <c r="H34" s="186" t="s">
        <v>243</v>
      </c>
      <c r="I34" s="186"/>
      <c r="J34" s="186">
        <v>24</v>
      </c>
      <c r="K34" s="186"/>
      <c r="L34" s="186"/>
      <c r="M34" s="90"/>
      <c r="N34" s="90"/>
      <c r="O34" s="90"/>
      <c r="P34" s="186"/>
      <c r="Q34" s="186"/>
      <c r="R34" s="122"/>
      <c r="S34" s="186" t="s">
        <v>4039</v>
      </c>
      <c r="T34" s="186"/>
      <c r="U34" s="186"/>
      <c r="V34" s="186"/>
      <c r="W34" s="186"/>
      <c r="X34" s="186"/>
      <c r="Y34" s="186"/>
      <c r="Z34" s="186"/>
      <c r="AA34" s="186"/>
      <c r="AB34" s="186"/>
      <c r="AC34" s="186"/>
      <c r="AD34" s="186"/>
      <c r="AE34" s="186"/>
    </row>
    <row r="35" spans="1:31" ht="18.75" customHeight="1">
      <c r="A35" s="213"/>
      <c r="B35" s="213"/>
      <c r="C35" s="210"/>
      <c r="D35" s="210"/>
      <c r="E35" s="186" t="s">
        <v>55</v>
      </c>
      <c r="F35" s="186" t="s">
        <v>4040</v>
      </c>
      <c r="G35" s="186" t="s">
        <v>329</v>
      </c>
      <c r="H35" s="186" t="s">
        <v>243</v>
      </c>
      <c r="I35" s="186"/>
      <c r="J35" s="186">
        <v>302</v>
      </c>
      <c r="K35" s="186"/>
      <c r="L35" s="186"/>
      <c r="M35" s="90"/>
      <c r="N35" s="90"/>
      <c r="O35" s="90"/>
      <c r="P35" s="186"/>
      <c r="Q35" s="186"/>
      <c r="R35" s="122"/>
      <c r="S35" s="186"/>
      <c r="T35" s="186"/>
      <c r="U35" s="186"/>
      <c r="V35" s="186"/>
      <c r="W35" s="186"/>
      <c r="X35" s="186"/>
      <c r="Y35" s="186"/>
      <c r="Z35" s="186"/>
      <c r="AA35" s="186"/>
      <c r="AB35" s="186"/>
      <c r="AC35" s="186"/>
      <c r="AD35" s="186"/>
      <c r="AE35" s="186"/>
    </row>
    <row r="36" spans="1:31" ht="18.75" customHeight="1">
      <c r="A36" s="213"/>
      <c r="B36" s="213"/>
      <c r="C36" s="210"/>
      <c r="D36" s="210"/>
      <c r="E36" s="186" t="s">
        <v>55</v>
      </c>
      <c r="F36" s="186" t="s">
        <v>4041</v>
      </c>
      <c r="G36" s="186" t="s">
        <v>329</v>
      </c>
      <c r="H36" s="186" t="s">
        <v>243</v>
      </c>
      <c r="I36" s="186"/>
      <c r="J36" s="186">
        <v>301</v>
      </c>
      <c r="K36" s="186"/>
      <c r="L36" s="186"/>
      <c r="M36" s="90"/>
      <c r="N36" s="90"/>
      <c r="O36" s="90"/>
      <c r="P36" s="186"/>
      <c r="Q36" s="186"/>
      <c r="R36" s="122"/>
      <c r="S36" s="186"/>
      <c r="T36" s="186"/>
      <c r="U36" s="186"/>
      <c r="V36" s="186"/>
      <c r="W36" s="186"/>
      <c r="X36" s="186"/>
      <c r="Y36" s="186"/>
      <c r="Z36" s="186"/>
      <c r="AA36" s="186"/>
      <c r="AB36" s="186"/>
      <c r="AC36" s="186"/>
      <c r="AD36" s="186"/>
      <c r="AE36" s="186"/>
    </row>
    <row r="37" spans="1:31" ht="18.75" customHeight="1">
      <c r="A37" s="213"/>
      <c r="B37" s="213"/>
      <c r="C37" s="210"/>
      <c r="D37" s="210"/>
      <c r="E37" s="186" t="s">
        <v>55</v>
      </c>
      <c r="F37" s="186" t="s">
        <v>4042</v>
      </c>
      <c r="G37" s="186" t="s">
        <v>329</v>
      </c>
      <c r="H37" s="186" t="s">
        <v>243</v>
      </c>
      <c r="I37" s="186"/>
      <c r="J37" s="186">
        <v>303</v>
      </c>
      <c r="K37" s="186"/>
      <c r="L37" s="186"/>
      <c r="M37" s="90"/>
      <c r="N37" s="90"/>
      <c r="O37" s="90"/>
      <c r="P37" s="186"/>
      <c r="Q37" s="186"/>
      <c r="R37" s="122"/>
      <c r="S37" s="186"/>
      <c r="T37" s="186"/>
      <c r="U37" s="186"/>
      <c r="V37" s="186"/>
      <c r="W37" s="186"/>
      <c r="X37" s="186"/>
      <c r="Y37" s="186"/>
      <c r="Z37" s="186"/>
      <c r="AA37" s="186"/>
      <c r="AB37" s="186"/>
      <c r="AC37" s="186"/>
      <c r="AD37" s="186"/>
      <c r="AE37" s="186"/>
    </row>
    <row r="38" spans="1:31" ht="18.75" customHeight="1">
      <c r="A38" s="213"/>
      <c r="B38" s="213"/>
      <c r="C38" s="210"/>
      <c r="D38" s="210"/>
      <c r="E38" s="186" t="s">
        <v>55</v>
      </c>
      <c r="F38" s="186" t="s">
        <v>4043</v>
      </c>
      <c r="G38" s="186" t="s">
        <v>329</v>
      </c>
      <c r="H38" s="186" t="s">
        <v>243</v>
      </c>
      <c r="I38" s="186"/>
      <c r="J38" s="186">
        <v>304</v>
      </c>
      <c r="K38" s="186"/>
      <c r="L38" s="186"/>
      <c r="M38" s="90"/>
      <c r="N38" s="90"/>
      <c r="O38" s="90"/>
      <c r="P38" s="186"/>
      <c r="Q38" s="186"/>
      <c r="R38" s="122"/>
      <c r="S38" s="186"/>
      <c r="T38" s="186"/>
      <c r="U38" s="186"/>
      <c r="V38" s="186"/>
      <c r="W38" s="186"/>
      <c r="X38" s="186"/>
      <c r="Y38" s="186"/>
      <c r="Z38" s="186"/>
      <c r="AA38" s="186"/>
      <c r="AB38" s="186"/>
      <c r="AC38" s="186"/>
      <c r="AD38" s="186"/>
      <c r="AE38" s="186"/>
    </row>
    <row r="39" spans="1:31" ht="18.75" customHeight="1">
      <c r="A39" s="213"/>
      <c r="B39" s="213"/>
      <c r="C39" s="210"/>
      <c r="D39" s="210"/>
      <c r="E39" s="186" t="s">
        <v>55</v>
      </c>
      <c r="F39" s="186" t="s">
        <v>1465</v>
      </c>
      <c r="G39" s="186" t="s">
        <v>329</v>
      </c>
      <c r="H39" s="186" t="s">
        <v>243</v>
      </c>
      <c r="I39" s="186"/>
      <c r="J39" s="186">
        <v>25</v>
      </c>
      <c r="K39" s="186"/>
      <c r="L39" s="186"/>
      <c r="M39" s="90"/>
      <c r="N39" s="90"/>
      <c r="O39" s="90"/>
      <c r="P39" s="186"/>
      <c r="Q39" s="186"/>
      <c r="R39" s="122"/>
      <c r="S39" s="186" t="s">
        <v>4044</v>
      </c>
      <c r="T39" s="186"/>
      <c r="U39" s="186"/>
      <c r="V39" s="186"/>
      <c r="W39" s="186"/>
      <c r="X39" s="186"/>
      <c r="Y39" s="186"/>
      <c r="Z39" s="186"/>
      <c r="AA39" s="186"/>
      <c r="AB39" s="186"/>
      <c r="AC39" s="186"/>
      <c r="AD39" s="186"/>
      <c r="AE39" s="186"/>
    </row>
    <row r="40" spans="1:31" ht="18.75" customHeight="1">
      <c r="A40" s="213"/>
      <c r="B40" s="213"/>
      <c r="C40" s="210"/>
      <c r="D40" s="210"/>
      <c r="E40" s="186" t="s">
        <v>55</v>
      </c>
      <c r="F40" s="186" t="s">
        <v>1467</v>
      </c>
      <c r="G40" s="186" t="s">
        <v>329</v>
      </c>
      <c r="H40" s="186" t="s">
        <v>243</v>
      </c>
      <c r="I40" s="186"/>
      <c r="J40" s="186">
        <v>26</v>
      </c>
      <c r="K40" s="186"/>
      <c r="L40" s="186"/>
      <c r="M40" s="90"/>
      <c r="N40" s="90"/>
      <c r="O40" s="90"/>
      <c r="P40" s="186"/>
      <c r="Q40" s="186"/>
      <c r="R40" s="122"/>
      <c r="S40" s="186" t="s">
        <v>4045</v>
      </c>
      <c r="T40" s="186"/>
      <c r="U40" s="186"/>
      <c r="V40" s="186"/>
      <c r="W40" s="186"/>
      <c r="X40" s="186"/>
      <c r="Y40" s="186"/>
      <c r="Z40" s="186"/>
      <c r="AA40" s="186"/>
      <c r="AB40" s="186"/>
      <c r="AC40" s="186"/>
      <c r="AD40" s="186"/>
      <c r="AE40" s="186"/>
    </row>
    <row r="41" spans="1:31" ht="18.75" customHeight="1">
      <c r="A41" s="213"/>
      <c r="B41" s="213"/>
      <c r="C41" s="210"/>
      <c r="D41" s="210"/>
      <c r="E41" s="186" t="s">
        <v>55</v>
      </c>
      <c r="F41" s="186" t="s">
        <v>1469</v>
      </c>
      <c r="G41" s="186" t="s">
        <v>329</v>
      </c>
      <c r="H41" s="186" t="s">
        <v>243</v>
      </c>
      <c r="I41" s="186"/>
      <c r="J41" s="186">
        <v>27</v>
      </c>
      <c r="K41" s="186"/>
      <c r="L41" s="186"/>
      <c r="M41" s="90"/>
      <c r="N41" s="90"/>
      <c r="O41" s="90"/>
      <c r="P41" s="186"/>
      <c r="Q41" s="186"/>
      <c r="R41" s="122"/>
      <c r="S41" s="186" t="s">
        <v>4046</v>
      </c>
      <c r="T41" s="186"/>
      <c r="U41" s="186"/>
      <c r="V41" s="186"/>
      <c r="W41" s="186"/>
      <c r="X41" s="186"/>
      <c r="Y41" s="186"/>
      <c r="Z41" s="186"/>
      <c r="AA41" s="186"/>
      <c r="AB41" s="186"/>
      <c r="AC41" s="186"/>
      <c r="AD41" s="186"/>
      <c r="AE41" s="186"/>
    </row>
    <row r="42" spans="1:31" ht="18.75" customHeight="1">
      <c r="A42" s="213"/>
      <c r="B42" s="213"/>
      <c r="C42" s="210"/>
      <c r="D42" s="210"/>
      <c r="E42" s="186" t="s">
        <v>55</v>
      </c>
      <c r="F42" s="186" t="s">
        <v>4047</v>
      </c>
      <c r="G42" s="186" t="s">
        <v>329</v>
      </c>
      <c r="H42" s="186" t="s">
        <v>243</v>
      </c>
      <c r="I42" s="186"/>
      <c r="J42" s="186">
        <v>319</v>
      </c>
      <c r="K42" s="186"/>
      <c r="L42" s="186"/>
      <c r="M42" s="90"/>
      <c r="N42" s="90"/>
      <c r="O42" s="90"/>
      <c r="P42" s="186"/>
      <c r="Q42" s="186"/>
      <c r="R42" s="122"/>
      <c r="S42" s="186"/>
      <c r="T42" s="186"/>
      <c r="U42" s="186"/>
      <c r="V42" s="186"/>
      <c r="W42" s="186"/>
      <c r="X42" s="186"/>
      <c r="Y42" s="186"/>
      <c r="Z42" s="186"/>
      <c r="AA42" s="186"/>
      <c r="AB42" s="186"/>
      <c r="AC42" s="186"/>
      <c r="AD42" s="186"/>
      <c r="AE42" s="186"/>
    </row>
    <row r="43" spans="1:31" ht="18.75" customHeight="1">
      <c r="A43" s="213"/>
      <c r="B43" s="213"/>
      <c r="C43" s="210"/>
      <c r="D43" s="210"/>
      <c r="E43" s="186" t="s">
        <v>55</v>
      </c>
      <c r="F43" s="186" t="s">
        <v>1471</v>
      </c>
      <c r="G43" s="186" t="s">
        <v>329</v>
      </c>
      <c r="H43" s="186" t="s">
        <v>243</v>
      </c>
      <c r="I43" s="186"/>
      <c r="J43" s="186">
        <v>28</v>
      </c>
      <c r="K43" s="186"/>
      <c r="L43" s="186"/>
      <c r="M43" s="90"/>
      <c r="N43" s="90"/>
      <c r="O43" s="90"/>
      <c r="P43" s="186"/>
      <c r="Q43" s="186"/>
      <c r="R43" s="122"/>
      <c r="S43" s="186" t="s">
        <v>4048</v>
      </c>
      <c r="T43" s="186"/>
      <c r="U43" s="186"/>
      <c r="V43" s="186"/>
      <c r="W43" s="186"/>
      <c r="X43" s="186"/>
      <c r="Y43" s="186"/>
      <c r="Z43" s="186"/>
      <c r="AA43" s="186"/>
      <c r="AB43" s="186"/>
      <c r="AC43" s="186"/>
      <c r="AD43" s="186"/>
      <c r="AE43" s="186"/>
    </row>
    <row r="44" spans="1:31" ht="18.75" customHeight="1">
      <c r="A44" s="213"/>
      <c r="B44" s="213"/>
      <c r="C44" s="210"/>
      <c r="D44" s="210"/>
      <c r="E44" s="186" t="s">
        <v>55</v>
      </c>
      <c r="F44" s="186" t="s">
        <v>4049</v>
      </c>
      <c r="G44" s="186" t="s">
        <v>329</v>
      </c>
      <c r="H44" s="186" t="s">
        <v>243</v>
      </c>
      <c r="I44" s="186"/>
      <c r="J44" s="186">
        <v>29</v>
      </c>
      <c r="K44" s="186"/>
      <c r="L44" s="186"/>
      <c r="M44" s="90"/>
      <c r="N44" s="90"/>
      <c r="O44" s="90"/>
      <c r="P44" s="186"/>
      <c r="Q44" s="186"/>
      <c r="R44" s="122"/>
      <c r="S44" s="186" t="s">
        <v>4050</v>
      </c>
      <c r="T44" s="186"/>
      <c r="U44" s="186"/>
      <c r="V44" s="186"/>
      <c r="W44" s="186"/>
      <c r="X44" s="186"/>
      <c r="Y44" s="186"/>
      <c r="Z44" s="186"/>
      <c r="AA44" s="186"/>
      <c r="AB44" s="186"/>
      <c r="AC44" s="186"/>
      <c r="AD44" s="186"/>
      <c r="AE44" s="186"/>
    </row>
    <row r="45" spans="1:31" ht="18.75" customHeight="1">
      <c r="A45" s="213"/>
      <c r="B45" s="213"/>
      <c r="C45" s="210"/>
      <c r="D45" s="210"/>
      <c r="E45" s="186" t="s">
        <v>55</v>
      </c>
      <c r="F45" s="186" t="s">
        <v>4051</v>
      </c>
      <c r="G45" s="186" t="s">
        <v>329</v>
      </c>
      <c r="H45" s="186" t="s">
        <v>243</v>
      </c>
      <c r="I45" s="186"/>
      <c r="J45" s="186">
        <v>30</v>
      </c>
      <c r="K45" s="186"/>
      <c r="L45" s="186"/>
      <c r="M45" s="90"/>
      <c r="N45" s="90"/>
      <c r="O45" s="90"/>
      <c r="P45" s="186"/>
      <c r="Q45" s="186"/>
      <c r="R45" s="122"/>
      <c r="S45" s="186" t="s">
        <v>4052</v>
      </c>
      <c r="T45" s="186"/>
      <c r="U45" s="186"/>
      <c r="V45" s="186"/>
      <c r="W45" s="186"/>
      <c r="X45" s="186"/>
      <c r="Y45" s="186"/>
      <c r="Z45" s="186"/>
      <c r="AA45" s="186"/>
      <c r="AB45" s="186"/>
      <c r="AC45" s="186"/>
      <c r="AD45" s="186"/>
      <c r="AE45" s="186"/>
    </row>
    <row r="46" spans="1:31" ht="18.75" customHeight="1">
      <c r="A46" s="213"/>
      <c r="B46" s="213"/>
      <c r="C46" s="210"/>
      <c r="D46" s="210"/>
      <c r="E46" s="186" t="s">
        <v>55</v>
      </c>
      <c r="F46" s="186" t="s">
        <v>4053</v>
      </c>
      <c r="G46" s="186" t="s">
        <v>329</v>
      </c>
      <c r="H46" s="186" t="s">
        <v>243</v>
      </c>
      <c r="I46" s="186"/>
      <c r="J46" s="186">
        <v>31</v>
      </c>
      <c r="K46" s="186"/>
      <c r="L46" s="186"/>
      <c r="M46" s="90"/>
      <c r="N46" s="90"/>
      <c r="O46" s="90"/>
      <c r="P46" s="186"/>
      <c r="Q46" s="186"/>
      <c r="R46" s="122"/>
      <c r="S46" s="186" t="s">
        <v>4054</v>
      </c>
      <c r="T46" s="186"/>
      <c r="U46" s="186"/>
      <c r="V46" s="186"/>
      <c r="W46" s="186"/>
      <c r="X46" s="186"/>
      <c r="Y46" s="186"/>
      <c r="Z46" s="186"/>
      <c r="AA46" s="186"/>
      <c r="AB46" s="186"/>
      <c r="AC46" s="186"/>
      <c r="AD46" s="186"/>
      <c r="AE46" s="186"/>
    </row>
    <row r="47" spans="1:31" ht="18.75" customHeight="1">
      <c r="A47" s="213"/>
      <c r="B47" s="213"/>
      <c r="C47" s="210"/>
      <c r="D47" s="210"/>
      <c r="E47" s="186" t="s">
        <v>55</v>
      </c>
      <c r="F47" s="186" t="s">
        <v>4055</v>
      </c>
      <c r="G47" s="186" t="s">
        <v>329</v>
      </c>
      <c r="H47" s="186" t="s">
        <v>243</v>
      </c>
      <c r="I47" s="186"/>
      <c r="J47" s="186">
        <v>318</v>
      </c>
      <c r="K47" s="186"/>
      <c r="L47" s="186"/>
      <c r="M47" s="90"/>
      <c r="N47" s="90"/>
      <c r="O47" s="90"/>
      <c r="P47" s="186"/>
      <c r="Q47" s="186"/>
      <c r="R47" s="122"/>
      <c r="S47" s="186"/>
      <c r="T47" s="186"/>
      <c r="U47" s="186"/>
      <c r="V47" s="186"/>
      <c r="W47" s="186"/>
      <c r="X47" s="186"/>
      <c r="Y47" s="186"/>
      <c r="Z47" s="186"/>
      <c r="AA47" s="186"/>
      <c r="AB47" s="186"/>
      <c r="AC47" s="186"/>
      <c r="AD47" s="186"/>
      <c r="AE47" s="186"/>
    </row>
    <row r="48" spans="1:31" ht="18.75" customHeight="1">
      <c r="A48" s="213"/>
      <c r="B48" s="213"/>
      <c r="C48" s="210"/>
      <c r="D48" s="210"/>
      <c r="E48" s="186" t="s">
        <v>55</v>
      </c>
      <c r="F48" s="186" t="s">
        <v>4056</v>
      </c>
      <c r="G48" s="186" t="s">
        <v>329</v>
      </c>
      <c r="H48" s="186" t="s">
        <v>243</v>
      </c>
      <c r="I48" s="186"/>
      <c r="J48" s="186">
        <v>32</v>
      </c>
      <c r="K48" s="186"/>
      <c r="L48" s="186"/>
      <c r="M48" s="90"/>
      <c r="N48" s="90"/>
      <c r="O48" s="90"/>
      <c r="P48" s="186"/>
      <c r="Q48" s="186"/>
      <c r="R48" s="122"/>
      <c r="S48" s="186" t="s">
        <v>4057</v>
      </c>
      <c r="T48" s="186"/>
      <c r="U48" s="186"/>
      <c r="V48" s="186"/>
      <c r="W48" s="186"/>
      <c r="X48" s="186"/>
      <c r="Y48" s="186"/>
      <c r="Z48" s="186"/>
      <c r="AA48" s="186"/>
      <c r="AB48" s="186"/>
      <c r="AC48" s="186"/>
      <c r="AD48" s="186"/>
      <c r="AE48" s="186"/>
    </row>
    <row r="49" spans="1:31" ht="18.75" customHeight="1">
      <c r="A49" s="213"/>
      <c r="B49" s="213"/>
      <c r="C49" s="210"/>
      <c r="D49" s="210"/>
      <c r="E49" s="186" t="s">
        <v>55</v>
      </c>
      <c r="F49" s="186" t="s">
        <v>4058</v>
      </c>
      <c r="G49" s="186" t="s">
        <v>329</v>
      </c>
      <c r="H49" s="186" t="s">
        <v>243</v>
      </c>
      <c r="I49" s="186"/>
      <c r="J49" s="186">
        <v>33</v>
      </c>
      <c r="K49" s="186"/>
      <c r="L49" s="186"/>
      <c r="M49" s="90"/>
      <c r="N49" s="90"/>
      <c r="O49" s="90"/>
      <c r="P49" s="186"/>
      <c r="Q49" s="186"/>
      <c r="R49" s="122"/>
      <c r="S49" s="186"/>
      <c r="T49" s="186"/>
      <c r="U49" s="186"/>
      <c r="V49" s="186"/>
      <c r="W49" s="186"/>
      <c r="X49" s="186"/>
      <c r="Y49" s="186"/>
      <c r="Z49" s="186"/>
      <c r="AA49" s="186"/>
      <c r="AB49" s="186"/>
      <c r="AC49" s="186"/>
      <c r="AD49" s="186"/>
      <c r="AE49" s="186"/>
    </row>
    <row r="50" spans="1:31" ht="18.75" customHeight="1">
      <c r="A50" s="213"/>
      <c r="B50" s="213"/>
      <c r="C50" s="210"/>
      <c r="D50" s="210"/>
      <c r="E50" s="186" t="s">
        <v>55</v>
      </c>
      <c r="F50" s="186" t="s">
        <v>4059</v>
      </c>
      <c r="G50" s="186" t="s">
        <v>329</v>
      </c>
      <c r="H50" s="186" t="s">
        <v>243</v>
      </c>
      <c r="I50" s="186"/>
      <c r="J50" s="186">
        <v>34</v>
      </c>
      <c r="K50" s="186"/>
      <c r="L50" s="186"/>
      <c r="M50" s="90"/>
      <c r="N50" s="90"/>
      <c r="O50" s="90"/>
      <c r="P50" s="186"/>
      <c r="Q50" s="186"/>
      <c r="R50" s="122"/>
      <c r="S50" s="186"/>
      <c r="T50" s="186"/>
      <c r="U50" s="186"/>
      <c r="V50" s="186"/>
      <c r="W50" s="186"/>
      <c r="X50" s="186"/>
      <c r="Y50" s="186"/>
      <c r="Z50" s="186"/>
      <c r="AA50" s="186"/>
      <c r="AB50" s="186"/>
      <c r="AC50" s="186"/>
      <c r="AD50" s="186"/>
      <c r="AE50" s="186"/>
    </row>
    <row r="51" spans="1:31" ht="18.75" customHeight="1">
      <c r="A51" s="213"/>
      <c r="B51" s="213"/>
      <c r="C51" s="210"/>
      <c r="D51" s="210"/>
      <c r="E51" s="186" t="s">
        <v>55</v>
      </c>
      <c r="F51" s="186" t="s">
        <v>4060</v>
      </c>
      <c r="G51" s="186" t="s">
        <v>329</v>
      </c>
      <c r="H51" s="186" t="s">
        <v>243</v>
      </c>
      <c r="I51" s="186"/>
      <c r="J51" s="186">
        <v>35</v>
      </c>
      <c r="K51" s="186"/>
      <c r="L51" s="186"/>
      <c r="M51" s="90"/>
      <c r="N51" s="90"/>
      <c r="O51" s="90"/>
      <c r="P51" s="186"/>
      <c r="Q51" s="186"/>
      <c r="R51" s="122"/>
      <c r="S51" s="186"/>
      <c r="T51" s="186"/>
      <c r="U51" s="186"/>
      <c r="V51" s="186"/>
      <c r="W51" s="186"/>
      <c r="X51" s="186"/>
      <c r="Y51" s="186"/>
      <c r="Z51" s="186"/>
      <c r="AA51" s="186"/>
      <c r="AB51" s="186"/>
      <c r="AC51" s="186"/>
      <c r="AD51" s="186"/>
      <c r="AE51" s="186"/>
    </row>
    <row r="52" spans="1:31" ht="18.75" customHeight="1">
      <c r="A52" s="213"/>
      <c r="B52" s="213"/>
      <c r="C52" s="210"/>
      <c r="D52" s="210"/>
      <c r="E52" s="186" t="s">
        <v>55</v>
      </c>
      <c r="F52" s="186" t="s">
        <v>4061</v>
      </c>
      <c r="G52" s="186" t="s">
        <v>329</v>
      </c>
      <c r="H52" s="186" t="s">
        <v>243</v>
      </c>
      <c r="I52" s="186"/>
      <c r="J52" s="186">
        <v>36</v>
      </c>
      <c r="K52" s="186"/>
      <c r="L52" s="186"/>
      <c r="M52" s="90"/>
      <c r="N52" s="90"/>
      <c r="O52" s="90"/>
      <c r="P52" s="186"/>
      <c r="Q52" s="186"/>
      <c r="R52" s="122"/>
      <c r="S52" s="186"/>
      <c r="T52" s="186"/>
      <c r="U52" s="186"/>
      <c r="V52" s="186"/>
      <c r="W52" s="186"/>
      <c r="X52" s="186"/>
      <c r="Y52" s="186"/>
      <c r="Z52" s="186"/>
      <c r="AA52" s="186"/>
      <c r="AB52" s="186"/>
      <c r="AC52" s="186"/>
      <c r="AD52" s="186"/>
      <c r="AE52" s="186"/>
    </row>
    <row r="53" spans="1:31" ht="18.75" customHeight="1">
      <c r="A53" s="213"/>
      <c r="B53" s="213"/>
      <c r="C53" s="210"/>
      <c r="D53" s="210"/>
      <c r="E53" s="186" t="s">
        <v>55</v>
      </c>
      <c r="F53" s="186" t="s">
        <v>4062</v>
      </c>
      <c r="G53" s="186" t="s">
        <v>329</v>
      </c>
      <c r="H53" s="186" t="s">
        <v>243</v>
      </c>
      <c r="I53" s="186"/>
      <c r="J53" s="186">
        <v>330</v>
      </c>
      <c r="K53" s="186"/>
      <c r="L53" s="186"/>
      <c r="M53" s="90"/>
      <c r="N53" s="90"/>
      <c r="O53" s="90"/>
      <c r="P53" s="186"/>
      <c r="Q53" s="186"/>
      <c r="R53" s="122"/>
      <c r="S53" s="186"/>
      <c r="T53" s="186"/>
      <c r="U53" s="186"/>
      <c r="V53" s="186"/>
      <c r="W53" s="186"/>
      <c r="X53" s="186"/>
      <c r="Y53" s="186"/>
      <c r="Z53" s="186"/>
      <c r="AA53" s="186"/>
      <c r="AB53" s="186"/>
      <c r="AC53" s="186"/>
      <c r="AD53" s="186"/>
      <c r="AE53" s="186"/>
    </row>
    <row r="54" spans="1:31" ht="18.75" customHeight="1">
      <c r="A54" s="213"/>
      <c r="B54" s="213"/>
      <c r="C54" s="210"/>
      <c r="D54" s="210"/>
      <c r="E54" s="186" t="s">
        <v>55</v>
      </c>
      <c r="F54" s="186" t="s">
        <v>4063</v>
      </c>
      <c r="G54" s="186" t="s">
        <v>329</v>
      </c>
      <c r="H54" s="186" t="s">
        <v>243</v>
      </c>
      <c r="I54" s="186"/>
      <c r="J54" s="186">
        <v>331</v>
      </c>
      <c r="K54" s="186"/>
      <c r="L54" s="186"/>
      <c r="M54" s="90"/>
      <c r="N54" s="90"/>
      <c r="O54" s="90"/>
      <c r="P54" s="186"/>
      <c r="Q54" s="186"/>
      <c r="R54" s="122"/>
      <c r="S54" s="186"/>
      <c r="T54" s="186"/>
      <c r="U54" s="186"/>
      <c r="V54" s="186"/>
      <c r="W54" s="186"/>
      <c r="X54" s="186"/>
      <c r="Y54" s="186"/>
      <c r="Z54" s="186"/>
      <c r="AA54" s="186"/>
      <c r="AB54" s="186"/>
      <c r="AC54" s="186"/>
      <c r="AD54" s="186"/>
      <c r="AE54" s="186"/>
    </row>
    <row r="55" spans="1:31" ht="18.75" customHeight="1">
      <c r="A55" s="213"/>
      <c r="B55" s="213"/>
      <c r="C55" s="210"/>
      <c r="D55" s="210"/>
      <c r="E55" s="186" t="s">
        <v>55</v>
      </c>
      <c r="F55" s="186" t="s">
        <v>4064</v>
      </c>
      <c r="G55" s="186" t="s">
        <v>329</v>
      </c>
      <c r="H55" s="186" t="s">
        <v>243</v>
      </c>
      <c r="I55" s="186"/>
      <c r="J55" s="186">
        <v>332</v>
      </c>
      <c r="K55" s="186"/>
      <c r="L55" s="186"/>
      <c r="M55" s="90"/>
      <c r="N55" s="90"/>
      <c r="O55" s="90"/>
      <c r="P55" s="186"/>
      <c r="Q55" s="186"/>
      <c r="R55" s="122"/>
      <c r="S55" s="186"/>
      <c r="T55" s="186"/>
      <c r="U55" s="186"/>
      <c r="V55" s="186"/>
      <c r="W55" s="186"/>
      <c r="X55" s="186"/>
      <c r="Y55" s="186"/>
      <c r="Z55" s="186"/>
      <c r="AA55" s="186"/>
      <c r="AB55" s="186"/>
      <c r="AC55" s="186"/>
      <c r="AD55" s="186"/>
      <c r="AE55" s="186"/>
    </row>
    <row r="56" spans="1:31" ht="18.75" customHeight="1">
      <c r="A56" s="213"/>
      <c r="B56" s="213"/>
      <c r="C56" s="210"/>
      <c r="D56" s="210"/>
      <c r="E56" s="186" t="s">
        <v>55</v>
      </c>
      <c r="F56" s="186" t="s">
        <v>4065</v>
      </c>
      <c r="G56" s="186" t="s">
        <v>329</v>
      </c>
      <c r="H56" s="186" t="s">
        <v>243</v>
      </c>
      <c r="I56" s="186"/>
      <c r="J56" s="186">
        <v>333</v>
      </c>
      <c r="K56" s="186"/>
      <c r="L56" s="186"/>
      <c r="M56" s="90"/>
      <c r="N56" s="90"/>
      <c r="O56" s="90"/>
      <c r="P56" s="186"/>
      <c r="Q56" s="186"/>
      <c r="R56" s="122"/>
      <c r="S56" s="186"/>
      <c r="T56" s="186"/>
      <c r="U56" s="186"/>
      <c r="V56" s="186"/>
      <c r="W56" s="186"/>
      <c r="X56" s="186"/>
      <c r="Y56" s="186"/>
      <c r="Z56" s="186"/>
      <c r="AA56" s="186"/>
      <c r="AB56" s="186"/>
      <c r="AC56" s="186"/>
      <c r="AD56" s="186"/>
      <c r="AE56" s="186"/>
    </row>
    <row r="57" spans="1:31" ht="18.75" customHeight="1">
      <c r="A57" s="213"/>
      <c r="B57" s="213"/>
      <c r="C57" s="210"/>
      <c r="D57" s="210"/>
      <c r="E57" s="186" t="s">
        <v>55</v>
      </c>
      <c r="F57" s="186" t="s">
        <v>4066</v>
      </c>
      <c r="G57" s="186" t="s">
        <v>329</v>
      </c>
      <c r="H57" s="186" t="s">
        <v>243</v>
      </c>
      <c r="I57" s="186"/>
      <c r="J57" s="186">
        <v>37</v>
      </c>
      <c r="K57" s="186"/>
      <c r="L57" s="186"/>
      <c r="M57" s="90"/>
      <c r="N57" s="90"/>
      <c r="O57" s="90"/>
      <c r="P57" s="186"/>
      <c r="Q57" s="186"/>
      <c r="R57" s="122"/>
      <c r="S57" s="186"/>
      <c r="T57" s="186"/>
      <c r="U57" s="186"/>
      <c r="V57" s="186"/>
      <c r="W57" s="186"/>
      <c r="X57" s="186"/>
      <c r="Y57" s="186"/>
      <c r="Z57" s="186"/>
      <c r="AA57" s="186"/>
      <c r="AB57" s="186"/>
      <c r="AC57" s="186"/>
      <c r="AD57" s="186"/>
      <c r="AE57" s="186"/>
    </row>
    <row r="58" spans="1:31" ht="18.75" customHeight="1">
      <c r="A58" s="213"/>
      <c r="B58" s="213"/>
      <c r="C58" s="210"/>
      <c r="D58" s="210"/>
      <c r="E58" s="186" t="s">
        <v>55</v>
      </c>
      <c r="F58" s="186" t="s">
        <v>4067</v>
      </c>
      <c r="G58" s="186" t="s">
        <v>329</v>
      </c>
      <c r="H58" s="186" t="s">
        <v>243</v>
      </c>
      <c r="I58" s="186"/>
      <c r="J58" s="186">
        <v>38</v>
      </c>
      <c r="K58" s="186"/>
      <c r="L58" s="186"/>
      <c r="M58" s="90"/>
      <c r="N58" s="90"/>
      <c r="O58" s="90"/>
      <c r="P58" s="186"/>
      <c r="Q58" s="186"/>
      <c r="R58" s="122"/>
      <c r="S58" s="186"/>
      <c r="T58" s="186"/>
      <c r="U58" s="186"/>
      <c r="V58" s="186"/>
      <c r="W58" s="186"/>
      <c r="X58" s="186"/>
      <c r="Y58" s="186"/>
      <c r="Z58" s="186"/>
      <c r="AA58" s="186"/>
      <c r="AB58" s="186"/>
      <c r="AC58" s="186"/>
      <c r="AD58" s="186"/>
      <c r="AE58" s="186"/>
    </row>
    <row r="59" spans="1:31" ht="18.75" customHeight="1">
      <c r="A59" s="213"/>
      <c r="B59" s="213"/>
      <c r="C59" s="210"/>
      <c r="D59" s="210"/>
      <c r="E59" s="186" t="s">
        <v>55</v>
      </c>
      <c r="F59" s="186" t="s">
        <v>4068</v>
      </c>
      <c r="G59" s="186" t="s">
        <v>329</v>
      </c>
      <c r="H59" s="186" t="s">
        <v>243</v>
      </c>
      <c r="I59" s="186"/>
      <c r="J59" s="186">
        <v>39</v>
      </c>
      <c r="K59" s="186"/>
      <c r="L59" s="186"/>
      <c r="M59" s="90"/>
      <c r="N59" s="90"/>
      <c r="O59" s="90"/>
      <c r="P59" s="186"/>
      <c r="Q59" s="186"/>
      <c r="R59" s="122"/>
      <c r="S59" s="186"/>
      <c r="T59" s="186"/>
      <c r="U59" s="186"/>
      <c r="V59" s="186"/>
      <c r="W59" s="186"/>
      <c r="X59" s="186"/>
      <c r="Y59" s="186"/>
      <c r="Z59" s="186"/>
      <c r="AA59" s="186"/>
      <c r="AB59" s="186"/>
      <c r="AC59" s="186"/>
      <c r="AD59" s="186"/>
      <c r="AE59" s="186"/>
    </row>
    <row r="60" spans="1:31" ht="18.75" customHeight="1">
      <c r="A60" s="213"/>
      <c r="B60" s="213"/>
      <c r="C60" s="210"/>
      <c r="D60" s="210"/>
      <c r="E60" s="186" t="s">
        <v>55</v>
      </c>
      <c r="F60" s="186" t="s">
        <v>4069</v>
      </c>
      <c r="G60" s="186" t="s">
        <v>329</v>
      </c>
      <c r="H60" s="186" t="s">
        <v>243</v>
      </c>
      <c r="I60" s="186"/>
      <c r="J60" s="186">
        <v>40</v>
      </c>
      <c r="K60" s="186"/>
      <c r="L60" s="186"/>
      <c r="M60" s="90"/>
      <c r="N60" s="90"/>
      <c r="O60" s="90"/>
      <c r="P60" s="186"/>
      <c r="Q60" s="186"/>
      <c r="R60" s="122"/>
      <c r="S60" s="186"/>
      <c r="T60" s="186"/>
      <c r="U60" s="186"/>
      <c r="V60" s="186"/>
      <c r="W60" s="186"/>
      <c r="X60" s="186"/>
      <c r="Y60" s="186"/>
      <c r="Z60" s="186"/>
      <c r="AA60" s="186"/>
      <c r="AB60" s="186"/>
      <c r="AC60" s="186"/>
      <c r="AD60" s="186"/>
      <c r="AE60" s="186"/>
    </row>
    <row r="61" spans="1:31" ht="18.75" customHeight="1">
      <c r="A61" s="213"/>
      <c r="B61" s="213"/>
      <c r="C61" s="210"/>
      <c r="D61" s="210"/>
      <c r="E61" s="186" t="s">
        <v>55</v>
      </c>
      <c r="F61" s="186" t="s">
        <v>4070</v>
      </c>
      <c r="G61" s="186" t="s">
        <v>329</v>
      </c>
      <c r="H61" s="186" t="s">
        <v>243</v>
      </c>
      <c r="I61" s="186"/>
      <c r="J61" s="186">
        <v>41</v>
      </c>
      <c r="K61" s="186"/>
      <c r="L61" s="186"/>
      <c r="M61" s="90"/>
      <c r="N61" s="90"/>
      <c r="O61" s="90"/>
      <c r="P61" s="186"/>
      <c r="Q61" s="186"/>
      <c r="R61" s="122"/>
      <c r="S61" s="186"/>
      <c r="T61" s="186"/>
      <c r="U61" s="186"/>
      <c r="V61" s="186"/>
      <c r="W61" s="186"/>
      <c r="X61" s="186"/>
      <c r="Y61" s="186"/>
      <c r="Z61" s="186"/>
      <c r="AA61" s="186"/>
      <c r="AB61" s="186"/>
      <c r="AC61" s="186"/>
      <c r="AD61" s="186"/>
      <c r="AE61" s="186"/>
    </row>
    <row r="62" spans="1:31" ht="18.75" customHeight="1">
      <c r="A62" s="213"/>
      <c r="B62" s="213"/>
      <c r="C62" s="210"/>
      <c r="D62" s="210"/>
      <c r="E62" s="186" t="s">
        <v>55</v>
      </c>
      <c r="F62" s="186" t="s">
        <v>4071</v>
      </c>
      <c r="G62" s="186" t="s">
        <v>329</v>
      </c>
      <c r="H62" s="186" t="s">
        <v>243</v>
      </c>
      <c r="I62" s="186"/>
      <c r="J62" s="186">
        <v>42</v>
      </c>
      <c r="K62" s="186"/>
      <c r="L62" s="186"/>
      <c r="M62" s="90"/>
      <c r="N62" s="90"/>
      <c r="O62" s="90"/>
      <c r="P62" s="186"/>
      <c r="Q62" s="186"/>
      <c r="R62" s="122"/>
      <c r="S62" s="186"/>
      <c r="T62" s="186"/>
      <c r="U62" s="186"/>
      <c r="V62" s="186"/>
      <c r="W62" s="186"/>
      <c r="X62" s="186"/>
      <c r="Y62" s="186"/>
      <c r="Z62" s="186"/>
      <c r="AA62" s="186"/>
      <c r="AB62" s="186"/>
      <c r="AC62" s="186"/>
      <c r="AD62" s="186"/>
      <c r="AE62" s="186"/>
    </row>
    <row r="63" spans="1:31" ht="18.75" customHeight="1">
      <c r="A63" s="213"/>
      <c r="B63" s="213"/>
      <c r="C63" s="210"/>
      <c r="D63" s="210"/>
      <c r="E63" s="186" t="s">
        <v>55</v>
      </c>
      <c r="F63" s="186" t="s">
        <v>4072</v>
      </c>
      <c r="G63" s="186" t="s">
        <v>329</v>
      </c>
      <c r="H63" s="186" t="s">
        <v>243</v>
      </c>
      <c r="I63" s="186"/>
      <c r="J63" s="186">
        <v>43</v>
      </c>
      <c r="K63" s="186"/>
      <c r="L63" s="186"/>
      <c r="M63" s="90"/>
      <c r="N63" s="90"/>
      <c r="O63" s="90"/>
      <c r="P63" s="186"/>
      <c r="Q63" s="186"/>
      <c r="R63" s="122"/>
      <c r="S63" s="186"/>
      <c r="T63" s="186"/>
      <c r="U63" s="186"/>
      <c r="V63" s="186"/>
      <c r="W63" s="186"/>
      <c r="X63" s="186"/>
      <c r="Y63" s="186"/>
      <c r="Z63" s="186"/>
      <c r="AA63" s="186"/>
      <c r="AB63" s="186"/>
      <c r="AC63" s="186"/>
      <c r="AD63" s="186"/>
      <c r="AE63" s="186"/>
    </row>
    <row r="64" spans="1:31" ht="18.75" customHeight="1">
      <c r="A64" s="213"/>
      <c r="B64" s="213"/>
      <c r="C64" s="210"/>
      <c r="D64" s="210"/>
      <c r="E64" s="186" t="s">
        <v>55</v>
      </c>
      <c r="F64" s="186" t="s">
        <v>4073</v>
      </c>
      <c r="G64" s="186" t="s">
        <v>329</v>
      </c>
      <c r="H64" s="186" t="s">
        <v>243</v>
      </c>
      <c r="I64" s="186"/>
      <c r="J64" s="186">
        <v>44</v>
      </c>
      <c r="K64" s="186"/>
      <c r="L64" s="186"/>
      <c r="M64" s="90"/>
      <c r="N64" s="90"/>
      <c r="O64" s="90"/>
      <c r="P64" s="186"/>
      <c r="Q64" s="186"/>
      <c r="R64" s="122"/>
      <c r="S64" s="186"/>
      <c r="T64" s="186"/>
      <c r="U64" s="186"/>
      <c r="V64" s="186"/>
      <c r="W64" s="186"/>
      <c r="X64" s="186"/>
      <c r="Y64" s="186"/>
      <c r="Z64" s="186"/>
      <c r="AA64" s="186"/>
      <c r="AB64" s="186"/>
      <c r="AC64" s="186"/>
      <c r="AD64" s="186"/>
      <c r="AE64" s="186"/>
    </row>
    <row r="65" spans="1:31" ht="18.75" customHeight="1">
      <c r="A65" s="213"/>
      <c r="B65" s="213"/>
      <c r="C65" s="210"/>
      <c r="D65" s="210"/>
      <c r="E65" s="186" t="s">
        <v>55</v>
      </c>
      <c r="F65" s="186" t="s">
        <v>4074</v>
      </c>
      <c r="G65" s="186" t="s">
        <v>329</v>
      </c>
      <c r="H65" s="186" t="s">
        <v>243</v>
      </c>
      <c r="I65" s="186"/>
      <c r="J65" s="186">
        <v>45</v>
      </c>
      <c r="K65" s="186"/>
      <c r="L65" s="186"/>
      <c r="M65" s="90"/>
      <c r="N65" s="90"/>
      <c r="O65" s="90"/>
      <c r="P65" s="186"/>
      <c r="Q65" s="186"/>
      <c r="R65" s="122"/>
      <c r="S65" s="186"/>
      <c r="T65" s="186"/>
      <c r="U65" s="186"/>
      <c r="V65" s="186"/>
      <c r="W65" s="186"/>
      <c r="X65" s="186"/>
      <c r="Y65" s="186"/>
      <c r="Z65" s="186"/>
      <c r="AA65" s="186"/>
      <c r="AB65" s="186"/>
      <c r="AC65" s="186"/>
      <c r="AD65" s="186"/>
      <c r="AE65" s="186"/>
    </row>
    <row r="66" spans="1:31" ht="18.75" customHeight="1">
      <c r="A66" s="213"/>
      <c r="B66" s="213"/>
      <c r="C66" s="210"/>
      <c r="D66" s="210"/>
      <c r="E66" s="186" t="s">
        <v>55</v>
      </c>
      <c r="F66" s="186" t="s">
        <v>4075</v>
      </c>
      <c r="G66" s="186" t="s">
        <v>329</v>
      </c>
      <c r="H66" s="186" t="s">
        <v>243</v>
      </c>
      <c r="I66" s="186"/>
      <c r="J66" s="186">
        <v>334</v>
      </c>
      <c r="K66" s="186"/>
      <c r="L66" s="186"/>
      <c r="M66" s="90"/>
      <c r="N66" s="90"/>
      <c r="O66" s="90"/>
      <c r="P66" s="186"/>
      <c r="Q66" s="186"/>
      <c r="R66" s="122"/>
      <c r="S66" s="186"/>
      <c r="T66" s="186"/>
      <c r="U66" s="186"/>
      <c r="V66" s="186"/>
      <c r="W66" s="186"/>
      <c r="X66" s="186"/>
      <c r="Y66" s="186"/>
      <c r="Z66" s="186"/>
      <c r="AA66" s="186"/>
      <c r="AB66" s="186"/>
      <c r="AC66" s="186"/>
      <c r="AD66" s="186"/>
      <c r="AE66" s="186"/>
    </row>
    <row r="67" spans="1:31" ht="18.75" customHeight="1">
      <c r="A67" s="213"/>
      <c r="B67" s="213"/>
      <c r="C67" s="210"/>
      <c r="D67" s="210"/>
      <c r="E67" s="186" t="s">
        <v>55</v>
      </c>
      <c r="F67" s="186" t="s">
        <v>4076</v>
      </c>
      <c r="G67" s="186" t="s">
        <v>329</v>
      </c>
      <c r="H67" s="186" t="s">
        <v>243</v>
      </c>
      <c r="I67" s="186"/>
      <c r="J67" s="186">
        <v>46</v>
      </c>
      <c r="K67" s="186"/>
      <c r="L67" s="186"/>
      <c r="M67" s="90"/>
      <c r="N67" s="90"/>
      <c r="O67" s="90"/>
      <c r="P67" s="186"/>
      <c r="Q67" s="186"/>
      <c r="R67" s="122"/>
      <c r="S67" s="186"/>
      <c r="T67" s="186"/>
      <c r="U67" s="186"/>
      <c r="V67" s="186"/>
      <c r="W67" s="186"/>
      <c r="X67" s="186"/>
      <c r="Y67" s="186"/>
      <c r="Z67" s="186"/>
      <c r="AA67" s="186"/>
      <c r="AB67" s="186"/>
      <c r="AC67" s="186"/>
      <c r="AD67" s="186"/>
      <c r="AE67" s="186"/>
    </row>
    <row r="68" spans="1:31" ht="18.75" customHeight="1">
      <c r="A68" s="213"/>
      <c r="B68" s="213"/>
      <c r="C68" s="210"/>
      <c r="D68" s="210"/>
      <c r="E68" s="186" t="s">
        <v>55</v>
      </c>
      <c r="F68" s="186" t="s">
        <v>4077</v>
      </c>
      <c r="G68" s="186" t="s">
        <v>329</v>
      </c>
      <c r="H68" s="186" t="s">
        <v>243</v>
      </c>
      <c r="I68" s="186"/>
      <c r="J68" s="186">
        <v>47</v>
      </c>
      <c r="K68" s="186"/>
      <c r="L68" s="186"/>
      <c r="M68" s="90"/>
      <c r="N68" s="90"/>
      <c r="O68" s="90"/>
      <c r="P68" s="186"/>
      <c r="Q68" s="186"/>
      <c r="R68" s="122"/>
      <c r="S68" s="186"/>
      <c r="T68" s="186"/>
      <c r="U68" s="186"/>
      <c r="V68" s="186"/>
      <c r="W68" s="186"/>
      <c r="X68" s="186"/>
      <c r="Y68" s="186"/>
      <c r="Z68" s="186"/>
      <c r="AA68" s="186"/>
      <c r="AB68" s="186"/>
      <c r="AC68" s="186"/>
      <c r="AD68" s="186"/>
      <c r="AE68" s="186"/>
    </row>
    <row r="69" spans="1:31" ht="18.75" customHeight="1">
      <c r="A69" s="213"/>
      <c r="B69" s="213"/>
      <c r="C69" s="210"/>
      <c r="D69" s="210"/>
      <c r="E69" s="186" t="s">
        <v>55</v>
      </c>
      <c r="F69" s="186" t="s">
        <v>4078</v>
      </c>
      <c r="G69" s="186" t="s">
        <v>329</v>
      </c>
      <c r="H69" s="186" t="s">
        <v>243</v>
      </c>
      <c r="I69" s="186"/>
      <c r="J69" s="186">
        <v>335</v>
      </c>
      <c r="K69" s="186"/>
      <c r="L69" s="186"/>
      <c r="M69" s="90"/>
      <c r="N69" s="90"/>
      <c r="O69" s="90"/>
      <c r="P69" s="186"/>
      <c r="Q69" s="186"/>
      <c r="R69" s="122"/>
      <c r="S69" s="186"/>
      <c r="T69" s="186"/>
      <c r="U69" s="186"/>
      <c r="V69" s="186"/>
      <c r="W69" s="186"/>
      <c r="X69" s="186"/>
      <c r="Y69" s="186"/>
      <c r="Z69" s="186"/>
      <c r="AA69" s="186"/>
      <c r="AB69" s="186"/>
      <c r="AC69" s="186"/>
      <c r="AD69" s="186"/>
      <c r="AE69" s="186"/>
    </row>
    <row r="70" spans="1:31" ht="18.75" customHeight="1">
      <c r="A70" s="213"/>
      <c r="B70" s="213"/>
      <c r="C70" s="210"/>
      <c r="D70" s="210"/>
      <c r="E70" s="186" t="s">
        <v>55</v>
      </c>
      <c r="F70" s="186" t="s">
        <v>4079</v>
      </c>
      <c r="G70" s="186" t="s">
        <v>329</v>
      </c>
      <c r="H70" s="186" t="s">
        <v>243</v>
      </c>
      <c r="I70" s="186"/>
      <c r="J70" s="186">
        <v>336</v>
      </c>
      <c r="K70" s="186"/>
      <c r="L70" s="186"/>
      <c r="M70" s="90"/>
      <c r="N70" s="90"/>
      <c r="O70" s="90"/>
      <c r="P70" s="186"/>
      <c r="Q70" s="186"/>
      <c r="R70" s="122"/>
      <c r="S70" s="186"/>
      <c r="T70" s="186"/>
      <c r="U70" s="186"/>
      <c r="V70" s="186"/>
      <c r="W70" s="186"/>
      <c r="X70" s="186"/>
      <c r="Y70" s="186"/>
      <c r="Z70" s="186"/>
      <c r="AA70" s="186"/>
      <c r="AB70" s="186"/>
      <c r="AC70" s="186"/>
      <c r="AD70" s="186"/>
      <c r="AE70" s="186"/>
    </row>
    <row r="71" spans="1:31" ht="18.75" customHeight="1">
      <c r="A71" s="213"/>
      <c r="B71" s="213"/>
      <c r="C71" s="210"/>
      <c r="D71" s="210"/>
      <c r="E71" s="186" t="s">
        <v>55</v>
      </c>
      <c r="F71" s="186" t="s">
        <v>4080</v>
      </c>
      <c r="G71" s="186" t="s">
        <v>329</v>
      </c>
      <c r="H71" s="186" t="s">
        <v>243</v>
      </c>
      <c r="I71" s="186"/>
      <c r="J71" s="186">
        <v>48</v>
      </c>
      <c r="K71" s="186"/>
      <c r="L71" s="186"/>
      <c r="M71" s="90"/>
      <c r="N71" s="90"/>
      <c r="O71" s="90"/>
      <c r="P71" s="186"/>
      <c r="Q71" s="186"/>
      <c r="R71" s="122"/>
      <c r="S71" s="186"/>
      <c r="T71" s="186"/>
      <c r="U71" s="186"/>
      <c r="V71" s="186"/>
      <c r="W71" s="186"/>
      <c r="X71" s="186"/>
      <c r="Y71" s="186"/>
      <c r="Z71" s="186"/>
      <c r="AA71" s="186"/>
      <c r="AB71" s="186"/>
      <c r="AC71" s="186"/>
      <c r="AD71" s="186"/>
      <c r="AE71" s="186"/>
    </row>
    <row r="72" spans="1:31" ht="18.75" customHeight="1">
      <c r="A72" s="213"/>
      <c r="B72" s="213"/>
      <c r="C72" s="210"/>
      <c r="D72" s="210"/>
      <c r="E72" s="186" t="s">
        <v>55</v>
      </c>
      <c r="F72" s="186" t="s">
        <v>4081</v>
      </c>
      <c r="G72" s="186" t="s">
        <v>329</v>
      </c>
      <c r="H72" s="186" t="s">
        <v>243</v>
      </c>
      <c r="I72" s="186"/>
      <c r="J72" s="186">
        <v>337</v>
      </c>
      <c r="K72" s="186"/>
      <c r="L72" s="186"/>
      <c r="M72" s="90"/>
      <c r="N72" s="90"/>
      <c r="O72" s="90"/>
      <c r="P72" s="186"/>
      <c r="Q72" s="186"/>
      <c r="R72" s="122"/>
      <c r="S72" s="186"/>
      <c r="T72" s="186"/>
      <c r="U72" s="186"/>
      <c r="V72" s="186"/>
      <c r="W72" s="186"/>
      <c r="X72" s="186"/>
      <c r="Y72" s="186"/>
      <c r="Z72" s="186"/>
      <c r="AA72" s="186"/>
      <c r="AB72" s="186"/>
      <c r="AC72" s="186"/>
      <c r="AD72" s="186"/>
      <c r="AE72" s="186"/>
    </row>
    <row r="73" spans="1:31" ht="18.75" customHeight="1">
      <c r="A73" s="213"/>
      <c r="B73" s="213"/>
      <c r="C73" s="210"/>
      <c r="D73" s="210"/>
      <c r="E73" s="186" t="s">
        <v>55</v>
      </c>
      <c r="F73" s="186" t="s">
        <v>4082</v>
      </c>
      <c r="G73" s="186" t="s">
        <v>329</v>
      </c>
      <c r="H73" s="186" t="s">
        <v>243</v>
      </c>
      <c r="I73" s="186"/>
      <c r="J73" s="186">
        <v>49</v>
      </c>
      <c r="K73" s="186"/>
      <c r="L73" s="186"/>
      <c r="M73" s="90"/>
      <c r="N73" s="90"/>
      <c r="O73" s="90"/>
      <c r="P73" s="186"/>
      <c r="Q73" s="186"/>
      <c r="R73" s="122"/>
      <c r="S73" s="186"/>
      <c r="T73" s="186"/>
      <c r="U73" s="186"/>
      <c r="V73" s="186"/>
      <c r="W73" s="186"/>
      <c r="X73" s="186"/>
      <c r="Y73" s="186"/>
      <c r="Z73" s="186"/>
      <c r="AA73" s="186"/>
      <c r="AB73" s="186"/>
      <c r="AC73" s="186"/>
      <c r="AD73" s="186"/>
      <c r="AE73" s="186"/>
    </row>
    <row r="74" spans="1:31" ht="18.75" customHeight="1">
      <c r="A74" s="213"/>
      <c r="B74" s="213"/>
      <c r="C74" s="210"/>
      <c r="D74" s="210"/>
      <c r="E74" s="186" t="s">
        <v>55</v>
      </c>
      <c r="F74" s="186" t="s">
        <v>4083</v>
      </c>
      <c r="G74" s="186" t="s">
        <v>329</v>
      </c>
      <c r="H74" s="186" t="s">
        <v>243</v>
      </c>
      <c r="I74" s="186"/>
      <c r="J74" s="186">
        <v>50</v>
      </c>
      <c r="K74" s="186"/>
      <c r="L74" s="186"/>
      <c r="M74" s="90"/>
      <c r="N74" s="90"/>
      <c r="O74" s="90"/>
      <c r="P74" s="186"/>
      <c r="Q74" s="186"/>
      <c r="R74" s="122"/>
      <c r="S74" s="186"/>
      <c r="T74" s="186"/>
      <c r="U74" s="186"/>
      <c r="V74" s="186"/>
      <c r="W74" s="186"/>
      <c r="X74" s="186"/>
      <c r="Y74" s="186"/>
      <c r="Z74" s="186"/>
      <c r="AA74" s="186"/>
      <c r="AB74" s="186"/>
      <c r="AC74" s="186"/>
      <c r="AD74" s="186"/>
      <c r="AE74" s="186"/>
    </row>
    <row r="75" spans="1:31" ht="18.75" customHeight="1">
      <c r="A75" s="213"/>
      <c r="B75" s="213"/>
      <c r="C75" s="210"/>
      <c r="D75" s="210"/>
      <c r="E75" s="186" t="s">
        <v>55</v>
      </c>
      <c r="F75" s="186" t="s">
        <v>4084</v>
      </c>
      <c r="G75" s="186" t="s">
        <v>329</v>
      </c>
      <c r="H75" s="186" t="s">
        <v>243</v>
      </c>
      <c r="I75" s="186"/>
      <c r="J75" s="186">
        <v>338</v>
      </c>
      <c r="K75" s="186"/>
      <c r="L75" s="186"/>
      <c r="M75" s="90"/>
      <c r="N75" s="90"/>
      <c r="O75" s="90"/>
      <c r="P75" s="186"/>
      <c r="Q75" s="186"/>
      <c r="R75" s="122"/>
      <c r="S75" s="186"/>
      <c r="T75" s="186"/>
      <c r="U75" s="186"/>
      <c r="V75" s="186"/>
      <c r="W75" s="186"/>
      <c r="X75" s="186"/>
      <c r="Y75" s="186"/>
      <c r="Z75" s="186"/>
      <c r="AA75" s="186"/>
      <c r="AB75" s="186"/>
      <c r="AC75" s="186"/>
      <c r="AD75" s="186"/>
      <c r="AE75" s="186"/>
    </row>
    <row r="76" spans="1:31" ht="18.75" customHeight="1">
      <c r="A76" s="213"/>
      <c r="B76" s="213"/>
      <c r="C76" s="210"/>
      <c r="D76" s="210"/>
      <c r="E76" s="186" t="s">
        <v>55</v>
      </c>
      <c r="F76" s="186" t="s">
        <v>4085</v>
      </c>
      <c r="G76" s="186" t="s">
        <v>329</v>
      </c>
      <c r="H76" s="186" t="s">
        <v>243</v>
      </c>
      <c r="I76" s="186"/>
      <c r="J76" s="186">
        <v>339</v>
      </c>
      <c r="K76" s="186"/>
      <c r="L76" s="186"/>
      <c r="M76" s="90"/>
      <c r="N76" s="90"/>
      <c r="O76" s="90"/>
      <c r="P76" s="186"/>
      <c r="Q76" s="186"/>
      <c r="R76" s="122"/>
      <c r="S76" s="186"/>
      <c r="T76" s="186"/>
      <c r="U76" s="186"/>
      <c r="V76" s="186"/>
      <c r="W76" s="186"/>
      <c r="X76" s="186"/>
      <c r="Y76" s="186"/>
      <c r="Z76" s="186"/>
      <c r="AA76" s="186"/>
      <c r="AB76" s="186"/>
      <c r="AC76" s="186"/>
      <c r="AD76" s="186"/>
      <c r="AE76" s="186"/>
    </row>
    <row r="77" spans="1:31" ht="18.75" customHeight="1">
      <c r="A77" s="213"/>
      <c r="B77" s="213"/>
      <c r="C77" s="210"/>
      <c r="D77" s="210"/>
      <c r="E77" s="186" t="s">
        <v>55</v>
      </c>
      <c r="F77" s="186" t="s">
        <v>4086</v>
      </c>
      <c r="G77" s="186" t="s">
        <v>329</v>
      </c>
      <c r="H77" s="186" t="s">
        <v>243</v>
      </c>
      <c r="I77" s="186"/>
      <c r="J77" s="186">
        <v>51</v>
      </c>
      <c r="K77" s="186"/>
      <c r="L77" s="186"/>
      <c r="M77" s="90"/>
      <c r="N77" s="90"/>
      <c r="O77" s="90"/>
      <c r="P77" s="186"/>
      <c r="Q77" s="186"/>
      <c r="R77" s="122"/>
      <c r="S77" s="186"/>
      <c r="T77" s="186"/>
      <c r="U77" s="186"/>
      <c r="V77" s="186"/>
      <c r="W77" s="186"/>
      <c r="X77" s="186"/>
      <c r="Y77" s="186"/>
      <c r="Z77" s="186"/>
      <c r="AA77" s="186"/>
      <c r="AB77" s="186"/>
      <c r="AC77" s="186"/>
      <c r="AD77" s="186"/>
      <c r="AE77" s="186"/>
    </row>
    <row r="78" spans="1:31" ht="18.75" customHeight="1">
      <c r="A78" s="213"/>
      <c r="B78" s="213"/>
      <c r="C78" s="210"/>
      <c r="D78" s="210"/>
      <c r="E78" s="186" t="s">
        <v>55</v>
      </c>
      <c r="F78" s="186" t="s">
        <v>4087</v>
      </c>
      <c r="G78" s="186" t="s">
        <v>329</v>
      </c>
      <c r="H78" s="186" t="s">
        <v>243</v>
      </c>
      <c r="I78" s="186"/>
      <c r="J78" s="186">
        <v>340</v>
      </c>
      <c r="K78" s="186"/>
      <c r="L78" s="186"/>
      <c r="M78" s="90"/>
      <c r="N78" s="90"/>
      <c r="O78" s="90"/>
      <c r="P78" s="186"/>
      <c r="Q78" s="186"/>
      <c r="R78" s="122"/>
      <c r="S78" s="186"/>
      <c r="T78" s="186"/>
      <c r="U78" s="186"/>
      <c r="V78" s="186"/>
      <c r="W78" s="186"/>
      <c r="X78" s="186"/>
      <c r="Y78" s="186"/>
      <c r="Z78" s="186"/>
      <c r="AA78" s="186"/>
      <c r="AB78" s="186"/>
      <c r="AC78" s="186"/>
      <c r="AD78" s="186"/>
      <c r="AE78" s="186"/>
    </row>
    <row r="79" spans="1:31" ht="18.75" customHeight="1">
      <c r="A79" s="213"/>
      <c r="B79" s="213"/>
      <c r="C79" s="210"/>
      <c r="D79" s="210"/>
      <c r="E79" s="186" t="s">
        <v>55</v>
      </c>
      <c r="F79" s="186" t="s">
        <v>4088</v>
      </c>
      <c r="G79" s="186" t="s">
        <v>329</v>
      </c>
      <c r="H79" s="186" t="s">
        <v>243</v>
      </c>
      <c r="I79" s="186"/>
      <c r="J79" s="186">
        <v>52</v>
      </c>
      <c r="K79" s="186"/>
      <c r="L79" s="186"/>
      <c r="M79" s="90"/>
      <c r="N79" s="90"/>
      <c r="O79" s="90"/>
      <c r="P79" s="186"/>
      <c r="Q79" s="186"/>
      <c r="R79" s="122"/>
      <c r="S79" s="186"/>
      <c r="T79" s="186"/>
      <c r="U79" s="186"/>
      <c r="V79" s="186"/>
      <c r="W79" s="186"/>
      <c r="X79" s="186"/>
      <c r="Y79" s="186"/>
      <c r="Z79" s="186"/>
      <c r="AA79" s="186"/>
      <c r="AB79" s="186"/>
      <c r="AC79" s="186"/>
      <c r="AD79" s="186"/>
      <c r="AE79" s="186"/>
    </row>
    <row r="80" spans="1:31" ht="18.75" customHeight="1">
      <c r="A80" s="213"/>
      <c r="B80" s="213"/>
      <c r="C80" s="210"/>
      <c r="D80" s="210"/>
      <c r="E80" s="186" t="s">
        <v>55</v>
      </c>
      <c r="F80" s="186" t="s">
        <v>4089</v>
      </c>
      <c r="G80" s="186" t="s">
        <v>329</v>
      </c>
      <c r="H80" s="186" t="s">
        <v>243</v>
      </c>
      <c r="I80" s="186"/>
      <c r="J80" s="186">
        <v>53</v>
      </c>
      <c r="K80" s="186"/>
      <c r="L80" s="186"/>
      <c r="M80" s="90"/>
      <c r="N80" s="90"/>
      <c r="O80" s="90"/>
      <c r="P80" s="186"/>
      <c r="Q80" s="186"/>
      <c r="R80" s="122"/>
      <c r="S80" s="186"/>
      <c r="T80" s="186"/>
      <c r="U80" s="186"/>
      <c r="V80" s="186"/>
      <c r="W80" s="186"/>
      <c r="X80" s="186"/>
      <c r="Y80" s="186"/>
      <c r="Z80" s="186"/>
      <c r="AA80" s="186"/>
      <c r="AB80" s="186"/>
      <c r="AC80" s="186"/>
      <c r="AD80" s="186"/>
      <c r="AE80" s="186"/>
    </row>
    <row r="81" spans="1:31" ht="18.75" customHeight="1">
      <c r="A81" s="213"/>
      <c r="B81" s="213"/>
      <c r="C81" s="210"/>
      <c r="D81" s="210"/>
      <c r="E81" s="186" t="s">
        <v>55</v>
      </c>
      <c r="F81" s="186" t="s">
        <v>4090</v>
      </c>
      <c r="G81" s="186" t="s">
        <v>329</v>
      </c>
      <c r="H81" s="186" t="s">
        <v>243</v>
      </c>
      <c r="I81" s="186"/>
      <c r="J81" s="186">
        <v>54</v>
      </c>
      <c r="K81" s="186"/>
      <c r="L81" s="186"/>
      <c r="M81" s="90"/>
      <c r="N81" s="90"/>
      <c r="O81" s="90"/>
      <c r="P81" s="186"/>
      <c r="Q81" s="186"/>
      <c r="R81" s="122"/>
      <c r="S81" s="186"/>
      <c r="T81" s="186"/>
      <c r="U81" s="186"/>
      <c r="V81" s="186"/>
      <c r="W81" s="186"/>
      <c r="X81" s="186"/>
      <c r="Y81" s="186"/>
      <c r="Z81" s="186"/>
      <c r="AA81" s="186"/>
      <c r="AB81" s="186"/>
      <c r="AC81" s="186"/>
      <c r="AD81" s="186"/>
      <c r="AE81" s="186"/>
    </row>
    <row r="82" spans="1:31" ht="18.75" customHeight="1">
      <c r="A82" s="213"/>
      <c r="B82" s="213"/>
      <c r="C82" s="210"/>
      <c r="D82" s="210"/>
      <c r="E82" s="186" t="s">
        <v>55</v>
      </c>
      <c r="F82" s="186" t="s">
        <v>4091</v>
      </c>
      <c r="G82" s="186" t="s">
        <v>329</v>
      </c>
      <c r="H82" s="186" t="s">
        <v>243</v>
      </c>
      <c r="I82" s="186"/>
      <c r="J82" s="186">
        <v>341</v>
      </c>
      <c r="K82" s="186"/>
      <c r="L82" s="186"/>
      <c r="M82" s="90"/>
      <c r="N82" s="90"/>
      <c r="O82" s="90"/>
      <c r="P82" s="186"/>
      <c r="Q82" s="186"/>
      <c r="R82" s="122"/>
      <c r="S82" s="186"/>
      <c r="T82" s="186"/>
      <c r="U82" s="186"/>
      <c r="V82" s="186"/>
      <c r="W82" s="186"/>
      <c r="X82" s="186"/>
      <c r="Y82" s="186"/>
      <c r="Z82" s="186"/>
      <c r="AA82" s="186"/>
      <c r="AB82" s="186"/>
      <c r="AC82" s="186"/>
      <c r="AD82" s="186"/>
      <c r="AE82" s="186"/>
    </row>
    <row r="83" spans="1:31" ht="18.75" customHeight="1">
      <c r="A83" s="213"/>
      <c r="B83" s="213"/>
      <c r="C83" s="210"/>
      <c r="D83" s="210"/>
      <c r="E83" s="186" t="s">
        <v>55</v>
      </c>
      <c r="F83" s="186" t="s">
        <v>4092</v>
      </c>
      <c r="G83" s="186" t="s">
        <v>329</v>
      </c>
      <c r="H83" s="186" t="s">
        <v>243</v>
      </c>
      <c r="I83" s="186"/>
      <c r="J83" s="186">
        <v>55</v>
      </c>
      <c r="K83" s="186"/>
      <c r="L83" s="186"/>
      <c r="M83" s="90"/>
      <c r="N83" s="90"/>
      <c r="O83" s="90"/>
      <c r="P83" s="186"/>
      <c r="Q83" s="186"/>
      <c r="R83" s="122"/>
      <c r="S83" s="186"/>
      <c r="T83" s="186"/>
      <c r="U83" s="186"/>
      <c r="V83" s="186"/>
      <c r="W83" s="186"/>
      <c r="X83" s="186"/>
      <c r="Y83" s="186"/>
      <c r="Z83" s="186"/>
      <c r="AA83" s="186"/>
      <c r="AB83" s="186"/>
      <c r="AC83" s="186"/>
      <c r="AD83" s="186"/>
      <c r="AE83" s="186"/>
    </row>
    <row r="84" spans="1:31" ht="18.75" customHeight="1">
      <c r="A84" s="213"/>
      <c r="B84" s="213"/>
      <c r="C84" s="210"/>
      <c r="D84" s="210"/>
      <c r="E84" s="186" t="s">
        <v>55</v>
      </c>
      <c r="F84" s="186" t="s">
        <v>4093</v>
      </c>
      <c r="G84" s="186" t="s">
        <v>329</v>
      </c>
      <c r="H84" s="186" t="s">
        <v>243</v>
      </c>
      <c r="I84" s="186"/>
      <c r="J84" s="186">
        <v>342</v>
      </c>
      <c r="K84" s="186"/>
      <c r="L84" s="186"/>
      <c r="M84" s="90"/>
      <c r="N84" s="90"/>
      <c r="O84" s="90"/>
      <c r="P84" s="186"/>
      <c r="Q84" s="186"/>
      <c r="R84" s="122"/>
      <c r="S84" s="186"/>
      <c r="T84" s="186"/>
      <c r="U84" s="186"/>
      <c r="V84" s="186"/>
      <c r="W84" s="186"/>
      <c r="X84" s="186"/>
      <c r="Y84" s="186"/>
      <c r="Z84" s="186"/>
      <c r="AA84" s="186"/>
      <c r="AB84" s="186"/>
      <c r="AC84" s="186"/>
      <c r="AD84" s="186"/>
      <c r="AE84" s="186"/>
    </row>
    <row r="85" spans="1:31" ht="18.75" customHeight="1">
      <c r="A85" s="213"/>
      <c r="B85" s="213"/>
      <c r="C85" s="210"/>
      <c r="D85" s="210"/>
      <c r="E85" s="186" t="s">
        <v>55</v>
      </c>
      <c r="F85" s="186" t="s">
        <v>4094</v>
      </c>
      <c r="G85" s="186" t="s">
        <v>329</v>
      </c>
      <c r="H85" s="186" t="s">
        <v>243</v>
      </c>
      <c r="I85" s="186"/>
      <c r="J85" s="186">
        <v>56</v>
      </c>
      <c r="K85" s="186"/>
      <c r="L85" s="186"/>
      <c r="M85" s="90"/>
      <c r="N85" s="90"/>
      <c r="O85" s="90"/>
      <c r="P85" s="186"/>
      <c r="Q85" s="186"/>
      <c r="R85" s="122"/>
      <c r="S85" s="186"/>
      <c r="T85" s="186"/>
      <c r="U85" s="186"/>
      <c r="V85" s="186"/>
      <c r="W85" s="186"/>
      <c r="X85" s="186"/>
      <c r="Y85" s="186"/>
      <c r="Z85" s="186"/>
      <c r="AA85" s="186"/>
      <c r="AB85" s="186"/>
      <c r="AC85" s="186"/>
      <c r="AD85" s="186"/>
      <c r="AE85" s="186"/>
    </row>
    <row r="86" spans="1:31" ht="18.75" customHeight="1">
      <c r="A86" s="213"/>
      <c r="B86" s="213"/>
      <c r="C86" s="210"/>
      <c r="D86" s="210"/>
      <c r="E86" s="186" t="s">
        <v>55</v>
      </c>
      <c r="F86" s="186" t="s">
        <v>4095</v>
      </c>
      <c r="G86" s="186" t="s">
        <v>329</v>
      </c>
      <c r="H86" s="186" t="s">
        <v>243</v>
      </c>
      <c r="I86" s="186"/>
      <c r="J86" s="186">
        <v>57</v>
      </c>
      <c r="K86" s="186"/>
      <c r="L86" s="186"/>
      <c r="M86" s="90"/>
      <c r="N86" s="90"/>
      <c r="O86" s="90"/>
      <c r="P86" s="186"/>
      <c r="Q86" s="186"/>
      <c r="R86" s="122"/>
      <c r="S86" s="186"/>
      <c r="T86" s="186"/>
      <c r="U86" s="186"/>
      <c r="V86" s="186"/>
      <c r="W86" s="186"/>
      <c r="X86" s="186"/>
      <c r="Y86" s="186"/>
      <c r="Z86" s="186"/>
      <c r="AA86" s="186"/>
      <c r="AB86" s="186"/>
      <c r="AC86" s="186"/>
      <c r="AD86" s="186"/>
      <c r="AE86" s="186"/>
    </row>
    <row r="87" spans="1:31" ht="18.75" customHeight="1">
      <c r="A87" s="213"/>
      <c r="B87" s="213"/>
      <c r="C87" s="210"/>
      <c r="D87" s="210"/>
      <c r="E87" s="186" t="s">
        <v>55</v>
      </c>
      <c r="F87" s="186" t="s">
        <v>4096</v>
      </c>
      <c r="G87" s="186" t="s">
        <v>329</v>
      </c>
      <c r="H87" s="186" t="s">
        <v>243</v>
      </c>
      <c r="I87" s="186"/>
      <c r="J87" s="186">
        <v>343</v>
      </c>
      <c r="K87" s="186"/>
      <c r="L87" s="186"/>
      <c r="M87" s="90"/>
      <c r="N87" s="90"/>
      <c r="O87" s="90"/>
      <c r="P87" s="186"/>
      <c r="Q87" s="186"/>
      <c r="R87" s="122"/>
      <c r="S87" s="186"/>
      <c r="T87" s="186"/>
      <c r="U87" s="186"/>
      <c r="V87" s="186"/>
      <c r="W87" s="186"/>
      <c r="X87" s="186"/>
      <c r="Y87" s="186"/>
      <c r="Z87" s="186"/>
      <c r="AA87" s="186"/>
      <c r="AB87" s="186"/>
      <c r="AC87" s="186"/>
      <c r="AD87" s="186"/>
      <c r="AE87" s="186"/>
    </row>
    <row r="88" spans="1:31" ht="18.75" customHeight="1">
      <c r="A88" s="213"/>
      <c r="B88" s="213"/>
      <c r="C88" s="210"/>
      <c r="D88" s="210"/>
      <c r="E88" s="186" t="s">
        <v>55</v>
      </c>
      <c r="F88" s="186" t="s">
        <v>4097</v>
      </c>
      <c r="G88" s="186" t="s">
        <v>329</v>
      </c>
      <c r="H88" s="186" t="s">
        <v>243</v>
      </c>
      <c r="I88" s="186"/>
      <c r="J88" s="186">
        <v>344</v>
      </c>
      <c r="K88" s="186"/>
      <c r="L88" s="186"/>
      <c r="M88" s="90"/>
      <c r="N88" s="90"/>
      <c r="O88" s="90"/>
      <c r="P88" s="186"/>
      <c r="Q88" s="186"/>
      <c r="R88" s="122"/>
      <c r="S88" s="186"/>
      <c r="T88" s="186"/>
      <c r="U88" s="186"/>
      <c r="V88" s="186"/>
      <c r="W88" s="186"/>
      <c r="X88" s="186"/>
      <c r="Y88" s="186"/>
      <c r="Z88" s="186"/>
      <c r="AA88" s="186"/>
      <c r="AB88" s="186"/>
      <c r="AC88" s="186"/>
      <c r="AD88" s="186"/>
      <c r="AE88" s="186"/>
    </row>
    <row r="89" spans="1:31" ht="18.75" customHeight="1">
      <c r="A89" s="213"/>
      <c r="B89" s="213"/>
      <c r="C89" s="210"/>
      <c r="D89" s="210"/>
      <c r="E89" s="186" t="s">
        <v>55</v>
      </c>
      <c r="F89" s="186" t="s">
        <v>4098</v>
      </c>
      <c r="G89" s="186" t="s">
        <v>329</v>
      </c>
      <c r="H89" s="186" t="s">
        <v>243</v>
      </c>
      <c r="I89" s="186"/>
      <c r="J89" s="186">
        <v>58</v>
      </c>
      <c r="K89" s="186"/>
      <c r="L89" s="186"/>
      <c r="M89" s="90"/>
      <c r="N89" s="90"/>
      <c r="O89" s="90"/>
      <c r="P89" s="186"/>
      <c r="Q89" s="186"/>
      <c r="R89" s="122"/>
      <c r="S89" s="186" t="s">
        <v>4099</v>
      </c>
      <c r="T89" s="186"/>
      <c r="U89" s="186"/>
      <c r="V89" s="186"/>
      <c r="W89" s="186"/>
      <c r="X89" s="186"/>
      <c r="Y89" s="186"/>
      <c r="Z89" s="186"/>
      <c r="AA89" s="186"/>
      <c r="AB89" s="186"/>
      <c r="AC89" s="186"/>
      <c r="AD89" s="186"/>
      <c r="AE89" s="186"/>
    </row>
    <row r="90" spans="1:31" ht="18.75" customHeight="1">
      <c r="A90" s="213"/>
      <c r="B90" s="213"/>
      <c r="C90" s="210"/>
      <c r="D90" s="210"/>
      <c r="E90" s="186" t="s">
        <v>55</v>
      </c>
      <c r="F90" s="186" t="s">
        <v>4100</v>
      </c>
      <c r="G90" s="186" t="s">
        <v>329</v>
      </c>
      <c r="H90" s="186" t="s">
        <v>243</v>
      </c>
      <c r="I90" s="186"/>
      <c r="J90" s="186">
        <v>59</v>
      </c>
      <c r="K90" s="186"/>
      <c r="L90" s="186"/>
      <c r="M90" s="90"/>
      <c r="N90" s="90"/>
      <c r="O90" s="90"/>
      <c r="P90" s="186"/>
      <c r="Q90" s="186"/>
      <c r="R90" s="122"/>
      <c r="S90" s="186" t="s">
        <v>4101</v>
      </c>
      <c r="T90" s="186"/>
      <c r="U90" s="186"/>
      <c r="V90" s="186"/>
      <c r="W90" s="186"/>
      <c r="X90" s="186"/>
      <c r="Y90" s="186"/>
      <c r="Z90" s="186"/>
      <c r="AA90" s="186"/>
      <c r="AB90" s="186"/>
      <c r="AC90" s="186"/>
      <c r="AD90" s="186"/>
      <c r="AE90" s="186"/>
    </row>
    <row r="91" spans="1:31" ht="18.75" customHeight="1">
      <c r="A91" s="213"/>
      <c r="B91" s="213"/>
      <c r="C91" s="210"/>
      <c r="D91" s="210"/>
      <c r="E91" s="186" t="s">
        <v>55</v>
      </c>
      <c r="F91" s="186" t="s">
        <v>4102</v>
      </c>
      <c r="G91" s="186" t="s">
        <v>329</v>
      </c>
      <c r="H91" s="186" t="s">
        <v>243</v>
      </c>
      <c r="I91" s="186"/>
      <c r="J91" s="186">
        <v>60</v>
      </c>
      <c r="K91" s="186"/>
      <c r="L91" s="186"/>
      <c r="M91" s="90"/>
      <c r="N91" s="90"/>
      <c r="O91" s="90"/>
      <c r="P91" s="186"/>
      <c r="Q91" s="186"/>
      <c r="R91" s="122"/>
      <c r="S91" s="186" t="s">
        <v>4103</v>
      </c>
      <c r="T91" s="186"/>
      <c r="U91" s="186"/>
      <c r="V91" s="186"/>
      <c r="W91" s="186"/>
      <c r="X91" s="186"/>
      <c r="Y91" s="186"/>
      <c r="Z91" s="186"/>
      <c r="AA91" s="186"/>
      <c r="AB91" s="186"/>
      <c r="AC91" s="186"/>
      <c r="AD91" s="186"/>
      <c r="AE91" s="186"/>
    </row>
    <row r="92" spans="1:31" ht="18.75" customHeight="1">
      <c r="A92" s="213"/>
      <c r="B92" s="213"/>
      <c r="C92" s="210"/>
      <c r="D92" s="210"/>
      <c r="E92" s="186" t="s">
        <v>55</v>
      </c>
      <c r="F92" s="186" t="s">
        <v>4104</v>
      </c>
      <c r="G92" s="186" t="s">
        <v>329</v>
      </c>
      <c r="H92" s="186" t="s">
        <v>243</v>
      </c>
      <c r="I92" s="186"/>
      <c r="J92" s="186">
        <v>61</v>
      </c>
      <c r="K92" s="186"/>
      <c r="L92" s="186"/>
      <c r="M92" s="90"/>
      <c r="N92" s="90"/>
      <c r="O92" s="90"/>
      <c r="P92" s="186"/>
      <c r="Q92" s="186"/>
      <c r="R92" s="122"/>
      <c r="S92" s="186" t="s">
        <v>4105</v>
      </c>
      <c r="T92" s="186"/>
      <c r="U92" s="186"/>
      <c r="V92" s="186"/>
      <c r="W92" s="186"/>
      <c r="X92" s="186"/>
      <c r="Y92" s="186"/>
      <c r="Z92" s="186"/>
      <c r="AA92" s="186"/>
      <c r="AB92" s="186"/>
      <c r="AC92" s="186"/>
      <c r="AD92" s="186"/>
      <c r="AE92" s="186"/>
    </row>
    <row r="93" spans="1:31" ht="18.75" customHeight="1">
      <c r="A93" s="213"/>
      <c r="B93" s="213"/>
      <c r="C93" s="210"/>
      <c r="D93" s="210"/>
      <c r="E93" s="186" t="s">
        <v>55</v>
      </c>
      <c r="F93" s="186" t="s">
        <v>1482</v>
      </c>
      <c r="G93" s="186" t="s">
        <v>329</v>
      </c>
      <c r="H93" s="186" t="s">
        <v>243</v>
      </c>
      <c r="I93" s="186"/>
      <c r="J93" s="186">
        <v>62</v>
      </c>
      <c r="K93" s="186"/>
      <c r="L93" s="186"/>
      <c r="M93" s="90"/>
      <c r="N93" s="90"/>
      <c r="O93" s="90"/>
      <c r="P93" s="186"/>
      <c r="Q93" s="152"/>
      <c r="R93" s="122"/>
      <c r="S93" s="186" t="s">
        <v>4106</v>
      </c>
      <c r="T93" s="186"/>
      <c r="U93" s="186"/>
      <c r="V93" s="186"/>
      <c r="W93" s="186"/>
      <c r="X93" s="186"/>
      <c r="Y93" s="186"/>
      <c r="Z93" s="186"/>
      <c r="AA93" s="186"/>
      <c r="AB93" s="186"/>
      <c r="AC93" s="186"/>
      <c r="AD93" s="186"/>
      <c r="AE93" s="186"/>
    </row>
    <row r="94" spans="1:31" ht="18.75" customHeight="1">
      <c r="A94" s="213"/>
      <c r="B94" s="213"/>
      <c r="C94" s="210"/>
      <c r="D94" s="210"/>
      <c r="E94" s="186" t="s">
        <v>55</v>
      </c>
      <c r="F94" s="186" t="s">
        <v>1485</v>
      </c>
      <c r="G94" s="186" t="s">
        <v>329</v>
      </c>
      <c r="H94" s="186" t="s">
        <v>243</v>
      </c>
      <c r="I94" s="186"/>
      <c r="J94" s="186">
        <v>63</v>
      </c>
      <c r="K94" s="186"/>
      <c r="L94" s="186"/>
      <c r="M94" s="90"/>
      <c r="N94" s="90"/>
      <c r="O94" s="90"/>
      <c r="P94" s="186"/>
      <c r="Q94" s="186"/>
      <c r="R94" s="122"/>
      <c r="S94" s="186" t="s">
        <v>4107</v>
      </c>
      <c r="T94" s="186"/>
      <c r="U94" s="186"/>
      <c r="V94" s="186"/>
      <c r="W94" s="186"/>
      <c r="X94" s="186"/>
      <c r="Y94" s="186"/>
      <c r="Z94" s="186"/>
      <c r="AA94" s="186"/>
      <c r="AB94" s="186"/>
      <c r="AC94" s="186"/>
      <c r="AD94" s="186"/>
      <c r="AE94" s="186"/>
    </row>
    <row r="95" spans="1:31" ht="18.75" customHeight="1">
      <c r="A95" s="213"/>
      <c r="B95" s="213"/>
      <c r="C95" s="210"/>
      <c r="D95" s="210"/>
      <c r="E95" s="186" t="s">
        <v>55</v>
      </c>
      <c r="F95" s="186" t="s">
        <v>1486</v>
      </c>
      <c r="G95" s="186" t="s">
        <v>329</v>
      </c>
      <c r="H95" s="186" t="s">
        <v>243</v>
      </c>
      <c r="I95" s="186"/>
      <c r="J95" s="186">
        <v>64</v>
      </c>
      <c r="K95" s="186"/>
      <c r="L95" s="186"/>
      <c r="M95" s="90"/>
      <c r="N95" s="90"/>
      <c r="O95" s="90"/>
      <c r="P95" s="186"/>
      <c r="Q95" s="186"/>
      <c r="R95" s="122"/>
      <c r="S95" s="186" t="s">
        <v>4108</v>
      </c>
      <c r="T95" s="186"/>
      <c r="U95" s="186"/>
      <c r="V95" s="186"/>
      <c r="W95" s="186"/>
      <c r="X95" s="186"/>
      <c r="Y95" s="186"/>
      <c r="Z95" s="186"/>
      <c r="AA95" s="186"/>
      <c r="AB95" s="186"/>
      <c r="AC95" s="186"/>
      <c r="AD95" s="186"/>
      <c r="AE95" s="186"/>
    </row>
    <row r="96" spans="1:31" ht="18.75" customHeight="1">
      <c r="A96" s="213"/>
      <c r="B96" s="213"/>
      <c r="C96" s="210"/>
      <c r="D96" s="210"/>
      <c r="E96" s="186" t="s">
        <v>55</v>
      </c>
      <c r="F96" s="186" t="s">
        <v>4109</v>
      </c>
      <c r="G96" s="186" t="s">
        <v>329</v>
      </c>
      <c r="H96" s="186" t="s">
        <v>243</v>
      </c>
      <c r="I96" s="186"/>
      <c r="J96" s="186">
        <v>316</v>
      </c>
      <c r="K96" s="186"/>
      <c r="L96" s="186"/>
      <c r="M96" s="90"/>
      <c r="N96" s="90"/>
      <c r="O96" s="90"/>
      <c r="P96" s="186"/>
      <c r="Q96" s="186"/>
      <c r="R96" s="122"/>
      <c r="S96" s="186"/>
      <c r="T96" s="186"/>
      <c r="U96" s="186"/>
      <c r="V96" s="186"/>
      <c r="W96" s="186"/>
      <c r="X96" s="186"/>
      <c r="Y96" s="186"/>
      <c r="Z96" s="186"/>
      <c r="AA96" s="186"/>
      <c r="AB96" s="186"/>
      <c r="AC96" s="186"/>
      <c r="AD96" s="186"/>
      <c r="AE96" s="186"/>
    </row>
    <row r="97" spans="1:31" ht="18.75" customHeight="1">
      <c r="A97" s="213"/>
      <c r="B97" s="213"/>
      <c r="C97" s="210"/>
      <c r="D97" s="210"/>
      <c r="E97" s="186" t="s">
        <v>55</v>
      </c>
      <c r="F97" s="186" t="s">
        <v>1487</v>
      </c>
      <c r="G97" s="186" t="s">
        <v>329</v>
      </c>
      <c r="H97" s="186" t="s">
        <v>243</v>
      </c>
      <c r="I97" s="186"/>
      <c r="J97" s="186">
        <v>65</v>
      </c>
      <c r="K97" s="186"/>
      <c r="L97" s="186"/>
      <c r="M97" s="90"/>
      <c r="N97" s="90"/>
      <c r="O97" s="90"/>
      <c r="P97" s="186"/>
      <c r="Q97" s="186"/>
      <c r="R97" s="122"/>
      <c r="S97" s="186" t="s">
        <v>4110</v>
      </c>
      <c r="T97" s="186"/>
      <c r="U97" s="186"/>
      <c r="V97" s="186"/>
      <c r="W97" s="186"/>
      <c r="X97" s="186"/>
      <c r="Y97" s="186"/>
      <c r="Z97" s="186"/>
      <c r="AA97" s="186"/>
      <c r="AB97" s="186"/>
      <c r="AC97" s="186"/>
      <c r="AD97" s="186"/>
      <c r="AE97" s="186"/>
    </row>
    <row r="98" spans="1:31" ht="18.75" customHeight="1">
      <c r="A98" s="213"/>
      <c r="B98" s="213"/>
      <c r="C98" s="210"/>
      <c r="D98" s="210"/>
      <c r="E98" s="186" t="s">
        <v>55</v>
      </c>
      <c r="F98" s="186" t="s">
        <v>4111</v>
      </c>
      <c r="G98" s="186" t="s">
        <v>329</v>
      </c>
      <c r="H98" s="186" t="s">
        <v>243</v>
      </c>
      <c r="I98" s="186"/>
      <c r="J98" s="186">
        <v>66</v>
      </c>
      <c r="K98" s="186"/>
      <c r="L98" s="186"/>
      <c r="M98" s="90"/>
      <c r="N98" s="90"/>
      <c r="O98" s="90"/>
      <c r="P98" s="186"/>
      <c r="Q98" s="186"/>
      <c r="R98" s="122"/>
      <c r="S98" s="186" t="s">
        <v>4112</v>
      </c>
      <c r="T98" s="186"/>
      <c r="U98" s="186"/>
      <c r="V98" s="186"/>
      <c r="W98" s="186"/>
      <c r="X98" s="186"/>
      <c r="Y98" s="186"/>
      <c r="Z98" s="186"/>
      <c r="AA98" s="186"/>
      <c r="AB98" s="186"/>
      <c r="AC98" s="186"/>
      <c r="AD98" s="186"/>
      <c r="AE98" s="186"/>
    </row>
    <row r="99" spans="1:31" ht="18.75" customHeight="1">
      <c r="A99" s="213"/>
      <c r="B99" s="213"/>
      <c r="C99" s="210"/>
      <c r="D99" s="210"/>
      <c r="E99" s="186" t="s">
        <v>55</v>
      </c>
      <c r="F99" s="186" t="s">
        <v>4113</v>
      </c>
      <c r="G99" s="186" t="s">
        <v>329</v>
      </c>
      <c r="H99" s="186" t="s">
        <v>243</v>
      </c>
      <c r="I99" s="186"/>
      <c r="J99" s="186">
        <v>67</v>
      </c>
      <c r="K99" s="186"/>
      <c r="L99" s="186"/>
      <c r="M99" s="90"/>
      <c r="N99" s="90"/>
      <c r="O99" s="90"/>
      <c r="P99" s="186"/>
      <c r="Q99" s="186"/>
      <c r="R99" s="122"/>
      <c r="S99" s="186" t="s">
        <v>4114</v>
      </c>
      <c r="T99" s="186"/>
      <c r="U99" s="186"/>
      <c r="V99" s="186"/>
      <c r="W99" s="186"/>
      <c r="X99" s="186"/>
      <c r="Y99" s="186"/>
      <c r="Z99" s="186"/>
      <c r="AA99" s="186"/>
      <c r="AB99" s="186"/>
      <c r="AC99" s="186"/>
      <c r="AD99" s="186"/>
      <c r="AE99" s="186"/>
    </row>
    <row r="100" spans="1:31" ht="18.75" customHeight="1">
      <c r="A100" s="213"/>
      <c r="B100" s="213"/>
      <c r="C100" s="210"/>
      <c r="D100" s="210"/>
      <c r="E100" s="186" t="s">
        <v>55</v>
      </c>
      <c r="F100" s="186" t="s">
        <v>4115</v>
      </c>
      <c r="G100" s="186" t="s">
        <v>329</v>
      </c>
      <c r="H100" s="186" t="s">
        <v>243</v>
      </c>
      <c r="I100" s="186"/>
      <c r="J100" s="186">
        <v>68</v>
      </c>
      <c r="K100" s="186"/>
      <c r="L100" s="186"/>
      <c r="M100" s="90"/>
      <c r="N100" s="90"/>
      <c r="O100" s="90"/>
      <c r="P100" s="186"/>
      <c r="Q100" s="186"/>
      <c r="R100" s="122"/>
      <c r="S100" s="186" t="s">
        <v>4116</v>
      </c>
      <c r="T100" s="186"/>
      <c r="U100" s="186"/>
      <c r="V100" s="186"/>
      <c r="W100" s="186"/>
      <c r="X100" s="186"/>
      <c r="Y100" s="186"/>
      <c r="Z100" s="186"/>
      <c r="AA100" s="186"/>
      <c r="AB100" s="186"/>
      <c r="AC100" s="186"/>
      <c r="AD100" s="186"/>
      <c r="AE100" s="186"/>
    </row>
    <row r="101" spans="1:31" ht="18.75" customHeight="1">
      <c r="A101" s="213"/>
      <c r="B101" s="213"/>
      <c r="C101" s="210"/>
      <c r="D101" s="210"/>
      <c r="E101" s="186" t="s">
        <v>55</v>
      </c>
      <c r="F101" s="186" t="s">
        <v>4117</v>
      </c>
      <c r="G101" s="186" t="s">
        <v>329</v>
      </c>
      <c r="H101" s="186" t="s">
        <v>243</v>
      </c>
      <c r="I101" s="186"/>
      <c r="J101" s="186">
        <v>312</v>
      </c>
      <c r="K101" s="186"/>
      <c r="L101" s="186"/>
      <c r="M101" s="90"/>
      <c r="N101" s="90"/>
      <c r="O101" s="90"/>
      <c r="P101" s="186"/>
      <c r="Q101" s="186"/>
      <c r="R101" s="122"/>
      <c r="S101" s="186"/>
      <c r="T101" s="186"/>
      <c r="U101" s="186"/>
      <c r="V101" s="186"/>
      <c r="W101" s="186"/>
      <c r="X101" s="186"/>
      <c r="Y101" s="186"/>
      <c r="Z101" s="186"/>
      <c r="AA101" s="186"/>
      <c r="AB101" s="186"/>
      <c r="AC101" s="186"/>
      <c r="AD101" s="186"/>
      <c r="AE101" s="186"/>
    </row>
    <row r="102" spans="1:31" ht="18.75" customHeight="1">
      <c r="A102" s="213"/>
      <c r="B102" s="213"/>
      <c r="C102" s="210"/>
      <c r="D102" s="210"/>
      <c r="E102" s="186" t="s">
        <v>55</v>
      </c>
      <c r="F102" s="186" t="s">
        <v>4118</v>
      </c>
      <c r="G102" s="186" t="s">
        <v>329</v>
      </c>
      <c r="H102" s="186" t="s">
        <v>243</v>
      </c>
      <c r="I102" s="186"/>
      <c r="J102" s="186">
        <v>69</v>
      </c>
      <c r="K102" s="186"/>
      <c r="L102" s="186"/>
      <c r="M102" s="90"/>
      <c r="N102" s="90"/>
      <c r="O102" s="90"/>
      <c r="P102" s="186"/>
      <c r="Q102" s="186"/>
      <c r="R102" s="122"/>
      <c r="S102" s="186" t="s">
        <v>4119</v>
      </c>
      <c r="T102" s="186"/>
      <c r="U102" s="186"/>
      <c r="V102" s="186"/>
      <c r="W102" s="186"/>
      <c r="X102" s="186"/>
      <c r="Y102" s="186"/>
      <c r="Z102" s="186"/>
      <c r="AA102" s="186"/>
      <c r="AB102" s="186"/>
      <c r="AC102" s="186"/>
      <c r="AD102" s="186"/>
      <c r="AE102" s="186"/>
    </row>
    <row r="103" spans="1:31" ht="18.75" customHeight="1">
      <c r="A103" s="213"/>
      <c r="B103" s="213"/>
      <c r="C103" s="210"/>
      <c r="D103" s="210"/>
      <c r="E103" s="186" t="s">
        <v>55</v>
      </c>
      <c r="F103" s="186" t="s">
        <v>1488</v>
      </c>
      <c r="G103" s="186" t="s">
        <v>329</v>
      </c>
      <c r="H103" s="186" t="s">
        <v>243</v>
      </c>
      <c r="I103" s="186"/>
      <c r="J103" s="186">
        <v>70</v>
      </c>
      <c r="K103" s="186"/>
      <c r="L103" s="186"/>
      <c r="M103" s="90"/>
      <c r="N103" s="90"/>
      <c r="O103" s="90"/>
      <c r="P103" s="186"/>
      <c r="Q103" s="186"/>
      <c r="R103" s="122"/>
      <c r="S103" s="186" t="s">
        <v>1489</v>
      </c>
      <c r="T103" s="186"/>
      <c r="U103" s="186"/>
      <c r="V103" s="186"/>
      <c r="W103" s="186"/>
      <c r="X103" s="186"/>
      <c r="Y103" s="186"/>
      <c r="Z103" s="186"/>
      <c r="AA103" s="186"/>
      <c r="AB103" s="186"/>
      <c r="AC103" s="186"/>
      <c r="AD103" s="186"/>
      <c r="AE103" s="186"/>
    </row>
    <row r="104" spans="1:31" ht="18.75" customHeight="1">
      <c r="A104" s="213"/>
      <c r="B104" s="213"/>
      <c r="C104" s="210"/>
      <c r="D104" s="210"/>
      <c r="E104" s="186" t="s">
        <v>55</v>
      </c>
      <c r="F104" s="186" t="s">
        <v>1490</v>
      </c>
      <c r="G104" s="186" t="s">
        <v>329</v>
      </c>
      <c r="H104" s="186" t="s">
        <v>243</v>
      </c>
      <c r="I104" s="186"/>
      <c r="J104" s="186">
        <v>71</v>
      </c>
      <c r="K104" s="186"/>
      <c r="L104" s="186"/>
      <c r="M104" s="90"/>
      <c r="N104" s="90"/>
      <c r="O104" s="90"/>
      <c r="P104" s="186"/>
      <c r="Q104" s="186"/>
      <c r="R104" s="122"/>
      <c r="S104" s="186" t="s">
        <v>1491</v>
      </c>
      <c r="T104" s="186"/>
      <c r="U104" s="186"/>
      <c r="V104" s="186"/>
      <c r="W104" s="186"/>
      <c r="X104" s="186"/>
      <c r="Y104" s="186"/>
      <c r="Z104" s="186"/>
      <c r="AA104" s="186"/>
      <c r="AB104" s="186"/>
      <c r="AC104" s="186"/>
      <c r="AD104" s="186"/>
      <c r="AE104" s="186"/>
    </row>
    <row r="105" spans="1:31" ht="18.75" customHeight="1">
      <c r="A105" s="213"/>
      <c r="B105" s="213"/>
      <c r="C105" s="210"/>
      <c r="D105" s="210"/>
      <c r="E105" s="186" t="s">
        <v>55</v>
      </c>
      <c r="F105" s="186" t="s">
        <v>4120</v>
      </c>
      <c r="G105" s="186" t="s">
        <v>329</v>
      </c>
      <c r="H105" s="186" t="s">
        <v>243</v>
      </c>
      <c r="I105" s="186"/>
      <c r="J105" s="186">
        <v>72</v>
      </c>
      <c r="K105" s="186"/>
      <c r="L105" s="186"/>
      <c r="M105" s="90"/>
      <c r="N105" s="90"/>
      <c r="O105" s="90"/>
      <c r="P105" s="186"/>
      <c r="Q105" s="186"/>
      <c r="R105" s="122"/>
      <c r="S105" s="186" t="s">
        <v>4121</v>
      </c>
      <c r="T105" s="186"/>
      <c r="U105" s="186"/>
      <c r="V105" s="186"/>
      <c r="W105" s="186"/>
      <c r="X105" s="186"/>
      <c r="Y105" s="186"/>
      <c r="Z105" s="186"/>
      <c r="AA105" s="186"/>
      <c r="AB105" s="186"/>
      <c r="AC105" s="186"/>
      <c r="AD105" s="186"/>
      <c r="AE105" s="186"/>
    </row>
    <row r="106" spans="1:31" ht="18.75" customHeight="1">
      <c r="A106" s="213"/>
      <c r="B106" s="213"/>
      <c r="C106" s="210"/>
      <c r="D106" s="210"/>
      <c r="E106" s="186" t="s">
        <v>55</v>
      </c>
      <c r="F106" s="186" t="s">
        <v>4122</v>
      </c>
      <c r="G106" s="186" t="s">
        <v>329</v>
      </c>
      <c r="H106" s="186" t="s">
        <v>243</v>
      </c>
      <c r="I106" s="186"/>
      <c r="J106" s="186">
        <v>73</v>
      </c>
      <c r="K106" s="186"/>
      <c r="L106" s="186"/>
      <c r="M106" s="90"/>
      <c r="N106" s="90"/>
      <c r="O106" s="90"/>
      <c r="P106" s="186"/>
      <c r="Q106" s="186"/>
      <c r="R106" s="122"/>
      <c r="S106" s="186" t="s">
        <v>4123</v>
      </c>
      <c r="T106" s="186"/>
      <c r="U106" s="186"/>
      <c r="V106" s="186"/>
      <c r="W106" s="186"/>
      <c r="X106" s="186"/>
      <c r="Y106" s="186"/>
      <c r="Z106" s="186"/>
      <c r="AA106" s="186"/>
      <c r="AB106" s="186"/>
      <c r="AC106" s="186"/>
      <c r="AD106" s="186"/>
      <c r="AE106" s="186"/>
    </row>
    <row r="107" spans="1:31" ht="18.75" customHeight="1">
      <c r="A107" s="213"/>
      <c r="B107" s="213"/>
      <c r="C107" s="210"/>
      <c r="D107" s="210"/>
      <c r="E107" s="186" t="s">
        <v>55</v>
      </c>
      <c r="F107" s="186" t="s">
        <v>4124</v>
      </c>
      <c r="G107" s="186" t="s">
        <v>329</v>
      </c>
      <c r="H107" s="186" t="s">
        <v>243</v>
      </c>
      <c r="I107" s="186"/>
      <c r="J107" s="186">
        <v>74</v>
      </c>
      <c r="K107" s="186"/>
      <c r="L107" s="186"/>
      <c r="M107" s="90"/>
      <c r="N107" s="90"/>
      <c r="O107" s="90"/>
      <c r="P107" s="186"/>
      <c r="Q107" s="186"/>
      <c r="R107" s="122"/>
      <c r="S107" s="186" t="s">
        <v>4125</v>
      </c>
      <c r="T107" s="186"/>
      <c r="U107" s="186"/>
      <c r="V107" s="186"/>
      <c r="W107" s="186"/>
      <c r="X107" s="186"/>
      <c r="Y107" s="186"/>
      <c r="Z107" s="186"/>
      <c r="AA107" s="186"/>
      <c r="AB107" s="186"/>
      <c r="AC107" s="186"/>
      <c r="AD107" s="186"/>
      <c r="AE107" s="186"/>
    </row>
    <row r="108" spans="1:31" ht="18.75" customHeight="1">
      <c r="A108" s="213"/>
      <c r="B108" s="213"/>
      <c r="C108" s="210"/>
      <c r="D108" s="210"/>
      <c r="E108" s="186" t="s">
        <v>55</v>
      </c>
      <c r="F108" s="186" t="s">
        <v>4126</v>
      </c>
      <c r="G108" s="186" t="s">
        <v>329</v>
      </c>
      <c r="H108" s="186" t="s">
        <v>243</v>
      </c>
      <c r="I108" s="186"/>
      <c r="J108" s="186">
        <v>313</v>
      </c>
      <c r="K108" s="186"/>
      <c r="L108" s="186"/>
      <c r="M108" s="90"/>
      <c r="N108" s="90"/>
      <c r="O108" s="90"/>
      <c r="P108" s="186"/>
      <c r="Q108" s="186"/>
      <c r="R108" s="122"/>
      <c r="S108" s="186"/>
      <c r="T108" s="186"/>
      <c r="U108" s="186"/>
      <c r="V108" s="186"/>
      <c r="W108" s="186"/>
      <c r="X108" s="186"/>
      <c r="Y108" s="186"/>
      <c r="Z108" s="186"/>
      <c r="AA108" s="186"/>
      <c r="AB108" s="186"/>
      <c r="AC108" s="186"/>
      <c r="AD108" s="186"/>
      <c r="AE108" s="186"/>
    </row>
    <row r="109" spans="1:31" ht="18.75" customHeight="1">
      <c r="A109" s="213"/>
      <c r="B109" s="213"/>
      <c r="C109" s="210"/>
      <c r="D109" s="210"/>
      <c r="E109" s="186" t="s">
        <v>55</v>
      </c>
      <c r="F109" s="186" t="s">
        <v>4127</v>
      </c>
      <c r="G109" s="186" t="s">
        <v>329</v>
      </c>
      <c r="H109" s="186" t="s">
        <v>243</v>
      </c>
      <c r="I109" s="186"/>
      <c r="J109" s="186">
        <v>75</v>
      </c>
      <c r="K109" s="186"/>
      <c r="L109" s="186"/>
      <c r="M109" s="90"/>
      <c r="N109" s="90"/>
      <c r="O109" s="90"/>
      <c r="P109" s="186"/>
      <c r="Q109" s="186"/>
      <c r="R109" s="122"/>
      <c r="S109" s="186" t="s">
        <v>4128</v>
      </c>
      <c r="T109" s="186"/>
      <c r="U109" s="186"/>
      <c r="V109" s="186"/>
      <c r="W109" s="186"/>
      <c r="X109" s="186"/>
      <c r="Y109" s="186"/>
      <c r="Z109" s="186"/>
      <c r="AA109" s="186"/>
      <c r="AB109" s="186"/>
      <c r="AC109" s="186"/>
      <c r="AD109" s="186"/>
      <c r="AE109" s="186"/>
    </row>
    <row r="110" spans="1:31" ht="18.75" customHeight="1">
      <c r="A110" s="213"/>
      <c r="B110" s="213"/>
      <c r="C110" s="210"/>
      <c r="D110" s="210"/>
      <c r="E110" s="186" t="s">
        <v>55</v>
      </c>
      <c r="F110" s="186" t="s">
        <v>1493</v>
      </c>
      <c r="G110" s="186" t="s">
        <v>329</v>
      </c>
      <c r="H110" s="186" t="s">
        <v>243</v>
      </c>
      <c r="I110" s="186"/>
      <c r="J110" s="186">
        <v>76</v>
      </c>
      <c r="K110" s="186"/>
      <c r="L110" s="186"/>
      <c r="M110" s="90"/>
      <c r="N110" s="90"/>
      <c r="O110" s="90"/>
      <c r="P110" s="186"/>
      <c r="Q110" s="186"/>
      <c r="R110" s="122"/>
      <c r="S110" s="186" t="s">
        <v>1494</v>
      </c>
      <c r="T110" s="186"/>
      <c r="U110" s="186"/>
      <c r="V110" s="186"/>
      <c r="W110" s="186"/>
      <c r="X110" s="186"/>
      <c r="Y110" s="186"/>
      <c r="Z110" s="186"/>
      <c r="AA110" s="186"/>
      <c r="AB110" s="186"/>
      <c r="AC110" s="186"/>
      <c r="AD110" s="186"/>
      <c r="AE110" s="186"/>
    </row>
    <row r="111" spans="1:31" ht="18.75" customHeight="1">
      <c r="A111" s="213"/>
      <c r="B111" s="213"/>
      <c r="C111" s="210"/>
      <c r="D111" s="210"/>
      <c r="E111" s="186" t="s">
        <v>55</v>
      </c>
      <c r="F111" s="186" t="s">
        <v>4129</v>
      </c>
      <c r="G111" s="186" t="s">
        <v>329</v>
      </c>
      <c r="H111" s="186" t="s">
        <v>243</v>
      </c>
      <c r="I111" s="186"/>
      <c r="J111" s="186">
        <v>310</v>
      </c>
      <c r="K111" s="186"/>
      <c r="L111" s="186"/>
      <c r="M111" s="90"/>
      <c r="N111" s="90"/>
      <c r="O111" s="90"/>
      <c r="P111" s="186"/>
      <c r="Q111" s="186"/>
      <c r="R111" s="122"/>
      <c r="S111" s="186"/>
      <c r="T111" s="186"/>
      <c r="U111" s="186"/>
      <c r="V111" s="186"/>
      <c r="W111" s="186"/>
      <c r="X111" s="186"/>
      <c r="Y111" s="186"/>
      <c r="Z111" s="186"/>
      <c r="AA111" s="186"/>
      <c r="AB111" s="186"/>
      <c r="AC111" s="186"/>
      <c r="AD111" s="186"/>
      <c r="AE111" s="186"/>
    </row>
    <row r="112" spans="1:31" ht="18.75" customHeight="1">
      <c r="A112" s="213"/>
      <c r="B112" s="213"/>
      <c r="C112" s="210"/>
      <c r="D112" s="210"/>
      <c r="E112" s="186" t="s">
        <v>55</v>
      </c>
      <c r="F112" s="186" t="s">
        <v>1496</v>
      </c>
      <c r="G112" s="186" t="s">
        <v>329</v>
      </c>
      <c r="H112" s="186" t="s">
        <v>243</v>
      </c>
      <c r="I112" s="186"/>
      <c r="J112" s="186">
        <v>77</v>
      </c>
      <c r="K112" s="186"/>
      <c r="L112" s="186"/>
      <c r="M112" s="90"/>
      <c r="N112" s="90"/>
      <c r="O112" s="90"/>
      <c r="P112" s="186"/>
      <c r="Q112" s="186"/>
      <c r="R112" s="122"/>
      <c r="S112" s="186" t="s">
        <v>1497</v>
      </c>
      <c r="T112" s="186"/>
      <c r="U112" s="186"/>
      <c r="V112" s="186"/>
      <c r="W112" s="186"/>
      <c r="X112" s="186"/>
      <c r="Y112" s="186"/>
      <c r="Z112" s="186"/>
      <c r="AA112" s="186"/>
      <c r="AB112" s="186"/>
      <c r="AC112" s="186"/>
      <c r="AD112" s="186"/>
      <c r="AE112" s="186"/>
    </row>
    <row r="113" spans="1:31" ht="18.75" customHeight="1">
      <c r="A113" s="213"/>
      <c r="B113" s="213"/>
      <c r="C113" s="210"/>
      <c r="D113" s="210"/>
      <c r="E113" s="186" t="s">
        <v>55</v>
      </c>
      <c r="F113" s="186" t="s">
        <v>4130</v>
      </c>
      <c r="G113" s="186" t="s">
        <v>329</v>
      </c>
      <c r="H113" s="186" t="s">
        <v>243</v>
      </c>
      <c r="I113" s="186"/>
      <c r="J113" s="186">
        <v>345</v>
      </c>
      <c r="K113" s="186"/>
      <c r="L113" s="186"/>
      <c r="M113" s="90"/>
      <c r="N113" s="90"/>
      <c r="O113" s="90"/>
      <c r="P113" s="186"/>
      <c r="Q113" s="186"/>
      <c r="R113" s="122"/>
      <c r="S113" s="186" t="s">
        <v>4131</v>
      </c>
      <c r="T113" s="186"/>
      <c r="U113" s="186"/>
      <c r="V113" s="186"/>
      <c r="W113" s="186"/>
      <c r="X113" s="186"/>
      <c r="Y113" s="186"/>
      <c r="Z113" s="186"/>
      <c r="AA113" s="186"/>
      <c r="AB113" s="186"/>
      <c r="AC113" s="186"/>
      <c r="AD113" s="186"/>
      <c r="AE113" s="186"/>
    </row>
    <row r="114" spans="1:31" ht="18.75" customHeight="1">
      <c r="A114" s="213"/>
      <c r="B114" s="213"/>
      <c r="C114" s="210"/>
      <c r="D114" s="210"/>
      <c r="E114" s="186" t="s">
        <v>55</v>
      </c>
      <c r="F114" s="186" t="s">
        <v>4132</v>
      </c>
      <c r="G114" s="186" t="s">
        <v>329</v>
      </c>
      <c r="H114" s="186" t="s">
        <v>243</v>
      </c>
      <c r="I114" s="186"/>
      <c r="J114" s="186">
        <v>346</v>
      </c>
      <c r="K114" s="186"/>
      <c r="L114" s="186"/>
      <c r="M114" s="90"/>
      <c r="N114" s="90"/>
      <c r="O114" s="90"/>
      <c r="P114" s="186"/>
      <c r="Q114" s="186"/>
      <c r="R114" s="122"/>
      <c r="S114" s="186" t="s">
        <v>4133</v>
      </c>
      <c r="T114" s="186"/>
      <c r="U114" s="186"/>
      <c r="V114" s="186"/>
      <c r="W114" s="186"/>
      <c r="X114" s="186"/>
      <c r="Y114" s="186"/>
      <c r="Z114" s="186"/>
      <c r="AA114" s="186"/>
      <c r="AB114" s="186"/>
      <c r="AC114" s="186"/>
      <c r="AD114" s="186"/>
      <c r="AE114" s="186"/>
    </row>
    <row r="115" spans="1:31" ht="18.75" customHeight="1">
      <c r="A115" s="213"/>
      <c r="B115" s="213"/>
      <c r="C115" s="210"/>
      <c r="D115" s="210"/>
      <c r="E115" s="186" t="s">
        <v>55</v>
      </c>
      <c r="F115" s="186" t="s">
        <v>4134</v>
      </c>
      <c r="G115" s="186" t="s">
        <v>329</v>
      </c>
      <c r="H115" s="186" t="s">
        <v>243</v>
      </c>
      <c r="I115" s="186"/>
      <c r="J115" s="186">
        <v>347</v>
      </c>
      <c r="K115" s="186"/>
      <c r="L115" s="186"/>
      <c r="M115" s="90"/>
      <c r="N115" s="90"/>
      <c r="O115" s="90"/>
      <c r="P115" s="186"/>
      <c r="Q115" s="186"/>
      <c r="R115" s="122"/>
      <c r="S115" s="186" t="s">
        <v>4135</v>
      </c>
      <c r="T115" s="186"/>
      <c r="U115" s="186"/>
      <c r="V115" s="186"/>
      <c r="W115" s="186"/>
      <c r="X115" s="186"/>
      <c r="Y115" s="186"/>
      <c r="Z115" s="186"/>
      <c r="AA115" s="186"/>
      <c r="AB115" s="186"/>
      <c r="AC115" s="186"/>
      <c r="AD115" s="186"/>
      <c r="AE115" s="186"/>
    </row>
    <row r="116" spans="1:31" ht="18.75" customHeight="1">
      <c r="A116" s="213"/>
      <c r="B116" s="213"/>
      <c r="C116" s="210"/>
      <c r="D116" s="210"/>
      <c r="E116" s="186" t="s">
        <v>55</v>
      </c>
      <c r="F116" s="186" t="s">
        <v>4136</v>
      </c>
      <c r="G116" s="186" t="s">
        <v>329</v>
      </c>
      <c r="H116" s="186" t="s">
        <v>243</v>
      </c>
      <c r="I116" s="186"/>
      <c r="J116" s="186">
        <v>348</v>
      </c>
      <c r="K116" s="186"/>
      <c r="L116" s="186"/>
      <c r="M116" s="90"/>
      <c r="N116" s="90"/>
      <c r="O116" s="90"/>
      <c r="P116" s="186"/>
      <c r="Q116" s="186"/>
      <c r="R116" s="122"/>
      <c r="S116" s="186" t="s">
        <v>4137</v>
      </c>
      <c r="T116" s="186"/>
      <c r="U116" s="186"/>
      <c r="V116" s="186"/>
      <c r="W116" s="186"/>
      <c r="X116" s="186"/>
      <c r="Y116" s="186"/>
      <c r="Z116" s="186"/>
      <c r="AA116" s="186"/>
      <c r="AB116" s="186"/>
      <c r="AC116" s="186"/>
      <c r="AD116" s="186"/>
      <c r="AE116" s="186"/>
    </row>
    <row r="117" spans="1:31" ht="18.75" customHeight="1">
      <c r="A117" s="213"/>
      <c r="B117" s="213"/>
      <c r="C117" s="210"/>
      <c r="D117" s="210"/>
      <c r="E117" s="186" t="s">
        <v>55</v>
      </c>
      <c r="F117" s="186" t="s">
        <v>4138</v>
      </c>
      <c r="G117" s="186" t="s">
        <v>329</v>
      </c>
      <c r="H117" s="186" t="s">
        <v>243</v>
      </c>
      <c r="I117" s="186"/>
      <c r="J117" s="186">
        <v>78</v>
      </c>
      <c r="K117" s="186"/>
      <c r="L117" s="186"/>
      <c r="M117" s="90"/>
      <c r="N117" s="90"/>
      <c r="O117" s="90"/>
      <c r="P117" s="186"/>
      <c r="Q117" s="186"/>
      <c r="R117" s="122"/>
      <c r="S117" s="186"/>
      <c r="T117" s="186"/>
      <c r="U117" s="186"/>
      <c r="V117" s="186"/>
      <c r="W117" s="186"/>
      <c r="X117" s="186"/>
      <c r="Y117" s="186"/>
      <c r="Z117" s="186"/>
      <c r="AA117" s="186"/>
      <c r="AB117" s="186"/>
      <c r="AC117" s="186"/>
      <c r="AD117" s="186"/>
      <c r="AE117" s="186"/>
    </row>
    <row r="118" spans="1:31" ht="18.75" customHeight="1">
      <c r="A118" s="213"/>
      <c r="B118" s="213"/>
      <c r="C118" s="210"/>
      <c r="D118" s="210"/>
      <c r="E118" s="186" t="s">
        <v>55</v>
      </c>
      <c r="F118" s="186" t="s">
        <v>4139</v>
      </c>
      <c r="G118" s="186" t="s">
        <v>329</v>
      </c>
      <c r="H118" s="186" t="s">
        <v>243</v>
      </c>
      <c r="I118" s="186"/>
      <c r="J118" s="186">
        <v>79</v>
      </c>
      <c r="K118" s="186"/>
      <c r="L118" s="186"/>
      <c r="M118" s="90"/>
      <c r="N118" s="90"/>
      <c r="O118" s="90"/>
      <c r="P118" s="186"/>
      <c r="Q118" s="186"/>
      <c r="R118" s="122"/>
      <c r="S118" s="186"/>
      <c r="T118" s="186"/>
      <c r="U118" s="186"/>
      <c r="V118" s="186"/>
      <c r="W118" s="186"/>
      <c r="X118" s="186"/>
      <c r="Y118" s="186"/>
      <c r="Z118" s="186"/>
      <c r="AA118" s="186"/>
      <c r="AB118" s="186"/>
      <c r="AC118" s="186"/>
      <c r="AD118" s="186"/>
      <c r="AE118" s="186"/>
    </row>
    <row r="119" spans="1:31" ht="18.75" customHeight="1">
      <c r="A119" s="213"/>
      <c r="B119" s="213"/>
      <c r="C119" s="210"/>
      <c r="D119" s="210"/>
      <c r="E119" s="186" t="s">
        <v>55</v>
      </c>
      <c r="F119" s="186" t="s">
        <v>4140</v>
      </c>
      <c r="G119" s="186" t="s">
        <v>329</v>
      </c>
      <c r="H119" s="186" t="s">
        <v>243</v>
      </c>
      <c r="I119" s="186"/>
      <c r="J119" s="186">
        <v>80</v>
      </c>
      <c r="K119" s="186"/>
      <c r="L119" s="186"/>
      <c r="M119" s="90"/>
      <c r="N119" s="90"/>
      <c r="O119" s="90"/>
      <c r="P119" s="186"/>
      <c r="Q119" s="186"/>
      <c r="R119" s="122"/>
      <c r="S119" s="186"/>
      <c r="T119" s="186"/>
      <c r="U119" s="186"/>
      <c r="V119" s="186"/>
      <c r="W119" s="186"/>
      <c r="X119" s="186"/>
      <c r="Y119" s="186"/>
      <c r="Z119" s="186"/>
      <c r="AA119" s="186"/>
      <c r="AB119" s="186"/>
      <c r="AC119" s="186"/>
      <c r="AD119" s="186"/>
      <c r="AE119" s="186"/>
    </row>
    <row r="120" spans="1:31" ht="18.75" customHeight="1">
      <c r="A120" s="213"/>
      <c r="B120" s="213"/>
      <c r="C120" s="210"/>
      <c r="D120" s="210"/>
      <c r="E120" s="186" t="s">
        <v>55</v>
      </c>
      <c r="F120" s="186" t="s">
        <v>4141</v>
      </c>
      <c r="G120" s="186" t="s">
        <v>329</v>
      </c>
      <c r="H120" s="186" t="s">
        <v>243</v>
      </c>
      <c r="I120" s="186"/>
      <c r="J120" s="186">
        <v>81</v>
      </c>
      <c r="K120" s="186"/>
      <c r="L120" s="186"/>
      <c r="M120" s="90"/>
      <c r="N120" s="90"/>
      <c r="O120" s="90"/>
      <c r="P120" s="186"/>
      <c r="Q120" s="186"/>
      <c r="R120" s="122"/>
      <c r="S120" s="186"/>
      <c r="T120" s="186"/>
      <c r="U120" s="186"/>
      <c r="V120" s="186"/>
      <c r="W120" s="186"/>
      <c r="X120" s="186"/>
      <c r="Y120" s="186"/>
      <c r="Z120" s="186"/>
      <c r="AA120" s="186"/>
      <c r="AB120" s="186"/>
      <c r="AC120" s="186"/>
      <c r="AD120" s="186"/>
      <c r="AE120" s="186"/>
    </row>
    <row r="121" spans="1:31" ht="18.75" customHeight="1">
      <c r="A121" s="213"/>
      <c r="B121" s="213"/>
      <c r="C121" s="210"/>
      <c r="D121" s="210"/>
      <c r="E121" s="186" t="s">
        <v>55</v>
      </c>
      <c r="F121" s="186" t="s">
        <v>4142</v>
      </c>
      <c r="G121" s="186" t="s">
        <v>329</v>
      </c>
      <c r="H121" s="186" t="s">
        <v>243</v>
      </c>
      <c r="I121" s="186"/>
      <c r="J121" s="186">
        <v>82</v>
      </c>
      <c r="K121" s="186"/>
      <c r="L121" s="186"/>
      <c r="M121" s="90"/>
      <c r="N121" s="90"/>
      <c r="O121" s="90"/>
      <c r="P121" s="186"/>
      <c r="Q121" s="186"/>
      <c r="R121" s="122"/>
      <c r="S121" s="186" t="s">
        <v>4143</v>
      </c>
      <c r="T121" s="186"/>
      <c r="U121" s="186"/>
      <c r="V121" s="186"/>
      <c r="W121" s="186"/>
      <c r="X121" s="186"/>
      <c r="Y121" s="186"/>
      <c r="Z121" s="186"/>
      <c r="AA121" s="186"/>
      <c r="AB121" s="186"/>
      <c r="AC121" s="186"/>
      <c r="AD121" s="186"/>
      <c r="AE121" s="186"/>
    </row>
    <row r="122" spans="1:31" ht="18.75" customHeight="1">
      <c r="A122" s="213"/>
      <c r="B122" s="213"/>
      <c r="C122" s="210"/>
      <c r="D122" s="210"/>
      <c r="E122" s="186" t="s">
        <v>55</v>
      </c>
      <c r="F122" s="186" t="s">
        <v>4144</v>
      </c>
      <c r="G122" s="186" t="s">
        <v>329</v>
      </c>
      <c r="H122" s="186" t="s">
        <v>243</v>
      </c>
      <c r="I122" s="186"/>
      <c r="J122" s="186">
        <v>83</v>
      </c>
      <c r="K122" s="186"/>
      <c r="L122" s="186"/>
      <c r="M122" s="90"/>
      <c r="N122" s="90"/>
      <c r="O122" s="90"/>
      <c r="P122" s="186"/>
      <c r="Q122" s="186"/>
      <c r="R122" s="122"/>
      <c r="S122" s="186" t="s">
        <v>4145</v>
      </c>
      <c r="T122" s="186"/>
      <c r="U122" s="186"/>
      <c r="V122" s="186"/>
      <c r="W122" s="186"/>
      <c r="X122" s="186"/>
      <c r="Y122" s="186"/>
      <c r="Z122" s="186"/>
      <c r="AA122" s="186"/>
      <c r="AB122" s="186"/>
      <c r="AC122" s="186"/>
      <c r="AD122" s="186"/>
      <c r="AE122" s="186"/>
    </row>
    <row r="123" spans="1:31" ht="18.75" customHeight="1">
      <c r="A123" s="213"/>
      <c r="B123" s="213"/>
      <c r="C123" s="210"/>
      <c r="D123" s="210"/>
      <c r="E123" s="186" t="s">
        <v>55</v>
      </c>
      <c r="F123" s="186" t="s">
        <v>4146</v>
      </c>
      <c r="G123" s="186" t="s">
        <v>329</v>
      </c>
      <c r="H123" s="186" t="s">
        <v>243</v>
      </c>
      <c r="I123" s="186"/>
      <c r="J123" s="186">
        <v>84</v>
      </c>
      <c r="K123" s="186"/>
      <c r="L123" s="186"/>
      <c r="M123" s="90"/>
      <c r="N123" s="90"/>
      <c r="O123" s="90"/>
      <c r="P123" s="186"/>
      <c r="Q123" s="186"/>
      <c r="R123" s="122"/>
      <c r="S123" s="186" t="s">
        <v>4147</v>
      </c>
      <c r="T123" s="186"/>
      <c r="U123" s="186"/>
      <c r="V123" s="186"/>
      <c r="W123" s="186"/>
      <c r="X123" s="186"/>
      <c r="Y123" s="186"/>
      <c r="Z123" s="186"/>
      <c r="AA123" s="186"/>
      <c r="AB123" s="186"/>
      <c r="AC123" s="186"/>
      <c r="AD123" s="186"/>
      <c r="AE123" s="186"/>
    </row>
    <row r="124" spans="1:31" ht="18.75" customHeight="1">
      <c r="A124" s="213"/>
      <c r="B124" s="213"/>
      <c r="C124" s="210"/>
      <c r="D124" s="210"/>
      <c r="E124" s="186" t="s">
        <v>55</v>
      </c>
      <c r="F124" s="186" t="s">
        <v>4148</v>
      </c>
      <c r="G124" s="186" t="s">
        <v>329</v>
      </c>
      <c r="H124" s="186" t="s">
        <v>243</v>
      </c>
      <c r="I124" s="186"/>
      <c r="J124" s="186">
        <v>314</v>
      </c>
      <c r="K124" s="186"/>
      <c r="L124" s="186"/>
      <c r="M124" s="90"/>
      <c r="N124" s="90"/>
      <c r="O124" s="90"/>
      <c r="P124" s="186"/>
      <c r="Q124" s="186"/>
      <c r="R124" s="122"/>
      <c r="S124" s="186"/>
      <c r="T124" s="186"/>
      <c r="U124" s="186"/>
      <c r="V124" s="186"/>
      <c r="W124" s="186"/>
      <c r="X124" s="186"/>
      <c r="Y124" s="186"/>
      <c r="Z124" s="186"/>
      <c r="AA124" s="186"/>
      <c r="AB124" s="186"/>
      <c r="AC124" s="186"/>
      <c r="AD124" s="186"/>
      <c r="AE124" s="186"/>
    </row>
    <row r="125" spans="1:31" ht="18.75" customHeight="1">
      <c r="A125" s="213"/>
      <c r="B125" s="213"/>
      <c r="C125" s="210"/>
      <c r="D125" s="210"/>
      <c r="E125" s="186" t="s">
        <v>55</v>
      </c>
      <c r="F125" s="186" t="s">
        <v>4149</v>
      </c>
      <c r="G125" s="186" t="s">
        <v>329</v>
      </c>
      <c r="H125" s="186" t="s">
        <v>243</v>
      </c>
      <c r="I125" s="186"/>
      <c r="J125" s="186">
        <v>85</v>
      </c>
      <c r="K125" s="186"/>
      <c r="L125" s="186"/>
      <c r="M125" s="90"/>
      <c r="N125" s="90"/>
      <c r="O125" s="90"/>
      <c r="P125" s="186"/>
      <c r="Q125" s="186"/>
      <c r="R125" s="122"/>
      <c r="S125" s="186" t="s">
        <v>4150</v>
      </c>
      <c r="T125" s="186"/>
      <c r="U125" s="186"/>
      <c r="V125" s="186"/>
      <c r="W125" s="186"/>
      <c r="X125" s="186"/>
      <c r="Y125" s="186"/>
      <c r="Z125" s="186"/>
      <c r="AA125" s="186"/>
      <c r="AB125" s="186"/>
      <c r="AC125" s="186"/>
      <c r="AD125" s="186"/>
      <c r="AE125" s="186"/>
    </row>
    <row r="126" spans="1:31" ht="18.75" customHeight="1">
      <c r="A126" s="213"/>
      <c r="B126" s="213"/>
      <c r="C126" s="210"/>
      <c r="D126" s="210"/>
      <c r="E126" s="186" t="s">
        <v>55</v>
      </c>
      <c r="F126" s="186" t="s">
        <v>4151</v>
      </c>
      <c r="G126" s="186" t="s">
        <v>329</v>
      </c>
      <c r="H126" s="186" t="s">
        <v>243</v>
      </c>
      <c r="I126" s="186"/>
      <c r="J126" s="186">
        <v>86</v>
      </c>
      <c r="K126" s="186"/>
      <c r="L126" s="186"/>
      <c r="M126" s="90"/>
      <c r="N126" s="90"/>
      <c r="O126" s="90"/>
      <c r="P126" s="186"/>
      <c r="Q126" s="186"/>
      <c r="R126" s="122"/>
      <c r="S126" s="186" t="s">
        <v>4152</v>
      </c>
      <c r="T126" s="186"/>
      <c r="U126" s="186"/>
      <c r="V126" s="186"/>
      <c r="W126" s="186"/>
      <c r="X126" s="186"/>
      <c r="Y126" s="186"/>
      <c r="Z126" s="186"/>
      <c r="AA126" s="186"/>
      <c r="AB126" s="186"/>
      <c r="AC126" s="186"/>
      <c r="AD126" s="186"/>
      <c r="AE126" s="186"/>
    </row>
    <row r="127" spans="1:31" ht="18.75" customHeight="1">
      <c r="A127" s="213"/>
      <c r="B127" s="213"/>
      <c r="C127" s="210"/>
      <c r="D127" s="210"/>
      <c r="E127" s="186" t="s">
        <v>55</v>
      </c>
      <c r="F127" s="186" t="s">
        <v>4153</v>
      </c>
      <c r="G127" s="186" t="s">
        <v>329</v>
      </c>
      <c r="H127" s="186" t="s">
        <v>243</v>
      </c>
      <c r="I127" s="186"/>
      <c r="J127" s="186">
        <v>87</v>
      </c>
      <c r="K127" s="186"/>
      <c r="L127" s="186"/>
      <c r="M127" s="90"/>
      <c r="N127" s="90"/>
      <c r="O127" s="90"/>
      <c r="P127" s="186"/>
      <c r="Q127" s="186"/>
      <c r="R127" s="122"/>
      <c r="S127" s="186" t="s">
        <v>4154</v>
      </c>
      <c r="T127" s="186"/>
      <c r="U127" s="186"/>
      <c r="V127" s="186"/>
      <c r="W127" s="186"/>
      <c r="X127" s="186"/>
      <c r="Y127" s="186"/>
      <c r="Z127" s="186"/>
      <c r="AA127" s="186"/>
      <c r="AB127" s="186"/>
      <c r="AC127" s="186"/>
      <c r="AD127" s="186"/>
      <c r="AE127" s="186"/>
    </row>
    <row r="128" spans="1:31" ht="18.75" customHeight="1">
      <c r="A128" s="213"/>
      <c r="B128" s="213"/>
      <c r="C128" s="210"/>
      <c r="D128" s="210"/>
      <c r="E128" s="186" t="s">
        <v>55</v>
      </c>
      <c r="F128" s="186" t="s">
        <v>1499</v>
      </c>
      <c r="G128" s="186" t="s">
        <v>329</v>
      </c>
      <c r="H128" s="186" t="s">
        <v>243</v>
      </c>
      <c r="I128" s="186"/>
      <c r="J128" s="186">
        <v>88</v>
      </c>
      <c r="K128" s="186"/>
      <c r="L128" s="186"/>
      <c r="M128" s="90"/>
      <c r="N128" s="90"/>
      <c r="O128" s="90"/>
      <c r="P128" s="186"/>
      <c r="Q128" s="186"/>
      <c r="R128" s="122"/>
      <c r="S128" s="186" t="s">
        <v>4155</v>
      </c>
      <c r="T128" s="186"/>
      <c r="U128" s="186"/>
      <c r="V128" s="186"/>
      <c r="W128" s="186"/>
      <c r="X128" s="186"/>
      <c r="Y128" s="186"/>
      <c r="Z128" s="186"/>
      <c r="AA128" s="186"/>
      <c r="AB128" s="186"/>
      <c r="AC128" s="186"/>
      <c r="AD128" s="186"/>
      <c r="AE128" s="186"/>
    </row>
    <row r="129" spans="1:31" ht="18.75" customHeight="1">
      <c r="A129" s="213"/>
      <c r="B129" s="213"/>
      <c r="C129" s="210"/>
      <c r="D129" s="210"/>
      <c r="E129" s="186" t="s">
        <v>55</v>
      </c>
      <c r="F129" s="186" t="s">
        <v>1498</v>
      </c>
      <c r="G129" s="186" t="s">
        <v>329</v>
      </c>
      <c r="H129" s="186" t="s">
        <v>243</v>
      </c>
      <c r="I129" s="186"/>
      <c r="J129" s="186">
        <v>89</v>
      </c>
      <c r="K129" s="186"/>
      <c r="L129" s="186"/>
      <c r="M129" s="90"/>
      <c r="N129" s="90"/>
      <c r="O129" s="90"/>
      <c r="P129" s="186"/>
      <c r="Q129" s="186"/>
      <c r="R129" s="122"/>
      <c r="S129" s="186" t="s">
        <v>4156</v>
      </c>
      <c r="T129" s="186"/>
      <c r="U129" s="186"/>
      <c r="V129" s="186"/>
      <c r="W129" s="186"/>
      <c r="X129" s="186"/>
      <c r="Y129" s="186"/>
      <c r="Z129" s="186"/>
      <c r="AA129" s="186"/>
      <c r="AB129" s="186"/>
      <c r="AC129" s="186"/>
      <c r="AD129" s="186"/>
      <c r="AE129" s="186"/>
    </row>
    <row r="130" spans="1:31" ht="18.75" customHeight="1">
      <c r="A130" s="213"/>
      <c r="B130" s="213"/>
      <c r="C130" s="210"/>
      <c r="D130" s="210"/>
      <c r="E130" s="186" t="s">
        <v>55</v>
      </c>
      <c r="F130" s="186" t="s">
        <v>1500</v>
      </c>
      <c r="G130" s="186" t="s">
        <v>329</v>
      </c>
      <c r="H130" s="186" t="s">
        <v>243</v>
      </c>
      <c r="I130" s="186"/>
      <c r="J130" s="186">
        <v>90</v>
      </c>
      <c r="K130" s="186"/>
      <c r="L130" s="186"/>
      <c r="M130" s="90"/>
      <c r="N130" s="90"/>
      <c r="O130" s="90"/>
      <c r="P130" s="186"/>
      <c r="Q130" s="186"/>
      <c r="R130" s="122"/>
      <c r="S130" s="186" t="s">
        <v>4157</v>
      </c>
      <c r="T130" s="186"/>
      <c r="U130" s="186"/>
      <c r="V130" s="186"/>
      <c r="W130" s="186"/>
      <c r="X130" s="186"/>
      <c r="Y130" s="186"/>
      <c r="Z130" s="186"/>
      <c r="AA130" s="186"/>
      <c r="AB130" s="186"/>
      <c r="AC130" s="186"/>
      <c r="AD130" s="186"/>
      <c r="AE130" s="186"/>
    </row>
    <row r="131" spans="1:31" ht="18.75" customHeight="1">
      <c r="A131" s="213"/>
      <c r="B131" s="213"/>
      <c r="C131" s="210"/>
      <c r="D131" s="210"/>
      <c r="E131" s="186" t="s">
        <v>55</v>
      </c>
      <c r="F131" s="186" t="s">
        <v>4158</v>
      </c>
      <c r="G131" s="186" t="s">
        <v>329</v>
      </c>
      <c r="H131" s="186" t="s">
        <v>243</v>
      </c>
      <c r="I131" s="186"/>
      <c r="J131" s="186">
        <v>315</v>
      </c>
      <c r="K131" s="186"/>
      <c r="L131" s="186"/>
      <c r="M131" s="90"/>
      <c r="N131" s="90"/>
      <c r="O131" s="90"/>
      <c r="P131" s="186"/>
      <c r="Q131" s="186"/>
      <c r="R131" s="122"/>
      <c r="S131" s="186"/>
      <c r="T131" s="186"/>
      <c r="U131" s="186"/>
      <c r="V131" s="186"/>
      <c r="W131" s="186"/>
      <c r="X131" s="186"/>
      <c r="Y131" s="186"/>
      <c r="Z131" s="186"/>
      <c r="AA131" s="186"/>
      <c r="AB131" s="186"/>
      <c r="AC131" s="186"/>
      <c r="AD131" s="186"/>
      <c r="AE131" s="186"/>
    </row>
    <row r="132" spans="1:31" ht="18.75" customHeight="1">
      <c r="A132" s="213"/>
      <c r="B132" s="213"/>
      <c r="C132" s="210"/>
      <c r="D132" s="210"/>
      <c r="E132" s="186" t="s">
        <v>55</v>
      </c>
      <c r="F132" s="186" t="s">
        <v>1501</v>
      </c>
      <c r="G132" s="186" t="s">
        <v>329</v>
      </c>
      <c r="H132" s="186" t="s">
        <v>243</v>
      </c>
      <c r="I132" s="186"/>
      <c r="J132" s="186">
        <v>91</v>
      </c>
      <c r="K132" s="186"/>
      <c r="L132" s="186"/>
      <c r="M132" s="90"/>
      <c r="N132" s="90"/>
      <c r="O132" s="90"/>
      <c r="P132" s="186"/>
      <c r="Q132" s="186"/>
      <c r="R132" s="122"/>
      <c r="S132" s="186" t="s">
        <v>4159</v>
      </c>
      <c r="T132" s="186"/>
      <c r="U132" s="186"/>
      <c r="V132" s="186"/>
      <c r="W132" s="186"/>
      <c r="X132" s="186"/>
      <c r="Y132" s="186"/>
      <c r="Z132" s="186"/>
      <c r="AA132" s="186"/>
      <c r="AB132" s="186"/>
      <c r="AC132" s="186"/>
      <c r="AD132" s="186"/>
      <c r="AE132" s="186"/>
    </row>
    <row r="133" spans="1:31" ht="18.75" customHeight="1">
      <c r="A133" s="213"/>
      <c r="B133" s="213"/>
      <c r="C133" s="210"/>
      <c r="D133" s="210"/>
      <c r="E133" s="186" t="s">
        <v>55</v>
      </c>
      <c r="F133" s="186" t="s">
        <v>4160</v>
      </c>
      <c r="G133" s="186" t="s">
        <v>329</v>
      </c>
      <c r="H133" s="186" t="s">
        <v>243</v>
      </c>
      <c r="I133" s="186"/>
      <c r="J133" s="186">
        <v>92</v>
      </c>
      <c r="K133" s="186"/>
      <c r="L133" s="186"/>
      <c r="M133" s="90"/>
      <c r="N133" s="90"/>
      <c r="O133" s="90"/>
      <c r="P133" s="186"/>
      <c r="Q133" s="186"/>
      <c r="R133" s="122"/>
      <c r="S133" s="186" t="s">
        <v>4161</v>
      </c>
      <c r="T133" s="186"/>
      <c r="U133" s="186"/>
      <c r="V133" s="186"/>
      <c r="W133" s="186"/>
      <c r="X133" s="186"/>
      <c r="Y133" s="186"/>
      <c r="Z133" s="186"/>
      <c r="AA133" s="186"/>
      <c r="AB133" s="186"/>
      <c r="AC133" s="186"/>
      <c r="AD133" s="186"/>
      <c r="AE133" s="186"/>
    </row>
    <row r="134" spans="1:31" ht="18.75" customHeight="1">
      <c r="A134" s="213"/>
      <c r="B134" s="213"/>
      <c r="C134" s="210"/>
      <c r="D134" s="210"/>
      <c r="E134" s="186" t="s">
        <v>55</v>
      </c>
      <c r="F134" s="186" t="s">
        <v>4162</v>
      </c>
      <c r="G134" s="186" t="s">
        <v>329</v>
      </c>
      <c r="H134" s="186" t="s">
        <v>243</v>
      </c>
      <c r="I134" s="186"/>
      <c r="J134" s="186">
        <v>311</v>
      </c>
      <c r="K134" s="186"/>
      <c r="L134" s="186"/>
      <c r="M134" s="90"/>
      <c r="N134" s="90"/>
      <c r="O134" s="90"/>
      <c r="P134" s="186"/>
      <c r="Q134" s="186"/>
      <c r="R134" s="122"/>
      <c r="S134" s="186"/>
      <c r="T134" s="186"/>
      <c r="U134" s="186"/>
      <c r="V134" s="186"/>
      <c r="W134" s="186"/>
      <c r="X134" s="186"/>
      <c r="Y134" s="186"/>
      <c r="Z134" s="186"/>
      <c r="AA134" s="186"/>
      <c r="AB134" s="186"/>
      <c r="AC134" s="186"/>
      <c r="AD134" s="186"/>
      <c r="AE134" s="186"/>
    </row>
    <row r="135" spans="1:31" ht="18.75" customHeight="1">
      <c r="A135" s="213"/>
      <c r="B135" s="213"/>
      <c r="C135" s="210"/>
      <c r="D135" s="210"/>
      <c r="E135" s="186" t="s">
        <v>55</v>
      </c>
      <c r="F135" s="186" t="s">
        <v>4163</v>
      </c>
      <c r="G135" s="186" t="s">
        <v>329</v>
      </c>
      <c r="H135" s="186" t="s">
        <v>243</v>
      </c>
      <c r="I135" s="186"/>
      <c r="J135" s="186">
        <v>93</v>
      </c>
      <c r="K135" s="186"/>
      <c r="L135" s="186"/>
      <c r="M135" s="90"/>
      <c r="N135" s="90"/>
      <c r="O135" s="90"/>
      <c r="P135" s="186"/>
      <c r="Q135" s="186"/>
      <c r="R135" s="122"/>
      <c r="S135" s="186" t="s">
        <v>4164</v>
      </c>
      <c r="T135" s="186"/>
      <c r="U135" s="186"/>
      <c r="V135" s="186"/>
      <c r="W135" s="186"/>
      <c r="X135" s="186"/>
      <c r="Y135" s="186"/>
      <c r="Z135" s="186"/>
      <c r="AA135" s="186"/>
      <c r="AB135" s="186"/>
      <c r="AC135" s="186"/>
      <c r="AD135" s="186"/>
      <c r="AE135" s="186"/>
    </row>
    <row r="136" spans="1:31" ht="18.75" customHeight="1">
      <c r="A136" s="213"/>
      <c r="B136" s="213"/>
      <c r="C136" s="210"/>
      <c r="D136" s="210"/>
      <c r="E136" s="186" t="s">
        <v>55</v>
      </c>
      <c r="F136" s="186" t="s">
        <v>4165</v>
      </c>
      <c r="G136" s="186" t="s">
        <v>329</v>
      </c>
      <c r="H136" s="186" t="s">
        <v>243</v>
      </c>
      <c r="I136" s="186"/>
      <c r="J136" s="186">
        <v>94</v>
      </c>
      <c r="K136" s="186"/>
      <c r="L136" s="186"/>
      <c r="M136" s="90"/>
      <c r="N136" s="90"/>
      <c r="O136" s="90"/>
      <c r="P136" s="186"/>
      <c r="Q136" s="186"/>
      <c r="R136" s="122"/>
      <c r="S136" s="186"/>
      <c r="T136" s="186"/>
      <c r="U136" s="186"/>
      <c r="V136" s="186"/>
      <c r="W136" s="186"/>
      <c r="X136" s="186"/>
      <c r="Y136" s="186"/>
      <c r="Z136" s="186"/>
      <c r="AA136" s="186"/>
      <c r="AB136" s="186"/>
      <c r="AC136" s="186"/>
      <c r="AD136" s="186"/>
      <c r="AE136" s="186"/>
    </row>
    <row r="137" spans="1:31" ht="18.75" customHeight="1">
      <c r="A137" s="213"/>
      <c r="B137" s="213"/>
      <c r="C137" s="210"/>
      <c r="D137" s="210"/>
      <c r="E137" s="186" t="s">
        <v>55</v>
      </c>
      <c r="F137" s="186" t="s">
        <v>4166</v>
      </c>
      <c r="G137" s="186" t="s">
        <v>329</v>
      </c>
      <c r="H137" s="186" t="s">
        <v>243</v>
      </c>
      <c r="I137" s="186"/>
      <c r="J137" s="186">
        <v>95</v>
      </c>
      <c r="K137" s="186"/>
      <c r="L137" s="186"/>
      <c r="M137" s="90"/>
      <c r="N137" s="90"/>
      <c r="O137" s="90"/>
      <c r="P137" s="186"/>
      <c r="Q137" s="186"/>
      <c r="R137" s="122"/>
      <c r="S137" s="186"/>
      <c r="T137" s="186"/>
      <c r="U137" s="186"/>
      <c r="V137" s="186"/>
      <c r="W137" s="186"/>
      <c r="X137" s="186"/>
      <c r="Y137" s="186"/>
      <c r="Z137" s="186"/>
      <c r="AA137" s="186"/>
      <c r="AB137" s="186"/>
      <c r="AC137" s="186"/>
      <c r="AD137" s="186"/>
      <c r="AE137" s="186"/>
    </row>
    <row r="138" spans="1:31" ht="18.75" customHeight="1">
      <c r="A138" s="213"/>
      <c r="B138" s="213"/>
      <c r="C138" s="210"/>
      <c r="D138" s="210"/>
      <c r="E138" s="186" t="s">
        <v>55</v>
      </c>
      <c r="F138" s="186" t="s">
        <v>4167</v>
      </c>
      <c r="G138" s="186" t="s">
        <v>329</v>
      </c>
      <c r="H138" s="186" t="s">
        <v>243</v>
      </c>
      <c r="I138" s="186"/>
      <c r="J138" s="186">
        <v>96</v>
      </c>
      <c r="K138" s="186"/>
      <c r="L138" s="186"/>
      <c r="M138" s="90"/>
      <c r="N138" s="90"/>
      <c r="O138" s="90"/>
      <c r="P138" s="186"/>
      <c r="Q138" s="186"/>
      <c r="R138" s="122"/>
      <c r="S138" s="186"/>
      <c r="T138" s="186"/>
      <c r="U138" s="186"/>
      <c r="V138" s="186"/>
      <c r="W138" s="186"/>
      <c r="X138" s="186"/>
      <c r="Y138" s="186"/>
      <c r="Z138" s="186"/>
      <c r="AA138" s="186"/>
      <c r="AB138" s="186"/>
      <c r="AC138" s="186"/>
      <c r="AD138" s="186"/>
      <c r="AE138" s="186"/>
    </row>
    <row r="139" spans="1:31" ht="18.75" customHeight="1">
      <c r="A139" s="213"/>
      <c r="B139" s="213"/>
      <c r="C139" s="210"/>
      <c r="D139" s="210"/>
      <c r="E139" s="186" t="s">
        <v>55</v>
      </c>
      <c r="F139" s="186" t="s">
        <v>4168</v>
      </c>
      <c r="G139" s="186" t="s">
        <v>329</v>
      </c>
      <c r="H139" s="186" t="s">
        <v>243</v>
      </c>
      <c r="I139" s="186"/>
      <c r="J139" s="186">
        <v>97</v>
      </c>
      <c r="K139" s="186"/>
      <c r="L139" s="186"/>
      <c r="M139" s="90"/>
      <c r="N139" s="90"/>
      <c r="O139" s="90"/>
      <c r="P139" s="186"/>
      <c r="Q139" s="186"/>
      <c r="R139" s="122"/>
      <c r="S139" s="186"/>
      <c r="T139" s="186"/>
      <c r="U139" s="186"/>
      <c r="V139" s="186"/>
      <c r="W139" s="186"/>
      <c r="X139" s="186"/>
      <c r="Y139" s="186"/>
      <c r="Z139" s="186"/>
      <c r="AA139" s="186"/>
      <c r="AB139" s="186"/>
      <c r="AC139" s="186"/>
      <c r="AD139" s="186"/>
      <c r="AE139" s="186"/>
    </row>
    <row r="140" spans="1:31" ht="18.75" customHeight="1">
      <c r="A140" s="213"/>
      <c r="B140" s="213"/>
      <c r="C140" s="210"/>
      <c r="D140" s="210"/>
      <c r="E140" s="186" t="s">
        <v>55</v>
      </c>
      <c r="F140" s="186" t="s">
        <v>4169</v>
      </c>
      <c r="G140" s="186" t="s">
        <v>329</v>
      </c>
      <c r="H140" s="186" t="s">
        <v>243</v>
      </c>
      <c r="I140" s="186"/>
      <c r="J140" s="186">
        <v>98</v>
      </c>
      <c r="K140" s="186"/>
      <c r="L140" s="186"/>
      <c r="M140" s="90"/>
      <c r="N140" s="90"/>
      <c r="O140" s="90"/>
      <c r="P140" s="186"/>
      <c r="Q140" s="186"/>
      <c r="R140" s="122"/>
      <c r="S140" s="186"/>
      <c r="T140" s="186"/>
      <c r="U140" s="186"/>
      <c r="V140" s="186"/>
      <c r="W140" s="186"/>
      <c r="X140" s="186"/>
      <c r="Y140" s="186"/>
      <c r="Z140" s="186"/>
      <c r="AA140" s="186"/>
      <c r="AB140" s="186"/>
      <c r="AC140" s="186"/>
      <c r="AD140" s="186"/>
      <c r="AE140" s="186"/>
    </row>
    <row r="141" spans="1:31" ht="18.75" customHeight="1">
      <c r="A141" s="213"/>
      <c r="B141" s="213"/>
      <c r="C141" s="210"/>
      <c r="D141" s="210"/>
      <c r="E141" s="186" t="s">
        <v>55</v>
      </c>
      <c r="F141" s="186" t="s">
        <v>4170</v>
      </c>
      <c r="G141" s="186" t="s">
        <v>329</v>
      </c>
      <c r="H141" s="186" t="s">
        <v>243</v>
      </c>
      <c r="I141" s="186"/>
      <c r="J141" s="186">
        <v>99</v>
      </c>
      <c r="K141" s="186"/>
      <c r="L141" s="186"/>
      <c r="M141" s="90"/>
      <c r="N141" s="90"/>
      <c r="O141" s="90"/>
      <c r="P141" s="186"/>
      <c r="Q141" s="186"/>
      <c r="R141" s="122"/>
      <c r="S141" s="186"/>
      <c r="T141" s="186"/>
      <c r="U141" s="186"/>
      <c r="V141" s="186"/>
      <c r="W141" s="186"/>
      <c r="X141" s="186"/>
      <c r="Y141" s="186"/>
      <c r="Z141" s="186"/>
      <c r="AA141" s="186"/>
      <c r="AB141" s="186"/>
      <c r="AC141" s="186"/>
      <c r="AD141" s="186"/>
      <c r="AE141" s="186"/>
    </row>
    <row r="142" spans="1:31" ht="18.75" customHeight="1">
      <c r="A142" s="213"/>
      <c r="B142" s="213"/>
      <c r="C142" s="210"/>
      <c r="D142" s="210"/>
      <c r="E142" s="186" t="s">
        <v>55</v>
      </c>
      <c r="F142" s="186" t="s">
        <v>4171</v>
      </c>
      <c r="G142" s="186" t="s">
        <v>329</v>
      </c>
      <c r="H142" s="186" t="s">
        <v>243</v>
      </c>
      <c r="I142" s="186"/>
      <c r="J142" s="186">
        <v>100</v>
      </c>
      <c r="K142" s="186"/>
      <c r="L142" s="186"/>
      <c r="M142" s="90"/>
      <c r="N142" s="90"/>
      <c r="O142" s="90"/>
      <c r="P142" s="186"/>
      <c r="Q142" s="186"/>
      <c r="R142" s="122"/>
      <c r="S142" s="186"/>
      <c r="T142" s="186"/>
      <c r="U142" s="186"/>
      <c r="V142" s="186"/>
      <c r="W142" s="186"/>
      <c r="X142" s="186"/>
      <c r="Y142" s="186"/>
      <c r="Z142" s="186"/>
      <c r="AA142" s="186"/>
      <c r="AB142" s="186"/>
      <c r="AC142" s="186"/>
      <c r="AD142" s="186"/>
      <c r="AE142" s="186"/>
    </row>
    <row r="143" spans="1:31" ht="18.75" customHeight="1">
      <c r="A143" s="213"/>
      <c r="B143" s="213"/>
      <c r="C143" s="210"/>
      <c r="D143" s="210"/>
      <c r="E143" s="186" t="s">
        <v>55</v>
      </c>
      <c r="F143" s="186" t="s">
        <v>4172</v>
      </c>
      <c r="G143" s="186" t="s">
        <v>329</v>
      </c>
      <c r="H143" s="186" t="s">
        <v>243</v>
      </c>
      <c r="I143" s="186"/>
      <c r="J143" s="186">
        <v>101</v>
      </c>
      <c r="K143" s="186"/>
      <c r="L143" s="186"/>
      <c r="M143" s="90"/>
      <c r="N143" s="90"/>
      <c r="O143" s="90"/>
      <c r="P143" s="186"/>
      <c r="Q143" s="186"/>
      <c r="R143" s="122"/>
      <c r="S143" s="186"/>
      <c r="T143" s="186"/>
      <c r="U143" s="186"/>
      <c r="V143" s="186"/>
      <c r="W143" s="186"/>
      <c r="X143" s="186"/>
      <c r="Y143" s="186"/>
      <c r="Z143" s="186"/>
      <c r="AA143" s="186"/>
      <c r="AB143" s="186"/>
      <c r="AC143" s="186"/>
      <c r="AD143" s="186"/>
      <c r="AE143" s="186"/>
    </row>
    <row r="144" spans="1:31" ht="18.75" customHeight="1">
      <c r="A144" s="213"/>
      <c r="B144" s="213"/>
      <c r="C144" s="210"/>
      <c r="D144" s="210"/>
      <c r="E144" s="186" t="s">
        <v>55</v>
      </c>
      <c r="F144" s="186" t="s">
        <v>4173</v>
      </c>
      <c r="G144" s="186" t="s">
        <v>329</v>
      </c>
      <c r="H144" s="186" t="s">
        <v>243</v>
      </c>
      <c r="I144" s="186"/>
      <c r="J144" s="186">
        <v>102</v>
      </c>
      <c r="K144" s="186"/>
      <c r="L144" s="186"/>
      <c r="M144" s="90"/>
      <c r="N144" s="90"/>
      <c r="O144" s="90"/>
      <c r="P144" s="186"/>
      <c r="Q144" s="186"/>
      <c r="R144" s="122"/>
      <c r="S144" s="186"/>
      <c r="T144" s="186"/>
      <c r="U144" s="186"/>
      <c r="V144" s="186"/>
      <c r="W144" s="186"/>
      <c r="X144" s="186"/>
      <c r="Y144" s="186"/>
      <c r="Z144" s="186"/>
      <c r="AA144" s="186"/>
      <c r="AB144" s="186"/>
      <c r="AC144" s="186"/>
      <c r="AD144" s="186"/>
      <c r="AE144" s="186"/>
    </row>
    <row r="145" spans="1:31" ht="18.75" customHeight="1">
      <c r="A145" s="213"/>
      <c r="B145" s="213"/>
      <c r="C145" s="210"/>
      <c r="D145" s="210"/>
      <c r="E145" s="186" t="s">
        <v>55</v>
      </c>
      <c r="F145" s="186" t="s">
        <v>4174</v>
      </c>
      <c r="G145" s="186" t="s">
        <v>329</v>
      </c>
      <c r="H145" s="186" t="s">
        <v>243</v>
      </c>
      <c r="I145" s="186"/>
      <c r="J145" s="186">
        <v>103</v>
      </c>
      <c r="K145" s="186"/>
      <c r="L145" s="186"/>
      <c r="M145" s="90"/>
      <c r="N145" s="90"/>
      <c r="O145" s="90"/>
      <c r="P145" s="186"/>
      <c r="Q145" s="186"/>
      <c r="R145" s="122"/>
      <c r="S145" s="186"/>
      <c r="T145" s="186"/>
      <c r="U145" s="186"/>
      <c r="V145" s="186"/>
      <c r="W145" s="186"/>
      <c r="X145" s="186"/>
      <c r="Y145" s="186"/>
      <c r="Z145" s="186"/>
      <c r="AA145" s="186"/>
      <c r="AB145" s="186"/>
      <c r="AC145" s="186"/>
      <c r="AD145" s="186"/>
      <c r="AE145" s="186"/>
    </row>
    <row r="146" spans="1:31" ht="18.75" customHeight="1">
      <c r="A146" s="213"/>
      <c r="B146" s="213"/>
      <c r="C146" s="210"/>
      <c r="D146" s="210"/>
      <c r="E146" s="186" t="s">
        <v>55</v>
      </c>
      <c r="F146" s="186" t="s">
        <v>4175</v>
      </c>
      <c r="G146" s="186" t="s">
        <v>329</v>
      </c>
      <c r="H146" s="186" t="s">
        <v>243</v>
      </c>
      <c r="I146" s="186"/>
      <c r="J146" s="186">
        <v>104</v>
      </c>
      <c r="K146" s="186"/>
      <c r="L146" s="186"/>
      <c r="M146" s="90"/>
      <c r="N146" s="90"/>
      <c r="O146" s="90"/>
      <c r="P146" s="186"/>
      <c r="Q146" s="186"/>
      <c r="R146" s="122"/>
      <c r="S146" s="186"/>
      <c r="T146" s="186"/>
      <c r="U146" s="186"/>
      <c r="V146" s="186"/>
      <c r="W146" s="186"/>
      <c r="X146" s="186"/>
      <c r="Y146" s="186"/>
      <c r="Z146" s="186"/>
      <c r="AA146" s="186"/>
      <c r="AB146" s="186"/>
      <c r="AC146" s="186"/>
      <c r="AD146" s="186"/>
      <c r="AE146" s="186"/>
    </row>
    <row r="147" spans="1:31" ht="18.75" customHeight="1">
      <c r="A147" s="213"/>
      <c r="B147" s="213"/>
      <c r="C147" s="210"/>
      <c r="D147" s="210"/>
      <c r="E147" s="186" t="s">
        <v>55</v>
      </c>
      <c r="F147" s="186" t="s">
        <v>4176</v>
      </c>
      <c r="G147" s="186" t="s">
        <v>329</v>
      </c>
      <c r="H147" s="186" t="s">
        <v>243</v>
      </c>
      <c r="I147" s="186"/>
      <c r="J147" s="186">
        <v>105</v>
      </c>
      <c r="K147" s="186"/>
      <c r="L147" s="186"/>
      <c r="M147" s="90"/>
      <c r="N147" s="90"/>
      <c r="O147" s="90"/>
      <c r="P147" s="186"/>
      <c r="Q147" s="186"/>
      <c r="R147" s="122"/>
      <c r="S147" s="186"/>
      <c r="T147" s="186"/>
      <c r="U147" s="186"/>
      <c r="V147" s="186"/>
      <c r="W147" s="186"/>
      <c r="X147" s="186"/>
      <c r="Y147" s="186"/>
      <c r="Z147" s="186"/>
      <c r="AA147" s="186"/>
      <c r="AB147" s="186"/>
      <c r="AC147" s="186"/>
      <c r="AD147" s="186"/>
      <c r="AE147" s="186"/>
    </row>
    <row r="148" spans="1:31" ht="18.75" customHeight="1">
      <c r="A148" s="213"/>
      <c r="B148" s="213"/>
      <c r="C148" s="210"/>
      <c r="D148" s="210"/>
      <c r="E148" s="186" t="s">
        <v>55</v>
      </c>
      <c r="F148" s="186" t="s">
        <v>4177</v>
      </c>
      <c r="G148" s="186" t="s">
        <v>329</v>
      </c>
      <c r="H148" s="186" t="s">
        <v>243</v>
      </c>
      <c r="I148" s="186"/>
      <c r="J148" s="186">
        <v>106</v>
      </c>
      <c r="K148" s="186"/>
      <c r="L148" s="186"/>
      <c r="M148" s="90"/>
      <c r="N148" s="90"/>
      <c r="O148" s="90"/>
      <c r="P148" s="186"/>
      <c r="Q148" s="186"/>
      <c r="R148" s="122"/>
      <c r="S148" s="186"/>
      <c r="T148" s="186"/>
      <c r="U148" s="186"/>
      <c r="V148" s="186"/>
      <c r="W148" s="186"/>
      <c r="X148" s="186"/>
      <c r="Y148" s="186"/>
      <c r="Z148" s="186"/>
      <c r="AA148" s="186"/>
      <c r="AB148" s="186"/>
      <c r="AC148" s="186"/>
      <c r="AD148" s="186"/>
      <c r="AE148" s="186"/>
    </row>
    <row r="149" spans="1:31" ht="18.75" customHeight="1">
      <c r="A149" s="213"/>
      <c r="B149" s="213"/>
      <c r="C149" s="210"/>
      <c r="D149" s="210"/>
      <c r="E149" s="186" t="s">
        <v>55</v>
      </c>
      <c r="F149" s="186" t="s">
        <v>4178</v>
      </c>
      <c r="G149" s="186" t="s">
        <v>329</v>
      </c>
      <c r="H149" s="186" t="s">
        <v>243</v>
      </c>
      <c r="I149" s="186"/>
      <c r="J149" s="186">
        <v>107</v>
      </c>
      <c r="K149" s="186"/>
      <c r="L149" s="186"/>
      <c r="M149" s="90"/>
      <c r="N149" s="90"/>
      <c r="O149" s="90"/>
      <c r="P149" s="186"/>
      <c r="Q149" s="186"/>
      <c r="R149" s="122"/>
      <c r="S149" s="186"/>
      <c r="T149" s="186"/>
      <c r="U149" s="186"/>
      <c r="V149" s="186"/>
      <c r="W149" s="186"/>
      <c r="X149" s="186"/>
      <c r="Y149" s="186"/>
      <c r="Z149" s="186"/>
      <c r="AA149" s="186"/>
      <c r="AB149" s="186"/>
      <c r="AC149" s="186"/>
      <c r="AD149" s="186"/>
      <c r="AE149" s="186"/>
    </row>
    <row r="150" spans="1:31" ht="18.75" customHeight="1">
      <c r="A150" s="213"/>
      <c r="B150" s="213"/>
      <c r="C150" s="210"/>
      <c r="D150" s="210"/>
      <c r="E150" s="186" t="s">
        <v>55</v>
      </c>
      <c r="F150" s="186" t="s">
        <v>4179</v>
      </c>
      <c r="G150" s="186" t="s">
        <v>329</v>
      </c>
      <c r="H150" s="186" t="s">
        <v>243</v>
      </c>
      <c r="I150" s="186"/>
      <c r="J150" s="186">
        <v>108</v>
      </c>
      <c r="K150" s="186"/>
      <c r="L150" s="186"/>
      <c r="M150" s="90"/>
      <c r="N150" s="90"/>
      <c r="O150" s="90"/>
      <c r="P150" s="186"/>
      <c r="Q150" s="186"/>
      <c r="R150" s="122"/>
      <c r="S150" s="186"/>
      <c r="T150" s="186"/>
      <c r="U150" s="186"/>
      <c r="V150" s="186"/>
      <c r="W150" s="186"/>
      <c r="X150" s="186"/>
      <c r="Y150" s="186"/>
      <c r="Z150" s="186"/>
      <c r="AA150" s="186"/>
      <c r="AB150" s="186"/>
      <c r="AC150" s="186"/>
      <c r="AD150" s="186"/>
      <c r="AE150" s="186"/>
    </row>
    <row r="151" spans="1:31" ht="18.75" customHeight="1">
      <c r="A151" s="213"/>
      <c r="B151" s="213"/>
      <c r="C151" s="210"/>
      <c r="D151" s="210"/>
      <c r="E151" s="186" t="s">
        <v>59</v>
      </c>
      <c r="F151" s="186" t="s">
        <v>407</v>
      </c>
      <c r="G151" s="186" t="s">
        <v>329</v>
      </c>
      <c r="H151" s="186" t="s">
        <v>243</v>
      </c>
      <c r="I151" s="186"/>
      <c r="J151" s="186">
        <v>109</v>
      </c>
      <c r="K151" s="186"/>
      <c r="L151" s="186"/>
      <c r="M151" s="90"/>
      <c r="N151" s="90"/>
      <c r="O151" s="90"/>
      <c r="P151" s="186"/>
      <c r="Q151" s="186"/>
      <c r="R151" s="122"/>
      <c r="S151" s="186" t="s">
        <v>4180</v>
      </c>
      <c r="T151" s="186"/>
      <c r="U151" s="186"/>
      <c r="V151" s="186"/>
      <c r="W151" s="186"/>
      <c r="X151" s="186"/>
      <c r="Y151" s="186"/>
      <c r="Z151" s="186"/>
      <c r="AA151" s="186"/>
      <c r="AB151" s="186"/>
      <c r="AC151" s="186"/>
      <c r="AD151" s="186"/>
      <c r="AE151" s="186"/>
    </row>
    <row r="152" spans="1:31" ht="18.75" customHeight="1">
      <c r="A152" s="213"/>
      <c r="B152" s="213"/>
      <c r="C152" s="210"/>
      <c r="D152" s="210"/>
      <c r="E152" s="186" t="s">
        <v>55</v>
      </c>
      <c r="F152" s="186" t="s">
        <v>1523</v>
      </c>
      <c r="G152" s="186" t="s">
        <v>329</v>
      </c>
      <c r="H152" s="186" t="s">
        <v>243</v>
      </c>
      <c r="I152" s="186"/>
      <c r="J152" s="186">
        <v>110</v>
      </c>
      <c r="K152" s="186"/>
      <c r="L152" s="186"/>
      <c r="M152" s="90"/>
      <c r="N152" s="90"/>
      <c r="O152" s="90"/>
      <c r="P152" s="186"/>
      <c r="Q152" s="186"/>
      <c r="R152" s="122"/>
      <c r="S152" s="186" t="s">
        <v>4181</v>
      </c>
      <c r="T152" s="186"/>
      <c r="U152" s="186"/>
      <c r="V152" s="186"/>
      <c r="W152" s="186"/>
      <c r="X152" s="186"/>
      <c r="Y152" s="186"/>
      <c r="Z152" s="186"/>
      <c r="AA152" s="186"/>
      <c r="AB152" s="186"/>
      <c r="AC152" s="186"/>
      <c r="AD152" s="186"/>
      <c r="AE152" s="186"/>
    </row>
    <row r="153" spans="1:31" ht="18.75" customHeight="1">
      <c r="A153" s="213"/>
      <c r="B153" s="213"/>
      <c r="C153" s="210"/>
      <c r="D153" s="210"/>
      <c r="E153" s="186" t="s">
        <v>55</v>
      </c>
      <c r="F153" s="186" t="s">
        <v>4182</v>
      </c>
      <c r="G153" s="186" t="s">
        <v>329</v>
      </c>
      <c r="H153" s="186" t="s">
        <v>243</v>
      </c>
      <c r="I153" s="186"/>
      <c r="J153" s="186">
        <v>111</v>
      </c>
      <c r="K153" s="186"/>
      <c r="L153" s="186"/>
      <c r="M153" s="90"/>
      <c r="N153" s="90"/>
      <c r="O153" s="90"/>
      <c r="P153" s="186"/>
      <c r="Q153" s="186"/>
      <c r="R153" s="122"/>
      <c r="S153" s="186" t="s">
        <v>4183</v>
      </c>
      <c r="T153" s="186"/>
      <c r="U153" s="186"/>
      <c r="V153" s="186"/>
      <c r="W153" s="186"/>
      <c r="X153" s="186"/>
      <c r="Y153" s="186"/>
      <c r="Z153" s="186"/>
      <c r="AA153" s="186"/>
      <c r="AB153" s="186"/>
      <c r="AC153" s="186"/>
      <c r="AD153" s="186"/>
      <c r="AE153" s="186"/>
    </row>
    <row r="154" spans="1:31" ht="18.75" customHeight="1">
      <c r="A154" s="213"/>
      <c r="B154" s="213"/>
      <c r="C154" s="210"/>
      <c r="D154" s="210"/>
      <c r="E154" s="186" t="s">
        <v>59</v>
      </c>
      <c r="F154" s="186" t="s">
        <v>4184</v>
      </c>
      <c r="G154" s="186" t="s">
        <v>329</v>
      </c>
      <c r="H154" s="186" t="s">
        <v>243</v>
      </c>
      <c r="I154" s="186"/>
      <c r="J154" s="186">
        <v>112</v>
      </c>
      <c r="K154" s="186"/>
      <c r="L154" s="186"/>
      <c r="M154" s="90"/>
      <c r="N154" s="90"/>
      <c r="O154" s="90"/>
      <c r="P154" s="186"/>
      <c r="Q154" s="186"/>
      <c r="R154" s="122"/>
      <c r="S154" s="186" t="s">
        <v>4185</v>
      </c>
      <c r="T154" s="186"/>
      <c r="U154" s="186"/>
      <c r="V154" s="186"/>
      <c r="W154" s="186"/>
      <c r="X154" s="186"/>
      <c r="Y154" s="186"/>
      <c r="Z154" s="186"/>
      <c r="AA154" s="186"/>
      <c r="AB154" s="186"/>
      <c r="AC154" s="186"/>
      <c r="AD154" s="186"/>
      <c r="AE154" s="186"/>
    </row>
    <row r="155" spans="1:31" ht="18.75" customHeight="1">
      <c r="A155" s="213"/>
      <c r="B155" s="213"/>
      <c r="C155" s="210"/>
      <c r="D155" s="210"/>
      <c r="E155" s="186" t="s">
        <v>55</v>
      </c>
      <c r="F155" s="186" t="s">
        <v>4186</v>
      </c>
      <c r="G155" s="186" t="s">
        <v>329</v>
      </c>
      <c r="H155" s="186" t="s">
        <v>243</v>
      </c>
      <c r="I155" s="186"/>
      <c r="J155" s="186">
        <v>113</v>
      </c>
      <c r="K155" s="186"/>
      <c r="L155" s="186"/>
      <c r="M155" s="90"/>
      <c r="N155" s="90"/>
      <c r="O155" s="90"/>
      <c r="P155" s="186"/>
      <c r="Q155" s="186"/>
      <c r="R155" s="122"/>
      <c r="S155" s="186" t="s">
        <v>4187</v>
      </c>
      <c r="T155" s="186"/>
      <c r="U155" s="186"/>
      <c r="V155" s="186"/>
      <c r="W155" s="186"/>
      <c r="X155" s="186"/>
      <c r="Y155" s="186"/>
      <c r="Z155" s="186"/>
      <c r="AA155" s="186"/>
      <c r="AB155" s="186"/>
      <c r="AC155" s="186"/>
      <c r="AD155" s="186"/>
      <c r="AE155" s="186"/>
    </row>
    <row r="156" spans="1:31" ht="18.75" customHeight="1">
      <c r="A156" s="213"/>
      <c r="B156" s="213"/>
      <c r="C156" s="210"/>
      <c r="D156" s="210"/>
      <c r="E156" s="186" t="s">
        <v>55</v>
      </c>
      <c r="F156" s="186" t="s">
        <v>4188</v>
      </c>
      <c r="G156" s="186" t="s">
        <v>329</v>
      </c>
      <c r="H156" s="186" t="s">
        <v>243</v>
      </c>
      <c r="I156" s="186"/>
      <c r="J156" s="186">
        <v>114</v>
      </c>
      <c r="K156" s="186"/>
      <c r="L156" s="186"/>
      <c r="M156" s="90"/>
      <c r="N156" s="90"/>
      <c r="O156" s="90"/>
      <c r="P156" s="186"/>
      <c r="Q156" s="186"/>
      <c r="R156" s="122"/>
      <c r="S156" s="186" t="s">
        <v>4189</v>
      </c>
      <c r="T156" s="186"/>
      <c r="U156" s="186"/>
      <c r="V156" s="186"/>
      <c r="W156" s="186"/>
      <c r="X156" s="186"/>
      <c r="Y156" s="186"/>
      <c r="Z156" s="186"/>
      <c r="AA156" s="186"/>
      <c r="AB156" s="186"/>
      <c r="AC156" s="186"/>
      <c r="AD156" s="186"/>
      <c r="AE156" s="186"/>
    </row>
    <row r="157" spans="1:31" ht="18.75" customHeight="1">
      <c r="A157" s="213"/>
      <c r="B157" s="213"/>
      <c r="C157" s="210"/>
      <c r="D157" s="210"/>
      <c r="E157" s="186" t="s">
        <v>55</v>
      </c>
      <c r="F157" s="186" t="s">
        <v>4190</v>
      </c>
      <c r="G157" s="186" t="s">
        <v>329</v>
      </c>
      <c r="H157" s="186" t="s">
        <v>243</v>
      </c>
      <c r="I157" s="186"/>
      <c r="J157" s="186">
        <v>115</v>
      </c>
      <c r="K157" s="186"/>
      <c r="L157" s="186"/>
      <c r="M157" s="90"/>
      <c r="N157" s="90"/>
      <c r="O157" s="90"/>
      <c r="P157" s="186"/>
      <c r="Q157" s="186"/>
      <c r="R157" s="122"/>
      <c r="S157" s="186" t="s">
        <v>4191</v>
      </c>
      <c r="T157" s="186"/>
      <c r="U157" s="186"/>
      <c r="V157" s="186"/>
      <c r="W157" s="186"/>
      <c r="X157" s="186"/>
      <c r="Y157" s="186"/>
      <c r="Z157" s="186"/>
      <c r="AA157" s="186"/>
      <c r="AB157" s="186"/>
      <c r="AC157" s="186"/>
      <c r="AD157" s="186"/>
      <c r="AE157" s="186"/>
    </row>
    <row r="158" spans="1:31" ht="18.75" customHeight="1">
      <c r="A158" s="213"/>
      <c r="B158" s="213"/>
      <c r="C158" s="210"/>
      <c r="D158" s="210"/>
      <c r="E158" s="186" t="s">
        <v>59</v>
      </c>
      <c r="F158" s="186" t="s">
        <v>333</v>
      </c>
      <c r="G158" s="186" t="s">
        <v>329</v>
      </c>
      <c r="H158" s="186" t="s">
        <v>243</v>
      </c>
      <c r="I158" s="186"/>
      <c r="J158" s="186">
        <v>116</v>
      </c>
      <c r="K158" s="186"/>
      <c r="L158" s="186"/>
      <c r="M158" s="90"/>
      <c r="N158" s="90"/>
      <c r="O158" s="90"/>
      <c r="P158" s="186"/>
      <c r="Q158" s="186"/>
      <c r="R158" s="122"/>
      <c r="S158" s="186" t="s">
        <v>4192</v>
      </c>
      <c r="T158" s="186"/>
      <c r="U158" s="186"/>
      <c r="V158" s="186"/>
      <c r="W158" s="186"/>
      <c r="X158" s="186"/>
      <c r="Y158" s="186"/>
      <c r="Z158" s="186"/>
      <c r="AA158" s="186"/>
      <c r="AB158" s="186"/>
      <c r="AC158" s="186"/>
      <c r="AD158" s="186"/>
      <c r="AE158" s="186"/>
    </row>
    <row r="159" spans="1:31" ht="18.75" customHeight="1">
      <c r="A159" s="213"/>
      <c r="B159" s="213"/>
      <c r="C159" s="210"/>
      <c r="D159" s="210"/>
      <c r="E159" s="186" t="s">
        <v>55</v>
      </c>
      <c r="F159" s="186" t="s">
        <v>4193</v>
      </c>
      <c r="G159" s="186" t="s">
        <v>329</v>
      </c>
      <c r="H159" s="186" t="s">
        <v>243</v>
      </c>
      <c r="I159" s="186"/>
      <c r="J159" s="186">
        <v>117</v>
      </c>
      <c r="K159" s="186"/>
      <c r="L159" s="186"/>
      <c r="M159" s="90"/>
      <c r="N159" s="90"/>
      <c r="O159" s="90"/>
      <c r="P159" s="186"/>
      <c r="Q159" s="186"/>
      <c r="R159" s="122"/>
      <c r="S159" s="186" t="s">
        <v>4194</v>
      </c>
      <c r="T159" s="186"/>
      <c r="U159" s="186"/>
      <c r="V159" s="186"/>
      <c r="W159" s="186"/>
      <c r="X159" s="186"/>
      <c r="Y159" s="186"/>
      <c r="Z159" s="186"/>
      <c r="AA159" s="186"/>
      <c r="AB159" s="186"/>
      <c r="AC159" s="186"/>
      <c r="AD159" s="186"/>
      <c r="AE159" s="186"/>
    </row>
    <row r="160" spans="1:31" ht="18.75" customHeight="1">
      <c r="A160" s="213"/>
      <c r="B160" s="213"/>
      <c r="C160" s="210"/>
      <c r="D160" s="210"/>
      <c r="E160" s="186" t="s">
        <v>59</v>
      </c>
      <c r="F160" s="186" t="s">
        <v>4195</v>
      </c>
      <c r="G160" s="186" t="s">
        <v>329</v>
      </c>
      <c r="H160" s="186" t="s">
        <v>243</v>
      </c>
      <c r="I160" s="186"/>
      <c r="J160" s="186">
        <v>118</v>
      </c>
      <c r="K160" s="186"/>
      <c r="L160" s="186"/>
      <c r="M160" s="90"/>
      <c r="N160" s="90"/>
      <c r="O160" s="90"/>
      <c r="P160" s="186"/>
      <c r="Q160" s="186"/>
      <c r="R160" s="122"/>
      <c r="S160" s="186" t="s">
        <v>4196</v>
      </c>
      <c r="T160" s="186"/>
      <c r="U160" s="186"/>
      <c r="V160" s="186"/>
      <c r="W160" s="186"/>
      <c r="X160" s="186"/>
      <c r="Y160" s="186"/>
      <c r="Z160" s="186"/>
      <c r="AA160" s="186"/>
      <c r="AB160" s="186"/>
      <c r="AC160" s="186"/>
      <c r="AD160" s="186"/>
      <c r="AE160" s="186"/>
    </row>
    <row r="161" spans="1:31" ht="18.75" customHeight="1">
      <c r="A161" s="213"/>
      <c r="B161" s="213"/>
      <c r="C161" s="210"/>
      <c r="D161" s="210"/>
      <c r="E161" s="186" t="s">
        <v>55</v>
      </c>
      <c r="F161" s="186" t="s">
        <v>4197</v>
      </c>
      <c r="G161" s="186" t="s">
        <v>329</v>
      </c>
      <c r="H161" s="186" t="s">
        <v>243</v>
      </c>
      <c r="I161" s="186"/>
      <c r="J161" s="186">
        <v>119</v>
      </c>
      <c r="K161" s="186"/>
      <c r="L161" s="186"/>
      <c r="M161" s="90"/>
      <c r="N161" s="90"/>
      <c r="O161" s="90"/>
      <c r="P161" s="186"/>
      <c r="Q161" s="186"/>
      <c r="R161" s="122"/>
      <c r="S161" s="186" t="s">
        <v>4198</v>
      </c>
      <c r="T161" s="186"/>
      <c r="U161" s="186"/>
      <c r="V161" s="186"/>
      <c r="W161" s="186"/>
      <c r="X161" s="186"/>
      <c r="Y161" s="186"/>
      <c r="Z161" s="186"/>
      <c r="AA161" s="186"/>
      <c r="AB161" s="186"/>
      <c r="AC161" s="186"/>
      <c r="AD161" s="186"/>
      <c r="AE161" s="186"/>
    </row>
    <row r="162" spans="1:31" ht="18.75" customHeight="1">
      <c r="A162" s="213"/>
      <c r="B162" s="213"/>
      <c r="C162" s="210"/>
      <c r="D162" s="210"/>
      <c r="E162" s="186" t="s">
        <v>55</v>
      </c>
      <c r="F162" s="186" t="s">
        <v>4199</v>
      </c>
      <c r="G162" s="186" t="s">
        <v>329</v>
      </c>
      <c r="H162" s="186" t="s">
        <v>243</v>
      </c>
      <c r="I162" s="186"/>
      <c r="J162" s="186">
        <v>120</v>
      </c>
      <c r="K162" s="186"/>
      <c r="L162" s="186"/>
      <c r="M162" s="90"/>
      <c r="N162" s="90"/>
      <c r="O162" s="90"/>
      <c r="P162" s="186"/>
      <c r="Q162" s="186"/>
      <c r="R162" s="122"/>
      <c r="S162" s="186" t="s">
        <v>4200</v>
      </c>
      <c r="T162" s="186"/>
      <c r="U162" s="186"/>
      <c r="V162" s="186"/>
      <c r="W162" s="186"/>
      <c r="X162" s="186"/>
      <c r="Y162" s="186"/>
      <c r="Z162" s="186"/>
      <c r="AA162" s="186"/>
      <c r="AB162" s="186"/>
      <c r="AC162" s="186"/>
      <c r="AD162" s="186"/>
      <c r="AE162" s="186"/>
    </row>
    <row r="163" spans="1:31" ht="18.75" customHeight="1">
      <c r="A163" s="213"/>
      <c r="B163" s="213"/>
      <c r="C163" s="210"/>
      <c r="D163" s="210"/>
      <c r="E163" s="186" t="s">
        <v>55</v>
      </c>
      <c r="F163" s="186" t="s">
        <v>4201</v>
      </c>
      <c r="G163" s="186" t="s">
        <v>329</v>
      </c>
      <c r="H163" s="186" t="s">
        <v>243</v>
      </c>
      <c r="I163" s="186"/>
      <c r="J163" s="186">
        <v>121</v>
      </c>
      <c r="K163" s="186"/>
      <c r="L163" s="186"/>
      <c r="M163" s="90"/>
      <c r="N163" s="90"/>
      <c r="O163" s="90"/>
      <c r="P163" s="186"/>
      <c r="Q163" s="186"/>
      <c r="R163" s="122"/>
      <c r="S163" s="186" t="s">
        <v>4202</v>
      </c>
      <c r="T163" s="186"/>
      <c r="U163" s="186"/>
      <c r="V163" s="186"/>
      <c r="W163" s="186"/>
      <c r="X163" s="186"/>
      <c r="Y163" s="186"/>
      <c r="Z163" s="186"/>
      <c r="AA163" s="186"/>
      <c r="AB163" s="186"/>
      <c r="AC163" s="186"/>
      <c r="AD163" s="186"/>
      <c r="AE163" s="186"/>
    </row>
    <row r="164" spans="1:31" ht="18.75" customHeight="1">
      <c r="A164" s="213"/>
      <c r="B164" s="213"/>
      <c r="C164" s="210"/>
      <c r="D164" s="210"/>
      <c r="E164" s="186" t="s">
        <v>55</v>
      </c>
      <c r="F164" s="186" t="s">
        <v>4203</v>
      </c>
      <c r="G164" s="186" t="s">
        <v>329</v>
      </c>
      <c r="H164" s="186" t="s">
        <v>243</v>
      </c>
      <c r="I164" s="186"/>
      <c r="J164" s="186">
        <v>122</v>
      </c>
      <c r="K164" s="186"/>
      <c r="L164" s="186"/>
      <c r="M164" s="90"/>
      <c r="N164" s="90"/>
      <c r="O164" s="90"/>
      <c r="P164" s="186"/>
      <c r="Q164" s="186"/>
      <c r="R164" s="122"/>
      <c r="S164" s="186" t="s">
        <v>4204</v>
      </c>
      <c r="T164" s="186"/>
      <c r="U164" s="186"/>
      <c r="V164" s="186"/>
      <c r="W164" s="186"/>
      <c r="X164" s="186"/>
      <c r="Y164" s="186"/>
      <c r="Z164" s="186"/>
      <c r="AA164" s="186"/>
      <c r="AB164" s="186"/>
      <c r="AC164" s="186"/>
      <c r="AD164" s="186"/>
      <c r="AE164" s="186"/>
    </row>
    <row r="165" spans="1:31" ht="18.75" customHeight="1">
      <c r="A165" s="213"/>
      <c r="B165" s="213"/>
      <c r="C165" s="210"/>
      <c r="D165" s="210"/>
      <c r="E165" s="186" t="s">
        <v>59</v>
      </c>
      <c r="F165" s="186" t="s">
        <v>4205</v>
      </c>
      <c r="G165" s="186" t="s">
        <v>329</v>
      </c>
      <c r="H165" s="186" t="s">
        <v>243</v>
      </c>
      <c r="I165" s="186"/>
      <c r="J165" s="186">
        <v>123</v>
      </c>
      <c r="K165" s="186"/>
      <c r="L165" s="186"/>
      <c r="M165" s="90"/>
      <c r="N165" s="90"/>
      <c r="O165" s="90"/>
      <c r="P165" s="186"/>
      <c r="Q165" s="186"/>
      <c r="R165" s="122"/>
      <c r="S165" s="186" t="s">
        <v>4206</v>
      </c>
      <c r="T165" s="186"/>
      <c r="U165" s="186"/>
      <c r="V165" s="186"/>
      <c r="W165" s="186"/>
      <c r="X165" s="186"/>
      <c r="Y165" s="186"/>
      <c r="Z165" s="186"/>
      <c r="AA165" s="186"/>
      <c r="AB165" s="186"/>
      <c r="AC165" s="186"/>
      <c r="AD165" s="186"/>
      <c r="AE165" s="186"/>
    </row>
    <row r="166" spans="1:31" ht="18.75" customHeight="1">
      <c r="A166" s="213"/>
      <c r="B166" s="213"/>
      <c r="C166" s="210"/>
      <c r="D166" s="210"/>
      <c r="E166" s="186" t="s">
        <v>55</v>
      </c>
      <c r="F166" s="186" t="s">
        <v>4207</v>
      </c>
      <c r="G166" s="186" t="s">
        <v>329</v>
      </c>
      <c r="H166" s="186" t="s">
        <v>243</v>
      </c>
      <c r="I166" s="186"/>
      <c r="J166" s="186">
        <v>124</v>
      </c>
      <c r="K166" s="186"/>
      <c r="L166" s="186"/>
      <c r="M166" s="90"/>
      <c r="N166" s="90"/>
      <c r="O166" s="90"/>
      <c r="P166" s="186"/>
      <c r="Q166" s="186"/>
      <c r="R166" s="122"/>
      <c r="S166" s="186" t="s">
        <v>4208</v>
      </c>
      <c r="T166" s="186"/>
      <c r="U166" s="186"/>
      <c r="V166" s="186"/>
      <c r="W166" s="186"/>
      <c r="X166" s="186"/>
      <c r="Y166" s="186"/>
      <c r="Z166" s="186"/>
      <c r="AA166" s="186"/>
      <c r="AB166" s="186"/>
      <c r="AC166" s="186"/>
      <c r="AD166" s="186"/>
      <c r="AE166" s="186"/>
    </row>
    <row r="167" spans="1:31" ht="18.75" customHeight="1">
      <c r="A167" s="213"/>
      <c r="B167" s="213"/>
      <c r="C167" s="210"/>
      <c r="D167" s="210"/>
      <c r="E167" s="186" t="s">
        <v>55</v>
      </c>
      <c r="F167" s="186" t="s">
        <v>4209</v>
      </c>
      <c r="G167" s="186" t="s">
        <v>329</v>
      </c>
      <c r="H167" s="186" t="s">
        <v>243</v>
      </c>
      <c r="I167" s="186"/>
      <c r="J167" s="186">
        <v>125</v>
      </c>
      <c r="K167" s="186"/>
      <c r="L167" s="186"/>
      <c r="M167" s="90"/>
      <c r="N167" s="90"/>
      <c r="O167" s="90"/>
      <c r="P167" s="186"/>
      <c r="Q167" s="186"/>
      <c r="R167" s="122"/>
      <c r="S167" s="186" t="s">
        <v>4210</v>
      </c>
      <c r="T167" s="186"/>
      <c r="U167" s="186"/>
      <c r="V167" s="186"/>
      <c r="W167" s="186"/>
      <c r="X167" s="186"/>
      <c r="Y167" s="186"/>
      <c r="Z167" s="186"/>
      <c r="AA167" s="186"/>
      <c r="AB167" s="186"/>
      <c r="AC167" s="186"/>
      <c r="AD167" s="186"/>
      <c r="AE167" s="186"/>
    </row>
    <row r="168" spans="1:31" ht="18.75" customHeight="1">
      <c r="A168" s="213"/>
      <c r="B168" s="213"/>
      <c r="C168" s="210"/>
      <c r="D168" s="210"/>
      <c r="E168" s="186" t="s">
        <v>59</v>
      </c>
      <c r="F168" s="186" t="s">
        <v>4211</v>
      </c>
      <c r="G168" s="186" t="s">
        <v>329</v>
      </c>
      <c r="H168" s="186" t="s">
        <v>243</v>
      </c>
      <c r="I168" s="186"/>
      <c r="J168" s="186">
        <v>126</v>
      </c>
      <c r="K168" s="186"/>
      <c r="L168" s="186"/>
      <c r="M168" s="90"/>
      <c r="N168" s="90"/>
      <c r="O168" s="90"/>
      <c r="P168" s="186"/>
      <c r="Q168" s="186"/>
      <c r="R168" s="122"/>
      <c r="S168" s="186" t="s">
        <v>4212</v>
      </c>
      <c r="T168" s="186"/>
      <c r="U168" s="186"/>
      <c r="V168" s="186"/>
      <c r="W168" s="186"/>
      <c r="X168" s="186"/>
      <c r="Y168" s="186"/>
      <c r="Z168" s="186"/>
      <c r="AA168" s="186"/>
      <c r="AB168" s="186"/>
      <c r="AC168" s="186"/>
      <c r="AD168" s="186"/>
      <c r="AE168" s="186"/>
    </row>
    <row r="169" spans="1:31" ht="18.75" customHeight="1">
      <c r="A169" s="213"/>
      <c r="B169" s="213"/>
      <c r="C169" s="210"/>
      <c r="D169" s="210"/>
      <c r="E169" s="186" t="s">
        <v>55</v>
      </c>
      <c r="F169" s="186" t="s">
        <v>4213</v>
      </c>
      <c r="G169" s="186" t="s">
        <v>329</v>
      </c>
      <c r="H169" s="186" t="s">
        <v>243</v>
      </c>
      <c r="I169" s="186"/>
      <c r="J169" s="186">
        <v>127</v>
      </c>
      <c r="K169" s="186"/>
      <c r="L169" s="186"/>
      <c r="M169" s="90"/>
      <c r="N169" s="90"/>
      <c r="O169" s="90"/>
      <c r="P169" s="186"/>
      <c r="Q169" s="186"/>
      <c r="R169" s="122"/>
      <c r="S169" s="186" t="s">
        <v>4214</v>
      </c>
      <c r="T169" s="186"/>
      <c r="U169" s="186"/>
      <c r="V169" s="186"/>
      <c r="W169" s="186"/>
      <c r="X169" s="186"/>
      <c r="Y169" s="186"/>
      <c r="Z169" s="186"/>
      <c r="AA169" s="186"/>
      <c r="AB169" s="186"/>
      <c r="AC169" s="186"/>
      <c r="AD169" s="186"/>
      <c r="AE169" s="186"/>
    </row>
    <row r="170" spans="1:31" ht="18.75" customHeight="1">
      <c r="A170" s="213"/>
      <c r="B170" s="213"/>
      <c r="C170" s="210"/>
      <c r="D170" s="210"/>
      <c r="E170" s="186" t="s">
        <v>55</v>
      </c>
      <c r="F170" s="186" t="s">
        <v>4215</v>
      </c>
      <c r="G170" s="186" t="s">
        <v>329</v>
      </c>
      <c r="H170" s="186" t="s">
        <v>243</v>
      </c>
      <c r="I170" s="186"/>
      <c r="J170" s="186">
        <v>128</v>
      </c>
      <c r="K170" s="186"/>
      <c r="L170" s="186"/>
      <c r="M170" s="90"/>
      <c r="N170" s="90"/>
      <c r="O170" s="90"/>
      <c r="P170" s="186"/>
      <c r="Q170" s="186"/>
      <c r="R170" s="122"/>
      <c r="S170" s="186" t="s">
        <v>4216</v>
      </c>
      <c r="T170" s="186"/>
      <c r="U170" s="186"/>
      <c r="V170" s="186"/>
      <c r="W170" s="186"/>
      <c r="X170" s="186"/>
      <c r="Y170" s="186"/>
      <c r="Z170" s="186"/>
      <c r="AA170" s="186"/>
      <c r="AB170" s="186"/>
      <c r="AC170" s="186"/>
      <c r="AD170" s="186"/>
      <c r="AE170" s="186"/>
    </row>
    <row r="171" spans="1:31" ht="18.75" customHeight="1">
      <c r="A171" s="213"/>
      <c r="B171" s="213"/>
      <c r="C171" s="210"/>
      <c r="D171" s="210"/>
      <c r="E171" s="186" t="s">
        <v>55</v>
      </c>
      <c r="F171" s="186" t="s">
        <v>4217</v>
      </c>
      <c r="G171" s="186" t="s">
        <v>329</v>
      </c>
      <c r="H171" s="186" t="s">
        <v>243</v>
      </c>
      <c r="I171" s="186"/>
      <c r="J171" s="186">
        <v>129</v>
      </c>
      <c r="K171" s="186"/>
      <c r="L171" s="186"/>
      <c r="M171" s="90"/>
      <c r="N171" s="90"/>
      <c r="O171" s="90"/>
      <c r="P171" s="186"/>
      <c r="Q171" s="186"/>
      <c r="R171" s="122"/>
      <c r="S171" s="186" t="s">
        <v>4218</v>
      </c>
      <c r="T171" s="186"/>
      <c r="U171" s="186"/>
      <c r="V171" s="186"/>
      <c r="W171" s="186"/>
      <c r="X171" s="186"/>
      <c r="Y171" s="186"/>
      <c r="Z171" s="186"/>
      <c r="AA171" s="186"/>
      <c r="AB171" s="186"/>
      <c r="AC171" s="186"/>
      <c r="AD171" s="186"/>
      <c r="AE171" s="186"/>
    </row>
    <row r="172" spans="1:31" ht="18.75" customHeight="1">
      <c r="A172" s="213"/>
      <c r="B172" s="213"/>
      <c r="C172" s="210"/>
      <c r="D172" s="210"/>
      <c r="E172" s="186" t="s">
        <v>55</v>
      </c>
      <c r="F172" s="186" t="s">
        <v>4219</v>
      </c>
      <c r="G172" s="186" t="s">
        <v>329</v>
      </c>
      <c r="H172" s="186" t="s">
        <v>243</v>
      </c>
      <c r="I172" s="186"/>
      <c r="J172" s="186">
        <v>130</v>
      </c>
      <c r="K172" s="186"/>
      <c r="L172" s="186"/>
      <c r="M172" s="90"/>
      <c r="N172" s="90"/>
      <c r="O172" s="90"/>
      <c r="P172" s="186"/>
      <c r="Q172" s="186"/>
      <c r="R172" s="122"/>
      <c r="S172" s="186" t="s">
        <v>4220</v>
      </c>
      <c r="T172" s="186"/>
      <c r="U172" s="186"/>
      <c r="V172" s="186"/>
      <c r="W172" s="186"/>
      <c r="X172" s="186"/>
      <c r="Y172" s="186"/>
      <c r="Z172" s="186"/>
      <c r="AA172" s="186"/>
      <c r="AB172" s="186"/>
      <c r="AC172" s="186"/>
      <c r="AD172" s="186"/>
      <c r="AE172" s="186"/>
    </row>
    <row r="173" spans="1:31" ht="18.75" customHeight="1">
      <c r="A173" s="213"/>
      <c r="B173" s="213"/>
      <c r="C173" s="210"/>
      <c r="D173" s="210"/>
      <c r="E173" s="186" t="s">
        <v>55</v>
      </c>
      <c r="F173" s="186" t="s">
        <v>4221</v>
      </c>
      <c r="G173" s="186" t="s">
        <v>329</v>
      </c>
      <c r="H173" s="186" t="s">
        <v>243</v>
      </c>
      <c r="I173" s="186"/>
      <c r="J173" s="186">
        <v>131</v>
      </c>
      <c r="K173" s="186"/>
      <c r="L173" s="186"/>
      <c r="M173" s="90"/>
      <c r="N173" s="90"/>
      <c r="O173" s="90"/>
      <c r="P173" s="186"/>
      <c r="Q173" s="186"/>
      <c r="R173" s="122"/>
      <c r="S173" s="186" t="s">
        <v>4222</v>
      </c>
      <c r="T173" s="186"/>
      <c r="U173" s="186"/>
      <c r="V173" s="186"/>
      <c r="W173" s="186"/>
      <c r="X173" s="186"/>
      <c r="Y173" s="186"/>
      <c r="Z173" s="186"/>
      <c r="AA173" s="186"/>
      <c r="AB173" s="186"/>
      <c r="AC173" s="186"/>
      <c r="AD173" s="186"/>
      <c r="AE173" s="186"/>
    </row>
    <row r="174" spans="1:31" ht="18.75" customHeight="1">
      <c r="A174" s="213"/>
      <c r="B174" s="213"/>
      <c r="C174" s="210"/>
      <c r="D174" s="210"/>
      <c r="E174" s="186" t="s">
        <v>55</v>
      </c>
      <c r="F174" s="186" t="s">
        <v>4223</v>
      </c>
      <c r="G174" s="186" t="s">
        <v>329</v>
      </c>
      <c r="H174" s="186" t="s">
        <v>243</v>
      </c>
      <c r="I174" s="186"/>
      <c r="J174" s="186">
        <v>349</v>
      </c>
      <c r="K174" s="186"/>
      <c r="L174" s="186"/>
      <c r="M174" s="90"/>
      <c r="N174" s="90"/>
      <c r="O174" s="90"/>
      <c r="P174" s="186"/>
      <c r="Q174" s="186"/>
      <c r="R174" s="122"/>
      <c r="S174" s="186"/>
      <c r="T174" s="186"/>
      <c r="U174" s="186"/>
      <c r="V174" s="186"/>
      <c r="W174" s="186"/>
      <c r="X174" s="186"/>
      <c r="Y174" s="186"/>
      <c r="Z174" s="186"/>
      <c r="AA174" s="186"/>
      <c r="AB174" s="186"/>
      <c r="AC174" s="186"/>
      <c r="AD174" s="186"/>
      <c r="AE174" s="186"/>
    </row>
    <row r="175" spans="1:31" ht="18.75" customHeight="1">
      <c r="A175" s="213"/>
      <c r="B175" s="213"/>
      <c r="C175" s="210"/>
      <c r="D175" s="210"/>
      <c r="E175" s="186" t="s">
        <v>55</v>
      </c>
      <c r="F175" s="186" t="s">
        <v>4224</v>
      </c>
      <c r="G175" s="186" t="s">
        <v>329</v>
      </c>
      <c r="H175" s="186" t="s">
        <v>243</v>
      </c>
      <c r="I175" s="186"/>
      <c r="J175" s="186">
        <v>350</v>
      </c>
      <c r="K175" s="186"/>
      <c r="L175" s="186"/>
      <c r="M175" s="90"/>
      <c r="N175" s="90"/>
      <c r="O175" s="90"/>
      <c r="P175" s="186"/>
      <c r="Q175" s="186"/>
      <c r="R175" s="122"/>
      <c r="S175" s="186"/>
      <c r="T175" s="186"/>
      <c r="U175" s="186"/>
      <c r="V175" s="186"/>
      <c r="W175" s="186"/>
      <c r="X175" s="186"/>
      <c r="Y175" s="186"/>
      <c r="Z175" s="186"/>
      <c r="AA175" s="186"/>
      <c r="AB175" s="186"/>
      <c r="AC175" s="186"/>
      <c r="AD175" s="186"/>
      <c r="AE175" s="186"/>
    </row>
    <row r="176" spans="1:31" ht="18.75" customHeight="1">
      <c r="A176" s="213"/>
      <c r="B176" s="213"/>
      <c r="C176" s="210"/>
      <c r="D176" s="210"/>
      <c r="E176" s="186" t="s">
        <v>55</v>
      </c>
      <c r="F176" s="186" t="s">
        <v>4225</v>
      </c>
      <c r="G176" s="186" t="s">
        <v>329</v>
      </c>
      <c r="H176" s="186" t="s">
        <v>243</v>
      </c>
      <c r="I176" s="186"/>
      <c r="J176" s="186">
        <v>351</v>
      </c>
      <c r="K176" s="186"/>
      <c r="L176" s="186"/>
      <c r="M176" s="90"/>
      <c r="N176" s="90"/>
      <c r="O176" s="90"/>
      <c r="P176" s="186"/>
      <c r="Q176" s="186"/>
      <c r="R176" s="122"/>
      <c r="S176" s="186"/>
      <c r="T176" s="186"/>
      <c r="U176" s="186"/>
      <c r="V176" s="186"/>
      <c r="W176" s="186"/>
      <c r="X176" s="186"/>
      <c r="Y176" s="186"/>
      <c r="Z176" s="186"/>
      <c r="AA176" s="186"/>
      <c r="AB176" s="186"/>
      <c r="AC176" s="186"/>
      <c r="AD176" s="186"/>
      <c r="AE176" s="186"/>
    </row>
    <row r="177" spans="1:31" ht="18.75" customHeight="1">
      <c r="A177" s="213"/>
      <c r="B177" s="213"/>
      <c r="C177" s="210"/>
      <c r="D177" s="210"/>
      <c r="E177" s="186" t="s">
        <v>55</v>
      </c>
      <c r="F177" s="186" t="s">
        <v>4226</v>
      </c>
      <c r="G177" s="186" t="s">
        <v>329</v>
      </c>
      <c r="H177" s="186" t="s">
        <v>243</v>
      </c>
      <c r="I177" s="186"/>
      <c r="J177" s="186">
        <v>352</v>
      </c>
      <c r="K177" s="186"/>
      <c r="L177" s="186"/>
      <c r="M177" s="90"/>
      <c r="N177" s="90"/>
      <c r="O177" s="90"/>
      <c r="P177" s="186"/>
      <c r="Q177" s="186"/>
      <c r="R177" s="122"/>
      <c r="S177" s="186"/>
      <c r="T177" s="186"/>
      <c r="U177" s="186"/>
      <c r="V177" s="186"/>
      <c r="W177" s="186"/>
      <c r="X177" s="186"/>
      <c r="Y177" s="186"/>
      <c r="Z177" s="186"/>
      <c r="AA177" s="186"/>
      <c r="AB177" s="186"/>
      <c r="AC177" s="186"/>
      <c r="AD177" s="186"/>
      <c r="AE177" s="186"/>
    </row>
    <row r="178" spans="1:31" ht="18.75" customHeight="1">
      <c r="A178" s="213"/>
      <c r="B178" s="213"/>
      <c r="C178" s="210"/>
      <c r="D178" s="210"/>
      <c r="E178" s="186" t="s">
        <v>55</v>
      </c>
      <c r="F178" s="186" t="s">
        <v>4227</v>
      </c>
      <c r="G178" s="186" t="s">
        <v>329</v>
      </c>
      <c r="H178" s="186" t="s">
        <v>243</v>
      </c>
      <c r="I178" s="186"/>
      <c r="J178" s="186">
        <v>353</v>
      </c>
      <c r="K178" s="186"/>
      <c r="L178" s="186"/>
      <c r="M178" s="90"/>
      <c r="N178" s="90"/>
      <c r="O178" s="90"/>
      <c r="P178" s="186"/>
      <c r="Q178" s="186"/>
      <c r="R178" s="122"/>
      <c r="S178" s="186"/>
      <c r="T178" s="186"/>
      <c r="U178" s="186"/>
      <c r="V178" s="186"/>
      <c r="W178" s="186"/>
      <c r="X178" s="186"/>
      <c r="Y178" s="186"/>
      <c r="Z178" s="186"/>
      <c r="AA178" s="186"/>
      <c r="AB178" s="186"/>
      <c r="AC178" s="186"/>
      <c r="AD178" s="186"/>
      <c r="AE178" s="186"/>
    </row>
    <row r="179" spans="1:31" ht="18.75" customHeight="1">
      <c r="A179" s="213"/>
      <c r="B179" s="213"/>
      <c r="C179" s="210"/>
      <c r="D179" s="210"/>
      <c r="E179" s="186" t="s">
        <v>55</v>
      </c>
      <c r="F179" s="186" t="s">
        <v>4228</v>
      </c>
      <c r="G179" s="186" t="s">
        <v>329</v>
      </c>
      <c r="H179" s="186" t="s">
        <v>243</v>
      </c>
      <c r="I179" s="186"/>
      <c r="J179" s="186">
        <v>132</v>
      </c>
      <c r="K179" s="186"/>
      <c r="L179" s="186"/>
      <c r="M179" s="90"/>
      <c r="N179" s="90"/>
      <c r="O179" s="90"/>
      <c r="P179" s="186"/>
      <c r="Q179" s="186"/>
      <c r="R179" s="122"/>
      <c r="S179" s="186"/>
      <c r="T179" s="186"/>
      <c r="U179" s="186"/>
      <c r="V179" s="186"/>
      <c r="W179" s="186"/>
      <c r="X179" s="186"/>
      <c r="Y179" s="186"/>
      <c r="Z179" s="186"/>
      <c r="AA179" s="186"/>
      <c r="AB179" s="186"/>
      <c r="AC179" s="186"/>
      <c r="AD179" s="186"/>
      <c r="AE179" s="186"/>
    </row>
    <row r="180" spans="1:31" ht="18.75" customHeight="1">
      <c r="A180" s="213"/>
      <c r="B180" s="213"/>
      <c r="C180" s="210"/>
      <c r="D180" s="210"/>
      <c r="E180" s="186" t="s">
        <v>55</v>
      </c>
      <c r="F180" s="186" t="s">
        <v>4229</v>
      </c>
      <c r="G180" s="186" t="s">
        <v>329</v>
      </c>
      <c r="H180" s="186" t="s">
        <v>243</v>
      </c>
      <c r="I180" s="186"/>
      <c r="J180" s="186">
        <v>133</v>
      </c>
      <c r="K180" s="186"/>
      <c r="L180" s="186"/>
      <c r="M180" s="90"/>
      <c r="N180" s="90"/>
      <c r="O180" s="90"/>
      <c r="P180" s="186"/>
      <c r="Q180" s="186"/>
      <c r="R180" s="122"/>
      <c r="S180" s="186"/>
      <c r="T180" s="186"/>
      <c r="U180" s="186"/>
      <c r="V180" s="186"/>
      <c r="W180" s="186"/>
      <c r="X180" s="186"/>
      <c r="Y180" s="186"/>
      <c r="Z180" s="186"/>
      <c r="AA180" s="186"/>
      <c r="AB180" s="186"/>
      <c r="AC180" s="186"/>
      <c r="AD180" s="186"/>
      <c r="AE180" s="186"/>
    </row>
    <row r="181" spans="1:31" ht="18.75" customHeight="1">
      <c r="A181" s="213"/>
      <c r="B181" s="213"/>
      <c r="C181" s="210"/>
      <c r="D181" s="210"/>
      <c r="E181" s="186" t="s">
        <v>55</v>
      </c>
      <c r="F181" s="186" t="s">
        <v>4230</v>
      </c>
      <c r="G181" s="186" t="s">
        <v>329</v>
      </c>
      <c r="H181" s="186" t="s">
        <v>243</v>
      </c>
      <c r="I181" s="186"/>
      <c r="J181" s="186">
        <v>134</v>
      </c>
      <c r="K181" s="186"/>
      <c r="L181" s="186"/>
      <c r="M181" s="90"/>
      <c r="N181" s="90"/>
      <c r="O181" s="90"/>
      <c r="P181" s="186"/>
      <c r="Q181" s="186"/>
      <c r="R181" s="122"/>
      <c r="S181" s="186"/>
      <c r="T181" s="186"/>
      <c r="U181" s="186"/>
      <c r="V181" s="186"/>
      <c r="W181" s="186"/>
      <c r="X181" s="186"/>
      <c r="Y181" s="186"/>
      <c r="Z181" s="186"/>
      <c r="AA181" s="186"/>
      <c r="AB181" s="186"/>
      <c r="AC181" s="186"/>
      <c r="AD181" s="186"/>
      <c r="AE181" s="186"/>
    </row>
    <row r="182" spans="1:31" ht="18.75" customHeight="1">
      <c r="A182" s="213"/>
      <c r="B182" s="213"/>
      <c r="C182" s="210"/>
      <c r="D182" s="210"/>
      <c r="E182" s="186" t="s">
        <v>55</v>
      </c>
      <c r="F182" s="186" t="s">
        <v>4231</v>
      </c>
      <c r="G182" s="186" t="s">
        <v>329</v>
      </c>
      <c r="H182" s="186" t="s">
        <v>243</v>
      </c>
      <c r="I182" s="186"/>
      <c r="J182" s="186">
        <v>135</v>
      </c>
      <c r="K182" s="186"/>
      <c r="L182" s="186"/>
      <c r="M182" s="90"/>
      <c r="N182" s="90"/>
      <c r="O182" s="90"/>
      <c r="P182" s="186"/>
      <c r="Q182" s="186"/>
      <c r="R182" s="122"/>
      <c r="S182" s="186"/>
      <c r="T182" s="186"/>
      <c r="U182" s="186"/>
      <c r="V182" s="186"/>
      <c r="W182" s="186"/>
      <c r="X182" s="186"/>
      <c r="Y182" s="186"/>
      <c r="Z182" s="186"/>
      <c r="AA182" s="186"/>
      <c r="AB182" s="186"/>
      <c r="AC182" s="186"/>
      <c r="AD182" s="186"/>
      <c r="AE182" s="186"/>
    </row>
    <row r="183" spans="1:31" ht="18.75" customHeight="1">
      <c r="A183" s="213"/>
      <c r="B183" s="213"/>
      <c r="C183" s="210"/>
      <c r="D183" s="210"/>
      <c r="E183" s="186" t="s">
        <v>55</v>
      </c>
      <c r="F183" s="186" t="s">
        <v>4232</v>
      </c>
      <c r="G183" s="186" t="s">
        <v>329</v>
      </c>
      <c r="H183" s="186" t="s">
        <v>243</v>
      </c>
      <c r="I183" s="186"/>
      <c r="J183" s="186">
        <v>136</v>
      </c>
      <c r="K183" s="186"/>
      <c r="L183" s="186"/>
      <c r="M183" s="90"/>
      <c r="N183" s="90"/>
      <c r="O183" s="90"/>
      <c r="P183" s="186"/>
      <c r="Q183" s="186"/>
      <c r="R183" s="122"/>
      <c r="S183" s="186"/>
      <c r="T183" s="186"/>
      <c r="U183" s="186"/>
      <c r="V183" s="186"/>
      <c r="W183" s="186"/>
      <c r="X183" s="186"/>
      <c r="Y183" s="186"/>
      <c r="Z183" s="186"/>
      <c r="AA183" s="186"/>
      <c r="AB183" s="186"/>
      <c r="AC183" s="186"/>
      <c r="AD183" s="186"/>
      <c r="AE183" s="186"/>
    </row>
    <row r="184" spans="1:31" ht="18.75" customHeight="1">
      <c r="A184" s="213"/>
      <c r="B184" s="213"/>
      <c r="C184" s="210"/>
      <c r="D184" s="210"/>
      <c r="E184" s="186" t="s">
        <v>55</v>
      </c>
      <c r="F184" s="186" t="s">
        <v>4233</v>
      </c>
      <c r="G184" s="186" t="s">
        <v>329</v>
      </c>
      <c r="H184" s="186" t="s">
        <v>243</v>
      </c>
      <c r="I184" s="186"/>
      <c r="J184" s="186">
        <v>137</v>
      </c>
      <c r="K184" s="186"/>
      <c r="L184" s="186"/>
      <c r="M184" s="90"/>
      <c r="N184" s="90"/>
      <c r="O184" s="90"/>
      <c r="P184" s="186"/>
      <c r="Q184" s="186"/>
      <c r="R184" s="122"/>
      <c r="S184" s="186"/>
      <c r="T184" s="186"/>
      <c r="U184" s="186"/>
      <c r="V184" s="186"/>
      <c r="W184" s="186"/>
      <c r="X184" s="186"/>
      <c r="Y184" s="186"/>
      <c r="Z184" s="186"/>
      <c r="AA184" s="186"/>
      <c r="AB184" s="186"/>
      <c r="AC184" s="186"/>
      <c r="AD184" s="186"/>
      <c r="AE184" s="186"/>
    </row>
    <row r="185" spans="1:31" ht="18.75" customHeight="1">
      <c r="A185" s="213"/>
      <c r="B185" s="213"/>
      <c r="C185" s="210"/>
      <c r="D185" s="210"/>
      <c r="E185" s="186" t="s">
        <v>55</v>
      </c>
      <c r="F185" s="186" t="s">
        <v>4234</v>
      </c>
      <c r="G185" s="186" t="s">
        <v>329</v>
      </c>
      <c r="H185" s="186" t="s">
        <v>243</v>
      </c>
      <c r="I185" s="186"/>
      <c r="J185" s="186">
        <v>138</v>
      </c>
      <c r="K185" s="186"/>
      <c r="L185" s="186"/>
      <c r="M185" s="90"/>
      <c r="N185" s="90"/>
      <c r="O185" s="90"/>
      <c r="P185" s="186"/>
      <c r="Q185" s="186"/>
      <c r="R185" s="122"/>
      <c r="S185" s="186"/>
      <c r="T185" s="186"/>
      <c r="U185" s="186"/>
      <c r="V185" s="186"/>
      <c r="W185" s="186"/>
      <c r="X185" s="186"/>
      <c r="Y185" s="186"/>
      <c r="Z185" s="186"/>
      <c r="AA185" s="186"/>
      <c r="AB185" s="186"/>
      <c r="AC185" s="186"/>
      <c r="AD185" s="186"/>
      <c r="AE185" s="186"/>
    </row>
    <row r="186" spans="1:31" ht="18.75" customHeight="1">
      <c r="A186" s="394"/>
      <c r="B186" s="394"/>
      <c r="C186" s="395"/>
      <c r="D186" s="395"/>
      <c r="E186" s="396" t="s">
        <v>55</v>
      </c>
      <c r="F186" s="396" t="s">
        <v>4235</v>
      </c>
      <c r="G186" s="396" t="s">
        <v>329</v>
      </c>
      <c r="H186" s="396" t="s">
        <v>243</v>
      </c>
      <c r="I186" s="396"/>
      <c r="J186" s="396">
        <v>139</v>
      </c>
      <c r="K186" s="396"/>
      <c r="L186" s="396"/>
      <c r="M186" s="397"/>
      <c r="N186" s="397"/>
      <c r="O186" s="397"/>
      <c r="P186" s="396"/>
      <c r="Q186" s="186"/>
      <c r="R186" s="398"/>
      <c r="S186" s="396"/>
      <c r="T186" s="396"/>
      <c r="U186" s="186"/>
      <c r="V186" s="186"/>
      <c r="W186" s="186"/>
      <c r="X186" s="186"/>
      <c r="Y186" s="186"/>
      <c r="Z186" s="186"/>
      <c r="AA186" s="186"/>
      <c r="AB186" s="186"/>
      <c r="AC186" s="186"/>
      <c r="AD186" s="186"/>
      <c r="AE186" s="186"/>
    </row>
    <row r="187" spans="1:31" ht="18.75" customHeight="1">
      <c r="A187" s="394"/>
      <c r="B187" s="394"/>
      <c r="C187" s="395"/>
      <c r="D187" s="395"/>
      <c r="E187" s="396" t="s">
        <v>55</v>
      </c>
      <c r="F187" s="396" t="s">
        <v>4236</v>
      </c>
      <c r="G187" s="396" t="s">
        <v>329</v>
      </c>
      <c r="H187" s="396" t="s">
        <v>243</v>
      </c>
      <c r="I187" s="396"/>
      <c r="J187" s="396">
        <v>140</v>
      </c>
      <c r="K187" s="396"/>
      <c r="L187" s="396"/>
      <c r="M187" s="397"/>
      <c r="N187" s="397"/>
      <c r="O187" s="397"/>
      <c r="P187" s="396"/>
      <c r="Q187" s="396"/>
      <c r="R187" s="398"/>
      <c r="S187" s="396"/>
      <c r="T187" s="396"/>
      <c r="U187" s="186"/>
      <c r="V187" s="186"/>
      <c r="W187" s="186"/>
      <c r="X187" s="186"/>
      <c r="Y187" s="186"/>
      <c r="Z187" s="186"/>
      <c r="AA187" s="186"/>
      <c r="AB187" s="186"/>
      <c r="AC187" s="186"/>
      <c r="AD187" s="186"/>
      <c r="AE187" s="186"/>
    </row>
    <row r="188" spans="1:31" ht="18.75" customHeight="1">
      <c r="A188" s="213"/>
      <c r="B188" s="213"/>
      <c r="C188" s="210"/>
      <c r="D188" s="210"/>
      <c r="E188" s="186" t="s">
        <v>55</v>
      </c>
      <c r="F188" s="186" t="s">
        <v>4237</v>
      </c>
      <c r="G188" s="186" t="s">
        <v>329</v>
      </c>
      <c r="H188" s="186" t="s">
        <v>243</v>
      </c>
      <c r="I188" s="186"/>
      <c r="J188" s="186">
        <v>141</v>
      </c>
      <c r="K188" s="186"/>
      <c r="L188" s="186"/>
      <c r="M188" s="90"/>
      <c r="N188" s="90"/>
      <c r="O188" s="90"/>
      <c r="P188" s="186"/>
      <c r="Q188" s="186"/>
      <c r="R188" s="122"/>
      <c r="S188" s="186"/>
      <c r="T188" s="186"/>
      <c r="U188" s="186"/>
      <c r="V188" s="186"/>
      <c r="W188" s="186"/>
      <c r="X188" s="186"/>
      <c r="Y188" s="186"/>
      <c r="Z188" s="186"/>
      <c r="AA188" s="186"/>
      <c r="AB188" s="186"/>
      <c r="AC188" s="186"/>
      <c r="AD188" s="186"/>
      <c r="AE188" s="186"/>
    </row>
    <row r="189" spans="1:31" ht="18.75" customHeight="1">
      <c r="A189" s="213"/>
      <c r="B189" s="213"/>
      <c r="C189" s="210"/>
      <c r="D189" s="210"/>
      <c r="E189" s="186" t="s">
        <v>55</v>
      </c>
      <c r="F189" s="186" t="s">
        <v>4238</v>
      </c>
      <c r="G189" s="186" t="s">
        <v>329</v>
      </c>
      <c r="H189" s="186" t="s">
        <v>243</v>
      </c>
      <c r="I189" s="186"/>
      <c r="J189" s="186">
        <v>142</v>
      </c>
      <c r="K189" s="186"/>
      <c r="L189" s="186"/>
      <c r="M189" s="90"/>
      <c r="N189" s="90"/>
      <c r="O189" s="90"/>
      <c r="P189" s="186"/>
      <c r="Q189" s="186"/>
      <c r="R189" s="122"/>
      <c r="S189" s="186"/>
      <c r="T189" s="186"/>
      <c r="U189" s="186"/>
      <c r="V189" s="186"/>
      <c r="W189" s="186"/>
      <c r="X189" s="186"/>
      <c r="Y189" s="186"/>
      <c r="Z189" s="186"/>
      <c r="AA189" s="186"/>
      <c r="AB189" s="186"/>
      <c r="AC189" s="186"/>
      <c r="AD189" s="186"/>
      <c r="AE189" s="186"/>
    </row>
    <row r="190" spans="1:31" ht="18.75" customHeight="1">
      <c r="A190" s="213"/>
      <c r="B190" s="213"/>
      <c r="C190" s="210"/>
      <c r="D190" s="210"/>
      <c r="E190" s="186" t="s">
        <v>55</v>
      </c>
      <c r="F190" s="186" t="s">
        <v>4239</v>
      </c>
      <c r="G190" s="186" t="s">
        <v>329</v>
      </c>
      <c r="H190" s="186" t="s">
        <v>243</v>
      </c>
      <c r="I190" s="186"/>
      <c r="J190" s="186">
        <v>143</v>
      </c>
      <c r="K190" s="186"/>
      <c r="L190" s="186"/>
      <c r="M190" s="90"/>
      <c r="N190" s="90"/>
      <c r="O190" s="90"/>
      <c r="P190" s="186"/>
      <c r="Q190" s="186"/>
      <c r="R190" s="122"/>
      <c r="S190" s="186"/>
      <c r="T190" s="186"/>
      <c r="U190" s="186"/>
      <c r="V190" s="186"/>
      <c r="W190" s="186"/>
      <c r="X190" s="186"/>
      <c r="Y190" s="186"/>
      <c r="Z190" s="186"/>
      <c r="AA190" s="186"/>
      <c r="AB190" s="186"/>
      <c r="AC190" s="186"/>
      <c r="AD190" s="186"/>
      <c r="AE190" s="186"/>
    </row>
    <row r="191" spans="1:31" ht="18.75" customHeight="1">
      <c r="A191" s="213"/>
      <c r="B191" s="213"/>
      <c r="C191" s="210"/>
      <c r="D191" s="210"/>
      <c r="E191" s="186" t="s">
        <v>55</v>
      </c>
      <c r="F191" s="186" t="s">
        <v>4240</v>
      </c>
      <c r="G191" s="186" t="s">
        <v>329</v>
      </c>
      <c r="H191" s="186" t="s">
        <v>243</v>
      </c>
      <c r="I191" s="186"/>
      <c r="J191" s="186">
        <v>144</v>
      </c>
      <c r="K191" s="186"/>
      <c r="L191" s="186"/>
      <c r="M191" s="90"/>
      <c r="N191" s="90"/>
      <c r="O191" s="90"/>
      <c r="P191" s="186"/>
      <c r="Q191" s="186"/>
      <c r="R191" s="122"/>
      <c r="S191" s="186"/>
      <c r="T191" s="186"/>
      <c r="U191" s="186"/>
      <c r="V191" s="186"/>
      <c r="W191" s="186"/>
      <c r="X191" s="186"/>
      <c r="Y191" s="186"/>
      <c r="Z191" s="186"/>
      <c r="AA191" s="186"/>
      <c r="AB191" s="186"/>
      <c r="AC191" s="186"/>
      <c r="AD191" s="186"/>
      <c r="AE191" s="186"/>
    </row>
    <row r="192" spans="1:31" ht="18.75" customHeight="1">
      <c r="A192" s="213"/>
      <c r="B192" s="213"/>
      <c r="C192" s="210"/>
      <c r="D192" s="210"/>
      <c r="E192" s="186" t="s">
        <v>55</v>
      </c>
      <c r="F192" s="186" t="s">
        <v>4241</v>
      </c>
      <c r="G192" s="186" t="s">
        <v>329</v>
      </c>
      <c r="H192" s="186" t="s">
        <v>243</v>
      </c>
      <c r="I192" s="186"/>
      <c r="J192" s="186">
        <v>145</v>
      </c>
      <c r="K192" s="186"/>
      <c r="L192" s="186"/>
      <c r="M192" s="90"/>
      <c r="N192" s="90"/>
      <c r="O192" s="90"/>
      <c r="P192" s="186"/>
      <c r="Q192" s="186"/>
      <c r="R192" s="122"/>
      <c r="S192" s="186"/>
      <c r="T192" s="186"/>
      <c r="U192" s="186"/>
      <c r="V192" s="186"/>
      <c r="W192" s="186"/>
      <c r="X192" s="186"/>
      <c r="Y192" s="186"/>
      <c r="Z192" s="186"/>
      <c r="AA192" s="186"/>
      <c r="AB192" s="186"/>
      <c r="AC192" s="186"/>
      <c r="AD192" s="186"/>
      <c r="AE192" s="186"/>
    </row>
    <row r="193" spans="1:31" ht="18.75" customHeight="1">
      <c r="A193" s="213"/>
      <c r="B193" s="213"/>
      <c r="C193" s="210"/>
      <c r="D193" s="210"/>
      <c r="E193" s="186" t="s">
        <v>55</v>
      </c>
      <c r="F193" s="186" t="s">
        <v>4242</v>
      </c>
      <c r="G193" s="186" t="s">
        <v>329</v>
      </c>
      <c r="H193" s="186" t="s">
        <v>243</v>
      </c>
      <c r="I193" s="186"/>
      <c r="J193" s="186">
        <v>146</v>
      </c>
      <c r="K193" s="186"/>
      <c r="L193" s="186"/>
      <c r="M193" s="90"/>
      <c r="N193" s="90"/>
      <c r="O193" s="90"/>
      <c r="P193" s="186"/>
      <c r="Q193" s="186"/>
      <c r="R193" s="122"/>
      <c r="S193" s="186"/>
      <c r="T193" s="186"/>
      <c r="U193" s="186"/>
      <c r="V193" s="186"/>
      <c r="W193" s="186"/>
      <c r="X193" s="186"/>
      <c r="Y193" s="186"/>
      <c r="Z193" s="186"/>
      <c r="AA193" s="186"/>
      <c r="AB193" s="186"/>
      <c r="AC193" s="186"/>
      <c r="AD193" s="186"/>
      <c r="AE193" s="186"/>
    </row>
    <row r="194" spans="1:31" ht="18.75" customHeight="1">
      <c r="A194" s="213"/>
      <c r="B194" s="213"/>
      <c r="C194" s="210"/>
      <c r="D194" s="210"/>
      <c r="E194" s="186" t="s">
        <v>59</v>
      </c>
      <c r="F194" s="186" t="s">
        <v>424</v>
      </c>
      <c r="G194" s="186" t="s">
        <v>329</v>
      </c>
      <c r="H194" s="186" t="s">
        <v>243</v>
      </c>
      <c r="I194" s="186"/>
      <c r="J194" s="186">
        <v>147</v>
      </c>
      <c r="K194" s="186"/>
      <c r="L194" s="186"/>
      <c r="M194" s="90"/>
      <c r="N194" s="90"/>
      <c r="O194" s="90"/>
      <c r="P194" s="186"/>
      <c r="Q194" s="186"/>
      <c r="R194" s="122"/>
      <c r="S194" s="186" t="s">
        <v>4243</v>
      </c>
      <c r="T194" s="186"/>
      <c r="U194" s="186"/>
      <c r="V194" s="186"/>
      <c r="W194" s="186"/>
      <c r="X194" s="186"/>
      <c r="Y194" s="186"/>
      <c r="Z194" s="186"/>
      <c r="AA194" s="186"/>
      <c r="AB194" s="186"/>
      <c r="AC194" s="186"/>
      <c r="AD194" s="186"/>
      <c r="AE194" s="186"/>
    </row>
    <row r="195" spans="1:31" ht="18.75" customHeight="1">
      <c r="A195" s="213"/>
      <c r="B195" s="213"/>
      <c r="C195" s="210"/>
      <c r="D195" s="210"/>
      <c r="E195" s="186" t="s">
        <v>55</v>
      </c>
      <c r="F195" s="186" t="s">
        <v>4244</v>
      </c>
      <c r="G195" s="186" t="s">
        <v>329</v>
      </c>
      <c r="H195" s="186" t="s">
        <v>243</v>
      </c>
      <c r="I195" s="186"/>
      <c r="J195" s="186">
        <v>148</v>
      </c>
      <c r="K195" s="186"/>
      <c r="L195" s="186"/>
      <c r="M195" s="90"/>
      <c r="N195" s="90"/>
      <c r="O195" s="90"/>
      <c r="P195" s="186"/>
      <c r="Q195" s="186"/>
      <c r="R195" s="122"/>
      <c r="S195" s="186" t="s">
        <v>4245</v>
      </c>
      <c r="T195" s="186"/>
      <c r="U195" s="186"/>
      <c r="V195" s="186"/>
      <c r="W195" s="186"/>
      <c r="X195" s="186"/>
      <c r="Y195" s="186"/>
      <c r="Z195" s="186"/>
      <c r="AA195" s="186"/>
      <c r="AB195" s="186"/>
      <c r="AC195" s="186"/>
      <c r="AD195" s="186"/>
      <c r="AE195" s="186"/>
    </row>
    <row r="196" spans="1:31" ht="18.75" customHeight="1">
      <c r="A196" s="213"/>
      <c r="B196" s="213"/>
      <c r="C196" s="210"/>
      <c r="D196" s="210"/>
      <c r="E196" s="186" t="s">
        <v>59</v>
      </c>
      <c r="F196" s="186" t="s">
        <v>4246</v>
      </c>
      <c r="G196" s="186" t="s">
        <v>329</v>
      </c>
      <c r="H196" s="186" t="s">
        <v>243</v>
      </c>
      <c r="I196" s="186"/>
      <c r="J196" s="186">
        <v>149</v>
      </c>
      <c r="K196" s="186"/>
      <c r="L196" s="186"/>
      <c r="M196" s="90"/>
      <c r="N196" s="90"/>
      <c r="O196" s="90"/>
      <c r="P196" s="186"/>
      <c r="Q196" s="186"/>
      <c r="R196" s="122"/>
      <c r="S196" s="186" t="s">
        <v>4247</v>
      </c>
      <c r="T196" s="186"/>
      <c r="U196" s="186"/>
      <c r="V196" s="186"/>
      <c r="W196" s="186"/>
      <c r="X196" s="186"/>
      <c r="Y196" s="186"/>
      <c r="Z196" s="186"/>
      <c r="AA196" s="186"/>
      <c r="AB196" s="186"/>
      <c r="AC196" s="186"/>
      <c r="AD196" s="186"/>
      <c r="AE196" s="186"/>
    </row>
    <row r="197" spans="1:31" ht="18.75" customHeight="1">
      <c r="A197" s="213"/>
      <c r="B197" s="213"/>
      <c r="C197" s="210"/>
      <c r="D197" s="210"/>
      <c r="E197" s="186" t="s">
        <v>55</v>
      </c>
      <c r="F197" s="186" t="s">
        <v>4248</v>
      </c>
      <c r="G197" s="186" t="s">
        <v>329</v>
      </c>
      <c r="H197" s="186" t="s">
        <v>243</v>
      </c>
      <c r="I197" s="186"/>
      <c r="J197" s="186">
        <v>150</v>
      </c>
      <c r="K197" s="186"/>
      <c r="L197" s="186"/>
      <c r="M197" s="90"/>
      <c r="N197" s="90"/>
      <c r="O197" s="90"/>
      <c r="P197" s="186"/>
      <c r="Q197" s="186"/>
      <c r="R197" s="122"/>
      <c r="S197" s="186" t="s">
        <v>4249</v>
      </c>
      <c r="T197" s="186"/>
      <c r="U197" s="186"/>
      <c r="V197" s="186"/>
      <c r="W197" s="186"/>
      <c r="X197" s="186"/>
      <c r="Y197" s="186"/>
      <c r="Z197" s="186"/>
      <c r="AA197" s="186"/>
      <c r="AB197" s="186"/>
      <c r="AC197" s="186"/>
      <c r="AD197" s="186"/>
      <c r="AE197" s="186"/>
    </row>
    <row r="198" spans="1:31" ht="18.75" customHeight="1">
      <c r="A198" s="213"/>
      <c r="B198" s="213"/>
      <c r="C198" s="210"/>
      <c r="D198" s="210"/>
      <c r="E198" s="186" t="s">
        <v>55</v>
      </c>
      <c r="F198" s="186" t="s">
        <v>4250</v>
      </c>
      <c r="G198" s="186" t="s">
        <v>329</v>
      </c>
      <c r="H198" s="186" t="s">
        <v>243</v>
      </c>
      <c r="I198" s="186"/>
      <c r="J198" s="186">
        <v>151</v>
      </c>
      <c r="K198" s="186"/>
      <c r="L198" s="186"/>
      <c r="M198" s="90"/>
      <c r="N198" s="90"/>
      <c r="O198" s="90"/>
      <c r="P198" s="186"/>
      <c r="Q198" s="186"/>
      <c r="R198" s="122"/>
      <c r="S198" s="186" t="s">
        <v>4251</v>
      </c>
      <c r="T198" s="186"/>
      <c r="U198" s="186"/>
      <c r="V198" s="186"/>
      <c r="W198" s="186"/>
      <c r="X198" s="186"/>
      <c r="Y198" s="186"/>
      <c r="Z198" s="186"/>
      <c r="AA198" s="186"/>
      <c r="AB198" s="186"/>
      <c r="AC198" s="186"/>
      <c r="AD198" s="186"/>
      <c r="AE198" s="186"/>
    </row>
    <row r="199" spans="1:31" ht="18.75" customHeight="1">
      <c r="A199" s="213"/>
      <c r="B199" s="213"/>
      <c r="C199" s="210"/>
      <c r="D199" s="210"/>
      <c r="E199" s="186" t="s">
        <v>55</v>
      </c>
      <c r="F199" s="186" t="s">
        <v>4252</v>
      </c>
      <c r="G199" s="186" t="s">
        <v>329</v>
      </c>
      <c r="H199" s="186" t="s">
        <v>243</v>
      </c>
      <c r="I199" s="186"/>
      <c r="J199" s="186">
        <v>152</v>
      </c>
      <c r="K199" s="186"/>
      <c r="L199" s="186"/>
      <c r="M199" s="90"/>
      <c r="N199" s="90"/>
      <c r="O199" s="90"/>
      <c r="P199" s="186"/>
      <c r="Q199" s="186"/>
      <c r="R199" s="122"/>
      <c r="S199" s="186" t="s">
        <v>4253</v>
      </c>
      <c r="T199" s="186"/>
      <c r="U199" s="186"/>
      <c r="V199" s="186"/>
      <c r="W199" s="186"/>
      <c r="X199" s="186"/>
      <c r="Y199" s="186"/>
      <c r="Z199" s="186"/>
      <c r="AA199" s="186"/>
      <c r="AB199" s="186"/>
      <c r="AC199" s="186"/>
      <c r="AD199" s="186"/>
      <c r="AE199" s="186"/>
    </row>
    <row r="200" spans="1:31" ht="18.75" customHeight="1">
      <c r="A200" s="213"/>
      <c r="B200" s="213"/>
      <c r="C200" s="210"/>
      <c r="D200" s="210"/>
      <c r="E200" s="186" t="s">
        <v>55</v>
      </c>
      <c r="F200" s="186" t="s">
        <v>4254</v>
      </c>
      <c r="G200" s="186" t="s">
        <v>329</v>
      </c>
      <c r="H200" s="186" t="s">
        <v>243</v>
      </c>
      <c r="I200" s="186"/>
      <c r="J200" s="186">
        <v>153</v>
      </c>
      <c r="K200" s="186"/>
      <c r="L200" s="186"/>
      <c r="M200" s="90"/>
      <c r="N200" s="90"/>
      <c r="O200" s="90"/>
      <c r="P200" s="186"/>
      <c r="Q200" s="186"/>
      <c r="R200" s="122"/>
      <c r="S200" s="186" t="s">
        <v>4255</v>
      </c>
      <c r="T200" s="186"/>
      <c r="U200" s="186"/>
      <c r="V200" s="186"/>
      <c r="W200" s="186"/>
      <c r="X200" s="186"/>
      <c r="Y200" s="186"/>
      <c r="Z200" s="186"/>
      <c r="AA200" s="186"/>
      <c r="AB200" s="186"/>
      <c r="AC200" s="186"/>
      <c r="AD200" s="186"/>
      <c r="AE200" s="186"/>
    </row>
    <row r="201" spans="1:31" ht="18.75" customHeight="1">
      <c r="A201" s="213"/>
      <c r="B201" s="213"/>
      <c r="C201" s="210"/>
      <c r="D201" s="210"/>
      <c r="E201" s="186" t="s">
        <v>55</v>
      </c>
      <c r="F201" s="186" t="s">
        <v>4256</v>
      </c>
      <c r="G201" s="186" t="s">
        <v>329</v>
      </c>
      <c r="H201" s="186" t="s">
        <v>243</v>
      </c>
      <c r="I201" s="186"/>
      <c r="J201" s="186">
        <v>154</v>
      </c>
      <c r="K201" s="186"/>
      <c r="L201" s="186"/>
      <c r="M201" s="90"/>
      <c r="N201" s="90"/>
      <c r="O201" s="90"/>
      <c r="P201" s="186"/>
      <c r="Q201" s="186"/>
      <c r="R201" s="122"/>
      <c r="S201" s="186" t="s">
        <v>4255</v>
      </c>
      <c r="T201" s="186"/>
      <c r="U201" s="186"/>
      <c r="V201" s="186"/>
      <c r="W201" s="186"/>
      <c r="X201" s="186"/>
      <c r="Y201" s="186"/>
      <c r="Z201" s="186"/>
      <c r="AA201" s="186"/>
      <c r="AB201" s="186"/>
      <c r="AC201" s="186"/>
      <c r="AD201" s="186"/>
      <c r="AE201" s="186"/>
    </row>
    <row r="202" spans="1:31" ht="18.75" customHeight="1">
      <c r="A202" s="213"/>
      <c r="B202" s="213"/>
      <c r="C202" s="210"/>
      <c r="D202" s="210"/>
      <c r="E202" s="186" t="s">
        <v>55</v>
      </c>
      <c r="F202" s="186" t="s">
        <v>4257</v>
      </c>
      <c r="G202" s="186" t="s">
        <v>329</v>
      </c>
      <c r="H202" s="186" t="s">
        <v>243</v>
      </c>
      <c r="I202" s="186"/>
      <c r="J202" s="186">
        <v>155</v>
      </c>
      <c r="K202" s="186"/>
      <c r="L202" s="186"/>
      <c r="M202" s="90"/>
      <c r="N202" s="90"/>
      <c r="O202" s="90"/>
      <c r="P202" s="186"/>
      <c r="Q202" s="186"/>
      <c r="R202" s="122"/>
      <c r="S202" s="186" t="s">
        <v>4258</v>
      </c>
      <c r="T202" s="186"/>
      <c r="U202" s="186"/>
      <c r="V202" s="186"/>
      <c r="W202" s="186"/>
      <c r="X202" s="186"/>
      <c r="Y202" s="186"/>
      <c r="Z202" s="186"/>
      <c r="AA202" s="186"/>
      <c r="AB202" s="186"/>
      <c r="AC202" s="186"/>
      <c r="AD202" s="186"/>
      <c r="AE202" s="186"/>
    </row>
    <row r="203" spans="1:31" ht="18.75" customHeight="1">
      <c r="A203" s="213"/>
      <c r="B203" s="213"/>
      <c r="C203" s="210"/>
      <c r="D203" s="210"/>
      <c r="E203" s="186" t="s">
        <v>55</v>
      </c>
      <c r="F203" s="186" t="s">
        <v>4259</v>
      </c>
      <c r="G203" s="186" t="s">
        <v>329</v>
      </c>
      <c r="H203" s="186" t="s">
        <v>243</v>
      </c>
      <c r="I203" s="186"/>
      <c r="J203" s="186">
        <v>156</v>
      </c>
      <c r="K203" s="186"/>
      <c r="L203" s="186"/>
      <c r="M203" s="90"/>
      <c r="N203" s="90"/>
      <c r="O203" s="90"/>
      <c r="P203" s="186"/>
      <c r="Q203" s="186"/>
      <c r="R203" s="122"/>
      <c r="S203" s="186" t="s">
        <v>4260</v>
      </c>
      <c r="T203" s="186"/>
      <c r="U203" s="186"/>
      <c r="V203" s="186"/>
      <c r="W203" s="186"/>
      <c r="X203" s="186"/>
      <c r="Y203" s="186"/>
      <c r="Z203" s="186"/>
      <c r="AA203" s="186"/>
      <c r="AB203" s="186"/>
      <c r="AC203" s="186"/>
      <c r="AD203" s="186"/>
      <c r="AE203" s="186"/>
    </row>
    <row r="204" spans="1:31" ht="18.75" customHeight="1">
      <c r="A204" s="213"/>
      <c r="B204" s="213"/>
      <c r="C204" s="210"/>
      <c r="D204" s="210"/>
      <c r="E204" s="186" t="s">
        <v>55</v>
      </c>
      <c r="F204" s="186" t="s">
        <v>4261</v>
      </c>
      <c r="G204" s="186" t="s">
        <v>329</v>
      </c>
      <c r="H204" s="186" t="s">
        <v>243</v>
      </c>
      <c r="I204" s="186"/>
      <c r="J204" s="186">
        <v>157</v>
      </c>
      <c r="K204" s="186"/>
      <c r="L204" s="186"/>
      <c r="M204" s="90"/>
      <c r="N204" s="90"/>
      <c r="O204" s="90"/>
      <c r="P204" s="186"/>
      <c r="Q204" s="186"/>
      <c r="R204" s="122"/>
      <c r="S204" s="186" t="s">
        <v>4262</v>
      </c>
      <c r="T204" s="186"/>
      <c r="U204" s="186"/>
      <c r="V204" s="186"/>
      <c r="W204" s="186"/>
      <c r="X204" s="186"/>
      <c r="Y204" s="186"/>
      <c r="Z204" s="186"/>
      <c r="AA204" s="186"/>
      <c r="AB204" s="186"/>
      <c r="AC204" s="186"/>
      <c r="AD204" s="186"/>
      <c r="AE204" s="186"/>
    </row>
    <row r="205" spans="1:31" ht="18.75" customHeight="1">
      <c r="A205" s="213"/>
      <c r="B205" s="213"/>
      <c r="C205" s="210"/>
      <c r="D205" s="210"/>
      <c r="E205" s="186" t="s">
        <v>55</v>
      </c>
      <c r="F205" s="186" t="s">
        <v>4263</v>
      </c>
      <c r="G205" s="186" t="s">
        <v>329</v>
      </c>
      <c r="H205" s="186" t="s">
        <v>243</v>
      </c>
      <c r="I205" s="186"/>
      <c r="J205" s="186">
        <v>158</v>
      </c>
      <c r="K205" s="186"/>
      <c r="L205" s="186"/>
      <c r="M205" s="90"/>
      <c r="N205" s="90"/>
      <c r="O205" s="90"/>
      <c r="P205" s="186"/>
      <c r="Q205" s="186"/>
      <c r="R205" s="122"/>
      <c r="S205" s="186" t="s">
        <v>4264</v>
      </c>
      <c r="T205" s="186"/>
      <c r="U205" s="186"/>
      <c r="V205" s="186"/>
      <c r="W205" s="186"/>
      <c r="X205" s="186"/>
      <c r="Y205" s="186"/>
      <c r="Z205" s="186"/>
      <c r="AA205" s="186"/>
      <c r="AB205" s="186"/>
      <c r="AC205" s="186"/>
      <c r="AD205" s="186"/>
      <c r="AE205" s="186"/>
    </row>
    <row r="206" spans="1:31" ht="18.75" customHeight="1">
      <c r="A206" s="213"/>
      <c r="B206" s="213"/>
      <c r="C206" s="210"/>
      <c r="D206" s="210"/>
      <c r="E206" s="186" t="s">
        <v>55</v>
      </c>
      <c r="F206" s="186" t="s">
        <v>4265</v>
      </c>
      <c r="G206" s="186" t="s">
        <v>329</v>
      </c>
      <c r="H206" s="186" t="s">
        <v>243</v>
      </c>
      <c r="I206" s="186"/>
      <c r="J206" s="186">
        <v>159</v>
      </c>
      <c r="K206" s="186"/>
      <c r="L206" s="186"/>
      <c r="M206" s="90"/>
      <c r="N206" s="90"/>
      <c r="O206" s="90"/>
      <c r="P206" s="186"/>
      <c r="Q206" s="186"/>
      <c r="R206" s="122"/>
      <c r="S206" s="186" t="s">
        <v>4266</v>
      </c>
      <c r="T206" s="186"/>
      <c r="U206" s="186"/>
      <c r="V206" s="186"/>
      <c r="W206" s="186"/>
      <c r="X206" s="186"/>
      <c r="Y206" s="186"/>
      <c r="Z206" s="186"/>
      <c r="AA206" s="186"/>
      <c r="AB206" s="186"/>
      <c r="AC206" s="186"/>
      <c r="AD206" s="186"/>
      <c r="AE206" s="186"/>
    </row>
    <row r="207" spans="1:31" ht="18.75" customHeight="1">
      <c r="A207" s="213"/>
      <c r="B207" s="213"/>
      <c r="C207" s="210"/>
      <c r="D207" s="210"/>
      <c r="E207" s="186" t="s">
        <v>55</v>
      </c>
      <c r="F207" s="186" t="s">
        <v>4267</v>
      </c>
      <c r="G207" s="186" t="s">
        <v>329</v>
      </c>
      <c r="H207" s="186" t="s">
        <v>243</v>
      </c>
      <c r="I207" s="186"/>
      <c r="J207" s="186">
        <v>160</v>
      </c>
      <c r="K207" s="186"/>
      <c r="L207" s="186"/>
      <c r="M207" s="90"/>
      <c r="N207" s="90"/>
      <c r="O207" s="90"/>
      <c r="P207" s="186"/>
      <c r="Q207" s="186"/>
      <c r="R207" s="122"/>
      <c r="S207" s="186" t="s">
        <v>4255</v>
      </c>
      <c r="T207" s="186"/>
      <c r="U207" s="186"/>
      <c r="V207" s="186"/>
      <c r="W207" s="186"/>
      <c r="X207" s="186"/>
      <c r="Y207" s="186"/>
      <c r="Z207" s="186"/>
      <c r="AA207" s="186"/>
      <c r="AB207" s="186"/>
      <c r="AC207" s="186"/>
      <c r="AD207" s="186"/>
      <c r="AE207" s="186"/>
    </row>
    <row r="208" spans="1:31" ht="18.75" customHeight="1">
      <c r="A208" s="213"/>
      <c r="B208" s="213"/>
      <c r="C208" s="210"/>
      <c r="D208" s="210"/>
      <c r="E208" s="186" t="s">
        <v>55</v>
      </c>
      <c r="F208" s="186" t="s">
        <v>4268</v>
      </c>
      <c r="G208" s="186" t="s">
        <v>329</v>
      </c>
      <c r="H208" s="186" t="s">
        <v>243</v>
      </c>
      <c r="I208" s="186"/>
      <c r="J208" s="186">
        <v>161</v>
      </c>
      <c r="K208" s="186"/>
      <c r="L208" s="186"/>
      <c r="M208" s="90"/>
      <c r="N208" s="90"/>
      <c r="O208" s="90"/>
      <c r="P208" s="186"/>
      <c r="Q208" s="186"/>
      <c r="R208" s="122"/>
      <c r="S208" s="186" t="s">
        <v>4255</v>
      </c>
      <c r="T208" s="186"/>
      <c r="U208" s="186"/>
      <c r="V208" s="186"/>
      <c r="W208" s="186"/>
      <c r="X208" s="186"/>
      <c r="Y208" s="186"/>
      <c r="Z208" s="186"/>
      <c r="AA208" s="186"/>
      <c r="AB208" s="186"/>
      <c r="AC208" s="186"/>
      <c r="AD208" s="186"/>
      <c r="AE208" s="186"/>
    </row>
    <row r="209" spans="1:31" ht="18.75" customHeight="1">
      <c r="A209" s="213"/>
      <c r="B209" s="213"/>
      <c r="C209" s="210"/>
      <c r="D209" s="210"/>
      <c r="E209" s="186" t="s">
        <v>59</v>
      </c>
      <c r="F209" s="186" t="s">
        <v>4269</v>
      </c>
      <c r="G209" s="186" t="s">
        <v>329</v>
      </c>
      <c r="H209" s="186" t="s">
        <v>243</v>
      </c>
      <c r="I209" s="186"/>
      <c r="J209" s="186">
        <v>162</v>
      </c>
      <c r="K209" s="186"/>
      <c r="L209" s="186"/>
      <c r="M209" s="90"/>
      <c r="N209" s="90"/>
      <c r="O209" s="90"/>
      <c r="P209" s="186"/>
      <c r="Q209" s="186"/>
      <c r="R209" s="122"/>
      <c r="S209" s="186" t="s">
        <v>4270</v>
      </c>
      <c r="T209" s="186"/>
      <c r="U209" s="186"/>
      <c r="V209" s="186"/>
      <c r="W209" s="186"/>
      <c r="X209" s="186"/>
      <c r="Y209" s="186"/>
      <c r="Z209" s="186"/>
      <c r="AA209" s="186"/>
      <c r="AB209" s="186"/>
      <c r="AC209" s="186"/>
      <c r="AD209" s="186"/>
      <c r="AE209" s="186"/>
    </row>
    <row r="210" spans="1:31" ht="18.75" customHeight="1">
      <c r="A210" s="213"/>
      <c r="B210" s="213"/>
      <c r="C210" s="210"/>
      <c r="D210" s="210"/>
      <c r="E210" s="186" t="s">
        <v>59</v>
      </c>
      <c r="F210" s="186" t="s">
        <v>2101</v>
      </c>
      <c r="G210" s="186" t="s">
        <v>346</v>
      </c>
      <c r="H210" s="186" t="s">
        <v>243</v>
      </c>
      <c r="I210" s="186"/>
      <c r="J210" s="186">
        <v>163</v>
      </c>
      <c r="K210" s="186"/>
      <c r="L210" s="186"/>
      <c r="M210" s="90"/>
      <c r="N210" s="90"/>
      <c r="O210" s="90"/>
      <c r="P210" s="186"/>
      <c r="Q210" s="186"/>
      <c r="R210" s="122"/>
      <c r="S210" s="186" t="s">
        <v>4271</v>
      </c>
      <c r="T210" s="186"/>
      <c r="U210" s="186"/>
      <c r="V210" s="186"/>
      <c r="W210" s="186"/>
      <c r="X210" s="186"/>
      <c r="Y210" s="186"/>
      <c r="Z210" s="186"/>
      <c r="AA210" s="186"/>
      <c r="AB210" s="186"/>
      <c r="AC210" s="186"/>
      <c r="AD210" s="186"/>
      <c r="AE210" s="186"/>
    </row>
    <row r="211" spans="1:31" ht="18.75" customHeight="1">
      <c r="A211" s="213"/>
      <c r="B211" s="213"/>
      <c r="C211" s="210"/>
      <c r="D211" s="210"/>
      <c r="E211" s="186" t="s">
        <v>59</v>
      </c>
      <c r="F211" s="186" t="s">
        <v>2103</v>
      </c>
      <c r="G211" s="186" t="s">
        <v>242</v>
      </c>
      <c r="H211" s="186" t="s">
        <v>243</v>
      </c>
      <c r="I211" s="186"/>
      <c r="J211" s="186">
        <v>164</v>
      </c>
      <c r="K211" s="186"/>
      <c r="L211" s="186"/>
      <c r="M211" s="90"/>
      <c r="N211" s="90"/>
      <c r="O211" s="90"/>
      <c r="P211" s="186"/>
      <c r="Q211" s="186"/>
      <c r="R211" s="122"/>
      <c r="S211" s="186" t="s">
        <v>4271</v>
      </c>
      <c r="T211" s="186"/>
      <c r="U211" s="186"/>
      <c r="V211" s="186"/>
      <c r="W211" s="186"/>
      <c r="X211" s="186"/>
      <c r="Y211" s="186"/>
      <c r="Z211" s="186"/>
      <c r="AA211" s="186"/>
      <c r="AB211" s="186"/>
      <c r="AC211" s="186"/>
      <c r="AD211" s="186"/>
      <c r="AE211" s="186"/>
    </row>
    <row r="212" spans="1:31" ht="18.75" customHeight="1">
      <c r="A212" s="213"/>
      <c r="B212" s="213"/>
      <c r="C212" s="210"/>
      <c r="D212" s="210"/>
      <c r="E212" s="186" t="s">
        <v>55</v>
      </c>
      <c r="F212" s="186" t="s">
        <v>4272</v>
      </c>
      <c r="G212" s="186" t="s">
        <v>329</v>
      </c>
      <c r="H212" s="186" t="s">
        <v>243</v>
      </c>
      <c r="I212" s="186"/>
      <c r="J212" s="186">
        <v>307</v>
      </c>
      <c r="K212" s="186"/>
      <c r="L212" s="186"/>
      <c r="M212" s="90"/>
      <c r="N212" s="90"/>
      <c r="O212" s="90"/>
      <c r="P212" s="186"/>
      <c r="Q212" s="186"/>
      <c r="R212" s="122"/>
      <c r="S212" s="186" t="s">
        <v>4255</v>
      </c>
      <c r="T212" s="186"/>
      <c r="U212" s="186"/>
      <c r="V212" s="186"/>
      <c r="W212" s="186"/>
      <c r="X212" s="186"/>
      <c r="Y212" s="186"/>
      <c r="Z212" s="186"/>
      <c r="AA212" s="186"/>
      <c r="AB212" s="186"/>
      <c r="AC212" s="186"/>
      <c r="AD212" s="186"/>
      <c r="AE212" s="186"/>
    </row>
    <row r="213" spans="1:31" ht="18.75" customHeight="1">
      <c r="A213" s="213"/>
      <c r="B213" s="213"/>
      <c r="C213" s="210"/>
      <c r="D213" s="210"/>
      <c r="E213" s="186" t="s">
        <v>59</v>
      </c>
      <c r="F213" s="186" t="s">
        <v>476</v>
      </c>
      <c r="G213" s="186" t="s">
        <v>242</v>
      </c>
      <c r="H213" s="186" t="s">
        <v>243</v>
      </c>
      <c r="I213" s="186"/>
      <c r="J213" s="186">
        <v>165</v>
      </c>
      <c r="K213" s="186"/>
      <c r="L213" s="186"/>
      <c r="M213" s="90"/>
      <c r="N213" s="90"/>
      <c r="O213" s="90"/>
      <c r="P213" s="186"/>
      <c r="Q213" s="186"/>
      <c r="R213" s="122"/>
      <c r="S213" s="186" t="s">
        <v>4271</v>
      </c>
      <c r="T213" s="186"/>
      <c r="U213" s="186"/>
      <c r="V213" s="186"/>
      <c r="W213" s="186"/>
      <c r="X213" s="186"/>
      <c r="Y213" s="186"/>
      <c r="Z213" s="186"/>
      <c r="AA213" s="186"/>
      <c r="AB213" s="186"/>
      <c r="AC213" s="186"/>
      <c r="AD213" s="186"/>
      <c r="AE213" s="186"/>
    </row>
    <row r="214" spans="1:31" ht="18.75" customHeight="1">
      <c r="A214" s="213"/>
      <c r="B214" s="213"/>
      <c r="C214" s="210"/>
      <c r="D214" s="210"/>
      <c r="E214" s="186" t="s">
        <v>55</v>
      </c>
      <c r="F214" s="186" t="s">
        <v>870</v>
      </c>
      <c r="G214" s="186" t="s">
        <v>255</v>
      </c>
      <c r="H214" s="186" t="s">
        <v>243</v>
      </c>
      <c r="I214" s="186"/>
      <c r="J214" s="186">
        <v>166</v>
      </c>
      <c r="K214" s="186"/>
      <c r="L214" s="186"/>
      <c r="M214" s="90"/>
      <c r="N214" s="90"/>
      <c r="O214" s="90"/>
      <c r="P214" s="186"/>
      <c r="Q214" s="186"/>
      <c r="R214" s="122"/>
      <c r="S214" s="186" t="s">
        <v>4255</v>
      </c>
      <c r="T214" s="186"/>
      <c r="U214" s="186"/>
      <c r="V214" s="186"/>
      <c r="W214" s="186"/>
      <c r="X214" s="186"/>
      <c r="Y214" s="186"/>
      <c r="Z214" s="186"/>
      <c r="AA214" s="186"/>
      <c r="AB214" s="186"/>
      <c r="AC214" s="186"/>
      <c r="AD214" s="186"/>
      <c r="AE214" s="186"/>
    </row>
    <row r="215" spans="1:31" ht="18.75" customHeight="1">
      <c r="A215" s="213"/>
      <c r="B215" s="213"/>
      <c r="C215" s="210"/>
      <c r="D215" s="210" t="s">
        <v>1612</v>
      </c>
      <c r="E215" s="186" t="s">
        <v>61</v>
      </c>
      <c r="F215" s="186" t="s">
        <v>126</v>
      </c>
      <c r="G215" s="186" t="s">
        <v>242</v>
      </c>
      <c r="H215" s="186" t="s">
        <v>243</v>
      </c>
      <c r="I215" s="186"/>
      <c r="J215" s="186">
        <v>37</v>
      </c>
      <c r="K215" s="186"/>
      <c r="L215" s="186"/>
      <c r="M215" s="90"/>
      <c r="N215" s="90"/>
      <c r="O215" s="90"/>
      <c r="P215" s="186"/>
      <c r="Q215" s="152"/>
      <c r="R215" s="122"/>
      <c r="S215" s="186" t="s">
        <v>1584</v>
      </c>
      <c r="T215" s="186"/>
      <c r="U215" s="186"/>
    </row>
    <row r="216" spans="1:31" ht="18.75" customHeight="1">
      <c r="A216" s="213"/>
      <c r="B216" s="213"/>
      <c r="C216" s="210"/>
      <c r="D216" s="210"/>
      <c r="E216" s="186" t="s">
        <v>55</v>
      </c>
      <c r="F216" s="186" t="s">
        <v>4273</v>
      </c>
      <c r="G216" s="186" t="s">
        <v>346</v>
      </c>
      <c r="H216" s="186" t="s">
        <v>243</v>
      </c>
      <c r="I216" s="186"/>
      <c r="J216" s="186">
        <v>167</v>
      </c>
      <c r="K216" s="186"/>
      <c r="L216" s="186"/>
      <c r="M216" s="90"/>
      <c r="N216" s="90"/>
      <c r="O216" s="90"/>
      <c r="P216" s="186"/>
      <c r="Q216" s="186"/>
      <c r="R216" s="122"/>
      <c r="S216" s="186" t="s">
        <v>4271</v>
      </c>
      <c r="T216" s="186"/>
      <c r="U216" s="186"/>
      <c r="V216" s="186"/>
      <c r="W216" s="186"/>
      <c r="X216" s="186"/>
      <c r="Y216" s="186"/>
      <c r="Z216" s="186"/>
      <c r="AA216" s="186"/>
      <c r="AB216" s="186"/>
      <c r="AC216" s="186"/>
      <c r="AD216" s="186"/>
      <c r="AE216" s="186"/>
    </row>
    <row r="217" spans="1:31" ht="18.75" customHeight="1">
      <c r="A217" s="213"/>
      <c r="B217" s="213"/>
      <c r="C217" s="210"/>
      <c r="D217" s="210"/>
      <c r="E217" s="186" t="s">
        <v>53</v>
      </c>
      <c r="F217" s="186" t="s">
        <v>124</v>
      </c>
      <c r="G217" s="186" t="s">
        <v>535</v>
      </c>
      <c r="H217" s="186" t="s">
        <v>903</v>
      </c>
      <c r="I217" s="186"/>
      <c r="J217" s="186">
        <v>1</v>
      </c>
      <c r="K217" s="186"/>
      <c r="L217" s="186"/>
      <c r="M217" s="90"/>
      <c r="N217" s="90"/>
      <c r="O217" s="90"/>
      <c r="P217" s="186"/>
      <c r="Q217" s="186"/>
      <c r="R217" s="122"/>
      <c r="S217" s="186" t="s">
        <v>1190</v>
      </c>
      <c r="T217" s="186"/>
      <c r="U217" s="186"/>
      <c r="V217" s="186"/>
      <c r="W217" s="186"/>
      <c r="X217" s="186"/>
      <c r="Y217" s="186"/>
      <c r="Z217" s="186"/>
      <c r="AA217" s="186"/>
      <c r="AB217" s="186"/>
      <c r="AC217" s="186"/>
      <c r="AD217" s="186"/>
      <c r="AE217" s="186"/>
    </row>
    <row r="218" spans="1:31" ht="18.75" customHeight="1">
      <c r="A218" s="213"/>
      <c r="B218" s="213"/>
      <c r="C218" s="210"/>
      <c r="D218" s="210"/>
      <c r="E218" s="186" t="s">
        <v>55</v>
      </c>
      <c r="F218" s="186" t="s">
        <v>4274</v>
      </c>
      <c r="G218" s="186" t="s">
        <v>346</v>
      </c>
      <c r="H218" s="186" t="s">
        <v>243</v>
      </c>
      <c r="I218" s="186"/>
      <c r="J218" s="186">
        <v>168</v>
      </c>
      <c r="K218" s="186"/>
      <c r="L218" s="186"/>
      <c r="M218" s="90"/>
      <c r="N218" s="90"/>
      <c r="O218" s="90"/>
      <c r="P218" s="186"/>
      <c r="Q218" s="186"/>
      <c r="R218" s="122"/>
      <c r="S218" s="186" t="s">
        <v>4271</v>
      </c>
      <c r="T218" s="186"/>
      <c r="U218" s="186"/>
      <c r="V218" s="186"/>
      <c r="W218" s="186"/>
      <c r="X218" s="186"/>
      <c r="Y218" s="186"/>
      <c r="Z218" s="186"/>
      <c r="AA218" s="186"/>
      <c r="AB218" s="186"/>
      <c r="AC218" s="186"/>
      <c r="AD218" s="186"/>
      <c r="AE218" s="186"/>
    </row>
    <row r="219" spans="1:31" ht="18.75" customHeight="1">
      <c r="A219" s="213"/>
      <c r="B219" s="213"/>
      <c r="C219" s="210"/>
      <c r="D219" s="210"/>
      <c r="E219" s="186" t="s">
        <v>59</v>
      </c>
      <c r="F219" s="186" t="s">
        <v>411</v>
      </c>
      <c r="G219" s="186" t="s">
        <v>329</v>
      </c>
      <c r="H219" s="186" t="s">
        <v>243</v>
      </c>
      <c r="I219" s="186"/>
      <c r="J219" s="186">
        <v>170</v>
      </c>
      <c r="K219" s="186"/>
      <c r="L219" s="186"/>
      <c r="M219" s="90"/>
      <c r="N219" s="90"/>
      <c r="O219" s="90"/>
      <c r="P219" s="186"/>
      <c r="Q219" s="186"/>
      <c r="R219" s="122"/>
      <c r="S219" s="186" t="s">
        <v>4275</v>
      </c>
      <c r="T219" s="186"/>
      <c r="U219" s="186"/>
      <c r="V219" s="186"/>
      <c r="W219" s="186"/>
      <c r="X219" s="186"/>
      <c r="Y219" s="186"/>
      <c r="Z219" s="186"/>
      <c r="AA219" s="186"/>
      <c r="AB219" s="186"/>
      <c r="AC219" s="186"/>
      <c r="AD219" s="186"/>
      <c r="AE219" s="186"/>
    </row>
    <row r="220" spans="1:31" ht="18.75" customHeight="1">
      <c r="A220" s="213"/>
      <c r="B220" s="213"/>
      <c r="C220" s="210"/>
      <c r="D220" s="210"/>
      <c r="E220" s="186" t="s">
        <v>55</v>
      </c>
      <c r="F220" s="186" t="s">
        <v>4276</v>
      </c>
      <c r="G220" s="186" t="s">
        <v>329</v>
      </c>
      <c r="H220" s="186" t="s">
        <v>243</v>
      </c>
      <c r="I220" s="186"/>
      <c r="J220" s="186">
        <v>294</v>
      </c>
      <c r="K220" s="186"/>
      <c r="L220" s="186"/>
      <c r="M220" s="90"/>
      <c r="N220" s="90"/>
      <c r="O220" s="90"/>
      <c r="P220" s="186"/>
      <c r="Q220" s="186"/>
      <c r="R220" s="122"/>
      <c r="S220" s="186"/>
      <c r="T220" s="186"/>
      <c r="U220" s="186"/>
      <c r="V220" s="186"/>
      <c r="W220" s="186"/>
      <c r="X220" s="186"/>
      <c r="Y220" s="186"/>
      <c r="Z220" s="186"/>
      <c r="AA220" s="186"/>
      <c r="AB220" s="186"/>
      <c r="AC220" s="186"/>
      <c r="AD220" s="186"/>
      <c r="AE220" s="186"/>
    </row>
    <row r="221" spans="1:31" ht="18.75" customHeight="1">
      <c r="A221" s="213"/>
      <c r="B221" s="213"/>
      <c r="C221" s="210"/>
      <c r="D221" s="210"/>
      <c r="E221" s="186" t="s">
        <v>55</v>
      </c>
      <c r="F221" s="186" t="s">
        <v>398</v>
      </c>
      <c r="G221" s="186" t="s">
        <v>329</v>
      </c>
      <c r="H221" s="186" t="s">
        <v>243</v>
      </c>
      <c r="I221" s="186"/>
      <c r="J221" s="186">
        <v>171</v>
      </c>
      <c r="K221" s="186"/>
      <c r="L221" s="186"/>
      <c r="M221" s="90"/>
      <c r="N221" s="90"/>
      <c r="O221" s="90"/>
      <c r="P221" s="186"/>
      <c r="Q221" s="186"/>
      <c r="R221" s="122"/>
      <c r="S221" s="186" t="s">
        <v>4255</v>
      </c>
      <c r="T221" s="186"/>
      <c r="U221" s="186"/>
      <c r="V221" s="186"/>
      <c r="W221" s="186"/>
      <c r="X221" s="186"/>
      <c r="Y221" s="186"/>
      <c r="Z221" s="186"/>
      <c r="AA221" s="186"/>
      <c r="AB221" s="186"/>
      <c r="AC221" s="186"/>
      <c r="AD221" s="186"/>
      <c r="AE221" s="186"/>
    </row>
    <row r="222" spans="1:31" ht="18.75" customHeight="1">
      <c r="A222" s="213"/>
      <c r="B222" s="213"/>
      <c r="C222" s="210"/>
      <c r="D222" s="210"/>
      <c r="E222" s="186" t="s">
        <v>55</v>
      </c>
      <c r="F222" s="186" t="s">
        <v>4277</v>
      </c>
      <c r="G222" s="186" t="s">
        <v>329</v>
      </c>
      <c r="H222" s="186" t="s">
        <v>243</v>
      </c>
      <c r="I222" s="186"/>
      <c r="J222" s="186">
        <v>293</v>
      </c>
      <c r="K222" s="186"/>
      <c r="L222" s="186"/>
      <c r="M222" s="90"/>
      <c r="N222" s="90"/>
      <c r="O222" s="90"/>
      <c r="P222" s="186"/>
      <c r="Q222" s="186"/>
      <c r="R222" s="122"/>
      <c r="S222" s="186"/>
      <c r="T222" s="186"/>
      <c r="U222" s="186"/>
      <c r="V222" s="186"/>
      <c r="W222" s="186"/>
      <c r="X222" s="186"/>
      <c r="Y222" s="186"/>
      <c r="Z222" s="186"/>
      <c r="AA222" s="186"/>
      <c r="AB222" s="186"/>
      <c r="AC222" s="186"/>
      <c r="AD222" s="186"/>
      <c r="AE222" s="186"/>
    </row>
    <row r="223" spans="1:31" ht="18.75" customHeight="1">
      <c r="A223" s="213"/>
      <c r="B223" s="213"/>
      <c r="C223" s="210"/>
      <c r="D223" s="210"/>
      <c r="E223" s="186" t="s">
        <v>55</v>
      </c>
      <c r="F223" s="186" t="s">
        <v>4278</v>
      </c>
      <c r="G223" s="186" t="s">
        <v>329</v>
      </c>
      <c r="H223" s="186" t="s">
        <v>243</v>
      </c>
      <c r="I223" s="186"/>
      <c r="J223" s="186">
        <v>295</v>
      </c>
      <c r="K223" s="186"/>
      <c r="L223" s="186"/>
      <c r="M223" s="90"/>
      <c r="N223" s="90"/>
      <c r="O223" s="90"/>
      <c r="P223" s="186"/>
      <c r="Q223" s="186"/>
      <c r="R223" s="122"/>
      <c r="S223" s="186"/>
      <c r="T223" s="186"/>
      <c r="U223" s="186"/>
      <c r="V223" s="186"/>
      <c r="W223" s="186"/>
      <c r="X223" s="186"/>
      <c r="Y223" s="186"/>
      <c r="Z223" s="186"/>
      <c r="AA223" s="186"/>
      <c r="AB223" s="186"/>
      <c r="AC223" s="186"/>
      <c r="AD223" s="186"/>
      <c r="AE223" s="186"/>
    </row>
    <row r="224" spans="1:31" ht="18.75" customHeight="1">
      <c r="A224" s="213"/>
      <c r="B224" s="213"/>
      <c r="C224" s="210"/>
      <c r="D224" s="210"/>
      <c r="E224" s="186" t="s">
        <v>55</v>
      </c>
      <c r="F224" s="186" t="s">
        <v>4279</v>
      </c>
      <c r="G224" s="186" t="s">
        <v>329</v>
      </c>
      <c r="H224" s="186" t="s">
        <v>243</v>
      </c>
      <c r="I224" s="186"/>
      <c r="J224" s="186">
        <v>327</v>
      </c>
      <c r="K224" s="186"/>
      <c r="L224" s="186"/>
      <c r="M224" s="90"/>
      <c r="N224" s="90"/>
      <c r="O224" s="90"/>
      <c r="P224" s="186"/>
      <c r="Q224" s="186"/>
      <c r="R224" s="122"/>
      <c r="S224" s="186"/>
      <c r="T224" s="186"/>
      <c r="U224" s="186"/>
      <c r="V224" s="186"/>
      <c r="W224" s="186"/>
      <c r="X224" s="186"/>
      <c r="Y224" s="186"/>
      <c r="Z224" s="186"/>
      <c r="AA224" s="186"/>
      <c r="AB224" s="186"/>
      <c r="AC224" s="186"/>
      <c r="AD224" s="186"/>
      <c r="AE224" s="186"/>
    </row>
    <row r="225" spans="1:31" ht="18.75" customHeight="1">
      <c r="A225" s="213"/>
      <c r="B225" s="213"/>
      <c r="C225" s="210"/>
      <c r="D225" s="210"/>
      <c r="E225" s="186" t="s">
        <v>55</v>
      </c>
      <c r="F225" s="186" t="s">
        <v>4280</v>
      </c>
      <c r="G225" s="186" t="s">
        <v>329</v>
      </c>
      <c r="H225" s="186" t="s">
        <v>243</v>
      </c>
      <c r="I225" s="186"/>
      <c r="J225" s="186">
        <v>296</v>
      </c>
      <c r="K225" s="186"/>
      <c r="L225" s="186"/>
      <c r="M225" s="90"/>
      <c r="N225" s="90"/>
      <c r="O225" s="90"/>
      <c r="P225" s="186"/>
      <c r="Q225" s="186"/>
      <c r="R225" s="122"/>
      <c r="S225" s="186"/>
      <c r="T225" s="186"/>
      <c r="U225" s="186"/>
      <c r="V225" s="186"/>
      <c r="W225" s="186"/>
      <c r="X225" s="186"/>
      <c r="Y225" s="186"/>
      <c r="Z225" s="186"/>
      <c r="AA225" s="186"/>
      <c r="AB225" s="186"/>
      <c r="AC225" s="186"/>
      <c r="AD225" s="186"/>
      <c r="AE225" s="186"/>
    </row>
    <row r="226" spans="1:31" ht="18.75" customHeight="1">
      <c r="A226" s="213"/>
      <c r="B226" s="213"/>
      <c r="C226" s="210"/>
      <c r="D226" s="210"/>
      <c r="E226" s="186" t="s">
        <v>55</v>
      </c>
      <c r="F226" s="186" t="s">
        <v>4281</v>
      </c>
      <c r="G226" s="186" t="s">
        <v>329</v>
      </c>
      <c r="H226" s="186" t="s">
        <v>243</v>
      </c>
      <c r="I226" s="186"/>
      <c r="J226" s="186">
        <v>305</v>
      </c>
      <c r="K226" s="186"/>
      <c r="L226" s="186"/>
      <c r="M226" s="90"/>
      <c r="N226" s="90"/>
      <c r="O226" s="90"/>
      <c r="P226" s="186"/>
      <c r="Q226" s="186"/>
      <c r="R226" s="122"/>
      <c r="S226" s="186"/>
      <c r="T226" s="186"/>
      <c r="U226" s="186"/>
      <c r="V226" s="186"/>
      <c r="W226" s="186"/>
      <c r="X226" s="186"/>
      <c r="Y226" s="186"/>
      <c r="Z226" s="186"/>
      <c r="AA226" s="186"/>
      <c r="AB226" s="186"/>
      <c r="AC226" s="186"/>
      <c r="AD226" s="186"/>
      <c r="AE226" s="186"/>
    </row>
    <row r="227" spans="1:31" ht="18.75" customHeight="1">
      <c r="A227" s="213"/>
      <c r="B227" s="213"/>
      <c r="C227" s="210"/>
      <c r="D227" s="210"/>
      <c r="E227" s="186" t="s">
        <v>61</v>
      </c>
      <c r="F227" s="186" t="s">
        <v>129</v>
      </c>
      <c r="G227" s="186" t="s">
        <v>250</v>
      </c>
      <c r="H227" s="186" t="s">
        <v>243</v>
      </c>
      <c r="I227" s="186"/>
      <c r="J227" s="186">
        <v>172</v>
      </c>
      <c r="K227" s="186"/>
      <c r="L227" s="186"/>
      <c r="M227" s="90"/>
      <c r="N227" s="90"/>
      <c r="O227" s="90"/>
      <c r="P227" s="186"/>
      <c r="Q227" s="186"/>
      <c r="R227" s="122"/>
      <c r="S227" s="186" t="s">
        <v>4282</v>
      </c>
      <c r="T227" s="186"/>
      <c r="U227" s="186"/>
      <c r="V227" s="186"/>
      <c r="W227" s="186"/>
      <c r="X227" s="186"/>
      <c r="Y227" s="186"/>
      <c r="Z227" s="186"/>
      <c r="AA227" s="186"/>
      <c r="AB227" s="186"/>
      <c r="AC227" s="186"/>
      <c r="AD227" s="186"/>
      <c r="AE227" s="186"/>
    </row>
    <row r="228" spans="1:31" ht="18.75" customHeight="1">
      <c r="A228" s="213"/>
      <c r="B228" s="213"/>
      <c r="C228" s="210"/>
      <c r="D228" s="210"/>
      <c r="E228" s="186" t="s">
        <v>55</v>
      </c>
      <c r="F228" s="186" t="s">
        <v>4283</v>
      </c>
      <c r="G228" s="186" t="s">
        <v>329</v>
      </c>
      <c r="H228" s="186" t="s">
        <v>243</v>
      </c>
      <c r="I228" s="186"/>
      <c r="J228" s="186">
        <v>173</v>
      </c>
      <c r="K228" s="186"/>
      <c r="L228" s="186"/>
      <c r="M228" s="90"/>
      <c r="N228" s="90"/>
      <c r="O228" s="90"/>
      <c r="P228" s="186"/>
      <c r="Q228" s="186"/>
      <c r="R228" s="122"/>
      <c r="S228" s="186" t="s">
        <v>4284</v>
      </c>
      <c r="T228" s="186"/>
      <c r="U228" s="186"/>
      <c r="V228" s="186"/>
      <c r="W228" s="186"/>
      <c r="X228" s="186"/>
      <c r="Y228" s="186"/>
      <c r="Z228" s="186"/>
      <c r="AA228" s="186"/>
      <c r="AB228" s="186"/>
      <c r="AC228" s="186"/>
      <c r="AD228" s="186"/>
      <c r="AE228" s="186"/>
    </row>
    <row r="229" spans="1:31" ht="18.75" customHeight="1">
      <c r="A229" s="213"/>
      <c r="B229" s="213"/>
      <c r="C229" s="210"/>
      <c r="D229" s="210"/>
      <c r="E229" s="186" t="s">
        <v>55</v>
      </c>
      <c r="F229" s="186" t="s">
        <v>4285</v>
      </c>
      <c r="G229" s="186" t="s">
        <v>329</v>
      </c>
      <c r="H229" s="186" t="s">
        <v>243</v>
      </c>
      <c r="I229" s="186"/>
      <c r="J229" s="186">
        <v>174</v>
      </c>
      <c r="K229" s="186"/>
      <c r="L229" s="186"/>
      <c r="M229" s="90"/>
      <c r="N229" s="90"/>
      <c r="O229" s="90"/>
      <c r="P229" s="186"/>
      <c r="Q229" s="186"/>
      <c r="R229" s="122"/>
      <c r="S229" s="186" t="s">
        <v>4286</v>
      </c>
      <c r="T229" s="186"/>
      <c r="U229" s="186"/>
      <c r="V229" s="186"/>
      <c r="W229" s="186"/>
      <c r="X229" s="186"/>
      <c r="Y229" s="186"/>
      <c r="Z229" s="186"/>
      <c r="AA229" s="186"/>
      <c r="AB229" s="186"/>
      <c r="AC229" s="186"/>
      <c r="AD229" s="186"/>
      <c r="AE229" s="186"/>
    </row>
    <row r="230" spans="1:31" ht="18.75" customHeight="1">
      <c r="A230" s="213"/>
      <c r="B230" s="213"/>
      <c r="C230" s="210"/>
      <c r="D230" s="210"/>
      <c r="E230" s="186" t="s">
        <v>55</v>
      </c>
      <c r="F230" s="186" t="s">
        <v>4287</v>
      </c>
      <c r="G230" s="186" t="s">
        <v>329</v>
      </c>
      <c r="H230" s="186" t="s">
        <v>243</v>
      </c>
      <c r="I230" s="186"/>
      <c r="J230" s="186">
        <v>175</v>
      </c>
      <c r="K230" s="186"/>
      <c r="L230" s="186"/>
      <c r="M230" s="90"/>
      <c r="N230" s="90"/>
      <c r="O230" s="90"/>
      <c r="P230" s="186"/>
      <c r="Q230" s="186"/>
      <c r="R230" s="122"/>
      <c r="S230" s="186" t="s">
        <v>4288</v>
      </c>
      <c r="T230" s="186"/>
      <c r="U230" s="186"/>
      <c r="V230" s="186"/>
      <c r="W230" s="186"/>
      <c r="X230" s="186"/>
      <c r="Y230" s="186"/>
      <c r="Z230" s="186"/>
      <c r="AA230" s="186"/>
      <c r="AB230" s="186"/>
      <c r="AC230" s="186"/>
      <c r="AD230" s="186"/>
      <c r="AE230" s="186"/>
    </row>
    <row r="231" spans="1:31" ht="18.75" customHeight="1">
      <c r="A231" s="213"/>
      <c r="B231" s="213"/>
      <c r="C231" s="210"/>
      <c r="D231" s="210"/>
      <c r="E231" s="186" t="s">
        <v>55</v>
      </c>
      <c r="F231" s="186" t="s">
        <v>4289</v>
      </c>
      <c r="G231" s="186" t="s">
        <v>329</v>
      </c>
      <c r="H231" s="186" t="s">
        <v>243</v>
      </c>
      <c r="I231" s="186"/>
      <c r="J231" s="186">
        <v>176</v>
      </c>
      <c r="K231" s="186"/>
      <c r="L231" s="186"/>
      <c r="M231" s="90"/>
      <c r="N231" s="90"/>
      <c r="O231" s="90"/>
      <c r="P231" s="186"/>
      <c r="Q231" s="186"/>
      <c r="R231" s="122"/>
      <c r="S231" s="186" t="s">
        <v>4290</v>
      </c>
      <c r="T231" s="186"/>
      <c r="U231" s="186"/>
      <c r="V231" s="186"/>
      <c r="W231" s="186"/>
      <c r="X231" s="186"/>
      <c r="Y231" s="186"/>
      <c r="Z231" s="186"/>
      <c r="AA231" s="186"/>
      <c r="AB231" s="186"/>
      <c r="AC231" s="186"/>
      <c r="AD231" s="186"/>
      <c r="AE231" s="186"/>
    </row>
    <row r="232" spans="1:31" ht="18.75" customHeight="1">
      <c r="A232" s="213"/>
      <c r="B232" s="213"/>
      <c r="C232" s="210"/>
      <c r="D232" s="210"/>
      <c r="E232" s="186" t="s">
        <v>55</v>
      </c>
      <c r="F232" s="186" t="s">
        <v>4291</v>
      </c>
      <c r="G232" s="186" t="s">
        <v>329</v>
      </c>
      <c r="H232" s="186" t="s">
        <v>243</v>
      </c>
      <c r="I232" s="186"/>
      <c r="J232" s="186">
        <v>177</v>
      </c>
      <c r="K232" s="186"/>
      <c r="L232" s="186"/>
      <c r="M232" s="90"/>
      <c r="N232" s="90"/>
      <c r="O232" s="90"/>
      <c r="P232" s="186"/>
      <c r="Q232" s="186"/>
      <c r="R232" s="122"/>
      <c r="S232" s="186" t="s">
        <v>4292</v>
      </c>
      <c r="T232" s="186"/>
      <c r="U232" s="186"/>
      <c r="V232" s="186"/>
      <c r="W232" s="186"/>
      <c r="X232" s="186"/>
      <c r="Y232" s="186"/>
      <c r="Z232" s="186"/>
      <c r="AA232" s="186"/>
      <c r="AB232" s="186"/>
      <c r="AC232" s="186"/>
      <c r="AD232" s="186"/>
      <c r="AE232" s="186"/>
    </row>
    <row r="233" spans="1:31" ht="18.75" customHeight="1">
      <c r="A233" s="213"/>
      <c r="B233" s="213"/>
      <c r="C233" s="210"/>
      <c r="D233" s="210"/>
      <c r="E233" s="186" t="s">
        <v>55</v>
      </c>
      <c r="F233" s="186" t="s">
        <v>4293</v>
      </c>
      <c r="G233" s="186" t="s">
        <v>329</v>
      </c>
      <c r="H233" s="186" t="s">
        <v>243</v>
      </c>
      <c r="I233" s="186"/>
      <c r="J233" s="186">
        <v>178</v>
      </c>
      <c r="K233" s="186"/>
      <c r="L233" s="186"/>
      <c r="M233" s="90"/>
      <c r="N233" s="90"/>
      <c r="O233" s="90"/>
      <c r="P233" s="186"/>
      <c r="Q233" s="186"/>
      <c r="R233" s="122"/>
      <c r="S233" s="186" t="s">
        <v>4294</v>
      </c>
      <c r="T233" s="186"/>
      <c r="U233" s="186"/>
      <c r="V233" s="186"/>
      <c r="W233" s="186"/>
      <c r="X233" s="186"/>
      <c r="Y233" s="186"/>
      <c r="Z233" s="186"/>
      <c r="AA233" s="186"/>
      <c r="AB233" s="186"/>
      <c r="AC233" s="186"/>
      <c r="AD233" s="186"/>
      <c r="AE233" s="186"/>
    </row>
    <row r="234" spans="1:31" ht="18.75" customHeight="1">
      <c r="A234" s="213"/>
      <c r="B234" s="213"/>
      <c r="C234" s="210"/>
      <c r="D234" s="210"/>
      <c r="E234" s="186" t="s">
        <v>55</v>
      </c>
      <c r="F234" s="186" t="s">
        <v>4295</v>
      </c>
      <c r="G234" s="186" t="s">
        <v>329</v>
      </c>
      <c r="H234" s="186" t="s">
        <v>243</v>
      </c>
      <c r="I234" s="186"/>
      <c r="J234" s="186">
        <v>179</v>
      </c>
      <c r="K234" s="186"/>
      <c r="L234" s="186"/>
      <c r="M234" s="90"/>
      <c r="N234" s="90"/>
      <c r="O234" s="90"/>
      <c r="P234" s="186"/>
      <c r="Q234" s="186"/>
      <c r="R234" s="122"/>
      <c r="S234" s="186" t="s">
        <v>4296</v>
      </c>
      <c r="T234" s="186"/>
      <c r="U234" s="186"/>
      <c r="V234" s="186"/>
      <c r="W234" s="186"/>
      <c r="X234" s="186"/>
      <c r="Y234" s="186"/>
      <c r="Z234" s="186"/>
      <c r="AA234" s="186"/>
      <c r="AB234" s="186"/>
      <c r="AC234" s="186"/>
      <c r="AD234" s="186"/>
      <c r="AE234" s="186"/>
    </row>
    <row r="235" spans="1:31" ht="18.75" customHeight="1">
      <c r="A235" s="213"/>
      <c r="B235" s="213"/>
      <c r="C235" s="210"/>
      <c r="D235" s="210"/>
      <c r="E235" s="186" t="s">
        <v>55</v>
      </c>
      <c r="F235" s="186" t="s">
        <v>4297</v>
      </c>
      <c r="G235" s="186" t="s">
        <v>329</v>
      </c>
      <c r="H235" s="186" t="s">
        <v>243</v>
      </c>
      <c r="I235" s="186"/>
      <c r="J235" s="186">
        <v>329</v>
      </c>
      <c r="K235" s="186"/>
      <c r="L235" s="186"/>
      <c r="M235" s="90"/>
      <c r="N235" s="90"/>
      <c r="O235" s="90"/>
      <c r="P235" s="186"/>
      <c r="Q235" s="186"/>
      <c r="R235" s="122"/>
      <c r="S235" s="186"/>
      <c r="T235" s="186"/>
      <c r="U235" s="186"/>
      <c r="V235" s="186"/>
      <c r="W235" s="186"/>
      <c r="X235" s="186"/>
      <c r="Y235" s="186"/>
      <c r="Z235" s="186"/>
      <c r="AA235" s="186"/>
      <c r="AB235" s="186"/>
      <c r="AC235" s="186"/>
      <c r="AD235" s="186"/>
      <c r="AE235" s="186"/>
    </row>
    <row r="236" spans="1:31" ht="18.75" customHeight="1">
      <c r="A236" s="213"/>
      <c r="B236" s="213"/>
      <c r="C236" s="210"/>
      <c r="D236" s="210"/>
      <c r="E236" s="186" t="s">
        <v>55</v>
      </c>
      <c r="F236" s="186" t="s">
        <v>4298</v>
      </c>
      <c r="G236" s="186" t="s">
        <v>329</v>
      </c>
      <c r="H236" s="186" t="s">
        <v>243</v>
      </c>
      <c r="I236" s="186"/>
      <c r="J236" s="186">
        <v>180</v>
      </c>
      <c r="K236" s="186"/>
      <c r="L236" s="186"/>
      <c r="M236" s="90"/>
      <c r="N236" s="90"/>
      <c r="O236" s="90"/>
      <c r="P236" s="186"/>
      <c r="Q236" s="186"/>
      <c r="R236" s="122"/>
      <c r="S236" s="186" t="s">
        <v>4299</v>
      </c>
      <c r="T236" s="186"/>
      <c r="U236" s="186"/>
      <c r="V236" s="186"/>
      <c r="W236" s="186"/>
      <c r="X236" s="186"/>
      <c r="Y236" s="186"/>
      <c r="Z236" s="186"/>
      <c r="AA236" s="186"/>
      <c r="AB236" s="186"/>
      <c r="AC236" s="186"/>
      <c r="AD236" s="186"/>
      <c r="AE236" s="186"/>
    </row>
    <row r="237" spans="1:31" ht="18.75" customHeight="1">
      <c r="A237" s="213"/>
      <c r="B237" s="213"/>
      <c r="C237" s="210"/>
      <c r="D237" s="210"/>
      <c r="E237" s="186" t="s">
        <v>55</v>
      </c>
      <c r="F237" s="186" t="s">
        <v>4300</v>
      </c>
      <c r="G237" s="186" t="s">
        <v>329</v>
      </c>
      <c r="H237" s="186" t="s">
        <v>243</v>
      </c>
      <c r="I237" s="186"/>
      <c r="J237" s="186">
        <v>181</v>
      </c>
      <c r="K237" s="186"/>
      <c r="L237" s="186"/>
      <c r="M237" s="90"/>
      <c r="N237" s="90"/>
      <c r="O237" s="90"/>
      <c r="P237" s="186"/>
      <c r="Q237" s="186"/>
      <c r="R237" s="122"/>
      <c r="S237" s="186" t="s">
        <v>4301</v>
      </c>
      <c r="T237" s="186"/>
      <c r="U237" s="186"/>
      <c r="V237" s="186"/>
      <c r="W237" s="186"/>
      <c r="X237" s="186"/>
      <c r="Y237" s="186"/>
      <c r="Z237" s="186"/>
      <c r="AA237" s="186"/>
      <c r="AB237" s="186"/>
      <c r="AC237" s="186"/>
      <c r="AD237" s="186"/>
      <c r="AE237" s="186"/>
    </row>
    <row r="238" spans="1:31" ht="18.75" customHeight="1">
      <c r="A238" s="213"/>
      <c r="B238" s="213"/>
      <c r="C238" s="210"/>
      <c r="D238" s="210"/>
      <c r="E238" s="186" t="s">
        <v>55</v>
      </c>
      <c r="F238" s="186" t="s">
        <v>4302</v>
      </c>
      <c r="G238" s="186" t="s">
        <v>329</v>
      </c>
      <c r="H238" s="186" t="s">
        <v>243</v>
      </c>
      <c r="I238" s="186"/>
      <c r="J238" s="186">
        <v>182</v>
      </c>
      <c r="K238" s="186"/>
      <c r="L238" s="186"/>
      <c r="M238" s="90"/>
      <c r="N238" s="90"/>
      <c r="O238" s="90"/>
      <c r="P238" s="186"/>
      <c r="Q238" s="186"/>
      <c r="R238" s="122"/>
      <c r="S238" s="186" t="s">
        <v>4303</v>
      </c>
      <c r="T238" s="186"/>
      <c r="U238" s="186"/>
      <c r="V238" s="186"/>
      <c r="W238" s="186"/>
      <c r="X238" s="186"/>
      <c r="Y238" s="186"/>
      <c r="Z238" s="186"/>
      <c r="AA238" s="186"/>
      <c r="AB238" s="186"/>
      <c r="AC238" s="186"/>
      <c r="AD238" s="186"/>
      <c r="AE238" s="186"/>
    </row>
    <row r="239" spans="1:31" ht="18.75" customHeight="1">
      <c r="A239" s="213"/>
      <c r="B239" s="213"/>
      <c r="C239" s="210"/>
      <c r="D239" s="210"/>
      <c r="E239" s="186" t="s">
        <v>55</v>
      </c>
      <c r="F239" s="186" t="s">
        <v>4304</v>
      </c>
      <c r="G239" s="186" t="s">
        <v>329</v>
      </c>
      <c r="H239" s="186" t="s">
        <v>243</v>
      </c>
      <c r="I239" s="186"/>
      <c r="J239" s="186">
        <v>183</v>
      </c>
      <c r="K239" s="186"/>
      <c r="L239" s="186"/>
      <c r="M239" s="90"/>
      <c r="N239" s="90"/>
      <c r="O239" s="90"/>
      <c r="P239" s="186"/>
      <c r="Q239" s="186"/>
      <c r="R239" s="122"/>
      <c r="S239" s="186" t="s">
        <v>4305</v>
      </c>
      <c r="T239" s="186"/>
      <c r="U239" s="186"/>
      <c r="V239" s="186"/>
      <c r="W239" s="186"/>
      <c r="X239" s="186"/>
      <c r="Y239" s="186"/>
      <c r="Z239" s="186"/>
      <c r="AA239" s="186"/>
      <c r="AB239" s="186"/>
      <c r="AC239" s="186"/>
      <c r="AD239" s="186"/>
      <c r="AE239" s="186"/>
    </row>
    <row r="240" spans="1:31" ht="18.75" customHeight="1">
      <c r="A240" s="213"/>
      <c r="B240" s="213"/>
      <c r="C240" s="210"/>
      <c r="D240" s="210"/>
      <c r="E240" s="186" t="s">
        <v>55</v>
      </c>
      <c r="F240" s="186" t="s">
        <v>4306</v>
      </c>
      <c r="G240" s="186" t="s">
        <v>329</v>
      </c>
      <c r="H240" s="186" t="s">
        <v>243</v>
      </c>
      <c r="I240" s="186"/>
      <c r="J240" s="186">
        <v>328</v>
      </c>
      <c r="K240" s="186"/>
      <c r="L240" s="186"/>
      <c r="M240" s="90"/>
      <c r="N240" s="90"/>
      <c r="O240" s="90"/>
      <c r="P240" s="186"/>
      <c r="Q240" s="186"/>
      <c r="R240" s="122"/>
      <c r="S240" s="186"/>
      <c r="T240" s="186"/>
      <c r="U240" s="186"/>
      <c r="V240" s="186"/>
      <c r="W240" s="186"/>
      <c r="X240" s="186"/>
      <c r="Y240" s="186"/>
      <c r="Z240" s="186"/>
      <c r="AA240" s="186"/>
      <c r="AB240" s="186"/>
      <c r="AC240" s="186"/>
      <c r="AD240" s="186"/>
      <c r="AE240" s="186"/>
    </row>
    <row r="241" spans="1:31" ht="18.75" customHeight="1">
      <c r="A241" s="213"/>
      <c r="B241" s="213"/>
      <c r="C241" s="210"/>
      <c r="D241" s="210"/>
      <c r="E241" s="186" t="s">
        <v>55</v>
      </c>
      <c r="F241" s="186" t="s">
        <v>4307</v>
      </c>
      <c r="G241" s="186" t="s">
        <v>329</v>
      </c>
      <c r="H241" s="186" t="s">
        <v>243</v>
      </c>
      <c r="I241" s="186"/>
      <c r="J241" s="186">
        <v>184</v>
      </c>
      <c r="K241" s="186"/>
      <c r="L241" s="186"/>
      <c r="M241" s="90"/>
      <c r="N241" s="90"/>
      <c r="O241" s="90"/>
      <c r="P241" s="186"/>
      <c r="Q241" s="186"/>
      <c r="R241" s="122"/>
      <c r="S241" s="186" t="s">
        <v>4308</v>
      </c>
      <c r="T241" s="186"/>
      <c r="U241" s="186"/>
      <c r="V241" s="186"/>
      <c r="W241" s="186"/>
      <c r="X241" s="186"/>
      <c r="Y241" s="186"/>
      <c r="Z241" s="186"/>
      <c r="AA241" s="186"/>
      <c r="AB241" s="186"/>
      <c r="AC241" s="186"/>
      <c r="AD241" s="186"/>
      <c r="AE241" s="186"/>
    </row>
    <row r="242" spans="1:31" ht="18.75" customHeight="1">
      <c r="A242" s="213"/>
      <c r="B242" s="213"/>
      <c r="C242" s="210"/>
      <c r="D242" s="210"/>
      <c r="E242" s="186" t="s">
        <v>55</v>
      </c>
      <c r="F242" s="186" t="s">
        <v>4309</v>
      </c>
      <c r="G242" s="186" t="s">
        <v>329</v>
      </c>
      <c r="H242" s="186" t="s">
        <v>243</v>
      </c>
      <c r="I242" s="186"/>
      <c r="J242" s="186">
        <v>185</v>
      </c>
      <c r="K242" s="186"/>
      <c r="L242" s="186"/>
      <c r="M242" s="90"/>
      <c r="N242" s="90"/>
      <c r="O242" s="90"/>
      <c r="P242" s="186"/>
      <c r="Q242" s="186"/>
      <c r="R242" s="122"/>
      <c r="S242" s="186"/>
      <c r="T242" s="186"/>
      <c r="U242" s="186"/>
      <c r="V242" s="186"/>
      <c r="W242" s="186"/>
      <c r="X242" s="186"/>
      <c r="Y242" s="186"/>
      <c r="Z242" s="186"/>
      <c r="AA242" s="186"/>
      <c r="AB242" s="186"/>
      <c r="AC242" s="186"/>
      <c r="AD242" s="186"/>
      <c r="AE242" s="186"/>
    </row>
    <row r="243" spans="1:31" ht="18.75" customHeight="1">
      <c r="A243" s="213"/>
      <c r="B243" s="213"/>
      <c r="C243" s="210"/>
      <c r="D243" s="210"/>
      <c r="E243" s="186" t="s">
        <v>55</v>
      </c>
      <c r="F243" s="186" t="s">
        <v>4310</v>
      </c>
      <c r="G243" s="186" t="s">
        <v>329</v>
      </c>
      <c r="H243" s="186" t="s">
        <v>243</v>
      </c>
      <c r="I243" s="186"/>
      <c r="J243" s="186">
        <v>186</v>
      </c>
      <c r="K243" s="186"/>
      <c r="L243" s="186"/>
      <c r="M243" s="90"/>
      <c r="N243" s="90"/>
      <c r="O243" s="90"/>
      <c r="P243" s="186"/>
      <c r="Q243" s="186"/>
      <c r="R243" s="122"/>
      <c r="S243" s="186"/>
      <c r="T243" s="186"/>
      <c r="U243" s="186"/>
      <c r="V243" s="186"/>
      <c r="W243" s="186"/>
      <c r="X243" s="186"/>
      <c r="Y243" s="186"/>
      <c r="Z243" s="186"/>
      <c r="AA243" s="186"/>
      <c r="AB243" s="186"/>
      <c r="AC243" s="186"/>
      <c r="AD243" s="186"/>
      <c r="AE243" s="186"/>
    </row>
    <row r="244" spans="1:31" ht="18.75" customHeight="1">
      <c r="A244" s="213"/>
      <c r="B244" s="213"/>
      <c r="C244" s="210"/>
      <c r="D244" s="210"/>
      <c r="E244" s="186" t="s">
        <v>55</v>
      </c>
      <c r="F244" s="186" t="s">
        <v>4311</v>
      </c>
      <c r="G244" s="186" t="s">
        <v>329</v>
      </c>
      <c r="H244" s="186" t="s">
        <v>243</v>
      </c>
      <c r="I244" s="186"/>
      <c r="J244" s="186">
        <v>187</v>
      </c>
      <c r="K244" s="186"/>
      <c r="L244" s="186"/>
      <c r="M244" s="90"/>
      <c r="N244" s="90"/>
      <c r="O244" s="90"/>
      <c r="P244" s="186"/>
      <c r="Q244" s="186"/>
      <c r="R244" s="122"/>
      <c r="S244" s="186"/>
      <c r="T244" s="186"/>
      <c r="U244" s="186"/>
      <c r="V244" s="186"/>
      <c r="W244" s="186"/>
      <c r="X244" s="186"/>
      <c r="Y244" s="186"/>
      <c r="Z244" s="186"/>
      <c r="AA244" s="186"/>
      <c r="AB244" s="186"/>
      <c r="AC244" s="186"/>
      <c r="AD244" s="186"/>
      <c r="AE244" s="186"/>
    </row>
    <row r="245" spans="1:31" ht="18.75" customHeight="1">
      <c r="A245" s="213"/>
      <c r="B245" s="213"/>
      <c r="C245" s="210"/>
      <c r="D245" s="210"/>
      <c r="E245" s="186" t="s">
        <v>55</v>
      </c>
      <c r="F245" s="186" t="s">
        <v>4312</v>
      </c>
      <c r="G245" s="186" t="s">
        <v>329</v>
      </c>
      <c r="H245" s="186" t="s">
        <v>243</v>
      </c>
      <c r="I245" s="186"/>
      <c r="J245" s="186">
        <v>188</v>
      </c>
      <c r="K245" s="186"/>
      <c r="L245" s="186"/>
      <c r="M245" s="90"/>
      <c r="N245" s="90"/>
      <c r="O245" s="90"/>
      <c r="P245" s="186"/>
      <c r="Q245" s="186"/>
      <c r="R245" s="122"/>
      <c r="S245" s="186"/>
      <c r="T245" s="186"/>
      <c r="U245" s="186"/>
      <c r="V245" s="186"/>
      <c r="W245" s="186"/>
      <c r="X245" s="186"/>
      <c r="Y245" s="186"/>
      <c r="Z245" s="186"/>
      <c r="AA245" s="186"/>
      <c r="AB245" s="186"/>
      <c r="AC245" s="186"/>
      <c r="AD245" s="186"/>
      <c r="AE245" s="186"/>
    </row>
    <row r="246" spans="1:31" ht="18.75" customHeight="1">
      <c r="A246" s="213"/>
      <c r="B246" s="213"/>
      <c r="C246" s="210"/>
      <c r="D246" s="210"/>
      <c r="E246" s="186" t="s">
        <v>55</v>
      </c>
      <c r="F246" s="186" t="s">
        <v>4313</v>
      </c>
      <c r="G246" s="186" t="s">
        <v>329</v>
      </c>
      <c r="H246" s="186" t="s">
        <v>243</v>
      </c>
      <c r="I246" s="186"/>
      <c r="J246" s="186">
        <v>189</v>
      </c>
      <c r="K246" s="186"/>
      <c r="L246" s="186"/>
      <c r="M246" s="90"/>
      <c r="N246" s="90"/>
      <c r="O246" s="90"/>
      <c r="P246" s="186"/>
      <c r="Q246" s="186"/>
      <c r="R246" s="122"/>
      <c r="S246" s="186"/>
      <c r="T246" s="186"/>
      <c r="U246" s="186"/>
      <c r="V246" s="186"/>
      <c r="W246" s="186"/>
      <c r="X246" s="186"/>
      <c r="Y246" s="186"/>
      <c r="Z246" s="186"/>
      <c r="AA246" s="186"/>
      <c r="AB246" s="186"/>
      <c r="AC246" s="186"/>
      <c r="AD246" s="186"/>
      <c r="AE246" s="186"/>
    </row>
    <row r="247" spans="1:31" ht="18.75" customHeight="1">
      <c r="A247" s="213"/>
      <c r="B247" s="213"/>
      <c r="C247" s="210"/>
      <c r="D247" s="210"/>
      <c r="E247" s="186" t="s">
        <v>55</v>
      </c>
      <c r="F247" s="186" t="s">
        <v>4314</v>
      </c>
      <c r="G247" s="186" t="s">
        <v>329</v>
      </c>
      <c r="H247" s="186" t="s">
        <v>243</v>
      </c>
      <c r="I247" s="186"/>
      <c r="J247" s="186">
        <v>190</v>
      </c>
      <c r="K247" s="186"/>
      <c r="L247" s="186"/>
      <c r="M247" s="90"/>
      <c r="N247" s="90"/>
      <c r="O247" s="90"/>
      <c r="P247" s="186"/>
      <c r="Q247" s="186"/>
      <c r="R247" s="122"/>
      <c r="S247" s="186"/>
      <c r="T247" s="186"/>
      <c r="U247" s="186"/>
      <c r="V247" s="186"/>
      <c r="W247" s="186"/>
      <c r="X247" s="186"/>
      <c r="Y247" s="186"/>
      <c r="Z247" s="186"/>
      <c r="AA247" s="186"/>
      <c r="AB247" s="186"/>
      <c r="AC247" s="186"/>
      <c r="AD247" s="186"/>
      <c r="AE247" s="186"/>
    </row>
    <row r="248" spans="1:31" ht="18.75" customHeight="1">
      <c r="A248" s="213"/>
      <c r="B248" s="213"/>
      <c r="C248" s="210"/>
      <c r="D248" s="210"/>
      <c r="E248" s="186" t="s">
        <v>55</v>
      </c>
      <c r="F248" s="186" t="s">
        <v>4315</v>
      </c>
      <c r="G248" s="186" t="s">
        <v>329</v>
      </c>
      <c r="H248" s="186" t="s">
        <v>243</v>
      </c>
      <c r="I248" s="186"/>
      <c r="J248" s="186">
        <v>191</v>
      </c>
      <c r="K248" s="186"/>
      <c r="L248" s="186"/>
      <c r="M248" s="90"/>
      <c r="N248" s="90"/>
      <c r="O248" s="90"/>
      <c r="P248" s="186"/>
      <c r="Q248" s="186"/>
      <c r="R248" s="122"/>
      <c r="S248" s="186"/>
      <c r="T248" s="186"/>
      <c r="U248" s="186"/>
      <c r="V248" s="186"/>
      <c r="W248" s="186"/>
      <c r="X248" s="186"/>
      <c r="Y248" s="186"/>
      <c r="Z248" s="186"/>
      <c r="AA248" s="186"/>
      <c r="AB248" s="186"/>
      <c r="AC248" s="186"/>
      <c r="AD248" s="186"/>
      <c r="AE248" s="186"/>
    </row>
    <row r="249" spans="1:31" ht="18.75" customHeight="1">
      <c r="A249" s="213"/>
      <c r="B249" s="213"/>
      <c r="C249" s="210"/>
      <c r="D249" s="210"/>
      <c r="E249" s="186" t="s">
        <v>55</v>
      </c>
      <c r="F249" s="186" t="s">
        <v>4316</v>
      </c>
      <c r="G249" s="186" t="s">
        <v>329</v>
      </c>
      <c r="H249" s="186" t="s">
        <v>243</v>
      </c>
      <c r="I249" s="186"/>
      <c r="J249" s="186">
        <v>192</v>
      </c>
      <c r="K249" s="186"/>
      <c r="L249" s="186"/>
      <c r="M249" s="90"/>
      <c r="N249" s="90"/>
      <c r="O249" s="90"/>
      <c r="P249" s="186"/>
      <c r="Q249" s="186"/>
      <c r="R249" s="122"/>
      <c r="S249" s="186"/>
      <c r="T249" s="186"/>
      <c r="U249" s="186"/>
      <c r="V249" s="186"/>
      <c r="W249" s="186"/>
      <c r="X249" s="186"/>
      <c r="Y249" s="186"/>
      <c r="Z249" s="186"/>
      <c r="AA249" s="186"/>
      <c r="AB249" s="186"/>
      <c r="AC249" s="186"/>
      <c r="AD249" s="186"/>
      <c r="AE249" s="186"/>
    </row>
    <row r="250" spans="1:31" ht="18.75" customHeight="1">
      <c r="A250" s="213"/>
      <c r="B250" s="213"/>
      <c r="C250" s="210"/>
      <c r="D250" s="210"/>
      <c r="E250" s="186" t="s">
        <v>55</v>
      </c>
      <c r="F250" s="186" t="s">
        <v>4317</v>
      </c>
      <c r="G250" s="186" t="s">
        <v>329</v>
      </c>
      <c r="H250" s="186" t="s">
        <v>243</v>
      </c>
      <c r="I250" s="186"/>
      <c r="J250" s="186">
        <v>193</v>
      </c>
      <c r="K250" s="186"/>
      <c r="L250" s="186"/>
      <c r="M250" s="90"/>
      <c r="N250" s="90"/>
      <c r="O250" s="90"/>
      <c r="P250" s="186"/>
      <c r="Q250" s="186"/>
      <c r="R250" s="122"/>
      <c r="S250" s="186"/>
      <c r="T250" s="186"/>
      <c r="U250" s="186"/>
      <c r="V250" s="186"/>
      <c r="W250" s="186"/>
      <c r="X250" s="186"/>
      <c r="Y250" s="186"/>
      <c r="Z250" s="186"/>
      <c r="AA250" s="186"/>
      <c r="AB250" s="186"/>
      <c r="AC250" s="186"/>
      <c r="AD250" s="186"/>
      <c r="AE250" s="186"/>
    </row>
    <row r="251" spans="1:31" ht="18.75" customHeight="1">
      <c r="A251" s="213"/>
      <c r="B251" s="213"/>
      <c r="C251" s="210"/>
      <c r="D251" s="210"/>
      <c r="E251" s="186" t="s">
        <v>55</v>
      </c>
      <c r="F251" s="186" t="s">
        <v>4318</v>
      </c>
      <c r="G251" s="186" t="s">
        <v>329</v>
      </c>
      <c r="H251" s="186" t="s">
        <v>243</v>
      </c>
      <c r="I251" s="186"/>
      <c r="J251" s="186">
        <v>194</v>
      </c>
      <c r="K251" s="186"/>
      <c r="L251" s="186"/>
      <c r="M251" s="90"/>
      <c r="N251" s="90"/>
      <c r="O251" s="90"/>
      <c r="P251" s="186"/>
      <c r="Q251" s="186"/>
      <c r="R251" s="122"/>
      <c r="S251" s="186"/>
      <c r="T251" s="186"/>
      <c r="U251" s="186"/>
      <c r="V251" s="186"/>
      <c r="W251" s="186"/>
      <c r="X251" s="186"/>
      <c r="Y251" s="186"/>
      <c r="Z251" s="186"/>
      <c r="AA251" s="186"/>
      <c r="AB251" s="186"/>
      <c r="AC251" s="186"/>
      <c r="AD251" s="186"/>
      <c r="AE251" s="186"/>
    </row>
    <row r="252" spans="1:31" ht="18.75" customHeight="1">
      <c r="A252" s="213"/>
      <c r="B252" s="213"/>
      <c r="C252" s="210"/>
      <c r="D252" s="210"/>
      <c r="E252" s="186" t="s">
        <v>55</v>
      </c>
      <c r="F252" s="186" t="s">
        <v>4319</v>
      </c>
      <c r="G252" s="186" t="s">
        <v>329</v>
      </c>
      <c r="H252" s="186" t="s">
        <v>243</v>
      </c>
      <c r="I252" s="186"/>
      <c r="J252" s="186">
        <v>195</v>
      </c>
      <c r="K252" s="186"/>
      <c r="L252" s="186"/>
      <c r="M252" s="90"/>
      <c r="N252" s="90"/>
      <c r="O252" s="90"/>
      <c r="P252" s="186"/>
      <c r="Q252" s="186"/>
      <c r="R252" s="122"/>
      <c r="S252" s="186"/>
      <c r="T252" s="186"/>
      <c r="U252" s="186"/>
      <c r="V252" s="186"/>
      <c r="W252" s="186"/>
      <c r="X252" s="186"/>
      <c r="Y252" s="186"/>
      <c r="Z252" s="186"/>
      <c r="AA252" s="186"/>
      <c r="AB252" s="186"/>
      <c r="AC252" s="186"/>
      <c r="AD252" s="186"/>
      <c r="AE252" s="186"/>
    </row>
    <row r="253" spans="1:31" ht="18.75" customHeight="1">
      <c r="A253" s="213"/>
      <c r="B253" s="213"/>
      <c r="C253" s="210"/>
      <c r="D253" s="210"/>
      <c r="E253" s="186" t="s">
        <v>55</v>
      </c>
      <c r="F253" s="186" t="s">
        <v>4320</v>
      </c>
      <c r="G253" s="186" t="s">
        <v>329</v>
      </c>
      <c r="H253" s="186" t="s">
        <v>243</v>
      </c>
      <c r="I253" s="186"/>
      <c r="J253" s="186">
        <v>196</v>
      </c>
      <c r="K253" s="186"/>
      <c r="L253" s="186"/>
      <c r="M253" s="90"/>
      <c r="N253" s="90"/>
      <c r="O253" s="90"/>
      <c r="P253" s="186"/>
      <c r="Q253" s="186"/>
      <c r="R253" s="122"/>
      <c r="S253" s="186"/>
      <c r="T253" s="186"/>
      <c r="U253" s="186"/>
      <c r="V253" s="186"/>
      <c r="W253" s="186"/>
      <c r="X253" s="186"/>
      <c r="Y253" s="186"/>
      <c r="Z253" s="186"/>
      <c r="AA253" s="186"/>
      <c r="AB253" s="186"/>
      <c r="AC253" s="186"/>
      <c r="AD253" s="186"/>
      <c r="AE253" s="186"/>
    </row>
    <row r="254" spans="1:31" ht="18.75" customHeight="1">
      <c r="A254" s="213"/>
      <c r="B254" s="213"/>
      <c r="C254" s="210"/>
      <c r="D254" s="210"/>
      <c r="E254" s="186" t="s">
        <v>55</v>
      </c>
      <c r="F254" s="186" t="s">
        <v>4321</v>
      </c>
      <c r="G254" s="186" t="s">
        <v>329</v>
      </c>
      <c r="H254" s="186" t="s">
        <v>243</v>
      </c>
      <c r="I254" s="186"/>
      <c r="J254" s="186">
        <v>197</v>
      </c>
      <c r="K254" s="186"/>
      <c r="L254" s="186"/>
      <c r="M254" s="90"/>
      <c r="N254" s="90"/>
      <c r="O254" s="90"/>
      <c r="P254" s="186"/>
      <c r="Q254" s="186"/>
      <c r="R254" s="122"/>
      <c r="S254" s="186"/>
      <c r="T254" s="186"/>
      <c r="U254" s="186"/>
      <c r="V254" s="186"/>
      <c r="W254" s="186"/>
      <c r="X254" s="186"/>
      <c r="Y254" s="186"/>
      <c r="Z254" s="186"/>
      <c r="AA254" s="186"/>
      <c r="AB254" s="186"/>
      <c r="AC254" s="186"/>
      <c r="AD254" s="186"/>
      <c r="AE254" s="186"/>
    </row>
    <row r="255" spans="1:31" ht="18.75" customHeight="1">
      <c r="A255" s="213"/>
      <c r="B255" s="213"/>
      <c r="C255" s="210"/>
      <c r="D255" s="210"/>
      <c r="E255" s="186" t="s">
        <v>55</v>
      </c>
      <c r="F255" s="186" t="s">
        <v>4322</v>
      </c>
      <c r="G255" s="186" t="s">
        <v>329</v>
      </c>
      <c r="H255" s="186" t="s">
        <v>243</v>
      </c>
      <c r="I255" s="186"/>
      <c r="J255" s="186">
        <v>198</v>
      </c>
      <c r="K255" s="186"/>
      <c r="L255" s="186"/>
      <c r="M255" s="90"/>
      <c r="N255" s="90"/>
      <c r="O255" s="90"/>
      <c r="P255" s="186"/>
      <c r="Q255" s="186"/>
      <c r="R255" s="122"/>
      <c r="S255" s="186"/>
      <c r="T255" s="186"/>
      <c r="U255" s="186"/>
      <c r="V255" s="186"/>
      <c r="W255" s="186"/>
      <c r="X255" s="186"/>
      <c r="Y255" s="186"/>
      <c r="Z255" s="186"/>
      <c r="AA255" s="186"/>
      <c r="AB255" s="186"/>
      <c r="AC255" s="186"/>
      <c r="AD255" s="186"/>
      <c r="AE255" s="186"/>
    </row>
    <row r="256" spans="1:31" ht="18.75" customHeight="1">
      <c r="A256" s="213"/>
      <c r="B256" s="213"/>
      <c r="C256" s="210"/>
      <c r="D256" s="210"/>
      <c r="E256" s="186" t="s">
        <v>55</v>
      </c>
      <c r="F256" s="186" t="s">
        <v>4323</v>
      </c>
      <c r="G256" s="186" t="s">
        <v>329</v>
      </c>
      <c r="H256" s="186" t="s">
        <v>243</v>
      </c>
      <c r="I256" s="186"/>
      <c r="J256" s="186">
        <v>199</v>
      </c>
      <c r="K256" s="186"/>
      <c r="L256" s="186"/>
      <c r="M256" s="90"/>
      <c r="N256" s="90"/>
      <c r="O256" s="90"/>
      <c r="P256" s="186"/>
      <c r="Q256" s="186"/>
      <c r="R256" s="122"/>
      <c r="S256" s="186"/>
      <c r="T256" s="186"/>
      <c r="U256" s="186"/>
      <c r="V256" s="186"/>
      <c r="W256" s="186"/>
      <c r="X256" s="186"/>
      <c r="Y256" s="186"/>
      <c r="Z256" s="186"/>
      <c r="AA256" s="186"/>
      <c r="AB256" s="186"/>
      <c r="AC256" s="186"/>
      <c r="AD256" s="186"/>
      <c r="AE256" s="186"/>
    </row>
    <row r="257" spans="1:31" ht="18.75" customHeight="1">
      <c r="A257" s="213"/>
      <c r="B257" s="213"/>
      <c r="C257" s="210"/>
      <c r="D257" s="210"/>
      <c r="E257" s="186" t="s">
        <v>55</v>
      </c>
      <c r="F257" s="186" t="s">
        <v>4324</v>
      </c>
      <c r="G257" s="186" t="s">
        <v>329</v>
      </c>
      <c r="H257" s="186" t="s">
        <v>243</v>
      </c>
      <c r="I257" s="186"/>
      <c r="J257" s="186">
        <v>200</v>
      </c>
      <c r="K257" s="186"/>
      <c r="L257" s="186"/>
      <c r="M257" s="90"/>
      <c r="N257" s="90"/>
      <c r="O257" s="90"/>
      <c r="P257" s="186"/>
      <c r="Q257" s="186"/>
      <c r="R257" s="122"/>
      <c r="S257" s="186"/>
      <c r="T257" s="186"/>
      <c r="U257" s="186"/>
      <c r="V257" s="186"/>
      <c r="W257" s="186"/>
      <c r="X257" s="186"/>
      <c r="Y257" s="186"/>
      <c r="Z257" s="186"/>
      <c r="AA257" s="186"/>
      <c r="AB257" s="186"/>
      <c r="AC257" s="186"/>
      <c r="AD257" s="186"/>
      <c r="AE257" s="186"/>
    </row>
    <row r="258" spans="1:31" ht="18.75" customHeight="1">
      <c r="A258" s="213"/>
      <c r="B258" s="213"/>
      <c r="C258" s="210"/>
      <c r="D258" s="210"/>
      <c r="E258" s="186" t="s">
        <v>55</v>
      </c>
      <c r="F258" s="186" t="s">
        <v>4325</v>
      </c>
      <c r="G258" s="186" t="s">
        <v>329</v>
      </c>
      <c r="H258" s="186" t="s">
        <v>243</v>
      </c>
      <c r="I258" s="186"/>
      <c r="J258" s="186">
        <v>201</v>
      </c>
      <c r="K258" s="186"/>
      <c r="L258" s="186"/>
      <c r="M258" s="90"/>
      <c r="N258" s="90"/>
      <c r="O258" s="90"/>
      <c r="P258" s="186"/>
      <c r="Q258" s="186"/>
      <c r="R258" s="122"/>
      <c r="S258" s="186"/>
      <c r="T258" s="186"/>
      <c r="U258" s="186"/>
      <c r="V258" s="186"/>
      <c r="W258" s="186"/>
      <c r="X258" s="186"/>
      <c r="Y258" s="186"/>
      <c r="Z258" s="186"/>
      <c r="AA258" s="186"/>
      <c r="AB258" s="186"/>
      <c r="AC258" s="186"/>
      <c r="AD258" s="186"/>
      <c r="AE258" s="186"/>
    </row>
    <row r="259" spans="1:31" ht="18.75" customHeight="1">
      <c r="A259" s="213"/>
      <c r="B259" s="213"/>
      <c r="C259" s="210"/>
      <c r="D259" s="210"/>
      <c r="E259" s="186" t="s">
        <v>55</v>
      </c>
      <c r="F259" s="186" t="s">
        <v>4326</v>
      </c>
      <c r="G259" s="186" t="s">
        <v>329</v>
      </c>
      <c r="H259" s="186" t="s">
        <v>243</v>
      </c>
      <c r="I259" s="186"/>
      <c r="J259" s="186">
        <v>202</v>
      </c>
      <c r="K259" s="186"/>
      <c r="L259" s="186"/>
      <c r="M259" s="90"/>
      <c r="N259" s="90"/>
      <c r="O259" s="90"/>
      <c r="P259" s="186"/>
      <c r="Q259" s="186"/>
      <c r="R259" s="122"/>
      <c r="S259" s="186"/>
      <c r="T259" s="186"/>
      <c r="U259" s="186"/>
      <c r="V259" s="186"/>
      <c r="W259" s="186"/>
      <c r="X259" s="186"/>
      <c r="Y259" s="186"/>
      <c r="Z259" s="186"/>
      <c r="AA259" s="186"/>
      <c r="AB259" s="186"/>
      <c r="AC259" s="186"/>
      <c r="AD259" s="186"/>
      <c r="AE259" s="186"/>
    </row>
    <row r="260" spans="1:31" ht="18.75" customHeight="1">
      <c r="A260" s="213"/>
      <c r="B260" s="213"/>
      <c r="C260" s="210"/>
      <c r="D260" s="210"/>
      <c r="E260" s="186" t="s">
        <v>55</v>
      </c>
      <c r="F260" s="186" t="s">
        <v>4327</v>
      </c>
      <c r="G260" s="186" t="s">
        <v>329</v>
      </c>
      <c r="H260" s="186" t="s">
        <v>243</v>
      </c>
      <c r="I260" s="186"/>
      <c r="J260" s="186">
        <v>203</v>
      </c>
      <c r="K260" s="186"/>
      <c r="L260" s="186"/>
      <c r="M260" s="90"/>
      <c r="N260" s="90"/>
      <c r="O260" s="90"/>
      <c r="P260" s="186"/>
      <c r="Q260" s="186"/>
      <c r="R260" s="122"/>
      <c r="S260" s="186"/>
      <c r="T260" s="186"/>
      <c r="U260" s="186"/>
      <c r="V260" s="186"/>
      <c r="W260" s="186"/>
      <c r="X260" s="186"/>
      <c r="Y260" s="186"/>
      <c r="Z260" s="186"/>
      <c r="AA260" s="186"/>
      <c r="AB260" s="186"/>
      <c r="AC260" s="186"/>
      <c r="AD260" s="186"/>
      <c r="AE260" s="186"/>
    </row>
    <row r="261" spans="1:31" ht="18.75" customHeight="1">
      <c r="A261" s="213"/>
      <c r="B261" s="213"/>
      <c r="C261" s="210"/>
      <c r="D261" s="210"/>
      <c r="E261" s="186" t="s">
        <v>55</v>
      </c>
      <c r="F261" s="186" t="s">
        <v>4328</v>
      </c>
      <c r="G261" s="186" t="s">
        <v>329</v>
      </c>
      <c r="H261" s="186" t="s">
        <v>243</v>
      </c>
      <c r="I261" s="186"/>
      <c r="J261" s="186">
        <v>204</v>
      </c>
      <c r="K261" s="186"/>
      <c r="L261" s="186"/>
      <c r="M261" s="90"/>
      <c r="N261" s="90"/>
      <c r="O261" s="90"/>
      <c r="P261" s="186"/>
      <c r="Q261" s="186"/>
      <c r="R261" s="122"/>
      <c r="S261" s="186"/>
      <c r="T261" s="186"/>
      <c r="U261" s="186"/>
      <c r="V261" s="186"/>
      <c r="W261" s="186"/>
      <c r="X261" s="186"/>
      <c r="Y261" s="186"/>
      <c r="Z261" s="186"/>
      <c r="AA261" s="186"/>
      <c r="AB261" s="186"/>
      <c r="AC261" s="186"/>
      <c r="AD261" s="186"/>
      <c r="AE261" s="186"/>
    </row>
    <row r="262" spans="1:31" ht="18.75" customHeight="1">
      <c r="A262" s="213"/>
      <c r="B262" s="213"/>
      <c r="C262" s="210"/>
      <c r="D262" s="210"/>
      <c r="E262" s="186" t="s">
        <v>55</v>
      </c>
      <c r="F262" s="186" t="s">
        <v>4329</v>
      </c>
      <c r="G262" s="186" t="s">
        <v>329</v>
      </c>
      <c r="H262" s="186" t="s">
        <v>243</v>
      </c>
      <c r="I262" s="186"/>
      <c r="J262" s="186">
        <v>205</v>
      </c>
      <c r="K262" s="186"/>
      <c r="L262" s="186"/>
      <c r="M262" s="90"/>
      <c r="N262" s="90"/>
      <c r="O262" s="90"/>
      <c r="P262" s="186"/>
      <c r="Q262" s="186"/>
      <c r="R262" s="122"/>
      <c r="S262" s="186"/>
      <c r="T262" s="186"/>
      <c r="U262" s="186"/>
      <c r="V262" s="186"/>
      <c r="W262" s="186"/>
      <c r="X262" s="186"/>
      <c r="Y262" s="186"/>
      <c r="Z262" s="186"/>
      <c r="AA262" s="186"/>
      <c r="AB262" s="186"/>
      <c r="AC262" s="186"/>
      <c r="AD262" s="186"/>
      <c r="AE262" s="186"/>
    </row>
    <row r="263" spans="1:31" ht="18.75" customHeight="1">
      <c r="A263" s="213"/>
      <c r="B263" s="213"/>
      <c r="C263" s="210"/>
      <c r="D263" s="210"/>
      <c r="E263" s="186" t="s">
        <v>55</v>
      </c>
      <c r="F263" s="186" t="s">
        <v>4330</v>
      </c>
      <c r="G263" s="186" t="s">
        <v>329</v>
      </c>
      <c r="H263" s="186" t="s">
        <v>243</v>
      </c>
      <c r="I263" s="186"/>
      <c r="J263" s="186">
        <v>206</v>
      </c>
      <c r="K263" s="186"/>
      <c r="L263" s="186"/>
      <c r="M263" s="90"/>
      <c r="N263" s="90"/>
      <c r="O263" s="90"/>
      <c r="P263" s="186"/>
      <c r="Q263" s="186"/>
      <c r="R263" s="122"/>
      <c r="S263" s="186"/>
      <c r="T263" s="186"/>
      <c r="U263" s="186"/>
      <c r="V263" s="186"/>
      <c r="W263" s="186"/>
      <c r="X263" s="186"/>
      <c r="Y263" s="186"/>
      <c r="Z263" s="186"/>
      <c r="AA263" s="186"/>
      <c r="AB263" s="186"/>
      <c r="AC263" s="186"/>
      <c r="AD263" s="186"/>
      <c r="AE263" s="186"/>
    </row>
    <row r="264" spans="1:31" ht="18.75" customHeight="1">
      <c r="A264" s="213"/>
      <c r="B264" s="213"/>
      <c r="C264" s="210"/>
      <c r="D264" s="210"/>
      <c r="E264" s="186" t="s">
        <v>55</v>
      </c>
      <c r="F264" s="186" t="s">
        <v>4331</v>
      </c>
      <c r="G264" s="186" t="s">
        <v>329</v>
      </c>
      <c r="H264" s="186" t="s">
        <v>243</v>
      </c>
      <c r="I264" s="186"/>
      <c r="J264" s="186">
        <v>207</v>
      </c>
      <c r="K264" s="186"/>
      <c r="L264" s="186"/>
      <c r="M264" s="90"/>
      <c r="N264" s="90"/>
      <c r="O264" s="90"/>
      <c r="P264" s="186"/>
      <c r="Q264" s="186"/>
      <c r="R264" s="122"/>
      <c r="S264" s="186"/>
      <c r="T264" s="186"/>
      <c r="U264" s="186"/>
      <c r="V264" s="186"/>
      <c r="W264" s="186"/>
      <c r="X264" s="186"/>
      <c r="Y264" s="186"/>
      <c r="Z264" s="186"/>
      <c r="AA264" s="186"/>
      <c r="AB264" s="186"/>
      <c r="AC264" s="186"/>
      <c r="AD264" s="186"/>
      <c r="AE264" s="186"/>
    </row>
    <row r="265" spans="1:31" ht="18.75" customHeight="1">
      <c r="A265" s="213"/>
      <c r="B265" s="213"/>
      <c r="C265" s="210"/>
      <c r="D265" s="210"/>
      <c r="E265" s="186" t="s">
        <v>55</v>
      </c>
      <c r="F265" s="186" t="s">
        <v>4332</v>
      </c>
      <c r="G265" s="186" t="s">
        <v>329</v>
      </c>
      <c r="H265" s="186" t="s">
        <v>243</v>
      </c>
      <c r="I265" s="186"/>
      <c r="J265" s="186">
        <v>208</v>
      </c>
      <c r="K265" s="186"/>
      <c r="L265" s="186"/>
      <c r="M265" s="90"/>
      <c r="N265" s="90"/>
      <c r="O265" s="90"/>
      <c r="P265" s="186"/>
      <c r="Q265" s="186"/>
      <c r="R265" s="122"/>
      <c r="S265" s="186"/>
      <c r="T265" s="186"/>
      <c r="U265" s="186"/>
      <c r="V265" s="186"/>
      <c r="W265" s="186"/>
      <c r="X265" s="186"/>
      <c r="Y265" s="186"/>
      <c r="Z265" s="186"/>
      <c r="AA265" s="186"/>
      <c r="AB265" s="186"/>
      <c r="AC265" s="186"/>
      <c r="AD265" s="186"/>
      <c r="AE265" s="186"/>
    </row>
    <row r="266" spans="1:31" ht="18.75" customHeight="1">
      <c r="A266" s="213"/>
      <c r="B266" s="213"/>
      <c r="C266" s="210"/>
      <c r="D266" s="210"/>
      <c r="E266" s="186" t="s">
        <v>55</v>
      </c>
      <c r="F266" s="186" t="s">
        <v>4333</v>
      </c>
      <c r="G266" s="186" t="s">
        <v>329</v>
      </c>
      <c r="H266" s="186" t="s">
        <v>243</v>
      </c>
      <c r="I266" s="186"/>
      <c r="J266" s="186">
        <v>209</v>
      </c>
      <c r="K266" s="186"/>
      <c r="L266" s="186"/>
      <c r="M266" s="90"/>
      <c r="N266" s="90"/>
      <c r="O266" s="90"/>
      <c r="P266" s="186"/>
      <c r="Q266" s="186"/>
      <c r="R266" s="122"/>
      <c r="S266" s="186" t="s">
        <v>4334</v>
      </c>
      <c r="T266" s="186"/>
      <c r="U266" s="186"/>
      <c r="V266" s="186"/>
      <c r="W266" s="186"/>
      <c r="X266" s="186"/>
      <c r="Y266" s="186"/>
      <c r="Z266" s="186"/>
      <c r="AA266" s="186"/>
      <c r="AB266" s="186"/>
      <c r="AC266" s="186"/>
      <c r="AD266" s="186"/>
      <c r="AE266" s="186"/>
    </row>
    <row r="267" spans="1:31" ht="18.75" customHeight="1">
      <c r="A267" s="213"/>
      <c r="B267" s="213"/>
      <c r="C267" s="210"/>
      <c r="D267" s="210"/>
      <c r="E267" s="186" t="s">
        <v>55</v>
      </c>
      <c r="F267" s="186" t="s">
        <v>4335</v>
      </c>
      <c r="G267" s="186" t="s">
        <v>329</v>
      </c>
      <c r="H267" s="186" t="s">
        <v>243</v>
      </c>
      <c r="I267" s="186"/>
      <c r="J267" s="186">
        <v>210</v>
      </c>
      <c r="K267" s="186"/>
      <c r="L267" s="186"/>
      <c r="M267" s="90"/>
      <c r="N267" s="90"/>
      <c r="O267" s="90"/>
      <c r="P267" s="186"/>
      <c r="Q267" s="186"/>
      <c r="R267" s="122"/>
      <c r="S267" s="186" t="s">
        <v>4336</v>
      </c>
      <c r="T267" s="186"/>
      <c r="U267" s="186"/>
      <c r="V267" s="186"/>
      <c r="W267" s="186"/>
      <c r="X267" s="186"/>
      <c r="Y267" s="186"/>
      <c r="Z267" s="186"/>
      <c r="AA267" s="186"/>
      <c r="AB267" s="186"/>
      <c r="AC267" s="186"/>
      <c r="AD267" s="186"/>
      <c r="AE267" s="186"/>
    </row>
    <row r="268" spans="1:31" ht="18.75" customHeight="1">
      <c r="A268" s="213"/>
      <c r="B268" s="213"/>
      <c r="C268" s="210"/>
      <c r="D268" s="210"/>
      <c r="E268" s="186" t="s">
        <v>55</v>
      </c>
      <c r="F268" s="186" t="s">
        <v>4337</v>
      </c>
      <c r="G268" s="186" t="s">
        <v>329</v>
      </c>
      <c r="H268" s="186" t="s">
        <v>243</v>
      </c>
      <c r="I268" s="186"/>
      <c r="J268" s="186">
        <v>211</v>
      </c>
      <c r="K268" s="186"/>
      <c r="L268" s="186"/>
      <c r="M268" s="90"/>
      <c r="N268" s="90"/>
      <c r="O268" s="90"/>
      <c r="P268" s="186"/>
      <c r="Q268" s="186"/>
      <c r="R268" s="122"/>
      <c r="S268" s="186" t="s">
        <v>4338</v>
      </c>
      <c r="T268" s="186"/>
      <c r="U268" s="186"/>
      <c r="V268" s="186"/>
      <c r="W268" s="186"/>
      <c r="X268" s="186"/>
      <c r="Y268" s="186"/>
      <c r="Z268" s="186"/>
      <c r="AA268" s="186"/>
      <c r="AB268" s="186"/>
      <c r="AC268" s="186"/>
      <c r="AD268" s="186"/>
      <c r="AE268" s="186"/>
    </row>
    <row r="269" spans="1:31" ht="18.75" customHeight="1">
      <c r="A269" s="213"/>
      <c r="B269" s="213"/>
      <c r="C269" s="210"/>
      <c r="D269" s="210"/>
      <c r="E269" s="186" t="s">
        <v>55</v>
      </c>
      <c r="F269" s="186" t="s">
        <v>4339</v>
      </c>
      <c r="G269" s="186" t="s">
        <v>329</v>
      </c>
      <c r="H269" s="186" t="s">
        <v>243</v>
      </c>
      <c r="I269" s="186"/>
      <c r="J269" s="186">
        <v>212</v>
      </c>
      <c r="K269" s="186"/>
      <c r="L269" s="186"/>
      <c r="M269" s="90"/>
      <c r="N269" s="90"/>
      <c r="O269" s="90"/>
      <c r="P269" s="186"/>
      <c r="Q269" s="186"/>
      <c r="R269" s="122"/>
      <c r="S269" s="186" t="s">
        <v>4340</v>
      </c>
      <c r="T269" s="186"/>
      <c r="U269" s="186"/>
      <c r="V269" s="186"/>
      <c r="W269" s="186"/>
      <c r="X269" s="186"/>
      <c r="Y269" s="186"/>
      <c r="Z269" s="186"/>
      <c r="AA269" s="186"/>
      <c r="AB269" s="186"/>
      <c r="AC269" s="186"/>
      <c r="AD269" s="186"/>
      <c r="AE269" s="186"/>
    </row>
    <row r="270" spans="1:31" ht="18.75" customHeight="1">
      <c r="A270" s="213"/>
      <c r="B270" s="213"/>
      <c r="C270" s="210"/>
      <c r="D270" s="210"/>
      <c r="E270" s="186" t="s">
        <v>55</v>
      </c>
      <c r="F270" s="186" t="s">
        <v>4341</v>
      </c>
      <c r="G270" s="186" t="s">
        <v>329</v>
      </c>
      <c r="H270" s="186" t="s">
        <v>243</v>
      </c>
      <c r="I270" s="186"/>
      <c r="J270" s="186">
        <v>213</v>
      </c>
      <c r="K270" s="186"/>
      <c r="L270" s="186"/>
      <c r="M270" s="90"/>
      <c r="N270" s="90"/>
      <c r="O270" s="90"/>
      <c r="P270" s="186"/>
      <c r="Q270" s="186"/>
      <c r="R270" s="122"/>
      <c r="S270" s="186" t="s">
        <v>4342</v>
      </c>
      <c r="T270" s="186"/>
      <c r="U270" s="186"/>
      <c r="V270" s="186"/>
      <c r="W270" s="186"/>
      <c r="X270" s="186"/>
      <c r="Y270" s="186"/>
      <c r="Z270" s="186"/>
      <c r="AA270" s="186"/>
      <c r="AB270" s="186"/>
      <c r="AC270" s="186"/>
      <c r="AD270" s="186"/>
      <c r="AE270" s="186"/>
    </row>
    <row r="271" spans="1:31" ht="18.75" customHeight="1">
      <c r="A271" s="213"/>
      <c r="B271" s="213"/>
      <c r="C271" s="210"/>
      <c r="D271" s="210"/>
      <c r="E271" s="186" t="s">
        <v>55</v>
      </c>
      <c r="F271" s="186" t="s">
        <v>4343</v>
      </c>
      <c r="G271" s="186" t="s">
        <v>329</v>
      </c>
      <c r="H271" s="186" t="s">
        <v>243</v>
      </c>
      <c r="I271" s="186"/>
      <c r="J271" s="186">
        <v>214</v>
      </c>
      <c r="K271" s="186"/>
      <c r="L271" s="186"/>
      <c r="M271" s="90"/>
      <c r="N271" s="90"/>
      <c r="O271" s="90"/>
      <c r="P271" s="186"/>
      <c r="Q271" s="186"/>
      <c r="R271" s="122"/>
      <c r="S271" s="186"/>
      <c r="T271" s="186"/>
      <c r="U271" s="186"/>
      <c r="V271" s="186"/>
      <c r="W271" s="186"/>
      <c r="X271" s="186"/>
      <c r="Y271" s="186"/>
      <c r="Z271" s="186"/>
      <c r="AA271" s="186"/>
      <c r="AB271" s="186"/>
      <c r="AC271" s="186"/>
      <c r="AD271" s="186"/>
      <c r="AE271" s="186"/>
    </row>
    <row r="272" spans="1:31" ht="18.75" customHeight="1">
      <c r="A272" s="213"/>
      <c r="B272" s="213"/>
      <c r="C272" s="210"/>
      <c r="D272" s="210"/>
      <c r="E272" s="186" t="s">
        <v>55</v>
      </c>
      <c r="F272" s="186" t="s">
        <v>4344</v>
      </c>
      <c r="G272" s="186" t="s">
        <v>329</v>
      </c>
      <c r="H272" s="186" t="s">
        <v>243</v>
      </c>
      <c r="I272" s="186"/>
      <c r="J272" s="186">
        <v>215</v>
      </c>
      <c r="K272" s="186"/>
      <c r="L272" s="186"/>
      <c r="M272" s="90"/>
      <c r="N272" s="90"/>
      <c r="O272" s="90"/>
      <c r="P272" s="186"/>
      <c r="Q272" s="186"/>
      <c r="R272" s="122"/>
      <c r="S272" s="186" t="s">
        <v>4345</v>
      </c>
      <c r="T272" s="186"/>
      <c r="U272" s="186"/>
      <c r="V272" s="186"/>
      <c r="W272" s="186"/>
      <c r="X272" s="186"/>
      <c r="Y272" s="186"/>
      <c r="Z272" s="186"/>
      <c r="AA272" s="186"/>
      <c r="AB272" s="186"/>
      <c r="AC272" s="186"/>
      <c r="AD272" s="186"/>
      <c r="AE272" s="186"/>
    </row>
    <row r="273" spans="1:31" ht="18.75" customHeight="1">
      <c r="A273" s="213"/>
      <c r="B273" s="213"/>
      <c r="C273" s="210"/>
      <c r="D273" s="210"/>
      <c r="E273" s="186" t="s">
        <v>55</v>
      </c>
      <c r="F273" s="186" t="s">
        <v>4346</v>
      </c>
      <c r="G273" s="186" t="s">
        <v>329</v>
      </c>
      <c r="H273" s="186" t="s">
        <v>243</v>
      </c>
      <c r="I273" s="186"/>
      <c r="J273" s="186">
        <v>216</v>
      </c>
      <c r="K273" s="186"/>
      <c r="L273" s="186"/>
      <c r="M273" s="90"/>
      <c r="N273" s="90"/>
      <c r="O273" s="90"/>
      <c r="P273" s="186"/>
      <c r="Q273" s="186"/>
      <c r="R273" s="122"/>
      <c r="S273" s="186"/>
      <c r="T273" s="186"/>
      <c r="U273" s="186"/>
      <c r="V273" s="186"/>
      <c r="W273" s="186"/>
      <c r="X273" s="186"/>
      <c r="Y273" s="186"/>
      <c r="Z273" s="186"/>
      <c r="AA273" s="186"/>
      <c r="AB273" s="186"/>
      <c r="AC273" s="186"/>
      <c r="AD273" s="186"/>
      <c r="AE273" s="186"/>
    </row>
    <row r="274" spans="1:31" ht="18.75" customHeight="1">
      <c r="A274" s="213"/>
      <c r="B274" s="213"/>
      <c r="C274" s="210"/>
      <c r="D274" s="210"/>
      <c r="E274" s="186" t="s">
        <v>55</v>
      </c>
      <c r="F274" s="186" t="s">
        <v>4347</v>
      </c>
      <c r="G274" s="186" t="s">
        <v>329</v>
      </c>
      <c r="H274" s="186" t="s">
        <v>243</v>
      </c>
      <c r="I274" s="186"/>
      <c r="J274" s="186">
        <v>217</v>
      </c>
      <c r="K274" s="186"/>
      <c r="L274" s="186"/>
      <c r="M274" s="90"/>
      <c r="N274" s="90"/>
      <c r="O274" s="90"/>
      <c r="P274" s="186"/>
      <c r="Q274" s="186"/>
      <c r="R274" s="122"/>
      <c r="S274" s="186" t="s">
        <v>4348</v>
      </c>
      <c r="T274" s="186"/>
      <c r="U274" s="186"/>
      <c r="V274" s="186"/>
      <c r="W274" s="186"/>
      <c r="X274" s="186"/>
      <c r="Y274" s="186"/>
      <c r="Z274" s="186"/>
      <c r="AA274" s="186"/>
      <c r="AB274" s="186"/>
      <c r="AC274" s="186"/>
      <c r="AD274" s="186"/>
      <c r="AE274" s="186"/>
    </row>
    <row r="275" spans="1:31" ht="18.75" customHeight="1">
      <c r="A275" s="213"/>
      <c r="B275" s="213"/>
      <c r="C275" s="210"/>
      <c r="D275" s="210"/>
      <c r="E275" s="186" t="s">
        <v>55</v>
      </c>
      <c r="F275" s="186" t="s">
        <v>4349</v>
      </c>
      <c r="G275" s="186" t="s">
        <v>329</v>
      </c>
      <c r="H275" s="186" t="s">
        <v>243</v>
      </c>
      <c r="I275" s="186"/>
      <c r="J275" s="186">
        <v>218</v>
      </c>
      <c r="K275" s="186"/>
      <c r="L275" s="186"/>
      <c r="M275" s="90"/>
      <c r="N275" s="90"/>
      <c r="O275" s="90"/>
      <c r="P275" s="186"/>
      <c r="Q275" s="186"/>
      <c r="R275" s="122"/>
      <c r="S275" s="186"/>
      <c r="T275" s="186"/>
      <c r="U275" s="186"/>
      <c r="V275" s="186"/>
      <c r="W275" s="186"/>
      <c r="X275" s="186"/>
      <c r="Y275" s="186"/>
      <c r="Z275" s="186"/>
      <c r="AA275" s="186"/>
      <c r="AB275" s="186"/>
      <c r="AC275" s="186"/>
      <c r="AD275" s="186"/>
      <c r="AE275" s="186"/>
    </row>
    <row r="276" spans="1:31" ht="18.75" customHeight="1">
      <c r="A276" s="213"/>
      <c r="B276" s="213"/>
      <c r="C276" s="210"/>
      <c r="D276" s="210"/>
      <c r="E276" s="186" t="s">
        <v>55</v>
      </c>
      <c r="F276" s="186" t="s">
        <v>4350</v>
      </c>
      <c r="G276" s="186" t="s">
        <v>329</v>
      </c>
      <c r="H276" s="186" t="s">
        <v>243</v>
      </c>
      <c r="I276" s="186"/>
      <c r="J276" s="186">
        <v>326</v>
      </c>
      <c r="K276" s="186"/>
      <c r="L276" s="186"/>
      <c r="M276" s="90"/>
      <c r="N276" s="90"/>
      <c r="O276" s="90"/>
      <c r="P276" s="186"/>
      <c r="Q276" s="186"/>
      <c r="R276" s="122"/>
      <c r="S276" s="186"/>
      <c r="T276" s="186"/>
      <c r="U276" s="186"/>
      <c r="V276" s="186"/>
      <c r="W276" s="186"/>
      <c r="X276" s="186"/>
      <c r="Y276" s="186"/>
      <c r="Z276" s="186"/>
      <c r="AA276" s="186"/>
      <c r="AB276" s="186"/>
      <c r="AC276" s="186"/>
      <c r="AD276" s="186"/>
      <c r="AE276" s="186"/>
    </row>
    <row r="277" spans="1:31" ht="18.75" customHeight="1">
      <c r="A277" s="213"/>
      <c r="B277" s="213"/>
      <c r="C277" s="210"/>
      <c r="D277" s="210"/>
      <c r="E277" s="186" t="s">
        <v>55</v>
      </c>
      <c r="F277" s="186" t="s">
        <v>4351</v>
      </c>
      <c r="G277" s="186" t="s">
        <v>329</v>
      </c>
      <c r="H277" s="186" t="s">
        <v>243</v>
      </c>
      <c r="I277" s="186"/>
      <c r="J277" s="186">
        <v>219</v>
      </c>
      <c r="K277" s="186"/>
      <c r="L277" s="186"/>
      <c r="M277" s="90"/>
      <c r="N277" s="90"/>
      <c r="O277" s="90"/>
      <c r="P277" s="186"/>
      <c r="Q277" s="186"/>
      <c r="R277" s="122"/>
      <c r="S277" s="186" t="s">
        <v>4352</v>
      </c>
      <c r="T277" s="186"/>
      <c r="U277" s="186"/>
      <c r="V277" s="186"/>
      <c r="W277" s="186"/>
      <c r="X277" s="186"/>
      <c r="Y277" s="186"/>
      <c r="Z277" s="186"/>
      <c r="AA277" s="186"/>
      <c r="AB277" s="186"/>
      <c r="AC277" s="186"/>
      <c r="AD277" s="186"/>
      <c r="AE277" s="186"/>
    </row>
    <row r="278" spans="1:31" ht="18.75" customHeight="1">
      <c r="A278" s="213"/>
      <c r="B278" s="213"/>
      <c r="C278" s="210"/>
      <c r="D278" s="210"/>
      <c r="E278" s="186" t="s">
        <v>55</v>
      </c>
      <c r="F278" s="186" t="s">
        <v>4353</v>
      </c>
      <c r="G278" s="186" t="s">
        <v>329</v>
      </c>
      <c r="H278" s="186" t="s">
        <v>243</v>
      </c>
      <c r="I278" s="186"/>
      <c r="J278" s="186">
        <v>220</v>
      </c>
      <c r="K278" s="186"/>
      <c r="L278" s="186"/>
      <c r="M278" s="90"/>
      <c r="N278" s="90"/>
      <c r="O278" s="90"/>
      <c r="P278" s="186"/>
      <c r="Q278" s="186"/>
      <c r="R278" s="122"/>
      <c r="S278" s="186"/>
      <c r="T278" s="186"/>
      <c r="U278" s="186"/>
      <c r="V278" s="186"/>
      <c r="W278" s="186"/>
      <c r="X278" s="186"/>
      <c r="Y278" s="186"/>
      <c r="Z278" s="186"/>
      <c r="AA278" s="186"/>
      <c r="AB278" s="186"/>
      <c r="AC278" s="186"/>
      <c r="AD278" s="186"/>
      <c r="AE278" s="186"/>
    </row>
    <row r="279" spans="1:31" ht="18.75" customHeight="1">
      <c r="A279" s="213"/>
      <c r="B279" s="213"/>
      <c r="C279" s="210"/>
      <c r="D279" s="210"/>
      <c r="E279" s="186" t="s">
        <v>55</v>
      </c>
      <c r="F279" s="186" t="s">
        <v>4354</v>
      </c>
      <c r="G279" s="186" t="s">
        <v>329</v>
      </c>
      <c r="H279" s="186" t="s">
        <v>243</v>
      </c>
      <c r="I279" s="186"/>
      <c r="J279" s="186">
        <v>322</v>
      </c>
      <c r="K279" s="186"/>
      <c r="L279" s="186"/>
      <c r="M279" s="90"/>
      <c r="N279" s="90"/>
      <c r="O279" s="90"/>
      <c r="P279" s="186"/>
      <c r="Q279" s="186"/>
      <c r="R279" s="122"/>
      <c r="S279" s="186"/>
      <c r="T279" s="186"/>
      <c r="U279" s="186"/>
      <c r="V279" s="186"/>
      <c r="W279" s="186"/>
      <c r="X279" s="186"/>
      <c r="Y279" s="186"/>
      <c r="Z279" s="186"/>
      <c r="AA279" s="186"/>
      <c r="AB279" s="186"/>
      <c r="AC279" s="186"/>
      <c r="AD279" s="186"/>
      <c r="AE279" s="186"/>
    </row>
    <row r="280" spans="1:31" ht="18.75" customHeight="1">
      <c r="A280" s="213"/>
      <c r="B280" s="213"/>
      <c r="C280" s="210"/>
      <c r="D280" s="210"/>
      <c r="E280" s="186" t="s">
        <v>55</v>
      </c>
      <c r="F280" s="186" t="s">
        <v>4355</v>
      </c>
      <c r="G280" s="186" t="s">
        <v>329</v>
      </c>
      <c r="H280" s="186" t="s">
        <v>243</v>
      </c>
      <c r="I280" s="186"/>
      <c r="J280" s="186">
        <v>221</v>
      </c>
      <c r="K280" s="186"/>
      <c r="L280" s="186"/>
      <c r="M280" s="90"/>
      <c r="N280" s="90"/>
      <c r="O280" s="90"/>
      <c r="P280" s="186"/>
      <c r="Q280" s="186"/>
      <c r="R280" s="122"/>
      <c r="S280" s="186" t="s">
        <v>4356</v>
      </c>
      <c r="T280" s="186"/>
      <c r="U280" s="186"/>
      <c r="V280" s="186"/>
      <c r="W280" s="186"/>
      <c r="X280" s="186"/>
      <c r="Y280" s="186"/>
      <c r="Z280" s="186"/>
      <c r="AA280" s="186"/>
      <c r="AB280" s="186"/>
      <c r="AC280" s="186"/>
      <c r="AD280" s="186"/>
      <c r="AE280" s="186"/>
    </row>
    <row r="281" spans="1:31" ht="18.75" customHeight="1">
      <c r="A281" s="213"/>
      <c r="B281" s="213"/>
      <c r="C281" s="210"/>
      <c r="D281" s="210"/>
      <c r="E281" s="186" t="s">
        <v>55</v>
      </c>
      <c r="F281" s="186" t="s">
        <v>4357</v>
      </c>
      <c r="G281" s="186" t="s">
        <v>329</v>
      </c>
      <c r="H281" s="186" t="s">
        <v>243</v>
      </c>
      <c r="I281" s="186"/>
      <c r="J281" s="186">
        <v>222</v>
      </c>
      <c r="K281" s="186"/>
      <c r="L281" s="186"/>
      <c r="M281" s="90"/>
      <c r="N281" s="90"/>
      <c r="O281" s="90"/>
      <c r="P281" s="186"/>
      <c r="Q281" s="186"/>
      <c r="R281" s="122"/>
      <c r="S281" s="186" t="s">
        <v>4358</v>
      </c>
      <c r="T281" s="186"/>
      <c r="U281" s="186"/>
      <c r="V281" s="186"/>
      <c r="W281" s="186"/>
      <c r="X281" s="186"/>
      <c r="Y281" s="186"/>
      <c r="Z281" s="186"/>
      <c r="AA281" s="186"/>
      <c r="AB281" s="186"/>
      <c r="AC281" s="186"/>
      <c r="AD281" s="186"/>
      <c r="AE281" s="186"/>
    </row>
    <row r="282" spans="1:31" ht="18.75" customHeight="1">
      <c r="A282" s="213"/>
      <c r="B282" s="213"/>
      <c r="C282" s="210"/>
      <c r="D282" s="210"/>
      <c r="E282" s="186" t="s">
        <v>55</v>
      </c>
      <c r="F282" s="186" t="s">
        <v>4359</v>
      </c>
      <c r="G282" s="186" t="s">
        <v>329</v>
      </c>
      <c r="H282" s="186" t="s">
        <v>243</v>
      </c>
      <c r="I282" s="186"/>
      <c r="J282" s="186">
        <v>323</v>
      </c>
      <c r="K282" s="186"/>
      <c r="L282" s="186"/>
      <c r="M282" s="90"/>
      <c r="N282" s="90"/>
      <c r="O282" s="90"/>
      <c r="P282" s="186"/>
      <c r="Q282" s="186"/>
      <c r="R282" s="122"/>
      <c r="S282" s="186"/>
      <c r="T282" s="186"/>
      <c r="U282" s="186"/>
      <c r="V282" s="186"/>
      <c r="W282" s="186"/>
      <c r="X282" s="186"/>
      <c r="Y282" s="186"/>
      <c r="Z282" s="186"/>
      <c r="AA282" s="186"/>
      <c r="AB282" s="186"/>
      <c r="AC282" s="186"/>
      <c r="AD282" s="186"/>
      <c r="AE282" s="186"/>
    </row>
    <row r="283" spans="1:31" ht="18.75" customHeight="1">
      <c r="A283" s="213"/>
      <c r="B283" s="213"/>
      <c r="C283" s="210"/>
      <c r="D283" s="210"/>
      <c r="E283" s="186" t="s">
        <v>55</v>
      </c>
      <c r="F283" s="186" t="s">
        <v>4360</v>
      </c>
      <c r="G283" s="186" t="s">
        <v>329</v>
      </c>
      <c r="H283" s="186" t="s">
        <v>243</v>
      </c>
      <c r="I283" s="186"/>
      <c r="J283" s="186">
        <v>223</v>
      </c>
      <c r="K283" s="186"/>
      <c r="L283" s="186"/>
      <c r="M283" s="90"/>
      <c r="N283" s="90"/>
      <c r="O283" s="90"/>
      <c r="P283" s="186"/>
      <c r="Q283" s="186"/>
      <c r="R283" s="122"/>
      <c r="S283" s="186" t="s">
        <v>4361</v>
      </c>
      <c r="T283" s="186"/>
      <c r="U283" s="186"/>
      <c r="V283" s="186"/>
      <c r="W283" s="186"/>
      <c r="X283" s="186"/>
      <c r="Y283" s="186"/>
      <c r="Z283" s="186"/>
      <c r="AA283" s="186"/>
      <c r="AB283" s="186"/>
      <c r="AC283" s="186"/>
      <c r="AD283" s="186"/>
      <c r="AE283" s="186"/>
    </row>
    <row r="284" spans="1:31" ht="18.75" customHeight="1">
      <c r="A284" s="213"/>
      <c r="B284" s="213"/>
      <c r="C284" s="210"/>
      <c r="D284" s="210"/>
      <c r="E284" s="186" t="s">
        <v>55</v>
      </c>
      <c r="F284" s="186" t="s">
        <v>4362</v>
      </c>
      <c r="G284" s="186" t="s">
        <v>329</v>
      </c>
      <c r="H284" s="186" t="s">
        <v>243</v>
      </c>
      <c r="I284" s="186"/>
      <c r="J284" s="186">
        <v>320</v>
      </c>
      <c r="K284" s="186"/>
      <c r="L284" s="186"/>
      <c r="M284" s="90"/>
      <c r="N284" s="90"/>
      <c r="O284" s="90"/>
      <c r="P284" s="186"/>
      <c r="Q284" s="186"/>
      <c r="R284" s="122"/>
      <c r="S284" s="186"/>
      <c r="T284" s="186"/>
      <c r="U284" s="186"/>
      <c r="V284" s="186"/>
      <c r="W284" s="186"/>
      <c r="X284" s="186"/>
      <c r="Y284" s="186"/>
      <c r="Z284" s="186"/>
      <c r="AA284" s="186"/>
      <c r="AB284" s="186"/>
      <c r="AC284" s="186"/>
      <c r="AD284" s="186"/>
      <c r="AE284" s="186"/>
    </row>
    <row r="285" spans="1:31" ht="18.75" customHeight="1">
      <c r="A285" s="213"/>
      <c r="B285" s="213"/>
      <c r="C285" s="210"/>
      <c r="D285" s="210"/>
      <c r="E285" s="186" t="s">
        <v>55</v>
      </c>
      <c r="F285" s="186" t="s">
        <v>4363</v>
      </c>
      <c r="G285" s="186" t="s">
        <v>329</v>
      </c>
      <c r="H285" s="186" t="s">
        <v>243</v>
      </c>
      <c r="I285" s="186"/>
      <c r="J285" s="186">
        <v>224</v>
      </c>
      <c r="K285" s="186"/>
      <c r="L285" s="186"/>
      <c r="M285" s="90"/>
      <c r="N285" s="90"/>
      <c r="O285" s="90"/>
      <c r="P285" s="186"/>
      <c r="Q285" s="186"/>
      <c r="R285" s="122"/>
      <c r="S285" s="186" t="s">
        <v>4364</v>
      </c>
      <c r="T285" s="186"/>
      <c r="U285" s="186"/>
      <c r="V285" s="186"/>
      <c r="W285" s="186"/>
      <c r="X285" s="186"/>
      <c r="Y285" s="186"/>
      <c r="Z285" s="186"/>
      <c r="AA285" s="186"/>
      <c r="AB285" s="186"/>
      <c r="AC285" s="186"/>
      <c r="AD285" s="186"/>
      <c r="AE285" s="186"/>
    </row>
    <row r="286" spans="1:31" ht="18.75" customHeight="1">
      <c r="A286" s="213"/>
      <c r="B286" s="213"/>
      <c r="C286" s="210"/>
      <c r="D286" s="210"/>
      <c r="E286" s="186" t="s">
        <v>55</v>
      </c>
      <c r="F286" s="186" t="s">
        <v>4365</v>
      </c>
      <c r="G286" s="186" t="s">
        <v>329</v>
      </c>
      <c r="H286" s="186" t="s">
        <v>243</v>
      </c>
      <c r="I286" s="186"/>
      <c r="J286" s="186">
        <v>354</v>
      </c>
      <c r="K286" s="186"/>
      <c r="L286" s="186"/>
      <c r="M286" s="90"/>
      <c r="N286" s="90"/>
      <c r="O286" s="90"/>
      <c r="P286" s="186"/>
      <c r="Q286" s="186"/>
      <c r="R286" s="122"/>
      <c r="S286" s="186"/>
      <c r="T286" s="186"/>
      <c r="U286" s="186"/>
      <c r="V286" s="186"/>
      <c r="W286" s="186"/>
      <c r="X286" s="186"/>
      <c r="Y286" s="186"/>
      <c r="Z286" s="186"/>
      <c r="AA286" s="186"/>
      <c r="AB286" s="186"/>
      <c r="AC286" s="186"/>
      <c r="AD286" s="186"/>
      <c r="AE286" s="186"/>
    </row>
    <row r="287" spans="1:31" ht="18.75" customHeight="1">
      <c r="A287" s="213"/>
      <c r="B287" s="213"/>
      <c r="C287" s="210"/>
      <c r="D287" s="210"/>
      <c r="E287" s="186" t="s">
        <v>55</v>
      </c>
      <c r="F287" s="186" t="s">
        <v>4366</v>
      </c>
      <c r="G287" s="186" t="s">
        <v>329</v>
      </c>
      <c r="H287" s="186" t="s">
        <v>243</v>
      </c>
      <c r="I287" s="186"/>
      <c r="J287" s="186">
        <v>355</v>
      </c>
      <c r="K287" s="186"/>
      <c r="L287" s="186"/>
      <c r="M287" s="90"/>
      <c r="N287" s="90"/>
      <c r="O287" s="90"/>
      <c r="P287" s="186"/>
      <c r="Q287" s="186"/>
      <c r="R287" s="122"/>
      <c r="S287" s="186"/>
      <c r="T287" s="186"/>
      <c r="U287" s="186"/>
      <c r="V287" s="186"/>
      <c r="W287" s="186"/>
      <c r="X287" s="186"/>
      <c r="Y287" s="186"/>
      <c r="Z287" s="186"/>
      <c r="AA287" s="186"/>
      <c r="AB287" s="186"/>
      <c r="AC287" s="186"/>
      <c r="AD287" s="186"/>
      <c r="AE287" s="186"/>
    </row>
    <row r="288" spans="1:31" ht="18.75" customHeight="1">
      <c r="A288" s="213"/>
      <c r="B288" s="213"/>
      <c r="C288" s="210"/>
      <c r="D288" s="210"/>
      <c r="E288" s="186" t="s">
        <v>55</v>
      </c>
      <c r="F288" s="186" t="s">
        <v>4367</v>
      </c>
      <c r="G288" s="186" t="s">
        <v>329</v>
      </c>
      <c r="H288" s="186" t="s">
        <v>243</v>
      </c>
      <c r="I288" s="186"/>
      <c r="J288" s="186">
        <v>356</v>
      </c>
      <c r="K288" s="186"/>
      <c r="L288" s="186"/>
      <c r="M288" s="90"/>
      <c r="N288" s="90"/>
      <c r="O288" s="90"/>
      <c r="P288" s="186"/>
      <c r="Q288" s="186"/>
      <c r="R288" s="122"/>
      <c r="S288" s="186"/>
      <c r="T288" s="186"/>
      <c r="U288" s="186"/>
      <c r="V288" s="186"/>
      <c r="W288" s="186"/>
      <c r="X288" s="186"/>
      <c r="Y288" s="186"/>
      <c r="Z288" s="186"/>
      <c r="AA288" s="186"/>
      <c r="AB288" s="186"/>
      <c r="AC288" s="186"/>
      <c r="AD288" s="186"/>
      <c r="AE288" s="186"/>
    </row>
    <row r="289" spans="1:31" ht="18.75" customHeight="1">
      <c r="A289" s="213"/>
      <c r="B289" s="213"/>
      <c r="C289" s="210"/>
      <c r="D289" s="210"/>
      <c r="E289" s="186" t="s">
        <v>55</v>
      </c>
      <c r="F289" s="186" t="s">
        <v>4368</v>
      </c>
      <c r="G289" s="186" t="s">
        <v>329</v>
      </c>
      <c r="H289" s="186" t="s">
        <v>243</v>
      </c>
      <c r="I289" s="186"/>
      <c r="J289" s="186">
        <v>357</v>
      </c>
      <c r="K289" s="186"/>
      <c r="L289" s="186"/>
      <c r="M289" s="90"/>
      <c r="N289" s="90"/>
      <c r="O289" s="90"/>
      <c r="P289" s="186"/>
      <c r="Q289" s="186"/>
      <c r="R289" s="122"/>
      <c r="S289" s="186"/>
      <c r="T289" s="186"/>
      <c r="U289" s="186"/>
      <c r="V289" s="186"/>
      <c r="W289" s="186"/>
      <c r="X289" s="186"/>
      <c r="Y289" s="186"/>
      <c r="Z289" s="186"/>
      <c r="AA289" s="186"/>
      <c r="AB289" s="186"/>
      <c r="AC289" s="186"/>
      <c r="AD289" s="186"/>
      <c r="AE289" s="186"/>
    </row>
    <row r="290" spans="1:31" ht="18.75" customHeight="1">
      <c r="A290" s="213"/>
      <c r="B290" s="213"/>
      <c r="C290" s="210"/>
      <c r="D290" s="210"/>
      <c r="E290" s="186" t="s">
        <v>55</v>
      </c>
      <c r="F290" s="186" t="s">
        <v>4369</v>
      </c>
      <c r="G290" s="186" t="s">
        <v>329</v>
      </c>
      <c r="H290" s="186" t="s">
        <v>243</v>
      </c>
      <c r="I290" s="186"/>
      <c r="J290" s="186">
        <v>225</v>
      </c>
      <c r="K290" s="186"/>
      <c r="L290" s="186"/>
      <c r="M290" s="90"/>
      <c r="N290" s="90"/>
      <c r="O290" s="90"/>
      <c r="P290" s="186"/>
      <c r="Q290" s="186"/>
      <c r="R290" s="122"/>
      <c r="S290" s="186"/>
      <c r="T290" s="186"/>
      <c r="U290" s="186"/>
      <c r="V290" s="186"/>
      <c r="W290" s="186"/>
      <c r="X290" s="186"/>
      <c r="Y290" s="186"/>
      <c r="Z290" s="186"/>
      <c r="AA290" s="186"/>
      <c r="AB290" s="186"/>
      <c r="AC290" s="186"/>
      <c r="AD290" s="186"/>
      <c r="AE290" s="186"/>
    </row>
    <row r="291" spans="1:31" ht="18.75" customHeight="1">
      <c r="A291" s="213"/>
      <c r="B291" s="213"/>
      <c r="C291" s="210"/>
      <c r="D291" s="210"/>
      <c r="E291" s="186" t="s">
        <v>55</v>
      </c>
      <c r="F291" s="186" t="s">
        <v>4370</v>
      </c>
      <c r="G291" s="186" t="s">
        <v>329</v>
      </c>
      <c r="H291" s="186" t="s">
        <v>243</v>
      </c>
      <c r="I291" s="186"/>
      <c r="J291" s="186">
        <v>226</v>
      </c>
      <c r="K291" s="186"/>
      <c r="L291" s="186"/>
      <c r="M291" s="90"/>
      <c r="N291" s="90"/>
      <c r="O291" s="90"/>
      <c r="P291" s="186"/>
      <c r="Q291" s="186"/>
      <c r="R291" s="122"/>
      <c r="S291" s="186"/>
      <c r="T291" s="186"/>
      <c r="U291" s="186"/>
      <c r="V291" s="186"/>
      <c r="W291" s="186"/>
      <c r="X291" s="186"/>
      <c r="Y291" s="186"/>
      <c r="Z291" s="186"/>
      <c r="AA291" s="186"/>
      <c r="AB291" s="186"/>
      <c r="AC291" s="186"/>
      <c r="AD291" s="186"/>
      <c r="AE291" s="186"/>
    </row>
    <row r="292" spans="1:31" ht="18.75" customHeight="1">
      <c r="A292" s="213"/>
      <c r="B292" s="213"/>
      <c r="C292" s="210"/>
      <c r="D292" s="210"/>
      <c r="E292" s="186" t="s">
        <v>55</v>
      </c>
      <c r="F292" s="186" t="s">
        <v>4371</v>
      </c>
      <c r="G292" s="186" t="s">
        <v>329</v>
      </c>
      <c r="H292" s="186" t="s">
        <v>243</v>
      </c>
      <c r="I292" s="186"/>
      <c r="J292" s="186">
        <v>227</v>
      </c>
      <c r="K292" s="186"/>
      <c r="L292" s="186"/>
      <c r="M292" s="90"/>
      <c r="N292" s="90"/>
      <c r="O292" s="90"/>
      <c r="P292" s="186"/>
      <c r="Q292" s="186"/>
      <c r="R292" s="122"/>
      <c r="S292" s="186"/>
      <c r="T292" s="186"/>
      <c r="U292" s="186"/>
      <c r="V292" s="186"/>
      <c r="W292" s="186"/>
      <c r="X292" s="186"/>
      <c r="Y292" s="186"/>
      <c r="Z292" s="186"/>
      <c r="AA292" s="186"/>
      <c r="AB292" s="186"/>
      <c r="AC292" s="186"/>
      <c r="AD292" s="186"/>
      <c r="AE292" s="186"/>
    </row>
    <row r="293" spans="1:31" ht="18.75" customHeight="1">
      <c r="A293" s="213"/>
      <c r="B293" s="213"/>
      <c r="C293" s="210"/>
      <c r="D293" s="210"/>
      <c r="E293" s="186" t="s">
        <v>55</v>
      </c>
      <c r="F293" s="186" t="s">
        <v>4372</v>
      </c>
      <c r="G293" s="186" t="s">
        <v>329</v>
      </c>
      <c r="H293" s="186" t="s">
        <v>243</v>
      </c>
      <c r="I293" s="186"/>
      <c r="J293" s="186">
        <v>228</v>
      </c>
      <c r="K293" s="186"/>
      <c r="L293" s="186"/>
      <c r="M293" s="90"/>
      <c r="N293" s="90"/>
      <c r="O293" s="90"/>
      <c r="P293" s="186"/>
      <c r="Q293" s="186"/>
      <c r="R293" s="122"/>
      <c r="S293" s="186"/>
      <c r="T293" s="186"/>
      <c r="U293" s="186"/>
      <c r="V293" s="186"/>
      <c r="W293" s="186"/>
      <c r="X293" s="186"/>
      <c r="Y293" s="186"/>
      <c r="Z293" s="186"/>
      <c r="AA293" s="186"/>
      <c r="AB293" s="186"/>
      <c r="AC293" s="186"/>
      <c r="AD293" s="186"/>
      <c r="AE293" s="186"/>
    </row>
    <row r="294" spans="1:31" ht="18.75" customHeight="1">
      <c r="A294" s="213"/>
      <c r="B294" s="213"/>
      <c r="C294" s="210"/>
      <c r="D294" s="210"/>
      <c r="E294" s="186" t="s">
        <v>55</v>
      </c>
      <c r="F294" s="186" t="s">
        <v>4373</v>
      </c>
      <c r="G294" s="186" t="s">
        <v>329</v>
      </c>
      <c r="H294" s="186" t="s">
        <v>243</v>
      </c>
      <c r="I294" s="186"/>
      <c r="J294" s="186">
        <v>229</v>
      </c>
      <c r="K294" s="186"/>
      <c r="L294" s="186"/>
      <c r="M294" s="90"/>
      <c r="N294" s="90"/>
      <c r="O294" s="90"/>
      <c r="P294" s="186"/>
      <c r="Q294" s="186"/>
      <c r="R294" s="122"/>
      <c r="S294" s="186" t="s">
        <v>4374</v>
      </c>
      <c r="T294" s="186"/>
      <c r="U294" s="186"/>
      <c r="V294" s="186"/>
      <c r="W294" s="186"/>
      <c r="X294" s="186"/>
      <c r="Y294" s="186"/>
      <c r="Z294" s="186"/>
      <c r="AA294" s="186"/>
      <c r="AB294" s="186"/>
      <c r="AC294" s="186"/>
      <c r="AD294" s="186"/>
      <c r="AE294" s="186"/>
    </row>
    <row r="295" spans="1:31" ht="18.75" customHeight="1">
      <c r="A295" s="213"/>
      <c r="B295" s="213"/>
      <c r="C295" s="210"/>
      <c r="D295" s="210"/>
      <c r="E295" s="186" t="s">
        <v>55</v>
      </c>
      <c r="F295" s="186" t="s">
        <v>4375</v>
      </c>
      <c r="G295" s="186" t="s">
        <v>329</v>
      </c>
      <c r="H295" s="186" t="s">
        <v>243</v>
      </c>
      <c r="I295" s="186"/>
      <c r="J295" s="186">
        <v>230</v>
      </c>
      <c r="K295" s="186"/>
      <c r="L295" s="186"/>
      <c r="M295" s="90"/>
      <c r="N295" s="90"/>
      <c r="O295" s="90"/>
      <c r="P295" s="186"/>
      <c r="Q295" s="186"/>
      <c r="R295" s="122"/>
      <c r="S295" s="186" t="s">
        <v>4376</v>
      </c>
      <c r="T295" s="186"/>
      <c r="U295" s="186"/>
      <c r="V295" s="186"/>
      <c r="W295" s="186"/>
      <c r="X295" s="186"/>
      <c r="Y295" s="186"/>
      <c r="Z295" s="186"/>
      <c r="AA295" s="186"/>
      <c r="AB295" s="186"/>
      <c r="AC295" s="186"/>
      <c r="AD295" s="186"/>
      <c r="AE295" s="186"/>
    </row>
    <row r="296" spans="1:31" ht="18.75" customHeight="1">
      <c r="A296" s="213"/>
      <c r="B296" s="213"/>
      <c r="C296" s="210"/>
      <c r="D296" s="210"/>
      <c r="E296" s="186" t="s">
        <v>55</v>
      </c>
      <c r="F296" s="186" t="s">
        <v>4377</v>
      </c>
      <c r="G296" s="186" t="s">
        <v>329</v>
      </c>
      <c r="H296" s="186" t="s">
        <v>243</v>
      </c>
      <c r="I296" s="186"/>
      <c r="J296" s="186">
        <v>231</v>
      </c>
      <c r="K296" s="186"/>
      <c r="L296" s="186"/>
      <c r="M296" s="90"/>
      <c r="N296" s="90"/>
      <c r="O296" s="90"/>
      <c r="P296" s="186"/>
      <c r="Q296" s="186"/>
      <c r="R296" s="122"/>
      <c r="S296" s="186" t="s">
        <v>4378</v>
      </c>
      <c r="T296" s="186"/>
      <c r="U296" s="186"/>
      <c r="V296" s="186"/>
      <c r="W296" s="186"/>
      <c r="X296" s="186"/>
      <c r="Y296" s="186"/>
      <c r="Z296" s="186"/>
      <c r="AA296" s="186"/>
      <c r="AB296" s="186"/>
      <c r="AC296" s="186"/>
      <c r="AD296" s="186"/>
      <c r="AE296" s="186"/>
    </row>
    <row r="297" spans="1:31" ht="18.75" customHeight="1">
      <c r="A297" s="213"/>
      <c r="B297" s="213"/>
      <c r="C297" s="210"/>
      <c r="D297" s="210"/>
      <c r="E297" s="186" t="s">
        <v>55</v>
      </c>
      <c r="F297" s="186" t="s">
        <v>4379</v>
      </c>
      <c r="G297" s="186" t="s">
        <v>329</v>
      </c>
      <c r="H297" s="186" t="s">
        <v>243</v>
      </c>
      <c r="I297" s="186"/>
      <c r="J297" s="186">
        <v>232</v>
      </c>
      <c r="K297" s="186"/>
      <c r="L297" s="186"/>
      <c r="M297" s="90"/>
      <c r="N297" s="90"/>
      <c r="O297" s="90"/>
      <c r="P297" s="186"/>
      <c r="Q297" s="186"/>
      <c r="R297" s="122"/>
      <c r="S297" s="186" t="s">
        <v>4380</v>
      </c>
      <c r="T297" s="186"/>
      <c r="U297" s="186"/>
      <c r="V297" s="186"/>
      <c r="W297" s="186"/>
      <c r="X297" s="186"/>
      <c r="Y297" s="186"/>
      <c r="Z297" s="186"/>
      <c r="AA297" s="186"/>
      <c r="AB297" s="186"/>
      <c r="AC297" s="186"/>
      <c r="AD297" s="186"/>
      <c r="AE297" s="186"/>
    </row>
    <row r="298" spans="1:31" ht="18.75" customHeight="1">
      <c r="A298" s="213"/>
      <c r="B298" s="213"/>
      <c r="C298" s="210"/>
      <c r="D298" s="210"/>
      <c r="E298" s="186" t="s">
        <v>55</v>
      </c>
      <c r="F298" s="186" t="s">
        <v>4381</v>
      </c>
      <c r="G298" s="186" t="s">
        <v>329</v>
      </c>
      <c r="H298" s="186" t="s">
        <v>243</v>
      </c>
      <c r="I298" s="186"/>
      <c r="J298" s="186">
        <v>324</v>
      </c>
      <c r="K298" s="186"/>
      <c r="L298" s="186"/>
      <c r="M298" s="90"/>
      <c r="N298" s="90"/>
      <c r="O298" s="90"/>
      <c r="P298" s="186"/>
      <c r="Q298" s="186"/>
      <c r="R298" s="122"/>
      <c r="S298" s="186"/>
      <c r="T298" s="186"/>
      <c r="U298" s="186"/>
      <c r="V298" s="186"/>
      <c r="W298" s="186"/>
      <c r="X298" s="186"/>
      <c r="Y298" s="186"/>
      <c r="Z298" s="186"/>
      <c r="AA298" s="186"/>
      <c r="AB298" s="186"/>
      <c r="AC298" s="186"/>
      <c r="AD298" s="186"/>
      <c r="AE298" s="186"/>
    </row>
    <row r="299" spans="1:31" ht="18.75" customHeight="1">
      <c r="A299" s="213"/>
      <c r="B299" s="213"/>
      <c r="C299" s="210"/>
      <c r="D299" s="210"/>
      <c r="E299" s="186" t="s">
        <v>55</v>
      </c>
      <c r="F299" s="186" t="s">
        <v>4382</v>
      </c>
      <c r="G299" s="186" t="s">
        <v>329</v>
      </c>
      <c r="H299" s="186" t="s">
        <v>243</v>
      </c>
      <c r="I299" s="186"/>
      <c r="J299" s="186">
        <v>233</v>
      </c>
      <c r="K299" s="186"/>
      <c r="L299" s="186"/>
      <c r="M299" s="90"/>
      <c r="N299" s="90"/>
      <c r="O299" s="90"/>
      <c r="P299" s="186"/>
      <c r="Q299" s="186"/>
      <c r="R299" s="122"/>
      <c r="S299" s="186" t="s">
        <v>4383</v>
      </c>
      <c r="T299" s="186"/>
      <c r="U299" s="186"/>
      <c r="V299" s="186"/>
      <c r="W299" s="186"/>
      <c r="X299" s="186"/>
      <c r="Y299" s="186"/>
      <c r="Z299" s="186"/>
      <c r="AA299" s="186"/>
      <c r="AB299" s="186"/>
      <c r="AC299" s="186"/>
      <c r="AD299" s="186"/>
      <c r="AE299" s="186"/>
    </row>
    <row r="300" spans="1:31" ht="18.75" customHeight="1">
      <c r="A300" s="213"/>
      <c r="B300" s="213"/>
      <c r="C300" s="210"/>
      <c r="D300" s="210"/>
      <c r="E300" s="186" t="s">
        <v>55</v>
      </c>
      <c r="F300" s="186" t="s">
        <v>4384</v>
      </c>
      <c r="G300" s="186" t="s">
        <v>329</v>
      </c>
      <c r="H300" s="186" t="s">
        <v>243</v>
      </c>
      <c r="I300" s="186"/>
      <c r="J300" s="186">
        <v>234</v>
      </c>
      <c r="K300" s="186"/>
      <c r="L300" s="186"/>
      <c r="M300" s="90"/>
      <c r="N300" s="90"/>
      <c r="O300" s="90"/>
      <c r="P300" s="186"/>
      <c r="Q300" s="186"/>
      <c r="R300" s="122"/>
      <c r="S300" s="186" t="s">
        <v>4385</v>
      </c>
      <c r="T300" s="186"/>
      <c r="U300" s="186"/>
      <c r="V300" s="186"/>
      <c r="W300" s="186"/>
      <c r="X300" s="186"/>
      <c r="Y300" s="186"/>
      <c r="Z300" s="186"/>
      <c r="AA300" s="186"/>
      <c r="AB300" s="186"/>
      <c r="AC300" s="186"/>
      <c r="AD300" s="186"/>
      <c r="AE300" s="186"/>
    </row>
    <row r="301" spans="1:31" ht="18.75" customHeight="1">
      <c r="A301" s="213"/>
      <c r="B301" s="213"/>
      <c r="C301" s="210"/>
      <c r="D301" s="210"/>
      <c r="E301" s="186" t="s">
        <v>55</v>
      </c>
      <c r="F301" s="186" t="s">
        <v>4386</v>
      </c>
      <c r="G301" s="186" t="s">
        <v>329</v>
      </c>
      <c r="H301" s="186" t="s">
        <v>243</v>
      </c>
      <c r="I301" s="186"/>
      <c r="J301" s="186">
        <v>325</v>
      </c>
      <c r="K301" s="186"/>
      <c r="L301" s="186"/>
      <c r="M301" s="90"/>
      <c r="N301" s="90"/>
      <c r="O301" s="90"/>
      <c r="P301" s="186"/>
      <c r="Q301" s="186"/>
      <c r="R301" s="122"/>
      <c r="S301" s="186"/>
      <c r="T301" s="186"/>
      <c r="U301" s="186"/>
      <c r="V301" s="186"/>
      <c r="W301" s="186"/>
      <c r="X301" s="186"/>
      <c r="Y301" s="186"/>
      <c r="Z301" s="186"/>
      <c r="AA301" s="186"/>
      <c r="AB301" s="186"/>
      <c r="AC301" s="186"/>
      <c r="AD301" s="186"/>
      <c r="AE301" s="186"/>
    </row>
    <row r="302" spans="1:31" ht="18.75" customHeight="1">
      <c r="A302" s="213"/>
      <c r="B302" s="213"/>
      <c r="C302" s="210"/>
      <c r="D302" s="210"/>
      <c r="E302" s="186" t="s">
        <v>55</v>
      </c>
      <c r="F302" s="186" t="s">
        <v>4387</v>
      </c>
      <c r="G302" s="186" t="s">
        <v>329</v>
      </c>
      <c r="H302" s="186" t="s">
        <v>243</v>
      </c>
      <c r="I302" s="186"/>
      <c r="J302" s="186">
        <v>235</v>
      </c>
      <c r="K302" s="186"/>
      <c r="L302" s="186"/>
      <c r="M302" s="90"/>
      <c r="N302" s="90"/>
      <c r="O302" s="90"/>
      <c r="P302" s="186"/>
      <c r="Q302" s="186"/>
      <c r="R302" s="122"/>
      <c r="S302" s="186" t="s">
        <v>4388</v>
      </c>
      <c r="T302" s="186"/>
      <c r="U302" s="186"/>
      <c r="V302" s="186"/>
      <c r="W302" s="186"/>
      <c r="X302" s="186"/>
      <c r="Y302" s="186"/>
      <c r="Z302" s="186"/>
      <c r="AA302" s="186"/>
      <c r="AB302" s="186"/>
      <c r="AC302" s="186"/>
      <c r="AD302" s="186"/>
      <c r="AE302" s="186"/>
    </row>
    <row r="303" spans="1:31" ht="18.75" customHeight="1">
      <c r="A303" s="213"/>
      <c r="B303" s="213"/>
      <c r="C303" s="210"/>
      <c r="D303" s="210"/>
      <c r="E303" s="186" t="s">
        <v>55</v>
      </c>
      <c r="F303" s="186" t="s">
        <v>4389</v>
      </c>
      <c r="G303" s="186" t="s">
        <v>329</v>
      </c>
      <c r="H303" s="186" t="s">
        <v>243</v>
      </c>
      <c r="I303" s="186"/>
      <c r="J303" s="186">
        <v>321</v>
      </c>
      <c r="K303" s="186"/>
      <c r="L303" s="186"/>
      <c r="M303" s="90"/>
      <c r="N303" s="90"/>
      <c r="O303" s="90"/>
      <c r="P303" s="186"/>
      <c r="Q303" s="186"/>
      <c r="R303" s="122"/>
      <c r="S303" s="186"/>
      <c r="T303" s="186"/>
      <c r="U303" s="186"/>
      <c r="V303" s="186"/>
      <c r="W303" s="186"/>
      <c r="X303" s="186"/>
      <c r="Y303" s="186"/>
      <c r="Z303" s="186"/>
      <c r="AA303" s="186"/>
      <c r="AB303" s="186"/>
      <c r="AC303" s="186"/>
      <c r="AD303" s="186"/>
      <c r="AE303" s="186"/>
    </row>
    <row r="304" spans="1:31" ht="18.75" customHeight="1">
      <c r="A304" s="213"/>
      <c r="B304" s="213"/>
      <c r="C304" s="210"/>
      <c r="D304" s="210"/>
      <c r="E304" s="186" t="s">
        <v>55</v>
      </c>
      <c r="F304" s="186" t="s">
        <v>4390</v>
      </c>
      <c r="G304" s="186" t="s">
        <v>329</v>
      </c>
      <c r="H304" s="186" t="s">
        <v>243</v>
      </c>
      <c r="I304" s="186"/>
      <c r="J304" s="186">
        <v>236</v>
      </c>
      <c r="K304" s="186"/>
      <c r="L304" s="186"/>
      <c r="M304" s="90"/>
      <c r="N304" s="90"/>
      <c r="O304" s="90"/>
      <c r="P304" s="186"/>
      <c r="Q304" s="186"/>
      <c r="R304" s="122"/>
      <c r="S304" s="186" t="s">
        <v>4391</v>
      </c>
      <c r="T304" s="186"/>
      <c r="U304" s="186"/>
      <c r="V304" s="186"/>
      <c r="W304" s="186"/>
      <c r="X304" s="186"/>
      <c r="Y304" s="186"/>
      <c r="Z304" s="186"/>
      <c r="AA304" s="186"/>
      <c r="AB304" s="186"/>
      <c r="AC304" s="186"/>
      <c r="AD304" s="186"/>
      <c r="AE304" s="186"/>
    </row>
    <row r="305" spans="1:31" ht="18.75" customHeight="1">
      <c r="A305" s="213"/>
      <c r="B305" s="213"/>
      <c r="C305" s="210"/>
      <c r="D305" s="210"/>
      <c r="E305" s="186" t="s">
        <v>55</v>
      </c>
      <c r="F305" s="186" t="s">
        <v>4392</v>
      </c>
      <c r="G305" s="186" t="s">
        <v>329</v>
      </c>
      <c r="H305" s="186" t="s">
        <v>243</v>
      </c>
      <c r="I305" s="186"/>
      <c r="J305" s="186">
        <v>237</v>
      </c>
      <c r="K305" s="186"/>
      <c r="L305" s="186"/>
      <c r="M305" s="90"/>
      <c r="N305" s="90"/>
      <c r="O305" s="90"/>
      <c r="P305" s="186"/>
      <c r="Q305" s="186"/>
      <c r="R305" s="122"/>
      <c r="S305" s="186"/>
      <c r="T305" s="186"/>
      <c r="U305" s="186"/>
      <c r="V305" s="186"/>
      <c r="W305" s="186"/>
      <c r="X305" s="186"/>
      <c r="Y305" s="186"/>
      <c r="Z305" s="186"/>
      <c r="AA305" s="186"/>
      <c r="AB305" s="186"/>
      <c r="AC305" s="186"/>
      <c r="AD305" s="186"/>
      <c r="AE305" s="186"/>
    </row>
    <row r="306" spans="1:31" ht="18.75" customHeight="1">
      <c r="A306" s="213"/>
      <c r="B306" s="213"/>
      <c r="C306" s="210"/>
      <c r="D306" s="210"/>
      <c r="E306" s="186" t="s">
        <v>55</v>
      </c>
      <c r="F306" s="186" t="s">
        <v>4393</v>
      </c>
      <c r="G306" s="186" t="s">
        <v>329</v>
      </c>
      <c r="H306" s="186" t="s">
        <v>243</v>
      </c>
      <c r="I306" s="186"/>
      <c r="J306" s="186">
        <v>238</v>
      </c>
      <c r="K306" s="186"/>
      <c r="L306" s="186"/>
      <c r="M306" s="90"/>
      <c r="N306" s="90"/>
      <c r="O306" s="90"/>
      <c r="P306" s="186"/>
      <c r="Q306" s="186"/>
      <c r="R306" s="122"/>
      <c r="S306" s="186"/>
      <c r="T306" s="186"/>
      <c r="U306" s="186"/>
      <c r="V306" s="186"/>
      <c r="W306" s="186"/>
      <c r="X306" s="186"/>
      <c r="Y306" s="186"/>
      <c r="Z306" s="186"/>
      <c r="AA306" s="186"/>
      <c r="AB306" s="186"/>
      <c r="AC306" s="186"/>
      <c r="AD306" s="186"/>
      <c r="AE306" s="186"/>
    </row>
    <row r="307" spans="1:31" ht="18.75" customHeight="1">
      <c r="A307" s="213"/>
      <c r="B307" s="213"/>
      <c r="C307" s="210"/>
      <c r="D307" s="210"/>
      <c r="E307" s="186" t="s">
        <v>55</v>
      </c>
      <c r="F307" s="186" t="s">
        <v>4394</v>
      </c>
      <c r="G307" s="186" t="s">
        <v>329</v>
      </c>
      <c r="H307" s="186" t="s">
        <v>243</v>
      </c>
      <c r="I307" s="186"/>
      <c r="J307" s="186">
        <v>239</v>
      </c>
      <c r="K307" s="186"/>
      <c r="L307" s="186"/>
      <c r="M307" s="90"/>
      <c r="N307" s="90"/>
      <c r="O307" s="90"/>
      <c r="P307" s="186"/>
      <c r="Q307" s="186"/>
      <c r="R307" s="122"/>
      <c r="S307" s="186"/>
      <c r="T307" s="186"/>
      <c r="U307" s="186"/>
      <c r="V307" s="186"/>
      <c r="W307" s="186"/>
      <c r="X307" s="186"/>
      <c r="Y307" s="186"/>
      <c r="Z307" s="186"/>
      <c r="AA307" s="186"/>
      <c r="AB307" s="186"/>
      <c r="AC307" s="186"/>
      <c r="AD307" s="186"/>
      <c r="AE307" s="186"/>
    </row>
    <row r="308" spans="1:31" ht="18.75" customHeight="1">
      <c r="A308" s="213"/>
      <c r="B308" s="213"/>
      <c r="C308" s="210"/>
      <c r="D308" s="210"/>
      <c r="E308" s="186" t="s">
        <v>55</v>
      </c>
      <c r="F308" s="186" t="s">
        <v>4395</v>
      </c>
      <c r="G308" s="186" t="s">
        <v>329</v>
      </c>
      <c r="H308" s="186" t="s">
        <v>243</v>
      </c>
      <c r="I308" s="186"/>
      <c r="J308" s="186">
        <v>240</v>
      </c>
      <c r="K308" s="186"/>
      <c r="L308" s="186"/>
      <c r="M308" s="90"/>
      <c r="N308" s="90"/>
      <c r="O308" s="90"/>
      <c r="P308" s="186"/>
      <c r="Q308" s="186"/>
      <c r="R308" s="122"/>
      <c r="S308" s="186"/>
      <c r="T308" s="186"/>
      <c r="U308" s="186"/>
      <c r="V308" s="186"/>
      <c r="W308" s="186"/>
      <c r="X308" s="186"/>
      <c r="Y308" s="186"/>
      <c r="Z308" s="186"/>
      <c r="AA308" s="186"/>
      <c r="AB308" s="186"/>
      <c r="AC308" s="186"/>
      <c r="AD308" s="186"/>
      <c r="AE308" s="186"/>
    </row>
    <row r="309" spans="1:31" ht="18.75" customHeight="1">
      <c r="A309" s="213"/>
      <c r="B309" s="213"/>
      <c r="C309" s="210"/>
      <c r="D309" s="210"/>
      <c r="E309" s="186" t="s">
        <v>55</v>
      </c>
      <c r="F309" s="186" t="s">
        <v>4396</v>
      </c>
      <c r="G309" s="186" t="s">
        <v>329</v>
      </c>
      <c r="H309" s="186" t="s">
        <v>243</v>
      </c>
      <c r="I309" s="186"/>
      <c r="J309" s="186">
        <v>241</v>
      </c>
      <c r="K309" s="186"/>
      <c r="L309" s="186"/>
      <c r="M309" s="90"/>
      <c r="N309" s="90"/>
      <c r="O309" s="90"/>
      <c r="P309" s="186"/>
      <c r="Q309" s="186"/>
      <c r="R309" s="122"/>
      <c r="S309" s="186"/>
      <c r="T309" s="186"/>
      <c r="U309" s="186"/>
      <c r="V309" s="186"/>
      <c r="W309" s="186"/>
      <c r="X309" s="186"/>
      <c r="Y309" s="186"/>
      <c r="Z309" s="186"/>
      <c r="AA309" s="186"/>
      <c r="AB309" s="186"/>
      <c r="AC309" s="186"/>
      <c r="AD309" s="186"/>
      <c r="AE309" s="186"/>
    </row>
    <row r="310" spans="1:31" ht="18.75" customHeight="1">
      <c r="A310" s="213"/>
      <c r="B310" s="213"/>
      <c r="C310" s="210"/>
      <c r="D310" s="210"/>
      <c r="E310" s="186" t="s">
        <v>59</v>
      </c>
      <c r="F310" s="186" t="s">
        <v>404</v>
      </c>
      <c r="G310" s="186" t="s">
        <v>329</v>
      </c>
      <c r="H310" s="186" t="s">
        <v>243</v>
      </c>
      <c r="I310" s="186"/>
      <c r="J310" s="186">
        <v>242</v>
      </c>
      <c r="K310" s="186"/>
      <c r="L310" s="186"/>
      <c r="M310" s="90"/>
      <c r="N310" s="90"/>
      <c r="O310" s="90"/>
      <c r="P310" s="186"/>
      <c r="Q310" s="186"/>
      <c r="R310" s="122"/>
      <c r="S310" s="186" t="s">
        <v>4397</v>
      </c>
      <c r="T310" s="186"/>
      <c r="U310" s="186"/>
      <c r="V310" s="186"/>
      <c r="W310" s="186"/>
      <c r="X310" s="186"/>
      <c r="Y310" s="186"/>
      <c r="Z310" s="186"/>
      <c r="AA310" s="186"/>
      <c r="AB310" s="186"/>
      <c r="AC310" s="186"/>
      <c r="AD310" s="186"/>
      <c r="AE310" s="186"/>
    </row>
    <row r="311" spans="1:31" ht="18.75" customHeight="1">
      <c r="A311" s="213"/>
      <c r="B311" s="213"/>
      <c r="C311" s="210"/>
      <c r="D311" s="210"/>
      <c r="E311" s="186" t="s">
        <v>59</v>
      </c>
      <c r="F311" s="186" t="s">
        <v>328</v>
      </c>
      <c r="G311" s="186" t="s">
        <v>329</v>
      </c>
      <c r="H311" s="186" t="s">
        <v>243</v>
      </c>
      <c r="I311" s="186"/>
      <c r="J311" s="186">
        <v>243</v>
      </c>
      <c r="K311" s="186"/>
      <c r="L311" s="186"/>
      <c r="M311" s="90"/>
      <c r="N311" s="90"/>
      <c r="O311" s="90"/>
      <c r="P311" s="186"/>
      <c r="Q311" s="186"/>
      <c r="R311" s="122"/>
      <c r="S311" s="186" t="s">
        <v>4398</v>
      </c>
      <c r="T311" s="186"/>
      <c r="U311" s="186"/>
      <c r="V311" s="186"/>
      <c r="W311" s="186"/>
      <c r="X311" s="186"/>
      <c r="Y311" s="186"/>
      <c r="Z311" s="186"/>
      <c r="AA311" s="186"/>
      <c r="AB311" s="186"/>
      <c r="AC311" s="186"/>
      <c r="AD311" s="186"/>
      <c r="AE311" s="186"/>
    </row>
    <row r="312" spans="1:31" ht="18.75" customHeight="1">
      <c r="A312" s="213"/>
      <c r="B312" s="213"/>
      <c r="C312" s="210"/>
      <c r="D312" s="210"/>
      <c r="E312" s="186" t="s">
        <v>55</v>
      </c>
      <c r="F312" s="186" t="s">
        <v>4399</v>
      </c>
      <c r="G312" s="186" t="s">
        <v>329</v>
      </c>
      <c r="H312" s="186" t="s">
        <v>243</v>
      </c>
      <c r="I312" s="186"/>
      <c r="J312" s="186">
        <v>244</v>
      </c>
      <c r="K312" s="186"/>
      <c r="L312" s="186"/>
      <c r="M312" s="90"/>
      <c r="N312" s="90"/>
      <c r="O312" s="90"/>
      <c r="P312" s="186"/>
      <c r="Q312" s="186"/>
      <c r="R312" s="122"/>
      <c r="S312" s="186" t="s">
        <v>4400</v>
      </c>
      <c r="T312" s="186"/>
      <c r="U312" s="186"/>
      <c r="V312" s="186"/>
      <c r="W312" s="186"/>
      <c r="X312" s="186"/>
      <c r="Y312" s="186"/>
      <c r="Z312" s="186"/>
      <c r="AA312" s="186"/>
      <c r="AB312" s="186"/>
      <c r="AC312" s="186"/>
      <c r="AD312" s="186"/>
      <c r="AE312" s="186"/>
    </row>
    <row r="313" spans="1:31" ht="18.75" customHeight="1">
      <c r="A313" s="213"/>
      <c r="B313" s="213"/>
      <c r="C313" s="210"/>
      <c r="D313" s="210"/>
      <c r="E313" s="186" t="s">
        <v>55</v>
      </c>
      <c r="F313" s="186" t="s">
        <v>4401</v>
      </c>
      <c r="G313" s="186" t="s">
        <v>329</v>
      </c>
      <c r="H313" s="186" t="s">
        <v>243</v>
      </c>
      <c r="I313" s="186"/>
      <c r="J313" s="186">
        <v>245</v>
      </c>
      <c r="K313" s="186"/>
      <c r="L313" s="186"/>
      <c r="M313" s="90"/>
      <c r="N313" s="90"/>
      <c r="O313" s="90"/>
      <c r="P313" s="186"/>
      <c r="Q313" s="186"/>
      <c r="R313" s="122"/>
      <c r="S313" s="186"/>
      <c r="T313" s="186"/>
      <c r="U313" s="186"/>
      <c r="V313" s="186"/>
      <c r="W313" s="186"/>
      <c r="X313" s="186"/>
      <c r="Y313" s="186"/>
      <c r="Z313" s="186"/>
      <c r="AA313" s="186"/>
      <c r="AB313" s="186"/>
      <c r="AC313" s="186"/>
      <c r="AD313" s="186"/>
      <c r="AE313" s="186"/>
    </row>
    <row r="314" spans="1:31" ht="18.75" customHeight="1">
      <c r="A314" s="213"/>
      <c r="B314" s="213"/>
      <c r="C314" s="210"/>
      <c r="D314" s="210"/>
      <c r="E314" s="186" t="s">
        <v>55</v>
      </c>
      <c r="F314" s="186" t="s">
        <v>4402</v>
      </c>
      <c r="G314" s="186" t="s">
        <v>329</v>
      </c>
      <c r="H314" s="186" t="s">
        <v>243</v>
      </c>
      <c r="I314" s="186"/>
      <c r="J314" s="186">
        <v>246</v>
      </c>
      <c r="K314" s="186"/>
      <c r="L314" s="186"/>
      <c r="M314" s="90"/>
      <c r="N314" s="90"/>
      <c r="O314" s="90"/>
      <c r="P314" s="186"/>
      <c r="Q314" s="186"/>
      <c r="R314" s="122"/>
      <c r="S314" s="186"/>
      <c r="T314" s="186"/>
      <c r="U314" s="186"/>
      <c r="V314" s="186"/>
      <c r="W314" s="186"/>
      <c r="X314" s="186"/>
      <c r="Y314" s="186"/>
      <c r="Z314" s="186"/>
      <c r="AA314" s="186"/>
      <c r="AB314" s="186"/>
      <c r="AC314" s="186"/>
      <c r="AD314" s="186"/>
      <c r="AE314" s="186"/>
    </row>
    <row r="315" spans="1:31" ht="18.75" customHeight="1">
      <c r="A315" s="213"/>
      <c r="B315" s="213"/>
      <c r="C315" s="210"/>
      <c r="D315" s="210"/>
      <c r="E315" s="186" t="s">
        <v>55</v>
      </c>
      <c r="F315" s="186" t="s">
        <v>4403</v>
      </c>
      <c r="G315" s="186" t="s">
        <v>329</v>
      </c>
      <c r="H315" s="186" t="s">
        <v>243</v>
      </c>
      <c r="I315" s="186"/>
      <c r="J315" s="186">
        <v>247</v>
      </c>
      <c r="K315" s="186"/>
      <c r="L315" s="186"/>
      <c r="M315" s="90"/>
      <c r="N315" s="90"/>
      <c r="O315" s="90"/>
      <c r="P315" s="186"/>
      <c r="Q315" s="186"/>
      <c r="R315" s="122"/>
      <c r="S315" s="186"/>
      <c r="T315" s="186"/>
      <c r="U315" s="186"/>
      <c r="V315" s="186"/>
      <c r="W315" s="186"/>
      <c r="X315" s="186"/>
      <c r="Y315" s="186"/>
      <c r="Z315" s="186"/>
      <c r="AA315" s="186"/>
      <c r="AB315" s="186"/>
      <c r="AC315" s="186"/>
      <c r="AD315" s="186"/>
      <c r="AE315" s="186"/>
    </row>
    <row r="316" spans="1:31" ht="18.75" customHeight="1">
      <c r="A316" s="213"/>
      <c r="B316" s="213"/>
      <c r="C316" s="210"/>
      <c r="D316" s="210"/>
      <c r="E316" s="186" t="s">
        <v>55</v>
      </c>
      <c r="F316" s="186" t="s">
        <v>4404</v>
      </c>
      <c r="G316" s="186" t="s">
        <v>329</v>
      </c>
      <c r="H316" s="186" t="s">
        <v>243</v>
      </c>
      <c r="I316" s="186"/>
      <c r="J316" s="186">
        <v>248</v>
      </c>
      <c r="K316" s="186"/>
      <c r="L316" s="186"/>
      <c r="M316" s="90"/>
      <c r="N316" s="90"/>
      <c r="O316" s="90"/>
      <c r="P316" s="186"/>
      <c r="Q316" s="186"/>
      <c r="R316" s="122"/>
      <c r="S316" s="186"/>
      <c r="T316" s="186"/>
      <c r="U316" s="186"/>
      <c r="V316" s="186"/>
      <c r="W316" s="186"/>
      <c r="X316" s="186"/>
      <c r="Y316" s="186"/>
      <c r="Z316" s="186"/>
      <c r="AA316" s="186"/>
      <c r="AB316" s="186"/>
      <c r="AC316" s="186"/>
      <c r="AD316" s="186"/>
      <c r="AE316" s="186"/>
    </row>
    <row r="317" spans="1:31" ht="18.75" customHeight="1">
      <c r="A317" s="213"/>
      <c r="B317" s="213"/>
      <c r="C317" s="210"/>
      <c r="D317" s="210"/>
      <c r="E317" s="186" t="s">
        <v>55</v>
      </c>
      <c r="F317" s="186" t="s">
        <v>4405</v>
      </c>
      <c r="G317" s="186" t="s">
        <v>329</v>
      </c>
      <c r="H317" s="186" t="s">
        <v>243</v>
      </c>
      <c r="I317" s="186"/>
      <c r="J317" s="186">
        <v>249</v>
      </c>
      <c r="K317" s="186"/>
      <c r="L317" s="186"/>
      <c r="M317" s="90"/>
      <c r="N317" s="90"/>
      <c r="O317" s="90"/>
      <c r="P317" s="186"/>
      <c r="Q317" s="186"/>
      <c r="R317" s="122"/>
      <c r="S317" s="186"/>
      <c r="T317" s="186"/>
      <c r="U317" s="186"/>
      <c r="V317" s="186"/>
      <c r="W317" s="186"/>
      <c r="X317" s="186"/>
      <c r="Y317" s="186"/>
      <c r="Z317" s="186"/>
      <c r="AA317" s="186"/>
      <c r="AB317" s="186"/>
      <c r="AC317" s="186"/>
      <c r="AD317" s="186"/>
      <c r="AE317" s="186"/>
    </row>
    <row r="318" spans="1:31" ht="18.75" customHeight="1">
      <c r="A318" s="213"/>
      <c r="B318" s="213"/>
      <c r="C318" s="210"/>
      <c r="D318" s="210"/>
      <c r="E318" s="186" t="s">
        <v>55</v>
      </c>
      <c r="F318" s="186" t="s">
        <v>4406</v>
      </c>
      <c r="G318" s="186" t="s">
        <v>329</v>
      </c>
      <c r="H318" s="186" t="s">
        <v>243</v>
      </c>
      <c r="I318" s="186"/>
      <c r="J318" s="186">
        <v>358</v>
      </c>
      <c r="K318" s="186"/>
      <c r="L318" s="186"/>
      <c r="M318" s="90"/>
      <c r="N318" s="90"/>
      <c r="O318" s="90"/>
      <c r="P318" s="186"/>
      <c r="Q318" s="186"/>
      <c r="R318" s="122"/>
      <c r="S318" s="186"/>
      <c r="T318" s="186"/>
      <c r="U318" s="186"/>
      <c r="V318" s="186"/>
      <c r="W318" s="186"/>
      <c r="X318" s="186"/>
      <c r="Y318" s="186"/>
      <c r="Z318" s="186"/>
      <c r="AA318" s="186"/>
      <c r="AB318" s="186"/>
      <c r="AC318" s="186"/>
      <c r="AD318" s="186"/>
      <c r="AE318" s="186"/>
    </row>
    <row r="319" spans="1:31" ht="18.75" customHeight="1">
      <c r="A319" s="213"/>
      <c r="B319" s="213"/>
      <c r="C319" s="210"/>
      <c r="D319" s="210"/>
      <c r="E319" s="186" t="s">
        <v>55</v>
      </c>
      <c r="F319" s="186" t="s">
        <v>4407</v>
      </c>
      <c r="G319" s="186" t="s">
        <v>329</v>
      </c>
      <c r="H319" s="186" t="s">
        <v>243</v>
      </c>
      <c r="I319" s="186"/>
      <c r="J319" s="186">
        <v>359</v>
      </c>
      <c r="K319" s="186"/>
      <c r="L319" s="186"/>
      <c r="M319" s="90"/>
      <c r="N319" s="90"/>
      <c r="O319" s="90"/>
      <c r="P319" s="186"/>
      <c r="Q319" s="186"/>
      <c r="R319" s="122"/>
      <c r="S319" s="186"/>
      <c r="T319" s="186"/>
      <c r="U319" s="186"/>
      <c r="V319" s="186"/>
      <c r="W319" s="186"/>
      <c r="X319" s="186"/>
      <c r="Y319" s="186"/>
      <c r="Z319" s="186"/>
      <c r="AA319" s="186"/>
      <c r="AB319" s="186"/>
      <c r="AC319" s="186"/>
      <c r="AD319" s="186"/>
      <c r="AE319" s="186"/>
    </row>
    <row r="320" spans="1:31" ht="18.75" customHeight="1">
      <c r="A320" s="213"/>
      <c r="B320" s="213"/>
      <c r="C320" s="210"/>
      <c r="D320" s="210"/>
      <c r="E320" s="186" t="s">
        <v>55</v>
      </c>
      <c r="F320" s="186" t="s">
        <v>4408</v>
      </c>
      <c r="G320" s="186" t="s">
        <v>329</v>
      </c>
      <c r="H320" s="186" t="s">
        <v>243</v>
      </c>
      <c r="I320" s="186"/>
      <c r="J320" s="186">
        <v>360</v>
      </c>
      <c r="K320" s="186"/>
      <c r="L320" s="186"/>
      <c r="M320" s="90"/>
      <c r="N320" s="90"/>
      <c r="O320" s="90"/>
      <c r="P320" s="186"/>
      <c r="Q320" s="186"/>
      <c r="R320" s="122"/>
      <c r="S320" s="186"/>
      <c r="T320" s="186"/>
      <c r="U320" s="186"/>
      <c r="V320" s="186"/>
      <c r="W320" s="186"/>
      <c r="X320" s="186"/>
      <c r="Y320" s="186"/>
      <c r="Z320" s="186"/>
      <c r="AA320" s="186"/>
      <c r="AB320" s="186"/>
      <c r="AC320" s="186"/>
      <c r="AD320" s="186"/>
      <c r="AE320" s="186"/>
    </row>
    <row r="321" spans="1:31" ht="18.75" customHeight="1">
      <c r="A321" s="213"/>
      <c r="B321" s="213"/>
      <c r="C321" s="210"/>
      <c r="D321" s="210"/>
      <c r="E321" s="186" t="s">
        <v>55</v>
      </c>
      <c r="F321" s="186" t="s">
        <v>4409</v>
      </c>
      <c r="G321" s="186" t="s">
        <v>329</v>
      </c>
      <c r="H321" s="186" t="s">
        <v>243</v>
      </c>
      <c r="I321" s="186"/>
      <c r="J321" s="186">
        <v>361</v>
      </c>
      <c r="K321" s="186"/>
      <c r="L321" s="186"/>
      <c r="M321" s="90"/>
      <c r="N321" s="90"/>
      <c r="O321" s="90"/>
      <c r="P321" s="186"/>
      <c r="Q321" s="186"/>
      <c r="R321" s="122"/>
      <c r="S321" s="186"/>
      <c r="T321" s="186"/>
      <c r="U321" s="186"/>
      <c r="V321" s="186"/>
      <c r="W321" s="186"/>
      <c r="X321" s="186"/>
      <c r="Y321" s="186"/>
      <c r="Z321" s="186"/>
      <c r="AA321" s="186"/>
      <c r="AB321" s="186"/>
      <c r="AC321" s="186"/>
      <c r="AD321" s="186"/>
      <c r="AE321" s="186"/>
    </row>
    <row r="322" spans="1:31" ht="18.75" customHeight="1">
      <c r="A322" s="213"/>
      <c r="B322" s="213"/>
      <c r="C322" s="210"/>
      <c r="D322" s="210"/>
      <c r="E322" s="186" t="s">
        <v>55</v>
      </c>
      <c r="F322" s="186" t="s">
        <v>4410</v>
      </c>
      <c r="G322" s="186" t="s">
        <v>329</v>
      </c>
      <c r="H322" s="186" t="s">
        <v>243</v>
      </c>
      <c r="I322" s="186"/>
      <c r="J322" s="186">
        <v>362</v>
      </c>
      <c r="K322" s="186"/>
      <c r="L322" s="186"/>
      <c r="M322" s="90"/>
      <c r="N322" s="90"/>
      <c r="O322" s="90"/>
      <c r="P322" s="186"/>
      <c r="Q322" s="186"/>
      <c r="R322" s="122"/>
      <c r="S322" s="186"/>
      <c r="T322" s="186"/>
      <c r="U322" s="186"/>
      <c r="V322" s="186"/>
      <c r="W322" s="186"/>
      <c r="X322" s="186"/>
      <c r="Y322" s="186"/>
      <c r="Z322" s="186"/>
      <c r="AA322" s="186"/>
      <c r="AB322" s="186"/>
      <c r="AC322" s="186"/>
      <c r="AD322" s="186"/>
      <c r="AE322" s="186"/>
    </row>
    <row r="323" spans="1:31" ht="18.75" customHeight="1">
      <c r="A323" s="213"/>
      <c r="B323" s="213"/>
      <c r="C323" s="210"/>
      <c r="D323" s="210"/>
      <c r="E323" s="186" t="s">
        <v>55</v>
      </c>
      <c r="F323" s="186" t="s">
        <v>4411</v>
      </c>
      <c r="G323" s="186" t="s">
        <v>329</v>
      </c>
      <c r="H323" s="186" t="s">
        <v>243</v>
      </c>
      <c r="I323" s="186"/>
      <c r="J323" s="186">
        <v>250</v>
      </c>
      <c r="K323" s="186"/>
      <c r="L323" s="186"/>
      <c r="M323" s="90"/>
      <c r="N323" s="90"/>
      <c r="O323" s="90"/>
      <c r="P323" s="186"/>
      <c r="Q323" s="186"/>
      <c r="R323" s="122"/>
      <c r="S323" s="186"/>
      <c r="T323" s="186"/>
      <c r="U323" s="186"/>
      <c r="V323" s="186"/>
      <c r="W323" s="186"/>
      <c r="X323" s="186"/>
      <c r="Y323" s="186"/>
      <c r="Z323" s="186"/>
      <c r="AA323" s="186"/>
      <c r="AB323" s="186"/>
      <c r="AC323" s="186"/>
      <c r="AD323" s="186"/>
      <c r="AE323" s="186"/>
    </row>
    <row r="324" spans="1:31" ht="18.75" customHeight="1">
      <c r="A324" s="213"/>
      <c r="B324" s="213"/>
      <c r="C324" s="210"/>
      <c r="D324" s="210"/>
      <c r="E324" s="186" t="s">
        <v>55</v>
      </c>
      <c r="F324" s="186" t="s">
        <v>4412</v>
      </c>
      <c r="G324" s="186" t="s">
        <v>329</v>
      </c>
      <c r="H324" s="186" t="s">
        <v>243</v>
      </c>
      <c r="I324" s="186"/>
      <c r="J324" s="186">
        <v>251</v>
      </c>
      <c r="K324" s="186"/>
      <c r="L324" s="186"/>
      <c r="M324" s="90"/>
      <c r="N324" s="90"/>
      <c r="O324" s="90"/>
      <c r="P324" s="186"/>
      <c r="Q324" s="186"/>
      <c r="R324" s="122"/>
      <c r="S324" s="186"/>
      <c r="T324" s="186"/>
      <c r="U324" s="186"/>
      <c r="V324" s="186"/>
      <c r="W324" s="186"/>
      <c r="X324" s="186"/>
      <c r="Y324" s="186"/>
      <c r="Z324" s="186"/>
      <c r="AA324" s="186"/>
      <c r="AB324" s="186"/>
      <c r="AC324" s="186"/>
      <c r="AD324" s="186"/>
      <c r="AE324" s="186"/>
    </row>
    <row r="325" spans="1:31" ht="18.75" customHeight="1">
      <c r="A325" s="213"/>
      <c r="B325" s="213"/>
      <c r="C325" s="210"/>
      <c r="D325" s="210"/>
      <c r="E325" s="186" t="s">
        <v>55</v>
      </c>
      <c r="F325" s="186" t="s">
        <v>4413</v>
      </c>
      <c r="G325" s="186" t="s">
        <v>329</v>
      </c>
      <c r="H325" s="186" t="s">
        <v>243</v>
      </c>
      <c r="I325" s="186"/>
      <c r="J325" s="186">
        <v>252</v>
      </c>
      <c r="K325" s="186"/>
      <c r="L325" s="186"/>
      <c r="M325" s="90"/>
      <c r="N325" s="90"/>
      <c r="O325" s="90"/>
      <c r="P325" s="186"/>
      <c r="Q325" s="186"/>
      <c r="R325" s="122"/>
      <c r="S325" s="186"/>
      <c r="T325" s="186"/>
      <c r="U325" s="186"/>
      <c r="V325" s="186"/>
      <c r="W325" s="186"/>
      <c r="X325" s="186"/>
      <c r="Y325" s="186"/>
      <c r="Z325" s="186"/>
      <c r="AA325" s="186"/>
      <c r="AB325" s="186"/>
      <c r="AC325" s="186"/>
      <c r="AD325" s="186"/>
      <c r="AE325" s="186"/>
    </row>
    <row r="326" spans="1:31" ht="18.75" customHeight="1">
      <c r="A326" s="213"/>
      <c r="B326" s="213"/>
      <c r="C326" s="210"/>
      <c r="D326" s="210"/>
      <c r="E326" s="186" t="s">
        <v>55</v>
      </c>
      <c r="F326" s="186" t="s">
        <v>4414</v>
      </c>
      <c r="G326" s="186" t="s">
        <v>329</v>
      </c>
      <c r="H326" s="186" t="s">
        <v>243</v>
      </c>
      <c r="I326" s="186"/>
      <c r="J326" s="186">
        <v>253</v>
      </c>
      <c r="K326" s="186"/>
      <c r="L326" s="186"/>
      <c r="M326" s="90"/>
      <c r="N326" s="90"/>
      <c r="O326" s="90"/>
      <c r="P326" s="186"/>
      <c r="Q326" s="186"/>
      <c r="R326" s="122"/>
      <c r="S326" s="186"/>
      <c r="T326" s="186"/>
      <c r="U326" s="186"/>
      <c r="V326" s="186"/>
      <c r="W326" s="186"/>
      <c r="X326" s="186"/>
      <c r="Y326" s="186"/>
      <c r="Z326" s="186"/>
      <c r="AA326" s="186"/>
      <c r="AB326" s="186"/>
      <c r="AC326" s="186"/>
      <c r="AD326" s="186"/>
      <c r="AE326" s="186"/>
    </row>
    <row r="327" spans="1:31" ht="18.75" customHeight="1">
      <c r="A327" s="213"/>
      <c r="B327" s="213"/>
      <c r="C327" s="210"/>
      <c r="D327" s="210"/>
      <c r="E327" s="186" t="s">
        <v>55</v>
      </c>
      <c r="F327" s="186" t="s">
        <v>4415</v>
      </c>
      <c r="G327" s="186" t="s">
        <v>329</v>
      </c>
      <c r="H327" s="186" t="s">
        <v>243</v>
      </c>
      <c r="I327" s="186"/>
      <c r="J327" s="186">
        <v>254</v>
      </c>
      <c r="K327" s="186"/>
      <c r="L327" s="186"/>
      <c r="M327" s="90"/>
      <c r="N327" s="90"/>
      <c r="O327" s="90"/>
      <c r="P327" s="186"/>
      <c r="Q327" s="186"/>
      <c r="R327" s="122"/>
      <c r="S327" s="186"/>
      <c r="T327" s="186"/>
      <c r="U327" s="186"/>
      <c r="V327" s="186"/>
      <c r="W327" s="186"/>
      <c r="X327" s="186"/>
      <c r="Y327" s="186"/>
      <c r="Z327" s="186"/>
      <c r="AA327" s="186"/>
      <c r="AB327" s="186"/>
      <c r="AC327" s="186"/>
      <c r="AD327" s="186"/>
      <c r="AE327" s="186"/>
    </row>
    <row r="328" spans="1:31" ht="18.75" customHeight="1">
      <c r="A328" s="213"/>
      <c r="B328" s="213"/>
      <c r="C328" s="210"/>
      <c r="D328" s="210"/>
      <c r="E328" s="186" t="s">
        <v>55</v>
      </c>
      <c r="F328" s="186" t="s">
        <v>4416</v>
      </c>
      <c r="G328" s="186" t="s">
        <v>329</v>
      </c>
      <c r="H328" s="186" t="s">
        <v>243</v>
      </c>
      <c r="I328" s="186"/>
      <c r="J328" s="186">
        <v>255</v>
      </c>
      <c r="K328" s="186"/>
      <c r="L328" s="186"/>
      <c r="M328" s="90"/>
      <c r="N328" s="90"/>
      <c r="O328" s="90"/>
      <c r="P328" s="186"/>
      <c r="Q328" s="186"/>
      <c r="R328" s="122"/>
      <c r="S328" s="186" t="s">
        <v>4417</v>
      </c>
      <c r="T328" s="186"/>
      <c r="U328" s="186"/>
      <c r="V328" s="186"/>
      <c r="W328" s="186"/>
      <c r="X328" s="186"/>
      <c r="Y328" s="186"/>
      <c r="Z328" s="186"/>
      <c r="AA328" s="186"/>
      <c r="AB328" s="186"/>
      <c r="AC328" s="186"/>
      <c r="AD328" s="186"/>
      <c r="AE328" s="186"/>
    </row>
    <row r="329" spans="1:31" ht="18.75" customHeight="1">
      <c r="A329" s="213"/>
      <c r="B329" s="213"/>
      <c r="C329" s="210"/>
      <c r="D329" s="210"/>
      <c r="E329" s="186" t="s">
        <v>55</v>
      </c>
      <c r="F329" s="186" t="s">
        <v>4418</v>
      </c>
      <c r="G329" s="186" t="s">
        <v>329</v>
      </c>
      <c r="H329" s="186" t="s">
        <v>243</v>
      </c>
      <c r="I329" s="186"/>
      <c r="J329" s="186">
        <v>256</v>
      </c>
      <c r="K329" s="186"/>
      <c r="L329" s="186"/>
      <c r="M329" s="90"/>
      <c r="N329" s="90"/>
      <c r="O329" s="90"/>
      <c r="P329" s="186"/>
      <c r="Q329" s="186"/>
      <c r="R329" s="122"/>
      <c r="S329" s="186" t="s">
        <v>4419</v>
      </c>
      <c r="T329" s="186"/>
      <c r="U329" s="186"/>
      <c r="V329" s="186"/>
      <c r="W329" s="186"/>
      <c r="X329" s="186"/>
      <c r="Y329" s="186"/>
      <c r="Z329" s="186"/>
      <c r="AA329" s="186"/>
      <c r="AB329" s="186"/>
      <c r="AC329" s="186"/>
      <c r="AD329" s="186"/>
      <c r="AE329" s="186"/>
    </row>
    <row r="330" spans="1:31" ht="18.75" customHeight="1">
      <c r="A330" s="213"/>
      <c r="B330" s="213"/>
      <c r="C330" s="210"/>
      <c r="D330" s="210"/>
      <c r="E330" s="186" t="s">
        <v>55</v>
      </c>
      <c r="F330" s="186" t="s">
        <v>4420</v>
      </c>
      <c r="G330" s="186" t="s">
        <v>329</v>
      </c>
      <c r="H330" s="186" t="s">
        <v>243</v>
      </c>
      <c r="I330" s="186"/>
      <c r="J330" s="186">
        <v>257</v>
      </c>
      <c r="K330" s="186"/>
      <c r="L330" s="186"/>
      <c r="M330" s="90"/>
      <c r="N330" s="90"/>
      <c r="O330" s="90"/>
      <c r="P330" s="186"/>
      <c r="Q330" s="186"/>
      <c r="R330" s="122"/>
      <c r="S330" s="186" t="s">
        <v>4421</v>
      </c>
      <c r="T330" s="186"/>
      <c r="U330" s="186"/>
      <c r="V330" s="186"/>
      <c r="W330" s="186"/>
      <c r="X330" s="186"/>
      <c r="Y330" s="186"/>
      <c r="Z330" s="186"/>
      <c r="AA330" s="186"/>
      <c r="AB330" s="186"/>
      <c r="AC330" s="186"/>
      <c r="AD330" s="186"/>
      <c r="AE330" s="186"/>
    </row>
    <row r="331" spans="1:31" ht="18.75" customHeight="1">
      <c r="A331" s="213"/>
      <c r="B331" s="213"/>
      <c r="C331" s="210"/>
      <c r="D331" s="210"/>
      <c r="E331" s="186" t="s">
        <v>55</v>
      </c>
      <c r="F331" s="186" t="s">
        <v>4422</v>
      </c>
      <c r="G331" s="186" t="s">
        <v>329</v>
      </c>
      <c r="H331" s="186" t="s">
        <v>243</v>
      </c>
      <c r="I331" s="186"/>
      <c r="J331" s="186">
        <v>258</v>
      </c>
      <c r="K331" s="186"/>
      <c r="L331" s="186"/>
      <c r="M331" s="90"/>
      <c r="N331" s="90"/>
      <c r="O331" s="90"/>
      <c r="P331" s="186"/>
      <c r="Q331" s="186"/>
      <c r="R331" s="122"/>
      <c r="S331" s="186" t="s">
        <v>4423</v>
      </c>
      <c r="T331" s="186"/>
      <c r="U331" s="186"/>
      <c r="V331" s="186"/>
      <c r="W331" s="186"/>
      <c r="X331" s="186"/>
      <c r="Y331" s="186"/>
      <c r="Z331" s="186"/>
      <c r="AA331" s="186"/>
      <c r="AB331" s="186"/>
      <c r="AC331" s="186"/>
      <c r="AD331" s="186"/>
      <c r="AE331" s="186"/>
    </row>
    <row r="332" spans="1:31" ht="18.75" customHeight="1">
      <c r="A332" s="213"/>
      <c r="B332" s="213"/>
      <c r="C332" s="210"/>
      <c r="D332" s="210"/>
      <c r="E332" s="186" t="s">
        <v>59</v>
      </c>
      <c r="F332" s="186" t="s">
        <v>4424</v>
      </c>
      <c r="G332" s="186" t="s">
        <v>329</v>
      </c>
      <c r="H332" s="186" t="s">
        <v>243</v>
      </c>
      <c r="I332" s="186"/>
      <c r="J332" s="186">
        <v>259</v>
      </c>
      <c r="K332" s="186"/>
      <c r="L332" s="186"/>
      <c r="M332" s="90"/>
      <c r="N332" s="90"/>
      <c r="O332" s="90"/>
      <c r="P332" s="186"/>
      <c r="Q332" s="186"/>
      <c r="R332" s="122"/>
      <c r="S332" s="186" t="s">
        <v>4425</v>
      </c>
      <c r="T332" s="186"/>
      <c r="U332" s="186"/>
      <c r="V332" s="186"/>
      <c r="W332" s="186"/>
      <c r="X332" s="186"/>
      <c r="Y332" s="186"/>
      <c r="Z332" s="186"/>
      <c r="AA332" s="186"/>
      <c r="AB332" s="186"/>
      <c r="AC332" s="186"/>
      <c r="AD332" s="186"/>
      <c r="AE332" s="186"/>
    </row>
    <row r="333" spans="1:31" ht="18.75" customHeight="1">
      <c r="A333" s="213"/>
      <c r="B333" s="213"/>
      <c r="C333" s="210"/>
      <c r="D333" s="210"/>
      <c r="E333" s="186" t="s">
        <v>55</v>
      </c>
      <c r="F333" s="186" t="s">
        <v>4426</v>
      </c>
      <c r="G333" s="186" t="s">
        <v>329</v>
      </c>
      <c r="H333" s="186" t="s">
        <v>243</v>
      </c>
      <c r="I333" s="186"/>
      <c r="J333" s="186">
        <v>260</v>
      </c>
      <c r="K333" s="186"/>
      <c r="L333" s="186"/>
      <c r="M333" s="90"/>
      <c r="N333" s="90"/>
      <c r="O333" s="90"/>
      <c r="P333" s="186"/>
      <c r="Q333" s="186"/>
      <c r="R333" s="122"/>
      <c r="S333" s="186" t="s">
        <v>4427</v>
      </c>
      <c r="T333" s="186"/>
      <c r="U333" s="186"/>
      <c r="V333" s="186"/>
      <c r="W333" s="186"/>
      <c r="X333" s="186"/>
      <c r="Y333" s="186"/>
      <c r="Z333" s="186"/>
      <c r="AA333" s="186"/>
      <c r="AB333" s="186"/>
      <c r="AC333" s="186"/>
      <c r="AD333" s="186"/>
      <c r="AE333" s="186"/>
    </row>
    <row r="334" spans="1:31" ht="18.75" customHeight="1">
      <c r="A334" s="213"/>
      <c r="B334" s="213"/>
      <c r="C334" s="210"/>
      <c r="D334" s="210"/>
      <c r="E334" s="186" t="s">
        <v>59</v>
      </c>
      <c r="F334" s="186" t="s">
        <v>4428</v>
      </c>
      <c r="G334" s="186" t="s">
        <v>329</v>
      </c>
      <c r="H334" s="186" t="s">
        <v>243</v>
      </c>
      <c r="I334" s="186"/>
      <c r="J334" s="186">
        <v>261</v>
      </c>
      <c r="K334" s="186"/>
      <c r="L334" s="186"/>
      <c r="M334" s="90"/>
      <c r="N334" s="90"/>
      <c r="O334" s="90"/>
      <c r="P334" s="186"/>
      <c r="Q334" s="186"/>
      <c r="R334" s="122"/>
      <c r="S334" s="186" t="s">
        <v>4429</v>
      </c>
      <c r="T334" s="186"/>
      <c r="U334" s="186"/>
      <c r="V334" s="186"/>
      <c r="W334" s="186"/>
      <c r="X334" s="186"/>
      <c r="Y334" s="186"/>
      <c r="Z334" s="186"/>
      <c r="AA334" s="186"/>
      <c r="AB334" s="186"/>
      <c r="AC334" s="186"/>
      <c r="AD334" s="186"/>
      <c r="AE334" s="186"/>
    </row>
    <row r="335" spans="1:31" ht="18.75" customHeight="1">
      <c r="A335" s="213"/>
      <c r="B335" s="213"/>
      <c r="C335" s="210"/>
      <c r="D335" s="210"/>
      <c r="E335" s="186" t="s">
        <v>55</v>
      </c>
      <c r="F335" s="186" t="s">
        <v>4430</v>
      </c>
      <c r="G335" s="186" t="s">
        <v>329</v>
      </c>
      <c r="H335" s="186" t="s">
        <v>243</v>
      </c>
      <c r="I335" s="186"/>
      <c r="J335" s="186">
        <v>262</v>
      </c>
      <c r="K335" s="186"/>
      <c r="L335" s="186"/>
      <c r="M335" s="90"/>
      <c r="N335" s="90"/>
      <c r="O335" s="90"/>
      <c r="P335" s="186"/>
      <c r="Q335" s="186"/>
      <c r="R335" s="122"/>
      <c r="S335" s="186" t="s">
        <v>4431</v>
      </c>
      <c r="T335" s="186"/>
      <c r="U335" s="186"/>
      <c r="V335" s="186"/>
      <c r="W335" s="186"/>
      <c r="X335" s="186"/>
      <c r="Y335" s="186"/>
      <c r="Z335" s="186"/>
      <c r="AA335" s="186"/>
      <c r="AB335" s="186"/>
      <c r="AC335" s="186"/>
      <c r="AD335" s="186"/>
      <c r="AE335" s="186"/>
    </row>
    <row r="336" spans="1:31" ht="18.75" customHeight="1">
      <c r="A336" s="213"/>
      <c r="B336" s="213"/>
      <c r="C336" s="210"/>
      <c r="D336" s="210"/>
      <c r="E336" s="186" t="s">
        <v>55</v>
      </c>
      <c r="F336" s="186" t="s">
        <v>4432</v>
      </c>
      <c r="G336" s="186" t="s">
        <v>329</v>
      </c>
      <c r="H336" s="186" t="s">
        <v>243</v>
      </c>
      <c r="I336" s="186"/>
      <c r="J336" s="186">
        <v>263</v>
      </c>
      <c r="K336" s="186"/>
      <c r="L336" s="186"/>
      <c r="M336" s="90"/>
      <c r="N336" s="90"/>
      <c r="O336" s="90"/>
      <c r="P336" s="186"/>
      <c r="Q336" s="186"/>
      <c r="R336" s="122"/>
      <c r="S336" s="186" t="s">
        <v>4433</v>
      </c>
      <c r="T336" s="186"/>
      <c r="U336" s="186"/>
      <c r="V336" s="186"/>
      <c r="W336" s="186"/>
      <c r="X336" s="186"/>
      <c r="Y336" s="186"/>
      <c r="Z336" s="186"/>
      <c r="AA336" s="186"/>
      <c r="AB336" s="186"/>
      <c r="AC336" s="186"/>
      <c r="AD336" s="186"/>
      <c r="AE336" s="186"/>
    </row>
    <row r="337" spans="1:31" ht="18.75" customHeight="1">
      <c r="A337" s="213"/>
      <c r="B337" s="213"/>
      <c r="C337" s="210"/>
      <c r="D337" s="210"/>
      <c r="E337" s="186" t="s">
        <v>55</v>
      </c>
      <c r="F337" s="186" t="s">
        <v>4434</v>
      </c>
      <c r="G337" s="186" t="s">
        <v>329</v>
      </c>
      <c r="H337" s="186" t="s">
        <v>243</v>
      </c>
      <c r="I337" s="186"/>
      <c r="J337" s="186">
        <v>264</v>
      </c>
      <c r="K337" s="186"/>
      <c r="L337" s="186"/>
      <c r="M337" s="90"/>
      <c r="N337" s="90"/>
      <c r="O337" s="90"/>
      <c r="P337" s="186"/>
      <c r="Q337" s="186"/>
      <c r="R337" s="122"/>
      <c r="S337" s="186" t="s">
        <v>4435</v>
      </c>
      <c r="T337" s="186"/>
      <c r="U337" s="186"/>
      <c r="V337" s="186"/>
      <c r="W337" s="186"/>
      <c r="X337" s="186"/>
      <c r="Y337" s="186"/>
      <c r="Z337" s="186"/>
      <c r="AA337" s="186"/>
      <c r="AB337" s="186"/>
      <c r="AC337" s="186"/>
      <c r="AD337" s="186"/>
      <c r="AE337" s="186"/>
    </row>
    <row r="338" spans="1:31" ht="18.75" customHeight="1">
      <c r="A338" s="213"/>
      <c r="B338" s="213"/>
      <c r="C338" s="210"/>
      <c r="D338" s="210"/>
      <c r="E338" s="186" t="s">
        <v>61</v>
      </c>
      <c r="F338" s="186" t="s">
        <v>128</v>
      </c>
      <c r="G338" s="186" t="s">
        <v>250</v>
      </c>
      <c r="H338" s="186" t="s">
        <v>243</v>
      </c>
      <c r="I338" s="186"/>
      <c r="J338" s="186">
        <v>169</v>
      </c>
      <c r="K338" s="186"/>
      <c r="L338" s="186"/>
      <c r="M338" s="90"/>
      <c r="N338" s="90"/>
      <c r="O338" s="90"/>
      <c r="P338" s="186"/>
      <c r="Q338" s="186"/>
      <c r="R338" s="122"/>
      <c r="S338" s="186" t="s">
        <v>4436</v>
      </c>
      <c r="T338" s="186"/>
      <c r="U338" s="186"/>
      <c r="V338" s="186"/>
      <c r="W338" s="186"/>
      <c r="X338" s="186"/>
      <c r="Y338" s="186"/>
      <c r="Z338" s="186"/>
      <c r="AA338" s="186"/>
      <c r="AB338" s="186"/>
      <c r="AC338" s="186"/>
      <c r="AD338" s="186"/>
      <c r="AE338" s="186"/>
    </row>
    <row r="339" spans="1:31" ht="18.75" customHeight="1">
      <c r="A339" s="296" t="s">
        <v>1040</v>
      </c>
      <c r="B339" s="296" t="s">
        <v>1041</v>
      </c>
      <c r="C339" s="296" t="s">
        <v>1042</v>
      </c>
      <c r="D339" s="296" t="s">
        <v>1043</v>
      </c>
      <c r="E339" s="296" t="s">
        <v>224</v>
      </c>
      <c r="F339" s="296" t="s">
        <v>225</v>
      </c>
      <c r="G339" s="296" t="s">
        <v>226</v>
      </c>
      <c r="H339" s="296" t="s">
        <v>227</v>
      </c>
      <c r="I339" s="296" t="s">
        <v>1044</v>
      </c>
      <c r="J339" s="296" t="s">
        <v>1045</v>
      </c>
      <c r="K339" s="381" t="s">
        <v>100</v>
      </c>
      <c r="L339" s="381" t="s">
        <v>101</v>
      </c>
      <c r="M339" s="381" t="s">
        <v>102</v>
      </c>
      <c r="N339" s="381" t="s">
        <v>103</v>
      </c>
      <c r="O339" s="381" t="s">
        <v>104</v>
      </c>
      <c r="P339" s="381" t="s">
        <v>105</v>
      </c>
      <c r="Q339" s="296" t="s">
        <v>111</v>
      </c>
      <c r="R339" s="296" t="s">
        <v>112</v>
      </c>
      <c r="S339" s="296" t="s">
        <v>113</v>
      </c>
      <c r="T339" s="296" t="s">
        <v>1326</v>
      </c>
      <c r="U339" s="186"/>
      <c r="V339" s="186"/>
      <c r="W339" s="186"/>
      <c r="X339" s="186"/>
      <c r="Y339" s="186"/>
      <c r="Z339" s="186"/>
      <c r="AA339" s="186"/>
      <c r="AB339" s="186"/>
      <c r="AC339" s="186"/>
      <c r="AD339" s="186"/>
      <c r="AE339" s="186"/>
    </row>
    <row r="340" spans="1:31" ht="18.75" customHeight="1">
      <c r="A340" s="213"/>
      <c r="B340" s="213"/>
      <c r="C340" s="210"/>
      <c r="D340" s="210"/>
      <c r="E340" s="186" t="s">
        <v>59</v>
      </c>
      <c r="F340" s="186" t="s">
        <v>386</v>
      </c>
      <c r="G340" s="186" t="s">
        <v>329</v>
      </c>
      <c r="H340" s="186" t="s">
        <v>243</v>
      </c>
      <c r="I340" s="186"/>
      <c r="J340" s="186">
        <v>308</v>
      </c>
      <c r="K340" s="186"/>
      <c r="L340" s="186"/>
      <c r="M340" s="90"/>
      <c r="N340" s="90"/>
      <c r="O340" s="90"/>
      <c r="P340" s="186"/>
      <c r="Q340" s="186"/>
      <c r="R340" s="122"/>
      <c r="S340" s="186" t="s">
        <v>1667</v>
      </c>
      <c r="T340" s="186"/>
      <c r="U340" s="186"/>
      <c r="V340" s="186"/>
      <c r="W340" s="186"/>
      <c r="X340" s="186"/>
      <c r="Y340" s="186"/>
      <c r="Z340" s="186"/>
      <c r="AA340" s="186"/>
      <c r="AB340" s="186"/>
      <c r="AC340" s="186"/>
      <c r="AD340" s="186"/>
      <c r="AE340" s="186"/>
    </row>
    <row r="341" spans="1:31" ht="18.75" customHeight="1">
      <c r="A341" s="213"/>
      <c r="B341" s="213"/>
      <c r="C341" s="210"/>
      <c r="D341" s="210"/>
      <c r="E341" s="186" t="s">
        <v>59</v>
      </c>
      <c r="F341" s="186" t="s">
        <v>4437</v>
      </c>
      <c r="G341" s="186" t="s">
        <v>329</v>
      </c>
      <c r="H341" s="186" t="s">
        <v>243</v>
      </c>
      <c r="I341" s="186"/>
      <c r="J341" s="186">
        <v>265</v>
      </c>
      <c r="K341" s="186"/>
      <c r="L341" s="186"/>
      <c r="M341" s="90"/>
      <c r="N341" s="90"/>
      <c r="O341" s="90"/>
      <c r="P341" s="186"/>
      <c r="Q341" s="186"/>
      <c r="R341" s="122"/>
      <c r="S341" s="186" t="s">
        <v>57</v>
      </c>
      <c r="T341" s="186"/>
      <c r="U341" s="186"/>
      <c r="V341" s="186"/>
      <c r="W341" s="186"/>
      <c r="X341" s="186"/>
      <c r="Y341" s="186"/>
      <c r="Z341" s="186"/>
      <c r="AA341" s="186"/>
      <c r="AB341" s="186"/>
      <c r="AC341" s="186"/>
      <c r="AD341" s="186"/>
      <c r="AE341" s="186"/>
    </row>
    <row r="342" spans="1:31" ht="18.75" customHeight="1">
      <c r="A342" s="213"/>
      <c r="B342" s="213"/>
      <c r="C342" s="210"/>
      <c r="D342" s="210"/>
      <c r="E342" s="186" t="s">
        <v>55</v>
      </c>
      <c r="F342" s="186" t="s">
        <v>164</v>
      </c>
      <c r="G342" s="186" t="s">
        <v>255</v>
      </c>
      <c r="H342" s="186" t="s">
        <v>243</v>
      </c>
      <c r="I342" s="186"/>
      <c r="J342" s="186">
        <v>266</v>
      </c>
      <c r="K342" s="186"/>
      <c r="L342" s="186"/>
      <c r="M342" s="90"/>
      <c r="N342" s="90"/>
      <c r="O342" s="90"/>
      <c r="P342" s="186"/>
      <c r="Q342" s="186"/>
      <c r="R342" s="122"/>
      <c r="S342" s="186" t="s">
        <v>4438</v>
      </c>
      <c r="T342" s="186"/>
      <c r="U342" s="186"/>
      <c r="V342" s="186"/>
      <c r="W342" s="186"/>
      <c r="X342" s="186"/>
      <c r="Y342" s="186"/>
      <c r="Z342" s="186"/>
      <c r="AA342" s="186"/>
      <c r="AB342" s="186"/>
      <c r="AC342" s="186"/>
      <c r="AD342" s="186"/>
      <c r="AE342" s="186"/>
    </row>
    <row r="343" spans="1:31" ht="18.75" customHeight="1">
      <c r="A343" s="213"/>
      <c r="B343" s="213"/>
      <c r="C343" s="210"/>
      <c r="D343" s="210"/>
      <c r="E343" s="186" t="s">
        <v>55</v>
      </c>
      <c r="F343" s="186" t="s">
        <v>4439</v>
      </c>
      <c r="G343" s="186" t="s">
        <v>255</v>
      </c>
      <c r="H343" s="186" t="s">
        <v>243</v>
      </c>
      <c r="I343" s="186"/>
      <c r="J343" s="186">
        <v>267</v>
      </c>
      <c r="K343" s="186"/>
      <c r="L343" s="186"/>
      <c r="M343" s="90"/>
      <c r="N343" s="90"/>
      <c r="O343" s="90"/>
      <c r="P343" s="186"/>
      <c r="Q343" s="186"/>
      <c r="R343" s="122"/>
      <c r="S343" s="186" t="s">
        <v>4440</v>
      </c>
      <c r="T343" s="186"/>
      <c r="U343" s="186"/>
      <c r="V343" s="186"/>
      <c r="W343" s="186"/>
      <c r="X343" s="186"/>
      <c r="Y343" s="186"/>
      <c r="Z343" s="186"/>
      <c r="AA343" s="186"/>
      <c r="AB343" s="186"/>
      <c r="AC343" s="186"/>
      <c r="AD343" s="186"/>
      <c r="AE343" s="186"/>
    </row>
    <row r="344" spans="1:31" ht="18.75" customHeight="1">
      <c r="A344" s="213"/>
      <c r="B344" s="213"/>
      <c r="C344" s="210"/>
      <c r="D344" s="210"/>
      <c r="E344" s="186" t="s">
        <v>59</v>
      </c>
      <c r="F344" s="186" t="s">
        <v>1678</v>
      </c>
      <c r="G344" s="186" t="s">
        <v>255</v>
      </c>
      <c r="H344" s="186" t="s">
        <v>243</v>
      </c>
      <c r="I344" s="186"/>
      <c r="J344" s="186">
        <v>309</v>
      </c>
      <c r="K344" s="186"/>
      <c r="L344" s="186"/>
      <c r="M344" s="90"/>
      <c r="N344" s="90"/>
      <c r="O344" s="90"/>
      <c r="P344" s="186"/>
      <c r="Q344" s="186"/>
      <c r="R344" s="122"/>
      <c r="S344" s="186" t="s">
        <v>4441</v>
      </c>
      <c r="T344" s="186"/>
      <c r="U344" s="186"/>
      <c r="V344" s="186"/>
      <c r="W344" s="186"/>
      <c r="X344" s="186"/>
      <c r="Y344" s="186"/>
      <c r="Z344" s="186"/>
      <c r="AA344" s="186"/>
      <c r="AB344" s="186"/>
      <c r="AC344" s="186"/>
      <c r="AD344" s="186"/>
      <c r="AE344" s="186"/>
    </row>
    <row r="345" spans="1:31" ht="18.75" customHeight="1">
      <c r="A345" s="213"/>
      <c r="B345" s="213"/>
      <c r="C345" s="210"/>
      <c r="D345" s="210"/>
      <c r="E345" s="186" t="s">
        <v>59</v>
      </c>
      <c r="F345" s="186" t="s">
        <v>144</v>
      </c>
      <c r="G345" s="186" t="s">
        <v>329</v>
      </c>
      <c r="H345" s="186" t="s">
        <v>243</v>
      </c>
      <c r="I345" s="186"/>
      <c r="J345" s="186">
        <v>268</v>
      </c>
      <c r="K345" s="186"/>
      <c r="L345" s="186"/>
      <c r="M345" s="90"/>
      <c r="N345" s="90"/>
      <c r="O345" s="90"/>
      <c r="P345" s="186"/>
      <c r="Q345" s="186"/>
      <c r="R345" s="122"/>
      <c r="S345" s="186" t="s">
        <v>4442</v>
      </c>
      <c r="T345" s="186"/>
      <c r="U345" s="186"/>
      <c r="V345" s="186"/>
      <c r="W345" s="186"/>
      <c r="X345" s="186"/>
      <c r="Y345" s="186"/>
      <c r="Z345" s="186"/>
      <c r="AA345" s="186"/>
      <c r="AB345" s="186"/>
      <c r="AC345" s="186"/>
      <c r="AD345" s="186"/>
      <c r="AE345" s="186"/>
    </row>
    <row r="346" spans="1:31" ht="18.75" customHeight="1">
      <c r="A346" s="213"/>
      <c r="B346" s="213"/>
      <c r="C346" s="210"/>
      <c r="D346" s="210"/>
      <c r="E346" s="186" t="s">
        <v>59</v>
      </c>
      <c r="F346" s="186" t="s">
        <v>4443</v>
      </c>
      <c r="G346" s="186" t="s">
        <v>329</v>
      </c>
      <c r="H346" s="186" t="s">
        <v>243</v>
      </c>
      <c r="I346" s="186"/>
      <c r="J346" s="186">
        <v>269</v>
      </c>
      <c r="K346" s="186"/>
      <c r="L346" s="186"/>
      <c r="M346" s="90"/>
      <c r="N346" s="90"/>
      <c r="O346" s="90"/>
      <c r="P346" s="186"/>
      <c r="Q346" s="186"/>
      <c r="R346" s="122"/>
      <c r="S346" s="186" t="s">
        <v>4444</v>
      </c>
      <c r="T346" s="186"/>
      <c r="U346" s="186"/>
      <c r="V346" s="186"/>
      <c r="W346" s="186"/>
      <c r="X346" s="186"/>
      <c r="Y346" s="186"/>
      <c r="Z346" s="186"/>
      <c r="AA346" s="186"/>
      <c r="AB346" s="186"/>
      <c r="AC346" s="186"/>
      <c r="AD346" s="186"/>
      <c r="AE346" s="186"/>
    </row>
    <row r="347" spans="1:31" ht="18.75" customHeight="1">
      <c r="A347" s="213"/>
      <c r="B347" s="213"/>
      <c r="C347" s="210"/>
      <c r="D347" s="210"/>
      <c r="E347" s="186" t="s">
        <v>55</v>
      </c>
      <c r="F347" s="186" t="s">
        <v>4445</v>
      </c>
      <c r="G347" s="186" t="s">
        <v>247</v>
      </c>
      <c r="H347" s="186" t="s">
        <v>243</v>
      </c>
      <c r="I347" s="186"/>
      <c r="J347" s="186">
        <v>272</v>
      </c>
      <c r="K347" s="186"/>
      <c r="L347" s="186"/>
      <c r="M347" s="90"/>
      <c r="N347" s="90"/>
      <c r="O347" s="90"/>
      <c r="P347" s="186"/>
      <c r="Q347" s="186"/>
      <c r="R347" s="122"/>
      <c r="S347" s="186" t="s">
        <v>4255</v>
      </c>
      <c r="T347" s="186"/>
      <c r="U347" s="186"/>
      <c r="V347" s="186"/>
      <c r="W347" s="186"/>
      <c r="X347" s="186"/>
      <c r="Y347" s="186"/>
      <c r="Z347" s="186"/>
      <c r="AA347" s="186"/>
      <c r="AB347" s="186"/>
      <c r="AC347" s="186"/>
      <c r="AD347" s="186"/>
      <c r="AE347" s="186"/>
    </row>
    <row r="348" spans="1:31" ht="18.75" customHeight="1">
      <c r="A348" s="213"/>
      <c r="B348" s="213"/>
      <c r="C348" s="210"/>
      <c r="D348" s="210"/>
      <c r="E348" s="186" t="s">
        <v>55</v>
      </c>
      <c r="F348" s="186" t="s">
        <v>4446</v>
      </c>
      <c r="G348" s="186" t="s">
        <v>995</v>
      </c>
      <c r="H348" s="186" t="s">
        <v>243</v>
      </c>
      <c r="I348" s="186"/>
      <c r="J348" s="186">
        <v>273</v>
      </c>
      <c r="K348" s="186"/>
      <c r="L348" s="186"/>
      <c r="M348" s="90"/>
      <c r="N348" s="90"/>
      <c r="O348" s="90"/>
      <c r="P348" s="186"/>
      <c r="Q348" s="186"/>
      <c r="R348" s="122"/>
      <c r="S348" s="186"/>
      <c r="T348" s="186"/>
      <c r="U348" s="186"/>
      <c r="V348" s="186"/>
      <c r="W348" s="186"/>
      <c r="X348" s="186"/>
      <c r="Y348" s="186"/>
      <c r="Z348" s="186"/>
      <c r="AA348" s="186"/>
      <c r="AB348" s="186"/>
      <c r="AC348" s="186"/>
      <c r="AD348" s="186"/>
      <c r="AE348" s="186"/>
    </row>
    <row r="349" spans="1:31" ht="18.75" customHeight="1">
      <c r="A349" s="213"/>
      <c r="B349" s="213"/>
      <c r="C349" s="210"/>
      <c r="D349" s="210"/>
      <c r="E349" s="186" t="s">
        <v>53</v>
      </c>
      <c r="F349" s="186" t="s">
        <v>2352</v>
      </c>
      <c r="G349" s="186" t="s">
        <v>535</v>
      </c>
      <c r="H349" s="186" t="s">
        <v>243</v>
      </c>
      <c r="I349" s="186"/>
      <c r="J349" s="186">
        <v>288</v>
      </c>
      <c r="K349" s="186"/>
      <c r="L349" s="186"/>
      <c r="M349" s="90"/>
      <c r="N349" s="90"/>
      <c r="O349" s="90"/>
      <c r="P349" s="186"/>
      <c r="Q349" s="186"/>
      <c r="R349" s="122"/>
      <c r="S349" s="186" t="s">
        <v>1190</v>
      </c>
      <c r="T349" s="186"/>
      <c r="U349" s="186"/>
      <c r="V349" s="186"/>
      <c r="W349" s="186"/>
      <c r="X349" s="186"/>
      <c r="Y349" s="186"/>
      <c r="Z349" s="186"/>
      <c r="AA349" s="186"/>
      <c r="AB349" s="186"/>
      <c r="AC349" s="186"/>
      <c r="AD349" s="186"/>
      <c r="AE349" s="186"/>
    </row>
    <row r="350" spans="1:31" ht="18.75" customHeight="1">
      <c r="A350" s="213"/>
      <c r="B350" s="213"/>
      <c r="C350" s="210"/>
      <c r="D350" s="210"/>
      <c r="E350" s="186" t="s">
        <v>53</v>
      </c>
      <c r="F350" s="186" t="s">
        <v>1288</v>
      </c>
      <c r="G350" s="186" t="s">
        <v>535</v>
      </c>
      <c r="H350" s="186" t="s">
        <v>903</v>
      </c>
      <c r="I350" s="186"/>
      <c r="J350" s="186">
        <v>287</v>
      </c>
      <c r="K350" s="186"/>
      <c r="L350" s="186"/>
      <c r="M350" s="90"/>
      <c r="N350" s="90"/>
      <c r="O350" s="90"/>
      <c r="P350" s="186"/>
      <c r="Q350" s="186"/>
      <c r="R350" s="122"/>
      <c r="S350" s="186" t="s">
        <v>1190</v>
      </c>
      <c r="T350" s="186"/>
      <c r="U350" s="186"/>
      <c r="V350" s="186"/>
      <c r="W350" s="186"/>
      <c r="X350" s="186"/>
      <c r="Y350" s="186"/>
      <c r="Z350" s="186"/>
      <c r="AA350" s="186"/>
      <c r="AB350" s="186"/>
      <c r="AC350" s="186"/>
      <c r="AD350" s="186"/>
      <c r="AE350" s="186"/>
    </row>
    <row r="351" spans="1:31" ht="18.75" customHeight="1">
      <c r="A351" s="213"/>
      <c r="B351" s="213"/>
      <c r="C351" s="210"/>
      <c r="D351" s="210"/>
      <c r="E351" s="186" t="s">
        <v>53</v>
      </c>
      <c r="F351" s="186" t="s">
        <v>1289</v>
      </c>
      <c r="G351" s="186" t="s">
        <v>324</v>
      </c>
      <c r="H351" s="186" t="s">
        <v>243</v>
      </c>
      <c r="I351" s="186"/>
      <c r="J351" s="186">
        <v>275</v>
      </c>
      <c r="K351" s="186"/>
      <c r="L351" s="186"/>
      <c r="M351" s="90"/>
      <c r="N351" s="90"/>
      <c r="O351" s="90"/>
      <c r="P351" s="186"/>
      <c r="Q351" s="186"/>
      <c r="R351" s="122"/>
      <c r="S351" s="186" t="s">
        <v>1190</v>
      </c>
      <c r="T351" s="186"/>
      <c r="U351" s="186"/>
      <c r="V351" s="186"/>
      <c r="W351" s="186"/>
      <c r="X351" s="186"/>
      <c r="Y351" s="186"/>
      <c r="Z351" s="186"/>
      <c r="AA351" s="186"/>
      <c r="AB351" s="186"/>
      <c r="AC351" s="186"/>
      <c r="AD351" s="186"/>
      <c r="AE351" s="186"/>
    </row>
    <row r="352" spans="1:31" ht="18.75" customHeight="1">
      <c r="A352" s="213"/>
      <c r="B352" s="213"/>
      <c r="C352" s="210"/>
      <c r="D352" s="210"/>
      <c r="E352" s="186" t="s">
        <v>53</v>
      </c>
      <c r="F352" s="186" t="s">
        <v>1290</v>
      </c>
      <c r="G352" s="186" t="s">
        <v>432</v>
      </c>
      <c r="H352" s="186" t="s">
        <v>243</v>
      </c>
      <c r="I352" s="186"/>
      <c r="J352" s="186">
        <v>270</v>
      </c>
      <c r="K352" s="186"/>
      <c r="L352" s="186"/>
      <c r="M352" s="90"/>
      <c r="N352" s="90"/>
      <c r="O352" s="90"/>
      <c r="P352" s="186"/>
      <c r="Q352" s="186"/>
      <c r="R352" s="122"/>
      <c r="S352" s="186" t="s">
        <v>1190</v>
      </c>
      <c r="T352" s="186"/>
      <c r="U352" s="186"/>
      <c r="V352" s="186"/>
      <c r="W352" s="186"/>
      <c r="X352" s="186"/>
      <c r="Y352" s="186"/>
      <c r="Z352" s="186"/>
      <c r="AA352" s="186"/>
      <c r="AB352" s="186"/>
      <c r="AC352" s="186"/>
      <c r="AD352" s="186"/>
      <c r="AE352" s="186"/>
    </row>
    <row r="353" spans="1:31" ht="18.75" customHeight="1">
      <c r="A353" s="213"/>
      <c r="B353" s="213"/>
      <c r="C353" s="210"/>
      <c r="D353" s="210"/>
      <c r="E353" s="186" t="s">
        <v>53</v>
      </c>
      <c r="F353" s="186" t="s">
        <v>1291</v>
      </c>
      <c r="G353" s="186" t="s">
        <v>247</v>
      </c>
      <c r="H353" s="186" t="s">
        <v>243</v>
      </c>
      <c r="I353" s="186"/>
      <c r="J353" s="186">
        <v>271</v>
      </c>
      <c r="K353" s="186"/>
      <c r="L353" s="186"/>
      <c r="M353" s="90"/>
      <c r="N353" s="90"/>
      <c r="O353" s="90"/>
      <c r="P353" s="186"/>
      <c r="Q353" s="186"/>
      <c r="R353" s="122"/>
      <c r="S353" s="186" t="s">
        <v>1190</v>
      </c>
      <c r="T353" s="186"/>
      <c r="U353" s="186"/>
      <c r="V353" s="186"/>
      <c r="W353" s="186"/>
      <c r="X353" s="186"/>
      <c r="Y353" s="186"/>
      <c r="Z353" s="186"/>
      <c r="AA353" s="186"/>
      <c r="AB353" s="186"/>
      <c r="AC353" s="186"/>
      <c r="AD353" s="186"/>
      <c r="AE353" s="186"/>
    </row>
    <row r="354" spans="1:31" ht="18.75" customHeight="1">
      <c r="A354" s="213"/>
      <c r="B354" s="213"/>
      <c r="C354" s="210"/>
      <c r="D354" s="210"/>
      <c r="E354" s="186" t="s">
        <v>53</v>
      </c>
      <c r="F354" s="186" t="s">
        <v>1292</v>
      </c>
      <c r="G354" s="186" t="s">
        <v>535</v>
      </c>
      <c r="H354" s="186" t="s">
        <v>243</v>
      </c>
      <c r="I354" s="186"/>
      <c r="J354" s="186">
        <v>274</v>
      </c>
      <c r="K354" s="186"/>
      <c r="L354" s="186"/>
      <c r="M354" s="90"/>
      <c r="N354" s="90"/>
      <c r="O354" s="90"/>
      <c r="P354" s="186"/>
      <c r="Q354" s="186"/>
      <c r="R354" s="122"/>
      <c r="S354" s="186" t="s">
        <v>1190</v>
      </c>
      <c r="T354" s="186"/>
      <c r="U354" s="186"/>
      <c r="V354" s="186"/>
      <c r="W354" s="186"/>
      <c r="X354" s="186"/>
      <c r="Y354" s="186"/>
      <c r="Z354" s="186"/>
      <c r="AA354" s="186"/>
      <c r="AB354" s="186"/>
      <c r="AC354" s="186"/>
      <c r="AD354" s="186"/>
      <c r="AE354" s="186"/>
    </row>
    <row r="355" spans="1:31" ht="18.75" customHeight="1">
      <c r="A355" s="213"/>
      <c r="B355" s="213"/>
      <c r="C355" s="210"/>
      <c r="D355" s="210"/>
      <c r="E355" s="186" t="s">
        <v>53</v>
      </c>
      <c r="F355" s="186" t="s">
        <v>1293</v>
      </c>
      <c r="G355" s="186" t="s">
        <v>432</v>
      </c>
      <c r="H355" s="186" t="s">
        <v>243</v>
      </c>
      <c r="I355" s="186"/>
      <c r="J355" s="186">
        <v>276</v>
      </c>
      <c r="K355" s="186"/>
      <c r="L355" s="186"/>
      <c r="M355" s="90"/>
      <c r="N355" s="90"/>
      <c r="O355" s="90"/>
      <c r="P355" s="186"/>
      <c r="Q355" s="186"/>
      <c r="R355" s="122"/>
      <c r="S355" s="186" t="s">
        <v>1190</v>
      </c>
      <c r="T355" s="186"/>
      <c r="U355" s="186"/>
      <c r="V355" s="186"/>
      <c r="W355" s="186"/>
      <c r="X355" s="186"/>
      <c r="Y355" s="186"/>
      <c r="Z355" s="186"/>
      <c r="AA355" s="186"/>
      <c r="AB355" s="186"/>
      <c r="AC355" s="186"/>
      <c r="AD355" s="186"/>
      <c r="AE355" s="186"/>
    </row>
    <row r="356" spans="1:31" ht="18.75" customHeight="1">
      <c r="A356" s="213"/>
      <c r="B356" s="213"/>
      <c r="C356" s="210"/>
      <c r="D356" s="210"/>
      <c r="E356" s="186" t="s">
        <v>59</v>
      </c>
      <c r="F356" s="186" t="s">
        <v>491</v>
      </c>
      <c r="G356" s="186" t="s">
        <v>346</v>
      </c>
      <c r="H356" s="186" t="s">
        <v>243</v>
      </c>
      <c r="I356" s="186"/>
      <c r="J356" s="186">
        <v>277</v>
      </c>
      <c r="K356" s="186"/>
      <c r="L356" s="186"/>
      <c r="M356" s="90"/>
      <c r="N356" s="90"/>
      <c r="O356" s="90"/>
      <c r="P356" s="186"/>
      <c r="Q356" s="186"/>
      <c r="R356" s="122"/>
      <c r="S356" s="186" t="s">
        <v>4271</v>
      </c>
      <c r="T356" s="186"/>
      <c r="U356" s="186"/>
      <c r="V356" s="186"/>
      <c r="W356" s="186"/>
      <c r="X356" s="186"/>
      <c r="Y356" s="186"/>
      <c r="Z356" s="186"/>
      <c r="AA356" s="186"/>
      <c r="AB356" s="186"/>
      <c r="AC356" s="186"/>
      <c r="AD356" s="186"/>
      <c r="AE356" s="186"/>
    </row>
    <row r="357" spans="1:31" ht="18.75" customHeight="1">
      <c r="A357" s="213"/>
      <c r="B357" s="213"/>
      <c r="C357" s="210"/>
      <c r="D357" s="210"/>
      <c r="E357" s="186" t="s">
        <v>59</v>
      </c>
      <c r="F357" s="186" t="s">
        <v>493</v>
      </c>
      <c r="G357" s="186" t="s">
        <v>242</v>
      </c>
      <c r="H357" s="186" t="s">
        <v>243</v>
      </c>
      <c r="I357" s="186"/>
      <c r="J357" s="186">
        <v>278</v>
      </c>
      <c r="K357" s="186"/>
      <c r="L357" s="186"/>
      <c r="M357" s="90"/>
      <c r="N357" s="90"/>
      <c r="O357" s="90"/>
      <c r="P357" s="186"/>
      <c r="Q357" s="186"/>
      <c r="R357" s="122"/>
      <c r="S357" s="186" t="s">
        <v>4271</v>
      </c>
      <c r="T357" s="186"/>
      <c r="U357" s="186"/>
      <c r="V357" s="186"/>
      <c r="W357" s="186"/>
      <c r="X357" s="186"/>
      <c r="Y357" s="186"/>
      <c r="Z357" s="186"/>
      <c r="AA357" s="186"/>
      <c r="AB357" s="186"/>
      <c r="AC357" s="186"/>
      <c r="AD357" s="186"/>
      <c r="AE357" s="186"/>
    </row>
    <row r="358" spans="1:31" ht="18.75" customHeight="1">
      <c r="A358" s="213"/>
      <c r="B358" s="213"/>
      <c r="C358" s="210"/>
      <c r="D358" s="210"/>
      <c r="E358" s="186" t="s">
        <v>55</v>
      </c>
      <c r="F358" s="186" t="s">
        <v>2384</v>
      </c>
      <c r="G358" s="186" t="s">
        <v>346</v>
      </c>
      <c r="H358" s="186" t="s">
        <v>243</v>
      </c>
      <c r="I358" s="186"/>
      <c r="J358" s="186">
        <v>279</v>
      </c>
      <c r="K358" s="186"/>
      <c r="L358" s="186"/>
      <c r="M358" s="90"/>
      <c r="N358" s="90"/>
      <c r="O358" s="90"/>
      <c r="P358" s="186"/>
      <c r="Q358" s="186"/>
      <c r="R358" s="122"/>
      <c r="S358" s="186"/>
      <c r="T358" s="186"/>
      <c r="U358" s="186"/>
      <c r="V358" s="186"/>
      <c r="W358" s="186"/>
      <c r="X358" s="186"/>
      <c r="Y358" s="186"/>
      <c r="Z358" s="186"/>
      <c r="AA358" s="186"/>
      <c r="AB358" s="186"/>
      <c r="AC358" s="186"/>
      <c r="AD358" s="186"/>
      <c r="AE358" s="186"/>
    </row>
    <row r="359" spans="1:31" ht="18.75" customHeight="1">
      <c r="A359" s="213"/>
      <c r="B359" s="213"/>
      <c r="C359" s="210"/>
      <c r="D359" s="210"/>
      <c r="E359" s="186" t="s">
        <v>55</v>
      </c>
      <c r="F359" s="186" t="s">
        <v>2386</v>
      </c>
      <c r="G359" s="186" t="s">
        <v>242</v>
      </c>
      <c r="H359" s="186" t="s">
        <v>243</v>
      </c>
      <c r="I359" s="186"/>
      <c r="J359" s="186">
        <v>280</v>
      </c>
      <c r="K359" s="186"/>
      <c r="L359" s="186"/>
      <c r="M359" s="90"/>
      <c r="N359" s="90"/>
      <c r="O359" s="90"/>
      <c r="P359" s="186"/>
      <c r="Q359" s="186"/>
      <c r="R359" s="122"/>
      <c r="S359" s="186"/>
      <c r="T359" s="186"/>
      <c r="U359" s="186"/>
      <c r="V359" s="186"/>
      <c r="W359" s="186"/>
      <c r="X359" s="186"/>
      <c r="Y359" s="186"/>
      <c r="Z359" s="186"/>
      <c r="AA359" s="186"/>
      <c r="AB359" s="186"/>
      <c r="AC359" s="186"/>
      <c r="AD359" s="186"/>
      <c r="AE359" s="186"/>
    </row>
    <row r="360" spans="1:31" ht="18.75" customHeight="1">
      <c r="A360" s="213"/>
      <c r="B360" s="213"/>
      <c r="C360" s="210"/>
      <c r="D360" s="210"/>
      <c r="E360" s="186" t="s">
        <v>55</v>
      </c>
      <c r="F360" s="186" t="s">
        <v>4447</v>
      </c>
      <c r="G360" s="186" t="s">
        <v>255</v>
      </c>
      <c r="H360" s="186" t="s">
        <v>243</v>
      </c>
      <c r="I360" s="186"/>
      <c r="J360" s="186">
        <v>281</v>
      </c>
      <c r="K360" s="186"/>
      <c r="L360" s="186"/>
      <c r="M360" s="90"/>
      <c r="N360" s="90"/>
      <c r="O360" s="90"/>
      <c r="P360" s="186"/>
      <c r="Q360" s="186"/>
      <c r="R360" s="122"/>
      <c r="S360" s="186" t="s">
        <v>4448</v>
      </c>
      <c r="T360" s="186"/>
      <c r="U360" s="186"/>
      <c r="V360" s="186"/>
      <c r="W360" s="186"/>
      <c r="X360" s="186"/>
      <c r="Y360" s="186"/>
      <c r="Z360" s="186"/>
      <c r="AA360" s="186"/>
      <c r="AB360" s="186"/>
      <c r="AC360" s="186"/>
      <c r="AD360" s="186"/>
      <c r="AE360" s="186"/>
    </row>
    <row r="361" spans="1:31" ht="18.75" customHeight="1">
      <c r="A361" s="213"/>
      <c r="B361" s="213"/>
      <c r="C361" s="210"/>
      <c r="D361" s="210"/>
      <c r="E361" s="186" t="s">
        <v>53</v>
      </c>
      <c r="F361" s="186" t="s">
        <v>4449</v>
      </c>
      <c r="G361" s="186" t="s">
        <v>535</v>
      </c>
      <c r="H361" s="186" t="s">
        <v>243</v>
      </c>
      <c r="I361" s="186"/>
      <c r="J361" s="186">
        <v>289</v>
      </c>
      <c r="K361" s="186"/>
      <c r="L361" s="186"/>
      <c r="M361" s="90"/>
      <c r="N361" s="90"/>
      <c r="O361" s="90"/>
      <c r="P361" s="186"/>
      <c r="Q361" s="186"/>
      <c r="R361" s="122"/>
      <c r="S361" s="186" t="s">
        <v>1190</v>
      </c>
      <c r="T361" s="186"/>
      <c r="U361" s="186"/>
      <c r="V361" s="186"/>
      <c r="W361" s="186"/>
      <c r="X361" s="186"/>
      <c r="Y361" s="186"/>
      <c r="Z361" s="186"/>
      <c r="AA361" s="186"/>
      <c r="AB361" s="186"/>
      <c r="AC361" s="186"/>
      <c r="AD361" s="186"/>
      <c r="AE361" s="186"/>
    </row>
    <row r="362" spans="1:31" ht="18.75" customHeight="1">
      <c r="A362" s="213"/>
      <c r="B362" s="213"/>
      <c r="C362" s="210"/>
      <c r="D362" s="210"/>
      <c r="E362" s="186" t="s">
        <v>59</v>
      </c>
      <c r="F362" s="186" t="s">
        <v>383</v>
      </c>
      <c r="G362" s="186" t="s">
        <v>255</v>
      </c>
      <c r="H362" s="186" t="s">
        <v>243</v>
      </c>
      <c r="I362" s="186"/>
      <c r="J362" s="186">
        <v>282</v>
      </c>
      <c r="K362" s="186"/>
      <c r="L362" s="186"/>
      <c r="M362" s="90"/>
      <c r="N362" s="90"/>
      <c r="O362" s="90"/>
      <c r="P362" s="186"/>
      <c r="Q362" s="186"/>
      <c r="R362" s="122"/>
      <c r="S362" s="186" t="s">
        <v>4450</v>
      </c>
      <c r="T362" s="186"/>
      <c r="U362" s="186"/>
      <c r="V362" s="186"/>
      <c r="W362" s="186"/>
      <c r="X362" s="186"/>
      <c r="Y362" s="186"/>
      <c r="Z362" s="186"/>
      <c r="AA362" s="186"/>
      <c r="AB362" s="186"/>
      <c r="AC362" s="186"/>
      <c r="AD362" s="186"/>
      <c r="AE362" s="186"/>
    </row>
    <row r="363" spans="1:31" ht="18.75" customHeight="1">
      <c r="A363" s="213"/>
      <c r="B363" s="213"/>
      <c r="C363" s="210"/>
      <c r="D363" s="210"/>
      <c r="E363" s="186" t="s">
        <v>55</v>
      </c>
      <c r="F363" s="186" t="s">
        <v>147</v>
      </c>
      <c r="G363" s="186" t="s">
        <v>242</v>
      </c>
      <c r="H363" s="186" t="s">
        <v>243</v>
      </c>
      <c r="I363" s="186"/>
      <c r="J363" s="186">
        <v>283</v>
      </c>
      <c r="K363" s="186"/>
      <c r="L363" s="186"/>
      <c r="M363" s="90"/>
      <c r="N363" s="90"/>
      <c r="O363" s="90"/>
      <c r="P363" s="186"/>
      <c r="Q363" s="186"/>
      <c r="R363" s="122"/>
      <c r="S363" s="186" t="s">
        <v>4255</v>
      </c>
      <c r="T363" s="186"/>
      <c r="U363" s="186"/>
      <c r="V363" s="186"/>
      <c r="W363" s="186"/>
      <c r="X363" s="186"/>
      <c r="Y363" s="186"/>
      <c r="Z363" s="186"/>
      <c r="AA363" s="186"/>
      <c r="AB363" s="186"/>
      <c r="AC363" s="186"/>
      <c r="AD363" s="186"/>
      <c r="AE363" s="186"/>
    </row>
    <row r="364" spans="1:31" ht="18.75" customHeight="1">
      <c r="A364" s="213"/>
      <c r="B364" s="213"/>
      <c r="C364" s="210"/>
      <c r="D364" s="210"/>
      <c r="E364" s="186" t="s">
        <v>53</v>
      </c>
      <c r="F364" s="186" t="s">
        <v>123</v>
      </c>
      <c r="G364" s="186" t="s">
        <v>535</v>
      </c>
      <c r="H364" s="186" t="s">
        <v>243</v>
      </c>
      <c r="I364" s="186"/>
      <c r="J364" s="186">
        <v>290</v>
      </c>
      <c r="K364" s="186"/>
      <c r="L364" s="186"/>
      <c r="M364" s="90"/>
      <c r="N364" s="90"/>
      <c r="O364" s="90"/>
      <c r="P364" s="186"/>
      <c r="Q364" s="186"/>
      <c r="R364" s="122"/>
      <c r="S364" s="186" t="s">
        <v>1190</v>
      </c>
      <c r="T364" s="186"/>
      <c r="U364" s="186"/>
      <c r="V364" s="186"/>
      <c r="W364" s="186"/>
      <c r="X364" s="186"/>
      <c r="Y364" s="186"/>
      <c r="Z364" s="186"/>
      <c r="AA364" s="186"/>
      <c r="AB364" s="186"/>
      <c r="AC364" s="186"/>
      <c r="AD364" s="186"/>
      <c r="AE364" s="186"/>
    </row>
    <row r="365" spans="1:31" ht="18.75" customHeight="1">
      <c r="A365" s="213"/>
      <c r="B365" s="213"/>
      <c r="C365" s="210"/>
      <c r="D365" s="210"/>
      <c r="E365" s="186" t="s">
        <v>55</v>
      </c>
      <c r="F365" s="186" t="s">
        <v>2397</v>
      </c>
      <c r="G365" s="186" t="s">
        <v>324</v>
      </c>
      <c r="H365" s="186" t="s">
        <v>243</v>
      </c>
      <c r="I365" s="186"/>
      <c r="J365" s="186">
        <v>292</v>
      </c>
      <c r="K365" s="186"/>
      <c r="L365" s="186"/>
      <c r="M365" s="90"/>
      <c r="N365" s="90"/>
      <c r="O365" s="90"/>
      <c r="P365" s="186"/>
      <c r="Q365" s="186"/>
      <c r="R365" s="122"/>
      <c r="S365" s="186" t="s">
        <v>4255</v>
      </c>
      <c r="T365" s="186"/>
      <c r="U365" s="186"/>
      <c r="V365" s="186"/>
      <c r="W365" s="186"/>
      <c r="X365" s="186"/>
      <c r="Y365" s="186"/>
      <c r="Z365" s="186"/>
      <c r="AA365" s="186"/>
      <c r="AB365" s="186"/>
      <c r="AC365" s="186"/>
      <c r="AD365" s="186"/>
      <c r="AE365" s="186"/>
    </row>
    <row r="366" spans="1:31" ht="18.75" customHeight="1">
      <c r="A366" s="213"/>
      <c r="B366" s="213"/>
      <c r="C366" s="210"/>
      <c r="D366" s="210"/>
      <c r="E366" s="186" t="s">
        <v>59</v>
      </c>
      <c r="F366" s="186" t="s">
        <v>4451</v>
      </c>
      <c r="G366" s="186" t="s">
        <v>242</v>
      </c>
      <c r="H366" s="186" t="s">
        <v>243</v>
      </c>
      <c r="I366" s="186"/>
      <c r="J366" s="186">
        <v>291</v>
      </c>
      <c r="K366" s="186"/>
      <c r="L366" s="186"/>
      <c r="M366" s="90"/>
      <c r="N366" s="90"/>
      <c r="O366" s="90"/>
      <c r="P366" s="186"/>
      <c r="Q366" s="186"/>
      <c r="R366" s="122"/>
      <c r="S366" s="186" t="s">
        <v>4271</v>
      </c>
      <c r="T366" s="186"/>
      <c r="U366" s="186"/>
      <c r="V366" s="186"/>
      <c r="W366" s="186"/>
      <c r="X366" s="186"/>
      <c r="Y366" s="186"/>
      <c r="Z366" s="186"/>
      <c r="AA366" s="186"/>
      <c r="AB366" s="186"/>
      <c r="AC366" s="186"/>
      <c r="AD366" s="186"/>
      <c r="AE366" s="186"/>
    </row>
    <row r="371" spans="1:11" ht="18.75" customHeight="1">
      <c r="A371" s="296" t="s">
        <v>1040</v>
      </c>
      <c r="B371" s="296" t="s">
        <v>1041</v>
      </c>
      <c r="C371" s="296" t="s">
        <v>1042</v>
      </c>
      <c r="D371" s="296" t="s">
        <v>1043</v>
      </c>
      <c r="E371" s="296" t="s">
        <v>4452</v>
      </c>
      <c r="F371" s="296"/>
      <c r="G371" s="296"/>
      <c r="H371" s="296"/>
      <c r="I371" s="296"/>
      <c r="J371" s="296"/>
      <c r="K371" s="381" t="s">
        <v>1038</v>
      </c>
    </row>
  </sheetData>
  <autoFilter ref="A2:AE366" xr:uid="{00000000-0009-0000-0000-000027000000}"/>
  <pageMargins left="0.7" right="0.7" top="0.75" bottom="0.75" header="0" footer="0"/>
  <pageSetup orientation="landscape"/>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outlinePr summaryBelow="0" summaryRight="0"/>
  </sheetPr>
  <dimension ref="A1:S103"/>
  <sheetViews>
    <sheetView workbookViewId="0">
      <pane xSplit="7" ySplit="2" topLeftCell="H3" activePane="bottomRight" state="frozen"/>
      <selection pane="topRight" activeCell="H1" sqref="H1"/>
      <selection pane="bottomLeft" activeCell="A3" sqref="A3"/>
      <selection pane="bottomRight" activeCell="H3" sqref="H3"/>
    </sheetView>
  </sheetViews>
  <sheetFormatPr defaultColWidth="14.453125" defaultRowHeight="15" customHeight="1"/>
  <cols>
    <col min="1" max="4" width="17.1796875" hidden="1" customWidth="1"/>
    <col min="5" max="5" width="34.7265625" customWidth="1"/>
    <col min="6" max="6" width="27" customWidth="1"/>
    <col min="7" max="7" width="17.1796875" customWidth="1"/>
    <col min="8" max="10" width="17.1796875" hidden="1" customWidth="1"/>
    <col min="11" max="16" width="17.1796875" customWidth="1"/>
    <col min="17" max="17" width="32.7265625" customWidth="1"/>
    <col min="18" max="18" width="28" customWidth="1"/>
    <col min="19" max="19" width="48.26953125" customWidth="1"/>
    <col min="20" max="20" width="17.1796875" customWidth="1"/>
    <col min="21" max="22" width="63.7265625" customWidth="1"/>
    <col min="23" max="26" width="17.26953125" customWidth="1"/>
  </cols>
  <sheetData>
    <row r="1" spans="1:19" ht="36.75" customHeight="1">
      <c r="A1" s="186"/>
      <c r="B1" s="186"/>
      <c r="C1" s="186"/>
      <c r="D1" s="186"/>
      <c r="E1" s="289" t="s">
        <v>1322</v>
      </c>
      <c r="F1" s="186"/>
      <c r="G1" s="186"/>
      <c r="H1" s="186"/>
      <c r="I1" s="186"/>
      <c r="J1" s="186"/>
      <c r="K1" s="207" t="s">
        <v>1038</v>
      </c>
      <c r="L1" s="207"/>
      <c r="M1" s="207"/>
      <c r="N1" s="207"/>
      <c r="O1" s="207"/>
      <c r="P1" s="207"/>
      <c r="Q1" s="186"/>
      <c r="R1" s="186"/>
      <c r="S1" s="186"/>
    </row>
    <row r="2" spans="1:19" ht="12.75" customHeight="1">
      <c r="A2" s="208" t="s">
        <v>1040</v>
      </c>
      <c r="B2" s="208" t="s">
        <v>1041</v>
      </c>
      <c r="C2" s="208" t="s">
        <v>1042</v>
      </c>
      <c r="D2" s="208" t="s">
        <v>1043</v>
      </c>
      <c r="E2" s="208" t="s">
        <v>224</v>
      </c>
      <c r="F2" s="208" t="s">
        <v>225</v>
      </c>
      <c r="G2" s="208" t="s">
        <v>226</v>
      </c>
      <c r="H2" s="208" t="s">
        <v>227</v>
      </c>
      <c r="I2" s="208" t="s">
        <v>1044</v>
      </c>
      <c r="J2" s="208" t="s">
        <v>1045</v>
      </c>
      <c r="K2" s="207" t="s">
        <v>100</v>
      </c>
      <c r="L2" s="207" t="s">
        <v>101</v>
      </c>
      <c r="M2" s="207" t="s">
        <v>102</v>
      </c>
      <c r="N2" s="207" t="s">
        <v>103</v>
      </c>
      <c r="O2" s="207" t="s">
        <v>104</v>
      </c>
      <c r="P2" s="207" t="s">
        <v>105</v>
      </c>
      <c r="Q2" s="208" t="s">
        <v>111</v>
      </c>
      <c r="R2" s="208" t="s">
        <v>112</v>
      </c>
      <c r="S2" s="208" t="s">
        <v>113</v>
      </c>
    </row>
    <row r="3" spans="1:19" ht="18.75" customHeight="1">
      <c r="A3" s="213"/>
      <c r="B3" s="213"/>
      <c r="C3" s="210"/>
      <c r="D3" s="210"/>
      <c r="E3" s="186" t="s">
        <v>53</v>
      </c>
      <c r="F3" s="186" t="s">
        <v>1189</v>
      </c>
      <c r="G3" s="186" t="s">
        <v>3362</v>
      </c>
      <c r="H3" s="186"/>
      <c r="I3" s="186"/>
      <c r="J3" s="186">
        <v>17</v>
      </c>
      <c r="K3" s="186"/>
      <c r="L3" s="186"/>
      <c r="M3" s="90"/>
      <c r="N3" s="90"/>
      <c r="O3" s="90"/>
      <c r="P3" s="186"/>
      <c r="Q3" s="122"/>
      <c r="R3" s="123"/>
      <c r="S3" s="186" t="s">
        <v>1190</v>
      </c>
    </row>
    <row r="4" spans="1:19" ht="18.75" customHeight="1">
      <c r="A4" s="213"/>
      <c r="B4" s="213"/>
      <c r="C4" s="210"/>
      <c r="D4" s="210"/>
      <c r="E4" s="186" t="s">
        <v>53</v>
      </c>
      <c r="F4" s="186" t="s">
        <v>1191</v>
      </c>
      <c r="G4" s="186" t="s">
        <v>4453</v>
      </c>
      <c r="H4" s="186"/>
      <c r="I4" s="186"/>
      <c r="J4" s="186">
        <v>18</v>
      </c>
      <c r="K4" s="186"/>
      <c r="L4" s="186"/>
      <c r="M4" s="90"/>
      <c r="N4" s="90"/>
      <c r="O4" s="90"/>
      <c r="P4" s="186"/>
      <c r="Q4" s="122"/>
      <c r="R4" s="123"/>
      <c r="S4" s="186" t="s">
        <v>1190</v>
      </c>
    </row>
    <row r="5" spans="1:19" ht="18.75" customHeight="1">
      <c r="A5" s="213"/>
      <c r="B5" s="213"/>
      <c r="C5" s="210"/>
      <c r="D5" s="210"/>
      <c r="E5" s="186" t="s">
        <v>53</v>
      </c>
      <c r="F5" s="186" t="s">
        <v>1192</v>
      </c>
      <c r="G5" s="186" t="s">
        <v>860</v>
      </c>
      <c r="H5" s="186"/>
      <c r="I5" s="186"/>
      <c r="J5" s="186">
        <v>19</v>
      </c>
      <c r="K5" s="186"/>
      <c r="L5" s="186"/>
      <c r="M5" s="90"/>
      <c r="N5" s="90"/>
      <c r="O5" s="90"/>
      <c r="P5" s="186"/>
      <c r="Q5" s="122"/>
      <c r="R5" s="123"/>
      <c r="S5" s="186" t="s">
        <v>1190</v>
      </c>
    </row>
    <row r="6" spans="1:19" ht="18.75" customHeight="1">
      <c r="A6" s="213"/>
      <c r="B6" s="213"/>
      <c r="C6" s="210"/>
      <c r="D6" s="210"/>
      <c r="E6" s="186" t="s">
        <v>53</v>
      </c>
      <c r="F6" s="186" t="s">
        <v>1193</v>
      </c>
      <c r="G6" s="186" t="s">
        <v>900</v>
      </c>
      <c r="H6" s="186"/>
      <c r="I6" s="186"/>
      <c r="J6" s="186">
        <v>20</v>
      </c>
      <c r="K6" s="186"/>
      <c r="L6" s="186"/>
      <c r="M6" s="90"/>
      <c r="N6" s="90"/>
      <c r="O6" s="90"/>
      <c r="P6" s="186"/>
      <c r="Q6" s="122"/>
      <c r="R6" s="123"/>
      <c r="S6" s="186" t="s">
        <v>1190</v>
      </c>
    </row>
    <row r="7" spans="1:19" ht="18.75" customHeight="1">
      <c r="A7" s="213"/>
      <c r="B7" s="213"/>
      <c r="C7" s="210"/>
      <c r="D7" s="210"/>
      <c r="E7" s="186" t="s">
        <v>53</v>
      </c>
      <c r="F7" s="186" t="s">
        <v>1194</v>
      </c>
      <c r="G7" s="186" t="s">
        <v>4453</v>
      </c>
      <c r="H7" s="186"/>
      <c r="I7" s="186"/>
      <c r="J7" s="186">
        <v>21</v>
      </c>
      <c r="K7" s="186"/>
      <c r="L7" s="186"/>
      <c r="M7" s="90"/>
      <c r="N7" s="90"/>
      <c r="O7" s="90"/>
      <c r="P7" s="186"/>
      <c r="Q7" s="122"/>
      <c r="R7" s="123"/>
      <c r="S7" s="186" t="s">
        <v>1190</v>
      </c>
    </row>
    <row r="8" spans="1:19" ht="18.75" customHeight="1">
      <c r="A8" s="213"/>
      <c r="B8" s="213"/>
      <c r="C8" s="210"/>
      <c r="D8" s="210"/>
      <c r="E8" s="186" t="s">
        <v>53</v>
      </c>
      <c r="F8" s="186" t="s">
        <v>1195</v>
      </c>
      <c r="G8" s="186" t="s">
        <v>900</v>
      </c>
      <c r="H8" s="186"/>
      <c r="I8" s="186"/>
      <c r="J8" s="186">
        <v>22</v>
      </c>
      <c r="K8" s="186"/>
      <c r="L8" s="186"/>
      <c r="M8" s="90"/>
      <c r="N8" s="90"/>
      <c r="O8" s="90"/>
      <c r="P8" s="186"/>
      <c r="Q8" s="122"/>
      <c r="R8" s="123"/>
      <c r="S8" s="186" t="s">
        <v>1190</v>
      </c>
    </row>
    <row r="9" spans="1:19" ht="18.75" customHeight="1">
      <c r="A9" s="213"/>
      <c r="B9" s="213"/>
      <c r="C9" s="210"/>
      <c r="D9" s="210"/>
      <c r="E9" s="186" t="s">
        <v>53</v>
      </c>
      <c r="F9" s="186" t="s">
        <v>1956</v>
      </c>
      <c r="G9" s="186" t="s">
        <v>4453</v>
      </c>
      <c r="H9" s="186"/>
      <c r="I9" s="186"/>
      <c r="J9" s="186">
        <v>23</v>
      </c>
      <c r="K9" s="186"/>
      <c r="L9" s="186"/>
      <c r="M9" s="90"/>
      <c r="N9" s="90"/>
      <c r="O9" s="90"/>
      <c r="P9" s="186"/>
      <c r="Q9" s="122"/>
      <c r="R9" s="123"/>
      <c r="S9" s="186" t="s">
        <v>1190</v>
      </c>
    </row>
    <row r="10" spans="1:19" ht="18.75" customHeight="1">
      <c r="A10" s="213"/>
      <c r="B10" s="213"/>
      <c r="C10" s="210"/>
      <c r="D10" s="210"/>
      <c r="E10" s="186" t="s">
        <v>53</v>
      </c>
      <c r="F10" s="186" t="s">
        <v>1957</v>
      </c>
      <c r="G10" s="186" t="s">
        <v>4453</v>
      </c>
      <c r="H10" s="186"/>
      <c r="I10" s="186"/>
      <c r="J10" s="186">
        <v>24</v>
      </c>
      <c r="K10" s="186"/>
      <c r="L10" s="186"/>
      <c r="M10" s="90"/>
      <c r="N10" s="90"/>
      <c r="O10" s="90"/>
      <c r="P10" s="186"/>
      <c r="Q10" s="122"/>
      <c r="R10" s="123"/>
      <c r="S10" s="186" t="s">
        <v>1190</v>
      </c>
    </row>
    <row r="11" spans="1:19" ht="18.75" customHeight="1">
      <c r="A11" s="213"/>
      <c r="B11" s="213"/>
      <c r="C11" s="210"/>
      <c r="D11" s="210"/>
      <c r="E11" s="186" t="s">
        <v>53</v>
      </c>
      <c r="F11" s="186" t="s">
        <v>1196</v>
      </c>
      <c r="G11" s="186" t="s">
        <v>2529</v>
      </c>
      <c r="H11" s="186"/>
      <c r="I11" s="186"/>
      <c r="J11" s="186">
        <v>25</v>
      </c>
      <c r="K11" s="186"/>
      <c r="L11" s="186"/>
      <c r="M11" s="90"/>
      <c r="N11" s="90"/>
      <c r="O11" s="90"/>
      <c r="P11" s="186"/>
      <c r="Q11" s="122"/>
      <c r="R11" s="123"/>
      <c r="S11" s="186" t="s">
        <v>1190</v>
      </c>
    </row>
    <row r="12" spans="1:19" ht="18.75" customHeight="1">
      <c r="A12" s="213"/>
      <c r="B12" s="213"/>
      <c r="C12" s="210"/>
      <c r="D12" s="210"/>
      <c r="E12" s="186" t="s">
        <v>53</v>
      </c>
      <c r="F12" s="186" t="s">
        <v>124</v>
      </c>
      <c r="G12" s="186" t="s">
        <v>2529</v>
      </c>
      <c r="H12" s="186"/>
      <c r="I12" s="186"/>
      <c r="J12" s="186">
        <v>41</v>
      </c>
      <c r="K12" s="186"/>
      <c r="L12" s="186"/>
      <c r="M12" s="90"/>
      <c r="N12" s="90"/>
      <c r="O12" s="90"/>
      <c r="P12" s="186"/>
      <c r="Q12" s="122"/>
      <c r="R12" s="123"/>
      <c r="S12" s="186" t="s">
        <v>1190</v>
      </c>
    </row>
    <row r="13" spans="1:19" ht="18.75" customHeight="1">
      <c r="A13" s="213"/>
      <c r="B13" s="213"/>
      <c r="C13" s="210"/>
      <c r="D13" s="210"/>
      <c r="E13" s="186" t="s">
        <v>53</v>
      </c>
      <c r="F13" s="186" t="s">
        <v>2514</v>
      </c>
      <c r="G13" s="186" t="s">
        <v>2529</v>
      </c>
      <c r="H13" s="186"/>
      <c r="I13" s="186"/>
      <c r="J13" s="186">
        <v>67</v>
      </c>
      <c r="K13" s="186"/>
      <c r="L13" s="186"/>
      <c r="M13" s="90"/>
      <c r="N13" s="90"/>
      <c r="O13" s="90"/>
      <c r="P13" s="186"/>
      <c r="Q13" s="289"/>
      <c r="R13" s="123"/>
      <c r="S13" s="186" t="s">
        <v>1190</v>
      </c>
    </row>
    <row r="14" spans="1:19" ht="18.75" customHeight="1">
      <c r="A14" s="213"/>
      <c r="B14" s="213"/>
      <c r="C14" s="210"/>
      <c r="D14" s="210"/>
      <c r="E14" s="186" t="s">
        <v>53</v>
      </c>
      <c r="F14" s="186" t="s">
        <v>1288</v>
      </c>
      <c r="G14" s="186" t="s">
        <v>2529</v>
      </c>
      <c r="H14" s="186"/>
      <c r="I14" s="186"/>
      <c r="J14" s="186">
        <v>72</v>
      </c>
      <c r="K14" s="186"/>
      <c r="L14" s="186"/>
      <c r="M14" s="90"/>
      <c r="N14" s="90"/>
      <c r="O14" s="90"/>
      <c r="P14" s="186"/>
      <c r="Q14" s="122"/>
      <c r="R14" s="123"/>
      <c r="S14" s="186" t="s">
        <v>1190</v>
      </c>
    </row>
    <row r="15" spans="1:19" ht="18.75" customHeight="1">
      <c r="A15" s="213"/>
      <c r="B15" s="213"/>
      <c r="C15" s="210"/>
      <c r="D15" s="210"/>
      <c r="E15" s="186" t="s">
        <v>53</v>
      </c>
      <c r="F15" s="186" t="s">
        <v>1289</v>
      </c>
      <c r="G15" s="186" t="s">
        <v>3347</v>
      </c>
      <c r="H15" s="186"/>
      <c r="I15" s="186"/>
      <c r="J15" s="186">
        <v>73</v>
      </c>
      <c r="K15" s="186"/>
      <c r="L15" s="186"/>
      <c r="M15" s="90"/>
      <c r="N15" s="90"/>
      <c r="O15" s="90"/>
      <c r="P15" s="186"/>
      <c r="Q15" s="122"/>
      <c r="R15" s="123"/>
      <c r="S15" s="186" t="s">
        <v>1190</v>
      </c>
    </row>
    <row r="16" spans="1:19" ht="18.75" customHeight="1">
      <c r="A16" s="213"/>
      <c r="B16" s="213"/>
      <c r="C16" s="210"/>
      <c r="D16" s="210"/>
      <c r="E16" s="186" t="s">
        <v>53</v>
      </c>
      <c r="F16" s="186" t="s">
        <v>1290</v>
      </c>
      <c r="G16" s="186" t="s">
        <v>1865</v>
      </c>
      <c r="H16" s="186"/>
      <c r="I16" s="186"/>
      <c r="J16" s="186">
        <v>74</v>
      </c>
      <c r="K16" s="186"/>
      <c r="L16" s="186"/>
      <c r="M16" s="90"/>
      <c r="N16" s="90"/>
      <c r="O16" s="90"/>
      <c r="P16" s="186"/>
      <c r="Q16" s="122"/>
      <c r="R16" s="123"/>
      <c r="S16" s="186" t="s">
        <v>1190</v>
      </c>
    </row>
    <row r="17" spans="1:19" ht="18.75" customHeight="1">
      <c r="A17" s="213"/>
      <c r="B17" s="213"/>
      <c r="C17" s="210"/>
      <c r="D17" s="210"/>
      <c r="E17" s="186" t="s">
        <v>53</v>
      </c>
      <c r="F17" s="186" t="s">
        <v>1291</v>
      </c>
      <c r="G17" s="186" t="s">
        <v>900</v>
      </c>
      <c r="H17" s="186"/>
      <c r="I17" s="186"/>
      <c r="J17" s="186">
        <v>75</v>
      </c>
      <c r="K17" s="186"/>
      <c r="L17" s="186"/>
      <c r="M17" s="90"/>
      <c r="N17" s="90"/>
      <c r="O17" s="90"/>
      <c r="P17" s="186"/>
      <c r="Q17" s="122"/>
      <c r="R17" s="123"/>
      <c r="S17" s="186" t="s">
        <v>1190</v>
      </c>
    </row>
    <row r="18" spans="1:19" ht="18.75" customHeight="1">
      <c r="A18" s="213"/>
      <c r="B18" s="213"/>
      <c r="C18" s="210"/>
      <c r="D18" s="210"/>
      <c r="E18" s="186" t="s">
        <v>53</v>
      </c>
      <c r="F18" s="186" t="s">
        <v>1292</v>
      </c>
      <c r="G18" s="186" t="s">
        <v>2529</v>
      </c>
      <c r="H18" s="186"/>
      <c r="I18" s="186"/>
      <c r="J18" s="186">
        <v>76</v>
      </c>
      <c r="K18" s="186"/>
      <c r="L18" s="186"/>
      <c r="M18" s="90"/>
      <c r="N18" s="90"/>
      <c r="O18" s="90"/>
      <c r="P18" s="186"/>
      <c r="Q18" s="122"/>
      <c r="R18" s="123"/>
      <c r="S18" s="186" t="s">
        <v>1190</v>
      </c>
    </row>
    <row r="19" spans="1:19" ht="18.75" customHeight="1">
      <c r="A19" s="213"/>
      <c r="B19" s="213"/>
      <c r="C19" s="210"/>
      <c r="D19" s="210"/>
      <c r="E19" s="186" t="s">
        <v>53</v>
      </c>
      <c r="F19" s="186" t="s">
        <v>1293</v>
      </c>
      <c r="G19" s="186" t="s">
        <v>1865</v>
      </c>
      <c r="H19" s="186"/>
      <c r="I19" s="186"/>
      <c r="J19" s="186">
        <v>77</v>
      </c>
      <c r="K19" s="186"/>
      <c r="L19" s="186"/>
      <c r="M19" s="90"/>
      <c r="N19" s="90"/>
      <c r="O19" s="90"/>
      <c r="P19" s="186"/>
      <c r="Q19" s="122"/>
      <c r="R19" s="123"/>
      <c r="S19" s="186" t="s">
        <v>1190</v>
      </c>
    </row>
    <row r="20" spans="1:19" ht="18.75" customHeight="1">
      <c r="A20" s="213"/>
      <c r="B20" s="213"/>
      <c r="C20" s="210"/>
      <c r="D20" s="210"/>
      <c r="E20" s="186" t="s">
        <v>55</v>
      </c>
      <c r="F20" s="186" t="s">
        <v>2434</v>
      </c>
      <c r="G20" s="186" t="s">
        <v>4454</v>
      </c>
      <c r="H20" s="186"/>
      <c r="I20" s="186"/>
      <c r="J20" s="186">
        <v>2</v>
      </c>
      <c r="K20" s="186"/>
      <c r="L20" s="186"/>
      <c r="M20" s="90"/>
      <c r="N20" s="90"/>
      <c r="O20" s="90"/>
      <c r="P20" s="186"/>
      <c r="Q20" s="289" t="s">
        <v>1346</v>
      </c>
      <c r="R20" s="123"/>
      <c r="S20" s="186" t="s">
        <v>4455</v>
      </c>
    </row>
    <row r="21" spans="1:19" ht="18.75" customHeight="1">
      <c r="A21" s="213"/>
      <c r="B21" s="213"/>
      <c r="C21" s="210"/>
      <c r="D21" s="210"/>
      <c r="E21" s="186" t="s">
        <v>55</v>
      </c>
      <c r="F21" s="186" t="s">
        <v>936</v>
      </c>
      <c r="G21" s="186" t="s">
        <v>900</v>
      </c>
      <c r="H21" s="186"/>
      <c r="I21" s="186"/>
      <c r="J21" s="186">
        <v>3</v>
      </c>
      <c r="K21" s="186"/>
      <c r="L21" s="186"/>
      <c r="M21" s="90"/>
      <c r="N21" s="90"/>
      <c r="O21" s="90"/>
      <c r="P21" s="186"/>
      <c r="Q21" s="289" t="s">
        <v>1346</v>
      </c>
      <c r="R21" s="123"/>
      <c r="S21" s="186" t="s">
        <v>4456</v>
      </c>
    </row>
    <row r="22" spans="1:19" ht="18.75" customHeight="1">
      <c r="A22" s="213"/>
      <c r="B22" s="213"/>
      <c r="C22" s="210"/>
      <c r="D22" s="210"/>
      <c r="E22" s="186" t="s">
        <v>55</v>
      </c>
      <c r="F22" s="186" t="s">
        <v>989</v>
      </c>
      <c r="G22" s="186" t="s">
        <v>900</v>
      </c>
      <c r="H22" s="186"/>
      <c r="I22" s="186"/>
      <c r="J22" s="186">
        <v>5</v>
      </c>
      <c r="K22" s="186"/>
      <c r="L22" s="186"/>
      <c r="M22" s="90"/>
      <c r="N22" s="90"/>
      <c r="O22" s="90"/>
      <c r="P22" s="186"/>
      <c r="Q22" s="289" t="s">
        <v>1346</v>
      </c>
      <c r="R22" s="123"/>
      <c r="S22" s="186" t="s">
        <v>4456</v>
      </c>
    </row>
    <row r="23" spans="1:19" ht="18.75" customHeight="1">
      <c r="A23" s="213"/>
      <c r="B23" s="213"/>
      <c r="C23" s="210"/>
      <c r="D23" s="210"/>
      <c r="E23" s="186" t="s">
        <v>55</v>
      </c>
      <c r="F23" s="186" t="s">
        <v>2438</v>
      </c>
      <c r="G23" s="186" t="s">
        <v>900</v>
      </c>
      <c r="H23" s="186"/>
      <c r="I23" s="186"/>
      <c r="J23" s="186">
        <v>6</v>
      </c>
      <c r="K23" s="186"/>
      <c r="L23" s="186"/>
      <c r="M23" s="90"/>
      <c r="N23" s="90"/>
      <c r="O23" s="90"/>
      <c r="P23" s="186"/>
      <c r="Q23" s="289" t="s">
        <v>1346</v>
      </c>
      <c r="R23" s="123"/>
      <c r="S23" s="186" t="s">
        <v>4456</v>
      </c>
    </row>
    <row r="24" spans="1:19" ht="18.75" customHeight="1">
      <c r="A24" s="213"/>
      <c r="B24" s="213"/>
      <c r="C24" s="210"/>
      <c r="D24" s="210"/>
      <c r="E24" s="186" t="s">
        <v>55</v>
      </c>
      <c r="F24" s="186" t="s">
        <v>2440</v>
      </c>
      <c r="G24" s="186" t="s">
        <v>900</v>
      </c>
      <c r="H24" s="186"/>
      <c r="I24" s="186"/>
      <c r="J24" s="186">
        <v>7</v>
      </c>
      <c r="K24" s="186"/>
      <c r="L24" s="186"/>
      <c r="M24" s="90"/>
      <c r="N24" s="90"/>
      <c r="O24" s="90"/>
      <c r="P24" s="186"/>
      <c r="Q24" s="289" t="s">
        <v>1346</v>
      </c>
      <c r="R24" s="123"/>
      <c r="S24" s="186" t="s">
        <v>4456</v>
      </c>
    </row>
    <row r="25" spans="1:19" ht="18.75" customHeight="1">
      <c r="A25" s="213"/>
      <c r="B25" s="213"/>
      <c r="C25" s="210"/>
      <c r="D25" s="210"/>
      <c r="E25" s="186" t="s">
        <v>55</v>
      </c>
      <c r="F25" s="186" t="s">
        <v>2443</v>
      </c>
      <c r="G25" s="186" t="s">
        <v>900</v>
      </c>
      <c r="H25" s="186"/>
      <c r="I25" s="186"/>
      <c r="J25" s="186">
        <v>8</v>
      </c>
      <c r="K25" s="186"/>
      <c r="L25" s="186"/>
      <c r="M25" s="90"/>
      <c r="N25" s="90"/>
      <c r="O25" s="90"/>
      <c r="P25" s="186"/>
      <c r="Q25" s="289" t="s">
        <v>1346</v>
      </c>
      <c r="R25" s="123"/>
      <c r="S25" s="186" t="s">
        <v>4456</v>
      </c>
    </row>
    <row r="26" spans="1:19" ht="18.75" customHeight="1">
      <c r="A26" s="213"/>
      <c r="B26" s="213"/>
      <c r="C26" s="210"/>
      <c r="D26" s="210"/>
      <c r="E26" s="186" t="s">
        <v>55</v>
      </c>
      <c r="F26" s="186" t="s">
        <v>2444</v>
      </c>
      <c r="G26" s="186" t="s">
        <v>900</v>
      </c>
      <c r="H26" s="186"/>
      <c r="I26" s="186"/>
      <c r="J26" s="186">
        <v>9</v>
      </c>
      <c r="K26" s="186"/>
      <c r="L26" s="186"/>
      <c r="M26" s="90"/>
      <c r="N26" s="90"/>
      <c r="O26" s="90"/>
      <c r="P26" s="186"/>
      <c r="Q26" s="289" t="s">
        <v>1346</v>
      </c>
      <c r="R26" s="123"/>
      <c r="S26" s="186" t="s">
        <v>4456</v>
      </c>
    </row>
    <row r="27" spans="1:19" ht="18.75" customHeight="1">
      <c r="A27" s="213"/>
      <c r="B27" s="213"/>
      <c r="C27" s="210"/>
      <c r="D27" s="210"/>
      <c r="E27" s="186" t="s">
        <v>55</v>
      </c>
      <c r="F27" s="186" t="s">
        <v>2445</v>
      </c>
      <c r="G27" s="186" t="s">
        <v>900</v>
      </c>
      <c r="H27" s="186"/>
      <c r="I27" s="186"/>
      <c r="J27" s="186">
        <v>10</v>
      </c>
      <c r="K27" s="186"/>
      <c r="L27" s="186"/>
      <c r="M27" s="90"/>
      <c r="N27" s="90"/>
      <c r="O27" s="90"/>
      <c r="P27" s="186"/>
      <c r="Q27" s="289" t="s">
        <v>1346</v>
      </c>
      <c r="R27" s="123"/>
      <c r="S27" s="186" t="s">
        <v>4456</v>
      </c>
    </row>
    <row r="28" spans="1:19" ht="18.75" customHeight="1">
      <c r="A28" s="213"/>
      <c r="B28" s="213"/>
      <c r="C28" s="210"/>
      <c r="D28" s="210"/>
      <c r="E28" s="186" t="s">
        <v>55</v>
      </c>
      <c r="F28" s="186" t="s">
        <v>310</v>
      </c>
      <c r="G28" s="186" t="s">
        <v>900</v>
      </c>
      <c r="H28" s="186"/>
      <c r="I28" s="186"/>
      <c r="J28" s="186">
        <v>16</v>
      </c>
      <c r="K28" s="186"/>
      <c r="L28" s="186"/>
      <c r="M28" s="90"/>
      <c r="N28" s="90"/>
      <c r="O28" s="90"/>
      <c r="P28" s="186"/>
      <c r="Q28" s="289" t="s">
        <v>1346</v>
      </c>
      <c r="R28" s="123"/>
      <c r="S28" s="186" t="s">
        <v>2448</v>
      </c>
    </row>
    <row r="29" spans="1:19" ht="18.75" customHeight="1">
      <c r="A29" s="213"/>
      <c r="B29" s="213"/>
      <c r="C29" s="210"/>
      <c r="D29" s="210"/>
      <c r="E29" s="186" t="s">
        <v>59</v>
      </c>
      <c r="F29" s="186" t="s">
        <v>2449</v>
      </c>
      <c r="G29" s="186" t="s">
        <v>3347</v>
      </c>
      <c r="H29" s="186"/>
      <c r="I29" s="186"/>
      <c r="J29" s="186">
        <v>27</v>
      </c>
      <c r="K29" s="186"/>
      <c r="L29" s="186"/>
      <c r="M29" s="90"/>
      <c r="N29" s="90"/>
      <c r="O29" s="90"/>
      <c r="P29" s="186"/>
      <c r="Q29" s="289" t="s">
        <v>1346</v>
      </c>
      <c r="R29" s="123"/>
      <c r="S29" s="186" t="s">
        <v>2450</v>
      </c>
    </row>
    <row r="30" spans="1:19" ht="18.75" customHeight="1">
      <c r="A30" s="213"/>
      <c r="B30" s="213"/>
      <c r="C30" s="210"/>
      <c r="D30" s="210"/>
      <c r="E30" s="186" t="s">
        <v>55</v>
      </c>
      <c r="F30" s="186" t="s">
        <v>2454</v>
      </c>
      <c r="G30" s="186" t="s">
        <v>3396</v>
      </c>
      <c r="H30" s="186"/>
      <c r="I30" s="186"/>
      <c r="J30" s="186">
        <v>35</v>
      </c>
      <c r="K30" s="186"/>
      <c r="L30" s="186"/>
      <c r="M30" s="90"/>
      <c r="N30" s="90"/>
      <c r="O30" s="90"/>
      <c r="P30" s="186"/>
      <c r="Q30" s="289" t="s">
        <v>1346</v>
      </c>
      <c r="R30" s="123"/>
      <c r="S30" s="186" t="s">
        <v>2455</v>
      </c>
    </row>
    <row r="31" spans="1:19" ht="18.75" customHeight="1">
      <c r="A31" s="213"/>
      <c r="B31" s="213"/>
      <c r="C31" s="210"/>
      <c r="D31" s="210"/>
      <c r="E31" s="186" t="s">
        <v>55</v>
      </c>
      <c r="F31" s="186" t="s">
        <v>2456</v>
      </c>
      <c r="G31" s="186" t="s">
        <v>255</v>
      </c>
      <c r="H31" s="186"/>
      <c r="I31" s="186"/>
      <c r="J31" s="186">
        <v>36</v>
      </c>
      <c r="K31" s="186"/>
      <c r="L31" s="186"/>
      <c r="M31" s="90"/>
      <c r="N31" s="90"/>
      <c r="O31" s="90"/>
      <c r="P31" s="186"/>
      <c r="Q31" s="289" t="s">
        <v>1346</v>
      </c>
      <c r="R31" s="123"/>
      <c r="S31" s="186" t="s">
        <v>2457</v>
      </c>
    </row>
    <row r="32" spans="1:19" ht="18.75" customHeight="1">
      <c r="A32" s="213"/>
      <c r="B32" s="213"/>
      <c r="C32" s="210"/>
      <c r="D32" s="210"/>
      <c r="E32" s="186" t="s">
        <v>59</v>
      </c>
      <c r="F32" s="186" t="s">
        <v>2473</v>
      </c>
      <c r="G32" s="186" t="s">
        <v>4453</v>
      </c>
      <c r="H32" s="186"/>
      <c r="I32" s="186"/>
      <c r="J32" s="186">
        <v>48</v>
      </c>
      <c r="K32" s="186"/>
      <c r="L32" s="186"/>
      <c r="M32" s="90"/>
      <c r="N32" s="90"/>
      <c r="O32" s="90"/>
      <c r="P32" s="186"/>
      <c r="Q32" s="289" t="s">
        <v>1346</v>
      </c>
      <c r="R32" s="123"/>
      <c r="S32" s="186" t="s">
        <v>2474</v>
      </c>
    </row>
    <row r="33" spans="1:19" ht="18.75" customHeight="1">
      <c r="A33" s="213"/>
      <c r="B33" s="213"/>
      <c r="C33" s="210"/>
      <c r="D33" s="210"/>
      <c r="E33" s="186" t="s">
        <v>59</v>
      </c>
      <c r="F33" s="186" t="s">
        <v>2475</v>
      </c>
      <c r="G33" s="186" t="s">
        <v>4457</v>
      </c>
      <c r="H33" s="186"/>
      <c r="I33" s="186"/>
      <c r="J33" s="186">
        <v>49</v>
      </c>
      <c r="K33" s="186"/>
      <c r="L33" s="186"/>
      <c r="M33" s="90"/>
      <c r="N33" s="90"/>
      <c r="O33" s="90"/>
      <c r="P33" s="186"/>
      <c r="Q33" s="289" t="s">
        <v>1346</v>
      </c>
      <c r="R33" s="123"/>
      <c r="S33" s="186" t="s">
        <v>2477</v>
      </c>
    </row>
    <row r="34" spans="1:19" ht="18.75" customHeight="1">
      <c r="A34" s="213"/>
      <c r="B34" s="213"/>
      <c r="C34" s="210"/>
      <c r="D34" s="210"/>
      <c r="E34" s="186" t="s">
        <v>55</v>
      </c>
      <c r="F34" s="186" t="s">
        <v>351</v>
      </c>
      <c r="G34" s="186" t="s">
        <v>900</v>
      </c>
      <c r="H34" s="186"/>
      <c r="I34" s="186"/>
      <c r="J34" s="186">
        <v>65</v>
      </c>
      <c r="K34" s="186"/>
      <c r="L34" s="186"/>
      <c r="M34" s="90"/>
      <c r="N34" s="90"/>
      <c r="O34" s="90"/>
      <c r="P34" s="186"/>
      <c r="Q34" s="289" t="s">
        <v>1346</v>
      </c>
      <c r="R34" s="123"/>
      <c r="S34" s="186" t="s">
        <v>2511</v>
      </c>
    </row>
    <row r="35" spans="1:19" ht="18.75" customHeight="1">
      <c r="A35" s="213"/>
      <c r="B35" s="213"/>
      <c r="C35" s="210"/>
      <c r="D35" s="210"/>
      <c r="E35" s="186" t="s">
        <v>55</v>
      </c>
      <c r="F35" s="186" t="s">
        <v>1812</v>
      </c>
      <c r="G35" s="186" t="s">
        <v>900</v>
      </c>
      <c r="H35" s="186"/>
      <c r="I35" s="186"/>
      <c r="J35" s="186">
        <v>81</v>
      </c>
      <c r="K35" s="186"/>
      <c r="L35" s="186"/>
      <c r="M35" s="90"/>
      <c r="N35" s="90"/>
      <c r="O35" s="90"/>
      <c r="P35" s="186"/>
      <c r="Q35" s="289" t="s">
        <v>1346</v>
      </c>
      <c r="R35" s="123"/>
      <c r="S35" s="186" t="s">
        <v>2524</v>
      </c>
    </row>
    <row r="36" spans="1:19" ht="18.75" customHeight="1">
      <c r="A36" s="213"/>
      <c r="B36" s="213"/>
      <c r="C36" s="210"/>
      <c r="D36" s="210"/>
      <c r="E36" s="186" t="s">
        <v>55</v>
      </c>
      <c r="F36" s="186" t="s">
        <v>1815</v>
      </c>
      <c r="G36" s="186" t="s">
        <v>900</v>
      </c>
      <c r="H36" s="186"/>
      <c r="I36" s="186"/>
      <c r="J36" s="186">
        <v>82</v>
      </c>
      <c r="K36" s="186"/>
      <c r="L36" s="186"/>
      <c r="M36" s="90"/>
      <c r="N36" s="90"/>
      <c r="O36" s="90"/>
      <c r="P36" s="186"/>
      <c r="Q36" s="289" t="s">
        <v>1346</v>
      </c>
      <c r="R36" s="123"/>
      <c r="S36" s="186" t="s">
        <v>2524</v>
      </c>
    </row>
    <row r="37" spans="1:19" ht="18.75" customHeight="1">
      <c r="A37" s="213"/>
      <c r="B37" s="213"/>
      <c r="C37" s="210"/>
      <c r="D37" s="210"/>
      <c r="E37" s="186" t="s">
        <v>55</v>
      </c>
      <c r="F37" s="186" t="s">
        <v>1816</v>
      </c>
      <c r="G37" s="186" t="s">
        <v>900</v>
      </c>
      <c r="H37" s="186"/>
      <c r="I37" s="186"/>
      <c r="J37" s="186">
        <v>83</v>
      </c>
      <c r="K37" s="186"/>
      <c r="L37" s="186"/>
      <c r="M37" s="90"/>
      <c r="N37" s="90"/>
      <c r="O37" s="90"/>
      <c r="P37" s="186"/>
      <c r="Q37" s="289" t="s">
        <v>1346</v>
      </c>
      <c r="R37" s="123"/>
      <c r="S37" s="186" t="s">
        <v>2524</v>
      </c>
    </row>
    <row r="38" spans="1:19" ht="18.75" customHeight="1">
      <c r="A38" s="213"/>
      <c r="B38" s="213"/>
      <c r="C38" s="210"/>
      <c r="D38" s="210"/>
      <c r="E38" s="186" t="s">
        <v>55</v>
      </c>
      <c r="F38" s="186" t="s">
        <v>987</v>
      </c>
      <c r="G38" s="186" t="s">
        <v>900</v>
      </c>
      <c r="H38" s="186"/>
      <c r="I38" s="186"/>
      <c r="J38" s="186">
        <v>4</v>
      </c>
      <c r="K38" s="186"/>
      <c r="L38" s="186"/>
      <c r="M38" s="90"/>
      <c r="N38" s="90"/>
      <c r="O38" s="90"/>
      <c r="P38" s="186"/>
      <c r="Q38" s="289" t="s">
        <v>1346</v>
      </c>
      <c r="R38" s="123"/>
      <c r="S38" s="186" t="s">
        <v>2437</v>
      </c>
    </row>
    <row r="39" spans="1:19" ht="18.75" customHeight="1">
      <c r="A39" s="213"/>
      <c r="B39" s="213"/>
      <c r="C39" s="210"/>
      <c r="D39" s="210"/>
      <c r="E39" s="186" t="s">
        <v>59</v>
      </c>
      <c r="F39" s="186" t="s">
        <v>308</v>
      </c>
      <c r="G39" s="186" t="s">
        <v>900</v>
      </c>
      <c r="H39" s="186"/>
      <c r="I39" s="186"/>
      <c r="J39" s="186">
        <v>15</v>
      </c>
      <c r="K39" s="186"/>
      <c r="L39" s="186"/>
      <c r="M39" s="90"/>
      <c r="N39" s="90"/>
      <c r="O39" s="90"/>
      <c r="P39" s="186"/>
      <c r="Q39" s="289" t="s">
        <v>1346</v>
      </c>
      <c r="R39" s="123"/>
      <c r="S39" s="186" t="s">
        <v>2447</v>
      </c>
    </row>
    <row r="40" spans="1:19" ht="18.75" customHeight="1">
      <c r="A40" s="213"/>
      <c r="B40" s="213"/>
      <c r="C40" s="210"/>
      <c r="D40" s="210"/>
      <c r="E40" s="186" t="s">
        <v>59</v>
      </c>
      <c r="F40" s="186" t="s">
        <v>341</v>
      </c>
      <c r="G40" s="186" t="s">
        <v>900</v>
      </c>
      <c r="H40" s="186"/>
      <c r="I40" s="186"/>
      <c r="J40" s="186">
        <v>29</v>
      </c>
      <c r="K40" s="186"/>
      <c r="L40" s="186"/>
      <c r="M40" s="90"/>
      <c r="N40" s="90"/>
      <c r="O40" s="90"/>
      <c r="P40" s="186"/>
      <c r="Q40" s="289" t="s">
        <v>1346</v>
      </c>
      <c r="R40" s="123"/>
      <c r="S40" s="186" t="s">
        <v>2451</v>
      </c>
    </row>
    <row r="41" spans="1:19" ht="18.75" customHeight="1">
      <c r="A41" s="213"/>
      <c r="B41" s="213"/>
      <c r="C41" s="210"/>
      <c r="D41" s="210"/>
      <c r="E41" s="186" t="s">
        <v>59</v>
      </c>
      <c r="F41" s="186" t="s">
        <v>343</v>
      </c>
      <c r="G41" s="186" t="s">
        <v>900</v>
      </c>
      <c r="H41" s="186"/>
      <c r="I41" s="186"/>
      <c r="J41" s="186">
        <v>30</v>
      </c>
      <c r="K41" s="186"/>
      <c r="L41" s="186"/>
      <c r="M41" s="90"/>
      <c r="N41" s="90"/>
      <c r="O41" s="90"/>
      <c r="P41" s="186"/>
      <c r="Q41" s="289" t="s">
        <v>1346</v>
      </c>
      <c r="R41" s="123"/>
      <c r="S41" s="186" t="s">
        <v>1560</v>
      </c>
    </row>
    <row r="42" spans="1:19" ht="18.75" customHeight="1">
      <c r="A42" s="213"/>
      <c r="B42" s="213"/>
      <c r="C42" s="210"/>
      <c r="D42" s="210"/>
      <c r="E42" s="186" t="s">
        <v>59</v>
      </c>
      <c r="F42" s="186" t="s">
        <v>2452</v>
      </c>
      <c r="G42" s="186" t="s">
        <v>900</v>
      </c>
      <c r="H42" s="186"/>
      <c r="I42" s="186"/>
      <c r="J42" s="186">
        <v>31</v>
      </c>
      <c r="K42" s="186"/>
      <c r="L42" s="186"/>
      <c r="M42" s="90"/>
      <c r="N42" s="90"/>
      <c r="O42" s="90"/>
      <c r="P42" s="186"/>
      <c r="Q42" s="289" t="s">
        <v>1346</v>
      </c>
      <c r="R42" s="123"/>
      <c r="S42" s="186" t="s">
        <v>2453</v>
      </c>
    </row>
    <row r="43" spans="1:19" ht="18.75" customHeight="1">
      <c r="A43" s="213"/>
      <c r="B43" s="213"/>
      <c r="C43" s="210"/>
      <c r="D43" s="210"/>
      <c r="E43" s="186" t="s">
        <v>59</v>
      </c>
      <c r="F43" s="186" t="s">
        <v>318</v>
      </c>
      <c r="G43" s="186" t="s">
        <v>3396</v>
      </c>
      <c r="H43" s="186"/>
      <c r="I43" s="186"/>
      <c r="J43" s="186">
        <v>34</v>
      </c>
      <c r="K43" s="186"/>
      <c r="L43" s="186"/>
      <c r="M43" s="90"/>
      <c r="N43" s="90"/>
      <c r="O43" s="90"/>
      <c r="P43" s="186"/>
      <c r="Q43" s="289" t="s">
        <v>1346</v>
      </c>
      <c r="R43" s="123"/>
      <c r="S43" s="186" t="s">
        <v>318</v>
      </c>
    </row>
    <row r="44" spans="1:19" ht="18.75" customHeight="1">
      <c r="A44" s="213"/>
      <c r="B44" s="213"/>
      <c r="C44" s="210"/>
      <c r="D44" s="210"/>
      <c r="E44" s="186" t="s">
        <v>59</v>
      </c>
      <c r="F44" s="186" t="s">
        <v>2463</v>
      </c>
      <c r="G44" s="186" t="s">
        <v>860</v>
      </c>
      <c r="H44" s="186"/>
      <c r="I44" s="186"/>
      <c r="J44" s="186">
        <v>38</v>
      </c>
      <c r="K44" s="186"/>
      <c r="L44" s="186"/>
      <c r="M44" s="90"/>
      <c r="N44" s="90"/>
      <c r="O44" s="90"/>
      <c r="P44" s="186"/>
      <c r="Q44" s="289" t="s">
        <v>1346</v>
      </c>
      <c r="R44" s="123"/>
      <c r="S44" s="186" t="s">
        <v>2464</v>
      </c>
    </row>
    <row r="45" spans="1:19" ht="18.75" customHeight="1">
      <c r="A45" s="213"/>
      <c r="B45" s="213"/>
      <c r="C45" s="210"/>
      <c r="D45" s="210"/>
      <c r="E45" s="186" t="s">
        <v>59</v>
      </c>
      <c r="F45" s="186" t="s">
        <v>2467</v>
      </c>
      <c r="G45" s="186" t="s">
        <v>4458</v>
      </c>
      <c r="H45" s="186"/>
      <c r="I45" s="186"/>
      <c r="J45" s="186">
        <v>40</v>
      </c>
      <c r="K45" s="186"/>
      <c r="L45" s="186"/>
      <c r="M45" s="90"/>
      <c r="N45" s="90"/>
      <c r="O45" s="90"/>
      <c r="P45" s="186"/>
      <c r="Q45" s="289" t="s">
        <v>1346</v>
      </c>
      <c r="R45" s="123"/>
      <c r="S45" s="186" t="s">
        <v>2469</v>
      </c>
    </row>
    <row r="46" spans="1:19" ht="18.75" customHeight="1">
      <c r="A46" s="213"/>
      <c r="B46" s="213"/>
      <c r="C46" s="210"/>
      <c r="D46" s="210"/>
      <c r="E46" s="186" t="s">
        <v>59</v>
      </c>
      <c r="F46" s="186" t="s">
        <v>322</v>
      </c>
      <c r="G46" s="186" t="s">
        <v>3396</v>
      </c>
      <c r="H46" s="186"/>
      <c r="I46" s="186"/>
      <c r="J46" s="186">
        <v>47</v>
      </c>
      <c r="K46" s="186"/>
      <c r="L46" s="186"/>
      <c r="M46" s="90"/>
      <c r="N46" s="90"/>
      <c r="O46" s="90"/>
      <c r="P46" s="186"/>
      <c r="Q46" s="289" t="s">
        <v>1346</v>
      </c>
      <c r="R46" s="123"/>
      <c r="S46" s="186" t="s">
        <v>322</v>
      </c>
    </row>
    <row r="47" spans="1:19" ht="18.75" customHeight="1">
      <c r="A47" s="213"/>
      <c r="B47" s="213"/>
      <c r="C47" s="210"/>
      <c r="D47" s="210"/>
      <c r="E47" s="186" t="s">
        <v>59</v>
      </c>
      <c r="F47" s="186" t="s">
        <v>2494</v>
      </c>
      <c r="G47" s="186" t="s">
        <v>2533</v>
      </c>
      <c r="H47" s="186"/>
      <c r="I47" s="186"/>
      <c r="J47" s="186">
        <v>55</v>
      </c>
      <c r="K47" s="186"/>
      <c r="L47" s="186"/>
      <c r="M47" s="90"/>
      <c r="N47" s="90"/>
      <c r="O47" s="90"/>
      <c r="P47" s="186"/>
      <c r="Q47" s="289" t="s">
        <v>1346</v>
      </c>
      <c r="R47" s="123"/>
      <c r="S47" s="186" t="s">
        <v>2495</v>
      </c>
    </row>
    <row r="48" spans="1:19" ht="18.75" customHeight="1">
      <c r="A48" s="213"/>
      <c r="B48" s="213"/>
      <c r="C48" s="210"/>
      <c r="D48" s="210"/>
      <c r="E48" s="186" t="s">
        <v>59</v>
      </c>
      <c r="F48" s="186" t="s">
        <v>2499</v>
      </c>
      <c r="G48" s="186" t="s">
        <v>860</v>
      </c>
      <c r="H48" s="186"/>
      <c r="I48" s="186"/>
      <c r="J48" s="186">
        <v>60</v>
      </c>
      <c r="K48" s="186"/>
      <c r="L48" s="186"/>
      <c r="M48" s="90"/>
      <c r="N48" s="90"/>
      <c r="O48" s="90"/>
      <c r="P48" s="186"/>
      <c r="Q48" s="289" t="s">
        <v>1346</v>
      </c>
      <c r="R48" s="123"/>
      <c r="S48" s="186" t="s">
        <v>2500</v>
      </c>
    </row>
    <row r="49" spans="1:19" ht="18.75" customHeight="1">
      <c r="A49" s="213"/>
      <c r="B49" s="213"/>
      <c r="C49" s="210"/>
      <c r="D49" s="210"/>
      <c r="E49" s="186" t="s">
        <v>59</v>
      </c>
      <c r="F49" s="186" t="s">
        <v>349</v>
      </c>
      <c r="G49" s="186" t="s">
        <v>900</v>
      </c>
      <c r="H49" s="186"/>
      <c r="I49" s="186"/>
      <c r="J49" s="186">
        <v>64</v>
      </c>
      <c r="K49" s="186"/>
      <c r="L49" s="186"/>
      <c r="M49" s="90"/>
      <c r="N49" s="90"/>
      <c r="O49" s="90"/>
      <c r="P49" s="186"/>
      <c r="Q49" s="289" t="s">
        <v>1346</v>
      </c>
      <c r="R49" s="123"/>
      <c r="S49" s="186" t="s">
        <v>2510</v>
      </c>
    </row>
    <row r="50" spans="1:19" ht="18.75" customHeight="1">
      <c r="A50" s="213"/>
      <c r="B50" s="213"/>
      <c r="C50" s="210"/>
      <c r="D50" s="210"/>
      <c r="E50" s="186" t="s">
        <v>59</v>
      </c>
      <c r="F50" s="186" t="s">
        <v>320</v>
      </c>
      <c r="G50" s="186" t="s">
        <v>3396</v>
      </c>
      <c r="H50" s="186"/>
      <c r="I50" s="186"/>
      <c r="J50" s="186">
        <v>68</v>
      </c>
      <c r="K50" s="186"/>
      <c r="L50" s="186"/>
      <c r="M50" s="90"/>
      <c r="N50" s="90"/>
      <c r="O50" s="90"/>
      <c r="P50" s="186"/>
      <c r="Q50" s="289" t="s">
        <v>1346</v>
      </c>
      <c r="R50" s="123"/>
      <c r="S50" s="186" t="s">
        <v>320</v>
      </c>
    </row>
    <row r="51" spans="1:19" ht="18.75" customHeight="1">
      <c r="A51" s="213"/>
      <c r="B51" s="213"/>
      <c r="C51" s="210"/>
      <c r="D51" s="210"/>
      <c r="E51" s="186" t="s">
        <v>59</v>
      </c>
      <c r="F51" s="186" t="s">
        <v>2515</v>
      </c>
      <c r="G51" s="186" t="s">
        <v>2533</v>
      </c>
      <c r="H51" s="186"/>
      <c r="I51" s="186"/>
      <c r="J51" s="186">
        <v>69</v>
      </c>
      <c r="K51" s="186"/>
      <c r="L51" s="186"/>
      <c r="M51" s="90"/>
      <c r="N51" s="90"/>
      <c r="O51" s="90"/>
      <c r="P51" s="186"/>
      <c r="Q51" s="289" t="s">
        <v>1346</v>
      </c>
      <c r="R51" s="123"/>
      <c r="S51" s="186" t="s">
        <v>2516</v>
      </c>
    </row>
    <row r="52" spans="1:19" ht="18.75" customHeight="1">
      <c r="A52" s="213"/>
      <c r="B52" s="213"/>
      <c r="C52" s="210"/>
      <c r="D52" s="210"/>
      <c r="E52" s="186" t="s">
        <v>59</v>
      </c>
      <c r="F52" s="186" t="s">
        <v>316</v>
      </c>
      <c r="G52" s="186" t="s">
        <v>3396</v>
      </c>
      <c r="H52" s="186"/>
      <c r="I52" s="186"/>
      <c r="J52" s="186">
        <v>78</v>
      </c>
      <c r="K52" s="186"/>
      <c r="L52" s="186"/>
      <c r="M52" s="90"/>
      <c r="N52" s="90"/>
      <c r="O52" s="90"/>
      <c r="P52" s="186"/>
      <c r="Q52" s="289" t="s">
        <v>1346</v>
      </c>
      <c r="R52" s="123"/>
      <c r="S52" s="186" t="s">
        <v>1589</v>
      </c>
    </row>
    <row r="53" spans="1:19" ht="18.75" customHeight="1">
      <c r="A53" s="213"/>
      <c r="B53" s="213"/>
      <c r="C53" s="210"/>
      <c r="D53" s="210"/>
      <c r="E53" s="186" t="s">
        <v>59</v>
      </c>
      <c r="F53" s="186" t="s">
        <v>2520</v>
      </c>
      <c r="G53" s="186" t="s">
        <v>2533</v>
      </c>
      <c r="H53" s="186"/>
      <c r="I53" s="186"/>
      <c r="J53" s="186">
        <v>79</v>
      </c>
      <c r="K53" s="186"/>
      <c r="L53" s="186"/>
      <c r="M53" s="90"/>
      <c r="N53" s="90"/>
      <c r="O53" s="90"/>
      <c r="P53" s="186"/>
      <c r="Q53" s="289" t="s">
        <v>1346</v>
      </c>
      <c r="R53" s="123"/>
      <c r="S53" s="186" t="s">
        <v>2521</v>
      </c>
    </row>
    <row r="54" spans="1:19" ht="18.75" customHeight="1">
      <c r="A54" s="213"/>
      <c r="B54" s="213"/>
      <c r="C54" s="210"/>
      <c r="D54" s="210"/>
      <c r="E54" s="186" t="s">
        <v>59</v>
      </c>
      <c r="F54" s="186" t="s">
        <v>2522</v>
      </c>
      <c r="G54" s="186" t="s">
        <v>2529</v>
      </c>
      <c r="H54" s="186"/>
      <c r="I54" s="186"/>
      <c r="J54" s="186">
        <v>80</v>
      </c>
      <c r="K54" s="186"/>
      <c r="L54" s="186"/>
      <c r="M54" s="90"/>
      <c r="N54" s="90"/>
      <c r="O54" s="90"/>
      <c r="P54" s="186"/>
      <c r="Q54" s="289" t="s">
        <v>1346</v>
      </c>
      <c r="R54" s="123"/>
      <c r="S54" s="186" t="s">
        <v>2523</v>
      </c>
    </row>
    <row r="55" spans="1:19" ht="18.75" customHeight="1">
      <c r="A55" s="213"/>
      <c r="B55" s="213"/>
      <c r="C55" s="210"/>
      <c r="D55" s="210"/>
      <c r="E55" s="186" t="s">
        <v>61</v>
      </c>
      <c r="F55" s="186" t="s">
        <v>150</v>
      </c>
      <c r="G55" s="186" t="s">
        <v>900</v>
      </c>
      <c r="H55" s="186"/>
      <c r="I55" s="186"/>
      <c r="J55" s="186">
        <v>14</v>
      </c>
      <c r="K55" s="186"/>
      <c r="L55" s="186"/>
      <c r="M55" s="90"/>
      <c r="N55" s="90"/>
      <c r="O55" s="90"/>
      <c r="P55" s="186"/>
      <c r="Q55" s="289" t="s">
        <v>1346</v>
      </c>
      <c r="R55" s="123"/>
      <c r="S55" s="186" t="s">
        <v>2446</v>
      </c>
    </row>
    <row r="56" spans="1:19" ht="18.75" customHeight="1">
      <c r="A56" s="213"/>
      <c r="B56" s="213"/>
      <c r="C56" s="210"/>
      <c r="D56" s="210"/>
      <c r="E56" s="186" t="s">
        <v>61</v>
      </c>
      <c r="F56" s="186" t="s">
        <v>126</v>
      </c>
      <c r="G56" s="186" t="s">
        <v>860</v>
      </c>
      <c r="H56" s="186"/>
      <c r="I56" s="186"/>
      <c r="J56" s="186">
        <v>37</v>
      </c>
      <c r="K56" s="186"/>
      <c r="L56" s="186"/>
      <c r="M56" s="90"/>
      <c r="N56" s="90"/>
      <c r="O56" s="90"/>
      <c r="P56" s="186"/>
      <c r="Q56" s="289" t="s">
        <v>1346</v>
      </c>
      <c r="R56" s="123"/>
      <c r="S56" s="186" t="s">
        <v>2462</v>
      </c>
    </row>
    <row r="57" spans="1:19" ht="18.75" customHeight="1">
      <c r="A57" s="213"/>
      <c r="B57" s="213"/>
      <c r="C57" s="210"/>
      <c r="D57" s="210"/>
      <c r="E57" s="186" t="s">
        <v>61</v>
      </c>
      <c r="F57" s="186" t="s">
        <v>155</v>
      </c>
      <c r="G57" s="186" t="s">
        <v>4454</v>
      </c>
      <c r="H57" s="186"/>
      <c r="I57" s="186"/>
      <c r="J57" s="186">
        <v>50</v>
      </c>
      <c r="K57" s="186"/>
      <c r="L57" s="186"/>
      <c r="M57" s="90"/>
      <c r="N57" s="90"/>
      <c r="O57" s="90"/>
      <c r="P57" s="186"/>
      <c r="Q57" s="289" t="s">
        <v>1346</v>
      </c>
      <c r="R57" s="123"/>
      <c r="S57" s="186" t="s">
        <v>2481</v>
      </c>
    </row>
    <row r="58" spans="1:19" ht="18.75" customHeight="1">
      <c r="A58" s="213"/>
      <c r="B58" s="213"/>
      <c r="C58" s="210"/>
      <c r="D58" s="210"/>
      <c r="E58" s="186" t="s">
        <v>61</v>
      </c>
      <c r="F58" s="186" t="s">
        <v>152</v>
      </c>
      <c r="G58" s="186" t="s">
        <v>900</v>
      </c>
      <c r="H58" s="186"/>
      <c r="I58" s="186"/>
      <c r="J58" s="186">
        <v>56</v>
      </c>
      <c r="K58" s="186"/>
      <c r="L58" s="186"/>
      <c r="M58" s="90"/>
      <c r="N58" s="90"/>
      <c r="O58" s="90"/>
      <c r="P58" s="186"/>
      <c r="Q58" s="289" t="s">
        <v>1346</v>
      </c>
      <c r="R58" s="123"/>
      <c r="S58" s="186" t="s">
        <v>2498</v>
      </c>
    </row>
    <row r="59" spans="1:19" ht="18.75" customHeight="1">
      <c r="A59" s="213"/>
      <c r="B59" s="213"/>
      <c r="C59" s="210"/>
      <c r="D59" s="210"/>
      <c r="E59" s="186" t="s">
        <v>61</v>
      </c>
      <c r="F59" s="186" t="s">
        <v>153</v>
      </c>
      <c r="G59" s="186" t="s">
        <v>3347</v>
      </c>
      <c r="H59" s="186"/>
      <c r="I59" s="186"/>
      <c r="J59" s="186">
        <v>61</v>
      </c>
      <c r="K59" s="186"/>
      <c r="L59" s="186"/>
      <c r="M59" s="90"/>
      <c r="N59" s="90"/>
      <c r="O59" s="90"/>
      <c r="P59" s="186"/>
      <c r="Q59" s="289" t="s">
        <v>1346</v>
      </c>
      <c r="R59" s="123"/>
      <c r="S59" s="186" t="s">
        <v>2507</v>
      </c>
    </row>
    <row r="60" spans="1:19" ht="18.75" customHeight="1">
      <c r="A60" s="213"/>
      <c r="B60" s="213"/>
      <c r="C60" s="210"/>
      <c r="D60" s="210"/>
      <c r="E60" s="186" t="s">
        <v>61</v>
      </c>
      <c r="F60" s="186" t="s">
        <v>157</v>
      </c>
      <c r="G60" s="186" t="s">
        <v>3347</v>
      </c>
      <c r="H60" s="186"/>
      <c r="I60" s="186"/>
      <c r="J60" s="186">
        <v>62</v>
      </c>
      <c r="K60" s="186"/>
      <c r="L60" s="186"/>
      <c r="M60" s="90"/>
      <c r="N60" s="90"/>
      <c r="O60" s="90"/>
      <c r="P60" s="186"/>
      <c r="Q60" s="289" t="s">
        <v>1346</v>
      </c>
      <c r="R60" s="123"/>
      <c r="S60" s="186" t="s">
        <v>2508</v>
      </c>
    </row>
    <row r="61" spans="1:19" ht="18.75" customHeight="1">
      <c r="A61" s="213"/>
      <c r="B61" s="213"/>
      <c r="C61" s="210"/>
      <c r="D61" s="210"/>
      <c r="E61" s="186" t="s">
        <v>61</v>
      </c>
      <c r="F61" s="186" t="s">
        <v>151</v>
      </c>
      <c r="G61" s="186" t="s">
        <v>900</v>
      </c>
      <c r="H61" s="186"/>
      <c r="I61" s="186"/>
      <c r="J61" s="186">
        <v>63</v>
      </c>
      <c r="K61" s="186"/>
      <c r="L61" s="186"/>
      <c r="M61" s="90"/>
      <c r="N61" s="90"/>
      <c r="O61" s="90"/>
      <c r="P61" s="186"/>
      <c r="Q61" s="289" t="s">
        <v>1346</v>
      </c>
      <c r="R61" s="123"/>
      <c r="S61" s="186" t="s">
        <v>2509</v>
      </c>
    </row>
    <row r="62" spans="1:19" ht="18.75" customHeight="1">
      <c r="A62" s="213"/>
      <c r="B62" s="213"/>
      <c r="C62" s="210"/>
      <c r="D62" s="210"/>
      <c r="E62" s="186" t="s">
        <v>61</v>
      </c>
      <c r="F62" s="186" t="s">
        <v>158</v>
      </c>
      <c r="G62" s="186" t="s">
        <v>3396</v>
      </c>
      <c r="H62" s="186"/>
      <c r="I62" s="186"/>
      <c r="J62" s="186">
        <v>66</v>
      </c>
      <c r="K62" s="186"/>
      <c r="L62" s="186"/>
      <c r="M62" s="90"/>
      <c r="N62" s="90"/>
      <c r="O62" s="90"/>
      <c r="P62" s="186"/>
      <c r="Q62" s="289" t="s">
        <v>1346</v>
      </c>
      <c r="R62" s="123"/>
      <c r="S62" s="186" t="s">
        <v>4459</v>
      </c>
    </row>
    <row r="63" spans="1:19" ht="18.75" customHeight="1">
      <c r="A63" s="213"/>
      <c r="B63" s="213"/>
      <c r="C63" s="210"/>
      <c r="D63" s="210"/>
      <c r="E63" s="186" t="s">
        <v>59</v>
      </c>
      <c r="F63" s="186" t="s">
        <v>2528</v>
      </c>
      <c r="G63" s="186" t="s">
        <v>2529</v>
      </c>
      <c r="H63" s="186"/>
      <c r="I63" s="186"/>
      <c r="J63" s="186">
        <v>1</v>
      </c>
      <c r="K63" s="186"/>
      <c r="L63" s="186"/>
      <c r="M63" s="90"/>
      <c r="N63" s="90"/>
      <c r="O63" s="90"/>
      <c r="P63" s="186"/>
      <c r="Q63" s="122" t="s">
        <v>4460</v>
      </c>
      <c r="R63" s="123"/>
      <c r="S63" s="186" t="s">
        <v>2531</v>
      </c>
    </row>
    <row r="64" spans="1:19" ht="18.75" customHeight="1">
      <c r="A64" s="213"/>
      <c r="B64" s="213"/>
      <c r="C64" s="210"/>
      <c r="D64" s="210"/>
      <c r="E64" s="186" t="s">
        <v>59</v>
      </c>
      <c r="F64" s="186" t="s">
        <v>2532</v>
      </c>
      <c r="G64" s="186" t="s">
        <v>2533</v>
      </c>
      <c r="H64" s="186"/>
      <c r="I64" s="186"/>
      <c r="J64" s="186">
        <v>12</v>
      </c>
      <c r="K64" s="186"/>
      <c r="L64" s="186"/>
      <c r="M64" s="90"/>
      <c r="N64" s="90"/>
      <c r="O64" s="90"/>
      <c r="P64" s="186"/>
      <c r="Q64" s="122" t="s">
        <v>4460</v>
      </c>
      <c r="R64" s="123"/>
      <c r="S64" s="186" t="s">
        <v>2534</v>
      </c>
    </row>
    <row r="65" spans="1:19" ht="18.75" customHeight="1">
      <c r="A65" s="213"/>
      <c r="B65" s="213"/>
      <c r="C65" s="210"/>
      <c r="D65" s="210"/>
      <c r="E65" s="186" t="s">
        <v>59</v>
      </c>
      <c r="F65" s="186" t="s">
        <v>2535</v>
      </c>
      <c r="G65" s="186" t="s">
        <v>2533</v>
      </c>
      <c r="H65" s="186"/>
      <c r="I65" s="186"/>
      <c r="J65" s="186">
        <v>28</v>
      </c>
      <c r="K65" s="186"/>
      <c r="L65" s="186"/>
      <c r="M65" s="90"/>
      <c r="N65" s="90"/>
      <c r="O65" s="90"/>
      <c r="P65" s="186"/>
      <c r="Q65" s="122" t="s">
        <v>4460</v>
      </c>
      <c r="R65" s="123"/>
      <c r="S65" s="186" t="s">
        <v>2536</v>
      </c>
    </row>
    <row r="66" spans="1:19" ht="18.75" customHeight="1">
      <c r="A66" s="213"/>
      <c r="B66" s="213"/>
      <c r="C66" s="210"/>
      <c r="D66" s="210"/>
      <c r="E66" s="186" t="s">
        <v>59</v>
      </c>
      <c r="F66" s="186" t="s">
        <v>363</v>
      </c>
      <c r="G66" s="186" t="s">
        <v>2533</v>
      </c>
      <c r="H66" s="186"/>
      <c r="I66" s="186"/>
      <c r="J66" s="186">
        <v>32</v>
      </c>
      <c r="K66" s="186"/>
      <c r="L66" s="186"/>
      <c r="M66" s="90"/>
      <c r="N66" s="90"/>
      <c r="O66" s="90"/>
      <c r="P66" s="186"/>
      <c r="Q66" s="122" t="s">
        <v>4460</v>
      </c>
      <c r="R66" s="123"/>
      <c r="S66" s="186" t="s">
        <v>2537</v>
      </c>
    </row>
    <row r="67" spans="1:19" ht="18.75" customHeight="1">
      <c r="A67" s="213"/>
      <c r="B67" s="213"/>
      <c r="C67" s="210"/>
      <c r="D67" s="210"/>
      <c r="E67" s="186" t="s">
        <v>59</v>
      </c>
      <c r="F67" s="186" t="s">
        <v>2538</v>
      </c>
      <c r="G67" s="186" t="s">
        <v>2539</v>
      </c>
      <c r="H67" s="186"/>
      <c r="I67" s="186"/>
      <c r="J67" s="186">
        <v>33</v>
      </c>
      <c r="K67" s="186"/>
      <c r="L67" s="186"/>
      <c r="M67" s="90"/>
      <c r="N67" s="90"/>
      <c r="O67" s="90"/>
      <c r="P67" s="186"/>
      <c r="Q67" s="122" t="s">
        <v>4460</v>
      </c>
      <c r="R67" s="123"/>
      <c r="S67" s="186" t="s">
        <v>2540</v>
      </c>
    </row>
    <row r="68" spans="1:19" ht="18.75" customHeight="1">
      <c r="A68" s="213"/>
      <c r="B68" s="213"/>
      <c r="C68" s="210"/>
      <c r="D68" s="210"/>
      <c r="E68" s="186" t="s">
        <v>59</v>
      </c>
      <c r="F68" s="186" t="s">
        <v>2541</v>
      </c>
      <c r="G68" s="186" t="s">
        <v>1865</v>
      </c>
      <c r="H68" s="186"/>
      <c r="I68" s="186"/>
      <c r="J68" s="186">
        <v>39</v>
      </c>
      <c r="K68" s="186"/>
      <c r="L68" s="186"/>
      <c r="M68" s="90"/>
      <c r="N68" s="90"/>
      <c r="O68" s="90"/>
      <c r="P68" s="186"/>
      <c r="Q68" s="122" t="s">
        <v>4460</v>
      </c>
      <c r="R68" s="123"/>
      <c r="S68" s="186" t="s">
        <v>2542</v>
      </c>
    </row>
    <row r="69" spans="1:19" ht="18.75" customHeight="1">
      <c r="A69" s="213"/>
      <c r="B69" s="213"/>
      <c r="C69" s="210"/>
      <c r="D69" s="210"/>
      <c r="E69" s="186" t="s">
        <v>59</v>
      </c>
      <c r="F69" s="186" t="s">
        <v>2543</v>
      </c>
      <c r="G69" s="186" t="s">
        <v>2533</v>
      </c>
      <c r="H69" s="186"/>
      <c r="I69" s="186"/>
      <c r="J69" s="186">
        <v>42</v>
      </c>
      <c r="K69" s="186"/>
      <c r="L69" s="186"/>
      <c r="M69" s="90"/>
      <c r="N69" s="90"/>
      <c r="O69" s="90"/>
      <c r="P69" s="186"/>
      <c r="Q69" s="122" t="s">
        <v>4460</v>
      </c>
      <c r="R69" s="123"/>
      <c r="S69" s="186" t="s">
        <v>2544</v>
      </c>
    </row>
    <row r="70" spans="1:19" ht="18.75" customHeight="1">
      <c r="A70" s="213"/>
      <c r="B70" s="213"/>
      <c r="C70" s="210"/>
      <c r="D70" s="210"/>
      <c r="E70" s="186" t="s">
        <v>59</v>
      </c>
      <c r="F70" s="186" t="s">
        <v>361</v>
      </c>
      <c r="G70" s="186" t="s">
        <v>255</v>
      </c>
      <c r="H70" s="186"/>
      <c r="I70" s="186"/>
      <c r="J70" s="186">
        <v>43</v>
      </c>
      <c r="K70" s="186"/>
      <c r="L70" s="186"/>
      <c r="M70" s="90"/>
      <c r="N70" s="90"/>
      <c r="O70" s="90"/>
      <c r="P70" s="186"/>
      <c r="Q70" s="122" t="s">
        <v>4460</v>
      </c>
      <c r="R70" s="123"/>
      <c r="S70" s="186" t="s">
        <v>2545</v>
      </c>
    </row>
    <row r="71" spans="1:19" ht="18.75" customHeight="1">
      <c r="A71" s="213"/>
      <c r="B71" s="213"/>
      <c r="C71" s="210"/>
      <c r="D71" s="210"/>
      <c r="E71" s="186" t="s">
        <v>59</v>
      </c>
      <c r="F71" s="186" t="s">
        <v>2546</v>
      </c>
      <c r="G71" s="186" t="s">
        <v>2533</v>
      </c>
      <c r="H71" s="186"/>
      <c r="I71" s="186"/>
      <c r="J71" s="186">
        <v>44</v>
      </c>
      <c r="K71" s="186"/>
      <c r="L71" s="186"/>
      <c r="M71" s="90"/>
      <c r="N71" s="90"/>
      <c r="O71" s="90"/>
      <c r="P71" s="186"/>
      <c r="Q71" s="122" t="s">
        <v>4460</v>
      </c>
      <c r="R71" s="123"/>
      <c r="S71" s="186" t="s">
        <v>2547</v>
      </c>
    </row>
    <row r="72" spans="1:19" ht="18.75" customHeight="1">
      <c r="A72" s="213"/>
      <c r="B72" s="213"/>
      <c r="C72" s="210"/>
      <c r="D72" s="210"/>
      <c r="E72" s="186" t="s">
        <v>59</v>
      </c>
      <c r="F72" s="186" t="s">
        <v>2548</v>
      </c>
      <c r="G72" s="186" t="s">
        <v>2533</v>
      </c>
      <c r="H72" s="186"/>
      <c r="I72" s="186"/>
      <c r="J72" s="186">
        <v>45</v>
      </c>
      <c r="K72" s="186"/>
      <c r="L72" s="186"/>
      <c r="M72" s="90"/>
      <c r="N72" s="90"/>
      <c r="O72" s="90"/>
      <c r="P72" s="186"/>
      <c r="Q72" s="122" t="s">
        <v>4460</v>
      </c>
      <c r="R72" s="123"/>
      <c r="S72" s="186" t="s">
        <v>2549</v>
      </c>
    </row>
    <row r="73" spans="1:19" ht="18.75" customHeight="1">
      <c r="A73" s="213"/>
      <c r="B73" s="213"/>
      <c r="C73" s="210"/>
      <c r="D73" s="210"/>
      <c r="E73" s="186" t="s">
        <v>59</v>
      </c>
      <c r="F73" s="186" t="s">
        <v>2550</v>
      </c>
      <c r="G73" s="186" t="s">
        <v>2533</v>
      </c>
      <c r="H73" s="186"/>
      <c r="I73" s="186"/>
      <c r="J73" s="186">
        <v>46</v>
      </c>
      <c r="K73" s="186"/>
      <c r="L73" s="186"/>
      <c r="M73" s="90"/>
      <c r="N73" s="90"/>
      <c r="O73" s="90"/>
      <c r="P73" s="186"/>
      <c r="Q73" s="122" t="s">
        <v>4460</v>
      </c>
      <c r="R73" s="123"/>
      <c r="S73" s="186" t="s">
        <v>1822</v>
      </c>
    </row>
    <row r="74" spans="1:19" ht="18.75" customHeight="1">
      <c r="A74" s="213"/>
      <c r="B74" s="213"/>
      <c r="C74" s="210"/>
      <c r="D74" s="210"/>
      <c r="E74" s="186" t="s">
        <v>59</v>
      </c>
      <c r="F74" s="186" t="s">
        <v>353</v>
      </c>
      <c r="G74" s="186" t="s">
        <v>2484</v>
      </c>
      <c r="H74" s="186"/>
      <c r="I74" s="186"/>
      <c r="J74" s="186">
        <v>51</v>
      </c>
      <c r="K74" s="186"/>
      <c r="L74" s="186"/>
      <c r="M74" s="90"/>
      <c r="N74" s="90"/>
      <c r="O74" s="90"/>
      <c r="P74" s="186"/>
      <c r="Q74" s="122" t="s">
        <v>4460</v>
      </c>
      <c r="R74" s="123"/>
      <c r="S74" s="186" t="s">
        <v>4461</v>
      </c>
    </row>
    <row r="75" spans="1:19" ht="18.75" customHeight="1">
      <c r="A75" s="213"/>
      <c r="B75" s="213"/>
      <c r="C75" s="210"/>
      <c r="D75" s="210"/>
      <c r="E75" s="186" t="s">
        <v>59</v>
      </c>
      <c r="F75" s="186" t="s">
        <v>386</v>
      </c>
      <c r="G75" s="186" t="s">
        <v>2533</v>
      </c>
      <c r="H75" s="186"/>
      <c r="I75" s="186"/>
      <c r="J75" s="186">
        <v>52</v>
      </c>
      <c r="K75" s="186"/>
      <c r="L75" s="186"/>
      <c r="M75" s="90"/>
      <c r="N75" s="90"/>
      <c r="O75" s="90"/>
      <c r="P75" s="186"/>
      <c r="Q75" s="122" t="s">
        <v>4460</v>
      </c>
      <c r="R75" s="123"/>
      <c r="S75" s="186" t="s">
        <v>2551</v>
      </c>
    </row>
    <row r="76" spans="1:19" ht="18.75" customHeight="1">
      <c r="A76" s="213"/>
      <c r="B76" s="213"/>
      <c r="C76" s="210"/>
      <c r="D76" s="210"/>
      <c r="E76" s="186" t="s">
        <v>59</v>
      </c>
      <c r="F76" s="186" t="s">
        <v>2552</v>
      </c>
      <c r="G76" s="186" t="s">
        <v>255</v>
      </c>
      <c r="H76" s="186"/>
      <c r="I76" s="186"/>
      <c r="J76" s="186">
        <v>54</v>
      </c>
      <c r="K76" s="186"/>
      <c r="L76" s="186"/>
      <c r="M76" s="90"/>
      <c r="N76" s="90"/>
      <c r="O76" s="90"/>
      <c r="P76" s="186"/>
      <c r="Q76" s="122" t="s">
        <v>4460</v>
      </c>
      <c r="R76" s="123"/>
      <c r="S76" s="186" t="s">
        <v>2553</v>
      </c>
    </row>
    <row r="77" spans="1:19" ht="18.75" customHeight="1">
      <c r="A77" s="213"/>
      <c r="B77" s="213"/>
      <c r="C77" s="210"/>
      <c r="D77" s="210"/>
      <c r="E77" s="186" t="s">
        <v>59</v>
      </c>
      <c r="F77" s="186" t="s">
        <v>2554</v>
      </c>
      <c r="G77" s="186" t="s">
        <v>2484</v>
      </c>
      <c r="H77" s="186"/>
      <c r="I77" s="186"/>
      <c r="J77" s="186">
        <v>57</v>
      </c>
      <c r="K77" s="186"/>
      <c r="L77" s="186"/>
      <c r="M77" s="90"/>
      <c r="N77" s="90"/>
      <c r="O77" s="90"/>
      <c r="P77" s="186"/>
      <c r="Q77" s="122" t="s">
        <v>4460</v>
      </c>
      <c r="R77" s="123"/>
      <c r="S77" s="186" t="s">
        <v>2555</v>
      </c>
    </row>
    <row r="78" spans="1:19" ht="18.75" customHeight="1">
      <c r="A78" s="213"/>
      <c r="B78" s="213"/>
      <c r="C78" s="210"/>
      <c r="D78" s="210"/>
      <c r="E78" s="186" t="s">
        <v>59</v>
      </c>
      <c r="F78" s="186" t="s">
        <v>2556</v>
      </c>
      <c r="G78" s="186" t="s">
        <v>2484</v>
      </c>
      <c r="H78" s="186"/>
      <c r="I78" s="186"/>
      <c r="J78" s="186">
        <v>58</v>
      </c>
      <c r="K78" s="186"/>
      <c r="L78" s="186"/>
      <c r="M78" s="90"/>
      <c r="N78" s="90"/>
      <c r="O78" s="90"/>
      <c r="P78" s="186"/>
      <c r="Q78" s="122" t="s">
        <v>4460</v>
      </c>
      <c r="R78" s="123"/>
      <c r="S78" s="186" t="s">
        <v>2557</v>
      </c>
    </row>
    <row r="79" spans="1:19" ht="18.75" customHeight="1">
      <c r="A79" s="213"/>
      <c r="B79" s="213"/>
      <c r="C79" s="210"/>
      <c r="D79" s="210"/>
      <c r="E79" s="186" t="s">
        <v>59</v>
      </c>
      <c r="F79" s="186" t="s">
        <v>2558</v>
      </c>
      <c r="G79" s="186" t="s">
        <v>2484</v>
      </c>
      <c r="H79" s="186"/>
      <c r="I79" s="186"/>
      <c r="J79" s="186">
        <v>59</v>
      </c>
      <c r="K79" s="186"/>
      <c r="L79" s="186"/>
      <c r="M79" s="90"/>
      <c r="N79" s="90"/>
      <c r="O79" s="90"/>
      <c r="P79" s="186"/>
      <c r="Q79" s="122" t="s">
        <v>4460</v>
      </c>
      <c r="R79" s="123"/>
      <c r="S79" s="186" t="s">
        <v>2559</v>
      </c>
    </row>
    <row r="80" spans="1:19" ht="18.75" customHeight="1">
      <c r="A80" s="213"/>
      <c r="B80" s="213"/>
      <c r="C80" s="210"/>
      <c r="D80" s="210"/>
      <c r="E80" s="186" t="s">
        <v>59</v>
      </c>
      <c r="F80" s="186" t="s">
        <v>2560</v>
      </c>
      <c r="G80" s="186" t="s">
        <v>255</v>
      </c>
      <c r="H80" s="186"/>
      <c r="I80" s="186"/>
      <c r="J80" s="186">
        <v>70</v>
      </c>
      <c r="K80" s="186"/>
      <c r="L80" s="186"/>
      <c r="M80" s="90"/>
      <c r="N80" s="90"/>
      <c r="O80" s="90"/>
      <c r="P80" s="186"/>
      <c r="Q80" s="122" t="s">
        <v>4460</v>
      </c>
      <c r="R80" s="123"/>
      <c r="S80" s="186" t="s">
        <v>2561</v>
      </c>
    </row>
    <row r="81" spans="1:19" ht="18.75" customHeight="1">
      <c r="A81" s="213"/>
      <c r="B81" s="213"/>
      <c r="C81" s="210"/>
      <c r="D81" s="210"/>
      <c r="E81" s="186" t="s">
        <v>59</v>
      </c>
      <c r="F81" s="186" t="s">
        <v>355</v>
      </c>
      <c r="G81" s="186" t="s">
        <v>2484</v>
      </c>
      <c r="H81" s="186"/>
      <c r="I81" s="186"/>
      <c r="J81" s="186">
        <v>71</v>
      </c>
      <c r="K81" s="186"/>
      <c r="L81" s="186"/>
      <c r="M81" s="90"/>
      <c r="N81" s="90"/>
      <c r="O81" s="90"/>
      <c r="P81" s="186"/>
      <c r="Q81" s="122" t="s">
        <v>4460</v>
      </c>
      <c r="R81" s="123"/>
      <c r="S81" s="186" t="s">
        <v>1765</v>
      </c>
    </row>
    <row r="82" spans="1:19" ht="18.75" customHeight="1">
      <c r="A82" s="213"/>
      <c r="B82" s="213"/>
      <c r="C82" s="210"/>
      <c r="D82" s="210"/>
      <c r="E82" s="186" t="s">
        <v>59</v>
      </c>
      <c r="F82" s="186" t="s">
        <v>4462</v>
      </c>
      <c r="G82" s="186" t="s">
        <v>2484</v>
      </c>
      <c r="H82" s="186"/>
      <c r="I82" s="186"/>
      <c r="J82" s="186">
        <v>84</v>
      </c>
      <c r="K82" s="186"/>
      <c r="L82" s="186"/>
      <c r="M82" s="90"/>
      <c r="N82" s="90"/>
      <c r="O82" s="90"/>
      <c r="P82" s="186"/>
      <c r="Q82" s="122" t="s">
        <v>4460</v>
      </c>
      <c r="R82" s="123"/>
      <c r="S82" s="186" t="s">
        <v>4463</v>
      </c>
    </row>
    <row r="83" spans="1:19" ht="18.75" customHeight="1">
      <c r="A83" s="213"/>
      <c r="B83" s="213"/>
      <c r="C83" s="210"/>
      <c r="D83" s="210"/>
      <c r="E83" s="186" t="s">
        <v>59</v>
      </c>
      <c r="F83" s="186" t="s">
        <v>4464</v>
      </c>
      <c r="G83" s="186" t="s">
        <v>2484</v>
      </c>
      <c r="H83" s="186"/>
      <c r="I83" s="186"/>
      <c r="J83" s="186">
        <v>85</v>
      </c>
      <c r="K83" s="186"/>
      <c r="L83" s="186"/>
      <c r="M83" s="90"/>
      <c r="N83" s="90"/>
      <c r="O83" s="90"/>
      <c r="P83" s="186"/>
      <c r="Q83" s="122" t="s">
        <v>4460</v>
      </c>
      <c r="R83" s="123"/>
      <c r="S83" s="186" t="s">
        <v>4465</v>
      </c>
    </row>
    <row r="84" spans="1:19" ht="18.75" customHeight="1">
      <c r="A84" s="213"/>
      <c r="B84" s="213"/>
      <c r="C84" s="210"/>
      <c r="D84" s="210"/>
      <c r="E84" s="186" t="s">
        <v>59</v>
      </c>
      <c r="F84" s="186" t="s">
        <v>4466</v>
      </c>
      <c r="G84" s="186" t="s">
        <v>2484</v>
      </c>
      <c r="H84" s="186"/>
      <c r="I84" s="186"/>
      <c r="J84" s="186"/>
      <c r="K84" s="186"/>
      <c r="L84" s="186"/>
      <c r="M84" s="90"/>
      <c r="N84" s="90"/>
      <c r="O84" s="90"/>
      <c r="P84" s="186"/>
      <c r="Q84" s="122"/>
      <c r="R84" s="123" t="s">
        <v>4460</v>
      </c>
      <c r="S84" t="s">
        <v>4467</v>
      </c>
    </row>
    <row r="85" spans="1:19" ht="18.75" customHeight="1">
      <c r="A85" s="213"/>
      <c r="B85" s="213"/>
      <c r="C85" s="210"/>
      <c r="D85" s="210"/>
      <c r="E85" s="186" t="s">
        <v>59</v>
      </c>
      <c r="F85" s="186" t="s">
        <v>4468</v>
      </c>
      <c r="G85" s="186" t="s">
        <v>4469</v>
      </c>
      <c r="H85" s="186"/>
      <c r="I85" s="186"/>
      <c r="J85" s="186"/>
      <c r="K85" s="186"/>
      <c r="L85" s="186"/>
      <c r="M85" s="90"/>
      <c r="N85" s="90"/>
      <c r="O85" s="90"/>
      <c r="P85" s="186"/>
      <c r="Q85" s="122"/>
      <c r="R85" s="123" t="s">
        <v>4460</v>
      </c>
      <c r="S85" t="s">
        <v>4470</v>
      </c>
    </row>
    <row r="86" spans="1:19" ht="18.75" customHeight="1">
      <c r="A86" s="213"/>
      <c r="B86" s="213"/>
      <c r="C86" s="210"/>
      <c r="D86" s="210"/>
      <c r="E86" s="186" t="s">
        <v>59</v>
      </c>
      <c r="F86" s="186" t="s">
        <v>4471</v>
      </c>
      <c r="G86" s="186" t="s">
        <v>2484</v>
      </c>
      <c r="H86" s="186"/>
      <c r="I86" s="186"/>
      <c r="J86" s="186"/>
      <c r="K86" s="186"/>
      <c r="L86" s="186"/>
      <c r="M86" s="90"/>
      <c r="N86" s="90"/>
      <c r="O86" s="90"/>
      <c r="P86" s="186"/>
      <c r="Q86" s="122"/>
      <c r="R86" s="123" t="s">
        <v>4460</v>
      </c>
      <c r="S86" t="s">
        <v>4472</v>
      </c>
    </row>
    <row r="87" spans="1:19" ht="18.75" customHeight="1">
      <c r="A87" s="213"/>
      <c r="B87" s="213"/>
      <c r="C87" s="210"/>
      <c r="D87" s="210"/>
      <c r="E87" s="186" t="s">
        <v>59</v>
      </c>
      <c r="F87" s="186" t="s">
        <v>4473</v>
      </c>
      <c r="G87" s="186" t="s">
        <v>255</v>
      </c>
      <c r="H87" s="186"/>
      <c r="I87" s="186"/>
      <c r="J87" s="186"/>
      <c r="K87" s="186"/>
      <c r="L87" s="186"/>
      <c r="M87" s="90"/>
      <c r="N87" s="90"/>
      <c r="O87" s="90"/>
      <c r="P87" s="186"/>
      <c r="Q87" s="122"/>
      <c r="R87" s="123" t="s">
        <v>4460</v>
      </c>
      <c r="S87" t="s">
        <v>4474</v>
      </c>
    </row>
    <row r="88" spans="1:19" ht="18.75" customHeight="1">
      <c r="A88" s="213"/>
      <c r="B88" s="213"/>
      <c r="C88" s="210"/>
      <c r="D88" s="210"/>
      <c r="E88" s="186" t="s">
        <v>59</v>
      </c>
      <c r="F88" s="186" t="s">
        <v>4475</v>
      </c>
      <c r="G88" s="186" t="s">
        <v>255</v>
      </c>
      <c r="H88" s="186"/>
      <c r="I88" s="186"/>
      <c r="J88" s="186"/>
      <c r="K88" s="186"/>
      <c r="L88" s="186"/>
      <c r="M88" s="90"/>
      <c r="N88" s="90"/>
      <c r="O88" s="90"/>
      <c r="P88" s="186"/>
      <c r="Q88" s="122"/>
      <c r="R88" s="123" t="s">
        <v>4460</v>
      </c>
      <c r="S88" t="s">
        <v>4476</v>
      </c>
    </row>
    <row r="89" spans="1:19" ht="18.75" customHeight="1">
      <c r="A89" s="213"/>
      <c r="B89" s="213"/>
      <c r="C89" s="210"/>
      <c r="D89" s="210"/>
      <c r="E89" s="186" t="s">
        <v>59</v>
      </c>
      <c r="F89" s="186" t="s">
        <v>4477</v>
      </c>
      <c r="G89" s="186" t="s">
        <v>255</v>
      </c>
      <c r="H89" s="186"/>
      <c r="I89" s="186"/>
      <c r="J89" s="186"/>
      <c r="K89" s="186"/>
      <c r="L89" s="186"/>
      <c r="M89" s="90"/>
      <c r="N89" s="90"/>
      <c r="O89" s="90"/>
      <c r="P89" s="186"/>
      <c r="Q89" s="122"/>
      <c r="R89" s="123" t="s">
        <v>4460</v>
      </c>
      <c r="S89" t="s">
        <v>4478</v>
      </c>
    </row>
    <row r="90" spans="1:19" ht="18.75" customHeight="1">
      <c r="A90" s="213"/>
      <c r="B90" s="213"/>
      <c r="C90" s="210"/>
      <c r="D90" s="210"/>
      <c r="E90" s="186" t="s">
        <v>59</v>
      </c>
      <c r="F90" s="186" t="s">
        <v>4479</v>
      </c>
      <c r="G90" s="186" t="s">
        <v>255</v>
      </c>
      <c r="H90" s="186"/>
      <c r="I90" s="186"/>
      <c r="J90" s="186"/>
      <c r="K90" s="186"/>
      <c r="L90" s="186"/>
      <c r="M90" s="90"/>
      <c r="N90" s="90"/>
      <c r="O90" s="90"/>
      <c r="P90" s="186"/>
      <c r="Q90" s="122"/>
      <c r="R90" s="123" t="s">
        <v>4460</v>
      </c>
      <c r="S90" t="s">
        <v>4480</v>
      </c>
    </row>
    <row r="91" spans="1:19" ht="18.75" customHeight="1">
      <c r="A91" s="213"/>
      <c r="B91" s="213"/>
      <c r="C91" s="210"/>
      <c r="D91" s="210"/>
      <c r="E91" s="186" t="s">
        <v>59</v>
      </c>
      <c r="F91" s="186" t="s">
        <v>4481</v>
      </c>
      <c r="G91" s="186" t="s">
        <v>255</v>
      </c>
      <c r="H91" s="186"/>
      <c r="I91" s="186"/>
      <c r="J91" s="186"/>
      <c r="K91" s="186"/>
      <c r="L91" s="186"/>
      <c r="M91" s="90"/>
      <c r="N91" s="90"/>
      <c r="O91" s="90"/>
      <c r="P91" s="186"/>
      <c r="Q91" s="122"/>
      <c r="R91" s="123" t="s">
        <v>4460</v>
      </c>
      <c r="S91" t="s">
        <v>4482</v>
      </c>
    </row>
    <row r="92" spans="1:19" ht="18.75" customHeight="1">
      <c r="A92" s="213"/>
      <c r="B92" s="213"/>
      <c r="C92" s="210"/>
      <c r="D92" s="210"/>
      <c r="E92" s="186" t="s">
        <v>59</v>
      </c>
      <c r="F92" s="186" t="s">
        <v>2470</v>
      </c>
      <c r="G92" s="186" t="s">
        <v>2471</v>
      </c>
      <c r="H92" s="186"/>
      <c r="I92" s="186"/>
      <c r="J92" s="186"/>
      <c r="K92" s="186"/>
      <c r="L92" s="186"/>
      <c r="M92" s="90"/>
      <c r="N92" s="90"/>
      <c r="O92" s="90"/>
      <c r="P92" s="186"/>
      <c r="Q92" s="122"/>
      <c r="R92" s="123" t="s">
        <v>4460</v>
      </c>
      <c r="S92" t="s">
        <v>4483</v>
      </c>
    </row>
    <row r="93" spans="1:19" ht="18.75" customHeight="1">
      <c r="A93" s="213"/>
      <c r="B93" s="213"/>
      <c r="C93" s="210"/>
      <c r="D93" s="210"/>
      <c r="E93" s="186" t="s">
        <v>59</v>
      </c>
      <c r="F93" s="186" t="s">
        <v>4484</v>
      </c>
      <c r="G93" s="186" t="s">
        <v>4485</v>
      </c>
      <c r="H93" s="186"/>
      <c r="I93" s="186"/>
      <c r="J93" s="186"/>
      <c r="K93" s="186"/>
      <c r="L93" s="186"/>
      <c r="M93" s="90"/>
      <c r="N93" s="90"/>
      <c r="O93" s="90"/>
      <c r="P93" s="186"/>
      <c r="Q93" s="122"/>
      <c r="R93" s="123" t="s">
        <v>4460</v>
      </c>
      <c r="S93" t="s">
        <v>4486</v>
      </c>
    </row>
    <row r="94" spans="1:19" ht="18.75" customHeight="1">
      <c r="A94" s="213"/>
      <c r="B94" s="213"/>
      <c r="C94" s="210"/>
      <c r="D94" s="210"/>
      <c r="E94" s="186" t="s">
        <v>59</v>
      </c>
      <c r="F94" s="186" t="s">
        <v>4487</v>
      </c>
      <c r="G94" s="186" t="s">
        <v>4488</v>
      </c>
      <c r="H94" s="186"/>
      <c r="I94" s="186"/>
      <c r="J94" s="186"/>
      <c r="K94" s="186"/>
      <c r="L94" s="186"/>
      <c r="M94" s="90"/>
      <c r="N94" s="90"/>
      <c r="O94" s="90"/>
      <c r="P94" s="186"/>
      <c r="Q94" s="122"/>
      <c r="R94" s="123" t="s">
        <v>4460</v>
      </c>
      <c r="S94" t="s">
        <v>4489</v>
      </c>
    </row>
    <row r="95" spans="1:19" ht="18.75" customHeight="1">
      <c r="A95" s="213"/>
      <c r="B95" s="213"/>
      <c r="C95" s="210"/>
      <c r="D95" s="210"/>
      <c r="E95" s="186" t="s">
        <v>59</v>
      </c>
      <c r="F95" s="186" t="s">
        <v>4490</v>
      </c>
      <c r="G95" s="186" t="s">
        <v>4488</v>
      </c>
      <c r="H95" s="186"/>
      <c r="I95" s="186"/>
      <c r="J95" s="186"/>
      <c r="K95" s="186"/>
      <c r="L95" s="186"/>
      <c r="M95" s="90"/>
      <c r="N95" s="90"/>
      <c r="O95" s="90"/>
      <c r="P95" s="186"/>
      <c r="Q95" s="122"/>
      <c r="R95" s="123" t="s">
        <v>4460</v>
      </c>
      <c r="S95" t="s">
        <v>4491</v>
      </c>
    </row>
    <row r="96" spans="1:19" ht="18.75" customHeight="1">
      <c r="A96" s="213"/>
      <c r="B96" s="213"/>
      <c r="C96" s="210"/>
      <c r="D96" s="210"/>
      <c r="E96" s="186" t="s">
        <v>59</v>
      </c>
      <c r="F96" s="186" t="s">
        <v>2489</v>
      </c>
      <c r="G96" s="186" t="s">
        <v>1855</v>
      </c>
      <c r="H96" s="186"/>
      <c r="I96" s="186"/>
      <c r="J96" s="186"/>
      <c r="K96" s="186"/>
      <c r="L96" s="186"/>
      <c r="M96" s="90"/>
      <c r="N96" s="90"/>
      <c r="O96" s="90"/>
      <c r="P96" s="186"/>
      <c r="Q96" s="122"/>
      <c r="R96" s="123" t="s">
        <v>4460</v>
      </c>
      <c r="S96" t="s">
        <v>4492</v>
      </c>
    </row>
    <row r="97" spans="1:19" ht="18.75" customHeight="1">
      <c r="A97" s="213"/>
      <c r="B97" s="213"/>
      <c r="C97" s="210"/>
      <c r="D97" s="210"/>
      <c r="E97" s="186" t="s">
        <v>59</v>
      </c>
      <c r="F97" s="186" t="s">
        <v>2525</v>
      </c>
      <c r="G97" s="186" t="s">
        <v>2479</v>
      </c>
      <c r="H97" s="186"/>
      <c r="I97" s="186"/>
      <c r="J97" s="186"/>
      <c r="K97" s="186"/>
      <c r="L97" s="186"/>
      <c r="M97" s="90"/>
      <c r="N97" s="90"/>
      <c r="O97" s="90"/>
      <c r="P97" s="186"/>
      <c r="Q97" s="122"/>
      <c r="R97" s="123" t="s">
        <v>4460</v>
      </c>
      <c r="S97" t="s">
        <v>4493</v>
      </c>
    </row>
    <row r="98" spans="1:19" ht="18.75" customHeight="1">
      <c r="A98" s="186"/>
      <c r="B98" s="186"/>
      <c r="C98" s="186"/>
      <c r="D98" s="186"/>
      <c r="E98" s="186" t="s">
        <v>59</v>
      </c>
      <c r="F98" s="186" t="s">
        <v>4494</v>
      </c>
      <c r="G98" s="186" t="s">
        <v>4495</v>
      </c>
      <c r="H98" s="441"/>
      <c r="I98" s="441"/>
      <c r="J98" s="441"/>
      <c r="K98" s="72"/>
      <c r="L98" s="186"/>
      <c r="M98" s="153"/>
      <c r="N98" s="341"/>
      <c r="O98" s="341"/>
      <c r="P98" s="341"/>
      <c r="Q98" s="122"/>
      <c r="R98" s="122" t="s">
        <v>4460</v>
      </c>
      <c r="S98" s="186" t="s">
        <v>4496</v>
      </c>
    </row>
    <row r="99" spans="1:19" ht="18.75" customHeight="1">
      <c r="A99" s="186"/>
      <c r="B99" s="186"/>
      <c r="C99" s="186"/>
      <c r="D99" s="186"/>
      <c r="E99" s="186" t="s">
        <v>59</v>
      </c>
      <c r="F99" s="186" t="s">
        <v>4497</v>
      </c>
      <c r="G99" s="186" t="s">
        <v>535</v>
      </c>
      <c r="H99" s="441"/>
      <c r="I99" s="441"/>
      <c r="J99" s="441"/>
      <c r="K99" s="72"/>
      <c r="L99" s="186"/>
      <c r="M99" s="90"/>
      <c r="N99" s="341"/>
      <c r="O99" s="341"/>
      <c r="P99" s="341"/>
      <c r="Q99" s="122"/>
      <c r="R99" s="122" t="s">
        <v>4460</v>
      </c>
      <c r="S99" s="186" t="s">
        <v>4498</v>
      </c>
    </row>
    <row r="100" spans="1:19" ht="18.75" customHeight="1">
      <c r="A100" s="186"/>
      <c r="B100" s="186"/>
      <c r="C100" s="186"/>
      <c r="D100" s="186"/>
      <c r="E100" s="186" t="s">
        <v>59</v>
      </c>
      <c r="F100" s="186" t="s">
        <v>4499</v>
      </c>
      <c r="G100" s="186" t="s">
        <v>255</v>
      </c>
      <c r="H100" s="441"/>
      <c r="I100" s="441"/>
      <c r="J100" s="441"/>
      <c r="K100" s="72"/>
      <c r="L100" s="186"/>
      <c r="M100" s="90"/>
      <c r="N100" s="341"/>
      <c r="O100" s="341"/>
      <c r="P100" s="341"/>
      <c r="Q100" s="122"/>
      <c r="R100" s="122" t="s">
        <v>4460</v>
      </c>
      <c r="S100" s="186" t="s">
        <v>4500</v>
      </c>
    </row>
    <row r="101" spans="1:19" ht="18.75" customHeight="1">
      <c r="A101" s="186"/>
      <c r="B101" s="186"/>
      <c r="C101" s="186"/>
      <c r="D101" s="186"/>
      <c r="E101" s="186" t="s">
        <v>59</v>
      </c>
      <c r="F101" s="186" t="s">
        <v>4501</v>
      </c>
      <c r="G101" s="186" t="s">
        <v>255</v>
      </c>
      <c r="H101" s="441"/>
      <c r="I101" s="441"/>
      <c r="J101" s="441"/>
      <c r="K101" s="72"/>
      <c r="L101" s="186"/>
      <c r="M101" s="90"/>
      <c r="N101" s="341"/>
      <c r="O101" s="341"/>
      <c r="P101" s="341"/>
      <c r="Q101" s="122"/>
      <c r="R101" s="122" t="s">
        <v>4460</v>
      </c>
      <c r="S101" s="186" t="s">
        <v>4502</v>
      </c>
    </row>
    <row r="102" spans="1:19" ht="18.75" customHeight="1">
      <c r="A102" s="186"/>
      <c r="B102" s="186"/>
      <c r="C102" s="186"/>
      <c r="D102" s="186"/>
      <c r="E102" s="186" t="s">
        <v>59</v>
      </c>
      <c r="F102" s="186" t="s">
        <v>4503</v>
      </c>
      <c r="G102" s="186" t="s">
        <v>255</v>
      </c>
      <c r="H102" s="441"/>
      <c r="I102" s="441"/>
      <c r="J102" s="441"/>
      <c r="K102" s="72"/>
      <c r="L102" s="186"/>
      <c r="M102" s="90"/>
      <c r="N102" s="341"/>
      <c r="O102" s="341"/>
      <c r="P102" s="341"/>
      <c r="Q102" s="122"/>
      <c r="R102" s="122" t="s">
        <v>4460</v>
      </c>
      <c r="S102" s="186" t="s">
        <v>4504</v>
      </c>
    </row>
    <row r="103" spans="1:19" ht="18.75" customHeight="1">
      <c r="A103" s="213"/>
      <c r="B103" s="213"/>
      <c r="C103" s="210"/>
      <c r="D103" s="210"/>
      <c r="E103" s="186"/>
      <c r="F103" s="186" t="s">
        <v>4505</v>
      </c>
      <c r="G103" s="186" t="s">
        <v>255</v>
      </c>
      <c r="H103" s="186"/>
      <c r="I103" s="186"/>
      <c r="J103" s="186"/>
      <c r="K103" s="186"/>
      <c r="L103" s="186"/>
      <c r="M103" s="90"/>
      <c r="N103" s="90"/>
      <c r="O103" s="90"/>
      <c r="P103" s="186"/>
      <c r="Q103" s="122"/>
      <c r="R103" s="123"/>
      <c r="S103" s="186"/>
    </row>
  </sheetData>
  <autoFilter ref="E2:S103" xr:uid="{00000000-0009-0000-0000-000028000000}"/>
  <pageMargins left="0.7" right="0.7" top="0.75" bottom="0.75" header="0" footer="0"/>
  <pageSetup orientation="landscape"/>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outlinePr summaryBelow="0" summaryRight="0"/>
  </sheetPr>
  <dimension ref="A1:T169"/>
  <sheetViews>
    <sheetView workbookViewId="0">
      <pane xSplit="7" ySplit="2" topLeftCell="K24" activePane="bottomRight" state="frozen"/>
      <selection pane="topRight" activeCell="H1" sqref="H1"/>
      <selection pane="bottomLeft" activeCell="A3" sqref="A3"/>
      <selection pane="bottomRight" activeCell="F32" sqref="F32"/>
    </sheetView>
  </sheetViews>
  <sheetFormatPr defaultColWidth="14.453125" defaultRowHeight="15" customHeight="1"/>
  <cols>
    <col min="1" max="4" width="17.1796875" hidden="1" customWidth="1"/>
    <col min="5" max="5" width="34.7265625" customWidth="1"/>
    <col min="6" max="6" width="34" customWidth="1"/>
    <col min="7" max="7" width="21.7265625" customWidth="1"/>
    <col min="8" max="10" width="17.1796875" hidden="1" customWidth="1"/>
    <col min="11" max="17" width="17.1796875" customWidth="1"/>
    <col min="18" max="18" width="32.7265625" customWidth="1"/>
    <col min="19" max="19" width="28" customWidth="1"/>
    <col min="20" max="20" width="48.26953125" customWidth="1"/>
    <col min="21" max="21" width="17.1796875" customWidth="1"/>
    <col min="22" max="22" width="63.7265625" customWidth="1"/>
    <col min="23" max="26" width="17.26953125" customWidth="1"/>
  </cols>
  <sheetData>
    <row r="1" spans="1:20" ht="36.75" customHeight="1">
      <c r="A1" s="186"/>
      <c r="B1" s="186"/>
      <c r="C1" s="186"/>
      <c r="D1" s="186"/>
      <c r="E1" s="289" t="s">
        <v>1322</v>
      </c>
      <c r="F1" s="186"/>
      <c r="G1" s="186"/>
      <c r="H1" s="186"/>
      <c r="I1" s="186"/>
      <c r="J1" s="186"/>
      <c r="K1" s="381"/>
      <c r="L1" s="207" t="s">
        <v>1038</v>
      </c>
      <c r="M1" s="207"/>
      <c r="N1" s="207"/>
      <c r="O1" s="207"/>
      <c r="P1" s="207"/>
      <c r="Q1" s="207"/>
      <c r="R1" s="186"/>
      <c r="S1" s="186"/>
      <c r="T1" s="186"/>
    </row>
    <row r="2" spans="1:20" ht="12.75" customHeight="1">
      <c r="A2" s="208" t="s">
        <v>1040</v>
      </c>
      <c r="B2" s="208" t="s">
        <v>1041</v>
      </c>
      <c r="C2" s="208" t="s">
        <v>1042</v>
      </c>
      <c r="D2" s="208" t="s">
        <v>1043</v>
      </c>
      <c r="E2" s="208" t="s">
        <v>224</v>
      </c>
      <c r="F2" s="208" t="s">
        <v>225</v>
      </c>
      <c r="G2" s="208" t="s">
        <v>226</v>
      </c>
      <c r="H2" s="208" t="s">
        <v>227</v>
      </c>
      <c r="I2" s="208" t="s">
        <v>1044</v>
      </c>
      <c r="J2" s="208" t="s">
        <v>1045</v>
      </c>
      <c r="K2" s="207" t="s">
        <v>1046</v>
      </c>
      <c r="L2" s="207" t="s">
        <v>100</v>
      </c>
      <c r="M2" s="207" t="s">
        <v>101</v>
      </c>
      <c r="N2" s="207" t="s">
        <v>102</v>
      </c>
      <c r="O2" s="207" t="s">
        <v>103</v>
      </c>
      <c r="P2" s="207" t="s">
        <v>104</v>
      </c>
      <c r="Q2" s="207" t="s">
        <v>105</v>
      </c>
      <c r="R2" s="208" t="s">
        <v>111</v>
      </c>
      <c r="S2" s="208" t="s">
        <v>112</v>
      </c>
      <c r="T2" s="208" t="s">
        <v>113</v>
      </c>
    </row>
    <row r="3" spans="1:20" ht="18.75" customHeight="1">
      <c r="A3" s="213"/>
      <c r="B3" s="213"/>
      <c r="C3" s="210"/>
      <c r="D3" s="210"/>
      <c r="E3" s="186" t="s">
        <v>53</v>
      </c>
      <c r="F3" s="186" t="s">
        <v>124</v>
      </c>
      <c r="G3" s="186" t="s">
        <v>535</v>
      </c>
      <c r="H3" s="186" t="s">
        <v>903</v>
      </c>
      <c r="I3" s="186"/>
      <c r="J3" s="186">
        <v>1</v>
      </c>
      <c r="K3" s="186"/>
      <c r="L3" s="186"/>
      <c r="M3" s="186"/>
      <c r="N3" s="90"/>
      <c r="O3" s="90"/>
      <c r="P3" s="90"/>
      <c r="Q3" s="186"/>
      <c r="R3" s="122"/>
      <c r="S3" s="123"/>
      <c r="T3" s="186" t="s">
        <v>1190</v>
      </c>
    </row>
    <row r="4" spans="1:20" ht="18.75" customHeight="1">
      <c r="A4" s="213"/>
      <c r="B4" s="213"/>
      <c r="C4" s="210"/>
      <c r="D4" s="210"/>
      <c r="E4" s="186" t="s">
        <v>55</v>
      </c>
      <c r="F4" s="186" t="s">
        <v>4506</v>
      </c>
      <c r="G4" s="186" t="s">
        <v>432</v>
      </c>
      <c r="H4" s="186" t="s">
        <v>243</v>
      </c>
      <c r="I4" s="186"/>
      <c r="J4" s="186">
        <v>2</v>
      </c>
      <c r="K4" s="186"/>
      <c r="L4" s="186"/>
      <c r="M4" s="186"/>
      <c r="N4" s="90"/>
      <c r="O4" s="90"/>
      <c r="P4" s="90"/>
      <c r="Q4" s="186"/>
      <c r="R4" s="122"/>
      <c r="S4" s="123"/>
      <c r="T4" s="186" t="s">
        <v>4507</v>
      </c>
    </row>
    <row r="5" spans="1:20" ht="18.75" customHeight="1">
      <c r="A5" s="213"/>
      <c r="B5" s="213"/>
      <c r="C5" s="210"/>
      <c r="D5" s="210"/>
      <c r="E5" s="186" t="s">
        <v>55</v>
      </c>
      <c r="F5" s="186" t="s">
        <v>4508</v>
      </c>
      <c r="G5" s="186" t="s">
        <v>255</v>
      </c>
      <c r="H5" s="186" t="s">
        <v>243</v>
      </c>
      <c r="I5" s="186"/>
      <c r="J5" s="186">
        <v>3</v>
      </c>
      <c r="K5" s="186"/>
      <c r="L5" s="186"/>
      <c r="M5" s="186"/>
      <c r="N5" s="90"/>
      <c r="O5" s="90"/>
      <c r="P5" s="90"/>
      <c r="Q5" s="186"/>
      <c r="R5" s="122"/>
      <c r="S5" s="123"/>
      <c r="T5" s="186" t="s">
        <v>4509</v>
      </c>
    </row>
    <row r="6" spans="1:20" ht="18.75" customHeight="1">
      <c r="A6" s="213"/>
      <c r="B6" s="213"/>
      <c r="C6" s="210"/>
      <c r="D6" s="210"/>
      <c r="E6" s="186" t="s">
        <v>55</v>
      </c>
      <c r="F6" s="186" t="s">
        <v>4510</v>
      </c>
      <c r="G6" s="186" t="s">
        <v>329</v>
      </c>
      <c r="H6" s="186" t="s">
        <v>243</v>
      </c>
      <c r="I6" s="186"/>
      <c r="J6" s="186">
        <v>4</v>
      </c>
      <c r="K6" s="186"/>
      <c r="L6" s="186"/>
      <c r="M6" s="186"/>
      <c r="N6" s="90"/>
      <c r="O6" s="90"/>
      <c r="P6" s="90"/>
      <c r="Q6" s="186"/>
      <c r="R6" s="122"/>
      <c r="S6" s="123"/>
      <c r="T6" s="186" t="s">
        <v>4511</v>
      </c>
    </row>
    <row r="7" spans="1:20" ht="18.75" customHeight="1">
      <c r="A7" s="213"/>
      <c r="B7" s="213"/>
      <c r="C7" s="210"/>
      <c r="D7" s="210"/>
      <c r="E7" s="186" t="s">
        <v>55</v>
      </c>
      <c r="F7" s="186" t="s">
        <v>4512</v>
      </c>
      <c r="G7" s="186" t="s">
        <v>247</v>
      </c>
      <c r="H7" s="186" t="s">
        <v>243</v>
      </c>
      <c r="I7" s="186"/>
      <c r="J7" s="186">
        <v>5</v>
      </c>
      <c r="K7" s="186"/>
      <c r="L7" s="186"/>
      <c r="M7" s="186"/>
      <c r="N7" s="90"/>
      <c r="O7" s="90"/>
      <c r="P7" s="90"/>
      <c r="Q7" s="186"/>
      <c r="R7" s="122"/>
      <c r="S7" s="123"/>
      <c r="T7" s="186" t="s">
        <v>4513</v>
      </c>
    </row>
    <row r="8" spans="1:20" ht="18.75" customHeight="1">
      <c r="A8" s="213"/>
      <c r="B8" s="213"/>
      <c r="C8" s="210"/>
      <c r="D8" s="210"/>
      <c r="E8" s="186" t="s">
        <v>55</v>
      </c>
      <c r="F8" s="186" t="s">
        <v>4514</v>
      </c>
      <c r="G8" s="186" t="s">
        <v>247</v>
      </c>
      <c r="H8" s="186" t="s">
        <v>243</v>
      </c>
      <c r="I8" s="186"/>
      <c r="J8" s="186">
        <v>6</v>
      </c>
      <c r="K8" s="186"/>
      <c r="L8" s="186"/>
      <c r="M8" s="186"/>
      <c r="N8" s="90"/>
      <c r="O8" s="90"/>
      <c r="P8" s="90"/>
      <c r="Q8" s="186"/>
      <c r="R8" s="122"/>
      <c r="S8" s="123"/>
      <c r="T8" s="186" t="s">
        <v>4515</v>
      </c>
    </row>
    <row r="9" spans="1:20" ht="18.75" customHeight="1">
      <c r="A9" s="213"/>
      <c r="B9" s="213"/>
      <c r="C9" s="210"/>
      <c r="D9" s="210"/>
      <c r="E9" s="186" t="s">
        <v>55</v>
      </c>
      <c r="F9" s="186" t="s">
        <v>4516</v>
      </c>
      <c r="G9" s="186" t="s">
        <v>255</v>
      </c>
      <c r="H9" s="186" t="s">
        <v>243</v>
      </c>
      <c r="I9" s="186"/>
      <c r="J9" s="186">
        <v>7</v>
      </c>
      <c r="K9" s="186"/>
      <c r="L9" s="186"/>
      <c r="M9" s="186"/>
      <c r="N9" s="90"/>
      <c r="O9" s="90"/>
      <c r="P9" s="90"/>
      <c r="Q9" s="186"/>
      <c r="R9" s="122"/>
      <c r="S9" s="123"/>
      <c r="T9" s="186" t="s">
        <v>4517</v>
      </c>
    </row>
    <row r="10" spans="1:20" ht="18.75" customHeight="1">
      <c r="A10" s="213"/>
      <c r="B10" s="213"/>
      <c r="C10" s="210"/>
      <c r="D10" s="210"/>
      <c r="E10" s="186" t="s">
        <v>59</v>
      </c>
      <c r="F10" s="186" t="s">
        <v>4518</v>
      </c>
      <c r="G10" s="186" t="s">
        <v>247</v>
      </c>
      <c r="H10" s="186" t="s">
        <v>243</v>
      </c>
      <c r="I10" s="186"/>
      <c r="J10" s="186">
        <v>8</v>
      </c>
      <c r="K10" s="186"/>
      <c r="L10" s="186"/>
      <c r="M10" s="186"/>
      <c r="N10" s="90"/>
      <c r="O10" s="90"/>
      <c r="P10" s="90"/>
      <c r="Q10" s="186"/>
      <c r="R10" s="122"/>
      <c r="S10" s="123"/>
      <c r="T10" s="186" t="s">
        <v>4519</v>
      </c>
    </row>
    <row r="11" spans="1:20" ht="18.75" customHeight="1">
      <c r="A11" s="213"/>
      <c r="B11" s="213"/>
      <c r="C11" s="210"/>
      <c r="D11" s="210"/>
      <c r="E11" s="186" t="s">
        <v>55</v>
      </c>
      <c r="F11" s="186" t="s">
        <v>501</v>
      </c>
      <c r="G11" s="186" t="s">
        <v>242</v>
      </c>
      <c r="H11" s="186" t="s">
        <v>243</v>
      </c>
      <c r="I11" s="186"/>
      <c r="J11" s="186">
        <v>9</v>
      </c>
      <c r="K11" s="186"/>
      <c r="L11" s="186"/>
      <c r="M11" s="186"/>
      <c r="N11" s="90"/>
      <c r="O11" s="90"/>
      <c r="P11" s="90"/>
      <c r="Q11" s="186"/>
      <c r="R11" s="122"/>
      <c r="S11" s="123"/>
      <c r="T11" s="186" t="s">
        <v>2136</v>
      </c>
    </row>
    <row r="12" spans="1:20" ht="18.75" customHeight="1">
      <c r="A12" s="213"/>
      <c r="B12" s="213"/>
      <c r="C12" s="210"/>
      <c r="D12" s="210"/>
      <c r="E12" s="186" t="s">
        <v>55</v>
      </c>
      <c r="F12" s="186" t="s">
        <v>4520</v>
      </c>
      <c r="G12" s="186" t="s">
        <v>264</v>
      </c>
      <c r="H12" s="186" t="s">
        <v>243</v>
      </c>
      <c r="I12" s="186"/>
      <c r="J12" s="186">
        <v>10</v>
      </c>
      <c r="K12" s="186"/>
      <c r="L12" s="186"/>
      <c r="M12" s="186"/>
      <c r="N12" s="90"/>
      <c r="O12" s="90"/>
      <c r="P12" s="90"/>
      <c r="Q12" s="186"/>
      <c r="R12" s="122"/>
      <c r="S12" s="123"/>
      <c r="T12" s="186" t="s">
        <v>4521</v>
      </c>
    </row>
    <row r="13" spans="1:20" ht="18.75" customHeight="1">
      <c r="A13" s="213"/>
      <c r="B13" s="213"/>
      <c r="C13" s="210"/>
      <c r="D13" s="210"/>
      <c r="E13" s="186" t="s">
        <v>55</v>
      </c>
      <c r="F13" s="186" t="s">
        <v>4522</v>
      </c>
      <c r="G13" s="186" t="s">
        <v>329</v>
      </c>
      <c r="H13" s="186" t="s">
        <v>243</v>
      </c>
      <c r="I13" s="186"/>
      <c r="J13" s="186">
        <v>11</v>
      </c>
      <c r="K13" s="186"/>
      <c r="L13" s="186"/>
      <c r="M13" s="186"/>
      <c r="N13" s="90"/>
      <c r="O13" s="90"/>
      <c r="P13" s="90"/>
      <c r="Q13" s="186"/>
      <c r="R13" s="289"/>
      <c r="S13" s="123"/>
      <c r="T13" s="186" t="s">
        <v>4523</v>
      </c>
    </row>
    <row r="14" spans="1:20" ht="18.75" customHeight="1">
      <c r="A14" s="213"/>
      <c r="B14" s="213"/>
      <c r="C14" s="210"/>
      <c r="D14" s="210"/>
      <c r="E14" s="186" t="s">
        <v>55</v>
      </c>
      <c r="F14" s="186" t="s">
        <v>4524</v>
      </c>
      <c r="G14" s="186" t="s">
        <v>4525</v>
      </c>
      <c r="H14" s="186" t="s">
        <v>243</v>
      </c>
      <c r="I14" s="186"/>
      <c r="J14" s="186">
        <v>12</v>
      </c>
      <c r="K14" s="186"/>
      <c r="L14" s="186"/>
      <c r="M14" s="186"/>
      <c r="N14" s="90"/>
      <c r="O14" s="90"/>
      <c r="P14" s="90"/>
      <c r="Q14" s="186"/>
      <c r="R14" s="122"/>
      <c r="S14" s="123"/>
      <c r="T14" s="186" t="s">
        <v>4526</v>
      </c>
    </row>
    <row r="15" spans="1:20" ht="18.75" customHeight="1">
      <c r="A15" s="213"/>
      <c r="B15" s="213"/>
      <c r="C15" s="210"/>
      <c r="D15" s="210"/>
      <c r="E15" s="186" t="s">
        <v>55</v>
      </c>
      <c r="F15" s="186" t="s">
        <v>3460</v>
      </c>
      <c r="G15" s="186" t="s">
        <v>255</v>
      </c>
      <c r="H15" s="186" t="s">
        <v>243</v>
      </c>
      <c r="I15" s="186"/>
      <c r="J15" s="186">
        <v>13</v>
      </c>
      <c r="K15" s="186"/>
      <c r="L15" s="186"/>
      <c r="M15" s="186"/>
      <c r="N15" s="90"/>
      <c r="O15" s="90"/>
      <c r="P15" s="90"/>
      <c r="Q15" s="186"/>
      <c r="R15" s="122"/>
      <c r="S15" s="123"/>
      <c r="T15" s="186" t="s">
        <v>4527</v>
      </c>
    </row>
    <row r="16" spans="1:20" ht="18.75" customHeight="1">
      <c r="A16" s="213"/>
      <c r="B16" s="213"/>
      <c r="C16" s="210"/>
      <c r="D16" s="210"/>
      <c r="E16" s="186" t="s">
        <v>55</v>
      </c>
      <c r="F16" s="186" t="s">
        <v>4528</v>
      </c>
      <c r="G16" s="186" t="s">
        <v>247</v>
      </c>
      <c r="H16" s="186" t="s">
        <v>243</v>
      </c>
      <c r="I16" s="186"/>
      <c r="J16" s="186">
        <v>14</v>
      </c>
      <c r="K16" s="186"/>
      <c r="L16" s="186"/>
      <c r="M16" s="186"/>
      <c r="N16" s="90"/>
      <c r="O16" s="90"/>
      <c r="P16" s="90"/>
      <c r="Q16" s="186"/>
      <c r="R16" s="122"/>
      <c r="S16" s="123"/>
      <c r="T16" s="186" t="s">
        <v>4529</v>
      </c>
    </row>
    <row r="17" spans="1:20" ht="18.75" customHeight="1">
      <c r="A17" s="213"/>
      <c r="B17" s="213"/>
      <c r="C17" s="210"/>
      <c r="D17" s="210"/>
      <c r="E17" s="186" t="s">
        <v>55</v>
      </c>
      <c r="F17" s="186" t="s">
        <v>4530</v>
      </c>
      <c r="G17" s="186" t="s">
        <v>432</v>
      </c>
      <c r="H17" s="186" t="s">
        <v>243</v>
      </c>
      <c r="I17" s="186"/>
      <c r="J17" s="186">
        <v>15</v>
      </c>
      <c r="K17" s="186"/>
      <c r="L17" s="186"/>
      <c r="M17" s="186"/>
      <c r="N17" s="90"/>
      <c r="O17" s="90"/>
      <c r="P17" s="90"/>
      <c r="Q17" s="186"/>
      <c r="R17" s="122"/>
      <c r="S17" s="123"/>
      <c r="T17" s="186" t="s">
        <v>4531</v>
      </c>
    </row>
    <row r="18" spans="1:20" ht="18.75" customHeight="1">
      <c r="A18" s="213"/>
      <c r="B18" s="213"/>
      <c r="C18" s="210"/>
      <c r="D18" s="210"/>
      <c r="E18" s="186" t="s">
        <v>55</v>
      </c>
      <c r="F18" s="186" t="s">
        <v>4532</v>
      </c>
      <c r="G18" s="186" t="s">
        <v>432</v>
      </c>
      <c r="H18" s="186" t="s">
        <v>243</v>
      </c>
      <c r="I18" s="186"/>
      <c r="J18" s="186">
        <v>16</v>
      </c>
      <c r="K18" s="186"/>
      <c r="L18" s="186"/>
      <c r="M18" s="186"/>
      <c r="N18" s="90"/>
      <c r="O18" s="90"/>
      <c r="P18" s="90"/>
      <c r="Q18" s="186"/>
      <c r="R18" s="122"/>
      <c r="S18" s="123"/>
      <c r="T18" s="186" t="s">
        <v>4533</v>
      </c>
    </row>
    <row r="19" spans="1:20" ht="18.75" customHeight="1">
      <c r="A19" s="213"/>
      <c r="B19" s="213"/>
      <c r="C19" s="210"/>
      <c r="D19" s="210"/>
      <c r="E19" s="186" t="s">
        <v>55</v>
      </c>
      <c r="F19" s="186" t="s">
        <v>4534</v>
      </c>
      <c r="G19" s="186" t="s">
        <v>242</v>
      </c>
      <c r="H19" s="186" t="s">
        <v>243</v>
      </c>
      <c r="I19" s="186"/>
      <c r="J19" s="186">
        <v>17</v>
      </c>
      <c r="K19" s="186"/>
      <c r="L19" s="186"/>
      <c r="M19" s="186"/>
      <c r="N19" s="90"/>
      <c r="O19" s="90"/>
      <c r="P19" s="90"/>
      <c r="Q19" s="186"/>
      <c r="R19" s="122"/>
      <c r="S19" s="123"/>
      <c r="T19" s="186" t="s">
        <v>4535</v>
      </c>
    </row>
    <row r="20" spans="1:20" ht="18.75" customHeight="1">
      <c r="A20" s="213"/>
      <c r="B20" s="213"/>
      <c r="C20" s="210"/>
      <c r="D20" s="210"/>
      <c r="E20" s="186" t="s">
        <v>224</v>
      </c>
      <c r="F20" s="186" t="s">
        <v>4536</v>
      </c>
      <c r="G20" s="186" t="s">
        <v>429</v>
      </c>
      <c r="H20" s="186" t="s">
        <v>243</v>
      </c>
      <c r="I20" s="186"/>
      <c r="J20" s="186">
        <v>18</v>
      </c>
      <c r="K20" s="186"/>
      <c r="L20" s="186"/>
      <c r="M20" s="186"/>
      <c r="N20" s="90"/>
      <c r="O20" s="90"/>
      <c r="P20" s="90"/>
      <c r="Q20" s="186"/>
      <c r="R20" s="289"/>
      <c r="S20" s="123"/>
      <c r="T20" s="186" t="s">
        <v>4537</v>
      </c>
    </row>
    <row r="21" spans="1:20" ht="18.75" customHeight="1">
      <c r="A21" s="213"/>
      <c r="B21" s="213"/>
      <c r="C21" s="210"/>
      <c r="D21" s="210"/>
      <c r="E21" s="186" t="s">
        <v>55</v>
      </c>
      <c r="F21" s="186" t="s">
        <v>4538</v>
      </c>
      <c r="G21" s="186" t="s">
        <v>432</v>
      </c>
      <c r="H21" s="186" t="s">
        <v>243</v>
      </c>
      <c r="I21" s="186"/>
      <c r="J21" s="186">
        <v>19</v>
      </c>
      <c r="K21" s="186"/>
      <c r="L21" s="186"/>
      <c r="M21" s="186"/>
      <c r="N21" s="90"/>
      <c r="O21" s="90"/>
      <c r="P21" s="90"/>
      <c r="Q21" s="186"/>
      <c r="R21" s="289"/>
      <c r="S21" s="123"/>
      <c r="T21" s="186" t="s">
        <v>4539</v>
      </c>
    </row>
    <row r="22" spans="1:20" ht="18.75" customHeight="1">
      <c r="A22" s="213"/>
      <c r="B22" s="213"/>
      <c r="C22" s="210"/>
      <c r="D22" s="210"/>
      <c r="E22" s="186" t="s">
        <v>224</v>
      </c>
      <c r="F22" s="186" t="s">
        <v>4540</v>
      </c>
      <c r="G22" s="186" t="s">
        <v>324</v>
      </c>
      <c r="H22" s="186" t="s">
        <v>243</v>
      </c>
      <c r="I22" s="186"/>
      <c r="J22" s="186">
        <v>20</v>
      </c>
      <c r="K22" s="186"/>
      <c r="L22" s="186"/>
      <c r="M22" s="186"/>
      <c r="N22" s="90"/>
      <c r="O22" s="90"/>
      <c r="P22" s="90"/>
      <c r="Q22" s="186"/>
      <c r="R22" s="289"/>
      <c r="S22" s="123"/>
      <c r="T22" s="186" t="s">
        <v>4541</v>
      </c>
    </row>
    <row r="23" spans="1:20" ht="18.75" customHeight="1">
      <c r="A23" s="213"/>
      <c r="B23" s="213"/>
      <c r="C23" s="210"/>
      <c r="D23" s="210"/>
      <c r="E23" s="186" t="s">
        <v>59</v>
      </c>
      <c r="F23" s="186" t="s">
        <v>4542</v>
      </c>
      <c r="G23" s="186" t="s">
        <v>264</v>
      </c>
      <c r="H23" s="186" t="s">
        <v>243</v>
      </c>
      <c r="I23" s="186"/>
      <c r="J23" s="186">
        <v>21</v>
      </c>
      <c r="K23" s="186"/>
      <c r="L23" s="186"/>
      <c r="M23" s="186"/>
      <c r="N23" s="90"/>
      <c r="O23" s="90"/>
      <c r="P23" s="90"/>
      <c r="Q23" s="186"/>
      <c r="R23" s="289"/>
      <c r="S23" s="123"/>
      <c r="T23" s="186" t="s">
        <v>4543</v>
      </c>
    </row>
    <row r="24" spans="1:20" ht="18.75" customHeight="1">
      <c r="A24" s="213"/>
      <c r="B24" s="213"/>
      <c r="C24" s="210"/>
      <c r="D24" s="210"/>
      <c r="E24" s="186" t="s">
        <v>59</v>
      </c>
      <c r="F24" s="186" t="s">
        <v>4544</v>
      </c>
      <c r="G24" s="186" t="s">
        <v>242</v>
      </c>
      <c r="H24" s="186" t="s">
        <v>243</v>
      </c>
      <c r="I24" s="186"/>
      <c r="J24" s="186">
        <v>22</v>
      </c>
      <c r="K24" s="186"/>
      <c r="L24" s="186"/>
      <c r="M24" s="186"/>
      <c r="N24" s="90"/>
      <c r="O24" s="90"/>
      <c r="P24" s="90"/>
      <c r="Q24" s="186"/>
      <c r="R24" s="289"/>
      <c r="S24" s="123"/>
      <c r="T24" s="186" t="s">
        <v>4545</v>
      </c>
    </row>
    <row r="25" spans="1:20" ht="18.75" customHeight="1">
      <c r="A25" s="213"/>
      <c r="B25" s="213"/>
      <c r="C25" s="210"/>
      <c r="D25" s="210"/>
      <c r="E25" s="186" t="s">
        <v>224</v>
      </c>
      <c r="F25" s="186" t="s">
        <v>4546</v>
      </c>
      <c r="G25" s="186" t="s">
        <v>264</v>
      </c>
      <c r="H25" s="186" t="s">
        <v>243</v>
      </c>
      <c r="I25" s="186"/>
      <c r="J25" s="186">
        <v>23</v>
      </c>
      <c r="K25" s="186"/>
      <c r="L25" s="186"/>
      <c r="M25" s="186"/>
      <c r="N25" s="90"/>
      <c r="O25" s="90"/>
      <c r="P25" s="90"/>
      <c r="Q25" s="186"/>
      <c r="R25" s="289"/>
      <c r="S25" s="123"/>
      <c r="T25" s="186" t="s">
        <v>4547</v>
      </c>
    </row>
    <row r="26" spans="1:20" ht="18.75" customHeight="1">
      <c r="A26" s="213"/>
      <c r="B26" s="213"/>
      <c r="C26" s="210"/>
      <c r="D26" s="210"/>
      <c r="E26" s="186" t="s">
        <v>59</v>
      </c>
      <c r="F26" s="186" t="s">
        <v>4548</v>
      </c>
      <c r="G26" s="186" t="s">
        <v>242</v>
      </c>
      <c r="H26" s="186" t="s">
        <v>243</v>
      </c>
      <c r="I26" s="186"/>
      <c r="J26" s="186">
        <v>24</v>
      </c>
      <c r="K26" s="186"/>
      <c r="L26" s="186"/>
      <c r="M26" s="186"/>
      <c r="N26" s="90"/>
      <c r="O26" s="90"/>
      <c r="P26" s="90"/>
      <c r="Q26" s="186"/>
      <c r="R26" s="289"/>
      <c r="S26" s="123"/>
      <c r="T26" s="186" t="s">
        <v>4549</v>
      </c>
    </row>
    <row r="27" spans="1:20" ht="18.75" customHeight="1">
      <c r="A27" s="213"/>
      <c r="B27" s="213"/>
      <c r="C27" s="210"/>
      <c r="D27" s="210"/>
      <c r="E27" s="186" t="s">
        <v>224</v>
      </c>
      <c r="F27" s="186" t="s">
        <v>4550</v>
      </c>
      <c r="G27" s="186" t="s">
        <v>242</v>
      </c>
      <c r="H27" s="186" t="s">
        <v>243</v>
      </c>
      <c r="I27" s="186"/>
      <c r="J27" s="186">
        <v>25</v>
      </c>
      <c r="K27" s="186"/>
      <c r="L27" s="186"/>
      <c r="M27" s="186"/>
      <c r="N27" s="90"/>
      <c r="O27" s="90"/>
      <c r="P27" s="90"/>
      <c r="Q27" s="186"/>
      <c r="R27" s="289"/>
      <c r="S27" s="123"/>
      <c r="T27" s="186" t="s">
        <v>4551</v>
      </c>
    </row>
    <row r="28" spans="1:20" ht="18.75" customHeight="1">
      <c r="A28" s="213"/>
      <c r="B28" s="213"/>
      <c r="C28" s="210"/>
      <c r="D28" s="210"/>
      <c r="E28" s="186" t="s">
        <v>55</v>
      </c>
      <c r="F28" s="186" t="s">
        <v>4552</v>
      </c>
      <c r="G28" s="186" t="s">
        <v>264</v>
      </c>
      <c r="H28" s="186" t="s">
        <v>243</v>
      </c>
      <c r="I28" s="186"/>
      <c r="J28" s="186">
        <v>26</v>
      </c>
      <c r="K28" s="186"/>
      <c r="L28" s="186"/>
      <c r="M28" s="186"/>
      <c r="N28" s="90"/>
      <c r="O28" s="90"/>
      <c r="P28" s="90"/>
      <c r="Q28" s="186"/>
      <c r="R28" s="289"/>
      <c r="S28" s="123"/>
      <c r="T28" s="186" t="s">
        <v>4553</v>
      </c>
    </row>
    <row r="29" spans="1:20" ht="18.75" customHeight="1">
      <c r="A29" s="213"/>
      <c r="B29" s="213"/>
      <c r="C29" s="210"/>
      <c r="D29" s="210"/>
      <c r="E29" s="186" t="s">
        <v>55</v>
      </c>
      <c r="F29" s="186" t="s">
        <v>4554</v>
      </c>
      <c r="G29" s="186" t="s">
        <v>432</v>
      </c>
      <c r="H29" s="186" t="s">
        <v>243</v>
      </c>
      <c r="I29" s="186"/>
      <c r="J29" s="186">
        <v>27</v>
      </c>
      <c r="K29" s="186"/>
      <c r="L29" s="186"/>
      <c r="M29" s="186"/>
      <c r="N29" s="90"/>
      <c r="O29" s="90"/>
      <c r="P29" s="90"/>
      <c r="Q29" s="186"/>
      <c r="R29" s="289"/>
      <c r="S29" s="123"/>
      <c r="T29" s="186" t="s">
        <v>4555</v>
      </c>
    </row>
    <row r="30" spans="1:20" ht="18.75" customHeight="1">
      <c r="A30" s="213"/>
      <c r="B30" s="213"/>
      <c r="C30" s="210"/>
      <c r="D30" s="210"/>
      <c r="E30" s="186" t="s">
        <v>55</v>
      </c>
      <c r="F30" s="186" t="s">
        <v>4556</v>
      </c>
      <c r="G30" s="186" t="s">
        <v>264</v>
      </c>
      <c r="H30" s="186" t="s">
        <v>243</v>
      </c>
      <c r="I30" s="186"/>
      <c r="J30" s="186">
        <v>28</v>
      </c>
      <c r="K30" s="186"/>
      <c r="L30" s="186"/>
      <c r="M30" s="186"/>
      <c r="N30" s="90"/>
      <c r="O30" s="90"/>
      <c r="P30" s="90"/>
      <c r="Q30" s="186"/>
      <c r="R30" s="289"/>
      <c r="S30" s="123"/>
      <c r="T30" s="186" t="s">
        <v>4557</v>
      </c>
    </row>
    <row r="31" spans="1:20" ht="18.75" customHeight="1">
      <c r="A31" s="213"/>
      <c r="B31" s="213"/>
      <c r="C31" s="210"/>
      <c r="D31" s="210"/>
      <c r="E31" s="186" t="s">
        <v>55</v>
      </c>
      <c r="F31" s="186" t="s">
        <v>4558</v>
      </c>
      <c r="G31" s="186" t="s">
        <v>247</v>
      </c>
      <c r="H31" s="186" t="s">
        <v>243</v>
      </c>
      <c r="I31" s="186"/>
      <c r="J31" s="186">
        <v>29</v>
      </c>
      <c r="K31" s="186"/>
      <c r="L31" s="186"/>
      <c r="M31" s="186"/>
      <c r="N31" s="90"/>
      <c r="O31" s="90"/>
      <c r="P31" s="90"/>
      <c r="Q31" s="186"/>
      <c r="R31" s="289"/>
      <c r="S31" s="123"/>
      <c r="T31" s="186" t="s">
        <v>4559</v>
      </c>
    </row>
    <row r="32" spans="1:20" ht="18.75" customHeight="1">
      <c r="A32" s="213"/>
      <c r="B32" s="213"/>
      <c r="C32" s="210"/>
      <c r="D32" s="210"/>
      <c r="E32" s="186" t="s">
        <v>55</v>
      </c>
      <c r="F32" s="186" t="s">
        <v>4560</v>
      </c>
      <c r="G32" s="186" t="s">
        <v>247</v>
      </c>
      <c r="H32" s="186" t="s">
        <v>243</v>
      </c>
      <c r="I32" s="186"/>
      <c r="J32" s="186">
        <v>30</v>
      </c>
      <c r="K32" s="186"/>
      <c r="L32" s="186"/>
      <c r="M32" s="186"/>
      <c r="N32" s="90"/>
      <c r="O32" s="90"/>
      <c r="P32" s="90"/>
      <c r="Q32" s="186"/>
      <c r="R32" s="289"/>
      <c r="S32" s="123"/>
      <c r="T32" s="186" t="s">
        <v>4561</v>
      </c>
    </row>
    <row r="33" spans="1:20" ht="18.75" customHeight="1">
      <c r="A33" s="213"/>
      <c r="B33" s="213"/>
      <c r="C33" s="210"/>
      <c r="D33" s="210"/>
      <c r="E33" s="186" t="s">
        <v>55</v>
      </c>
      <c r="F33" s="186" t="s">
        <v>4562</v>
      </c>
      <c r="G33" s="186" t="s">
        <v>264</v>
      </c>
      <c r="H33" s="186" t="s">
        <v>243</v>
      </c>
      <c r="I33" s="186"/>
      <c r="J33" s="186">
        <v>31</v>
      </c>
      <c r="K33" s="186"/>
      <c r="L33" s="186"/>
      <c r="M33" s="186"/>
      <c r="N33" s="90"/>
      <c r="O33" s="90"/>
      <c r="P33" s="90"/>
      <c r="Q33" s="186"/>
      <c r="R33" s="289"/>
      <c r="S33" s="123"/>
      <c r="T33" s="186" t="s">
        <v>4563</v>
      </c>
    </row>
    <row r="34" spans="1:20" ht="18.75" customHeight="1">
      <c r="A34" s="213"/>
      <c r="B34" s="213"/>
      <c r="C34" s="210"/>
      <c r="D34" s="210"/>
      <c r="E34" s="186" t="s">
        <v>55</v>
      </c>
      <c r="F34" s="186" t="s">
        <v>4564</v>
      </c>
      <c r="G34" s="186" t="s">
        <v>247</v>
      </c>
      <c r="H34" s="186" t="s">
        <v>243</v>
      </c>
      <c r="I34" s="186"/>
      <c r="J34" s="186">
        <v>32</v>
      </c>
      <c r="K34" s="186"/>
      <c r="L34" s="186"/>
      <c r="M34" s="186"/>
      <c r="N34" s="90"/>
      <c r="O34" s="90"/>
      <c r="P34" s="90"/>
      <c r="Q34" s="186"/>
      <c r="R34" s="289"/>
      <c r="S34" s="123"/>
      <c r="T34" s="186" t="s">
        <v>4565</v>
      </c>
    </row>
    <row r="35" spans="1:20" ht="18.75" customHeight="1">
      <c r="A35" s="213"/>
      <c r="B35" s="213"/>
      <c r="C35" s="210"/>
      <c r="D35" s="210"/>
      <c r="E35" s="186" t="s">
        <v>55</v>
      </c>
      <c r="F35" s="186" t="s">
        <v>4566</v>
      </c>
      <c r="G35" s="186" t="s">
        <v>329</v>
      </c>
      <c r="H35" s="186" t="s">
        <v>243</v>
      </c>
      <c r="I35" s="186"/>
      <c r="J35" s="186">
        <v>33</v>
      </c>
      <c r="K35" s="186"/>
      <c r="L35" s="186"/>
      <c r="M35" s="186"/>
      <c r="N35" s="90"/>
      <c r="O35" s="90"/>
      <c r="P35" s="90"/>
      <c r="Q35" s="186"/>
      <c r="R35" s="289"/>
      <c r="S35" s="123"/>
      <c r="T35" s="186" t="s">
        <v>4567</v>
      </c>
    </row>
    <row r="36" spans="1:20" ht="18.75" customHeight="1">
      <c r="A36" s="213"/>
      <c r="B36" s="213"/>
      <c r="C36" s="210"/>
      <c r="D36" s="210"/>
      <c r="E36" s="186" t="s">
        <v>55</v>
      </c>
      <c r="F36" s="186" t="s">
        <v>4568</v>
      </c>
      <c r="G36" s="186" t="s">
        <v>4525</v>
      </c>
      <c r="H36" s="186" t="s">
        <v>243</v>
      </c>
      <c r="I36" s="186"/>
      <c r="J36" s="186">
        <v>34</v>
      </c>
      <c r="K36" s="186"/>
      <c r="L36" s="186"/>
      <c r="M36" s="186"/>
      <c r="N36" s="90"/>
      <c r="O36" s="90"/>
      <c r="P36" s="90"/>
      <c r="Q36" s="186"/>
      <c r="R36" s="289"/>
      <c r="S36" s="123"/>
      <c r="T36" s="186" t="s">
        <v>4569</v>
      </c>
    </row>
    <row r="37" spans="1:20" ht="18.75" customHeight="1">
      <c r="A37" s="213"/>
      <c r="B37" s="213"/>
      <c r="C37" s="210"/>
      <c r="D37" s="210"/>
      <c r="E37" s="186" t="s">
        <v>55</v>
      </c>
      <c r="F37" s="186" t="s">
        <v>4570</v>
      </c>
      <c r="G37" s="186" t="s">
        <v>247</v>
      </c>
      <c r="H37" s="186" t="s">
        <v>243</v>
      </c>
      <c r="I37" s="186"/>
      <c r="J37" s="186">
        <v>35</v>
      </c>
      <c r="K37" s="186"/>
      <c r="L37" s="186"/>
      <c r="M37" s="186"/>
      <c r="N37" s="90"/>
      <c r="O37" s="90"/>
      <c r="P37" s="90"/>
      <c r="Q37" s="186"/>
      <c r="R37" s="289"/>
      <c r="S37" s="123"/>
      <c r="T37" s="186" t="s">
        <v>4571</v>
      </c>
    </row>
    <row r="38" spans="1:20" ht="18.75" customHeight="1">
      <c r="A38" s="213"/>
      <c r="B38" s="213"/>
      <c r="C38" s="210"/>
      <c r="D38" s="210"/>
      <c r="E38" s="186" t="s">
        <v>55</v>
      </c>
      <c r="F38" s="186" t="s">
        <v>4572</v>
      </c>
      <c r="G38" s="186" t="s">
        <v>432</v>
      </c>
      <c r="H38" s="186" t="s">
        <v>243</v>
      </c>
      <c r="I38" s="186"/>
      <c r="J38" s="186">
        <v>36</v>
      </c>
      <c r="K38" s="186"/>
      <c r="L38" s="186"/>
      <c r="M38" s="186"/>
      <c r="N38" s="90"/>
      <c r="O38" s="90"/>
      <c r="P38" s="90"/>
      <c r="Q38" s="186"/>
      <c r="R38" s="289"/>
      <c r="S38" s="123"/>
      <c r="T38" s="186" t="s">
        <v>4573</v>
      </c>
    </row>
    <row r="39" spans="1:20" ht="18.75" customHeight="1">
      <c r="A39" s="213"/>
      <c r="B39" s="213"/>
      <c r="C39" s="210"/>
      <c r="D39" s="210"/>
      <c r="E39" s="186" t="s">
        <v>55</v>
      </c>
      <c r="F39" s="186" t="s">
        <v>4574</v>
      </c>
      <c r="G39" s="186" t="s">
        <v>432</v>
      </c>
      <c r="H39" s="186" t="s">
        <v>243</v>
      </c>
      <c r="I39" s="186"/>
      <c r="J39" s="186">
        <v>37</v>
      </c>
      <c r="K39" s="186"/>
      <c r="L39" s="186"/>
      <c r="M39" s="186"/>
      <c r="N39" s="90"/>
      <c r="O39" s="90"/>
      <c r="P39" s="90"/>
      <c r="Q39" s="186"/>
      <c r="R39" s="289"/>
      <c r="S39" s="123"/>
      <c r="T39" s="186" t="s">
        <v>4575</v>
      </c>
    </row>
    <row r="40" spans="1:20" ht="18.75" customHeight="1">
      <c r="A40" s="213"/>
      <c r="B40" s="213"/>
      <c r="C40" s="210"/>
      <c r="D40" s="210"/>
      <c r="E40" s="186" t="s">
        <v>55</v>
      </c>
      <c r="F40" s="186" t="s">
        <v>4576</v>
      </c>
      <c r="G40" s="186" t="s">
        <v>329</v>
      </c>
      <c r="H40" s="186" t="s">
        <v>243</v>
      </c>
      <c r="I40" s="186"/>
      <c r="J40" s="186">
        <v>38</v>
      </c>
      <c r="K40" s="186"/>
      <c r="L40" s="186"/>
      <c r="M40" s="186"/>
      <c r="N40" s="90"/>
      <c r="O40" s="90"/>
      <c r="P40" s="90"/>
      <c r="Q40" s="186"/>
      <c r="R40" s="289"/>
      <c r="S40" s="123"/>
      <c r="T40" s="186" t="s">
        <v>4577</v>
      </c>
    </row>
    <row r="41" spans="1:20" ht="18.75" customHeight="1">
      <c r="A41" s="213"/>
      <c r="B41" s="213"/>
      <c r="C41" s="210"/>
      <c r="D41" s="210"/>
      <c r="E41" s="186" t="s">
        <v>55</v>
      </c>
      <c r="F41" s="186" t="s">
        <v>4578</v>
      </c>
      <c r="G41" s="186" t="s">
        <v>247</v>
      </c>
      <c r="H41" s="186" t="s">
        <v>243</v>
      </c>
      <c r="I41" s="186"/>
      <c r="J41" s="186">
        <v>39</v>
      </c>
      <c r="K41" s="186"/>
      <c r="L41" s="186"/>
      <c r="M41" s="186"/>
      <c r="N41" s="90"/>
      <c r="O41" s="90"/>
      <c r="P41" s="90"/>
      <c r="Q41" s="186"/>
      <c r="R41" s="289"/>
      <c r="S41" s="123"/>
      <c r="T41" s="186" t="s">
        <v>4579</v>
      </c>
    </row>
    <row r="42" spans="1:20" ht="18.75" customHeight="1">
      <c r="A42" s="213"/>
      <c r="B42" s="213"/>
      <c r="C42" s="210"/>
      <c r="D42" s="210"/>
      <c r="E42" s="186" t="s">
        <v>55</v>
      </c>
      <c r="F42" s="186" t="s">
        <v>4580</v>
      </c>
      <c r="G42" s="186" t="s">
        <v>255</v>
      </c>
      <c r="H42" s="186" t="s">
        <v>243</v>
      </c>
      <c r="I42" s="186"/>
      <c r="J42" s="186">
        <v>40</v>
      </c>
      <c r="K42" s="186"/>
      <c r="L42" s="186"/>
      <c r="M42" s="186"/>
      <c r="N42" s="90"/>
      <c r="O42" s="90"/>
      <c r="P42" s="90"/>
      <c r="Q42" s="186"/>
      <c r="R42" s="289"/>
      <c r="S42" s="123"/>
      <c r="T42" s="186" t="s">
        <v>4581</v>
      </c>
    </row>
    <row r="43" spans="1:20" ht="18.75" customHeight="1">
      <c r="A43" s="213"/>
      <c r="B43" s="213"/>
      <c r="C43" s="210"/>
      <c r="D43" s="210"/>
      <c r="E43" s="186" t="s">
        <v>55</v>
      </c>
      <c r="F43" s="186" t="s">
        <v>4582</v>
      </c>
      <c r="G43" s="186" t="s">
        <v>329</v>
      </c>
      <c r="H43" s="186" t="s">
        <v>243</v>
      </c>
      <c r="I43" s="186"/>
      <c r="J43" s="186">
        <v>41</v>
      </c>
      <c r="K43" s="186"/>
      <c r="L43" s="186"/>
      <c r="M43" s="186"/>
      <c r="N43" s="90"/>
      <c r="O43" s="90"/>
      <c r="P43" s="90"/>
      <c r="Q43" s="186"/>
      <c r="R43" s="289"/>
      <c r="S43" s="123"/>
      <c r="T43" s="186" t="s">
        <v>4583</v>
      </c>
    </row>
    <row r="44" spans="1:20" ht="18.75" customHeight="1">
      <c r="A44" s="213"/>
      <c r="B44" s="213"/>
      <c r="C44" s="210"/>
      <c r="D44" s="210"/>
      <c r="E44" s="186" t="s">
        <v>55</v>
      </c>
      <c r="F44" s="186" t="s">
        <v>4584</v>
      </c>
      <c r="G44" s="186" t="s">
        <v>242</v>
      </c>
      <c r="H44" s="186" t="s">
        <v>243</v>
      </c>
      <c r="I44" s="186"/>
      <c r="J44" s="186">
        <v>42</v>
      </c>
      <c r="K44" s="186"/>
      <c r="L44" s="186"/>
      <c r="M44" s="186"/>
      <c r="N44" s="90"/>
      <c r="O44" s="90"/>
      <c r="P44" s="90"/>
      <c r="Q44" s="186"/>
      <c r="R44" s="289"/>
      <c r="S44" s="123"/>
      <c r="T44" s="186" t="s">
        <v>4585</v>
      </c>
    </row>
    <row r="45" spans="1:20" ht="18.75" customHeight="1">
      <c r="A45" s="213"/>
      <c r="B45" s="213"/>
      <c r="C45" s="210"/>
      <c r="D45" s="210"/>
      <c r="E45" s="186" t="s">
        <v>55</v>
      </c>
      <c r="F45" s="186" t="s">
        <v>4586</v>
      </c>
      <c r="G45" s="186" t="s">
        <v>329</v>
      </c>
      <c r="H45" s="186" t="s">
        <v>243</v>
      </c>
      <c r="I45" s="186"/>
      <c r="J45" s="186">
        <v>43</v>
      </c>
      <c r="K45" s="186"/>
      <c r="L45" s="186"/>
      <c r="M45" s="186"/>
      <c r="N45" s="90"/>
      <c r="O45" s="90"/>
      <c r="P45" s="90"/>
      <c r="Q45" s="186"/>
      <c r="R45" s="289"/>
      <c r="S45" s="123"/>
      <c r="T45" s="186" t="s">
        <v>4587</v>
      </c>
    </row>
    <row r="46" spans="1:20" ht="18.75" customHeight="1">
      <c r="A46" s="213"/>
      <c r="B46" s="213"/>
      <c r="C46" s="210"/>
      <c r="D46" s="210"/>
      <c r="E46" s="186" t="s">
        <v>55</v>
      </c>
      <c r="F46" s="186" t="s">
        <v>4588</v>
      </c>
      <c r="G46" s="186" t="s">
        <v>247</v>
      </c>
      <c r="H46" s="186" t="s">
        <v>243</v>
      </c>
      <c r="I46" s="186"/>
      <c r="J46" s="186">
        <v>44</v>
      </c>
      <c r="K46" s="186"/>
      <c r="L46" s="186"/>
      <c r="M46" s="186"/>
      <c r="N46" s="90"/>
      <c r="O46" s="90"/>
      <c r="P46" s="90"/>
      <c r="Q46" s="186"/>
      <c r="R46" s="289"/>
      <c r="S46" s="123"/>
      <c r="T46" s="186" t="s">
        <v>4589</v>
      </c>
    </row>
    <row r="47" spans="1:20" ht="18.75" customHeight="1">
      <c r="A47" s="213"/>
      <c r="B47" s="213"/>
      <c r="C47" s="210"/>
      <c r="D47" s="210"/>
      <c r="E47" s="186" t="s">
        <v>55</v>
      </c>
      <c r="F47" s="186" t="s">
        <v>4590</v>
      </c>
      <c r="G47" s="186" t="s">
        <v>264</v>
      </c>
      <c r="H47" s="186" t="s">
        <v>243</v>
      </c>
      <c r="I47" s="186"/>
      <c r="J47" s="186">
        <v>45</v>
      </c>
      <c r="K47" s="186"/>
      <c r="L47" s="186"/>
      <c r="M47" s="186"/>
      <c r="N47" s="90"/>
      <c r="O47" s="90"/>
      <c r="P47" s="90"/>
      <c r="Q47" s="186"/>
      <c r="R47" s="289"/>
      <c r="S47" s="123"/>
      <c r="T47" s="186" t="s">
        <v>4591</v>
      </c>
    </row>
    <row r="48" spans="1:20" ht="18.75" customHeight="1">
      <c r="A48" s="213"/>
      <c r="B48" s="213"/>
      <c r="C48" s="210"/>
      <c r="D48" s="210"/>
      <c r="E48" s="186" t="s">
        <v>55</v>
      </c>
      <c r="F48" s="186" t="s">
        <v>4592</v>
      </c>
      <c r="G48" s="186" t="s">
        <v>329</v>
      </c>
      <c r="H48" s="186" t="s">
        <v>243</v>
      </c>
      <c r="I48" s="186"/>
      <c r="J48" s="186">
        <v>46</v>
      </c>
      <c r="K48" s="186"/>
      <c r="L48" s="186"/>
      <c r="M48" s="186"/>
      <c r="N48" s="90"/>
      <c r="O48" s="90"/>
      <c r="P48" s="90"/>
      <c r="Q48" s="186"/>
      <c r="R48" s="289"/>
      <c r="S48" s="123"/>
      <c r="T48" s="186" t="s">
        <v>4593</v>
      </c>
    </row>
    <row r="49" spans="1:20" ht="18.75" customHeight="1">
      <c r="A49" s="213"/>
      <c r="B49" s="213"/>
      <c r="C49" s="210"/>
      <c r="D49" s="210"/>
      <c r="E49" s="186" t="s">
        <v>55</v>
      </c>
      <c r="F49" s="186" t="s">
        <v>4594</v>
      </c>
      <c r="G49" s="186" t="s">
        <v>329</v>
      </c>
      <c r="H49" s="186" t="s">
        <v>243</v>
      </c>
      <c r="I49" s="186"/>
      <c r="J49" s="186">
        <v>47</v>
      </c>
      <c r="K49" s="186"/>
      <c r="L49" s="186"/>
      <c r="M49" s="186"/>
      <c r="N49" s="90"/>
      <c r="O49" s="90"/>
      <c r="P49" s="90"/>
      <c r="Q49" s="186"/>
      <c r="R49" s="289"/>
      <c r="S49" s="123"/>
      <c r="T49" s="186" t="s">
        <v>4595</v>
      </c>
    </row>
    <row r="50" spans="1:20" ht="18.75" customHeight="1">
      <c r="A50" s="213"/>
      <c r="B50" s="213"/>
      <c r="C50" s="210"/>
      <c r="D50" s="210"/>
      <c r="E50" s="186" t="s">
        <v>55</v>
      </c>
      <c r="F50" s="186" t="s">
        <v>4596</v>
      </c>
      <c r="G50" s="186" t="s">
        <v>329</v>
      </c>
      <c r="H50" s="186" t="s">
        <v>243</v>
      </c>
      <c r="I50" s="186"/>
      <c r="J50" s="186">
        <v>48</v>
      </c>
      <c r="K50" s="186"/>
      <c r="L50" s="186"/>
      <c r="M50" s="186"/>
      <c r="N50" s="90"/>
      <c r="O50" s="90"/>
      <c r="P50" s="90"/>
      <c r="Q50" s="186"/>
      <c r="R50" s="289"/>
      <c r="S50" s="123"/>
      <c r="T50" s="186" t="s">
        <v>4597</v>
      </c>
    </row>
    <row r="51" spans="1:20" ht="18.75" customHeight="1">
      <c r="A51" s="213"/>
      <c r="B51" s="213"/>
      <c r="C51" s="210"/>
      <c r="D51" s="210"/>
      <c r="E51" s="186" t="s">
        <v>55</v>
      </c>
      <c r="F51" s="186" t="s">
        <v>353</v>
      </c>
      <c r="G51" s="186" t="s">
        <v>247</v>
      </c>
      <c r="H51" s="186" t="s">
        <v>243</v>
      </c>
      <c r="I51" s="186"/>
      <c r="J51" s="186">
        <v>49</v>
      </c>
      <c r="K51" s="186"/>
      <c r="L51" s="186"/>
      <c r="M51" s="186"/>
      <c r="N51" s="90"/>
      <c r="O51" s="90"/>
      <c r="P51" s="90"/>
      <c r="Q51" s="186"/>
      <c r="R51" s="289"/>
      <c r="S51" s="123"/>
      <c r="T51" s="186" t="s">
        <v>4598</v>
      </c>
    </row>
    <row r="52" spans="1:20" ht="18.75" customHeight="1">
      <c r="A52" s="213"/>
      <c r="B52" s="213"/>
      <c r="C52" s="210"/>
      <c r="D52" s="210"/>
      <c r="E52" s="186" t="s">
        <v>55</v>
      </c>
      <c r="F52" s="186" t="s">
        <v>4599</v>
      </c>
      <c r="G52" s="186" t="s">
        <v>264</v>
      </c>
      <c r="H52" s="186" t="s">
        <v>243</v>
      </c>
      <c r="I52" s="186"/>
      <c r="J52" s="186">
        <v>50</v>
      </c>
      <c r="K52" s="186"/>
      <c r="L52" s="186"/>
      <c r="M52" s="186"/>
      <c r="N52" s="90"/>
      <c r="O52" s="90"/>
      <c r="P52" s="90"/>
      <c r="Q52" s="186"/>
      <c r="R52" s="289"/>
      <c r="S52" s="123"/>
      <c r="T52" s="186" t="s">
        <v>4600</v>
      </c>
    </row>
    <row r="53" spans="1:20" ht="18.75" customHeight="1">
      <c r="A53" s="213"/>
      <c r="B53" s="213"/>
      <c r="C53" s="210"/>
      <c r="D53" s="210"/>
      <c r="E53" s="186" t="s">
        <v>55</v>
      </c>
      <c r="F53" s="186" t="s">
        <v>4601</v>
      </c>
      <c r="G53" s="186" t="s">
        <v>329</v>
      </c>
      <c r="H53" s="186" t="s">
        <v>243</v>
      </c>
      <c r="I53" s="186"/>
      <c r="J53" s="186">
        <v>51</v>
      </c>
      <c r="K53" s="186"/>
      <c r="L53" s="186"/>
      <c r="M53" s="186"/>
      <c r="N53" s="90"/>
      <c r="O53" s="90"/>
      <c r="P53" s="90"/>
      <c r="Q53" s="186"/>
      <c r="R53" s="289"/>
      <c r="S53" s="123"/>
      <c r="T53" s="186" t="s">
        <v>4602</v>
      </c>
    </row>
    <row r="54" spans="1:20" ht="18.75" customHeight="1">
      <c r="A54" s="213"/>
      <c r="B54" s="213"/>
      <c r="C54" s="210"/>
      <c r="D54" s="210"/>
      <c r="E54" s="186" t="s">
        <v>55</v>
      </c>
      <c r="F54" s="186" t="s">
        <v>4603</v>
      </c>
      <c r="G54" s="186" t="s">
        <v>4525</v>
      </c>
      <c r="H54" s="186" t="s">
        <v>243</v>
      </c>
      <c r="I54" s="186"/>
      <c r="J54" s="186">
        <v>52</v>
      </c>
      <c r="K54" s="186"/>
      <c r="L54" s="186"/>
      <c r="M54" s="186"/>
      <c r="N54" s="90"/>
      <c r="O54" s="90"/>
      <c r="P54" s="90"/>
      <c r="Q54" s="186"/>
      <c r="R54" s="289"/>
      <c r="S54" s="123"/>
      <c r="T54" s="186" t="s">
        <v>4604</v>
      </c>
    </row>
    <row r="55" spans="1:20" ht="18.75" customHeight="1">
      <c r="A55" s="213"/>
      <c r="B55" s="213"/>
      <c r="C55" s="210"/>
      <c r="D55" s="210"/>
      <c r="E55" s="186" t="s">
        <v>55</v>
      </c>
      <c r="F55" s="186" t="s">
        <v>4605</v>
      </c>
      <c r="G55" s="186" t="s">
        <v>429</v>
      </c>
      <c r="H55" s="186" t="s">
        <v>243</v>
      </c>
      <c r="I55" s="186"/>
      <c r="J55" s="186">
        <v>53</v>
      </c>
      <c r="K55" s="186"/>
      <c r="L55" s="186"/>
      <c r="M55" s="186"/>
      <c r="N55" s="90"/>
      <c r="O55" s="90"/>
      <c r="P55" s="90"/>
      <c r="Q55" s="186"/>
      <c r="R55" s="289"/>
      <c r="S55" s="123"/>
      <c r="T55" s="186" t="s">
        <v>4606</v>
      </c>
    </row>
    <row r="56" spans="1:20" ht="18.75" customHeight="1">
      <c r="A56" s="213"/>
      <c r="B56" s="213"/>
      <c r="C56" s="210"/>
      <c r="D56" s="210"/>
      <c r="E56" s="186" t="s">
        <v>55</v>
      </c>
      <c r="F56" s="186" t="s">
        <v>4607</v>
      </c>
      <c r="G56" s="186" t="s">
        <v>247</v>
      </c>
      <c r="H56" s="186" t="s">
        <v>243</v>
      </c>
      <c r="I56" s="186"/>
      <c r="J56" s="186">
        <v>54</v>
      </c>
      <c r="K56" s="186"/>
      <c r="L56" s="186"/>
      <c r="M56" s="186"/>
      <c r="N56" s="90"/>
      <c r="O56" s="90"/>
      <c r="P56" s="90"/>
      <c r="Q56" s="186"/>
      <c r="R56" s="289"/>
      <c r="S56" s="123"/>
      <c r="T56" s="186" t="s">
        <v>4608</v>
      </c>
    </row>
    <row r="57" spans="1:20" ht="18.75" customHeight="1">
      <c r="A57" s="213"/>
      <c r="B57" s="213"/>
      <c r="C57" s="210"/>
      <c r="D57" s="210"/>
      <c r="E57" s="186" t="s">
        <v>55</v>
      </c>
      <c r="F57" s="186" t="s">
        <v>4609</v>
      </c>
      <c r="G57" s="186" t="s">
        <v>247</v>
      </c>
      <c r="H57" s="186" t="s">
        <v>243</v>
      </c>
      <c r="I57" s="186"/>
      <c r="J57" s="186">
        <v>55</v>
      </c>
      <c r="K57" s="186"/>
      <c r="L57" s="186"/>
      <c r="M57" s="186"/>
      <c r="N57" s="90"/>
      <c r="O57" s="90"/>
      <c r="P57" s="90"/>
      <c r="Q57" s="186"/>
      <c r="R57" s="289"/>
      <c r="S57" s="123"/>
      <c r="T57" s="186" t="s">
        <v>4610</v>
      </c>
    </row>
    <row r="58" spans="1:20" ht="18.75" customHeight="1">
      <c r="A58" s="213"/>
      <c r="B58" s="213"/>
      <c r="C58" s="210"/>
      <c r="D58" s="210"/>
      <c r="E58" s="186" t="s">
        <v>55</v>
      </c>
      <c r="F58" s="186" t="s">
        <v>4611</v>
      </c>
      <c r="G58" s="186" t="s">
        <v>432</v>
      </c>
      <c r="H58" s="186" t="s">
        <v>243</v>
      </c>
      <c r="I58" s="186"/>
      <c r="J58" s="186">
        <v>56</v>
      </c>
      <c r="K58" s="186"/>
      <c r="L58" s="186"/>
      <c r="M58" s="186"/>
      <c r="N58" s="90"/>
      <c r="O58" s="90"/>
      <c r="P58" s="90"/>
      <c r="Q58" s="186"/>
      <c r="R58" s="289"/>
      <c r="S58" s="123"/>
      <c r="T58" s="186" t="s">
        <v>4612</v>
      </c>
    </row>
    <row r="59" spans="1:20" ht="18.75" customHeight="1">
      <c r="A59" s="213"/>
      <c r="B59" s="213"/>
      <c r="C59" s="210"/>
      <c r="D59" s="210"/>
      <c r="E59" s="186" t="s">
        <v>55</v>
      </c>
      <c r="F59" s="186" t="s">
        <v>4613</v>
      </c>
      <c r="G59" s="186" t="s">
        <v>432</v>
      </c>
      <c r="H59" s="186" t="s">
        <v>243</v>
      </c>
      <c r="I59" s="186"/>
      <c r="J59" s="186">
        <v>57</v>
      </c>
      <c r="K59" s="186"/>
      <c r="L59" s="186"/>
      <c r="M59" s="186"/>
      <c r="N59" s="90"/>
      <c r="O59" s="90"/>
      <c r="P59" s="90"/>
      <c r="Q59" s="186"/>
      <c r="R59" s="289"/>
      <c r="S59" s="123"/>
      <c r="T59" s="186" t="s">
        <v>4614</v>
      </c>
    </row>
    <row r="60" spans="1:20" ht="18.75" customHeight="1">
      <c r="A60" s="213"/>
      <c r="B60" s="213"/>
      <c r="C60" s="210"/>
      <c r="D60" s="210"/>
      <c r="E60" s="186" t="s">
        <v>55</v>
      </c>
      <c r="F60" s="186" t="s">
        <v>4615</v>
      </c>
      <c r="G60" s="186" t="s">
        <v>247</v>
      </c>
      <c r="H60" s="186" t="s">
        <v>243</v>
      </c>
      <c r="I60" s="186"/>
      <c r="J60" s="186">
        <v>58</v>
      </c>
      <c r="K60" s="186"/>
      <c r="L60" s="186"/>
      <c r="M60" s="186"/>
      <c r="N60" s="90"/>
      <c r="O60" s="90"/>
      <c r="P60" s="90"/>
      <c r="Q60" s="186"/>
      <c r="R60" s="289"/>
      <c r="S60" s="123"/>
      <c r="T60" s="186" t="s">
        <v>4616</v>
      </c>
    </row>
    <row r="61" spans="1:20" ht="18.75" customHeight="1">
      <c r="A61" s="213"/>
      <c r="B61" s="213"/>
      <c r="C61" s="210"/>
      <c r="D61" s="210"/>
      <c r="E61" s="186" t="s">
        <v>55</v>
      </c>
      <c r="F61" s="186" t="s">
        <v>4617</v>
      </c>
      <c r="G61" s="186" t="s">
        <v>324</v>
      </c>
      <c r="H61" s="186" t="s">
        <v>243</v>
      </c>
      <c r="I61" s="186"/>
      <c r="J61" s="186">
        <v>59</v>
      </c>
      <c r="K61" s="186"/>
      <c r="L61" s="186"/>
      <c r="M61" s="186"/>
      <c r="N61" s="90"/>
      <c r="O61" s="90"/>
      <c r="P61" s="90"/>
      <c r="Q61" s="186"/>
      <c r="R61" s="289"/>
      <c r="S61" s="123"/>
      <c r="T61" s="186" t="s">
        <v>4618</v>
      </c>
    </row>
    <row r="62" spans="1:20" ht="18.75" customHeight="1">
      <c r="A62" s="213"/>
      <c r="B62" s="213"/>
      <c r="C62" s="210"/>
      <c r="D62" s="210"/>
      <c r="E62" s="186" t="s">
        <v>55</v>
      </c>
      <c r="F62" s="186" t="s">
        <v>4619</v>
      </c>
      <c r="G62" s="186" t="s">
        <v>252</v>
      </c>
      <c r="H62" s="186" t="s">
        <v>243</v>
      </c>
      <c r="I62" s="186"/>
      <c r="J62" s="186">
        <v>60</v>
      </c>
      <c r="K62" s="186"/>
      <c r="L62" s="186"/>
      <c r="M62" s="186"/>
      <c r="N62" s="90"/>
      <c r="O62" s="90"/>
      <c r="P62" s="90"/>
      <c r="Q62" s="186"/>
      <c r="R62" s="289"/>
      <c r="S62" s="123"/>
      <c r="T62" s="186" t="s">
        <v>4620</v>
      </c>
    </row>
    <row r="63" spans="1:20" ht="18.75" customHeight="1">
      <c r="A63" s="213"/>
      <c r="B63" s="213"/>
      <c r="C63" s="210"/>
      <c r="D63" s="210"/>
      <c r="E63" s="186" t="s">
        <v>55</v>
      </c>
      <c r="F63" s="186" t="s">
        <v>4621</v>
      </c>
      <c r="G63" s="186" t="s">
        <v>247</v>
      </c>
      <c r="H63" s="186" t="s">
        <v>243</v>
      </c>
      <c r="I63" s="186"/>
      <c r="J63" s="186">
        <v>61</v>
      </c>
      <c r="K63" s="186"/>
      <c r="L63" s="186"/>
      <c r="M63" s="186"/>
      <c r="N63" s="90"/>
      <c r="O63" s="90"/>
      <c r="P63" s="90"/>
      <c r="Q63" s="186"/>
      <c r="R63" s="122"/>
      <c r="S63" s="123"/>
      <c r="T63" s="186" t="s">
        <v>4622</v>
      </c>
    </row>
    <row r="64" spans="1:20" ht="18.75" customHeight="1">
      <c r="A64" s="213"/>
      <c r="B64" s="213"/>
      <c r="C64" s="210"/>
      <c r="D64" s="210"/>
      <c r="E64" s="186" t="s">
        <v>55</v>
      </c>
      <c r="F64" s="186" t="s">
        <v>4623</v>
      </c>
      <c r="G64" s="186" t="s">
        <v>247</v>
      </c>
      <c r="H64" s="186" t="s">
        <v>243</v>
      </c>
      <c r="I64" s="186"/>
      <c r="J64" s="186">
        <v>62</v>
      </c>
      <c r="K64" s="186"/>
      <c r="L64" s="186"/>
      <c r="M64" s="186"/>
      <c r="N64" s="90"/>
      <c r="O64" s="90"/>
      <c r="P64" s="90"/>
      <c r="Q64" s="186"/>
      <c r="R64" s="122"/>
      <c r="S64" s="123"/>
      <c r="T64" s="186" t="s">
        <v>4624</v>
      </c>
    </row>
    <row r="65" spans="1:20" ht="18.75" customHeight="1">
      <c r="A65" s="213"/>
      <c r="B65" s="213"/>
      <c r="C65" s="210"/>
      <c r="D65" s="210"/>
      <c r="E65" s="186" t="s">
        <v>55</v>
      </c>
      <c r="F65" s="186" t="s">
        <v>4625</v>
      </c>
      <c r="G65" s="186" t="s">
        <v>432</v>
      </c>
      <c r="H65" s="186" t="s">
        <v>243</v>
      </c>
      <c r="I65" s="186"/>
      <c r="J65" s="186">
        <v>63</v>
      </c>
      <c r="K65" s="186"/>
      <c r="L65" s="186"/>
      <c r="M65" s="186"/>
      <c r="N65" s="90"/>
      <c r="O65" s="90"/>
      <c r="P65" s="90"/>
      <c r="Q65" s="186"/>
      <c r="R65" s="122"/>
      <c r="S65" s="123"/>
      <c r="T65" s="186" t="s">
        <v>4620</v>
      </c>
    </row>
    <row r="66" spans="1:20" ht="18.75" customHeight="1">
      <c r="A66" s="213"/>
      <c r="B66" s="213"/>
      <c r="C66" s="210"/>
      <c r="D66" s="210"/>
      <c r="E66" s="186" t="s">
        <v>55</v>
      </c>
      <c r="F66" s="186" t="s">
        <v>4626</v>
      </c>
      <c r="G66" s="186" t="s">
        <v>324</v>
      </c>
      <c r="H66" s="186" t="s">
        <v>243</v>
      </c>
      <c r="I66" s="186"/>
      <c r="J66" s="186">
        <v>64</v>
      </c>
      <c r="K66" s="186"/>
      <c r="L66" s="186"/>
      <c r="M66" s="186"/>
      <c r="N66" s="90"/>
      <c r="O66" s="90"/>
      <c r="P66" s="90"/>
      <c r="Q66" s="186"/>
      <c r="R66" s="122"/>
      <c r="S66" s="123"/>
      <c r="T66" s="186" t="s">
        <v>4627</v>
      </c>
    </row>
    <row r="67" spans="1:20" ht="18.75" customHeight="1">
      <c r="A67" s="213"/>
      <c r="B67" s="213"/>
      <c r="C67" s="210"/>
      <c r="D67" s="210"/>
      <c r="E67" s="186" t="s">
        <v>55</v>
      </c>
      <c r="F67" s="186" t="s">
        <v>4628</v>
      </c>
      <c r="G67" s="186" t="s">
        <v>329</v>
      </c>
      <c r="H67" s="186" t="s">
        <v>243</v>
      </c>
      <c r="I67" s="186"/>
      <c r="J67" s="186">
        <v>65</v>
      </c>
      <c r="K67" s="186"/>
      <c r="L67" s="186"/>
      <c r="M67" s="186"/>
      <c r="N67" s="90"/>
      <c r="O67" s="90"/>
      <c r="P67" s="90"/>
      <c r="Q67" s="186"/>
      <c r="R67" s="122"/>
      <c r="S67" s="123"/>
      <c r="T67" s="186" t="s">
        <v>4629</v>
      </c>
    </row>
    <row r="68" spans="1:20" ht="18.75" customHeight="1">
      <c r="A68" s="213"/>
      <c r="B68" s="213"/>
      <c r="C68" s="210"/>
      <c r="D68" s="210"/>
      <c r="E68" s="186" t="s">
        <v>55</v>
      </c>
      <c r="F68" s="186" t="s">
        <v>4630</v>
      </c>
      <c r="G68" s="186" t="s">
        <v>264</v>
      </c>
      <c r="H68" s="186" t="s">
        <v>243</v>
      </c>
      <c r="I68" s="186"/>
      <c r="J68" s="186">
        <v>66</v>
      </c>
      <c r="K68" s="186"/>
      <c r="L68" s="186"/>
      <c r="M68" s="186"/>
      <c r="N68" s="90"/>
      <c r="O68" s="90"/>
      <c r="P68" s="90"/>
      <c r="Q68" s="186"/>
      <c r="R68" s="122"/>
      <c r="S68" s="123"/>
      <c r="T68" s="186" t="s">
        <v>4631</v>
      </c>
    </row>
    <row r="69" spans="1:20" ht="18.75" customHeight="1">
      <c r="A69" s="213"/>
      <c r="B69" s="213"/>
      <c r="C69" s="210"/>
      <c r="D69" s="210"/>
      <c r="E69" s="186" t="s">
        <v>55</v>
      </c>
      <c r="F69" s="186" t="s">
        <v>4632</v>
      </c>
      <c r="G69" s="186" t="s">
        <v>255</v>
      </c>
      <c r="H69" s="186" t="s">
        <v>243</v>
      </c>
      <c r="I69" s="186"/>
      <c r="J69" s="186">
        <v>67</v>
      </c>
      <c r="K69" s="186"/>
      <c r="L69" s="186"/>
      <c r="M69" s="186"/>
      <c r="N69" s="90"/>
      <c r="O69" s="90"/>
      <c r="P69" s="90"/>
      <c r="Q69" s="186"/>
      <c r="R69" s="122"/>
      <c r="S69" s="123"/>
      <c r="T69" s="186" t="s">
        <v>4633</v>
      </c>
    </row>
    <row r="70" spans="1:20" ht="18.75" customHeight="1">
      <c r="A70" s="213"/>
      <c r="B70" s="213"/>
      <c r="C70" s="210"/>
      <c r="D70" s="210"/>
      <c r="E70" s="186" t="s">
        <v>55</v>
      </c>
      <c r="F70" s="186" t="s">
        <v>4634</v>
      </c>
      <c r="G70" s="186" t="s">
        <v>242</v>
      </c>
      <c r="H70" s="186" t="s">
        <v>243</v>
      </c>
      <c r="I70" s="186"/>
      <c r="J70" s="186">
        <v>68</v>
      </c>
      <c r="K70" s="186"/>
      <c r="L70" s="186"/>
      <c r="M70" s="186"/>
      <c r="N70" s="90"/>
      <c r="O70" s="90"/>
      <c r="P70" s="90"/>
      <c r="Q70" s="186"/>
      <c r="R70" s="122"/>
      <c r="S70" s="123"/>
      <c r="T70" s="186" t="s">
        <v>4635</v>
      </c>
    </row>
    <row r="71" spans="1:20" ht="18.75" customHeight="1">
      <c r="A71" s="213"/>
      <c r="B71" s="213"/>
      <c r="C71" s="210"/>
      <c r="D71" s="210"/>
      <c r="E71" s="186" t="s">
        <v>55</v>
      </c>
      <c r="F71" s="186" t="s">
        <v>4636</v>
      </c>
      <c r="G71" s="186" t="s">
        <v>255</v>
      </c>
      <c r="H71" s="186" t="s">
        <v>243</v>
      </c>
      <c r="I71" s="186"/>
      <c r="J71" s="186">
        <v>69</v>
      </c>
      <c r="K71" s="186"/>
      <c r="L71" s="186"/>
      <c r="M71" s="186"/>
      <c r="N71" s="90"/>
      <c r="O71" s="90"/>
      <c r="P71" s="90"/>
      <c r="Q71" s="186"/>
      <c r="R71" s="122"/>
      <c r="S71" s="123"/>
      <c r="T71" s="186" t="s">
        <v>4637</v>
      </c>
    </row>
    <row r="72" spans="1:20" ht="18.75" customHeight="1">
      <c r="A72" s="213"/>
      <c r="B72" s="213"/>
      <c r="C72" s="210"/>
      <c r="D72" s="210"/>
      <c r="E72" s="186" t="s">
        <v>55</v>
      </c>
      <c r="F72" s="186" t="s">
        <v>4638</v>
      </c>
      <c r="G72" s="186" t="s">
        <v>242</v>
      </c>
      <c r="H72" s="186" t="s">
        <v>243</v>
      </c>
      <c r="I72" s="186"/>
      <c r="J72" s="186">
        <v>70</v>
      </c>
      <c r="K72" s="186"/>
      <c r="L72" s="186"/>
      <c r="M72" s="186"/>
      <c r="N72" s="90"/>
      <c r="O72" s="90"/>
      <c r="P72" s="90"/>
      <c r="Q72" s="186"/>
      <c r="R72" s="122"/>
      <c r="S72" s="123"/>
      <c r="T72" s="186" t="s">
        <v>4639</v>
      </c>
    </row>
    <row r="73" spans="1:20" ht="18.75" customHeight="1">
      <c r="A73" s="213"/>
      <c r="B73" s="213"/>
      <c r="C73" s="210"/>
      <c r="D73" s="210"/>
      <c r="E73" s="186" t="s">
        <v>55</v>
      </c>
      <c r="F73" s="186" t="s">
        <v>4640</v>
      </c>
      <c r="G73" s="186" t="s">
        <v>432</v>
      </c>
      <c r="H73" s="186" t="s">
        <v>243</v>
      </c>
      <c r="I73" s="186"/>
      <c r="J73" s="186">
        <v>71</v>
      </c>
      <c r="K73" s="186"/>
      <c r="L73" s="186"/>
      <c r="M73" s="186"/>
      <c r="N73" s="90"/>
      <c r="O73" s="90"/>
      <c r="P73" s="90"/>
      <c r="Q73" s="186"/>
      <c r="R73" s="122"/>
      <c r="S73" s="123"/>
      <c r="T73" s="186" t="s">
        <v>4641</v>
      </c>
    </row>
    <row r="74" spans="1:20" ht="18.75" customHeight="1">
      <c r="A74" s="213"/>
      <c r="B74" s="213"/>
      <c r="C74" s="210"/>
      <c r="D74" s="210"/>
      <c r="E74" s="186" t="s">
        <v>55</v>
      </c>
      <c r="F74" s="186" t="s">
        <v>4642</v>
      </c>
      <c r="G74" s="186" t="s">
        <v>432</v>
      </c>
      <c r="H74" s="186" t="s">
        <v>243</v>
      </c>
      <c r="I74" s="186"/>
      <c r="J74" s="186">
        <v>72</v>
      </c>
      <c r="K74" s="186"/>
      <c r="L74" s="186"/>
      <c r="M74" s="186"/>
      <c r="N74" s="90"/>
      <c r="O74" s="90"/>
      <c r="P74" s="90"/>
      <c r="Q74" s="186"/>
      <c r="R74" s="122"/>
      <c r="S74" s="123"/>
      <c r="T74" s="186" t="s">
        <v>4643</v>
      </c>
    </row>
    <row r="75" spans="1:20" ht="18.75" customHeight="1">
      <c r="A75" s="213"/>
      <c r="B75" s="213"/>
      <c r="C75" s="210"/>
      <c r="D75" s="210"/>
      <c r="E75" s="186" t="s">
        <v>55</v>
      </c>
      <c r="F75" s="186" t="s">
        <v>493</v>
      </c>
      <c r="G75" s="186" t="s">
        <v>242</v>
      </c>
      <c r="H75" s="186" t="s">
        <v>243</v>
      </c>
      <c r="I75" s="186"/>
      <c r="J75" s="186">
        <v>73</v>
      </c>
      <c r="K75" s="186"/>
      <c r="L75" s="186"/>
      <c r="M75" s="186"/>
      <c r="N75" s="90"/>
      <c r="O75" s="90"/>
      <c r="P75" s="90"/>
      <c r="Q75" s="186"/>
      <c r="R75" s="122"/>
      <c r="S75" s="123"/>
      <c r="T75" s="186" t="s">
        <v>4644</v>
      </c>
    </row>
    <row r="76" spans="1:20" ht="18.75" customHeight="1">
      <c r="A76" s="213"/>
      <c r="B76" s="213"/>
      <c r="C76" s="210"/>
      <c r="D76" s="210"/>
      <c r="E76" s="186" t="s">
        <v>55</v>
      </c>
      <c r="F76" s="186" t="s">
        <v>4645</v>
      </c>
      <c r="G76" s="186" t="s">
        <v>252</v>
      </c>
      <c r="H76" s="186" t="s">
        <v>243</v>
      </c>
      <c r="I76" s="186"/>
      <c r="J76" s="186">
        <v>74</v>
      </c>
      <c r="K76" s="186"/>
      <c r="L76" s="186"/>
      <c r="M76" s="186"/>
      <c r="N76" s="90"/>
      <c r="O76" s="90"/>
      <c r="P76" s="90"/>
      <c r="Q76" s="186"/>
      <c r="R76" s="122"/>
      <c r="S76" s="123"/>
      <c r="T76" s="186" t="s">
        <v>4646</v>
      </c>
    </row>
    <row r="77" spans="1:20" ht="18.75" customHeight="1">
      <c r="A77" s="213"/>
      <c r="B77" s="213"/>
      <c r="C77" s="210"/>
      <c r="D77" s="210"/>
      <c r="E77" s="186" t="s">
        <v>55</v>
      </c>
      <c r="F77" s="186" t="s">
        <v>4647</v>
      </c>
      <c r="G77" s="186" t="s">
        <v>247</v>
      </c>
      <c r="H77" s="186" t="s">
        <v>243</v>
      </c>
      <c r="I77" s="186"/>
      <c r="J77" s="186">
        <v>75</v>
      </c>
      <c r="K77" s="186"/>
      <c r="L77" s="186"/>
      <c r="M77" s="186"/>
      <c r="N77" s="90"/>
      <c r="O77" s="90"/>
      <c r="P77" s="90"/>
      <c r="Q77" s="186"/>
      <c r="R77" s="122"/>
      <c r="S77" s="123"/>
      <c r="T77" s="186" t="s">
        <v>4648</v>
      </c>
    </row>
    <row r="78" spans="1:20" ht="18.75" customHeight="1">
      <c r="A78" s="213"/>
      <c r="B78" s="213"/>
      <c r="C78" s="210"/>
      <c r="D78" s="210"/>
      <c r="E78" s="186" t="s">
        <v>55</v>
      </c>
      <c r="F78" s="186" t="s">
        <v>4649</v>
      </c>
      <c r="G78" s="186" t="s">
        <v>247</v>
      </c>
      <c r="H78" s="186" t="s">
        <v>243</v>
      </c>
      <c r="I78" s="186"/>
      <c r="J78" s="186">
        <v>76</v>
      </c>
      <c r="K78" s="186"/>
      <c r="L78" s="186"/>
      <c r="M78" s="186"/>
      <c r="N78" s="90"/>
      <c r="O78" s="90"/>
      <c r="P78" s="90"/>
      <c r="Q78" s="186"/>
      <c r="R78" s="122"/>
      <c r="S78" s="123"/>
      <c r="T78" s="186" t="s">
        <v>4650</v>
      </c>
    </row>
    <row r="79" spans="1:20" ht="18.75" customHeight="1">
      <c r="A79" s="213"/>
      <c r="B79" s="213"/>
      <c r="C79" s="210"/>
      <c r="D79" s="210"/>
      <c r="E79" s="186" t="s">
        <v>55</v>
      </c>
      <c r="F79" s="186" t="s">
        <v>4651</v>
      </c>
      <c r="G79" s="186" t="s">
        <v>432</v>
      </c>
      <c r="H79" s="186" t="s">
        <v>243</v>
      </c>
      <c r="I79" s="186"/>
      <c r="J79" s="186">
        <v>77</v>
      </c>
      <c r="K79" s="186"/>
      <c r="L79" s="186"/>
      <c r="M79" s="186"/>
      <c r="N79" s="90"/>
      <c r="O79" s="90"/>
      <c r="P79" s="90"/>
      <c r="Q79" s="186"/>
      <c r="R79" s="122"/>
      <c r="S79" s="123"/>
      <c r="T79" s="186" t="s">
        <v>4652</v>
      </c>
    </row>
    <row r="80" spans="1:20" ht="18.75" customHeight="1">
      <c r="A80" s="213"/>
      <c r="B80" s="213"/>
      <c r="C80" s="210"/>
      <c r="D80" s="210"/>
      <c r="E80" s="186" t="s">
        <v>55</v>
      </c>
      <c r="F80" s="186" t="s">
        <v>4653</v>
      </c>
      <c r="G80" s="186" t="s">
        <v>324</v>
      </c>
      <c r="H80" s="186" t="s">
        <v>243</v>
      </c>
      <c r="I80" s="186"/>
      <c r="J80" s="186">
        <v>78</v>
      </c>
      <c r="K80" s="186"/>
      <c r="L80" s="186"/>
      <c r="M80" s="186"/>
      <c r="N80" s="90"/>
      <c r="O80" s="90"/>
      <c r="P80" s="90"/>
      <c r="Q80" s="186"/>
      <c r="R80" s="122"/>
      <c r="S80" s="123"/>
      <c r="T80" s="186" t="s">
        <v>4654</v>
      </c>
    </row>
    <row r="81" spans="1:20" ht="18.75" customHeight="1">
      <c r="A81" s="213"/>
      <c r="B81" s="213"/>
      <c r="C81" s="210"/>
      <c r="D81" s="210"/>
      <c r="E81" s="186" t="s">
        <v>55</v>
      </c>
      <c r="F81" s="186" t="s">
        <v>4655</v>
      </c>
      <c r="G81" s="186" t="s">
        <v>329</v>
      </c>
      <c r="H81" s="186" t="s">
        <v>243</v>
      </c>
      <c r="I81" s="186"/>
      <c r="J81" s="186">
        <v>79</v>
      </c>
      <c r="K81" s="186"/>
      <c r="L81" s="186"/>
      <c r="M81" s="186"/>
      <c r="N81" s="90"/>
      <c r="O81" s="90"/>
      <c r="P81" s="90"/>
      <c r="Q81" s="186"/>
      <c r="R81" s="122"/>
      <c r="S81" s="123"/>
      <c r="T81" s="186" t="s">
        <v>4656</v>
      </c>
    </row>
    <row r="82" spans="1:20" ht="18.75" customHeight="1">
      <c r="A82" s="213"/>
      <c r="B82" s="213"/>
      <c r="C82" s="210"/>
      <c r="D82" s="210"/>
      <c r="E82" s="186" t="s">
        <v>55</v>
      </c>
      <c r="F82" s="186" t="s">
        <v>4657</v>
      </c>
      <c r="G82" s="186" t="s">
        <v>247</v>
      </c>
      <c r="H82" s="186" t="s">
        <v>243</v>
      </c>
      <c r="I82" s="186"/>
      <c r="J82" s="186">
        <v>80</v>
      </c>
      <c r="K82" s="186"/>
      <c r="L82" s="186"/>
      <c r="M82" s="186"/>
      <c r="N82" s="90"/>
      <c r="O82" s="90"/>
      <c r="P82" s="90"/>
      <c r="Q82" s="186"/>
      <c r="R82" s="122"/>
      <c r="S82" s="123"/>
      <c r="T82" s="186" t="s">
        <v>4658</v>
      </c>
    </row>
    <row r="83" spans="1:20" ht="18.75" customHeight="1">
      <c r="A83" s="213"/>
      <c r="B83" s="213"/>
      <c r="C83" s="210"/>
      <c r="D83" s="210"/>
      <c r="E83" s="186" t="s">
        <v>55</v>
      </c>
      <c r="F83" s="186" t="s">
        <v>4659</v>
      </c>
      <c r="G83" s="186" t="s">
        <v>4525</v>
      </c>
      <c r="H83" s="186" t="s">
        <v>243</v>
      </c>
      <c r="I83" s="186"/>
      <c r="J83" s="186">
        <v>81</v>
      </c>
      <c r="K83" s="186"/>
      <c r="L83" s="186"/>
      <c r="M83" s="186"/>
      <c r="N83" s="90"/>
      <c r="O83" s="90"/>
      <c r="P83" s="90"/>
      <c r="Q83" s="186"/>
      <c r="R83" s="122"/>
      <c r="S83" s="123"/>
      <c r="T83" s="186" t="s">
        <v>4660</v>
      </c>
    </row>
    <row r="84" spans="1:20" ht="18.75" customHeight="1">
      <c r="A84" s="213"/>
      <c r="B84" s="213"/>
      <c r="C84" s="210"/>
      <c r="D84" s="210"/>
      <c r="E84" s="186" t="s">
        <v>55</v>
      </c>
      <c r="F84" s="186" t="s">
        <v>4661</v>
      </c>
      <c r="G84" s="186" t="s">
        <v>432</v>
      </c>
      <c r="H84" s="186" t="s">
        <v>243</v>
      </c>
      <c r="I84" s="186"/>
      <c r="J84" s="186">
        <v>82</v>
      </c>
      <c r="K84" s="186"/>
      <c r="L84" s="186"/>
      <c r="M84" s="186"/>
      <c r="N84" s="90"/>
      <c r="O84" s="90"/>
      <c r="P84" s="90"/>
      <c r="Q84" s="186"/>
      <c r="R84" s="122"/>
      <c r="S84" s="123"/>
      <c r="T84" s="186" t="s">
        <v>4662</v>
      </c>
    </row>
    <row r="85" spans="1:20" ht="18.75" customHeight="1">
      <c r="A85" s="213"/>
      <c r="B85" s="213"/>
      <c r="C85" s="210"/>
      <c r="D85" s="210"/>
      <c r="E85" s="186" t="s">
        <v>55</v>
      </c>
      <c r="F85" s="186" t="s">
        <v>4663</v>
      </c>
      <c r="G85" s="186" t="s">
        <v>264</v>
      </c>
      <c r="H85" s="186" t="s">
        <v>243</v>
      </c>
      <c r="I85" s="186"/>
      <c r="J85" s="186">
        <v>83</v>
      </c>
      <c r="K85" s="186"/>
      <c r="L85" s="186"/>
      <c r="M85" s="186"/>
      <c r="N85" s="90"/>
      <c r="O85" s="90"/>
      <c r="P85" s="90"/>
      <c r="Q85" s="186"/>
      <c r="R85" s="122"/>
      <c r="S85" s="123"/>
      <c r="T85" s="186" t="s">
        <v>4664</v>
      </c>
    </row>
    <row r="86" spans="1:20" ht="18.75" customHeight="1">
      <c r="A86" s="213"/>
      <c r="B86" s="213"/>
      <c r="C86" s="210"/>
      <c r="D86" s="210"/>
      <c r="E86" s="186" t="s">
        <v>55</v>
      </c>
      <c r="F86" s="186" t="s">
        <v>4665</v>
      </c>
      <c r="G86" s="186" t="s">
        <v>242</v>
      </c>
      <c r="H86" s="186" t="s">
        <v>243</v>
      </c>
      <c r="I86" s="186"/>
      <c r="J86" s="186">
        <v>84</v>
      </c>
      <c r="K86" s="186"/>
      <c r="L86" s="186"/>
      <c r="M86" s="186"/>
      <c r="N86" s="90"/>
      <c r="O86" s="90"/>
      <c r="P86" s="90"/>
      <c r="Q86" s="186"/>
      <c r="R86" s="122"/>
      <c r="S86" s="123"/>
      <c r="T86" s="186" t="s">
        <v>4666</v>
      </c>
    </row>
    <row r="87" spans="1:20" ht="18.75" customHeight="1">
      <c r="A87" s="213"/>
      <c r="B87" s="213"/>
      <c r="C87" s="210"/>
      <c r="D87" s="210"/>
      <c r="E87" s="186" t="s">
        <v>55</v>
      </c>
      <c r="F87" s="186" t="s">
        <v>4667</v>
      </c>
      <c r="G87" s="186" t="s">
        <v>4525</v>
      </c>
      <c r="H87" s="186" t="s">
        <v>243</v>
      </c>
      <c r="I87" s="186"/>
      <c r="J87" s="186">
        <v>85</v>
      </c>
      <c r="K87" s="186"/>
      <c r="L87" s="186"/>
      <c r="M87" s="186"/>
      <c r="N87" s="90"/>
      <c r="O87" s="90"/>
      <c r="P87" s="90"/>
      <c r="Q87" s="186"/>
      <c r="R87" s="122"/>
      <c r="S87" s="123"/>
      <c r="T87" s="186" t="s">
        <v>4668</v>
      </c>
    </row>
    <row r="88" spans="1:20" ht="18.75" customHeight="1">
      <c r="A88" s="213"/>
      <c r="B88" s="213"/>
      <c r="C88" s="210"/>
      <c r="D88" s="210"/>
      <c r="E88" s="186" t="s">
        <v>55</v>
      </c>
      <c r="F88" s="186" t="s">
        <v>4669</v>
      </c>
      <c r="G88" s="186" t="s">
        <v>432</v>
      </c>
      <c r="H88" s="186" t="s">
        <v>243</v>
      </c>
      <c r="I88" s="186"/>
      <c r="J88" s="186">
        <v>86</v>
      </c>
      <c r="K88" s="186"/>
      <c r="L88" s="186"/>
      <c r="M88" s="186"/>
      <c r="N88" s="90"/>
      <c r="O88" s="90"/>
      <c r="P88" s="90"/>
      <c r="Q88" s="186"/>
      <c r="R88" s="122"/>
      <c r="S88" s="123"/>
      <c r="T88" s="186" t="s">
        <v>4670</v>
      </c>
    </row>
    <row r="89" spans="1:20" ht="18.75" customHeight="1">
      <c r="A89" s="213"/>
      <c r="B89" s="213"/>
      <c r="C89" s="210"/>
      <c r="D89" s="210"/>
      <c r="E89" s="186" t="s">
        <v>55</v>
      </c>
      <c r="F89" s="186" t="s">
        <v>4671</v>
      </c>
      <c r="G89" s="186" t="s">
        <v>247</v>
      </c>
      <c r="H89" s="186" t="s">
        <v>243</v>
      </c>
      <c r="I89" s="186"/>
      <c r="J89" s="186">
        <v>87</v>
      </c>
      <c r="K89" s="186"/>
      <c r="L89" s="186"/>
      <c r="M89" s="186"/>
      <c r="N89" s="90"/>
      <c r="O89" s="90"/>
      <c r="P89" s="90"/>
      <c r="Q89" s="186"/>
      <c r="R89" s="122"/>
      <c r="S89" s="123"/>
      <c r="T89" s="186" t="s">
        <v>4672</v>
      </c>
    </row>
    <row r="90" spans="1:20" ht="18.75" customHeight="1">
      <c r="A90" s="213"/>
      <c r="B90" s="213"/>
      <c r="C90" s="210"/>
      <c r="D90" s="210"/>
      <c r="E90" s="186" t="s">
        <v>55</v>
      </c>
      <c r="F90" s="186" t="s">
        <v>1817</v>
      </c>
      <c r="G90" s="186" t="s">
        <v>247</v>
      </c>
      <c r="H90" s="186" t="s">
        <v>243</v>
      </c>
      <c r="I90" s="186"/>
      <c r="J90" s="186">
        <v>88</v>
      </c>
      <c r="K90" s="186"/>
      <c r="L90" s="186"/>
      <c r="M90" s="186"/>
      <c r="N90" s="90"/>
      <c r="O90" s="90"/>
      <c r="P90" s="90"/>
      <c r="Q90" s="186"/>
      <c r="R90" s="122"/>
      <c r="S90" s="123"/>
      <c r="T90" s="186" t="s">
        <v>4673</v>
      </c>
    </row>
    <row r="91" spans="1:20" ht="18.75" customHeight="1">
      <c r="A91" s="213"/>
      <c r="B91" s="213"/>
      <c r="C91" s="210"/>
      <c r="D91" s="210"/>
      <c r="E91" s="186" t="s">
        <v>55</v>
      </c>
      <c r="F91" s="186" t="s">
        <v>1818</v>
      </c>
      <c r="G91" s="186" t="s">
        <v>247</v>
      </c>
      <c r="H91" s="186" t="s">
        <v>243</v>
      </c>
      <c r="I91" s="186"/>
      <c r="J91" s="186">
        <v>89</v>
      </c>
      <c r="K91" s="186"/>
      <c r="L91" s="186"/>
      <c r="M91" s="186"/>
      <c r="N91" s="90"/>
      <c r="O91" s="90"/>
      <c r="P91" s="90"/>
      <c r="Q91" s="186"/>
      <c r="R91" s="122"/>
      <c r="S91" s="123"/>
      <c r="T91" s="186" t="s">
        <v>4674</v>
      </c>
    </row>
    <row r="92" spans="1:20" ht="18.75" customHeight="1">
      <c r="A92" s="213"/>
      <c r="B92" s="213"/>
      <c r="C92" s="210"/>
      <c r="D92" s="210"/>
      <c r="E92" s="186" t="s">
        <v>55</v>
      </c>
      <c r="F92" s="186" t="s">
        <v>4675</v>
      </c>
      <c r="G92" s="186" t="s">
        <v>247</v>
      </c>
      <c r="H92" s="186" t="s">
        <v>243</v>
      </c>
      <c r="I92" s="186"/>
      <c r="J92" s="186">
        <v>90</v>
      </c>
      <c r="K92" s="186"/>
      <c r="L92" s="186"/>
      <c r="M92" s="186"/>
      <c r="N92" s="90"/>
      <c r="O92" s="90"/>
      <c r="P92" s="90"/>
      <c r="Q92" s="186"/>
      <c r="R92" s="122"/>
      <c r="S92" s="123"/>
      <c r="T92" s="186" t="s">
        <v>4676</v>
      </c>
    </row>
    <row r="93" spans="1:20" ht="18.75" customHeight="1">
      <c r="A93" s="213"/>
      <c r="B93" s="213"/>
      <c r="C93" s="210"/>
      <c r="D93" s="210"/>
      <c r="E93" s="186" t="s">
        <v>55</v>
      </c>
      <c r="F93" s="186" t="s">
        <v>4677</v>
      </c>
      <c r="G93" s="186" t="s">
        <v>247</v>
      </c>
      <c r="H93" s="186" t="s">
        <v>243</v>
      </c>
      <c r="I93" s="186"/>
      <c r="J93" s="186">
        <v>91</v>
      </c>
      <c r="K93" s="186"/>
      <c r="L93" s="186"/>
      <c r="M93" s="186"/>
      <c r="N93" s="90"/>
      <c r="O93" s="90"/>
      <c r="P93" s="90"/>
      <c r="Q93" s="186"/>
      <c r="R93" s="122"/>
      <c r="S93" s="123"/>
      <c r="T93" s="186" t="s">
        <v>4678</v>
      </c>
    </row>
    <row r="94" spans="1:20" ht="18.75" customHeight="1">
      <c r="A94" s="213"/>
      <c r="B94" s="213"/>
      <c r="C94" s="210"/>
      <c r="D94" s="210"/>
      <c r="E94" s="186" t="s">
        <v>55</v>
      </c>
      <c r="F94" s="186" t="s">
        <v>4679</v>
      </c>
      <c r="G94" s="186" t="s">
        <v>247</v>
      </c>
      <c r="H94" s="186" t="s">
        <v>243</v>
      </c>
      <c r="I94" s="186"/>
      <c r="J94" s="186">
        <v>92</v>
      </c>
      <c r="K94" s="186"/>
      <c r="L94" s="186"/>
      <c r="M94" s="186"/>
      <c r="N94" s="90"/>
      <c r="O94" s="90"/>
      <c r="P94" s="90"/>
      <c r="Q94" s="186"/>
      <c r="R94" s="122"/>
      <c r="S94" s="123"/>
      <c r="T94" s="186" t="s">
        <v>4680</v>
      </c>
    </row>
    <row r="95" spans="1:20" ht="18.75" customHeight="1">
      <c r="A95" s="213"/>
      <c r="B95" s="213"/>
      <c r="C95" s="210"/>
      <c r="D95" s="210"/>
      <c r="E95" s="186" t="s">
        <v>55</v>
      </c>
      <c r="F95" s="186" t="s">
        <v>4681</v>
      </c>
      <c r="G95" s="186" t="s">
        <v>247</v>
      </c>
      <c r="H95" s="186" t="s">
        <v>243</v>
      </c>
      <c r="I95" s="186"/>
      <c r="J95" s="186">
        <v>93</v>
      </c>
      <c r="K95" s="186"/>
      <c r="L95" s="186"/>
      <c r="M95" s="186"/>
      <c r="N95" s="90"/>
      <c r="O95" s="90"/>
      <c r="P95" s="90"/>
      <c r="Q95" s="186"/>
      <c r="R95" s="122"/>
      <c r="S95" s="123"/>
      <c r="T95" s="186" t="s">
        <v>4682</v>
      </c>
    </row>
    <row r="96" spans="1:20" ht="18.75" customHeight="1">
      <c r="A96" s="213"/>
      <c r="B96" s="213"/>
      <c r="C96" s="210"/>
      <c r="D96" s="210"/>
      <c r="E96" s="186" t="s">
        <v>55</v>
      </c>
      <c r="F96" s="186" t="s">
        <v>280</v>
      </c>
      <c r="G96" s="186" t="s">
        <v>255</v>
      </c>
      <c r="H96" s="186" t="s">
        <v>243</v>
      </c>
      <c r="I96" s="186"/>
      <c r="J96" s="186">
        <v>94</v>
      </c>
      <c r="K96" s="186"/>
      <c r="L96" s="186"/>
      <c r="M96" s="186"/>
      <c r="N96" s="90"/>
      <c r="O96" s="90"/>
      <c r="P96" s="90"/>
      <c r="Q96" s="186"/>
      <c r="R96" s="122"/>
      <c r="S96" s="123"/>
      <c r="T96" s="186" t="s">
        <v>4683</v>
      </c>
    </row>
    <row r="97" spans="1:20" ht="18.75" customHeight="1">
      <c r="A97" s="213"/>
      <c r="B97" s="213"/>
      <c r="C97" s="210"/>
      <c r="D97" s="210"/>
      <c r="E97" s="186" t="s">
        <v>55</v>
      </c>
      <c r="F97" s="186" t="s">
        <v>1303</v>
      </c>
      <c r="G97" s="186" t="s">
        <v>255</v>
      </c>
      <c r="H97" s="186" t="s">
        <v>243</v>
      </c>
      <c r="I97" s="186"/>
      <c r="J97" s="186">
        <v>95</v>
      </c>
      <c r="K97" s="186"/>
      <c r="L97" s="186"/>
      <c r="M97" s="186"/>
      <c r="N97" s="90"/>
      <c r="O97" s="90"/>
      <c r="P97" s="90"/>
      <c r="Q97" s="186"/>
      <c r="R97" s="122"/>
      <c r="S97" s="123"/>
      <c r="T97" s="186" t="s">
        <v>4684</v>
      </c>
    </row>
    <row r="98" spans="1:20" ht="18.75" customHeight="1">
      <c r="A98" s="213"/>
      <c r="B98" s="213"/>
      <c r="C98" s="210"/>
      <c r="D98" s="210"/>
      <c r="E98" s="186" t="s">
        <v>55</v>
      </c>
      <c r="F98" s="186" t="s">
        <v>1305</v>
      </c>
      <c r="G98" s="186" t="s">
        <v>255</v>
      </c>
      <c r="H98" s="186" t="s">
        <v>243</v>
      </c>
      <c r="I98" s="186"/>
      <c r="J98" s="186">
        <v>96</v>
      </c>
      <c r="K98" s="186"/>
      <c r="L98" s="186"/>
      <c r="M98" s="186"/>
      <c r="N98" s="90"/>
      <c r="O98" s="90"/>
      <c r="P98" s="90"/>
      <c r="Q98" s="186"/>
      <c r="R98" s="122"/>
      <c r="S98" s="123"/>
      <c r="T98" s="186" t="s">
        <v>4685</v>
      </c>
    </row>
    <row r="99" spans="1:20" ht="18.75" customHeight="1">
      <c r="A99" s="213"/>
      <c r="B99" s="213"/>
      <c r="C99" s="210"/>
      <c r="D99" s="210"/>
      <c r="E99" s="186" t="s">
        <v>55</v>
      </c>
      <c r="F99" s="186" t="s">
        <v>4686</v>
      </c>
      <c r="G99" s="186" t="s">
        <v>329</v>
      </c>
      <c r="H99" s="186" t="s">
        <v>243</v>
      </c>
      <c r="I99" s="186"/>
      <c r="J99" s="186">
        <v>97</v>
      </c>
      <c r="K99" s="186"/>
      <c r="L99" s="186"/>
      <c r="M99" s="186"/>
      <c r="N99" s="90"/>
      <c r="O99" s="90"/>
      <c r="P99" s="90"/>
      <c r="Q99" s="186"/>
      <c r="R99" s="122"/>
      <c r="S99" s="123"/>
      <c r="T99" s="186" t="s">
        <v>4687</v>
      </c>
    </row>
    <row r="100" spans="1:20" ht="18.75" customHeight="1">
      <c r="A100" s="213"/>
      <c r="B100" s="213"/>
      <c r="C100" s="210"/>
      <c r="D100" s="210"/>
      <c r="E100" s="186" t="s">
        <v>55</v>
      </c>
      <c r="F100" s="186" t="s">
        <v>4688</v>
      </c>
      <c r="G100" s="186" t="s">
        <v>264</v>
      </c>
      <c r="H100" s="186" t="s">
        <v>243</v>
      </c>
      <c r="I100" s="186"/>
      <c r="J100" s="186">
        <v>98</v>
      </c>
      <c r="K100" s="186"/>
      <c r="L100" s="186"/>
      <c r="M100" s="186"/>
      <c r="N100" s="90"/>
      <c r="O100" s="90"/>
      <c r="P100" s="90"/>
      <c r="Q100" s="186"/>
      <c r="R100" s="122"/>
      <c r="S100" s="123"/>
      <c r="T100" s="186" t="s">
        <v>4689</v>
      </c>
    </row>
    <row r="101" spans="1:20" ht="18.75" customHeight="1">
      <c r="A101" s="213"/>
      <c r="B101" s="213"/>
      <c r="C101" s="210"/>
      <c r="D101" s="210"/>
      <c r="E101" s="186" t="s">
        <v>55</v>
      </c>
      <c r="F101" s="186" t="s">
        <v>4690</v>
      </c>
      <c r="G101" s="186" t="s">
        <v>247</v>
      </c>
      <c r="H101" s="186" t="s">
        <v>243</v>
      </c>
      <c r="I101" s="186"/>
      <c r="J101" s="186">
        <v>99</v>
      </c>
      <c r="K101" s="186"/>
      <c r="L101" s="186"/>
      <c r="M101" s="186"/>
      <c r="N101" s="90"/>
      <c r="O101" s="90"/>
      <c r="P101" s="90"/>
      <c r="Q101" s="186"/>
      <c r="R101" s="122"/>
      <c r="S101" s="123"/>
      <c r="T101" s="186" t="s">
        <v>4691</v>
      </c>
    </row>
    <row r="102" spans="1:20" ht="18.75" customHeight="1">
      <c r="A102" s="213"/>
      <c r="B102" s="213"/>
      <c r="C102" s="210"/>
      <c r="D102" s="210"/>
      <c r="E102" s="186" t="s">
        <v>55</v>
      </c>
      <c r="F102" s="186" t="s">
        <v>4692</v>
      </c>
      <c r="G102" s="186" t="s">
        <v>535</v>
      </c>
      <c r="H102" s="186" t="s">
        <v>243</v>
      </c>
      <c r="I102" s="186"/>
      <c r="J102" s="186">
        <v>100</v>
      </c>
      <c r="K102" s="186"/>
      <c r="L102" s="186"/>
      <c r="M102" s="186"/>
      <c r="N102" s="90"/>
      <c r="O102" s="90"/>
      <c r="P102" s="90"/>
      <c r="Q102" s="186"/>
      <c r="R102" s="122"/>
      <c r="S102" s="123"/>
      <c r="T102" s="186" t="s">
        <v>4693</v>
      </c>
    </row>
    <row r="103" spans="1:20" ht="18.75" customHeight="1">
      <c r="A103" s="213"/>
      <c r="B103" s="213"/>
      <c r="C103" s="210"/>
      <c r="D103" s="210"/>
      <c r="E103" s="186" t="s">
        <v>55</v>
      </c>
      <c r="F103" s="186" t="s">
        <v>4694</v>
      </c>
      <c r="G103" s="186" t="s">
        <v>535</v>
      </c>
      <c r="H103" s="186" t="s">
        <v>243</v>
      </c>
      <c r="I103" s="186"/>
      <c r="J103" s="186">
        <v>101</v>
      </c>
      <c r="K103" s="186"/>
      <c r="L103" s="186"/>
      <c r="M103" s="186"/>
      <c r="N103" s="90"/>
      <c r="O103" s="90"/>
      <c r="P103" s="90"/>
      <c r="Q103" s="186"/>
      <c r="R103" s="122"/>
      <c r="S103" s="123"/>
      <c r="T103" s="186" t="s">
        <v>4695</v>
      </c>
    </row>
    <row r="104" spans="1:20" ht="18.75" customHeight="1">
      <c r="A104" s="213"/>
      <c r="B104" s="213"/>
      <c r="C104" s="210"/>
      <c r="D104" s="210"/>
      <c r="E104" s="186" t="s">
        <v>55</v>
      </c>
      <c r="F104" s="186" t="s">
        <v>4696</v>
      </c>
      <c r="G104" s="186" t="s">
        <v>535</v>
      </c>
      <c r="H104" s="186" t="s">
        <v>243</v>
      </c>
      <c r="I104" s="186"/>
      <c r="J104" s="186">
        <v>102</v>
      </c>
      <c r="K104" s="186"/>
      <c r="L104" s="186"/>
      <c r="M104" s="186"/>
      <c r="N104" s="90"/>
      <c r="O104" s="90"/>
      <c r="P104" s="90"/>
      <c r="Q104" s="186"/>
      <c r="R104" s="122"/>
      <c r="S104" s="123"/>
      <c r="T104" s="186" t="s">
        <v>4697</v>
      </c>
    </row>
    <row r="105" spans="1:20" ht="18.75" customHeight="1">
      <c r="A105" s="213"/>
      <c r="B105" s="213"/>
      <c r="C105" s="210"/>
      <c r="D105" s="210"/>
      <c r="E105" s="186" t="s">
        <v>55</v>
      </c>
      <c r="F105" s="186" t="s">
        <v>4698</v>
      </c>
      <c r="G105" s="186" t="s">
        <v>535</v>
      </c>
      <c r="H105" s="186" t="s">
        <v>243</v>
      </c>
      <c r="I105" s="186"/>
      <c r="J105" s="186">
        <v>103</v>
      </c>
      <c r="K105" s="186"/>
      <c r="L105" s="186"/>
      <c r="M105" s="186"/>
      <c r="N105" s="90"/>
      <c r="O105" s="90"/>
      <c r="P105" s="90"/>
      <c r="Q105" s="186"/>
      <c r="R105" s="122"/>
      <c r="S105" s="123"/>
      <c r="T105" s="186" t="s">
        <v>4699</v>
      </c>
    </row>
    <row r="106" spans="1:20" ht="18.75" customHeight="1">
      <c r="A106" s="213"/>
      <c r="B106" s="213"/>
      <c r="C106" s="210"/>
      <c r="D106" s="210"/>
      <c r="E106" s="186" t="s">
        <v>55</v>
      </c>
      <c r="F106" s="186" t="s">
        <v>4700</v>
      </c>
      <c r="G106" s="186" t="s">
        <v>535</v>
      </c>
      <c r="H106" s="186" t="s">
        <v>243</v>
      </c>
      <c r="I106" s="186"/>
      <c r="J106" s="186">
        <v>104</v>
      </c>
      <c r="K106" s="186"/>
      <c r="L106" s="186"/>
      <c r="M106" s="186"/>
      <c r="N106" s="90"/>
      <c r="O106" s="90"/>
      <c r="P106" s="90"/>
      <c r="Q106" s="186"/>
      <c r="R106" s="122"/>
      <c r="S106" s="123"/>
      <c r="T106" s="186" t="s">
        <v>4701</v>
      </c>
    </row>
    <row r="107" spans="1:20" ht="18.75" customHeight="1">
      <c r="A107" s="213"/>
      <c r="B107" s="213"/>
      <c r="C107" s="210"/>
      <c r="D107" s="210"/>
      <c r="E107" s="186" t="s">
        <v>55</v>
      </c>
      <c r="F107" s="186" t="s">
        <v>2434</v>
      </c>
      <c r="G107" s="186" t="s">
        <v>429</v>
      </c>
      <c r="H107" s="186"/>
      <c r="I107" s="186"/>
      <c r="J107" s="186"/>
      <c r="K107" s="186"/>
      <c r="L107" s="186"/>
      <c r="M107" s="186"/>
      <c r="N107" s="90"/>
      <c r="O107" s="90"/>
      <c r="P107" s="90"/>
      <c r="Q107" s="186"/>
      <c r="R107" s="122"/>
      <c r="S107" s="123"/>
      <c r="T107" s="186" t="s">
        <v>2435</v>
      </c>
    </row>
    <row r="108" spans="1:20" ht="18.75" customHeight="1">
      <c r="A108" s="213"/>
      <c r="B108" s="213"/>
      <c r="C108" s="210"/>
      <c r="D108" s="210"/>
      <c r="E108" s="186" t="s">
        <v>55</v>
      </c>
      <c r="F108" s="186" t="s">
        <v>4702</v>
      </c>
      <c r="G108" s="186" t="s">
        <v>242</v>
      </c>
      <c r="H108" s="186"/>
      <c r="I108" s="186"/>
      <c r="J108" s="186"/>
      <c r="K108" s="186"/>
      <c r="L108" s="186"/>
      <c r="M108" s="186"/>
      <c r="N108" s="90"/>
      <c r="O108" s="90"/>
      <c r="P108" s="90"/>
      <c r="Q108" s="186"/>
      <c r="R108" s="122"/>
      <c r="S108" s="123"/>
      <c r="T108" s="186" t="s">
        <v>4703</v>
      </c>
    </row>
    <row r="109" spans="1:20" ht="18.75" customHeight="1">
      <c r="A109" s="213"/>
      <c r="B109" s="213"/>
      <c r="C109" s="210"/>
      <c r="D109" s="210"/>
      <c r="E109" s="186" t="s">
        <v>55</v>
      </c>
      <c r="F109" s="186" t="s">
        <v>4704</v>
      </c>
      <c r="G109" s="186" t="s">
        <v>247</v>
      </c>
      <c r="H109" s="186"/>
      <c r="I109" s="186"/>
      <c r="J109" s="186"/>
      <c r="K109" s="186"/>
      <c r="L109" s="186"/>
      <c r="M109" s="186"/>
      <c r="N109" s="90"/>
      <c r="O109" s="90"/>
      <c r="P109" s="90"/>
      <c r="Q109" s="186"/>
      <c r="R109" s="122"/>
      <c r="S109" s="123"/>
      <c r="T109" s="186" t="s">
        <v>4705</v>
      </c>
    </row>
    <row r="110" spans="1:20" ht="18.75" customHeight="1">
      <c r="A110" s="213"/>
      <c r="B110" s="213"/>
      <c r="C110" s="210"/>
      <c r="D110" s="210"/>
      <c r="E110" s="186" t="s">
        <v>55</v>
      </c>
      <c r="F110" s="186" t="s">
        <v>4706</v>
      </c>
      <c r="G110" s="186" t="s">
        <v>242</v>
      </c>
      <c r="H110" s="186"/>
      <c r="I110" s="186"/>
      <c r="J110" s="186"/>
      <c r="K110" s="186"/>
      <c r="L110" s="186"/>
      <c r="M110" s="186"/>
      <c r="N110" s="90"/>
      <c r="O110" s="90"/>
      <c r="P110" s="90"/>
      <c r="Q110" s="186"/>
      <c r="R110" s="122"/>
      <c r="S110" s="123"/>
      <c r="T110" s="186" t="s">
        <v>4707</v>
      </c>
    </row>
    <row r="111" spans="1:20" ht="18.75" customHeight="1">
      <c r="A111" s="213"/>
      <c r="B111" s="213"/>
      <c r="C111" s="210"/>
      <c r="D111" s="210"/>
      <c r="E111" s="186" t="s">
        <v>55</v>
      </c>
      <c r="F111" s="186" t="s">
        <v>4708</v>
      </c>
      <c r="G111" s="186" t="s">
        <v>247</v>
      </c>
      <c r="H111" s="186"/>
      <c r="I111" s="186"/>
      <c r="J111" s="186"/>
      <c r="K111" s="186"/>
      <c r="L111" s="186"/>
      <c r="M111" s="186"/>
      <c r="N111" s="90"/>
      <c r="O111" s="90"/>
      <c r="P111" s="90"/>
      <c r="Q111" s="186"/>
      <c r="R111" s="122"/>
      <c r="S111" s="123"/>
      <c r="T111" s="186" t="s">
        <v>4709</v>
      </c>
    </row>
    <row r="112" spans="1:20" ht="18.75" customHeight="1">
      <c r="A112" s="213"/>
      <c r="B112" s="213"/>
      <c r="C112" s="210"/>
      <c r="D112" s="210"/>
      <c r="E112" s="186" t="s">
        <v>55</v>
      </c>
      <c r="F112" s="186" t="s">
        <v>936</v>
      </c>
      <c r="G112" s="186" t="s">
        <v>247</v>
      </c>
      <c r="H112" s="186"/>
      <c r="I112" s="186"/>
      <c r="J112" s="186"/>
      <c r="K112" s="186"/>
      <c r="L112" s="186"/>
      <c r="M112" s="186"/>
      <c r="N112" s="90"/>
      <c r="O112" s="90"/>
      <c r="P112" s="90"/>
      <c r="Q112" s="186"/>
      <c r="R112" s="122"/>
      <c r="S112" s="123"/>
      <c r="T112" s="186" t="s">
        <v>2436</v>
      </c>
    </row>
    <row r="113" spans="1:20" ht="18.75" customHeight="1">
      <c r="A113" s="213"/>
      <c r="B113" s="213"/>
      <c r="C113" s="210"/>
      <c r="D113" s="210"/>
      <c r="E113" s="186" t="s">
        <v>55</v>
      </c>
      <c r="F113" s="186" t="s">
        <v>987</v>
      </c>
      <c r="G113" s="186" t="s">
        <v>247</v>
      </c>
      <c r="H113" s="186"/>
      <c r="I113" s="186"/>
      <c r="J113" s="186"/>
      <c r="K113" s="186"/>
      <c r="L113" s="186"/>
      <c r="M113" s="186"/>
      <c r="N113" s="90"/>
      <c r="O113" s="90"/>
      <c r="P113" s="90"/>
      <c r="Q113" s="186"/>
      <c r="R113" s="122"/>
      <c r="S113" s="123"/>
      <c r="T113" s="186" t="s">
        <v>2437</v>
      </c>
    </row>
    <row r="114" spans="1:20" ht="18.75" customHeight="1">
      <c r="A114" s="213"/>
      <c r="B114" s="213"/>
      <c r="C114" s="210"/>
      <c r="D114" s="210"/>
      <c r="E114" s="186" t="s">
        <v>55</v>
      </c>
      <c r="F114" s="186" t="s">
        <v>989</v>
      </c>
      <c r="G114" s="186" t="s">
        <v>247</v>
      </c>
      <c r="H114" s="186"/>
      <c r="I114" s="186"/>
      <c r="J114" s="186"/>
      <c r="K114" s="186"/>
      <c r="L114" s="186"/>
      <c r="M114" s="186"/>
      <c r="N114" s="90"/>
      <c r="O114" s="90"/>
      <c r="P114" s="90"/>
      <c r="Q114" s="186"/>
      <c r="R114" s="122"/>
      <c r="S114" s="123"/>
      <c r="T114" s="186" t="s">
        <v>2436</v>
      </c>
    </row>
    <row r="115" spans="1:20" ht="18.75" customHeight="1">
      <c r="A115" s="213"/>
      <c r="B115" s="213"/>
      <c r="C115" s="210"/>
      <c r="D115" s="210"/>
      <c r="E115" s="186" t="s">
        <v>55</v>
      </c>
      <c r="F115" s="186" t="s">
        <v>2438</v>
      </c>
      <c r="G115" s="186" t="s">
        <v>247</v>
      </c>
      <c r="H115" s="186"/>
      <c r="I115" s="186"/>
      <c r="J115" s="186"/>
      <c r="K115" s="186"/>
      <c r="L115" s="186"/>
      <c r="M115" s="186"/>
      <c r="N115" s="90"/>
      <c r="O115" s="90"/>
      <c r="P115" s="90"/>
      <c r="Q115" s="186"/>
      <c r="R115" s="122"/>
      <c r="S115" s="123"/>
      <c r="T115" s="186" t="s">
        <v>2439</v>
      </c>
    </row>
    <row r="116" spans="1:20" ht="18.75" customHeight="1">
      <c r="A116" s="213"/>
      <c r="B116" s="213"/>
      <c r="C116" s="210"/>
      <c r="D116" s="210"/>
      <c r="E116" s="186" t="s">
        <v>55</v>
      </c>
      <c r="F116" s="186" t="s">
        <v>2440</v>
      </c>
      <c r="G116" s="186" t="s">
        <v>247</v>
      </c>
      <c r="H116" s="186"/>
      <c r="I116" s="186"/>
      <c r="J116" s="186"/>
      <c r="K116" s="186"/>
      <c r="L116" s="186"/>
      <c r="M116" s="186"/>
      <c r="N116" s="90"/>
      <c r="O116" s="90"/>
      <c r="P116" s="90"/>
      <c r="Q116" s="186"/>
      <c r="R116" s="122"/>
      <c r="S116" s="123"/>
      <c r="T116" s="186" t="s">
        <v>2436</v>
      </c>
    </row>
    <row r="117" spans="1:20" ht="18.75" customHeight="1">
      <c r="A117" s="213"/>
      <c r="B117" s="213"/>
      <c r="C117" s="210"/>
      <c r="D117" s="210"/>
      <c r="E117" s="186" t="s">
        <v>55</v>
      </c>
      <c r="F117" s="186" t="s">
        <v>2443</v>
      </c>
      <c r="G117" s="186" t="s">
        <v>247</v>
      </c>
      <c r="H117" s="186"/>
      <c r="I117" s="186"/>
      <c r="J117" s="186"/>
      <c r="K117" s="186"/>
      <c r="L117" s="186"/>
      <c r="M117" s="186"/>
      <c r="N117" s="90"/>
      <c r="O117" s="90"/>
      <c r="P117" s="90"/>
      <c r="Q117" s="186"/>
      <c r="R117" s="122"/>
      <c r="S117" s="123"/>
      <c r="T117" s="186" t="s">
        <v>2436</v>
      </c>
    </row>
    <row r="118" spans="1:20" ht="18.75" customHeight="1">
      <c r="A118" s="213"/>
      <c r="B118" s="213"/>
      <c r="C118" s="210"/>
      <c r="D118" s="210"/>
      <c r="E118" s="186" t="s">
        <v>55</v>
      </c>
      <c r="F118" s="186" t="s">
        <v>2444</v>
      </c>
      <c r="G118" s="186" t="s">
        <v>247</v>
      </c>
      <c r="H118" s="186"/>
      <c r="I118" s="186"/>
      <c r="J118" s="186"/>
      <c r="K118" s="186"/>
      <c r="L118" s="186"/>
      <c r="M118" s="186"/>
      <c r="N118" s="90"/>
      <c r="O118" s="90"/>
      <c r="P118" s="90"/>
      <c r="Q118" s="186"/>
      <c r="R118" s="122"/>
      <c r="S118" s="123"/>
      <c r="T118" s="186" t="s">
        <v>2436</v>
      </c>
    </row>
    <row r="119" spans="1:20" ht="18.75" customHeight="1">
      <c r="A119" s="213"/>
      <c r="B119" s="213"/>
      <c r="C119" s="210"/>
      <c r="D119" s="210"/>
      <c r="E119" s="186" t="s">
        <v>55</v>
      </c>
      <c r="F119" s="186" t="s">
        <v>2445</v>
      </c>
      <c r="G119" s="186" t="s">
        <v>247</v>
      </c>
      <c r="H119" s="186"/>
      <c r="I119" s="186"/>
      <c r="J119" s="186"/>
      <c r="K119" s="186"/>
      <c r="L119" s="186"/>
      <c r="M119" s="186"/>
      <c r="N119" s="90"/>
      <c r="O119" s="90"/>
      <c r="P119" s="90"/>
      <c r="Q119" s="186"/>
      <c r="R119" s="122"/>
      <c r="S119" s="123"/>
      <c r="T119" s="186" t="s">
        <v>2436</v>
      </c>
    </row>
    <row r="120" spans="1:20" ht="18.75" customHeight="1">
      <c r="A120" s="213"/>
      <c r="B120" s="213"/>
      <c r="C120" s="210"/>
      <c r="D120" s="210"/>
      <c r="E120" s="186" t="s">
        <v>55</v>
      </c>
      <c r="F120" s="186" t="s">
        <v>150</v>
      </c>
      <c r="G120" s="186" t="s">
        <v>247</v>
      </c>
      <c r="H120" s="186"/>
      <c r="I120" s="186"/>
      <c r="J120" s="186"/>
      <c r="K120" s="186"/>
      <c r="L120" s="186"/>
      <c r="M120" s="186"/>
      <c r="N120" s="90"/>
      <c r="O120" s="90"/>
      <c r="P120" s="90"/>
      <c r="Q120" s="186"/>
      <c r="R120" s="122"/>
      <c r="S120" s="123"/>
      <c r="T120" s="186" t="s">
        <v>2446</v>
      </c>
    </row>
    <row r="121" spans="1:20" ht="18.75" customHeight="1">
      <c r="A121" s="213"/>
      <c r="B121" s="213"/>
      <c r="C121" s="210"/>
      <c r="D121" s="210"/>
      <c r="E121" s="186" t="s">
        <v>55</v>
      </c>
      <c r="F121" s="186" t="s">
        <v>308</v>
      </c>
      <c r="G121" s="186" t="s">
        <v>247</v>
      </c>
      <c r="H121" s="186"/>
      <c r="I121" s="186"/>
      <c r="J121" s="186"/>
      <c r="K121" s="186"/>
      <c r="L121" s="186"/>
      <c r="M121" s="186"/>
      <c r="N121" s="90"/>
      <c r="O121" s="90"/>
      <c r="P121" s="90"/>
      <c r="Q121" s="186"/>
      <c r="R121" s="122"/>
      <c r="S121" s="123"/>
      <c r="T121" s="186" t="s">
        <v>2447</v>
      </c>
    </row>
    <row r="122" spans="1:20" ht="18.75" customHeight="1">
      <c r="A122" s="213"/>
      <c r="B122" s="213"/>
      <c r="C122" s="210"/>
      <c r="D122" s="210"/>
      <c r="E122" s="186" t="s">
        <v>55</v>
      </c>
      <c r="F122" s="186" t="s">
        <v>310</v>
      </c>
      <c r="G122" s="186" t="s">
        <v>247</v>
      </c>
      <c r="H122" s="186"/>
      <c r="I122" s="186"/>
      <c r="J122" s="186"/>
      <c r="K122" s="186"/>
      <c r="L122" s="186"/>
      <c r="M122" s="186"/>
      <c r="N122" s="90"/>
      <c r="O122" s="90"/>
      <c r="P122" s="90"/>
      <c r="Q122" s="186"/>
      <c r="R122" s="122"/>
      <c r="S122" s="123"/>
      <c r="T122" s="186" t="s">
        <v>2448</v>
      </c>
    </row>
    <row r="123" spans="1:20" ht="18.75" customHeight="1">
      <c r="A123" s="213"/>
      <c r="B123" s="213"/>
      <c r="C123" s="210"/>
      <c r="D123" s="210"/>
      <c r="E123" s="186" t="s">
        <v>55</v>
      </c>
      <c r="F123" s="186" t="s">
        <v>4710</v>
      </c>
      <c r="G123" s="186" t="s">
        <v>242</v>
      </c>
      <c r="H123" s="186"/>
      <c r="I123" s="186"/>
      <c r="J123" s="186"/>
      <c r="K123" s="186"/>
      <c r="L123" s="186"/>
      <c r="M123" s="186"/>
      <c r="N123" s="90"/>
      <c r="O123" s="90"/>
      <c r="P123" s="90"/>
      <c r="Q123" s="186"/>
      <c r="R123" s="122"/>
      <c r="S123" s="123"/>
      <c r="T123" s="186" t="s">
        <v>4711</v>
      </c>
    </row>
    <row r="124" spans="1:20" ht="18.75" customHeight="1">
      <c r="A124" s="213"/>
      <c r="B124" s="213"/>
      <c r="C124" s="210"/>
      <c r="D124" s="210"/>
      <c r="E124" s="186" t="s">
        <v>55</v>
      </c>
      <c r="F124" s="186" t="s">
        <v>4712</v>
      </c>
      <c r="G124" s="186" t="s">
        <v>247</v>
      </c>
      <c r="H124" s="186"/>
      <c r="I124" s="186"/>
      <c r="J124" s="186"/>
      <c r="K124" s="186"/>
      <c r="L124" s="186"/>
      <c r="M124" s="186"/>
      <c r="N124" s="90"/>
      <c r="O124" s="90"/>
      <c r="P124" s="90"/>
      <c r="Q124" s="186"/>
      <c r="R124" s="122"/>
      <c r="S124" s="123"/>
      <c r="T124" s="186" t="s">
        <v>4713</v>
      </c>
    </row>
    <row r="125" spans="1:20" ht="18.75" customHeight="1">
      <c r="A125" s="213"/>
      <c r="B125" s="213"/>
      <c r="C125" s="210"/>
      <c r="D125" s="210"/>
      <c r="E125" s="186" t="s">
        <v>55</v>
      </c>
      <c r="F125" s="186" t="s">
        <v>2449</v>
      </c>
      <c r="G125" s="186" t="s">
        <v>324</v>
      </c>
      <c r="H125" s="186"/>
      <c r="I125" s="186"/>
      <c r="J125" s="186"/>
      <c r="K125" s="186"/>
      <c r="L125" s="186"/>
      <c r="M125" s="186"/>
      <c r="N125" s="90"/>
      <c r="O125" s="90"/>
      <c r="P125" s="90"/>
      <c r="Q125" s="186"/>
      <c r="R125" s="122"/>
      <c r="S125" s="123"/>
      <c r="T125" s="186" t="s">
        <v>2450</v>
      </c>
    </row>
    <row r="126" spans="1:20" ht="18.75" customHeight="1">
      <c r="A126" s="213"/>
      <c r="B126" s="213"/>
      <c r="C126" s="210"/>
      <c r="D126" s="210"/>
      <c r="E126" s="186" t="s">
        <v>55</v>
      </c>
      <c r="F126" s="186" t="s">
        <v>341</v>
      </c>
      <c r="G126" s="186" t="s">
        <v>247</v>
      </c>
      <c r="H126" s="186"/>
      <c r="I126" s="186"/>
      <c r="J126" s="186"/>
      <c r="K126" s="186"/>
      <c r="L126" s="186"/>
      <c r="M126" s="186"/>
      <c r="N126" s="90"/>
      <c r="O126" s="90"/>
      <c r="P126" s="90"/>
      <c r="Q126" s="186"/>
      <c r="R126" s="122"/>
      <c r="S126" s="123"/>
      <c r="T126" s="186" t="s">
        <v>2451</v>
      </c>
    </row>
    <row r="127" spans="1:20" ht="18.75" customHeight="1">
      <c r="A127" s="213"/>
      <c r="B127" s="213"/>
      <c r="C127" s="210"/>
      <c r="D127" s="210"/>
      <c r="E127" s="186" t="s">
        <v>55</v>
      </c>
      <c r="F127" s="186" t="s">
        <v>343</v>
      </c>
      <c r="G127" s="186" t="s">
        <v>247</v>
      </c>
      <c r="H127" s="186"/>
      <c r="I127" s="186"/>
      <c r="J127" s="186"/>
      <c r="K127" s="186"/>
      <c r="L127" s="186"/>
      <c r="M127" s="186"/>
      <c r="N127" s="90"/>
      <c r="O127" s="90"/>
      <c r="P127" s="90"/>
      <c r="Q127" s="186"/>
      <c r="R127" s="122"/>
      <c r="S127" s="123"/>
      <c r="T127" s="186" t="s">
        <v>1560</v>
      </c>
    </row>
    <row r="128" spans="1:20" ht="18.75" customHeight="1">
      <c r="A128" s="213"/>
      <c r="B128" s="213"/>
      <c r="C128" s="210"/>
      <c r="D128" s="210"/>
      <c r="E128" s="186" t="s">
        <v>55</v>
      </c>
      <c r="F128" s="186" t="s">
        <v>2452</v>
      </c>
      <c r="G128" s="186" t="s">
        <v>247</v>
      </c>
      <c r="H128" s="186"/>
      <c r="I128" s="186"/>
      <c r="J128" s="186"/>
      <c r="K128" s="186"/>
      <c r="L128" s="186"/>
      <c r="M128" s="186"/>
      <c r="N128" s="90"/>
      <c r="O128" s="90"/>
      <c r="P128" s="90"/>
      <c r="Q128" s="186"/>
      <c r="R128" s="122"/>
      <c r="S128" s="123"/>
      <c r="T128" s="186" t="s">
        <v>2453</v>
      </c>
    </row>
    <row r="129" spans="1:20" ht="18.75" customHeight="1">
      <c r="A129" s="213"/>
      <c r="B129" s="213"/>
      <c r="C129" s="210"/>
      <c r="D129" s="210"/>
      <c r="E129" s="186" t="s">
        <v>55</v>
      </c>
      <c r="F129" s="186" t="s">
        <v>318</v>
      </c>
      <c r="G129" s="186" t="s">
        <v>264</v>
      </c>
      <c r="H129" s="186"/>
      <c r="I129" s="186"/>
      <c r="J129" s="186"/>
      <c r="K129" s="186"/>
      <c r="L129" s="186"/>
      <c r="M129" s="186"/>
      <c r="N129" s="90"/>
      <c r="O129" s="90"/>
      <c r="P129" s="90"/>
      <c r="Q129" s="186"/>
      <c r="R129" s="122"/>
      <c r="S129" s="123"/>
      <c r="T129" s="186" t="s">
        <v>318</v>
      </c>
    </row>
    <row r="130" spans="1:20" ht="18.75" customHeight="1">
      <c r="A130" s="213"/>
      <c r="B130" s="213"/>
      <c r="C130" s="210"/>
      <c r="D130" s="210"/>
      <c r="E130" s="186" t="s">
        <v>55</v>
      </c>
      <c r="F130" s="186" t="s">
        <v>2454</v>
      </c>
      <c r="G130" s="186" t="s">
        <v>264</v>
      </c>
      <c r="H130" s="186"/>
      <c r="I130" s="186"/>
      <c r="J130" s="186"/>
      <c r="K130" s="186"/>
      <c r="L130" s="186"/>
      <c r="M130" s="186"/>
      <c r="N130" s="90"/>
      <c r="O130" s="90"/>
      <c r="P130" s="90"/>
      <c r="Q130" s="186"/>
      <c r="R130" s="122"/>
      <c r="S130" s="123"/>
      <c r="T130" s="186" t="s">
        <v>2455</v>
      </c>
    </row>
    <row r="131" spans="1:20" ht="18.75" customHeight="1">
      <c r="A131" s="213"/>
      <c r="B131" s="213"/>
      <c r="C131" s="210"/>
      <c r="D131" s="210"/>
      <c r="E131" s="186" t="s">
        <v>55</v>
      </c>
      <c r="F131" s="186" t="s">
        <v>2456</v>
      </c>
      <c r="G131" s="186" t="s">
        <v>255</v>
      </c>
      <c r="H131" s="186"/>
      <c r="I131" s="186"/>
      <c r="J131" s="186"/>
      <c r="K131" s="186"/>
      <c r="L131" s="186"/>
      <c r="M131" s="186"/>
      <c r="N131" s="90"/>
      <c r="O131" s="90"/>
      <c r="P131" s="90"/>
      <c r="Q131" s="186"/>
      <c r="R131" s="122"/>
      <c r="S131" s="123"/>
      <c r="T131" s="186" t="s">
        <v>2457</v>
      </c>
    </row>
    <row r="132" spans="1:20" ht="18.75" customHeight="1">
      <c r="A132" s="213"/>
      <c r="B132" s="213"/>
      <c r="C132" s="210"/>
      <c r="D132" s="210"/>
      <c r="E132" s="186" t="s">
        <v>55</v>
      </c>
      <c r="F132" s="186" t="s">
        <v>126</v>
      </c>
      <c r="G132" s="186" t="s">
        <v>242</v>
      </c>
      <c r="H132" s="186"/>
      <c r="I132" s="186"/>
      <c r="J132" s="186"/>
      <c r="K132" s="186"/>
      <c r="L132" s="186"/>
      <c r="M132" s="186"/>
      <c r="N132" s="90"/>
      <c r="O132" s="90"/>
      <c r="P132" s="90"/>
      <c r="Q132" s="186"/>
      <c r="R132" s="122"/>
      <c r="S132" s="123"/>
      <c r="T132" s="186" t="s">
        <v>2462</v>
      </c>
    </row>
    <row r="133" spans="1:20" ht="18.75" customHeight="1">
      <c r="A133" s="213"/>
      <c r="B133" s="213"/>
      <c r="C133" s="210"/>
      <c r="D133" s="210"/>
      <c r="E133" s="186" t="s">
        <v>55</v>
      </c>
      <c r="F133" s="186" t="s">
        <v>2463</v>
      </c>
      <c r="G133" s="186" t="s">
        <v>242</v>
      </c>
      <c r="H133" s="186"/>
      <c r="I133" s="186"/>
      <c r="J133" s="186"/>
      <c r="K133" s="186"/>
      <c r="L133" s="186"/>
      <c r="M133" s="186"/>
      <c r="N133" s="90"/>
      <c r="O133" s="90"/>
      <c r="P133" s="90"/>
      <c r="Q133" s="186"/>
      <c r="R133" s="122"/>
      <c r="S133" s="123"/>
      <c r="T133" s="186" t="s">
        <v>2464</v>
      </c>
    </row>
    <row r="134" spans="1:20" ht="18.75" customHeight="1">
      <c r="A134" s="213"/>
      <c r="B134" s="213"/>
      <c r="C134" s="210"/>
      <c r="D134" s="210"/>
      <c r="E134" s="186" t="s">
        <v>55</v>
      </c>
      <c r="F134" s="186" t="s">
        <v>2467</v>
      </c>
      <c r="G134" s="186" t="s">
        <v>4714</v>
      </c>
      <c r="H134" s="186"/>
      <c r="I134" s="186"/>
      <c r="J134" s="186"/>
      <c r="K134" s="186"/>
      <c r="L134" s="186"/>
      <c r="M134" s="186"/>
      <c r="N134" s="90"/>
      <c r="O134" s="90"/>
      <c r="P134" s="90"/>
      <c r="Q134" s="186"/>
      <c r="R134" s="122"/>
      <c r="S134" s="123"/>
      <c r="T134" s="186" t="s">
        <v>2469</v>
      </c>
    </row>
    <row r="135" spans="1:20" ht="18.75" customHeight="1">
      <c r="A135" s="213"/>
      <c r="B135" s="213"/>
      <c r="C135" s="210"/>
      <c r="D135" s="210"/>
      <c r="E135" s="186" t="s">
        <v>55</v>
      </c>
      <c r="F135" s="186" t="s">
        <v>322</v>
      </c>
      <c r="G135" s="186" t="s">
        <v>264</v>
      </c>
      <c r="H135" s="186"/>
      <c r="I135" s="186"/>
      <c r="J135" s="186"/>
      <c r="K135" s="186"/>
      <c r="L135" s="186"/>
      <c r="M135" s="186"/>
      <c r="N135" s="90"/>
      <c r="O135" s="90"/>
      <c r="P135" s="90"/>
      <c r="Q135" s="186"/>
      <c r="R135" s="122"/>
      <c r="S135" s="123"/>
      <c r="T135" s="186" t="s">
        <v>322</v>
      </c>
    </row>
    <row r="136" spans="1:20" ht="18.75" customHeight="1">
      <c r="A136" s="213"/>
      <c r="B136" s="213"/>
      <c r="C136" s="210"/>
      <c r="D136" s="210"/>
      <c r="E136" s="186" t="s">
        <v>55</v>
      </c>
      <c r="F136" s="186" t="s">
        <v>2473</v>
      </c>
      <c r="G136" s="186" t="s">
        <v>252</v>
      </c>
      <c r="H136" s="186"/>
      <c r="I136" s="186"/>
      <c r="J136" s="186"/>
      <c r="K136" s="186"/>
      <c r="L136" s="186"/>
      <c r="M136" s="186"/>
      <c r="N136" s="90"/>
      <c r="O136" s="90"/>
      <c r="P136" s="90"/>
      <c r="Q136" s="186"/>
      <c r="R136" s="122"/>
      <c r="S136" s="123"/>
      <c r="T136" s="186" t="s">
        <v>2474</v>
      </c>
    </row>
    <row r="137" spans="1:20" ht="18.75" customHeight="1">
      <c r="A137" s="213"/>
      <c r="B137" s="213"/>
      <c r="C137" s="210"/>
      <c r="D137" s="210"/>
      <c r="E137" s="186" t="s">
        <v>55</v>
      </c>
      <c r="F137" s="186" t="s">
        <v>2475</v>
      </c>
      <c r="G137" s="186" t="s">
        <v>4715</v>
      </c>
      <c r="H137" s="186"/>
      <c r="I137" s="186"/>
      <c r="J137" s="186"/>
      <c r="K137" s="186"/>
      <c r="L137" s="186"/>
      <c r="M137" s="186"/>
      <c r="N137" s="90"/>
      <c r="O137" s="90"/>
      <c r="P137" s="90"/>
      <c r="Q137" s="186"/>
      <c r="R137" s="122"/>
      <c r="S137" s="123"/>
      <c r="T137" s="186" t="s">
        <v>2477</v>
      </c>
    </row>
    <row r="138" spans="1:20" ht="18.75" customHeight="1">
      <c r="A138" s="213"/>
      <c r="B138" s="213"/>
      <c r="C138" s="210"/>
      <c r="D138" s="210"/>
      <c r="E138" s="186" t="s">
        <v>55</v>
      </c>
      <c r="F138" s="186" t="s">
        <v>4716</v>
      </c>
      <c r="G138" s="186" t="s">
        <v>242</v>
      </c>
      <c r="H138" s="186"/>
      <c r="I138" s="186"/>
      <c r="J138" s="186"/>
      <c r="K138" s="186"/>
      <c r="L138" s="186"/>
      <c r="M138" s="186"/>
      <c r="N138" s="90"/>
      <c r="O138" s="90"/>
      <c r="P138" s="90"/>
      <c r="Q138" s="186"/>
      <c r="R138" s="122"/>
      <c r="S138" s="123"/>
      <c r="T138" s="186" t="s">
        <v>4717</v>
      </c>
    </row>
    <row r="139" spans="1:20" ht="18.75" customHeight="1">
      <c r="A139" s="213"/>
      <c r="B139" s="213"/>
      <c r="C139" s="210"/>
      <c r="D139" s="210"/>
      <c r="E139" s="186" t="s">
        <v>55</v>
      </c>
      <c r="F139" s="186" t="s">
        <v>4718</v>
      </c>
      <c r="G139" s="186" t="s">
        <v>247</v>
      </c>
      <c r="H139" s="186"/>
      <c r="I139" s="186"/>
      <c r="J139" s="186"/>
      <c r="K139" s="186"/>
      <c r="L139" s="186"/>
      <c r="M139" s="186"/>
      <c r="N139" s="90"/>
      <c r="O139" s="90"/>
      <c r="P139" s="90"/>
      <c r="Q139" s="186"/>
      <c r="R139" s="122"/>
      <c r="S139" s="123"/>
      <c r="T139" s="186" t="s">
        <v>4719</v>
      </c>
    </row>
    <row r="140" spans="1:20" ht="18.75" customHeight="1">
      <c r="A140" s="213"/>
      <c r="B140" s="213"/>
      <c r="C140" s="210"/>
      <c r="D140" s="210"/>
      <c r="E140" s="186" t="s">
        <v>55</v>
      </c>
      <c r="F140" s="186" t="s">
        <v>4720</v>
      </c>
      <c r="G140" s="186" t="s">
        <v>264</v>
      </c>
      <c r="H140" s="186"/>
      <c r="I140" s="186"/>
      <c r="J140" s="186"/>
      <c r="K140" s="186"/>
      <c r="L140" s="186"/>
      <c r="M140" s="186"/>
      <c r="N140" s="90"/>
      <c r="O140" s="90"/>
      <c r="P140" s="90"/>
      <c r="Q140" s="186"/>
      <c r="R140" s="122"/>
      <c r="S140" s="123"/>
      <c r="T140" s="186" t="s">
        <v>4721</v>
      </c>
    </row>
    <row r="141" spans="1:20" ht="18.75" customHeight="1">
      <c r="A141" s="213"/>
      <c r="B141" s="213"/>
      <c r="C141" s="210"/>
      <c r="D141" s="210"/>
      <c r="E141" s="186" t="s">
        <v>55</v>
      </c>
      <c r="F141" s="186" t="s">
        <v>4722</v>
      </c>
      <c r="G141" s="186" t="s">
        <v>264</v>
      </c>
      <c r="H141" s="186"/>
      <c r="I141" s="186"/>
      <c r="J141" s="186"/>
      <c r="K141" s="186"/>
      <c r="L141" s="186"/>
      <c r="M141" s="186"/>
      <c r="N141" s="90"/>
      <c r="O141" s="90"/>
      <c r="P141" s="90"/>
      <c r="Q141" s="186"/>
      <c r="R141" s="122"/>
      <c r="S141" s="123"/>
      <c r="T141" s="186" t="s">
        <v>4723</v>
      </c>
    </row>
    <row r="142" spans="1:20" ht="18.75" customHeight="1">
      <c r="A142" s="213"/>
      <c r="B142" s="213"/>
      <c r="C142" s="210"/>
      <c r="D142" s="210"/>
      <c r="E142" s="186" t="s">
        <v>55</v>
      </c>
      <c r="F142" s="186" t="s">
        <v>155</v>
      </c>
      <c r="G142" s="186" t="s">
        <v>429</v>
      </c>
      <c r="H142" s="186"/>
      <c r="I142" s="186"/>
      <c r="J142" s="186"/>
      <c r="K142" s="186"/>
      <c r="L142" s="186"/>
      <c r="M142" s="186"/>
      <c r="N142" s="90"/>
      <c r="O142" s="90"/>
      <c r="P142" s="90"/>
      <c r="Q142" s="186"/>
      <c r="R142" s="122"/>
      <c r="S142" s="123"/>
      <c r="T142" s="186" t="s">
        <v>2481</v>
      </c>
    </row>
    <row r="143" spans="1:20" ht="18.75" customHeight="1">
      <c r="A143" s="213"/>
      <c r="B143" s="213"/>
      <c r="C143" s="210"/>
      <c r="D143" s="210"/>
      <c r="E143" s="186" t="s">
        <v>55</v>
      </c>
      <c r="F143" s="186" t="s">
        <v>4724</v>
      </c>
      <c r="G143" s="186" t="s">
        <v>329</v>
      </c>
      <c r="H143" s="186"/>
      <c r="I143" s="186"/>
      <c r="J143" s="186"/>
      <c r="K143" s="186"/>
      <c r="L143" s="186"/>
      <c r="M143" s="186"/>
      <c r="N143" s="90"/>
      <c r="O143" s="90"/>
      <c r="P143" s="90"/>
      <c r="Q143" s="186"/>
      <c r="R143" s="122"/>
      <c r="S143" s="123"/>
      <c r="T143" s="186" t="s">
        <v>4725</v>
      </c>
    </row>
    <row r="144" spans="1:20" ht="18.75" customHeight="1">
      <c r="A144" s="213"/>
      <c r="B144" s="213"/>
      <c r="C144" s="210"/>
      <c r="D144" s="210"/>
      <c r="E144" s="186" t="s">
        <v>55</v>
      </c>
      <c r="F144" s="186" t="s">
        <v>4726</v>
      </c>
      <c r="G144" s="186" t="s">
        <v>247</v>
      </c>
      <c r="H144" s="186"/>
      <c r="I144" s="186"/>
      <c r="J144" s="186"/>
      <c r="K144" s="186"/>
      <c r="L144" s="186"/>
      <c r="M144" s="186"/>
      <c r="N144" s="90"/>
      <c r="O144" s="90"/>
      <c r="P144" s="90"/>
      <c r="Q144" s="186"/>
      <c r="R144" s="122"/>
      <c r="S144" s="123"/>
      <c r="T144" s="186" t="s">
        <v>3537</v>
      </c>
    </row>
    <row r="145" spans="1:20" ht="18.75" customHeight="1">
      <c r="A145" s="213"/>
      <c r="B145" s="213"/>
      <c r="C145" s="210"/>
      <c r="D145" s="210"/>
      <c r="E145" s="186" t="s">
        <v>55</v>
      </c>
      <c r="F145" s="186" t="s">
        <v>4727</v>
      </c>
      <c r="G145" s="186" t="s">
        <v>922</v>
      </c>
      <c r="H145" s="186"/>
      <c r="I145" s="186"/>
      <c r="J145" s="186"/>
      <c r="K145" s="186"/>
      <c r="L145" s="186"/>
      <c r="M145" s="186"/>
      <c r="N145" s="90"/>
      <c r="O145" s="90"/>
      <c r="P145" s="90"/>
      <c r="Q145" s="186"/>
      <c r="R145" s="122"/>
      <c r="S145" s="123"/>
      <c r="T145" s="186" t="s">
        <v>3537</v>
      </c>
    </row>
    <row r="146" spans="1:20" ht="18.75" customHeight="1">
      <c r="A146" s="213"/>
      <c r="B146" s="213"/>
      <c r="C146" s="210"/>
      <c r="D146" s="210"/>
      <c r="E146" s="186" t="s">
        <v>55</v>
      </c>
      <c r="F146" s="186" t="s">
        <v>4728</v>
      </c>
      <c r="G146" s="186" t="s">
        <v>247</v>
      </c>
      <c r="H146" s="186"/>
      <c r="I146" s="186"/>
      <c r="J146" s="186"/>
      <c r="K146" s="186"/>
      <c r="L146" s="186"/>
      <c r="M146" s="186"/>
      <c r="N146" s="90"/>
      <c r="O146" s="90"/>
      <c r="P146" s="90"/>
      <c r="Q146" s="186"/>
      <c r="R146" s="122"/>
      <c r="S146" s="123"/>
      <c r="T146" s="186" t="s">
        <v>3537</v>
      </c>
    </row>
    <row r="147" spans="1:20" ht="18.75" customHeight="1">
      <c r="A147" s="213"/>
      <c r="B147" s="213"/>
      <c r="C147" s="210"/>
      <c r="D147" s="210"/>
      <c r="E147" s="186" t="s">
        <v>55</v>
      </c>
      <c r="F147" s="186" t="s">
        <v>4729</v>
      </c>
      <c r="G147" s="186" t="s">
        <v>909</v>
      </c>
      <c r="H147" s="186"/>
      <c r="I147" s="186"/>
      <c r="J147" s="186"/>
      <c r="K147" s="186"/>
      <c r="L147" s="186"/>
      <c r="M147" s="186"/>
      <c r="N147" s="90"/>
      <c r="O147" s="90"/>
      <c r="P147" s="90"/>
      <c r="Q147" s="186"/>
      <c r="R147" s="122"/>
      <c r="S147" s="123"/>
      <c r="T147" s="186" t="s">
        <v>3537</v>
      </c>
    </row>
    <row r="148" spans="1:20" ht="18.75" customHeight="1">
      <c r="A148" s="213"/>
      <c r="B148" s="213"/>
      <c r="C148" s="210"/>
      <c r="D148" s="210"/>
      <c r="E148" s="186" t="s">
        <v>55</v>
      </c>
      <c r="F148" s="186" t="s">
        <v>2491</v>
      </c>
      <c r="G148" s="186" t="s">
        <v>432</v>
      </c>
      <c r="H148" s="186"/>
      <c r="I148" s="186"/>
      <c r="J148" s="186"/>
      <c r="K148" s="186"/>
      <c r="L148" s="186"/>
      <c r="M148" s="186"/>
      <c r="N148" s="90"/>
      <c r="O148" s="90"/>
      <c r="P148" s="90"/>
      <c r="Q148" s="186"/>
      <c r="R148" s="122"/>
      <c r="S148" s="123"/>
      <c r="T148" s="186" t="s">
        <v>2492</v>
      </c>
    </row>
    <row r="149" spans="1:20" ht="18.75" customHeight="1">
      <c r="A149" s="213"/>
      <c r="B149" s="213"/>
      <c r="C149" s="210"/>
      <c r="D149" s="210"/>
      <c r="E149" s="186" t="s">
        <v>55</v>
      </c>
      <c r="F149" s="186" t="s">
        <v>2494</v>
      </c>
      <c r="G149" s="186" t="s">
        <v>4714</v>
      </c>
      <c r="H149" s="186"/>
      <c r="I149" s="186"/>
      <c r="J149" s="186"/>
      <c r="K149" s="186"/>
      <c r="L149" s="186"/>
      <c r="M149" s="186"/>
      <c r="N149" s="90"/>
      <c r="O149" s="90"/>
      <c r="P149" s="90"/>
      <c r="Q149" s="186"/>
      <c r="R149" s="122"/>
      <c r="S149" s="123"/>
      <c r="T149" s="186" t="s">
        <v>2495</v>
      </c>
    </row>
    <row r="150" spans="1:20" ht="18.75" customHeight="1">
      <c r="A150" s="213"/>
      <c r="B150" s="213"/>
      <c r="C150" s="210"/>
      <c r="D150" s="210"/>
      <c r="E150" s="186" t="s">
        <v>55</v>
      </c>
      <c r="F150" s="186" t="s">
        <v>152</v>
      </c>
      <c r="G150" s="186" t="s">
        <v>247</v>
      </c>
      <c r="H150" s="186"/>
      <c r="I150" s="186"/>
      <c r="J150" s="186"/>
      <c r="K150" s="186"/>
      <c r="L150" s="186"/>
      <c r="M150" s="186"/>
      <c r="N150" s="90"/>
      <c r="O150" s="90"/>
      <c r="P150" s="90"/>
      <c r="Q150" s="186"/>
      <c r="R150" s="122"/>
      <c r="S150" s="123"/>
      <c r="T150" s="186" t="s">
        <v>2498</v>
      </c>
    </row>
    <row r="151" spans="1:20" ht="18.75" customHeight="1">
      <c r="A151" s="213"/>
      <c r="B151" s="213"/>
      <c r="C151" s="210"/>
      <c r="D151" s="210"/>
      <c r="E151" s="186" t="s">
        <v>55</v>
      </c>
      <c r="F151" s="186" t="s">
        <v>2499</v>
      </c>
      <c r="G151" s="186" t="s">
        <v>242</v>
      </c>
      <c r="H151" s="186"/>
      <c r="I151" s="186"/>
      <c r="J151" s="186"/>
      <c r="K151" s="186"/>
      <c r="L151" s="186"/>
      <c r="M151" s="186"/>
      <c r="N151" s="90"/>
      <c r="O151" s="90"/>
      <c r="P151" s="90"/>
      <c r="Q151" s="186"/>
      <c r="R151" s="122"/>
      <c r="S151" s="123"/>
      <c r="T151" s="186" t="s">
        <v>2500</v>
      </c>
    </row>
    <row r="152" spans="1:20" ht="18.75" customHeight="1">
      <c r="A152" s="213"/>
      <c r="B152" s="213"/>
      <c r="C152" s="210"/>
      <c r="D152" s="210"/>
      <c r="E152" s="186" t="s">
        <v>55</v>
      </c>
      <c r="F152" s="186" t="s">
        <v>153</v>
      </c>
      <c r="G152" s="186" t="s">
        <v>324</v>
      </c>
      <c r="H152" s="186"/>
      <c r="I152" s="186"/>
      <c r="J152" s="186"/>
      <c r="K152" s="186"/>
      <c r="L152" s="186"/>
      <c r="M152" s="186"/>
      <c r="N152" s="90"/>
      <c r="O152" s="90"/>
      <c r="P152" s="90"/>
      <c r="Q152" s="186"/>
      <c r="R152" s="122"/>
      <c r="S152" s="123"/>
      <c r="T152" s="186" t="s">
        <v>2507</v>
      </c>
    </row>
    <row r="153" spans="1:20" ht="18.75" customHeight="1">
      <c r="A153" s="213"/>
      <c r="B153" s="213"/>
      <c r="C153" s="210"/>
      <c r="D153" s="210"/>
      <c r="E153" s="186" t="s">
        <v>55</v>
      </c>
      <c r="F153" s="186" t="s">
        <v>157</v>
      </c>
      <c r="G153" s="186" t="s">
        <v>324</v>
      </c>
      <c r="H153" s="186"/>
      <c r="I153" s="186"/>
      <c r="J153" s="186"/>
      <c r="K153" s="186"/>
      <c r="L153" s="186"/>
      <c r="M153" s="186"/>
      <c r="N153" s="90"/>
      <c r="O153" s="90"/>
      <c r="P153" s="90"/>
      <c r="Q153" s="186"/>
      <c r="R153" s="122"/>
      <c r="S153" s="123"/>
      <c r="T153" s="186" t="s">
        <v>2508</v>
      </c>
    </row>
    <row r="154" spans="1:20" ht="18.75" customHeight="1">
      <c r="A154" s="213"/>
      <c r="B154" s="213"/>
      <c r="C154" s="210"/>
      <c r="D154" s="210"/>
      <c r="E154" s="186" t="s">
        <v>55</v>
      </c>
      <c r="F154" s="186" t="s">
        <v>151</v>
      </c>
      <c r="G154" s="186" t="s">
        <v>247</v>
      </c>
      <c r="H154" s="186"/>
      <c r="I154" s="186"/>
      <c r="J154" s="186"/>
      <c r="K154" s="186"/>
      <c r="L154" s="186"/>
      <c r="M154" s="186"/>
      <c r="N154" s="90"/>
      <c r="O154" s="90"/>
      <c r="P154" s="90"/>
      <c r="Q154" s="186"/>
      <c r="R154" s="122"/>
      <c r="S154" s="123"/>
      <c r="T154" s="186" t="s">
        <v>2509</v>
      </c>
    </row>
    <row r="155" spans="1:20" ht="18.75" customHeight="1">
      <c r="A155" s="213"/>
      <c r="B155" s="213"/>
      <c r="C155" s="210"/>
      <c r="D155" s="210"/>
      <c r="E155" s="186" t="s">
        <v>55</v>
      </c>
      <c r="F155" s="186" t="s">
        <v>349</v>
      </c>
      <c r="G155" s="186" t="s">
        <v>247</v>
      </c>
      <c r="H155" s="186"/>
      <c r="I155" s="186"/>
      <c r="J155" s="186"/>
      <c r="K155" s="186"/>
      <c r="L155" s="186"/>
      <c r="M155" s="186"/>
      <c r="N155" s="90"/>
      <c r="O155" s="90"/>
      <c r="P155" s="90"/>
      <c r="Q155" s="186"/>
      <c r="R155" s="122"/>
      <c r="S155" s="123"/>
      <c r="T155" s="186" t="s">
        <v>2510</v>
      </c>
    </row>
    <row r="156" spans="1:20" ht="18.75" customHeight="1">
      <c r="A156" s="213"/>
      <c r="B156" s="213"/>
      <c r="C156" s="210"/>
      <c r="D156" s="210"/>
      <c r="E156" s="186" t="s">
        <v>55</v>
      </c>
      <c r="F156" s="186" t="s">
        <v>351</v>
      </c>
      <c r="G156" s="186" t="s">
        <v>247</v>
      </c>
      <c r="H156" s="186"/>
      <c r="I156" s="186"/>
      <c r="J156" s="186"/>
      <c r="K156" s="186"/>
      <c r="L156" s="186"/>
      <c r="M156" s="186"/>
      <c r="N156" s="90"/>
      <c r="O156" s="90"/>
      <c r="P156" s="90"/>
      <c r="Q156" s="186"/>
      <c r="R156" s="122"/>
      <c r="S156" s="123"/>
      <c r="T156" s="186" t="s">
        <v>2511</v>
      </c>
    </row>
    <row r="157" spans="1:20" ht="18.75" customHeight="1">
      <c r="A157" s="213"/>
      <c r="B157" s="213"/>
      <c r="C157" s="210"/>
      <c r="D157" s="210"/>
      <c r="E157" s="186" t="s">
        <v>55</v>
      </c>
      <c r="F157" s="186" t="s">
        <v>158</v>
      </c>
      <c r="G157" s="186" t="s">
        <v>264</v>
      </c>
      <c r="H157" s="186"/>
      <c r="I157" s="186"/>
      <c r="J157" s="186"/>
      <c r="K157" s="186"/>
      <c r="L157" s="186"/>
      <c r="M157" s="186"/>
      <c r="N157" s="90"/>
      <c r="O157" s="90"/>
      <c r="P157" s="90"/>
      <c r="Q157" s="186"/>
      <c r="R157" s="122"/>
      <c r="S157" s="123"/>
      <c r="T157" s="186" t="s">
        <v>2513</v>
      </c>
    </row>
    <row r="158" spans="1:20" ht="18.75" customHeight="1">
      <c r="A158" s="213"/>
      <c r="B158" s="213"/>
      <c r="C158" s="210"/>
      <c r="D158" s="210"/>
      <c r="E158" s="186" t="s">
        <v>55</v>
      </c>
      <c r="F158" s="186" t="s">
        <v>2514</v>
      </c>
      <c r="G158" s="186" t="s">
        <v>4730</v>
      </c>
      <c r="H158" s="186"/>
      <c r="I158" s="186"/>
      <c r="J158" s="186"/>
      <c r="K158" s="186"/>
      <c r="L158" s="186"/>
      <c r="M158" s="186"/>
      <c r="N158" s="90"/>
      <c r="O158" s="90"/>
      <c r="P158" s="90"/>
      <c r="Q158" s="186"/>
      <c r="R158" s="122"/>
      <c r="S158" s="123"/>
      <c r="T158" s="186" t="s">
        <v>3537</v>
      </c>
    </row>
    <row r="159" spans="1:20" ht="18.75" customHeight="1">
      <c r="A159" s="213"/>
      <c r="B159" s="213"/>
      <c r="C159" s="210"/>
      <c r="D159" s="210"/>
      <c r="E159" s="186" t="s">
        <v>55</v>
      </c>
      <c r="F159" s="186" t="s">
        <v>320</v>
      </c>
      <c r="G159" s="186" t="s">
        <v>264</v>
      </c>
      <c r="H159" s="186"/>
      <c r="I159" s="186"/>
      <c r="J159" s="186"/>
      <c r="K159" s="186"/>
      <c r="L159" s="186"/>
      <c r="M159" s="186"/>
      <c r="N159" s="90"/>
      <c r="O159" s="90"/>
      <c r="P159" s="90"/>
      <c r="Q159" s="186"/>
      <c r="R159" s="122"/>
      <c r="S159" s="123"/>
      <c r="T159" s="186" t="s">
        <v>320</v>
      </c>
    </row>
    <row r="160" spans="1:20" ht="18.75" customHeight="1">
      <c r="A160" s="213"/>
      <c r="B160" s="213"/>
      <c r="C160" s="210"/>
      <c r="D160" s="210"/>
      <c r="E160" s="186" t="s">
        <v>55</v>
      </c>
      <c r="F160" s="186" t="s">
        <v>2515</v>
      </c>
      <c r="G160" s="186" t="s">
        <v>4714</v>
      </c>
      <c r="H160" s="186"/>
      <c r="I160" s="186"/>
      <c r="J160" s="186"/>
      <c r="K160" s="186"/>
      <c r="L160" s="186"/>
      <c r="M160" s="186"/>
      <c r="N160" s="90"/>
      <c r="O160" s="90"/>
      <c r="P160" s="90"/>
      <c r="Q160" s="186"/>
      <c r="R160" s="122"/>
      <c r="S160" s="123"/>
      <c r="T160" s="186" t="s">
        <v>2516</v>
      </c>
    </row>
    <row r="161" spans="1:20" ht="18.75" customHeight="1">
      <c r="A161" s="213"/>
      <c r="B161" s="213"/>
      <c r="C161" s="210"/>
      <c r="D161" s="210"/>
      <c r="E161" s="186" t="s">
        <v>55</v>
      </c>
      <c r="F161" s="186" t="s">
        <v>316</v>
      </c>
      <c r="G161" s="186" t="s">
        <v>264</v>
      </c>
      <c r="H161" s="186"/>
      <c r="I161" s="186"/>
      <c r="J161" s="186"/>
      <c r="K161" s="186"/>
      <c r="L161" s="186"/>
      <c r="M161" s="186"/>
      <c r="N161" s="90"/>
      <c r="O161" s="90"/>
      <c r="P161" s="90"/>
      <c r="Q161" s="186"/>
      <c r="R161" s="122"/>
      <c r="S161" s="123"/>
      <c r="T161" s="186" t="s">
        <v>1589</v>
      </c>
    </row>
    <row r="162" spans="1:20" ht="18.75" customHeight="1">
      <c r="A162" s="213"/>
      <c r="B162" s="213"/>
      <c r="C162" s="210"/>
      <c r="D162" s="210"/>
      <c r="E162" s="186" t="s">
        <v>55</v>
      </c>
      <c r="F162" s="186" t="s">
        <v>2520</v>
      </c>
      <c r="G162" s="186" t="s">
        <v>4714</v>
      </c>
      <c r="H162" s="186"/>
      <c r="I162" s="186"/>
      <c r="J162" s="186"/>
      <c r="K162" s="186"/>
      <c r="L162" s="186"/>
      <c r="M162" s="186"/>
      <c r="N162" s="90"/>
      <c r="O162" s="90"/>
      <c r="P162" s="90"/>
      <c r="Q162" s="186"/>
      <c r="R162" s="122"/>
      <c r="S162" s="123"/>
      <c r="T162" s="186" t="s">
        <v>2521</v>
      </c>
    </row>
    <row r="163" spans="1:20" ht="18.75" customHeight="1">
      <c r="A163" s="213"/>
      <c r="B163" s="213"/>
      <c r="C163" s="210"/>
      <c r="D163" s="210"/>
      <c r="E163" s="186" t="s">
        <v>55</v>
      </c>
      <c r="F163" s="186" t="s">
        <v>2522</v>
      </c>
      <c r="G163" s="186" t="s">
        <v>4730</v>
      </c>
      <c r="H163" s="186"/>
      <c r="I163" s="186"/>
      <c r="J163" s="186"/>
      <c r="K163" s="186"/>
      <c r="L163" s="186"/>
      <c r="M163" s="186"/>
      <c r="N163" s="90"/>
      <c r="O163" s="90"/>
      <c r="P163" s="90"/>
      <c r="Q163" s="186"/>
      <c r="R163" s="122"/>
      <c r="S163" s="123"/>
      <c r="T163" s="186" t="s">
        <v>2523</v>
      </c>
    </row>
    <row r="164" spans="1:20" ht="18.75" customHeight="1">
      <c r="A164" s="213"/>
      <c r="B164" s="213"/>
      <c r="C164" s="210"/>
      <c r="D164" s="210"/>
      <c r="E164" s="186" t="s">
        <v>55</v>
      </c>
      <c r="F164" s="186" t="s">
        <v>4731</v>
      </c>
      <c r="G164" s="186" t="s">
        <v>324</v>
      </c>
      <c r="H164" s="186"/>
      <c r="I164" s="186"/>
      <c r="J164" s="186"/>
      <c r="K164" s="186"/>
      <c r="L164" s="186"/>
      <c r="M164" s="186"/>
      <c r="N164" s="90"/>
      <c r="O164" s="90"/>
      <c r="P164" s="90"/>
      <c r="Q164" s="186"/>
      <c r="R164" s="122"/>
      <c r="S164" s="123"/>
      <c r="T164" s="186" t="s">
        <v>3537</v>
      </c>
    </row>
    <row r="165" spans="1:20" ht="18.75" customHeight="1">
      <c r="A165" s="213"/>
      <c r="B165" s="213"/>
      <c r="C165" s="210"/>
      <c r="D165" s="210"/>
      <c r="E165" s="186" t="s">
        <v>55</v>
      </c>
      <c r="F165" s="186" t="s">
        <v>4732</v>
      </c>
      <c r="G165" s="186" t="s">
        <v>324</v>
      </c>
      <c r="H165" s="186"/>
      <c r="I165" s="186"/>
      <c r="J165" s="186"/>
      <c r="K165" s="186"/>
      <c r="L165" s="186"/>
      <c r="M165" s="186"/>
      <c r="N165" s="90"/>
      <c r="O165" s="90"/>
      <c r="P165" s="90"/>
      <c r="Q165" s="186"/>
      <c r="R165" s="122"/>
      <c r="S165" s="123"/>
      <c r="T165" s="186" t="s">
        <v>3537</v>
      </c>
    </row>
    <row r="166" spans="1:20" ht="18.75" customHeight="1">
      <c r="A166" s="213"/>
      <c r="B166" s="213"/>
      <c r="C166" s="210"/>
      <c r="D166" s="210"/>
      <c r="E166" s="186" t="s">
        <v>55</v>
      </c>
      <c r="F166" s="186" t="s">
        <v>4733</v>
      </c>
      <c r="G166" s="186" t="s">
        <v>324</v>
      </c>
      <c r="H166" s="186"/>
      <c r="I166" s="186"/>
      <c r="J166" s="186"/>
      <c r="K166" s="186"/>
      <c r="L166" s="186"/>
      <c r="M166" s="186"/>
      <c r="N166" s="90"/>
      <c r="O166" s="90"/>
      <c r="P166" s="90"/>
      <c r="Q166" s="186"/>
      <c r="R166" s="122"/>
      <c r="S166" s="123"/>
      <c r="T166" s="186" t="s">
        <v>3537</v>
      </c>
    </row>
    <row r="167" spans="1:20" ht="18.75" customHeight="1">
      <c r="A167" s="213"/>
      <c r="B167" s="213"/>
      <c r="C167" s="210"/>
      <c r="D167" s="210"/>
      <c r="E167" s="186" t="s">
        <v>55</v>
      </c>
      <c r="F167" s="186" t="s">
        <v>1812</v>
      </c>
      <c r="G167" s="186" t="s">
        <v>247</v>
      </c>
      <c r="H167" s="186"/>
      <c r="I167" s="186"/>
      <c r="J167" s="186"/>
      <c r="K167" s="186"/>
      <c r="L167" s="186"/>
      <c r="M167" s="186"/>
      <c r="N167" s="90"/>
      <c r="O167" s="90"/>
      <c r="P167" s="90"/>
      <c r="Q167" s="186"/>
      <c r="R167" s="122"/>
      <c r="S167" s="123"/>
      <c r="T167" s="186" t="s">
        <v>2524</v>
      </c>
    </row>
    <row r="168" spans="1:20" ht="18.75" customHeight="1">
      <c r="A168" s="213"/>
      <c r="B168" s="213"/>
      <c r="C168" s="210"/>
      <c r="D168" s="210"/>
      <c r="E168" s="186" t="s">
        <v>55</v>
      </c>
      <c r="F168" s="186" t="s">
        <v>1815</v>
      </c>
      <c r="G168" s="186" t="s">
        <v>247</v>
      </c>
      <c r="H168" s="186"/>
      <c r="I168" s="186"/>
      <c r="J168" s="186"/>
      <c r="K168" s="186"/>
      <c r="L168" s="186"/>
      <c r="M168" s="186"/>
      <c r="N168" s="90"/>
      <c r="O168" s="90"/>
      <c r="P168" s="90"/>
      <c r="Q168" s="186"/>
      <c r="R168" s="122"/>
      <c r="S168" s="123"/>
      <c r="T168" s="186" t="s">
        <v>2524</v>
      </c>
    </row>
    <row r="169" spans="1:20" ht="18.75" customHeight="1">
      <c r="A169" s="213"/>
      <c r="B169" s="213"/>
      <c r="C169" s="210"/>
      <c r="D169" s="210"/>
      <c r="E169" s="186" t="s">
        <v>55</v>
      </c>
      <c r="F169" s="186" t="s">
        <v>1816</v>
      </c>
      <c r="G169" s="186" t="s">
        <v>247</v>
      </c>
      <c r="H169" s="186"/>
      <c r="I169" s="186"/>
      <c r="J169" s="186"/>
      <c r="K169" s="186"/>
      <c r="L169" s="186"/>
      <c r="M169" s="186"/>
      <c r="N169" s="90"/>
      <c r="O169" s="90"/>
      <c r="P169" s="90"/>
      <c r="Q169" s="186"/>
      <c r="R169" s="122"/>
      <c r="S169" s="123"/>
      <c r="T169" s="186" t="s">
        <v>2524</v>
      </c>
    </row>
  </sheetData>
  <pageMargins left="0.7" right="0.7" top="0.75" bottom="0.75" header="0" footer="0"/>
  <pageSetup orientation="landscape"/>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outlinePr summaryBelow="0" summaryRight="0"/>
  </sheetPr>
  <dimension ref="A3:Q329"/>
  <sheetViews>
    <sheetView workbookViewId="0">
      <pane ySplit="4" topLeftCell="A5" activePane="bottomLeft" state="frozen"/>
      <selection pane="bottomLeft" activeCell="B6" sqref="B6"/>
    </sheetView>
  </sheetViews>
  <sheetFormatPr defaultColWidth="14.453125" defaultRowHeight="15" customHeight="1"/>
  <cols>
    <col min="1" max="4" width="10.7265625" hidden="1" customWidth="1"/>
    <col min="5" max="5" width="14" customWidth="1"/>
    <col min="6" max="6" width="52.7265625" customWidth="1"/>
    <col min="7" max="7" width="20.1796875" customWidth="1"/>
    <col min="8" max="12" width="10.7265625" customWidth="1"/>
    <col min="13" max="13" width="31.1796875" customWidth="1"/>
    <col min="14" max="16" width="10.7265625" customWidth="1"/>
    <col min="17" max="17" width="39" customWidth="1"/>
    <col min="18" max="26" width="17.26953125" customWidth="1"/>
  </cols>
  <sheetData>
    <row r="3" spans="1:17" ht="12" customHeight="1">
      <c r="A3" s="332"/>
      <c r="B3" s="332"/>
      <c r="C3" s="332"/>
      <c r="D3" s="332"/>
      <c r="E3" s="399" t="s">
        <v>3009</v>
      </c>
      <c r="F3" s="332"/>
      <c r="G3" s="332"/>
      <c r="H3" s="332"/>
      <c r="I3" s="332"/>
      <c r="J3" s="332"/>
      <c r="K3" s="334"/>
      <c r="L3" s="400" t="s">
        <v>107</v>
      </c>
      <c r="M3" s="334"/>
      <c r="N3" s="334"/>
      <c r="O3" s="334"/>
      <c r="P3" s="332"/>
      <c r="Q3" s="332"/>
    </row>
    <row r="4" spans="1:17" ht="12" customHeight="1">
      <c r="A4" s="135" t="s">
        <v>1040</v>
      </c>
      <c r="B4" s="135" t="s">
        <v>1041</v>
      </c>
      <c r="C4" s="135" t="s">
        <v>1042</v>
      </c>
      <c r="D4" s="154" t="s">
        <v>1043</v>
      </c>
      <c r="E4" s="155" t="s">
        <v>224</v>
      </c>
      <c r="F4" s="155" t="s">
        <v>225</v>
      </c>
      <c r="G4" s="155" t="s">
        <v>226</v>
      </c>
      <c r="H4" s="155" t="s">
        <v>227</v>
      </c>
      <c r="I4" s="155" t="s">
        <v>1044</v>
      </c>
      <c r="J4" s="155" t="s">
        <v>1045</v>
      </c>
      <c r="K4" s="156" t="s">
        <v>1891</v>
      </c>
      <c r="L4" s="156" t="s">
        <v>3111</v>
      </c>
      <c r="M4" s="156" t="s">
        <v>109</v>
      </c>
      <c r="N4" s="156" t="s">
        <v>110</v>
      </c>
      <c r="O4" s="156" t="s">
        <v>112</v>
      </c>
      <c r="P4" s="155" t="s">
        <v>111</v>
      </c>
      <c r="Q4" s="155" t="s">
        <v>113</v>
      </c>
    </row>
    <row r="5" spans="1:17" ht="12" customHeight="1">
      <c r="A5" s="339"/>
      <c r="B5" s="339"/>
      <c r="C5" s="340"/>
      <c r="D5" s="340"/>
      <c r="E5" s="130" t="s">
        <v>53</v>
      </c>
      <c r="F5" s="130" t="s">
        <v>124</v>
      </c>
      <c r="G5" s="130" t="s">
        <v>535</v>
      </c>
      <c r="H5" s="130" t="s">
        <v>903</v>
      </c>
      <c r="I5" s="130"/>
      <c r="J5" s="157">
        <v>1</v>
      </c>
      <c r="K5" s="130"/>
      <c r="L5" s="130"/>
      <c r="M5" s="130"/>
      <c r="N5" s="130"/>
      <c r="O5" s="130"/>
      <c r="P5" s="130"/>
      <c r="Q5" s="130" t="s">
        <v>1190</v>
      </c>
    </row>
    <row r="6" spans="1:17" ht="12" customHeight="1">
      <c r="A6" s="339"/>
      <c r="B6" s="339"/>
      <c r="C6" s="340"/>
      <c r="D6" s="340"/>
      <c r="E6" s="130" t="s">
        <v>53</v>
      </c>
      <c r="F6" s="441" t="s">
        <v>1290</v>
      </c>
      <c r="G6" s="441" t="s">
        <v>432</v>
      </c>
      <c r="H6" s="441" t="s">
        <v>243</v>
      </c>
      <c r="I6" s="441"/>
      <c r="J6" s="382">
        <v>283</v>
      </c>
      <c r="K6" s="441"/>
      <c r="L6" s="441"/>
      <c r="M6" s="441"/>
      <c r="N6" s="441"/>
      <c r="O6" s="441"/>
      <c r="P6" s="441"/>
      <c r="Q6" s="130" t="s">
        <v>1190</v>
      </c>
    </row>
    <row r="7" spans="1:17" ht="12" customHeight="1">
      <c r="A7" s="339"/>
      <c r="B7" s="339"/>
      <c r="C7" s="340"/>
      <c r="D7" s="340"/>
      <c r="E7" s="130" t="s">
        <v>53</v>
      </c>
      <c r="F7" s="441" t="s">
        <v>1291</v>
      </c>
      <c r="G7" s="441" t="s">
        <v>247</v>
      </c>
      <c r="H7" s="441" t="s">
        <v>243</v>
      </c>
      <c r="I7" s="441"/>
      <c r="J7" s="382">
        <v>284</v>
      </c>
      <c r="K7" s="441"/>
      <c r="L7" s="441"/>
      <c r="M7" s="441"/>
      <c r="N7" s="441"/>
      <c r="O7" s="441"/>
      <c r="P7" s="441"/>
      <c r="Q7" s="130" t="s">
        <v>1190</v>
      </c>
    </row>
    <row r="8" spans="1:17" ht="12" customHeight="1">
      <c r="A8" s="339"/>
      <c r="B8" s="339"/>
      <c r="C8" s="340"/>
      <c r="D8" s="340"/>
      <c r="E8" s="130" t="s">
        <v>53</v>
      </c>
      <c r="F8" s="441" t="s">
        <v>1292</v>
      </c>
      <c r="G8" s="441" t="s">
        <v>535</v>
      </c>
      <c r="H8" s="441" t="s">
        <v>243</v>
      </c>
      <c r="I8" s="441"/>
      <c r="J8" s="382">
        <v>285</v>
      </c>
      <c r="K8" s="441"/>
      <c r="L8" s="441"/>
      <c r="M8" s="441"/>
      <c r="N8" s="441"/>
      <c r="O8" s="441"/>
      <c r="P8" s="441"/>
      <c r="Q8" s="130" t="s">
        <v>1190</v>
      </c>
    </row>
    <row r="9" spans="1:17" ht="12" customHeight="1">
      <c r="A9" s="339"/>
      <c r="B9" s="339"/>
      <c r="C9" s="340"/>
      <c r="D9" s="340"/>
      <c r="E9" s="130" t="s">
        <v>53</v>
      </c>
      <c r="F9" s="441" t="s">
        <v>1289</v>
      </c>
      <c r="G9" s="441" t="s">
        <v>324</v>
      </c>
      <c r="H9" s="441" t="s">
        <v>243</v>
      </c>
      <c r="I9" s="441"/>
      <c r="J9" s="382">
        <v>286</v>
      </c>
      <c r="K9" s="441"/>
      <c r="L9" s="441"/>
      <c r="M9" s="441"/>
      <c r="N9" s="441"/>
      <c r="O9" s="441"/>
      <c r="P9" s="441"/>
      <c r="Q9" s="130" t="s">
        <v>1190</v>
      </c>
    </row>
    <row r="10" spans="1:17" ht="12" customHeight="1">
      <c r="A10" s="339"/>
      <c r="B10" s="339"/>
      <c r="C10" s="340"/>
      <c r="D10" s="340"/>
      <c r="E10" s="130" t="s">
        <v>53</v>
      </c>
      <c r="F10" s="441" t="s">
        <v>1293</v>
      </c>
      <c r="G10" s="441" t="s">
        <v>432</v>
      </c>
      <c r="H10" s="441" t="s">
        <v>243</v>
      </c>
      <c r="I10" s="441"/>
      <c r="J10" s="382">
        <v>287</v>
      </c>
      <c r="K10" s="441"/>
      <c r="L10" s="441"/>
      <c r="M10" s="441"/>
      <c r="N10" s="441"/>
      <c r="O10" s="441"/>
      <c r="P10" s="441"/>
      <c r="Q10" s="130" t="s">
        <v>1190</v>
      </c>
    </row>
    <row r="11" spans="1:17" ht="12" customHeight="1">
      <c r="A11" s="339"/>
      <c r="B11" s="339"/>
      <c r="C11" s="340"/>
      <c r="D11" s="340"/>
      <c r="E11" s="130" t="s">
        <v>53</v>
      </c>
      <c r="F11" s="441" t="s">
        <v>1406</v>
      </c>
      <c r="G11" s="441" t="s">
        <v>535</v>
      </c>
      <c r="H11" s="441" t="s">
        <v>243</v>
      </c>
      <c r="I11" s="441"/>
      <c r="J11" s="382">
        <v>291</v>
      </c>
      <c r="K11" s="441"/>
      <c r="L11" s="441"/>
      <c r="M11" s="441"/>
      <c r="N11" s="441"/>
      <c r="O11" s="441"/>
      <c r="P11" s="441"/>
      <c r="Q11" s="130" t="s">
        <v>1190</v>
      </c>
    </row>
    <row r="12" spans="1:17" ht="12" customHeight="1">
      <c r="A12" s="339"/>
      <c r="B12" s="339"/>
      <c r="C12" s="340"/>
      <c r="D12" s="340"/>
      <c r="E12" s="130" t="s">
        <v>53</v>
      </c>
      <c r="F12" s="441" t="s">
        <v>1409</v>
      </c>
      <c r="G12" s="441" t="s">
        <v>535</v>
      </c>
      <c r="H12" s="441" t="s">
        <v>243</v>
      </c>
      <c r="I12" s="441"/>
      <c r="J12" s="382">
        <v>292</v>
      </c>
      <c r="K12" s="441"/>
      <c r="L12" s="441"/>
      <c r="M12" s="441"/>
      <c r="N12" s="441"/>
      <c r="O12" s="441"/>
      <c r="P12" s="441"/>
      <c r="Q12" s="130" t="s">
        <v>1190</v>
      </c>
    </row>
    <row r="13" spans="1:17" ht="12" customHeight="1">
      <c r="A13" s="339"/>
      <c r="B13" s="339"/>
      <c r="C13" s="340"/>
      <c r="D13" s="340"/>
      <c r="E13" s="130" t="s">
        <v>53</v>
      </c>
      <c r="F13" s="130" t="s">
        <v>1189</v>
      </c>
      <c r="G13" s="130" t="s">
        <v>249</v>
      </c>
      <c r="H13" s="130" t="s">
        <v>243</v>
      </c>
      <c r="I13" s="130"/>
      <c r="J13" s="157">
        <v>29</v>
      </c>
      <c r="K13" s="130"/>
      <c r="L13" s="130"/>
      <c r="M13" s="130"/>
      <c r="N13" s="130"/>
      <c r="O13" s="130"/>
      <c r="P13" s="130"/>
      <c r="Q13" s="130" t="s">
        <v>1190</v>
      </c>
    </row>
    <row r="14" spans="1:17" ht="12" customHeight="1">
      <c r="A14" s="339"/>
      <c r="B14" s="339"/>
      <c r="C14" s="340"/>
      <c r="D14" s="340"/>
      <c r="E14" s="130" t="s">
        <v>53</v>
      </c>
      <c r="F14" s="130" t="s">
        <v>1191</v>
      </c>
      <c r="G14" s="130" t="s">
        <v>252</v>
      </c>
      <c r="H14" s="130" t="s">
        <v>243</v>
      </c>
      <c r="I14" s="130"/>
      <c r="J14" s="157">
        <v>30</v>
      </c>
      <c r="K14" s="130"/>
      <c r="L14" s="130"/>
      <c r="M14" s="130"/>
      <c r="N14" s="130"/>
      <c r="O14" s="130"/>
      <c r="P14" s="130"/>
      <c r="Q14" s="130" t="s">
        <v>1190</v>
      </c>
    </row>
    <row r="15" spans="1:17" ht="12" customHeight="1">
      <c r="A15" s="339"/>
      <c r="B15" s="339"/>
      <c r="C15" s="340"/>
      <c r="D15" s="340"/>
      <c r="E15" s="130" t="s">
        <v>53</v>
      </c>
      <c r="F15" s="130" t="s">
        <v>1192</v>
      </c>
      <c r="G15" s="130" t="s">
        <v>242</v>
      </c>
      <c r="H15" s="130" t="s">
        <v>243</v>
      </c>
      <c r="I15" s="130"/>
      <c r="J15" s="157">
        <v>31</v>
      </c>
      <c r="K15" s="130"/>
      <c r="L15" s="130"/>
      <c r="M15" s="130"/>
      <c r="N15" s="130"/>
      <c r="O15" s="130"/>
      <c r="P15" s="130"/>
      <c r="Q15" s="130" t="s">
        <v>1190</v>
      </c>
    </row>
    <row r="16" spans="1:17" ht="12" customHeight="1">
      <c r="A16" s="339"/>
      <c r="B16" s="339"/>
      <c r="C16" s="340"/>
      <c r="D16" s="340"/>
      <c r="E16" s="130" t="s">
        <v>53</v>
      </c>
      <c r="F16" s="130" t="s">
        <v>1193</v>
      </c>
      <c r="G16" s="130" t="s">
        <v>247</v>
      </c>
      <c r="H16" s="130" t="s">
        <v>243</v>
      </c>
      <c r="I16" s="130"/>
      <c r="J16" s="157">
        <v>32</v>
      </c>
      <c r="K16" s="130"/>
      <c r="L16" s="130"/>
      <c r="M16" s="130"/>
      <c r="N16" s="130"/>
      <c r="O16" s="130"/>
      <c r="P16" s="130"/>
      <c r="Q16" s="130" t="s">
        <v>1190</v>
      </c>
    </row>
    <row r="17" spans="1:17" ht="12" customHeight="1">
      <c r="A17" s="339"/>
      <c r="B17" s="339"/>
      <c r="C17" s="340"/>
      <c r="D17" s="340"/>
      <c r="E17" s="130" t="s">
        <v>53</v>
      </c>
      <c r="F17" s="130" t="s">
        <v>1194</v>
      </c>
      <c r="G17" s="130" t="s">
        <v>252</v>
      </c>
      <c r="H17" s="130" t="s">
        <v>243</v>
      </c>
      <c r="I17" s="130"/>
      <c r="J17" s="157">
        <v>33</v>
      </c>
      <c r="K17" s="130"/>
      <c r="L17" s="130"/>
      <c r="M17" s="130"/>
      <c r="N17" s="130"/>
      <c r="O17" s="130"/>
      <c r="P17" s="130"/>
      <c r="Q17" s="130" t="s">
        <v>1190</v>
      </c>
    </row>
    <row r="18" spans="1:17" ht="12" customHeight="1">
      <c r="A18" s="339"/>
      <c r="B18" s="339"/>
      <c r="C18" s="340"/>
      <c r="D18" s="340"/>
      <c r="E18" s="130" t="s">
        <v>53</v>
      </c>
      <c r="F18" s="130" t="s">
        <v>1195</v>
      </c>
      <c r="G18" s="130" t="s">
        <v>247</v>
      </c>
      <c r="H18" s="130" t="s">
        <v>243</v>
      </c>
      <c r="I18" s="130"/>
      <c r="J18" s="157">
        <v>34</v>
      </c>
      <c r="K18" s="130"/>
      <c r="L18" s="130"/>
      <c r="M18" s="130"/>
      <c r="N18" s="130"/>
      <c r="O18" s="130"/>
      <c r="P18" s="130"/>
      <c r="Q18" s="130" t="s">
        <v>1190</v>
      </c>
    </row>
    <row r="19" spans="1:17" ht="12" customHeight="1">
      <c r="A19" s="339"/>
      <c r="B19" s="339"/>
      <c r="C19" s="340"/>
      <c r="D19" s="340"/>
      <c r="E19" s="130" t="s">
        <v>53</v>
      </c>
      <c r="F19" s="130" t="s">
        <v>1196</v>
      </c>
      <c r="G19" s="130" t="s">
        <v>535</v>
      </c>
      <c r="H19" s="130" t="s">
        <v>903</v>
      </c>
      <c r="I19" s="130"/>
      <c r="J19" s="157">
        <v>35</v>
      </c>
      <c r="K19" s="130"/>
      <c r="L19" s="130"/>
      <c r="M19" s="130"/>
      <c r="N19" s="130"/>
      <c r="O19" s="130"/>
      <c r="P19" s="130"/>
      <c r="Q19" s="130" t="s">
        <v>1190</v>
      </c>
    </row>
    <row r="20" spans="1:17" ht="12" customHeight="1">
      <c r="A20" s="339"/>
      <c r="B20" s="339"/>
      <c r="C20" s="340"/>
      <c r="D20" s="340"/>
      <c r="E20" s="130" t="s">
        <v>53</v>
      </c>
      <c r="F20" s="441" t="s">
        <v>1288</v>
      </c>
      <c r="G20" s="441" t="s">
        <v>535</v>
      </c>
      <c r="H20" s="441" t="s">
        <v>903</v>
      </c>
      <c r="I20" s="441"/>
      <c r="J20" s="382">
        <v>293</v>
      </c>
      <c r="K20" s="441"/>
      <c r="L20" s="441"/>
      <c r="M20" s="441"/>
      <c r="N20" s="441"/>
      <c r="O20" s="441"/>
      <c r="P20" s="441"/>
      <c r="Q20" s="130" t="s">
        <v>1190</v>
      </c>
    </row>
    <row r="21" spans="1:17" ht="12" customHeight="1">
      <c r="A21" s="339"/>
      <c r="B21" s="339"/>
      <c r="C21" s="340"/>
      <c r="D21" s="340"/>
      <c r="E21" s="441" t="s">
        <v>53</v>
      </c>
      <c r="F21" s="441" t="s">
        <v>123</v>
      </c>
      <c r="G21" s="441" t="s">
        <v>535</v>
      </c>
      <c r="H21" s="441" t="s">
        <v>243</v>
      </c>
      <c r="I21" s="441"/>
      <c r="J21" s="382">
        <v>294</v>
      </c>
      <c r="K21" s="382">
        <v>1</v>
      </c>
      <c r="L21" s="441"/>
      <c r="M21" s="441"/>
      <c r="N21" s="441" t="s">
        <v>4734</v>
      </c>
      <c r="O21" s="441"/>
      <c r="P21" s="441"/>
      <c r="Q21" s="441" t="s">
        <v>1190</v>
      </c>
    </row>
    <row r="22" spans="1:17" ht="12" customHeight="1">
      <c r="A22" s="339"/>
      <c r="B22" s="339"/>
      <c r="C22" s="340"/>
      <c r="D22" s="340"/>
      <c r="E22" s="441" t="s">
        <v>53</v>
      </c>
      <c r="F22" s="441" t="s">
        <v>4735</v>
      </c>
      <c r="G22" s="441" t="s">
        <v>535</v>
      </c>
      <c r="H22" s="441" t="s">
        <v>243</v>
      </c>
      <c r="I22" s="441"/>
      <c r="J22" s="157">
        <v>26</v>
      </c>
      <c r="K22" s="157">
        <v>1</v>
      </c>
      <c r="L22" s="441" t="s">
        <v>4736</v>
      </c>
      <c r="M22" s="441"/>
      <c r="N22" t="s">
        <v>4737</v>
      </c>
      <c r="O22" s="441"/>
      <c r="P22" s="441"/>
      <c r="Q22" s="441" t="s">
        <v>1190</v>
      </c>
    </row>
    <row r="23" spans="1:17" ht="12" customHeight="1">
      <c r="A23" s="339"/>
      <c r="B23" s="339"/>
      <c r="C23" s="340"/>
      <c r="D23" s="340"/>
      <c r="E23" s="441" t="s">
        <v>55</v>
      </c>
      <c r="F23" s="441" t="s">
        <v>4738</v>
      </c>
      <c r="G23" s="441" t="s">
        <v>264</v>
      </c>
      <c r="H23" s="441" t="s">
        <v>243</v>
      </c>
      <c r="I23" s="441"/>
      <c r="J23" s="382">
        <v>288</v>
      </c>
      <c r="K23" s="441"/>
      <c r="L23" s="441"/>
      <c r="M23" s="441"/>
      <c r="N23" s="441"/>
      <c r="O23" s="441"/>
      <c r="P23" s="441"/>
      <c r="Q23" s="441" t="s">
        <v>1190</v>
      </c>
    </row>
    <row r="24" spans="1:17" ht="12" customHeight="1">
      <c r="A24" s="339"/>
      <c r="B24" s="339"/>
      <c r="C24" s="340"/>
      <c r="D24" s="340"/>
      <c r="E24" s="441" t="s">
        <v>55</v>
      </c>
      <c r="F24" s="441" t="s">
        <v>4739</v>
      </c>
      <c r="G24" s="441" t="s">
        <v>535</v>
      </c>
      <c r="H24" s="441" t="s">
        <v>243</v>
      </c>
      <c r="I24" s="441"/>
      <c r="J24" s="382">
        <v>289</v>
      </c>
      <c r="K24" s="441"/>
      <c r="L24" s="441"/>
      <c r="M24" s="441"/>
      <c r="N24" s="441"/>
      <c r="O24" s="441"/>
      <c r="P24" s="441"/>
      <c r="Q24" s="441" t="s">
        <v>1190</v>
      </c>
    </row>
    <row r="25" spans="1:17" ht="12" customHeight="1">
      <c r="A25" s="339"/>
      <c r="B25" s="339"/>
      <c r="C25" s="340"/>
      <c r="D25" s="340"/>
      <c r="E25" s="441" t="s">
        <v>55</v>
      </c>
      <c r="F25" s="441" t="s">
        <v>4740</v>
      </c>
      <c r="G25" s="441" t="s">
        <v>247</v>
      </c>
      <c r="H25" s="441" t="s">
        <v>243</v>
      </c>
      <c r="I25" s="441"/>
      <c r="J25" s="382">
        <v>290</v>
      </c>
      <c r="K25" s="441"/>
      <c r="L25" s="441"/>
      <c r="M25" s="441"/>
      <c r="N25" s="441"/>
      <c r="O25" s="441"/>
      <c r="P25" s="441"/>
      <c r="Q25" s="441" t="s">
        <v>1190</v>
      </c>
    </row>
    <row r="26" spans="1:17" ht="12" customHeight="1">
      <c r="A26" s="339"/>
      <c r="B26" s="339"/>
      <c r="C26" s="340"/>
      <c r="D26" s="340"/>
      <c r="E26" s="441" t="s">
        <v>55</v>
      </c>
      <c r="F26" s="441" t="s">
        <v>4741</v>
      </c>
      <c r="G26" s="441" t="s">
        <v>329</v>
      </c>
      <c r="H26" s="441" t="s">
        <v>243</v>
      </c>
      <c r="I26" s="441"/>
      <c r="J26" s="157">
        <v>2</v>
      </c>
      <c r="K26" s="441"/>
      <c r="L26" s="441"/>
      <c r="M26" s="441"/>
      <c r="N26" s="441"/>
      <c r="O26" s="441"/>
      <c r="P26" s="441"/>
      <c r="Q26" s="441" t="s">
        <v>4742</v>
      </c>
    </row>
    <row r="27" spans="1:17" ht="12" customHeight="1">
      <c r="A27" s="339"/>
      <c r="B27" s="339"/>
      <c r="C27" s="340"/>
      <c r="D27" s="340"/>
      <c r="E27" s="441" t="s">
        <v>55</v>
      </c>
      <c r="F27" s="441" t="s">
        <v>4743</v>
      </c>
      <c r="G27" s="441" t="s">
        <v>329</v>
      </c>
      <c r="H27" s="441" t="s">
        <v>243</v>
      </c>
      <c r="I27" s="441"/>
      <c r="J27" s="157">
        <v>3</v>
      </c>
      <c r="K27" s="441"/>
      <c r="L27" s="441"/>
      <c r="M27" s="441"/>
      <c r="N27" s="441"/>
      <c r="O27" s="441"/>
      <c r="P27" s="441"/>
      <c r="Q27" s="441" t="s">
        <v>4742</v>
      </c>
    </row>
    <row r="28" spans="1:17" ht="12" customHeight="1">
      <c r="A28" s="339"/>
      <c r="B28" s="339"/>
      <c r="C28" s="340"/>
      <c r="D28" s="340"/>
      <c r="E28" s="441" t="s">
        <v>55</v>
      </c>
      <c r="F28" s="441" t="s">
        <v>4744</v>
      </c>
      <c r="G28" s="441" t="s">
        <v>329</v>
      </c>
      <c r="H28" s="441" t="s">
        <v>243</v>
      </c>
      <c r="I28" s="441"/>
      <c r="J28" s="157">
        <v>4</v>
      </c>
      <c r="K28" s="441"/>
      <c r="L28" s="441"/>
      <c r="M28" s="441"/>
      <c r="N28" s="441"/>
      <c r="O28" s="441"/>
      <c r="P28" s="441"/>
      <c r="Q28" s="441" t="s">
        <v>4742</v>
      </c>
    </row>
    <row r="29" spans="1:17" ht="12" customHeight="1">
      <c r="A29" s="339"/>
      <c r="B29" s="339"/>
      <c r="C29" s="340"/>
      <c r="D29" s="340"/>
      <c r="E29" s="441" t="s">
        <v>55</v>
      </c>
      <c r="F29" s="441" t="s">
        <v>4745</v>
      </c>
      <c r="G29" s="441" t="s">
        <v>329</v>
      </c>
      <c r="H29" s="441" t="s">
        <v>243</v>
      </c>
      <c r="I29" s="441"/>
      <c r="J29" s="157">
        <v>5</v>
      </c>
      <c r="K29" s="441"/>
      <c r="L29" s="441"/>
      <c r="M29" s="441"/>
      <c r="N29" s="441"/>
      <c r="O29" s="441"/>
      <c r="P29" s="441"/>
      <c r="Q29" s="441" t="s">
        <v>4742</v>
      </c>
    </row>
    <row r="30" spans="1:17" ht="12" customHeight="1">
      <c r="A30" s="339"/>
      <c r="B30" s="339"/>
      <c r="C30" s="340"/>
      <c r="D30" s="340"/>
      <c r="E30" s="441" t="s">
        <v>55</v>
      </c>
      <c r="F30" s="441" t="s">
        <v>4746</v>
      </c>
      <c r="G30" s="441" t="s">
        <v>329</v>
      </c>
      <c r="H30" s="441" t="s">
        <v>243</v>
      </c>
      <c r="I30" s="441"/>
      <c r="J30" s="157">
        <v>6</v>
      </c>
      <c r="K30" s="441"/>
      <c r="L30" s="441"/>
      <c r="M30" s="441"/>
      <c r="N30" s="441"/>
      <c r="O30" s="441"/>
      <c r="P30" s="441"/>
      <c r="Q30" s="441" t="s">
        <v>4742</v>
      </c>
    </row>
    <row r="31" spans="1:17" ht="12" customHeight="1">
      <c r="A31" s="339"/>
      <c r="B31" s="339"/>
      <c r="C31" s="340"/>
      <c r="D31" s="340"/>
      <c r="E31" s="441" t="s">
        <v>55</v>
      </c>
      <c r="F31" s="441" t="s">
        <v>4747</v>
      </c>
      <c r="G31" s="441" t="s">
        <v>329</v>
      </c>
      <c r="H31" s="441" t="s">
        <v>243</v>
      </c>
      <c r="I31" s="441"/>
      <c r="J31" s="157">
        <v>7</v>
      </c>
      <c r="K31" s="441"/>
      <c r="L31" s="441"/>
      <c r="M31" s="441"/>
      <c r="N31" s="441"/>
      <c r="O31" s="441"/>
      <c r="P31" s="441"/>
      <c r="Q31" s="441" t="s">
        <v>4742</v>
      </c>
    </row>
    <row r="32" spans="1:17" ht="12" customHeight="1">
      <c r="A32" s="339"/>
      <c r="B32" s="339"/>
      <c r="C32" s="340"/>
      <c r="D32" s="340"/>
      <c r="E32" s="441" t="s">
        <v>55</v>
      </c>
      <c r="F32" s="441" t="s">
        <v>4748</v>
      </c>
      <c r="G32" s="441" t="s">
        <v>329</v>
      </c>
      <c r="H32" s="441" t="s">
        <v>243</v>
      </c>
      <c r="I32" s="441"/>
      <c r="J32" s="157">
        <v>8</v>
      </c>
      <c r="K32" s="441"/>
      <c r="L32" s="441"/>
      <c r="M32" s="441"/>
      <c r="N32" s="441"/>
      <c r="O32" s="441"/>
      <c r="P32" s="441"/>
      <c r="Q32" s="441" t="s">
        <v>4742</v>
      </c>
    </row>
    <row r="33" spans="1:17" ht="12" customHeight="1">
      <c r="A33" s="339"/>
      <c r="B33" s="339"/>
      <c r="C33" s="340"/>
      <c r="D33" s="340"/>
      <c r="E33" s="441" t="s">
        <v>55</v>
      </c>
      <c r="F33" s="441" t="s">
        <v>4749</v>
      </c>
      <c r="G33" s="441" t="s">
        <v>329</v>
      </c>
      <c r="H33" s="441" t="s">
        <v>243</v>
      </c>
      <c r="I33" s="441"/>
      <c r="J33" s="157">
        <v>9</v>
      </c>
      <c r="K33" s="441"/>
      <c r="L33" s="441"/>
      <c r="M33" s="441"/>
      <c r="N33" s="441"/>
      <c r="O33" s="441"/>
      <c r="P33" s="441"/>
      <c r="Q33" s="441" t="s">
        <v>4742</v>
      </c>
    </row>
    <row r="34" spans="1:17" ht="12" customHeight="1">
      <c r="A34" s="339"/>
      <c r="B34" s="339"/>
      <c r="C34" s="340"/>
      <c r="D34" s="340"/>
      <c r="E34" s="441" t="s">
        <v>55</v>
      </c>
      <c r="F34" s="441" t="s">
        <v>4750</v>
      </c>
      <c r="G34" s="441" t="s">
        <v>329</v>
      </c>
      <c r="H34" s="441" t="s">
        <v>243</v>
      </c>
      <c r="I34" s="441"/>
      <c r="J34" s="157">
        <v>10</v>
      </c>
      <c r="K34" s="441"/>
      <c r="L34" s="441"/>
      <c r="M34" s="441"/>
      <c r="N34" s="441"/>
      <c r="O34" s="441"/>
      <c r="P34" s="441"/>
      <c r="Q34" s="441" t="s">
        <v>4742</v>
      </c>
    </row>
    <row r="35" spans="1:17" ht="12" customHeight="1">
      <c r="A35" s="339"/>
      <c r="B35" s="339"/>
      <c r="C35" s="340"/>
      <c r="D35" s="340"/>
      <c r="E35" s="441" t="s">
        <v>55</v>
      </c>
      <c r="F35" s="441" t="s">
        <v>4751</v>
      </c>
      <c r="G35" s="441" t="s">
        <v>329</v>
      </c>
      <c r="H35" s="441" t="s">
        <v>243</v>
      </c>
      <c r="I35" s="441"/>
      <c r="J35" s="157">
        <v>11</v>
      </c>
      <c r="K35" s="441"/>
      <c r="L35" s="441"/>
      <c r="M35" s="441"/>
      <c r="N35" s="441"/>
      <c r="O35" s="441"/>
      <c r="P35" s="441"/>
      <c r="Q35" s="441" t="s">
        <v>4742</v>
      </c>
    </row>
    <row r="36" spans="1:17" ht="12" customHeight="1">
      <c r="A36" s="339"/>
      <c r="B36" s="339"/>
      <c r="C36" s="340"/>
      <c r="D36" s="340"/>
      <c r="E36" s="441" t="s">
        <v>55</v>
      </c>
      <c r="F36" s="441" t="s">
        <v>4752</v>
      </c>
      <c r="G36" s="441" t="s">
        <v>329</v>
      </c>
      <c r="H36" s="441" t="s">
        <v>243</v>
      </c>
      <c r="I36" s="441"/>
      <c r="J36" s="157">
        <v>12</v>
      </c>
      <c r="K36" s="441"/>
      <c r="L36" s="441"/>
      <c r="M36" s="441"/>
      <c r="N36" s="441"/>
      <c r="O36" s="441"/>
      <c r="P36" s="441"/>
      <c r="Q36" s="441" t="s">
        <v>4742</v>
      </c>
    </row>
    <row r="37" spans="1:17" ht="12" customHeight="1">
      <c r="A37" s="339"/>
      <c r="B37" s="339"/>
      <c r="C37" s="340"/>
      <c r="D37" s="340"/>
      <c r="E37" s="441" t="s">
        <v>55</v>
      </c>
      <c r="F37" s="441" t="s">
        <v>4753</v>
      </c>
      <c r="G37" s="441" t="s">
        <v>329</v>
      </c>
      <c r="H37" s="441" t="s">
        <v>243</v>
      </c>
      <c r="I37" s="441"/>
      <c r="J37" s="157">
        <v>13</v>
      </c>
      <c r="K37" s="441"/>
      <c r="L37" s="441"/>
      <c r="M37" s="441"/>
      <c r="N37" s="441"/>
      <c r="O37" s="441"/>
      <c r="P37" s="441"/>
      <c r="Q37" s="441" t="s">
        <v>4742</v>
      </c>
    </row>
    <row r="38" spans="1:17" ht="12" customHeight="1">
      <c r="A38" s="339"/>
      <c r="B38" s="339"/>
      <c r="C38" s="340"/>
      <c r="D38" s="340"/>
      <c r="E38" s="441" t="s">
        <v>55</v>
      </c>
      <c r="F38" s="441" t="s">
        <v>4754</v>
      </c>
      <c r="G38" s="441" t="s">
        <v>329</v>
      </c>
      <c r="H38" s="441" t="s">
        <v>243</v>
      </c>
      <c r="I38" s="441"/>
      <c r="J38" s="157">
        <v>14</v>
      </c>
      <c r="K38" s="441"/>
      <c r="L38" s="441"/>
      <c r="M38" s="441"/>
      <c r="N38" s="441"/>
      <c r="O38" s="441"/>
      <c r="P38" s="441"/>
      <c r="Q38" s="441" t="s">
        <v>4755</v>
      </c>
    </row>
    <row r="39" spans="1:17" ht="12" customHeight="1">
      <c r="A39" s="339"/>
      <c r="B39" s="339"/>
      <c r="C39" s="340"/>
      <c r="D39" s="340"/>
      <c r="E39" s="441" t="s">
        <v>55</v>
      </c>
      <c r="F39" s="441" t="s">
        <v>4756</v>
      </c>
      <c r="G39" s="441" t="s">
        <v>329</v>
      </c>
      <c r="H39" s="441" t="s">
        <v>243</v>
      </c>
      <c r="I39" s="441"/>
      <c r="J39" s="157">
        <v>15</v>
      </c>
      <c r="K39" s="441"/>
      <c r="L39" s="441"/>
      <c r="M39" s="441"/>
      <c r="N39" s="441"/>
      <c r="O39" s="441"/>
      <c r="P39" s="441"/>
      <c r="Q39" s="441" t="s">
        <v>4755</v>
      </c>
    </row>
    <row r="40" spans="1:17" ht="12" customHeight="1">
      <c r="A40" s="339"/>
      <c r="B40" s="339"/>
      <c r="C40" s="340"/>
      <c r="D40" s="340"/>
      <c r="E40" s="441" t="s">
        <v>55</v>
      </c>
      <c r="F40" s="441" t="s">
        <v>4757</v>
      </c>
      <c r="G40" s="441" t="s">
        <v>329</v>
      </c>
      <c r="H40" s="441" t="s">
        <v>243</v>
      </c>
      <c r="I40" s="441"/>
      <c r="J40" s="157">
        <v>16</v>
      </c>
      <c r="K40" s="441"/>
      <c r="L40" s="441"/>
      <c r="M40" s="441"/>
      <c r="N40" s="441"/>
      <c r="O40" s="441"/>
      <c r="P40" s="441"/>
      <c r="Q40" s="441" t="s">
        <v>4755</v>
      </c>
    </row>
    <row r="41" spans="1:17" ht="12" customHeight="1">
      <c r="A41" s="339"/>
      <c r="B41" s="339"/>
      <c r="C41" s="340"/>
      <c r="D41" s="340"/>
      <c r="E41" s="441" t="s">
        <v>55</v>
      </c>
      <c r="F41" s="441" t="s">
        <v>4758</v>
      </c>
      <c r="G41" s="441" t="s">
        <v>329</v>
      </c>
      <c r="H41" s="441" t="s">
        <v>243</v>
      </c>
      <c r="I41" s="441"/>
      <c r="J41" s="157">
        <v>17</v>
      </c>
      <c r="K41" s="441"/>
      <c r="L41" s="441"/>
      <c r="M41" s="441"/>
      <c r="N41" s="441"/>
      <c r="O41" s="441"/>
      <c r="P41" s="441"/>
      <c r="Q41" s="441" t="s">
        <v>4755</v>
      </c>
    </row>
    <row r="42" spans="1:17" ht="12" customHeight="1">
      <c r="A42" s="339"/>
      <c r="B42" s="339"/>
      <c r="C42" s="340"/>
      <c r="D42" s="340"/>
      <c r="E42" s="441" t="s">
        <v>55</v>
      </c>
      <c r="F42" s="441" t="s">
        <v>4759</v>
      </c>
      <c r="G42" s="441" t="s">
        <v>329</v>
      </c>
      <c r="H42" s="441" t="s">
        <v>243</v>
      </c>
      <c r="I42" s="441"/>
      <c r="J42" s="157">
        <v>18</v>
      </c>
      <c r="K42" s="441"/>
      <c r="L42" s="441"/>
      <c r="M42" s="441"/>
      <c r="N42" s="441"/>
      <c r="O42" s="441"/>
      <c r="P42" s="441"/>
      <c r="Q42" s="441" t="s">
        <v>4755</v>
      </c>
    </row>
    <row r="43" spans="1:17" ht="12" customHeight="1">
      <c r="A43" s="339"/>
      <c r="B43" s="339"/>
      <c r="C43" s="340"/>
      <c r="D43" s="340"/>
      <c r="E43" s="441" t="s">
        <v>55</v>
      </c>
      <c r="F43" s="441" t="s">
        <v>4760</v>
      </c>
      <c r="G43" s="441" t="s">
        <v>329</v>
      </c>
      <c r="H43" s="441" t="s">
        <v>243</v>
      </c>
      <c r="I43" s="441"/>
      <c r="J43" s="157">
        <v>19</v>
      </c>
      <c r="K43" s="441"/>
      <c r="L43" s="441"/>
      <c r="M43" s="441"/>
      <c r="N43" s="441"/>
      <c r="O43" s="441"/>
      <c r="P43" s="441"/>
      <c r="Q43" s="441" t="s">
        <v>4755</v>
      </c>
    </row>
    <row r="44" spans="1:17" ht="12" customHeight="1">
      <c r="A44" s="339"/>
      <c r="B44" s="339"/>
      <c r="C44" s="340"/>
      <c r="D44" s="340"/>
      <c r="E44" s="441" t="s">
        <v>55</v>
      </c>
      <c r="F44" s="441" t="s">
        <v>4761</v>
      </c>
      <c r="G44" s="441" t="s">
        <v>329</v>
      </c>
      <c r="H44" s="441" t="s">
        <v>243</v>
      </c>
      <c r="I44" s="441"/>
      <c r="J44" s="157">
        <v>20</v>
      </c>
      <c r="K44" s="441"/>
      <c r="L44" s="441"/>
      <c r="M44" s="441"/>
      <c r="N44" s="441"/>
      <c r="O44" s="441"/>
      <c r="P44" s="441"/>
      <c r="Q44" s="441" t="s">
        <v>4755</v>
      </c>
    </row>
    <row r="45" spans="1:17" ht="12" customHeight="1">
      <c r="A45" s="339"/>
      <c r="B45" s="339"/>
      <c r="C45" s="340"/>
      <c r="D45" s="340"/>
      <c r="E45" s="441" t="s">
        <v>55</v>
      </c>
      <c r="F45" s="441" t="s">
        <v>4762</v>
      </c>
      <c r="G45" s="441" t="s">
        <v>329</v>
      </c>
      <c r="H45" s="441" t="s">
        <v>243</v>
      </c>
      <c r="I45" s="441"/>
      <c r="J45" s="157">
        <v>21</v>
      </c>
      <c r="K45" s="441"/>
      <c r="L45" s="441"/>
      <c r="M45" s="441"/>
      <c r="N45" s="441"/>
      <c r="O45" s="441"/>
      <c r="P45" s="441"/>
      <c r="Q45" s="441" t="s">
        <v>4755</v>
      </c>
    </row>
    <row r="46" spans="1:17" ht="12" customHeight="1">
      <c r="A46" s="339"/>
      <c r="B46" s="339"/>
      <c r="C46" s="340"/>
      <c r="D46" s="340"/>
      <c r="E46" s="441" t="s">
        <v>55</v>
      </c>
      <c r="F46" s="441" t="s">
        <v>4763</v>
      </c>
      <c r="G46" s="441" t="s">
        <v>329</v>
      </c>
      <c r="H46" s="441" t="s">
        <v>243</v>
      </c>
      <c r="I46" s="441"/>
      <c r="J46" s="157">
        <v>22</v>
      </c>
      <c r="K46" s="441"/>
      <c r="L46" s="441"/>
      <c r="M46" s="441"/>
      <c r="N46" s="441"/>
      <c r="O46" s="441"/>
      <c r="P46" s="441"/>
      <c r="Q46" s="441" t="s">
        <v>4755</v>
      </c>
    </row>
    <row r="47" spans="1:17" ht="12" customHeight="1">
      <c r="A47" s="339"/>
      <c r="B47" s="339"/>
      <c r="C47" s="340"/>
      <c r="D47" s="340"/>
      <c r="E47" s="441" t="s">
        <v>55</v>
      </c>
      <c r="F47" s="441" t="s">
        <v>4764</v>
      </c>
      <c r="G47" s="441" t="s">
        <v>329</v>
      </c>
      <c r="H47" s="441" t="s">
        <v>243</v>
      </c>
      <c r="I47" s="441"/>
      <c r="J47" s="157">
        <v>23</v>
      </c>
      <c r="K47" s="441"/>
      <c r="L47" s="441"/>
      <c r="M47" s="441"/>
      <c r="N47" s="441"/>
      <c r="O47" s="441"/>
      <c r="P47" s="441"/>
      <c r="Q47" s="441" t="s">
        <v>4755</v>
      </c>
    </row>
    <row r="48" spans="1:17" ht="12" customHeight="1">
      <c r="A48" s="339"/>
      <c r="B48" s="339"/>
      <c r="C48" s="340"/>
      <c r="D48" s="340"/>
      <c r="E48" s="441" t="s">
        <v>55</v>
      </c>
      <c r="F48" s="441" t="s">
        <v>4765</v>
      </c>
      <c r="G48" s="441" t="s">
        <v>329</v>
      </c>
      <c r="H48" s="441" t="s">
        <v>243</v>
      </c>
      <c r="I48" s="441"/>
      <c r="J48" s="157">
        <v>24</v>
      </c>
      <c r="K48" s="441"/>
      <c r="L48" s="441"/>
      <c r="M48" s="441"/>
      <c r="N48" s="441"/>
      <c r="O48" s="441"/>
      <c r="P48" s="441"/>
      <c r="Q48" s="441" t="s">
        <v>4755</v>
      </c>
    </row>
    <row r="49" spans="1:17" ht="12" customHeight="1">
      <c r="A49" s="339"/>
      <c r="B49" s="339"/>
      <c r="C49" s="340"/>
      <c r="D49" s="340"/>
      <c r="E49" s="441" t="s">
        <v>55</v>
      </c>
      <c r="F49" s="441" t="s">
        <v>4766</v>
      </c>
      <c r="G49" s="441" t="s">
        <v>329</v>
      </c>
      <c r="H49" s="441" t="s">
        <v>243</v>
      </c>
      <c r="I49" s="441"/>
      <c r="J49" s="157">
        <v>25</v>
      </c>
      <c r="K49" s="441"/>
      <c r="L49" s="441"/>
      <c r="M49" s="441"/>
      <c r="N49" s="441"/>
      <c r="O49" s="441"/>
      <c r="P49" s="441"/>
      <c r="Q49" s="441" t="s">
        <v>4755</v>
      </c>
    </row>
    <row r="50" spans="1:17" ht="12" customHeight="1">
      <c r="A50" s="339"/>
      <c r="B50" s="339"/>
      <c r="C50" s="340"/>
      <c r="D50" s="340"/>
      <c r="E50" s="441" t="s">
        <v>55</v>
      </c>
      <c r="F50" s="441" t="s">
        <v>4767</v>
      </c>
      <c r="G50" s="441" t="s">
        <v>329</v>
      </c>
      <c r="H50" s="441" t="s">
        <v>243</v>
      </c>
      <c r="I50" s="441"/>
      <c r="J50" s="157">
        <v>36</v>
      </c>
      <c r="K50" s="441"/>
      <c r="L50" s="441"/>
      <c r="M50" s="441"/>
      <c r="N50" s="441"/>
      <c r="O50" s="441"/>
      <c r="P50" s="441"/>
      <c r="Q50" s="441" t="s">
        <v>4768</v>
      </c>
    </row>
    <row r="51" spans="1:17" ht="12" customHeight="1">
      <c r="A51" s="339"/>
      <c r="B51" s="339"/>
      <c r="C51" s="340"/>
      <c r="D51" s="340"/>
      <c r="E51" s="441" t="s">
        <v>55</v>
      </c>
      <c r="F51" s="441" t="s">
        <v>4769</v>
      </c>
      <c r="G51" s="441" t="s">
        <v>329</v>
      </c>
      <c r="H51" s="441" t="s">
        <v>243</v>
      </c>
      <c r="I51" s="441"/>
      <c r="J51" s="157">
        <v>37</v>
      </c>
      <c r="K51" s="441"/>
      <c r="L51" s="441"/>
      <c r="M51" s="441"/>
      <c r="N51" s="441"/>
      <c r="O51" s="441"/>
      <c r="P51" s="441"/>
      <c r="Q51" s="441" t="s">
        <v>4768</v>
      </c>
    </row>
    <row r="52" spans="1:17" ht="12" customHeight="1">
      <c r="A52" s="339"/>
      <c r="B52" s="339"/>
      <c r="C52" s="340"/>
      <c r="D52" s="340"/>
      <c r="E52" s="441" t="s">
        <v>55</v>
      </c>
      <c r="F52" s="441" t="s">
        <v>4770</v>
      </c>
      <c r="G52" s="441" t="s">
        <v>329</v>
      </c>
      <c r="H52" s="441" t="s">
        <v>243</v>
      </c>
      <c r="I52" s="441"/>
      <c r="J52" s="157">
        <v>38</v>
      </c>
      <c r="K52" s="441"/>
      <c r="L52" s="441"/>
      <c r="M52" s="441"/>
      <c r="N52" s="441"/>
      <c r="O52" s="441"/>
      <c r="P52" s="441"/>
      <c r="Q52" s="441" t="s">
        <v>4768</v>
      </c>
    </row>
    <row r="53" spans="1:17" ht="12" customHeight="1">
      <c r="A53" s="339"/>
      <c r="B53" s="339"/>
      <c r="C53" s="340"/>
      <c r="D53" s="340"/>
      <c r="E53" s="441" t="s">
        <v>55</v>
      </c>
      <c r="F53" s="441" t="s">
        <v>4771</v>
      </c>
      <c r="G53" s="441" t="s">
        <v>329</v>
      </c>
      <c r="H53" s="441" t="s">
        <v>243</v>
      </c>
      <c r="I53" s="441"/>
      <c r="J53" s="157">
        <v>39</v>
      </c>
      <c r="K53" s="441"/>
      <c r="L53" s="441"/>
      <c r="M53" s="441"/>
      <c r="N53" s="441"/>
      <c r="O53" s="441"/>
      <c r="P53" s="441"/>
      <c r="Q53" s="441" t="s">
        <v>4768</v>
      </c>
    </row>
    <row r="54" spans="1:17" ht="12" customHeight="1">
      <c r="A54" s="339"/>
      <c r="B54" s="339"/>
      <c r="C54" s="340"/>
      <c r="D54" s="340"/>
      <c r="E54" s="441" t="s">
        <v>55</v>
      </c>
      <c r="F54" s="441" t="s">
        <v>4772</v>
      </c>
      <c r="G54" s="441" t="s">
        <v>329</v>
      </c>
      <c r="H54" s="441" t="s">
        <v>243</v>
      </c>
      <c r="I54" s="441"/>
      <c r="J54" s="157">
        <v>40</v>
      </c>
      <c r="K54" s="441"/>
      <c r="L54" s="441"/>
      <c r="M54" s="441"/>
      <c r="N54" s="441"/>
      <c r="O54" s="441"/>
      <c r="P54" s="441"/>
      <c r="Q54" s="441" t="s">
        <v>4768</v>
      </c>
    </row>
    <row r="55" spans="1:17" ht="12" customHeight="1">
      <c r="A55" s="339"/>
      <c r="B55" s="339"/>
      <c r="C55" s="340"/>
      <c r="D55" s="340"/>
      <c r="E55" s="441" t="s">
        <v>55</v>
      </c>
      <c r="F55" s="441" t="s">
        <v>4773</v>
      </c>
      <c r="G55" s="441" t="s">
        <v>329</v>
      </c>
      <c r="H55" s="441" t="s">
        <v>243</v>
      </c>
      <c r="I55" s="441"/>
      <c r="J55" s="157">
        <v>41</v>
      </c>
      <c r="K55" s="441"/>
      <c r="L55" s="441"/>
      <c r="M55" s="441"/>
      <c r="N55" s="441"/>
      <c r="O55" s="441"/>
      <c r="P55" s="441"/>
      <c r="Q55" s="441" t="s">
        <v>4768</v>
      </c>
    </row>
    <row r="56" spans="1:17" ht="12" customHeight="1">
      <c r="A56" s="339"/>
      <c r="B56" s="339"/>
      <c r="C56" s="340"/>
      <c r="D56" s="340"/>
      <c r="E56" s="441" t="s">
        <v>55</v>
      </c>
      <c r="F56" s="441" t="s">
        <v>4774</v>
      </c>
      <c r="G56" s="441" t="s">
        <v>329</v>
      </c>
      <c r="H56" s="441" t="s">
        <v>243</v>
      </c>
      <c r="I56" s="441"/>
      <c r="J56" s="157">
        <v>42</v>
      </c>
      <c r="K56" s="441"/>
      <c r="L56" s="441"/>
      <c r="M56" s="441"/>
      <c r="N56" s="441"/>
      <c r="O56" s="441"/>
      <c r="P56" s="441"/>
      <c r="Q56" s="441" t="s">
        <v>4768</v>
      </c>
    </row>
    <row r="57" spans="1:17" ht="12" customHeight="1">
      <c r="A57" s="339"/>
      <c r="B57" s="339"/>
      <c r="C57" s="340"/>
      <c r="D57" s="340"/>
      <c r="E57" s="441" t="s">
        <v>55</v>
      </c>
      <c r="F57" s="441" t="s">
        <v>4775</v>
      </c>
      <c r="G57" s="441" t="s">
        <v>329</v>
      </c>
      <c r="H57" s="441" t="s">
        <v>243</v>
      </c>
      <c r="I57" s="441"/>
      <c r="J57" s="157">
        <v>43</v>
      </c>
      <c r="K57" s="441"/>
      <c r="L57" s="441"/>
      <c r="M57" s="441"/>
      <c r="N57" s="441"/>
      <c r="O57" s="441"/>
      <c r="P57" s="441"/>
      <c r="Q57" s="441" t="s">
        <v>4768</v>
      </c>
    </row>
    <row r="58" spans="1:17" ht="12" customHeight="1">
      <c r="A58" s="339"/>
      <c r="B58" s="339"/>
      <c r="C58" s="340"/>
      <c r="D58" s="340"/>
      <c r="E58" s="441" t="s">
        <v>55</v>
      </c>
      <c r="F58" s="441" t="s">
        <v>4776</v>
      </c>
      <c r="G58" s="441" t="s">
        <v>329</v>
      </c>
      <c r="H58" s="441" t="s">
        <v>243</v>
      </c>
      <c r="I58" s="441"/>
      <c r="J58" s="157">
        <v>44</v>
      </c>
      <c r="K58" s="441"/>
      <c r="L58" s="441"/>
      <c r="M58" s="441"/>
      <c r="N58" s="441"/>
      <c r="O58" s="441"/>
      <c r="P58" s="441"/>
      <c r="Q58" s="441" t="s">
        <v>4768</v>
      </c>
    </row>
    <row r="59" spans="1:17" ht="12" customHeight="1">
      <c r="A59" s="339"/>
      <c r="B59" s="339"/>
      <c r="C59" s="340"/>
      <c r="D59" s="340"/>
      <c r="E59" s="441" t="s">
        <v>55</v>
      </c>
      <c r="F59" s="441" t="s">
        <v>4777</v>
      </c>
      <c r="G59" s="441" t="s">
        <v>329</v>
      </c>
      <c r="H59" s="441" t="s">
        <v>243</v>
      </c>
      <c r="I59" s="441"/>
      <c r="J59" s="157">
        <v>45</v>
      </c>
      <c r="K59" s="441"/>
      <c r="L59" s="441"/>
      <c r="M59" s="441"/>
      <c r="N59" s="441"/>
      <c r="O59" s="441"/>
      <c r="P59" s="441"/>
      <c r="Q59" s="441" t="s">
        <v>4768</v>
      </c>
    </row>
    <row r="60" spans="1:17" ht="12" customHeight="1">
      <c r="A60" s="339"/>
      <c r="B60" s="339"/>
      <c r="C60" s="340"/>
      <c r="D60" s="340"/>
      <c r="E60" s="441" t="s">
        <v>55</v>
      </c>
      <c r="F60" s="441" t="s">
        <v>4778</v>
      </c>
      <c r="G60" s="441" t="s">
        <v>329</v>
      </c>
      <c r="H60" s="441" t="s">
        <v>243</v>
      </c>
      <c r="I60" s="441"/>
      <c r="J60" s="157">
        <v>46</v>
      </c>
      <c r="K60" s="441"/>
      <c r="L60" s="441"/>
      <c r="M60" s="441"/>
      <c r="N60" s="441"/>
      <c r="O60" s="441"/>
      <c r="P60" s="441"/>
      <c r="Q60" s="441" t="s">
        <v>4768</v>
      </c>
    </row>
    <row r="61" spans="1:17" ht="12" customHeight="1">
      <c r="A61" s="339"/>
      <c r="B61" s="339"/>
      <c r="C61" s="340"/>
      <c r="D61" s="340"/>
      <c r="E61" s="441" t="s">
        <v>55</v>
      </c>
      <c r="F61" s="441" t="s">
        <v>4779</v>
      </c>
      <c r="G61" s="441" t="s">
        <v>329</v>
      </c>
      <c r="H61" s="441" t="s">
        <v>243</v>
      </c>
      <c r="I61" s="441"/>
      <c r="J61" s="157">
        <v>47</v>
      </c>
      <c r="K61" s="441"/>
      <c r="L61" s="441"/>
      <c r="M61" s="441"/>
      <c r="N61" s="441"/>
      <c r="O61" s="441"/>
      <c r="P61" s="441"/>
      <c r="Q61" s="441" t="s">
        <v>4768</v>
      </c>
    </row>
    <row r="62" spans="1:17" ht="12" customHeight="1">
      <c r="A62" s="339"/>
      <c r="B62" s="339"/>
      <c r="C62" s="340"/>
      <c r="D62" s="340"/>
      <c r="E62" s="441" t="s">
        <v>55</v>
      </c>
      <c r="F62" s="441" t="s">
        <v>4780</v>
      </c>
      <c r="G62" s="441" t="s">
        <v>329</v>
      </c>
      <c r="H62" s="441" t="s">
        <v>243</v>
      </c>
      <c r="I62" s="441"/>
      <c r="J62" s="157">
        <v>48</v>
      </c>
      <c r="K62" s="441"/>
      <c r="L62" s="441"/>
      <c r="M62" s="441"/>
      <c r="N62" s="441"/>
      <c r="O62" s="441"/>
      <c r="P62" s="441"/>
      <c r="Q62" s="441" t="s">
        <v>4781</v>
      </c>
    </row>
    <row r="63" spans="1:17" ht="12" customHeight="1">
      <c r="A63" s="339"/>
      <c r="B63" s="339"/>
      <c r="C63" s="340"/>
      <c r="D63" s="340"/>
      <c r="E63" s="441" t="s">
        <v>55</v>
      </c>
      <c r="F63" s="441" t="s">
        <v>4782</v>
      </c>
      <c r="G63" s="441" t="s">
        <v>329</v>
      </c>
      <c r="H63" s="441" t="s">
        <v>243</v>
      </c>
      <c r="I63" s="441"/>
      <c r="J63" s="157">
        <v>49</v>
      </c>
      <c r="K63" s="441"/>
      <c r="L63" s="441"/>
      <c r="M63" s="441"/>
      <c r="N63" s="441"/>
      <c r="O63" s="441"/>
      <c r="P63" s="441"/>
      <c r="Q63" s="441" t="s">
        <v>4783</v>
      </c>
    </row>
    <row r="64" spans="1:17" ht="12" customHeight="1">
      <c r="A64" s="339"/>
      <c r="B64" s="339"/>
      <c r="C64" s="340"/>
      <c r="D64" s="340"/>
      <c r="E64" s="441" t="s">
        <v>55</v>
      </c>
      <c r="F64" s="441" t="s">
        <v>4784</v>
      </c>
      <c r="G64" s="441" t="s">
        <v>329</v>
      </c>
      <c r="H64" s="441" t="s">
        <v>243</v>
      </c>
      <c r="I64" s="441"/>
      <c r="J64" s="157">
        <v>50</v>
      </c>
      <c r="K64" s="441"/>
      <c r="L64" s="441"/>
      <c r="M64" s="441"/>
      <c r="N64" s="441"/>
      <c r="O64" s="441"/>
      <c r="P64" s="441"/>
      <c r="Q64" s="441" t="s">
        <v>4783</v>
      </c>
    </row>
    <row r="65" spans="1:17" ht="12" customHeight="1">
      <c r="A65" s="339"/>
      <c r="B65" s="339"/>
      <c r="C65" s="340"/>
      <c r="D65" s="340"/>
      <c r="E65" s="441" t="s">
        <v>55</v>
      </c>
      <c r="F65" s="441" t="s">
        <v>4785</v>
      </c>
      <c r="G65" s="441" t="s">
        <v>329</v>
      </c>
      <c r="H65" s="441" t="s">
        <v>243</v>
      </c>
      <c r="I65" s="441"/>
      <c r="J65" s="157">
        <v>51</v>
      </c>
      <c r="K65" s="441"/>
      <c r="L65" s="441"/>
      <c r="M65" s="441"/>
      <c r="N65" s="441"/>
      <c r="O65" s="441"/>
      <c r="P65" s="441"/>
      <c r="Q65" s="441" t="s">
        <v>4783</v>
      </c>
    </row>
    <row r="66" spans="1:17" ht="12" customHeight="1">
      <c r="A66" s="339"/>
      <c r="B66" s="339"/>
      <c r="C66" s="340"/>
      <c r="D66" s="340"/>
      <c r="E66" s="441" t="s">
        <v>55</v>
      </c>
      <c r="F66" s="441" t="s">
        <v>4786</v>
      </c>
      <c r="G66" s="441" t="s">
        <v>329</v>
      </c>
      <c r="H66" s="441" t="s">
        <v>243</v>
      </c>
      <c r="I66" s="441"/>
      <c r="J66" s="157">
        <v>52</v>
      </c>
      <c r="K66" s="441"/>
      <c r="L66" s="441"/>
      <c r="M66" s="441"/>
      <c r="N66" s="441"/>
      <c r="O66" s="441"/>
      <c r="P66" s="441"/>
      <c r="Q66" s="441" t="s">
        <v>4783</v>
      </c>
    </row>
    <row r="67" spans="1:17" ht="12" customHeight="1">
      <c r="A67" s="339"/>
      <c r="B67" s="339"/>
      <c r="C67" s="340"/>
      <c r="D67" s="340"/>
      <c r="E67" s="441" t="s">
        <v>55</v>
      </c>
      <c r="F67" s="441" t="s">
        <v>4787</v>
      </c>
      <c r="G67" s="441" t="s">
        <v>329</v>
      </c>
      <c r="H67" s="441" t="s">
        <v>243</v>
      </c>
      <c r="I67" s="441"/>
      <c r="J67" s="157">
        <v>53</v>
      </c>
      <c r="K67" s="441"/>
      <c r="L67" s="441"/>
      <c r="M67" s="441"/>
      <c r="N67" s="441"/>
      <c r="O67" s="441"/>
      <c r="P67" s="441"/>
      <c r="Q67" s="441" t="s">
        <v>4783</v>
      </c>
    </row>
    <row r="68" spans="1:17" ht="12" customHeight="1">
      <c r="A68" s="339"/>
      <c r="B68" s="339"/>
      <c r="C68" s="340"/>
      <c r="D68" s="340"/>
      <c r="E68" s="441" t="s">
        <v>55</v>
      </c>
      <c r="F68" s="441" t="s">
        <v>4788</v>
      </c>
      <c r="G68" s="441" t="s">
        <v>329</v>
      </c>
      <c r="H68" s="441" t="s">
        <v>243</v>
      </c>
      <c r="I68" s="441"/>
      <c r="J68" s="157">
        <v>54</v>
      </c>
      <c r="K68" s="441"/>
      <c r="L68" s="441"/>
      <c r="M68" s="441"/>
      <c r="N68" s="441"/>
      <c r="O68" s="441"/>
      <c r="P68" s="441"/>
      <c r="Q68" s="441" t="s">
        <v>4783</v>
      </c>
    </row>
    <row r="69" spans="1:17" ht="12" customHeight="1">
      <c r="A69" s="339"/>
      <c r="B69" s="339"/>
      <c r="C69" s="340"/>
      <c r="D69" s="340"/>
      <c r="E69" s="441" t="s">
        <v>55</v>
      </c>
      <c r="F69" s="441" t="s">
        <v>4789</v>
      </c>
      <c r="G69" s="441" t="s">
        <v>329</v>
      </c>
      <c r="H69" s="441" t="s">
        <v>243</v>
      </c>
      <c r="I69" s="441"/>
      <c r="J69" s="157">
        <v>55</v>
      </c>
      <c r="K69" s="441"/>
      <c r="L69" s="441"/>
      <c r="M69" s="441"/>
      <c r="N69" s="441"/>
      <c r="O69" s="441"/>
      <c r="P69" s="441"/>
      <c r="Q69" s="441" t="s">
        <v>4783</v>
      </c>
    </row>
    <row r="70" spans="1:17" ht="12" customHeight="1">
      <c r="A70" s="339"/>
      <c r="B70" s="339"/>
      <c r="C70" s="340"/>
      <c r="D70" s="340"/>
      <c r="E70" s="441" t="s">
        <v>55</v>
      </c>
      <c r="F70" s="441" t="s">
        <v>4790</v>
      </c>
      <c r="G70" s="441" t="s">
        <v>329</v>
      </c>
      <c r="H70" s="441" t="s">
        <v>243</v>
      </c>
      <c r="I70" s="441"/>
      <c r="J70" s="157">
        <v>56</v>
      </c>
      <c r="K70" s="441"/>
      <c r="L70" s="441"/>
      <c r="M70" s="441"/>
      <c r="N70" s="441"/>
      <c r="O70" s="441"/>
      <c r="P70" s="441"/>
      <c r="Q70" s="441" t="s">
        <v>4783</v>
      </c>
    </row>
    <row r="71" spans="1:17" ht="12" customHeight="1">
      <c r="A71" s="339"/>
      <c r="B71" s="339"/>
      <c r="C71" s="340"/>
      <c r="D71" s="340"/>
      <c r="E71" s="441" t="s">
        <v>55</v>
      </c>
      <c r="F71" s="441" t="s">
        <v>4791</v>
      </c>
      <c r="G71" s="441" t="s">
        <v>329</v>
      </c>
      <c r="H71" s="441" t="s">
        <v>243</v>
      </c>
      <c r="I71" s="441"/>
      <c r="J71" s="157">
        <v>57</v>
      </c>
      <c r="K71" s="441"/>
      <c r="L71" s="441"/>
      <c r="M71" s="441"/>
      <c r="N71" s="441"/>
      <c r="O71" s="441"/>
      <c r="P71" s="441"/>
      <c r="Q71" s="441" t="s">
        <v>4783</v>
      </c>
    </row>
    <row r="72" spans="1:17" ht="12" customHeight="1">
      <c r="A72" s="339"/>
      <c r="B72" s="339"/>
      <c r="C72" s="340"/>
      <c r="D72" s="340"/>
      <c r="E72" s="441" t="s">
        <v>55</v>
      </c>
      <c r="F72" s="441" t="s">
        <v>4792</v>
      </c>
      <c r="G72" s="441" t="s">
        <v>329</v>
      </c>
      <c r="H72" s="441" t="s">
        <v>243</v>
      </c>
      <c r="I72" s="441"/>
      <c r="J72" s="157">
        <v>58</v>
      </c>
      <c r="K72" s="441"/>
      <c r="L72" s="441"/>
      <c r="M72" s="441"/>
      <c r="N72" s="441"/>
      <c r="O72" s="441"/>
      <c r="P72" s="441"/>
      <c r="Q72" s="441" t="s">
        <v>4783</v>
      </c>
    </row>
    <row r="73" spans="1:17" ht="12" customHeight="1">
      <c r="A73" s="339"/>
      <c r="B73" s="339"/>
      <c r="C73" s="340"/>
      <c r="D73" s="340"/>
      <c r="E73" s="441" t="s">
        <v>55</v>
      </c>
      <c r="F73" s="441" t="s">
        <v>4793</v>
      </c>
      <c r="G73" s="441" t="s">
        <v>329</v>
      </c>
      <c r="H73" s="441" t="s">
        <v>243</v>
      </c>
      <c r="I73" s="441"/>
      <c r="J73" s="157">
        <v>59</v>
      </c>
      <c r="K73" s="441"/>
      <c r="L73" s="441"/>
      <c r="M73" s="441"/>
      <c r="N73" s="441"/>
      <c r="O73" s="441"/>
      <c r="P73" s="441"/>
      <c r="Q73" s="441" t="s">
        <v>4783</v>
      </c>
    </row>
    <row r="74" spans="1:17" ht="12" customHeight="1">
      <c r="A74" s="339"/>
      <c r="B74" s="339"/>
      <c r="C74" s="340"/>
      <c r="D74" s="340"/>
      <c r="E74" s="441" t="s">
        <v>55</v>
      </c>
      <c r="F74" s="441" t="s">
        <v>4794</v>
      </c>
      <c r="G74" s="441" t="s">
        <v>329</v>
      </c>
      <c r="H74" s="441" t="s">
        <v>243</v>
      </c>
      <c r="I74" s="441"/>
      <c r="J74" s="157">
        <v>60</v>
      </c>
      <c r="K74" s="441"/>
      <c r="L74" s="441"/>
      <c r="M74" s="441"/>
      <c r="N74" s="441"/>
      <c r="O74" s="441"/>
      <c r="P74" s="441"/>
      <c r="Q74" s="441" t="s">
        <v>4783</v>
      </c>
    </row>
    <row r="75" spans="1:17" ht="12" customHeight="1">
      <c r="A75" s="339"/>
      <c r="B75" s="339"/>
      <c r="C75" s="340"/>
      <c r="D75" s="340"/>
      <c r="E75" s="441" t="s">
        <v>55</v>
      </c>
      <c r="F75" s="441" t="s">
        <v>4795</v>
      </c>
      <c r="G75" s="441" t="s">
        <v>329</v>
      </c>
      <c r="H75" s="441" t="s">
        <v>243</v>
      </c>
      <c r="I75" s="441"/>
      <c r="J75" s="157">
        <v>61</v>
      </c>
      <c r="K75" s="441"/>
      <c r="L75" s="441"/>
      <c r="M75" s="441"/>
      <c r="N75" s="441"/>
      <c r="O75" s="441"/>
      <c r="P75" s="441"/>
      <c r="Q75" s="441" t="s">
        <v>4796</v>
      </c>
    </row>
    <row r="76" spans="1:17" ht="12" customHeight="1">
      <c r="A76" s="339"/>
      <c r="B76" s="339"/>
      <c r="C76" s="340"/>
      <c r="D76" s="340"/>
      <c r="E76" s="441" t="s">
        <v>55</v>
      </c>
      <c r="F76" s="441" t="s">
        <v>4797</v>
      </c>
      <c r="G76" s="441" t="s">
        <v>329</v>
      </c>
      <c r="H76" s="441" t="s">
        <v>243</v>
      </c>
      <c r="I76" s="441"/>
      <c r="J76" s="157">
        <v>62</v>
      </c>
      <c r="K76" s="441"/>
      <c r="L76" s="441"/>
      <c r="M76" s="441"/>
      <c r="N76" s="441"/>
      <c r="O76" s="441"/>
      <c r="P76" s="441"/>
      <c r="Q76" s="441" t="s">
        <v>4796</v>
      </c>
    </row>
    <row r="77" spans="1:17" ht="12" customHeight="1">
      <c r="A77" s="339"/>
      <c r="B77" s="339"/>
      <c r="C77" s="340"/>
      <c r="D77" s="340"/>
      <c r="E77" s="441" t="s">
        <v>55</v>
      </c>
      <c r="F77" s="441" t="s">
        <v>4798</v>
      </c>
      <c r="G77" s="441" t="s">
        <v>329</v>
      </c>
      <c r="H77" s="441" t="s">
        <v>243</v>
      </c>
      <c r="I77" s="441"/>
      <c r="J77" s="157">
        <v>63</v>
      </c>
      <c r="K77" s="441"/>
      <c r="L77" s="441"/>
      <c r="M77" s="441"/>
      <c r="N77" s="441"/>
      <c r="O77" s="441"/>
      <c r="P77" s="441"/>
      <c r="Q77" s="441" t="s">
        <v>4796</v>
      </c>
    </row>
    <row r="78" spans="1:17" ht="12" customHeight="1">
      <c r="A78" s="339"/>
      <c r="B78" s="339"/>
      <c r="C78" s="340"/>
      <c r="D78" s="340"/>
      <c r="E78" s="441" t="s">
        <v>55</v>
      </c>
      <c r="F78" s="441" t="s">
        <v>4799</v>
      </c>
      <c r="G78" s="441" t="s">
        <v>329</v>
      </c>
      <c r="H78" s="441" t="s">
        <v>243</v>
      </c>
      <c r="I78" s="441"/>
      <c r="J78" s="157">
        <v>64</v>
      </c>
      <c r="K78" s="441"/>
      <c r="L78" s="441"/>
      <c r="M78" s="441"/>
      <c r="N78" s="441"/>
      <c r="O78" s="441"/>
      <c r="P78" s="441"/>
      <c r="Q78" s="441" t="s">
        <v>4796</v>
      </c>
    </row>
    <row r="79" spans="1:17" ht="12" customHeight="1">
      <c r="A79" s="339"/>
      <c r="B79" s="339"/>
      <c r="C79" s="340"/>
      <c r="D79" s="340"/>
      <c r="E79" s="441" t="s">
        <v>55</v>
      </c>
      <c r="F79" s="441" t="s">
        <v>4800</v>
      </c>
      <c r="G79" s="441" t="s">
        <v>329</v>
      </c>
      <c r="H79" s="441" t="s">
        <v>243</v>
      </c>
      <c r="I79" s="441"/>
      <c r="J79" s="157">
        <v>65</v>
      </c>
      <c r="K79" s="441"/>
      <c r="L79" s="441"/>
      <c r="M79" s="441"/>
      <c r="N79" s="441"/>
      <c r="O79" s="441"/>
      <c r="P79" s="441"/>
      <c r="Q79" s="441" t="s">
        <v>4796</v>
      </c>
    </row>
    <row r="80" spans="1:17" ht="12" customHeight="1">
      <c r="A80" s="339"/>
      <c r="B80" s="339"/>
      <c r="C80" s="340"/>
      <c r="D80" s="340"/>
      <c r="E80" s="441" t="s">
        <v>55</v>
      </c>
      <c r="F80" s="441" t="s">
        <v>4801</v>
      </c>
      <c r="G80" s="441" t="s">
        <v>329</v>
      </c>
      <c r="H80" s="441" t="s">
        <v>243</v>
      </c>
      <c r="I80" s="441"/>
      <c r="J80" s="157">
        <v>66</v>
      </c>
      <c r="K80" s="441"/>
      <c r="L80" s="441"/>
      <c r="M80" s="441"/>
      <c r="N80" s="441"/>
      <c r="O80" s="441"/>
      <c r="P80" s="441"/>
      <c r="Q80" s="441" t="s">
        <v>4796</v>
      </c>
    </row>
    <row r="81" spans="1:17" ht="12" customHeight="1">
      <c r="A81" s="339"/>
      <c r="B81" s="339"/>
      <c r="C81" s="340"/>
      <c r="D81" s="340"/>
      <c r="E81" s="441" t="s">
        <v>55</v>
      </c>
      <c r="F81" s="441" t="s">
        <v>4802</v>
      </c>
      <c r="G81" s="441" t="s">
        <v>329</v>
      </c>
      <c r="H81" s="441" t="s">
        <v>243</v>
      </c>
      <c r="I81" s="441"/>
      <c r="J81" s="157">
        <v>67</v>
      </c>
      <c r="K81" s="441"/>
      <c r="L81" s="441"/>
      <c r="M81" s="441"/>
      <c r="N81" s="441"/>
      <c r="O81" s="441"/>
      <c r="P81" s="441"/>
      <c r="Q81" s="441" t="s">
        <v>4796</v>
      </c>
    </row>
    <row r="82" spans="1:17" ht="12" customHeight="1">
      <c r="A82" s="339"/>
      <c r="B82" s="339"/>
      <c r="C82" s="340"/>
      <c r="D82" s="340"/>
      <c r="E82" s="441" t="s">
        <v>55</v>
      </c>
      <c r="F82" s="441" t="s">
        <v>4803</v>
      </c>
      <c r="G82" s="441" t="s">
        <v>329</v>
      </c>
      <c r="H82" s="441" t="s">
        <v>243</v>
      </c>
      <c r="I82" s="441"/>
      <c r="J82" s="157">
        <v>68</v>
      </c>
      <c r="K82" s="441"/>
      <c r="L82" s="441"/>
      <c r="M82" s="441"/>
      <c r="N82" s="441"/>
      <c r="O82" s="441"/>
      <c r="P82" s="441"/>
      <c r="Q82" s="441" t="s">
        <v>4796</v>
      </c>
    </row>
    <row r="83" spans="1:17" ht="12" customHeight="1">
      <c r="A83" s="339"/>
      <c r="B83" s="339"/>
      <c r="C83" s="340"/>
      <c r="D83" s="340"/>
      <c r="E83" s="441" t="s">
        <v>55</v>
      </c>
      <c r="F83" s="441" t="s">
        <v>4804</v>
      </c>
      <c r="G83" s="441" t="s">
        <v>329</v>
      </c>
      <c r="H83" s="441" t="s">
        <v>243</v>
      </c>
      <c r="I83" s="441"/>
      <c r="J83" s="157">
        <v>69</v>
      </c>
      <c r="K83" s="441"/>
      <c r="L83" s="441"/>
      <c r="M83" s="441"/>
      <c r="N83" s="441"/>
      <c r="O83" s="441"/>
      <c r="P83" s="441"/>
      <c r="Q83" s="441" t="s">
        <v>4796</v>
      </c>
    </row>
    <row r="84" spans="1:17" ht="12" customHeight="1">
      <c r="A84" s="339"/>
      <c r="B84" s="339"/>
      <c r="C84" s="340"/>
      <c r="D84" s="340"/>
      <c r="E84" s="441" t="s">
        <v>55</v>
      </c>
      <c r="F84" s="441" t="s">
        <v>4805</v>
      </c>
      <c r="G84" s="441" t="s">
        <v>329</v>
      </c>
      <c r="H84" s="441" t="s">
        <v>243</v>
      </c>
      <c r="I84" s="441"/>
      <c r="J84" s="157">
        <v>70</v>
      </c>
      <c r="K84" s="441"/>
      <c r="L84" s="441"/>
      <c r="M84" s="441"/>
      <c r="N84" s="441"/>
      <c r="O84" s="441"/>
      <c r="P84" s="441"/>
      <c r="Q84" s="441" t="s">
        <v>4796</v>
      </c>
    </row>
    <row r="85" spans="1:17" ht="12" customHeight="1">
      <c r="A85" s="339"/>
      <c r="B85" s="339"/>
      <c r="C85" s="340"/>
      <c r="D85" s="340"/>
      <c r="E85" s="441" t="s">
        <v>55</v>
      </c>
      <c r="F85" s="441" t="s">
        <v>4806</v>
      </c>
      <c r="G85" s="441" t="s">
        <v>329</v>
      </c>
      <c r="H85" s="441" t="s">
        <v>243</v>
      </c>
      <c r="I85" s="441"/>
      <c r="J85" s="157">
        <v>71</v>
      </c>
      <c r="K85" s="441"/>
      <c r="L85" s="441"/>
      <c r="M85" s="441"/>
      <c r="N85" s="441"/>
      <c r="O85" s="441"/>
      <c r="P85" s="441"/>
      <c r="Q85" s="441" t="s">
        <v>4796</v>
      </c>
    </row>
    <row r="86" spans="1:17" ht="12" customHeight="1">
      <c r="A86" s="339"/>
      <c r="B86" s="339"/>
      <c r="C86" s="340"/>
      <c r="D86" s="340"/>
      <c r="E86" s="441" t="s">
        <v>55</v>
      </c>
      <c r="F86" s="441" t="s">
        <v>4807</v>
      </c>
      <c r="G86" s="441" t="s">
        <v>329</v>
      </c>
      <c r="H86" s="441" t="s">
        <v>243</v>
      </c>
      <c r="I86" s="441"/>
      <c r="J86" s="157">
        <v>72</v>
      </c>
      <c r="K86" s="441"/>
      <c r="L86" s="441"/>
      <c r="M86" s="441"/>
      <c r="N86" s="441"/>
      <c r="O86" s="441"/>
      <c r="P86" s="441"/>
      <c r="Q86" s="441" t="s">
        <v>4796</v>
      </c>
    </row>
    <row r="87" spans="1:17" ht="12" customHeight="1">
      <c r="A87" s="339"/>
      <c r="B87" s="339"/>
      <c r="C87" s="340"/>
      <c r="D87" s="340"/>
      <c r="E87" s="441" t="s">
        <v>55</v>
      </c>
      <c r="F87" s="441" t="s">
        <v>4808</v>
      </c>
      <c r="G87" s="441" t="s">
        <v>329</v>
      </c>
      <c r="H87" s="441" t="s">
        <v>243</v>
      </c>
      <c r="I87" s="441"/>
      <c r="J87" s="157">
        <v>73</v>
      </c>
      <c r="K87" s="441"/>
      <c r="L87" s="441"/>
      <c r="M87" s="441"/>
      <c r="N87" s="441"/>
      <c r="O87" s="441"/>
      <c r="P87" s="441"/>
      <c r="Q87" s="441" t="s">
        <v>4809</v>
      </c>
    </row>
    <row r="88" spans="1:17" ht="12" customHeight="1">
      <c r="A88" s="339"/>
      <c r="B88" s="339"/>
      <c r="C88" s="340"/>
      <c r="D88" s="340"/>
      <c r="E88" s="441" t="s">
        <v>55</v>
      </c>
      <c r="F88" s="441" t="s">
        <v>4810</v>
      </c>
      <c r="G88" s="441" t="s">
        <v>329</v>
      </c>
      <c r="H88" s="441" t="s">
        <v>243</v>
      </c>
      <c r="I88" s="441"/>
      <c r="J88" s="157">
        <v>74</v>
      </c>
      <c r="K88" s="441"/>
      <c r="L88" s="441"/>
      <c r="M88" s="441"/>
      <c r="N88" s="441"/>
      <c r="O88" s="441"/>
      <c r="P88" s="441"/>
      <c r="Q88" s="441" t="s">
        <v>4809</v>
      </c>
    </row>
    <row r="89" spans="1:17" ht="12" customHeight="1">
      <c r="A89" s="339"/>
      <c r="B89" s="339"/>
      <c r="C89" s="340"/>
      <c r="D89" s="340"/>
      <c r="E89" s="441" t="s">
        <v>55</v>
      </c>
      <c r="F89" s="441" t="s">
        <v>4811</v>
      </c>
      <c r="G89" s="441" t="s">
        <v>329</v>
      </c>
      <c r="H89" s="441" t="s">
        <v>243</v>
      </c>
      <c r="I89" s="441"/>
      <c r="J89" s="157">
        <v>75</v>
      </c>
      <c r="K89" s="441"/>
      <c r="L89" s="441"/>
      <c r="M89" s="441"/>
      <c r="N89" s="441"/>
      <c r="O89" s="441"/>
      <c r="P89" s="441"/>
      <c r="Q89" s="441" t="s">
        <v>4809</v>
      </c>
    </row>
    <row r="90" spans="1:17" ht="12" customHeight="1">
      <c r="A90" s="339"/>
      <c r="B90" s="339"/>
      <c r="C90" s="340"/>
      <c r="D90" s="340"/>
      <c r="E90" s="441" t="s">
        <v>55</v>
      </c>
      <c r="F90" s="441" t="s">
        <v>4812</v>
      </c>
      <c r="G90" s="441" t="s">
        <v>329</v>
      </c>
      <c r="H90" s="441" t="s">
        <v>243</v>
      </c>
      <c r="I90" s="441"/>
      <c r="J90" s="157">
        <v>76</v>
      </c>
      <c r="K90" s="441"/>
      <c r="L90" s="441"/>
      <c r="M90" s="441"/>
      <c r="N90" s="441"/>
      <c r="O90" s="441"/>
      <c r="P90" s="441"/>
      <c r="Q90" s="441" t="s">
        <v>4809</v>
      </c>
    </row>
    <row r="91" spans="1:17" ht="12" customHeight="1">
      <c r="A91" s="339"/>
      <c r="B91" s="339"/>
      <c r="C91" s="340"/>
      <c r="D91" s="340"/>
      <c r="E91" s="441" t="s">
        <v>55</v>
      </c>
      <c r="F91" s="441" t="s">
        <v>4813</v>
      </c>
      <c r="G91" s="441" t="s">
        <v>329</v>
      </c>
      <c r="H91" s="441" t="s">
        <v>243</v>
      </c>
      <c r="I91" s="441"/>
      <c r="J91" s="157">
        <v>77</v>
      </c>
      <c r="K91" s="441"/>
      <c r="L91" s="441"/>
      <c r="M91" s="441"/>
      <c r="N91" s="441"/>
      <c r="O91" s="441"/>
      <c r="P91" s="441"/>
      <c r="Q91" s="441" t="s">
        <v>4809</v>
      </c>
    </row>
    <row r="92" spans="1:17" ht="12" customHeight="1">
      <c r="A92" s="339"/>
      <c r="B92" s="339"/>
      <c r="C92" s="340"/>
      <c r="D92" s="340"/>
      <c r="E92" s="441" t="s">
        <v>55</v>
      </c>
      <c r="F92" s="441" t="s">
        <v>4814</v>
      </c>
      <c r="G92" s="441" t="s">
        <v>329</v>
      </c>
      <c r="H92" s="441" t="s">
        <v>243</v>
      </c>
      <c r="I92" s="441"/>
      <c r="J92" s="157">
        <v>78</v>
      </c>
      <c r="K92" s="441"/>
      <c r="L92" s="441"/>
      <c r="M92" s="441"/>
      <c r="N92" s="441"/>
      <c r="O92" s="441"/>
      <c r="P92" s="441"/>
      <c r="Q92" s="441" t="s">
        <v>4809</v>
      </c>
    </row>
    <row r="93" spans="1:17" ht="12" customHeight="1">
      <c r="A93" s="339"/>
      <c r="B93" s="339"/>
      <c r="C93" s="340"/>
      <c r="D93" s="340"/>
      <c r="E93" s="441" t="s">
        <v>55</v>
      </c>
      <c r="F93" s="441" t="s">
        <v>4815</v>
      </c>
      <c r="G93" s="441" t="s">
        <v>329</v>
      </c>
      <c r="H93" s="441" t="s">
        <v>243</v>
      </c>
      <c r="I93" s="441"/>
      <c r="J93" s="157">
        <v>79</v>
      </c>
      <c r="K93" s="441"/>
      <c r="L93" s="441"/>
      <c r="M93" s="441"/>
      <c r="N93" s="441"/>
      <c r="O93" s="441"/>
      <c r="P93" s="441"/>
      <c r="Q93" s="441" t="s">
        <v>4809</v>
      </c>
    </row>
    <row r="94" spans="1:17" ht="12" customHeight="1">
      <c r="A94" s="339"/>
      <c r="B94" s="339"/>
      <c r="C94" s="340"/>
      <c r="D94" s="340"/>
      <c r="E94" s="441" t="s">
        <v>55</v>
      </c>
      <c r="F94" s="441" t="s">
        <v>4816</v>
      </c>
      <c r="G94" s="441" t="s">
        <v>329</v>
      </c>
      <c r="H94" s="441" t="s">
        <v>243</v>
      </c>
      <c r="I94" s="441"/>
      <c r="J94" s="157">
        <v>80</v>
      </c>
      <c r="K94" s="441"/>
      <c r="L94" s="441"/>
      <c r="M94" s="441"/>
      <c r="N94" s="441"/>
      <c r="O94" s="441"/>
      <c r="P94" s="441"/>
      <c r="Q94" s="441" t="s">
        <v>4809</v>
      </c>
    </row>
    <row r="95" spans="1:17" ht="12" customHeight="1">
      <c r="A95" s="339"/>
      <c r="B95" s="339"/>
      <c r="C95" s="340"/>
      <c r="D95" s="340"/>
      <c r="E95" s="441" t="s">
        <v>55</v>
      </c>
      <c r="F95" s="441" t="s">
        <v>4817</v>
      </c>
      <c r="G95" s="441" t="s">
        <v>329</v>
      </c>
      <c r="H95" s="441" t="s">
        <v>243</v>
      </c>
      <c r="I95" s="441"/>
      <c r="J95" s="157">
        <v>81</v>
      </c>
      <c r="K95" s="441"/>
      <c r="L95" s="441"/>
      <c r="M95" s="441"/>
      <c r="N95" s="441"/>
      <c r="O95" s="441"/>
      <c r="P95" s="441"/>
      <c r="Q95" s="441" t="s">
        <v>4809</v>
      </c>
    </row>
    <row r="96" spans="1:17" ht="12" customHeight="1">
      <c r="A96" s="339"/>
      <c r="B96" s="339"/>
      <c r="C96" s="340"/>
      <c r="D96" s="340"/>
      <c r="E96" s="441" t="s">
        <v>55</v>
      </c>
      <c r="F96" s="441" t="s">
        <v>4818</v>
      </c>
      <c r="G96" s="441" t="s">
        <v>329</v>
      </c>
      <c r="H96" s="441" t="s">
        <v>243</v>
      </c>
      <c r="I96" s="441"/>
      <c r="J96" s="157">
        <v>82</v>
      </c>
      <c r="K96" s="441"/>
      <c r="L96" s="441"/>
      <c r="M96" s="441"/>
      <c r="N96" s="441"/>
      <c r="O96" s="441"/>
      <c r="P96" s="441"/>
      <c r="Q96" s="441" t="s">
        <v>4809</v>
      </c>
    </row>
    <row r="97" spans="1:17" ht="12" customHeight="1">
      <c r="A97" s="339"/>
      <c r="B97" s="339"/>
      <c r="C97" s="340"/>
      <c r="D97" s="340"/>
      <c r="E97" s="441" t="s">
        <v>55</v>
      </c>
      <c r="F97" s="441" t="s">
        <v>4819</v>
      </c>
      <c r="G97" s="441" t="s">
        <v>329</v>
      </c>
      <c r="H97" s="441" t="s">
        <v>243</v>
      </c>
      <c r="I97" s="441"/>
      <c r="J97" s="157">
        <v>83</v>
      </c>
      <c r="K97" s="441"/>
      <c r="L97" s="441"/>
      <c r="M97" s="441"/>
      <c r="N97" s="441"/>
      <c r="O97" s="441"/>
      <c r="P97" s="441"/>
      <c r="Q97" s="441" t="s">
        <v>4809</v>
      </c>
    </row>
    <row r="98" spans="1:17" ht="12" customHeight="1">
      <c r="A98" s="339"/>
      <c r="B98" s="339"/>
      <c r="C98" s="340"/>
      <c r="D98" s="340"/>
      <c r="E98" s="441" t="s">
        <v>55</v>
      </c>
      <c r="F98" s="441" t="s">
        <v>4820</v>
      </c>
      <c r="G98" s="441" t="s">
        <v>329</v>
      </c>
      <c r="H98" s="441" t="s">
        <v>243</v>
      </c>
      <c r="I98" s="441"/>
      <c r="J98" s="157">
        <v>84</v>
      </c>
      <c r="K98" s="441"/>
      <c r="L98" s="441"/>
      <c r="M98" s="441"/>
      <c r="N98" s="441"/>
      <c r="O98" s="441"/>
      <c r="P98" s="441"/>
      <c r="Q98" s="441" t="s">
        <v>4809</v>
      </c>
    </row>
    <row r="99" spans="1:17" ht="12" customHeight="1">
      <c r="A99" s="339"/>
      <c r="B99" s="339"/>
      <c r="C99" s="340"/>
      <c r="D99" s="340"/>
      <c r="E99" s="441" t="s">
        <v>55</v>
      </c>
      <c r="F99" s="441" t="s">
        <v>4821</v>
      </c>
      <c r="G99" s="441" t="s">
        <v>329</v>
      </c>
      <c r="H99" s="441" t="s">
        <v>243</v>
      </c>
      <c r="I99" s="441"/>
      <c r="J99" s="157">
        <v>85</v>
      </c>
      <c r="K99" s="441"/>
      <c r="L99" s="441"/>
      <c r="M99" s="441"/>
      <c r="N99" s="441"/>
      <c r="O99" s="441"/>
      <c r="P99" s="441"/>
      <c r="Q99" s="441" t="s">
        <v>4822</v>
      </c>
    </row>
    <row r="100" spans="1:17" ht="12" customHeight="1">
      <c r="A100" s="339"/>
      <c r="B100" s="339"/>
      <c r="C100" s="340"/>
      <c r="D100" s="340"/>
      <c r="E100" s="441" t="s">
        <v>55</v>
      </c>
      <c r="F100" s="441" t="s">
        <v>4823</v>
      </c>
      <c r="G100" s="441" t="s">
        <v>329</v>
      </c>
      <c r="H100" s="441" t="s">
        <v>243</v>
      </c>
      <c r="I100" s="441"/>
      <c r="J100" s="157">
        <v>86</v>
      </c>
      <c r="K100" s="441"/>
      <c r="L100" s="441"/>
      <c r="M100" s="441"/>
      <c r="N100" s="441"/>
      <c r="O100" s="441"/>
      <c r="P100" s="441"/>
      <c r="Q100" s="441" t="s">
        <v>4822</v>
      </c>
    </row>
    <row r="101" spans="1:17" ht="12" customHeight="1">
      <c r="A101" s="339"/>
      <c r="B101" s="339"/>
      <c r="C101" s="340"/>
      <c r="D101" s="340"/>
      <c r="E101" s="441" t="s">
        <v>55</v>
      </c>
      <c r="F101" s="441" t="s">
        <v>4824</v>
      </c>
      <c r="G101" s="441" t="s">
        <v>329</v>
      </c>
      <c r="H101" s="441" t="s">
        <v>243</v>
      </c>
      <c r="I101" s="441"/>
      <c r="J101" s="157">
        <v>87</v>
      </c>
      <c r="K101" s="441"/>
      <c r="L101" s="441"/>
      <c r="M101" s="441"/>
      <c r="N101" s="441"/>
      <c r="O101" s="441"/>
      <c r="P101" s="441"/>
      <c r="Q101" s="441" t="s">
        <v>4822</v>
      </c>
    </row>
    <row r="102" spans="1:17" ht="12" customHeight="1">
      <c r="A102" s="339"/>
      <c r="B102" s="339"/>
      <c r="C102" s="340"/>
      <c r="D102" s="340"/>
      <c r="E102" s="441" t="s">
        <v>55</v>
      </c>
      <c r="F102" s="441" t="s">
        <v>4825</v>
      </c>
      <c r="G102" s="441" t="s">
        <v>329</v>
      </c>
      <c r="H102" s="441" t="s">
        <v>243</v>
      </c>
      <c r="I102" s="441"/>
      <c r="J102" s="157">
        <v>88</v>
      </c>
      <c r="K102" s="441"/>
      <c r="L102" s="441"/>
      <c r="M102" s="441"/>
      <c r="N102" s="441"/>
      <c r="O102" s="441"/>
      <c r="P102" s="441"/>
      <c r="Q102" s="441" t="s">
        <v>4822</v>
      </c>
    </row>
    <row r="103" spans="1:17" ht="12" customHeight="1">
      <c r="A103" s="339"/>
      <c r="B103" s="339"/>
      <c r="C103" s="340"/>
      <c r="D103" s="340"/>
      <c r="E103" s="441" t="s">
        <v>55</v>
      </c>
      <c r="F103" s="441" t="s">
        <v>4826</v>
      </c>
      <c r="G103" s="441" t="s">
        <v>329</v>
      </c>
      <c r="H103" s="441" t="s">
        <v>243</v>
      </c>
      <c r="I103" s="441"/>
      <c r="J103" s="157">
        <v>89</v>
      </c>
      <c r="K103" s="441"/>
      <c r="L103" s="441"/>
      <c r="M103" s="441"/>
      <c r="N103" s="441"/>
      <c r="O103" s="441"/>
      <c r="P103" s="441"/>
      <c r="Q103" s="441" t="s">
        <v>4822</v>
      </c>
    </row>
    <row r="104" spans="1:17" ht="12" customHeight="1">
      <c r="A104" s="339"/>
      <c r="B104" s="339"/>
      <c r="C104" s="340"/>
      <c r="D104" s="340"/>
      <c r="E104" s="441" t="s">
        <v>55</v>
      </c>
      <c r="F104" s="441" t="s">
        <v>4827</v>
      </c>
      <c r="G104" s="441" t="s">
        <v>329</v>
      </c>
      <c r="H104" s="441" t="s">
        <v>243</v>
      </c>
      <c r="I104" s="441"/>
      <c r="J104" s="157">
        <v>90</v>
      </c>
      <c r="K104" s="441"/>
      <c r="L104" s="441"/>
      <c r="M104" s="441"/>
      <c r="N104" s="441"/>
      <c r="O104" s="441"/>
      <c r="P104" s="441"/>
      <c r="Q104" s="441" t="s">
        <v>4822</v>
      </c>
    </row>
    <row r="105" spans="1:17" ht="12" customHeight="1">
      <c r="A105" s="339"/>
      <c r="B105" s="339"/>
      <c r="C105" s="340"/>
      <c r="D105" s="340"/>
      <c r="E105" s="441" t="s">
        <v>55</v>
      </c>
      <c r="F105" s="441" t="s">
        <v>4828</v>
      </c>
      <c r="G105" s="441" t="s">
        <v>329</v>
      </c>
      <c r="H105" s="441" t="s">
        <v>243</v>
      </c>
      <c r="I105" s="441"/>
      <c r="J105" s="157">
        <v>91</v>
      </c>
      <c r="K105" s="441"/>
      <c r="L105" s="441"/>
      <c r="M105" s="441"/>
      <c r="N105" s="441"/>
      <c r="O105" s="441"/>
      <c r="P105" s="441"/>
      <c r="Q105" s="441" t="s">
        <v>4822</v>
      </c>
    </row>
    <row r="106" spans="1:17" ht="12" customHeight="1">
      <c r="A106" s="339"/>
      <c r="B106" s="339"/>
      <c r="C106" s="340"/>
      <c r="D106" s="340"/>
      <c r="E106" s="441" t="s">
        <v>55</v>
      </c>
      <c r="F106" s="441" t="s">
        <v>4829</v>
      </c>
      <c r="G106" s="441" t="s">
        <v>329</v>
      </c>
      <c r="H106" s="441" t="s">
        <v>243</v>
      </c>
      <c r="I106" s="441"/>
      <c r="J106" s="157">
        <v>92</v>
      </c>
      <c r="K106" s="441"/>
      <c r="L106" s="441"/>
      <c r="M106" s="441"/>
      <c r="N106" s="441"/>
      <c r="O106" s="441"/>
      <c r="P106" s="441"/>
      <c r="Q106" s="441" t="s">
        <v>4822</v>
      </c>
    </row>
    <row r="107" spans="1:17" ht="12" customHeight="1">
      <c r="A107" s="339"/>
      <c r="B107" s="339"/>
      <c r="C107" s="340"/>
      <c r="D107" s="340"/>
      <c r="E107" s="441" t="s">
        <v>55</v>
      </c>
      <c r="F107" s="441" t="s">
        <v>4830</v>
      </c>
      <c r="G107" s="441" t="s">
        <v>329</v>
      </c>
      <c r="H107" s="441" t="s">
        <v>243</v>
      </c>
      <c r="I107" s="441"/>
      <c r="J107" s="157">
        <v>93</v>
      </c>
      <c r="K107" s="441"/>
      <c r="L107" s="441"/>
      <c r="M107" s="441"/>
      <c r="N107" s="441"/>
      <c r="O107" s="441"/>
      <c r="P107" s="441"/>
      <c r="Q107" s="441" t="s">
        <v>4822</v>
      </c>
    </row>
    <row r="108" spans="1:17" ht="12" customHeight="1">
      <c r="A108" s="339"/>
      <c r="B108" s="339"/>
      <c r="C108" s="340"/>
      <c r="D108" s="340"/>
      <c r="E108" s="441" t="s">
        <v>55</v>
      </c>
      <c r="F108" s="441" t="s">
        <v>4831</v>
      </c>
      <c r="G108" s="441" t="s">
        <v>329</v>
      </c>
      <c r="H108" s="441" t="s">
        <v>243</v>
      </c>
      <c r="I108" s="441"/>
      <c r="J108" s="157">
        <v>94</v>
      </c>
      <c r="K108" s="441"/>
      <c r="L108" s="441"/>
      <c r="M108" s="441"/>
      <c r="N108" s="441"/>
      <c r="O108" s="441"/>
      <c r="P108" s="441"/>
      <c r="Q108" s="441" t="s">
        <v>4822</v>
      </c>
    </row>
    <row r="109" spans="1:17" ht="12" customHeight="1">
      <c r="A109" s="339"/>
      <c r="B109" s="339"/>
      <c r="C109" s="340"/>
      <c r="D109" s="340"/>
      <c r="E109" s="441" t="s">
        <v>55</v>
      </c>
      <c r="F109" s="441" t="s">
        <v>4832</v>
      </c>
      <c r="G109" s="441" t="s">
        <v>329</v>
      </c>
      <c r="H109" s="441" t="s">
        <v>243</v>
      </c>
      <c r="I109" s="441"/>
      <c r="J109" s="157">
        <v>95</v>
      </c>
      <c r="K109" s="441"/>
      <c r="L109" s="441"/>
      <c r="M109" s="441"/>
      <c r="N109" s="441"/>
      <c r="O109" s="441"/>
      <c r="P109" s="441"/>
      <c r="Q109" s="441" t="s">
        <v>4822</v>
      </c>
    </row>
    <row r="110" spans="1:17" ht="12" customHeight="1">
      <c r="A110" s="339"/>
      <c r="B110" s="339"/>
      <c r="C110" s="340"/>
      <c r="D110" s="340"/>
      <c r="E110" s="441" t="s">
        <v>55</v>
      </c>
      <c r="F110" s="441" t="s">
        <v>4833</v>
      </c>
      <c r="G110" s="441" t="s">
        <v>329</v>
      </c>
      <c r="H110" s="441" t="s">
        <v>243</v>
      </c>
      <c r="I110" s="441"/>
      <c r="J110" s="157">
        <v>96</v>
      </c>
      <c r="K110" s="441"/>
      <c r="L110" s="441"/>
      <c r="M110" s="441"/>
      <c r="N110" s="441"/>
      <c r="O110" s="441"/>
      <c r="P110" s="441"/>
      <c r="Q110" s="441" t="s">
        <v>4822</v>
      </c>
    </row>
    <row r="111" spans="1:17" ht="12" customHeight="1">
      <c r="A111" s="339"/>
      <c r="B111" s="339"/>
      <c r="C111" s="340"/>
      <c r="D111" s="340"/>
      <c r="E111" s="441" t="s">
        <v>55</v>
      </c>
      <c r="F111" s="441" t="s">
        <v>4834</v>
      </c>
      <c r="G111" s="441" t="s">
        <v>329</v>
      </c>
      <c r="H111" s="441" t="s">
        <v>243</v>
      </c>
      <c r="I111" s="441"/>
      <c r="J111" s="157">
        <v>97</v>
      </c>
      <c r="K111" s="441"/>
      <c r="L111" s="441"/>
      <c r="M111" s="441"/>
      <c r="N111" s="441"/>
      <c r="O111" s="441"/>
      <c r="P111" s="441"/>
      <c r="Q111" s="441" t="s">
        <v>4835</v>
      </c>
    </row>
    <row r="112" spans="1:17" ht="12" customHeight="1">
      <c r="A112" s="339"/>
      <c r="B112" s="339"/>
      <c r="C112" s="340"/>
      <c r="D112" s="340"/>
      <c r="E112" s="441" t="s">
        <v>55</v>
      </c>
      <c r="F112" s="441" t="s">
        <v>4836</v>
      </c>
      <c r="G112" s="441" t="s">
        <v>329</v>
      </c>
      <c r="H112" s="441" t="s">
        <v>243</v>
      </c>
      <c r="I112" s="441"/>
      <c r="J112" s="157">
        <v>98</v>
      </c>
      <c r="K112" s="441"/>
      <c r="L112" s="441"/>
      <c r="M112" s="441"/>
      <c r="N112" s="441"/>
      <c r="O112" s="441"/>
      <c r="P112" s="441"/>
      <c r="Q112" s="441" t="s">
        <v>4835</v>
      </c>
    </row>
    <row r="113" spans="1:17" ht="12" customHeight="1">
      <c r="A113" s="339"/>
      <c r="B113" s="339"/>
      <c r="C113" s="340"/>
      <c r="D113" s="340"/>
      <c r="E113" s="441" t="s">
        <v>55</v>
      </c>
      <c r="F113" s="441" t="s">
        <v>4837</v>
      </c>
      <c r="G113" s="441" t="s">
        <v>329</v>
      </c>
      <c r="H113" s="441" t="s">
        <v>243</v>
      </c>
      <c r="I113" s="441"/>
      <c r="J113" s="157">
        <v>99</v>
      </c>
      <c r="K113" s="441"/>
      <c r="L113" s="441"/>
      <c r="M113" s="441"/>
      <c r="N113" s="441"/>
      <c r="O113" s="441"/>
      <c r="P113" s="441"/>
      <c r="Q113" s="441" t="s">
        <v>4835</v>
      </c>
    </row>
    <row r="114" spans="1:17" ht="12" customHeight="1">
      <c r="A114" s="339"/>
      <c r="B114" s="339"/>
      <c r="C114" s="340"/>
      <c r="D114" s="340"/>
      <c r="E114" s="441" t="s">
        <v>55</v>
      </c>
      <c r="F114" s="441" t="s">
        <v>4838</v>
      </c>
      <c r="G114" s="441" t="s">
        <v>329</v>
      </c>
      <c r="H114" s="441" t="s">
        <v>243</v>
      </c>
      <c r="I114" s="441"/>
      <c r="J114" s="157">
        <v>100</v>
      </c>
      <c r="K114" s="441"/>
      <c r="L114" s="441"/>
      <c r="M114" s="441"/>
      <c r="N114" s="441"/>
      <c r="O114" s="441"/>
      <c r="P114" s="441"/>
      <c r="Q114" s="441" t="s">
        <v>4835</v>
      </c>
    </row>
    <row r="115" spans="1:17" ht="12" customHeight="1">
      <c r="A115" s="339"/>
      <c r="B115" s="339"/>
      <c r="C115" s="340"/>
      <c r="D115" s="340"/>
      <c r="E115" s="441" t="s">
        <v>55</v>
      </c>
      <c r="F115" s="441" t="s">
        <v>4839</v>
      </c>
      <c r="G115" s="441" t="s">
        <v>329</v>
      </c>
      <c r="H115" s="441" t="s">
        <v>243</v>
      </c>
      <c r="I115" s="441"/>
      <c r="J115" s="157">
        <v>101</v>
      </c>
      <c r="K115" s="441"/>
      <c r="L115" s="441"/>
      <c r="M115" s="441"/>
      <c r="N115" s="441"/>
      <c r="O115" s="441"/>
      <c r="P115" s="441"/>
      <c r="Q115" s="441" t="s">
        <v>4835</v>
      </c>
    </row>
    <row r="116" spans="1:17" ht="12" customHeight="1">
      <c r="A116" s="339"/>
      <c r="B116" s="339"/>
      <c r="C116" s="340"/>
      <c r="D116" s="340"/>
      <c r="E116" s="441" t="s">
        <v>55</v>
      </c>
      <c r="F116" s="441" t="s">
        <v>4840</v>
      </c>
      <c r="G116" s="441" t="s">
        <v>329</v>
      </c>
      <c r="H116" s="441" t="s">
        <v>243</v>
      </c>
      <c r="I116" s="441"/>
      <c r="J116" s="157">
        <v>102</v>
      </c>
      <c r="K116" s="441"/>
      <c r="L116" s="441"/>
      <c r="M116" s="441"/>
      <c r="N116" s="441"/>
      <c r="O116" s="441"/>
      <c r="P116" s="441"/>
      <c r="Q116" s="441" t="s">
        <v>4835</v>
      </c>
    </row>
    <row r="117" spans="1:17" ht="12" customHeight="1">
      <c r="A117" s="339"/>
      <c r="B117" s="339"/>
      <c r="C117" s="340"/>
      <c r="D117" s="340"/>
      <c r="E117" s="441" t="s">
        <v>55</v>
      </c>
      <c r="F117" s="441" t="s">
        <v>4841</v>
      </c>
      <c r="G117" s="441" t="s">
        <v>329</v>
      </c>
      <c r="H117" s="441" t="s">
        <v>243</v>
      </c>
      <c r="I117" s="441"/>
      <c r="J117" s="157">
        <v>103</v>
      </c>
      <c r="K117" s="441"/>
      <c r="L117" s="441"/>
      <c r="M117" s="441"/>
      <c r="N117" s="441"/>
      <c r="O117" s="441"/>
      <c r="P117" s="441"/>
      <c r="Q117" s="441" t="s">
        <v>4835</v>
      </c>
    </row>
    <row r="118" spans="1:17" ht="12" customHeight="1">
      <c r="A118" s="339"/>
      <c r="B118" s="339"/>
      <c r="C118" s="340"/>
      <c r="D118" s="340"/>
      <c r="E118" s="441" t="s">
        <v>55</v>
      </c>
      <c r="F118" s="441" t="s">
        <v>4842</v>
      </c>
      <c r="G118" s="441" t="s">
        <v>329</v>
      </c>
      <c r="H118" s="441" t="s">
        <v>243</v>
      </c>
      <c r="I118" s="441"/>
      <c r="J118" s="157">
        <v>104</v>
      </c>
      <c r="K118" s="441"/>
      <c r="L118" s="441"/>
      <c r="M118" s="441"/>
      <c r="N118" s="441"/>
      <c r="O118" s="441"/>
      <c r="P118" s="441"/>
      <c r="Q118" s="441" t="s">
        <v>4835</v>
      </c>
    </row>
    <row r="119" spans="1:17" ht="12" customHeight="1">
      <c r="A119" s="339"/>
      <c r="B119" s="339"/>
      <c r="C119" s="340"/>
      <c r="D119" s="340"/>
      <c r="E119" s="441" t="s">
        <v>55</v>
      </c>
      <c r="F119" s="441" t="s">
        <v>4843</v>
      </c>
      <c r="G119" s="441" t="s">
        <v>329</v>
      </c>
      <c r="H119" s="441" t="s">
        <v>243</v>
      </c>
      <c r="I119" s="441"/>
      <c r="J119" s="157">
        <v>105</v>
      </c>
      <c r="K119" s="441"/>
      <c r="L119" s="441"/>
      <c r="M119" s="441"/>
      <c r="N119" s="441"/>
      <c r="O119" s="441"/>
      <c r="P119" s="441"/>
      <c r="Q119" s="441" t="s">
        <v>4835</v>
      </c>
    </row>
    <row r="120" spans="1:17" ht="12" customHeight="1">
      <c r="A120" s="339"/>
      <c r="B120" s="339"/>
      <c r="C120" s="340"/>
      <c r="D120" s="340"/>
      <c r="E120" s="441" t="s">
        <v>55</v>
      </c>
      <c r="F120" s="441" t="s">
        <v>4844</v>
      </c>
      <c r="G120" s="441" t="s">
        <v>329</v>
      </c>
      <c r="H120" s="441" t="s">
        <v>243</v>
      </c>
      <c r="I120" s="441"/>
      <c r="J120" s="157">
        <v>106</v>
      </c>
      <c r="K120" s="441"/>
      <c r="L120" s="441"/>
      <c r="M120" s="441"/>
      <c r="N120" s="441"/>
      <c r="O120" s="441"/>
      <c r="P120" s="441"/>
      <c r="Q120" s="441" t="s">
        <v>4835</v>
      </c>
    </row>
    <row r="121" spans="1:17" ht="12" customHeight="1">
      <c r="A121" s="339"/>
      <c r="B121" s="339"/>
      <c r="C121" s="340"/>
      <c r="D121" s="340"/>
      <c r="E121" s="441" t="s">
        <v>55</v>
      </c>
      <c r="F121" s="441" t="s">
        <v>4845</v>
      </c>
      <c r="G121" s="441" t="s">
        <v>329</v>
      </c>
      <c r="H121" s="441" t="s">
        <v>243</v>
      </c>
      <c r="I121" s="441"/>
      <c r="J121" s="157">
        <v>107</v>
      </c>
      <c r="K121" s="441"/>
      <c r="L121" s="441"/>
      <c r="M121" s="441"/>
      <c r="N121" s="441"/>
      <c r="O121" s="441"/>
      <c r="P121" s="441"/>
      <c r="Q121" s="441" t="s">
        <v>4835</v>
      </c>
    </row>
    <row r="122" spans="1:17" ht="12" customHeight="1">
      <c r="A122" s="339"/>
      <c r="B122" s="339"/>
      <c r="C122" s="340"/>
      <c r="D122" s="340"/>
      <c r="E122" s="441" t="s">
        <v>55</v>
      </c>
      <c r="F122" s="441" t="s">
        <v>4846</v>
      </c>
      <c r="G122" s="441" t="s">
        <v>329</v>
      </c>
      <c r="H122" s="441" t="s">
        <v>243</v>
      </c>
      <c r="I122" s="441"/>
      <c r="J122" s="157">
        <v>108</v>
      </c>
      <c r="K122" s="441"/>
      <c r="L122" s="441"/>
      <c r="M122" s="441"/>
      <c r="N122" s="441"/>
      <c r="O122" s="441"/>
      <c r="P122" s="441"/>
      <c r="Q122" s="441" t="s">
        <v>4835</v>
      </c>
    </row>
    <row r="123" spans="1:17" ht="12" customHeight="1">
      <c r="A123" s="339"/>
      <c r="B123" s="339"/>
      <c r="C123" s="340"/>
      <c r="D123" s="340"/>
      <c r="E123" s="441" t="s">
        <v>55</v>
      </c>
      <c r="F123" s="441" t="s">
        <v>4847</v>
      </c>
      <c r="G123" s="441" t="s">
        <v>329</v>
      </c>
      <c r="H123" s="441" t="s">
        <v>243</v>
      </c>
      <c r="I123" s="441"/>
      <c r="J123" s="157">
        <v>109</v>
      </c>
      <c r="K123" s="441"/>
      <c r="L123" s="441"/>
      <c r="M123" s="441"/>
      <c r="N123" s="441"/>
      <c r="O123" s="441"/>
      <c r="P123" s="441"/>
      <c r="Q123" s="441" t="s">
        <v>4848</v>
      </c>
    </row>
    <row r="124" spans="1:17" ht="12" customHeight="1">
      <c r="A124" s="339"/>
      <c r="B124" s="339"/>
      <c r="C124" s="340"/>
      <c r="D124" s="340"/>
      <c r="E124" s="441" t="s">
        <v>55</v>
      </c>
      <c r="F124" s="441" t="s">
        <v>4849</v>
      </c>
      <c r="G124" s="441" t="s">
        <v>329</v>
      </c>
      <c r="H124" s="441" t="s">
        <v>243</v>
      </c>
      <c r="I124" s="441"/>
      <c r="J124" s="157">
        <v>110</v>
      </c>
      <c r="K124" s="441"/>
      <c r="L124" s="441"/>
      <c r="M124" s="441"/>
      <c r="N124" s="441"/>
      <c r="O124" s="441"/>
      <c r="P124" s="441"/>
      <c r="Q124" s="441" t="s">
        <v>4848</v>
      </c>
    </row>
    <row r="125" spans="1:17" ht="12" customHeight="1">
      <c r="A125" s="339"/>
      <c r="B125" s="339"/>
      <c r="C125" s="340"/>
      <c r="D125" s="340"/>
      <c r="E125" s="441" t="s">
        <v>55</v>
      </c>
      <c r="F125" s="441" t="s">
        <v>4850</v>
      </c>
      <c r="G125" s="441" t="s">
        <v>329</v>
      </c>
      <c r="H125" s="441" t="s">
        <v>243</v>
      </c>
      <c r="I125" s="441"/>
      <c r="J125" s="157">
        <v>111</v>
      </c>
      <c r="K125" s="441"/>
      <c r="L125" s="441"/>
      <c r="M125" s="441"/>
      <c r="N125" s="441"/>
      <c r="O125" s="441"/>
      <c r="P125" s="441"/>
      <c r="Q125" s="441" t="s">
        <v>4848</v>
      </c>
    </row>
    <row r="126" spans="1:17" ht="12" customHeight="1">
      <c r="A126" s="339"/>
      <c r="B126" s="339"/>
      <c r="C126" s="340"/>
      <c r="D126" s="340"/>
      <c r="E126" s="441" t="s">
        <v>55</v>
      </c>
      <c r="F126" s="441" t="s">
        <v>4851</v>
      </c>
      <c r="G126" s="441" t="s">
        <v>329</v>
      </c>
      <c r="H126" s="441" t="s">
        <v>243</v>
      </c>
      <c r="I126" s="441"/>
      <c r="J126" s="157">
        <v>112</v>
      </c>
      <c r="K126" s="441"/>
      <c r="L126" s="441"/>
      <c r="M126" s="441"/>
      <c r="N126" s="441"/>
      <c r="O126" s="441"/>
      <c r="P126" s="441"/>
      <c r="Q126" s="441" t="s">
        <v>4848</v>
      </c>
    </row>
    <row r="127" spans="1:17" ht="12" customHeight="1">
      <c r="A127" s="339"/>
      <c r="B127" s="339"/>
      <c r="C127" s="340"/>
      <c r="D127" s="340"/>
      <c r="E127" s="441" t="s">
        <v>55</v>
      </c>
      <c r="F127" s="441" t="s">
        <v>4852</v>
      </c>
      <c r="G127" s="441" t="s">
        <v>329</v>
      </c>
      <c r="H127" s="441" t="s">
        <v>243</v>
      </c>
      <c r="I127" s="441"/>
      <c r="J127" s="157">
        <v>113</v>
      </c>
      <c r="K127" s="441"/>
      <c r="L127" s="441"/>
      <c r="M127" s="441"/>
      <c r="N127" s="441"/>
      <c r="O127" s="441"/>
      <c r="P127" s="441"/>
      <c r="Q127" s="441" t="s">
        <v>4848</v>
      </c>
    </row>
    <row r="128" spans="1:17" ht="12" customHeight="1">
      <c r="A128" s="339"/>
      <c r="B128" s="339"/>
      <c r="C128" s="340"/>
      <c r="D128" s="340"/>
      <c r="E128" s="441" t="s">
        <v>55</v>
      </c>
      <c r="F128" s="441" t="s">
        <v>4853</v>
      </c>
      <c r="G128" s="441" t="s">
        <v>329</v>
      </c>
      <c r="H128" s="441" t="s">
        <v>243</v>
      </c>
      <c r="I128" s="441"/>
      <c r="J128" s="157">
        <v>114</v>
      </c>
      <c r="K128" s="441"/>
      <c r="L128" s="441"/>
      <c r="M128" s="441"/>
      <c r="N128" s="441"/>
      <c r="O128" s="441"/>
      <c r="P128" s="441"/>
      <c r="Q128" s="441" t="s">
        <v>4848</v>
      </c>
    </row>
    <row r="129" spans="1:17" ht="12" customHeight="1">
      <c r="A129" s="339"/>
      <c r="B129" s="339"/>
      <c r="C129" s="340"/>
      <c r="D129" s="340"/>
      <c r="E129" s="441" t="s">
        <v>55</v>
      </c>
      <c r="F129" s="441" t="s">
        <v>4854</v>
      </c>
      <c r="G129" s="441" t="s">
        <v>329</v>
      </c>
      <c r="H129" s="441" t="s">
        <v>243</v>
      </c>
      <c r="I129" s="441"/>
      <c r="J129" s="157">
        <v>115</v>
      </c>
      <c r="K129" s="441"/>
      <c r="L129" s="441"/>
      <c r="M129" s="441"/>
      <c r="N129" s="441"/>
      <c r="O129" s="441"/>
      <c r="P129" s="441"/>
      <c r="Q129" s="441" t="s">
        <v>4848</v>
      </c>
    </row>
    <row r="130" spans="1:17" ht="12" customHeight="1">
      <c r="A130" s="339"/>
      <c r="B130" s="339"/>
      <c r="C130" s="340"/>
      <c r="D130" s="340"/>
      <c r="E130" s="441" t="s">
        <v>55</v>
      </c>
      <c r="F130" s="441" t="s">
        <v>4855</v>
      </c>
      <c r="G130" s="441" t="s">
        <v>329</v>
      </c>
      <c r="H130" s="441" t="s">
        <v>243</v>
      </c>
      <c r="I130" s="441"/>
      <c r="J130" s="157">
        <v>116</v>
      </c>
      <c r="K130" s="441"/>
      <c r="L130" s="441"/>
      <c r="M130" s="441"/>
      <c r="N130" s="441"/>
      <c r="O130" s="441"/>
      <c r="P130" s="441"/>
      <c r="Q130" s="441" t="s">
        <v>4848</v>
      </c>
    </row>
    <row r="131" spans="1:17" ht="12" customHeight="1">
      <c r="A131" s="339"/>
      <c r="B131" s="339"/>
      <c r="C131" s="340"/>
      <c r="D131" s="340"/>
      <c r="E131" s="441" t="s">
        <v>55</v>
      </c>
      <c r="F131" s="441" t="s">
        <v>4856</v>
      </c>
      <c r="G131" s="441" t="s">
        <v>329</v>
      </c>
      <c r="H131" s="441" t="s">
        <v>243</v>
      </c>
      <c r="I131" s="441"/>
      <c r="J131" s="157">
        <v>117</v>
      </c>
      <c r="K131" s="441"/>
      <c r="L131" s="441"/>
      <c r="M131" s="441"/>
      <c r="N131" s="441"/>
      <c r="O131" s="441"/>
      <c r="P131" s="441"/>
      <c r="Q131" s="441" t="s">
        <v>4848</v>
      </c>
    </row>
    <row r="132" spans="1:17" ht="12" customHeight="1">
      <c r="A132" s="339"/>
      <c r="B132" s="339"/>
      <c r="C132" s="340"/>
      <c r="D132" s="340"/>
      <c r="E132" s="441" t="s">
        <v>55</v>
      </c>
      <c r="F132" s="441" t="s">
        <v>4857</v>
      </c>
      <c r="G132" s="441" t="s">
        <v>329</v>
      </c>
      <c r="H132" s="441" t="s">
        <v>243</v>
      </c>
      <c r="I132" s="441"/>
      <c r="J132" s="157">
        <v>118</v>
      </c>
      <c r="K132" s="441"/>
      <c r="L132" s="441"/>
      <c r="M132" s="441"/>
      <c r="N132" s="441"/>
      <c r="O132" s="441"/>
      <c r="P132" s="441"/>
      <c r="Q132" s="441" t="s">
        <v>4848</v>
      </c>
    </row>
    <row r="133" spans="1:17" ht="12" customHeight="1">
      <c r="A133" s="339"/>
      <c r="B133" s="339"/>
      <c r="C133" s="340"/>
      <c r="D133" s="340"/>
      <c r="E133" s="441" t="s">
        <v>55</v>
      </c>
      <c r="F133" s="441" t="s">
        <v>4858</v>
      </c>
      <c r="G133" s="441" t="s">
        <v>329</v>
      </c>
      <c r="H133" s="441" t="s">
        <v>243</v>
      </c>
      <c r="I133" s="441"/>
      <c r="J133" s="157">
        <v>119</v>
      </c>
      <c r="K133" s="441"/>
      <c r="L133" s="441"/>
      <c r="M133" s="441"/>
      <c r="N133" s="441"/>
      <c r="O133" s="441"/>
      <c r="P133" s="441"/>
      <c r="Q133" s="441" t="s">
        <v>4848</v>
      </c>
    </row>
    <row r="134" spans="1:17" ht="12" customHeight="1">
      <c r="A134" s="339"/>
      <c r="B134" s="339"/>
      <c r="C134" s="340"/>
      <c r="D134" s="340"/>
      <c r="E134" s="441" t="s">
        <v>55</v>
      </c>
      <c r="F134" s="441" t="s">
        <v>4859</v>
      </c>
      <c r="G134" s="441" t="s">
        <v>329</v>
      </c>
      <c r="H134" s="441" t="s">
        <v>243</v>
      </c>
      <c r="I134" s="441"/>
      <c r="J134" s="157">
        <v>120</v>
      </c>
      <c r="K134" s="441"/>
      <c r="L134" s="441"/>
      <c r="M134" s="441"/>
      <c r="N134" s="441"/>
      <c r="O134" s="441"/>
      <c r="P134" s="441"/>
      <c r="Q134" s="441" t="s">
        <v>4848</v>
      </c>
    </row>
    <row r="135" spans="1:17" ht="12" customHeight="1">
      <c r="A135" s="339"/>
      <c r="B135" s="339"/>
      <c r="C135" s="340"/>
      <c r="D135" s="340"/>
      <c r="E135" s="441" t="s">
        <v>55</v>
      </c>
      <c r="F135" s="441" t="s">
        <v>4860</v>
      </c>
      <c r="G135" s="441" t="s">
        <v>329</v>
      </c>
      <c r="H135" s="441" t="s">
        <v>243</v>
      </c>
      <c r="I135" s="441"/>
      <c r="J135" s="157">
        <v>121</v>
      </c>
      <c r="K135" s="441"/>
      <c r="L135" s="441"/>
      <c r="M135" s="441"/>
      <c r="N135" s="441"/>
      <c r="O135" s="441"/>
      <c r="P135" s="441"/>
      <c r="Q135" s="441" t="s">
        <v>4861</v>
      </c>
    </row>
    <row r="136" spans="1:17" ht="12" customHeight="1">
      <c r="A136" s="339"/>
      <c r="B136" s="339"/>
      <c r="C136" s="340"/>
      <c r="D136" s="340"/>
      <c r="E136" s="441" t="s">
        <v>55</v>
      </c>
      <c r="F136" s="441" t="s">
        <v>4862</v>
      </c>
      <c r="G136" s="441" t="s">
        <v>329</v>
      </c>
      <c r="H136" s="441" t="s">
        <v>243</v>
      </c>
      <c r="I136" s="441"/>
      <c r="J136" s="157">
        <v>122</v>
      </c>
      <c r="K136" s="441"/>
      <c r="L136" s="441"/>
      <c r="M136" s="441"/>
      <c r="N136" s="441"/>
      <c r="O136" s="441"/>
      <c r="P136" s="441"/>
      <c r="Q136" s="441" t="s">
        <v>4861</v>
      </c>
    </row>
    <row r="137" spans="1:17" ht="12" customHeight="1">
      <c r="A137" s="339"/>
      <c r="B137" s="339"/>
      <c r="C137" s="340"/>
      <c r="D137" s="340"/>
      <c r="E137" s="441" t="s">
        <v>55</v>
      </c>
      <c r="F137" s="441" t="s">
        <v>4863</v>
      </c>
      <c r="G137" s="441" t="s">
        <v>329</v>
      </c>
      <c r="H137" s="441" t="s">
        <v>243</v>
      </c>
      <c r="I137" s="441"/>
      <c r="J137" s="157">
        <v>123</v>
      </c>
      <c r="K137" s="441"/>
      <c r="L137" s="441"/>
      <c r="M137" s="441"/>
      <c r="N137" s="441"/>
      <c r="O137" s="441"/>
      <c r="P137" s="441"/>
      <c r="Q137" s="441" t="s">
        <v>4861</v>
      </c>
    </row>
    <row r="138" spans="1:17" ht="12" customHeight="1">
      <c r="A138" s="339"/>
      <c r="B138" s="339"/>
      <c r="C138" s="340"/>
      <c r="D138" s="340"/>
      <c r="E138" s="441" t="s">
        <v>55</v>
      </c>
      <c r="F138" s="441" t="s">
        <v>4864</v>
      </c>
      <c r="G138" s="441" t="s">
        <v>329</v>
      </c>
      <c r="H138" s="441" t="s">
        <v>243</v>
      </c>
      <c r="I138" s="441"/>
      <c r="J138" s="157">
        <v>124</v>
      </c>
      <c r="K138" s="441"/>
      <c r="L138" s="441"/>
      <c r="M138" s="441"/>
      <c r="N138" s="441"/>
      <c r="O138" s="441"/>
      <c r="P138" s="441"/>
      <c r="Q138" s="441" t="s">
        <v>4861</v>
      </c>
    </row>
    <row r="139" spans="1:17" ht="12" customHeight="1">
      <c r="A139" s="339"/>
      <c r="B139" s="339"/>
      <c r="C139" s="340"/>
      <c r="D139" s="340"/>
      <c r="E139" s="441" t="s">
        <v>55</v>
      </c>
      <c r="F139" s="441" t="s">
        <v>4865</v>
      </c>
      <c r="G139" s="441" t="s">
        <v>329</v>
      </c>
      <c r="H139" s="441" t="s">
        <v>243</v>
      </c>
      <c r="I139" s="441"/>
      <c r="J139" s="157">
        <v>125</v>
      </c>
      <c r="K139" s="441"/>
      <c r="L139" s="441"/>
      <c r="M139" s="441"/>
      <c r="N139" s="441"/>
      <c r="O139" s="441"/>
      <c r="P139" s="441"/>
      <c r="Q139" s="441" t="s">
        <v>4861</v>
      </c>
    </row>
    <row r="140" spans="1:17" ht="12" customHeight="1">
      <c r="A140" s="339"/>
      <c r="B140" s="339"/>
      <c r="C140" s="340"/>
      <c r="D140" s="340"/>
      <c r="E140" s="441" t="s">
        <v>55</v>
      </c>
      <c r="F140" s="441" t="s">
        <v>4866</v>
      </c>
      <c r="G140" s="441" t="s">
        <v>329</v>
      </c>
      <c r="H140" s="441" t="s">
        <v>243</v>
      </c>
      <c r="I140" s="441"/>
      <c r="J140" s="157">
        <v>126</v>
      </c>
      <c r="K140" s="441"/>
      <c r="L140" s="441"/>
      <c r="M140" s="441"/>
      <c r="N140" s="441"/>
      <c r="O140" s="441"/>
      <c r="P140" s="441"/>
      <c r="Q140" s="441" t="s">
        <v>4861</v>
      </c>
    </row>
    <row r="141" spans="1:17" ht="12" customHeight="1">
      <c r="A141" s="339"/>
      <c r="B141" s="339"/>
      <c r="C141" s="340"/>
      <c r="D141" s="340"/>
      <c r="E141" s="441" t="s">
        <v>55</v>
      </c>
      <c r="F141" s="441" t="s">
        <v>4867</v>
      </c>
      <c r="G141" s="441" t="s">
        <v>329</v>
      </c>
      <c r="H141" s="441" t="s">
        <v>243</v>
      </c>
      <c r="I141" s="441"/>
      <c r="J141" s="157">
        <v>127</v>
      </c>
      <c r="K141" s="441"/>
      <c r="L141" s="441"/>
      <c r="M141" s="441"/>
      <c r="N141" s="441"/>
      <c r="O141" s="441"/>
      <c r="P141" s="441"/>
      <c r="Q141" s="441" t="s">
        <v>4861</v>
      </c>
    </row>
    <row r="142" spans="1:17" ht="12" customHeight="1">
      <c r="A142" s="339"/>
      <c r="B142" s="339"/>
      <c r="C142" s="340"/>
      <c r="D142" s="340"/>
      <c r="E142" s="441" t="s">
        <v>55</v>
      </c>
      <c r="F142" s="441" t="s">
        <v>4868</v>
      </c>
      <c r="G142" s="441" t="s">
        <v>329</v>
      </c>
      <c r="H142" s="441" t="s">
        <v>243</v>
      </c>
      <c r="I142" s="441"/>
      <c r="J142" s="157">
        <v>128</v>
      </c>
      <c r="K142" s="441"/>
      <c r="L142" s="441"/>
      <c r="M142" s="441"/>
      <c r="N142" s="441"/>
      <c r="O142" s="441"/>
      <c r="P142" s="441"/>
      <c r="Q142" s="441" t="s">
        <v>4861</v>
      </c>
    </row>
    <row r="143" spans="1:17" ht="12" customHeight="1">
      <c r="A143" s="339"/>
      <c r="B143" s="339"/>
      <c r="C143" s="340"/>
      <c r="D143" s="340"/>
      <c r="E143" s="441" t="s">
        <v>55</v>
      </c>
      <c r="F143" s="441" t="s">
        <v>4869</v>
      </c>
      <c r="G143" s="441" t="s">
        <v>329</v>
      </c>
      <c r="H143" s="441" t="s">
        <v>243</v>
      </c>
      <c r="I143" s="441"/>
      <c r="J143" s="157">
        <v>129</v>
      </c>
      <c r="K143" s="441"/>
      <c r="L143" s="441"/>
      <c r="M143" s="441"/>
      <c r="N143" s="441"/>
      <c r="O143" s="441"/>
      <c r="P143" s="441"/>
      <c r="Q143" s="441" t="s">
        <v>4861</v>
      </c>
    </row>
    <row r="144" spans="1:17" ht="12" customHeight="1">
      <c r="A144" s="339"/>
      <c r="B144" s="339"/>
      <c r="C144" s="340"/>
      <c r="D144" s="340"/>
      <c r="E144" s="441" t="s">
        <v>55</v>
      </c>
      <c r="F144" s="441" t="s">
        <v>4870</v>
      </c>
      <c r="G144" s="441" t="s">
        <v>329</v>
      </c>
      <c r="H144" s="441" t="s">
        <v>243</v>
      </c>
      <c r="I144" s="441"/>
      <c r="J144" s="157">
        <v>130</v>
      </c>
      <c r="K144" s="441"/>
      <c r="L144" s="441"/>
      <c r="M144" s="441"/>
      <c r="N144" s="441"/>
      <c r="O144" s="441"/>
      <c r="P144" s="441"/>
      <c r="Q144" s="441" t="s">
        <v>4861</v>
      </c>
    </row>
    <row r="145" spans="1:17" ht="12" customHeight="1">
      <c r="A145" s="339"/>
      <c r="B145" s="339"/>
      <c r="C145" s="340"/>
      <c r="D145" s="340"/>
      <c r="E145" s="441" t="s">
        <v>55</v>
      </c>
      <c r="F145" s="441" t="s">
        <v>4871</v>
      </c>
      <c r="G145" s="441" t="s">
        <v>329</v>
      </c>
      <c r="H145" s="441" t="s">
        <v>243</v>
      </c>
      <c r="I145" s="441"/>
      <c r="J145" s="157">
        <v>131</v>
      </c>
      <c r="K145" s="441"/>
      <c r="L145" s="441"/>
      <c r="M145" s="441"/>
      <c r="N145" s="441"/>
      <c r="O145" s="441"/>
      <c r="P145" s="441"/>
      <c r="Q145" s="441" t="s">
        <v>4861</v>
      </c>
    </row>
    <row r="146" spans="1:17" ht="12" customHeight="1">
      <c r="A146" s="339"/>
      <c r="B146" s="339"/>
      <c r="C146" s="340"/>
      <c r="D146" s="340"/>
      <c r="E146" s="441" t="s">
        <v>55</v>
      </c>
      <c r="F146" s="441" t="s">
        <v>4872</v>
      </c>
      <c r="G146" s="441" t="s">
        <v>329</v>
      </c>
      <c r="H146" s="441" t="s">
        <v>243</v>
      </c>
      <c r="I146" s="441"/>
      <c r="J146" s="157">
        <v>132</v>
      </c>
      <c r="K146" s="441"/>
      <c r="L146" s="441"/>
      <c r="M146" s="441"/>
      <c r="N146" s="441"/>
      <c r="O146" s="441"/>
      <c r="P146" s="441"/>
      <c r="Q146" s="441" t="s">
        <v>4861</v>
      </c>
    </row>
    <row r="147" spans="1:17" ht="12" customHeight="1">
      <c r="A147" s="339"/>
      <c r="B147" s="339"/>
      <c r="C147" s="340"/>
      <c r="D147" s="340"/>
      <c r="E147" s="441" t="s">
        <v>55</v>
      </c>
      <c r="F147" s="441" t="s">
        <v>4873</v>
      </c>
      <c r="G147" s="441" t="s">
        <v>329</v>
      </c>
      <c r="H147" s="441" t="s">
        <v>243</v>
      </c>
      <c r="I147" s="441"/>
      <c r="J147" s="157">
        <v>133</v>
      </c>
      <c r="K147" s="441"/>
      <c r="L147" s="441"/>
      <c r="M147" s="441"/>
      <c r="N147" s="441"/>
      <c r="O147" s="441"/>
      <c r="P147" s="441"/>
      <c r="Q147" s="441" t="s">
        <v>4874</v>
      </c>
    </row>
    <row r="148" spans="1:17" ht="12" customHeight="1">
      <c r="A148" s="339"/>
      <c r="B148" s="339"/>
      <c r="C148" s="340"/>
      <c r="D148" s="340"/>
      <c r="E148" s="441" t="s">
        <v>55</v>
      </c>
      <c r="F148" s="441" t="s">
        <v>4875</v>
      </c>
      <c r="G148" s="441" t="s">
        <v>329</v>
      </c>
      <c r="H148" s="441" t="s">
        <v>243</v>
      </c>
      <c r="I148" s="441"/>
      <c r="J148" s="157">
        <v>134</v>
      </c>
      <c r="K148" s="441"/>
      <c r="L148" s="441"/>
      <c r="M148" s="441"/>
      <c r="N148" s="441"/>
      <c r="O148" s="441"/>
      <c r="P148" s="441"/>
      <c r="Q148" s="441" t="s">
        <v>4874</v>
      </c>
    </row>
    <row r="149" spans="1:17" ht="12" customHeight="1">
      <c r="A149" s="339"/>
      <c r="B149" s="339"/>
      <c r="C149" s="340"/>
      <c r="D149" s="340"/>
      <c r="E149" s="441" t="s">
        <v>55</v>
      </c>
      <c r="F149" s="441" t="s">
        <v>4876</v>
      </c>
      <c r="G149" s="441" t="s">
        <v>329</v>
      </c>
      <c r="H149" s="441" t="s">
        <v>243</v>
      </c>
      <c r="I149" s="441"/>
      <c r="J149" s="157">
        <v>135</v>
      </c>
      <c r="K149" s="441"/>
      <c r="L149" s="441"/>
      <c r="M149" s="441"/>
      <c r="N149" s="441"/>
      <c r="O149" s="441"/>
      <c r="P149" s="441"/>
      <c r="Q149" s="441" t="s">
        <v>4874</v>
      </c>
    </row>
    <row r="150" spans="1:17" ht="12" customHeight="1">
      <c r="A150" s="339"/>
      <c r="B150" s="339"/>
      <c r="C150" s="340"/>
      <c r="D150" s="340"/>
      <c r="E150" s="441" t="s">
        <v>55</v>
      </c>
      <c r="F150" s="441" t="s">
        <v>4877</v>
      </c>
      <c r="G150" s="441" t="s">
        <v>329</v>
      </c>
      <c r="H150" s="441" t="s">
        <v>243</v>
      </c>
      <c r="I150" s="441"/>
      <c r="J150" s="157">
        <v>136</v>
      </c>
      <c r="K150" s="441"/>
      <c r="L150" s="441"/>
      <c r="M150" s="441"/>
      <c r="N150" s="441"/>
      <c r="O150" s="441"/>
      <c r="P150" s="441"/>
      <c r="Q150" s="441" t="s">
        <v>4874</v>
      </c>
    </row>
    <row r="151" spans="1:17" ht="12" customHeight="1">
      <c r="A151" s="339"/>
      <c r="B151" s="339"/>
      <c r="C151" s="340"/>
      <c r="D151" s="340"/>
      <c r="E151" s="441" t="s">
        <v>55</v>
      </c>
      <c r="F151" s="441" t="s">
        <v>4878</v>
      </c>
      <c r="G151" s="441" t="s">
        <v>329</v>
      </c>
      <c r="H151" s="441" t="s">
        <v>243</v>
      </c>
      <c r="I151" s="441"/>
      <c r="J151" s="157">
        <v>137</v>
      </c>
      <c r="K151" s="441"/>
      <c r="L151" s="441"/>
      <c r="M151" s="441"/>
      <c r="N151" s="441"/>
      <c r="O151" s="441"/>
      <c r="P151" s="441"/>
      <c r="Q151" s="441" t="s">
        <v>4874</v>
      </c>
    </row>
    <row r="152" spans="1:17" ht="12" customHeight="1">
      <c r="A152" s="339"/>
      <c r="B152" s="339"/>
      <c r="C152" s="340"/>
      <c r="D152" s="340"/>
      <c r="E152" s="441" t="s">
        <v>55</v>
      </c>
      <c r="F152" s="441" t="s">
        <v>4879</v>
      </c>
      <c r="G152" s="441" t="s">
        <v>329</v>
      </c>
      <c r="H152" s="441" t="s">
        <v>243</v>
      </c>
      <c r="I152" s="441"/>
      <c r="J152" s="157">
        <v>138</v>
      </c>
      <c r="K152" s="441"/>
      <c r="L152" s="441"/>
      <c r="M152" s="441"/>
      <c r="N152" s="441"/>
      <c r="O152" s="441"/>
      <c r="P152" s="441"/>
      <c r="Q152" s="441" t="s">
        <v>4874</v>
      </c>
    </row>
    <row r="153" spans="1:17" ht="12" customHeight="1">
      <c r="A153" s="339"/>
      <c r="B153" s="339"/>
      <c r="C153" s="340"/>
      <c r="D153" s="340"/>
      <c r="E153" s="441" t="s">
        <v>55</v>
      </c>
      <c r="F153" s="441" t="s">
        <v>4880</v>
      </c>
      <c r="G153" s="441" t="s">
        <v>329</v>
      </c>
      <c r="H153" s="441" t="s">
        <v>243</v>
      </c>
      <c r="I153" s="441"/>
      <c r="J153" s="157">
        <v>139</v>
      </c>
      <c r="K153" s="441"/>
      <c r="L153" s="441"/>
      <c r="M153" s="441"/>
      <c r="N153" s="441"/>
      <c r="O153" s="441"/>
      <c r="P153" s="441"/>
      <c r="Q153" s="441" t="s">
        <v>4874</v>
      </c>
    </row>
    <row r="154" spans="1:17" ht="12" customHeight="1">
      <c r="A154" s="339"/>
      <c r="B154" s="339"/>
      <c r="C154" s="340"/>
      <c r="D154" s="340"/>
      <c r="E154" s="441" t="s">
        <v>55</v>
      </c>
      <c r="F154" s="441" t="s">
        <v>4881</v>
      </c>
      <c r="G154" s="441" t="s">
        <v>329</v>
      </c>
      <c r="H154" s="441" t="s">
        <v>243</v>
      </c>
      <c r="I154" s="441"/>
      <c r="J154" s="157">
        <v>140</v>
      </c>
      <c r="K154" s="441"/>
      <c r="L154" s="441"/>
      <c r="M154" s="441"/>
      <c r="N154" s="441"/>
      <c r="O154" s="441"/>
      <c r="P154" s="441"/>
      <c r="Q154" s="441" t="s">
        <v>4874</v>
      </c>
    </row>
    <row r="155" spans="1:17" ht="12" customHeight="1">
      <c r="A155" s="339"/>
      <c r="B155" s="339"/>
      <c r="C155" s="340"/>
      <c r="D155" s="340"/>
      <c r="E155" s="441" t="s">
        <v>55</v>
      </c>
      <c r="F155" s="441" t="s">
        <v>407</v>
      </c>
      <c r="G155" s="441" t="s">
        <v>329</v>
      </c>
      <c r="H155" s="441" t="s">
        <v>243</v>
      </c>
      <c r="I155" s="441"/>
      <c r="J155" s="157">
        <v>141</v>
      </c>
      <c r="K155" s="441"/>
      <c r="L155" s="441"/>
      <c r="M155" s="441"/>
      <c r="N155" s="441"/>
      <c r="O155" s="441"/>
      <c r="P155" s="441"/>
      <c r="Q155" s="441" t="s">
        <v>4874</v>
      </c>
    </row>
    <row r="156" spans="1:17" ht="12" customHeight="1">
      <c r="A156" s="339"/>
      <c r="B156" s="339"/>
      <c r="C156" s="340"/>
      <c r="D156" s="340"/>
      <c r="E156" s="441" t="s">
        <v>55</v>
      </c>
      <c r="F156" s="441" t="s">
        <v>1523</v>
      </c>
      <c r="G156" s="441" t="s">
        <v>329</v>
      </c>
      <c r="H156" s="441" t="s">
        <v>243</v>
      </c>
      <c r="I156" s="441"/>
      <c r="J156" s="157">
        <v>142</v>
      </c>
      <c r="K156" s="441"/>
      <c r="L156" s="441"/>
      <c r="M156" s="441"/>
      <c r="N156" s="441"/>
      <c r="O156" s="441"/>
      <c r="P156" s="441"/>
      <c r="Q156" s="441" t="s">
        <v>4874</v>
      </c>
    </row>
    <row r="157" spans="1:17" ht="12" customHeight="1">
      <c r="A157" s="339"/>
      <c r="B157" s="339"/>
      <c r="C157" s="340"/>
      <c r="D157" s="340"/>
      <c r="E157" s="441" t="s">
        <v>55</v>
      </c>
      <c r="F157" s="441" t="s">
        <v>4882</v>
      </c>
      <c r="G157" s="441" t="s">
        <v>329</v>
      </c>
      <c r="H157" s="441" t="s">
        <v>243</v>
      </c>
      <c r="I157" s="441"/>
      <c r="J157" s="157">
        <v>143</v>
      </c>
      <c r="K157" s="441"/>
      <c r="L157" s="441"/>
      <c r="M157" s="441"/>
      <c r="N157" s="441"/>
      <c r="O157" s="441"/>
      <c r="P157" s="441"/>
      <c r="Q157" s="441" t="s">
        <v>4874</v>
      </c>
    </row>
    <row r="158" spans="1:17" ht="12" customHeight="1">
      <c r="A158" s="339"/>
      <c r="B158" s="339"/>
      <c r="C158" s="340"/>
      <c r="D158" s="340"/>
      <c r="E158" s="441" t="s">
        <v>55</v>
      </c>
      <c r="F158" s="441" t="s">
        <v>4883</v>
      </c>
      <c r="G158" s="441" t="s">
        <v>329</v>
      </c>
      <c r="H158" s="441" t="s">
        <v>243</v>
      </c>
      <c r="I158" s="441"/>
      <c r="J158" s="157">
        <v>144</v>
      </c>
      <c r="K158" s="441"/>
      <c r="L158" s="441"/>
      <c r="M158" s="441"/>
      <c r="N158" s="441"/>
      <c r="O158" s="441"/>
      <c r="P158" s="441"/>
      <c r="Q158" s="441" t="s">
        <v>4874</v>
      </c>
    </row>
    <row r="159" spans="1:17" ht="12" customHeight="1">
      <c r="A159" s="339"/>
      <c r="B159" s="339"/>
      <c r="C159" s="340"/>
      <c r="D159" s="340"/>
      <c r="E159" s="441" t="s">
        <v>55</v>
      </c>
      <c r="F159" s="441" t="s">
        <v>4884</v>
      </c>
      <c r="G159" s="441" t="s">
        <v>329</v>
      </c>
      <c r="H159" s="441" t="s">
        <v>243</v>
      </c>
      <c r="I159" s="441"/>
      <c r="J159" s="157">
        <v>145</v>
      </c>
      <c r="K159" s="441"/>
      <c r="L159" s="441"/>
      <c r="M159" s="441"/>
      <c r="N159" s="441"/>
      <c r="O159" s="441"/>
      <c r="P159" s="441"/>
      <c r="Q159" s="441" t="s">
        <v>4874</v>
      </c>
    </row>
    <row r="160" spans="1:17" ht="12" customHeight="1">
      <c r="A160" s="339"/>
      <c r="B160" s="339"/>
      <c r="C160" s="340"/>
      <c r="D160" s="340"/>
      <c r="E160" s="441" t="s">
        <v>55</v>
      </c>
      <c r="F160" s="441" t="s">
        <v>4885</v>
      </c>
      <c r="G160" s="441" t="s">
        <v>329</v>
      </c>
      <c r="H160" s="441" t="s">
        <v>243</v>
      </c>
      <c r="I160" s="441"/>
      <c r="J160" s="157">
        <v>146</v>
      </c>
      <c r="K160" s="441"/>
      <c r="L160" s="441"/>
      <c r="M160" s="441"/>
      <c r="N160" s="441"/>
      <c r="O160" s="441"/>
      <c r="P160" s="441"/>
      <c r="Q160" s="441" t="s">
        <v>4886</v>
      </c>
    </row>
    <row r="161" spans="1:17" ht="12" customHeight="1">
      <c r="A161" s="339"/>
      <c r="B161" s="339"/>
      <c r="C161" s="340"/>
      <c r="D161" s="340"/>
      <c r="E161" s="441" t="s">
        <v>55</v>
      </c>
      <c r="F161" s="441" t="s">
        <v>4887</v>
      </c>
      <c r="G161" s="441" t="s">
        <v>329</v>
      </c>
      <c r="H161" s="441" t="s">
        <v>243</v>
      </c>
      <c r="I161" s="441"/>
      <c r="J161" s="157">
        <v>147</v>
      </c>
      <c r="K161" s="441"/>
      <c r="L161" s="441"/>
      <c r="M161" s="441"/>
      <c r="N161" s="441"/>
      <c r="O161" s="441"/>
      <c r="P161" s="441"/>
      <c r="Q161" s="441" t="s">
        <v>4886</v>
      </c>
    </row>
    <row r="162" spans="1:17" ht="12" customHeight="1">
      <c r="A162" s="339"/>
      <c r="B162" s="339"/>
      <c r="C162" s="340"/>
      <c r="D162" s="340"/>
      <c r="E162" s="441" t="s">
        <v>55</v>
      </c>
      <c r="F162" s="441" t="s">
        <v>4888</v>
      </c>
      <c r="G162" s="441" t="s">
        <v>329</v>
      </c>
      <c r="H162" s="441" t="s">
        <v>243</v>
      </c>
      <c r="I162" s="441"/>
      <c r="J162" s="157">
        <v>148</v>
      </c>
      <c r="K162" s="441"/>
      <c r="L162" s="441"/>
      <c r="M162" s="441"/>
      <c r="N162" s="441"/>
      <c r="O162" s="441"/>
      <c r="P162" s="441"/>
      <c r="Q162" s="441" t="s">
        <v>4886</v>
      </c>
    </row>
    <row r="163" spans="1:17" ht="12" customHeight="1">
      <c r="A163" s="339"/>
      <c r="B163" s="339"/>
      <c r="C163" s="340"/>
      <c r="D163" s="340"/>
      <c r="E163" s="441" t="s">
        <v>55</v>
      </c>
      <c r="F163" s="441" t="s">
        <v>4889</v>
      </c>
      <c r="G163" s="441" t="s">
        <v>329</v>
      </c>
      <c r="H163" s="441" t="s">
        <v>243</v>
      </c>
      <c r="I163" s="441"/>
      <c r="J163" s="157">
        <v>149</v>
      </c>
      <c r="K163" s="441"/>
      <c r="L163" s="441"/>
      <c r="M163" s="441"/>
      <c r="N163" s="441"/>
      <c r="O163" s="441"/>
      <c r="P163" s="441"/>
      <c r="Q163" s="441" t="s">
        <v>4886</v>
      </c>
    </row>
    <row r="164" spans="1:17" ht="12" customHeight="1">
      <c r="A164" s="339"/>
      <c r="B164" s="339"/>
      <c r="C164" s="340"/>
      <c r="D164" s="340"/>
      <c r="E164" s="441" t="s">
        <v>55</v>
      </c>
      <c r="F164" s="441" t="s">
        <v>4890</v>
      </c>
      <c r="G164" s="441" t="s">
        <v>329</v>
      </c>
      <c r="H164" s="441" t="s">
        <v>243</v>
      </c>
      <c r="I164" s="441"/>
      <c r="J164" s="157">
        <v>150</v>
      </c>
      <c r="K164" s="441"/>
      <c r="L164" s="441"/>
      <c r="M164" s="441"/>
      <c r="N164" s="441"/>
      <c r="O164" s="441"/>
      <c r="P164" s="441"/>
      <c r="Q164" s="441" t="s">
        <v>4886</v>
      </c>
    </row>
    <row r="165" spans="1:17" ht="12" customHeight="1">
      <c r="A165" s="339"/>
      <c r="B165" s="339"/>
      <c r="C165" s="340"/>
      <c r="D165" s="340"/>
      <c r="E165" s="441" t="s">
        <v>55</v>
      </c>
      <c r="F165" s="441" t="s">
        <v>4891</v>
      </c>
      <c r="G165" s="441" t="s">
        <v>329</v>
      </c>
      <c r="H165" s="441" t="s">
        <v>243</v>
      </c>
      <c r="I165" s="441"/>
      <c r="J165" s="157">
        <v>151</v>
      </c>
      <c r="K165" s="441"/>
      <c r="L165" s="441"/>
      <c r="M165" s="441"/>
      <c r="N165" s="441"/>
      <c r="O165" s="441"/>
      <c r="P165" s="441"/>
      <c r="Q165" s="441" t="s">
        <v>4886</v>
      </c>
    </row>
    <row r="166" spans="1:17" ht="12" customHeight="1">
      <c r="A166" s="339"/>
      <c r="B166" s="339"/>
      <c r="C166" s="340"/>
      <c r="D166" s="340"/>
      <c r="E166" s="441" t="s">
        <v>55</v>
      </c>
      <c r="F166" s="441" t="s">
        <v>4892</v>
      </c>
      <c r="G166" s="441" t="s">
        <v>329</v>
      </c>
      <c r="H166" s="441" t="s">
        <v>243</v>
      </c>
      <c r="I166" s="441"/>
      <c r="J166" s="157">
        <v>152</v>
      </c>
      <c r="K166" s="441"/>
      <c r="L166" s="441"/>
      <c r="M166" s="441"/>
      <c r="N166" s="441"/>
      <c r="O166" s="441"/>
      <c r="P166" s="441"/>
      <c r="Q166" s="441" t="s">
        <v>4886</v>
      </c>
    </row>
    <row r="167" spans="1:17" ht="12" customHeight="1">
      <c r="A167" s="339"/>
      <c r="B167" s="339"/>
      <c r="C167" s="340"/>
      <c r="D167" s="340"/>
      <c r="E167" s="441" t="s">
        <v>55</v>
      </c>
      <c r="F167" s="441" t="s">
        <v>4893</v>
      </c>
      <c r="G167" s="441" t="s">
        <v>329</v>
      </c>
      <c r="H167" s="441" t="s">
        <v>243</v>
      </c>
      <c r="I167" s="441"/>
      <c r="J167" s="157">
        <v>153</v>
      </c>
      <c r="K167" s="441"/>
      <c r="L167" s="441"/>
      <c r="M167" s="441"/>
      <c r="N167" s="441"/>
      <c r="O167" s="441"/>
      <c r="P167" s="441"/>
      <c r="Q167" s="441" t="s">
        <v>4886</v>
      </c>
    </row>
    <row r="168" spans="1:17" ht="12" customHeight="1">
      <c r="A168" s="339"/>
      <c r="B168" s="339"/>
      <c r="C168" s="340"/>
      <c r="D168" s="340"/>
      <c r="E168" s="441" t="s">
        <v>55</v>
      </c>
      <c r="F168" s="441" t="s">
        <v>4894</v>
      </c>
      <c r="G168" s="441" t="s">
        <v>329</v>
      </c>
      <c r="H168" s="441" t="s">
        <v>243</v>
      </c>
      <c r="I168" s="441"/>
      <c r="J168" s="157">
        <v>154</v>
      </c>
      <c r="K168" s="441"/>
      <c r="L168" s="441"/>
      <c r="M168" s="441"/>
      <c r="N168" s="441"/>
      <c r="O168" s="441"/>
      <c r="P168" s="441"/>
      <c r="Q168" s="441" t="s">
        <v>4886</v>
      </c>
    </row>
    <row r="169" spans="1:17" ht="12" customHeight="1">
      <c r="A169" s="339"/>
      <c r="B169" s="339"/>
      <c r="C169" s="340"/>
      <c r="D169" s="340"/>
      <c r="E169" s="441" t="s">
        <v>55</v>
      </c>
      <c r="F169" s="441" t="s">
        <v>4895</v>
      </c>
      <c r="G169" s="441" t="s">
        <v>329</v>
      </c>
      <c r="H169" s="441" t="s">
        <v>243</v>
      </c>
      <c r="I169" s="441"/>
      <c r="J169" s="157">
        <v>155</v>
      </c>
      <c r="K169" s="441"/>
      <c r="L169" s="441"/>
      <c r="M169" s="441"/>
      <c r="N169" s="441"/>
      <c r="O169" s="441"/>
      <c r="P169" s="441"/>
      <c r="Q169" s="441" t="s">
        <v>4886</v>
      </c>
    </row>
    <row r="170" spans="1:17" ht="12" customHeight="1">
      <c r="A170" s="339"/>
      <c r="B170" s="339"/>
      <c r="C170" s="340"/>
      <c r="D170" s="340"/>
      <c r="E170" s="441" t="s">
        <v>55</v>
      </c>
      <c r="F170" s="441" t="s">
        <v>4896</v>
      </c>
      <c r="G170" s="441" t="s">
        <v>329</v>
      </c>
      <c r="H170" s="441" t="s">
        <v>243</v>
      </c>
      <c r="I170" s="441"/>
      <c r="J170" s="157">
        <v>156</v>
      </c>
      <c r="K170" s="441"/>
      <c r="L170" s="441"/>
      <c r="M170" s="441"/>
      <c r="N170" s="441"/>
      <c r="O170" s="441"/>
      <c r="P170" s="441"/>
      <c r="Q170" s="441" t="s">
        <v>4886</v>
      </c>
    </row>
    <row r="171" spans="1:17" ht="12" customHeight="1">
      <c r="A171" s="339"/>
      <c r="B171" s="339"/>
      <c r="C171" s="340"/>
      <c r="D171" s="340"/>
      <c r="E171" s="441" t="s">
        <v>55</v>
      </c>
      <c r="F171" s="441" t="s">
        <v>4897</v>
      </c>
      <c r="G171" s="441" t="s">
        <v>329</v>
      </c>
      <c r="H171" s="441" t="s">
        <v>243</v>
      </c>
      <c r="I171" s="441"/>
      <c r="J171" s="157">
        <v>157</v>
      </c>
      <c r="K171" s="441"/>
      <c r="L171" s="441"/>
      <c r="M171" s="441"/>
      <c r="N171" s="441"/>
      <c r="O171" s="441"/>
      <c r="P171" s="441"/>
      <c r="Q171" s="441" t="s">
        <v>4886</v>
      </c>
    </row>
    <row r="172" spans="1:17" ht="12" customHeight="1">
      <c r="A172" s="339"/>
      <c r="B172" s="339"/>
      <c r="C172" s="340"/>
      <c r="D172" s="340"/>
      <c r="E172" s="441" t="s">
        <v>55</v>
      </c>
      <c r="F172" s="441" t="s">
        <v>4898</v>
      </c>
      <c r="G172" s="441" t="s">
        <v>329</v>
      </c>
      <c r="H172" s="441" t="s">
        <v>243</v>
      </c>
      <c r="I172" s="441"/>
      <c r="J172" s="157">
        <v>158</v>
      </c>
      <c r="K172" s="441"/>
      <c r="L172" s="441"/>
      <c r="M172" s="441"/>
      <c r="N172" s="441"/>
      <c r="O172" s="441"/>
      <c r="P172" s="441"/>
      <c r="Q172" s="441" t="s">
        <v>4899</v>
      </c>
    </row>
    <row r="173" spans="1:17" ht="12" customHeight="1">
      <c r="A173" s="339"/>
      <c r="B173" s="339"/>
      <c r="C173" s="340"/>
      <c r="D173" s="340"/>
      <c r="E173" s="441" t="s">
        <v>55</v>
      </c>
      <c r="F173" s="441" t="s">
        <v>4900</v>
      </c>
      <c r="G173" s="441" t="s">
        <v>329</v>
      </c>
      <c r="H173" s="441" t="s">
        <v>243</v>
      </c>
      <c r="I173" s="441"/>
      <c r="J173" s="157">
        <v>159</v>
      </c>
      <c r="K173" s="441"/>
      <c r="L173" s="441"/>
      <c r="M173" s="441"/>
      <c r="N173" s="441"/>
      <c r="O173" s="441"/>
      <c r="P173" s="441"/>
      <c r="Q173" s="441" t="s">
        <v>4899</v>
      </c>
    </row>
    <row r="174" spans="1:17" ht="12" customHeight="1">
      <c r="A174" s="339"/>
      <c r="B174" s="339"/>
      <c r="C174" s="340"/>
      <c r="D174" s="340"/>
      <c r="E174" s="441" t="s">
        <v>55</v>
      </c>
      <c r="F174" s="441" t="s">
        <v>4901</v>
      </c>
      <c r="G174" s="441" t="s">
        <v>329</v>
      </c>
      <c r="H174" s="441" t="s">
        <v>243</v>
      </c>
      <c r="I174" s="441"/>
      <c r="J174" s="157">
        <v>160</v>
      </c>
      <c r="K174" s="441"/>
      <c r="L174" s="441"/>
      <c r="M174" s="441"/>
      <c r="N174" s="441"/>
      <c r="O174" s="441"/>
      <c r="P174" s="441"/>
      <c r="Q174" s="441" t="s">
        <v>4899</v>
      </c>
    </row>
    <row r="175" spans="1:17" ht="12" customHeight="1">
      <c r="A175" s="339"/>
      <c r="B175" s="339"/>
      <c r="C175" s="340"/>
      <c r="D175" s="340"/>
      <c r="E175" s="441" t="s">
        <v>55</v>
      </c>
      <c r="F175" s="441" t="s">
        <v>4902</v>
      </c>
      <c r="G175" s="441" t="s">
        <v>329</v>
      </c>
      <c r="H175" s="441" t="s">
        <v>243</v>
      </c>
      <c r="I175" s="441"/>
      <c r="J175" s="157">
        <v>161</v>
      </c>
      <c r="K175" s="441"/>
      <c r="L175" s="441"/>
      <c r="M175" s="441"/>
      <c r="N175" s="441"/>
      <c r="O175" s="441"/>
      <c r="P175" s="441"/>
      <c r="Q175" s="441" t="s">
        <v>4899</v>
      </c>
    </row>
    <row r="176" spans="1:17" ht="12" customHeight="1">
      <c r="A176" s="339"/>
      <c r="B176" s="339"/>
      <c r="C176" s="340"/>
      <c r="D176" s="340"/>
      <c r="E176" s="441" t="s">
        <v>55</v>
      </c>
      <c r="F176" s="441" t="s">
        <v>4903</v>
      </c>
      <c r="G176" s="441" t="s">
        <v>329</v>
      </c>
      <c r="H176" s="441" t="s">
        <v>243</v>
      </c>
      <c r="I176" s="441"/>
      <c r="J176" s="157">
        <v>162</v>
      </c>
      <c r="K176" s="441"/>
      <c r="L176" s="441"/>
      <c r="M176" s="441"/>
      <c r="N176" s="441"/>
      <c r="O176" s="441"/>
      <c r="P176" s="441"/>
      <c r="Q176" s="441" t="s">
        <v>4899</v>
      </c>
    </row>
    <row r="177" spans="1:17" ht="12" customHeight="1">
      <c r="A177" s="339"/>
      <c r="B177" s="339"/>
      <c r="C177" s="340"/>
      <c r="D177" s="340"/>
      <c r="E177" s="441" t="s">
        <v>55</v>
      </c>
      <c r="F177" s="441" t="s">
        <v>4904</v>
      </c>
      <c r="G177" s="441" t="s">
        <v>329</v>
      </c>
      <c r="H177" s="441" t="s">
        <v>243</v>
      </c>
      <c r="I177" s="441"/>
      <c r="J177" s="157">
        <v>163</v>
      </c>
      <c r="K177" s="441"/>
      <c r="L177" s="441"/>
      <c r="M177" s="441"/>
      <c r="N177" s="441"/>
      <c r="O177" s="441"/>
      <c r="P177" s="441"/>
      <c r="Q177" s="441" t="s">
        <v>4899</v>
      </c>
    </row>
    <row r="178" spans="1:17" ht="12" customHeight="1">
      <c r="A178" s="339"/>
      <c r="B178" s="339"/>
      <c r="C178" s="340"/>
      <c r="D178" s="340"/>
      <c r="E178" s="441" t="s">
        <v>55</v>
      </c>
      <c r="F178" s="441" t="s">
        <v>4905</v>
      </c>
      <c r="G178" s="441" t="s">
        <v>329</v>
      </c>
      <c r="H178" s="441" t="s">
        <v>243</v>
      </c>
      <c r="I178" s="441"/>
      <c r="J178" s="157">
        <v>164</v>
      </c>
      <c r="K178" s="441"/>
      <c r="L178" s="441"/>
      <c r="M178" s="441"/>
      <c r="N178" s="441"/>
      <c r="O178" s="441"/>
      <c r="P178" s="441"/>
      <c r="Q178" s="441" t="s">
        <v>4899</v>
      </c>
    </row>
    <row r="179" spans="1:17" ht="12" customHeight="1">
      <c r="A179" s="339"/>
      <c r="B179" s="339"/>
      <c r="C179" s="340"/>
      <c r="D179" s="340"/>
      <c r="E179" s="441" t="s">
        <v>55</v>
      </c>
      <c r="F179" s="441" t="s">
        <v>4906</v>
      </c>
      <c r="G179" s="441" t="s">
        <v>329</v>
      </c>
      <c r="H179" s="441" t="s">
        <v>243</v>
      </c>
      <c r="I179" s="441"/>
      <c r="J179" s="157">
        <v>165</v>
      </c>
      <c r="K179" s="441"/>
      <c r="L179" s="441"/>
      <c r="M179" s="441"/>
      <c r="N179" s="441"/>
      <c r="O179" s="441"/>
      <c r="P179" s="441"/>
      <c r="Q179" s="441" t="s">
        <v>4899</v>
      </c>
    </row>
    <row r="180" spans="1:17" ht="12" customHeight="1">
      <c r="A180" s="339"/>
      <c r="B180" s="339"/>
      <c r="C180" s="340"/>
      <c r="D180" s="340"/>
      <c r="E180" s="441" t="s">
        <v>55</v>
      </c>
      <c r="F180" s="441" t="s">
        <v>4907</v>
      </c>
      <c r="G180" s="441" t="s">
        <v>329</v>
      </c>
      <c r="H180" s="441" t="s">
        <v>243</v>
      </c>
      <c r="I180" s="441"/>
      <c r="J180" s="157">
        <v>166</v>
      </c>
      <c r="K180" s="441"/>
      <c r="L180" s="441"/>
      <c r="M180" s="441"/>
      <c r="N180" s="441"/>
      <c r="O180" s="441"/>
      <c r="P180" s="441"/>
      <c r="Q180" s="441" t="s">
        <v>4899</v>
      </c>
    </row>
    <row r="181" spans="1:17" ht="12" customHeight="1">
      <c r="A181" s="339"/>
      <c r="B181" s="339"/>
      <c r="C181" s="340"/>
      <c r="D181" s="340"/>
      <c r="E181" s="441" t="s">
        <v>55</v>
      </c>
      <c r="F181" s="441" t="s">
        <v>4908</v>
      </c>
      <c r="G181" s="441" t="s">
        <v>329</v>
      </c>
      <c r="H181" s="441" t="s">
        <v>243</v>
      </c>
      <c r="I181" s="441"/>
      <c r="J181" s="157">
        <v>167</v>
      </c>
      <c r="K181" s="441"/>
      <c r="L181" s="441"/>
      <c r="M181" s="441"/>
      <c r="N181" s="441"/>
      <c r="O181" s="441"/>
      <c r="P181" s="441"/>
      <c r="Q181" s="441" t="s">
        <v>4899</v>
      </c>
    </row>
    <row r="182" spans="1:17" ht="12" customHeight="1">
      <c r="A182" s="339"/>
      <c r="B182" s="339"/>
      <c r="C182" s="340"/>
      <c r="D182" s="340"/>
      <c r="E182" s="441" t="s">
        <v>55</v>
      </c>
      <c r="F182" s="441" t="s">
        <v>4909</v>
      </c>
      <c r="G182" s="441" t="s">
        <v>329</v>
      </c>
      <c r="H182" s="441" t="s">
        <v>243</v>
      </c>
      <c r="I182" s="441"/>
      <c r="J182" s="157">
        <v>168</v>
      </c>
      <c r="K182" s="441"/>
      <c r="L182" s="441"/>
      <c r="M182" s="441"/>
      <c r="N182" s="441"/>
      <c r="O182" s="441"/>
      <c r="P182" s="441"/>
      <c r="Q182" s="441" t="s">
        <v>4899</v>
      </c>
    </row>
    <row r="183" spans="1:17" ht="12" customHeight="1">
      <c r="A183" s="339"/>
      <c r="B183" s="339"/>
      <c r="C183" s="340"/>
      <c r="D183" s="340"/>
      <c r="E183" s="441" t="s">
        <v>55</v>
      </c>
      <c r="F183" s="441" t="s">
        <v>4910</v>
      </c>
      <c r="G183" s="441" t="s">
        <v>329</v>
      </c>
      <c r="H183" s="441" t="s">
        <v>243</v>
      </c>
      <c r="I183" s="441"/>
      <c r="J183" s="157">
        <v>169</v>
      </c>
      <c r="K183" s="441"/>
      <c r="L183" s="441"/>
      <c r="M183" s="441"/>
      <c r="N183" s="441"/>
      <c r="O183" s="441"/>
      <c r="P183" s="441"/>
      <c r="Q183" s="441" t="s">
        <v>4899</v>
      </c>
    </row>
    <row r="184" spans="1:17" ht="12" customHeight="1">
      <c r="A184" s="339"/>
      <c r="B184" s="339"/>
      <c r="C184" s="340"/>
      <c r="D184" s="340"/>
      <c r="E184" s="441" t="s">
        <v>55</v>
      </c>
      <c r="F184" s="441" t="s">
        <v>4911</v>
      </c>
      <c r="G184" s="441" t="s">
        <v>329</v>
      </c>
      <c r="H184" s="441" t="s">
        <v>243</v>
      </c>
      <c r="I184" s="441"/>
      <c r="J184" s="157">
        <v>170</v>
      </c>
      <c r="K184" s="441"/>
      <c r="L184" s="441"/>
      <c r="M184" s="441"/>
      <c r="N184" s="441"/>
      <c r="O184" s="441"/>
      <c r="P184" s="441"/>
      <c r="Q184" s="441" t="s">
        <v>4912</v>
      </c>
    </row>
    <row r="185" spans="1:17" ht="12" customHeight="1">
      <c r="A185" s="339"/>
      <c r="B185" s="339"/>
      <c r="C185" s="340"/>
      <c r="D185" s="340"/>
      <c r="E185" s="441" t="s">
        <v>55</v>
      </c>
      <c r="F185" s="441" t="s">
        <v>4913</v>
      </c>
      <c r="G185" s="441" t="s">
        <v>329</v>
      </c>
      <c r="H185" s="441" t="s">
        <v>243</v>
      </c>
      <c r="I185" s="441"/>
      <c r="J185" s="157">
        <v>171</v>
      </c>
      <c r="K185" s="441"/>
      <c r="L185" s="441"/>
      <c r="M185" s="441"/>
      <c r="N185" s="441"/>
      <c r="O185" s="441"/>
      <c r="P185" s="441"/>
      <c r="Q185" s="441" t="s">
        <v>4912</v>
      </c>
    </row>
    <row r="186" spans="1:17" ht="12" customHeight="1">
      <c r="A186" s="339"/>
      <c r="B186" s="339"/>
      <c r="C186" s="340"/>
      <c r="D186" s="340"/>
      <c r="E186" s="441" t="s">
        <v>55</v>
      </c>
      <c r="F186" s="441" t="s">
        <v>4914</v>
      </c>
      <c r="G186" s="441" t="s">
        <v>329</v>
      </c>
      <c r="H186" s="441" t="s">
        <v>243</v>
      </c>
      <c r="I186" s="441"/>
      <c r="J186" s="157">
        <v>172</v>
      </c>
      <c r="K186" s="441"/>
      <c r="L186" s="441"/>
      <c r="M186" s="441"/>
      <c r="N186" s="441"/>
      <c r="O186" s="441"/>
      <c r="P186" s="441"/>
      <c r="Q186" s="441" t="s">
        <v>4915</v>
      </c>
    </row>
    <row r="187" spans="1:17" ht="12" customHeight="1">
      <c r="A187" s="339"/>
      <c r="B187" s="339"/>
      <c r="C187" s="340"/>
      <c r="D187" s="340"/>
      <c r="E187" s="441" t="s">
        <v>55</v>
      </c>
      <c r="F187" s="441" t="s">
        <v>4916</v>
      </c>
      <c r="G187" s="441" t="s">
        <v>329</v>
      </c>
      <c r="H187" s="441" t="s">
        <v>243</v>
      </c>
      <c r="I187" s="441"/>
      <c r="J187" s="157">
        <v>173</v>
      </c>
      <c r="K187" s="441"/>
      <c r="L187" s="441"/>
      <c r="M187" s="441"/>
      <c r="N187" s="441"/>
      <c r="O187" s="441"/>
      <c r="P187" s="441"/>
      <c r="Q187" s="441" t="s">
        <v>4915</v>
      </c>
    </row>
    <row r="188" spans="1:17" ht="12" customHeight="1">
      <c r="A188" s="339"/>
      <c r="B188" s="339"/>
      <c r="C188" s="340"/>
      <c r="D188" s="340"/>
      <c r="E188" s="441" t="s">
        <v>55</v>
      </c>
      <c r="F188" s="441" t="s">
        <v>4917</v>
      </c>
      <c r="G188" s="441" t="s">
        <v>329</v>
      </c>
      <c r="H188" s="441" t="s">
        <v>243</v>
      </c>
      <c r="I188" s="441"/>
      <c r="J188" s="157">
        <v>174</v>
      </c>
      <c r="K188" s="441"/>
      <c r="L188" s="441"/>
      <c r="M188" s="441"/>
      <c r="N188" s="441"/>
      <c r="O188" s="441"/>
      <c r="P188" s="441"/>
      <c r="Q188" s="441" t="s">
        <v>4915</v>
      </c>
    </row>
    <row r="189" spans="1:17" ht="12" customHeight="1">
      <c r="A189" s="339"/>
      <c r="B189" s="339"/>
      <c r="C189" s="340"/>
      <c r="D189" s="340"/>
      <c r="E189" s="441" t="s">
        <v>55</v>
      </c>
      <c r="F189" s="441" t="s">
        <v>4918</v>
      </c>
      <c r="G189" s="441" t="s">
        <v>329</v>
      </c>
      <c r="H189" s="441" t="s">
        <v>243</v>
      </c>
      <c r="I189" s="441"/>
      <c r="J189" s="157">
        <v>175</v>
      </c>
      <c r="K189" s="441"/>
      <c r="L189" s="441"/>
      <c r="M189" s="441"/>
      <c r="N189" s="441"/>
      <c r="O189" s="441"/>
      <c r="P189" s="441"/>
      <c r="Q189" s="441" t="s">
        <v>4915</v>
      </c>
    </row>
    <row r="190" spans="1:17" ht="12" customHeight="1">
      <c r="A190" s="339"/>
      <c r="B190" s="339"/>
      <c r="C190" s="340"/>
      <c r="D190" s="340"/>
      <c r="E190" s="441" t="s">
        <v>55</v>
      </c>
      <c r="F190" s="441" t="s">
        <v>4919</v>
      </c>
      <c r="G190" s="441" t="s">
        <v>329</v>
      </c>
      <c r="H190" s="441" t="s">
        <v>243</v>
      </c>
      <c r="I190" s="441"/>
      <c r="J190" s="157">
        <v>176</v>
      </c>
      <c r="K190" s="441"/>
      <c r="L190" s="441"/>
      <c r="M190" s="441"/>
      <c r="N190" s="441"/>
      <c r="O190" s="441"/>
      <c r="P190" s="441"/>
      <c r="Q190" s="441" t="s">
        <v>4915</v>
      </c>
    </row>
    <row r="191" spans="1:17" ht="12" customHeight="1">
      <c r="A191" s="339"/>
      <c r="B191" s="339"/>
      <c r="C191" s="340"/>
      <c r="D191" s="340"/>
      <c r="E191" s="441" t="s">
        <v>55</v>
      </c>
      <c r="F191" s="441" t="s">
        <v>4920</v>
      </c>
      <c r="G191" s="441" t="s">
        <v>329</v>
      </c>
      <c r="H191" s="441" t="s">
        <v>243</v>
      </c>
      <c r="I191" s="441"/>
      <c r="J191" s="157">
        <v>177</v>
      </c>
      <c r="K191" s="441"/>
      <c r="L191" s="441"/>
      <c r="M191" s="441"/>
      <c r="N191" s="441"/>
      <c r="O191" s="441"/>
      <c r="P191" s="441"/>
      <c r="Q191" s="441" t="s">
        <v>4915</v>
      </c>
    </row>
    <row r="192" spans="1:17" ht="12" customHeight="1">
      <c r="A192" s="339"/>
      <c r="B192" s="339"/>
      <c r="C192" s="340"/>
      <c r="D192" s="340"/>
      <c r="E192" s="441" t="s">
        <v>55</v>
      </c>
      <c r="F192" s="441" t="s">
        <v>4921</v>
      </c>
      <c r="G192" s="441" t="s">
        <v>329</v>
      </c>
      <c r="H192" s="441" t="s">
        <v>243</v>
      </c>
      <c r="I192" s="441"/>
      <c r="J192" s="157">
        <v>178</v>
      </c>
      <c r="K192" s="441"/>
      <c r="L192" s="441"/>
      <c r="M192" s="441"/>
      <c r="N192" s="441"/>
      <c r="O192" s="441"/>
      <c r="P192" s="441"/>
      <c r="Q192" s="441" t="s">
        <v>4915</v>
      </c>
    </row>
    <row r="193" spans="1:17" ht="12" customHeight="1">
      <c r="A193" s="339"/>
      <c r="B193" s="339"/>
      <c r="C193" s="340"/>
      <c r="D193" s="340"/>
      <c r="E193" s="441" t="s">
        <v>55</v>
      </c>
      <c r="F193" s="441" t="s">
        <v>4922</v>
      </c>
      <c r="G193" s="441" t="s">
        <v>329</v>
      </c>
      <c r="H193" s="441" t="s">
        <v>243</v>
      </c>
      <c r="I193" s="441"/>
      <c r="J193" s="157">
        <v>179</v>
      </c>
      <c r="K193" s="441"/>
      <c r="L193" s="441"/>
      <c r="M193" s="441"/>
      <c r="N193" s="441"/>
      <c r="O193" s="441"/>
      <c r="P193" s="441"/>
      <c r="Q193" s="441" t="s">
        <v>4915</v>
      </c>
    </row>
    <row r="194" spans="1:17" ht="12" customHeight="1">
      <c r="A194" s="339"/>
      <c r="B194" s="339"/>
      <c r="C194" s="340"/>
      <c r="D194" s="340"/>
      <c r="E194" s="441" t="s">
        <v>55</v>
      </c>
      <c r="F194" s="441" t="s">
        <v>4923</v>
      </c>
      <c r="G194" s="441" t="s">
        <v>329</v>
      </c>
      <c r="H194" s="441" t="s">
        <v>243</v>
      </c>
      <c r="I194" s="441"/>
      <c r="J194" s="157">
        <v>180</v>
      </c>
      <c r="K194" s="441"/>
      <c r="L194" s="441"/>
      <c r="M194" s="441"/>
      <c r="N194" s="441"/>
      <c r="O194" s="441"/>
      <c r="P194" s="441"/>
      <c r="Q194" s="441" t="s">
        <v>4915</v>
      </c>
    </row>
    <row r="195" spans="1:17" ht="12" customHeight="1">
      <c r="A195" s="339"/>
      <c r="B195" s="339"/>
      <c r="C195" s="340"/>
      <c r="D195" s="340"/>
      <c r="E195" s="441" t="s">
        <v>55</v>
      </c>
      <c r="F195" s="441" t="s">
        <v>4924</v>
      </c>
      <c r="G195" s="441" t="s">
        <v>329</v>
      </c>
      <c r="H195" s="441" t="s">
        <v>243</v>
      </c>
      <c r="I195" s="441"/>
      <c r="J195" s="157">
        <v>181</v>
      </c>
      <c r="K195" s="441"/>
      <c r="L195" s="441"/>
      <c r="M195" s="441"/>
      <c r="N195" s="441"/>
      <c r="O195" s="441"/>
      <c r="P195" s="441"/>
      <c r="Q195" s="441" t="s">
        <v>4915</v>
      </c>
    </row>
    <row r="196" spans="1:17" ht="12" customHeight="1">
      <c r="A196" s="339"/>
      <c r="B196" s="339"/>
      <c r="C196" s="340"/>
      <c r="D196" s="340"/>
      <c r="E196" s="441" t="s">
        <v>55</v>
      </c>
      <c r="F196" s="441" t="s">
        <v>4925</v>
      </c>
      <c r="G196" s="441" t="s">
        <v>329</v>
      </c>
      <c r="H196" s="441" t="s">
        <v>243</v>
      </c>
      <c r="I196" s="441"/>
      <c r="J196" s="157">
        <v>182</v>
      </c>
      <c r="K196" s="441"/>
      <c r="L196" s="441"/>
      <c r="M196" s="441"/>
      <c r="N196" s="441"/>
      <c r="O196" s="441"/>
      <c r="P196" s="441"/>
      <c r="Q196" s="441" t="s">
        <v>4915</v>
      </c>
    </row>
    <row r="197" spans="1:17" ht="12" customHeight="1">
      <c r="A197" s="339"/>
      <c r="B197" s="339"/>
      <c r="C197" s="340"/>
      <c r="D197" s="340"/>
      <c r="E197" s="441" t="s">
        <v>55</v>
      </c>
      <c r="F197" s="441" t="s">
        <v>4926</v>
      </c>
      <c r="G197" s="441" t="s">
        <v>329</v>
      </c>
      <c r="H197" s="441" t="s">
        <v>243</v>
      </c>
      <c r="I197" s="441"/>
      <c r="J197" s="157">
        <v>183</v>
      </c>
      <c r="K197" s="441"/>
      <c r="L197" s="441"/>
      <c r="M197" s="441"/>
      <c r="N197" s="441"/>
      <c r="O197" s="441"/>
      <c r="P197" s="441"/>
      <c r="Q197" s="441" t="s">
        <v>4915</v>
      </c>
    </row>
    <row r="198" spans="1:17" ht="12" customHeight="1">
      <c r="A198" s="339"/>
      <c r="B198" s="339"/>
      <c r="C198" s="340"/>
      <c r="D198" s="340"/>
      <c r="E198" s="441" t="s">
        <v>55</v>
      </c>
      <c r="F198" s="441" t="s">
        <v>4927</v>
      </c>
      <c r="G198" s="441" t="s">
        <v>329</v>
      </c>
      <c r="H198" s="441" t="s">
        <v>243</v>
      </c>
      <c r="I198" s="441"/>
      <c r="J198" s="157">
        <v>184</v>
      </c>
      <c r="K198" s="441"/>
      <c r="L198" s="441"/>
      <c r="M198" s="441"/>
      <c r="N198" s="441"/>
      <c r="O198" s="441"/>
      <c r="P198" s="441"/>
      <c r="Q198" s="441" t="s">
        <v>4928</v>
      </c>
    </row>
    <row r="199" spans="1:17" ht="12" customHeight="1">
      <c r="A199" s="339"/>
      <c r="B199" s="339"/>
      <c r="C199" s="340"/>
      <c r="D199" s="340"/>
      <c r="E199" s="441" t="s">
        <v>55</v>
      </c>
      <c r="F199" s="441" t="s">
        <v>4929</v>
      </c>
      <c r="G199" s="441" t="s">
        <v>329</v>
      </c>
      <c r="H199" s="441" t="s">
        <v>243</v>
      </c>
      <c r="I199" s="441"/>
      <c r="J199" s="157">
        <v>185</v>
      </c>
      <c r="K199" s="441"/>
      <c r="L199" s="441"/>
      <c r="M199" s="441"/>
      <c r="N199" s="441"/>
      <c r="O199" s="441"/>
      <c r="P199" s="441"/>
      <c r="Q199" s="441" t="s">
        <v>4928</v>
      </c>
    </row>
    <row r="200" spans="1:17" ht="12" customHeight="1">
      <c r="A200" s="339"/>
      <c r="B200" s="339"/>
      <c r="C200" s="340"/>
      <c r="D200" s="340"/>
      <c r="E200" s="441" t="s">
        <v>55</v>
      </c>
      <c r="F200" s="441" t="s">
        <v>4930</v>
      </c>
      <c r="G200" s="441" t="s">
        <v>329</v>
      </c>
      <c r="H200" s="441" t="s">
        <v>243</v>
      </c>
      <c r="I200" s="441"/>
      <c r="J200" s="157">
        <v>186</v>
      </c>
      <c r="K200" s="441"/>
      <c r="L200" s="441"/>
      <c r="M200" s="441"/>
      <c r="N200" s="441"/>
      <c r="O200" s="441"/>
      <c r="P200" s="441"/>
      <c r="Q200" s="441" t="s">
        <v>4928</v>
      </c>
    </row>
    <row r="201" spans="1:17" ht="12" customHeight="1">
      <c r="A201" s="339"/>
      <c r="B201" s="339"/>
      <c r="C201" s="340"/>
      <c r="D201" s="340"/>
      <c r="E201" s="441" t="s">
        <v>55</v>
      </c>
      <c r="F201" s="441" t="s">
        <v>4931</v>
      </c>
      <c r="G201" s="441" t="s">
        <v>329</v>
      </c>
      <c r="H201" s="441" t="s">
        <v>243</v>
      </c>
      <c r="I201" s="441"/>
      <c r="J201" s="157">
        <v>187</v>
      </c>
      <c r="K201" s="441"/>
      <c r="L201" s="441"/>
      <c r="M201" s="441"/>
      <c r="N201" s="441"/>
      <c r="O201" s="441"/>
      <c r="P201" s="441"/>
      <c r="Q201" s="441" t="s">
        <v>4928</v>
      </c>
    </row>
    <row r="202" spans="1:17" ht="12" customHeight="1">
      <c r="A202" s="339"/>
      <c r="B202" s="339"/>
      <c r="C202" s="340"/>
      <c r="D202" s="340"/>
      <c r="E202" s="441" t="s">
        <v>55</v>
      </c>
      <c r="F202" s="441" t="s">
        <v>4932</v>
      </c>
      <c r="G202" s="441" t="s">
        <v>329</v>
      </c>
      <c r="H202" s="441" t="s">
        <v>243</v>
      </c>
      <c r="I202" s="441"/>
      <c r="J202" s="157">
        <v>188</v>
      </c>
      <c r="K202" s="441"/>
      <c r="L202" s="441"/>
      <c r="M202" s="441"/>
      <c r="N202" s="441"/>
      <c r="O202" s="441"/>
      <c r="P202" s="441"/>
      <c r="Q202" s="441" t="s">
        <v>4928</v>
      </c>
    </row>
    <row r="203" spans="1:17" ht="12" customHeight="1">
      <c r="A203" s="339"/>
      <c r="B203" s="339"/>
      <c r="C203" s="340"/>
      <c r="D203" s="340"/>
      <c r="E203" s="441" t="s">
        <v>55</v>
      </c>
      <c r="F203" s="441" t="s">
        <v>4933</v>
      </c>
      <c r="G203" s="441" t="s">
        <v>329</v>
      </c>
      <c r="H203" s="441" t="s">
        <v>243</v>
      </c>
      <c r="I203" s="441"/>
      <c r="J203" s="157">
        <v>189</v>
      </c>
      <c r="K203" s="441"/>
      <c r="L203" s="441"/>
      <c r="M203" s="441"/>
      <c r="N203" s="441"/>
      <c r="O203" s="441"/>
      <c r="P203" s="441"/>
      <c r="Q203" s="441" t="s">
        <v>4928</v>
      </c>
    </row>
    <row r="204" spans="1:17" ht="12" customHeight="1">
      <c r="A204" s="339"/>
      <c r="B204" s="339"/>
      <c r="C204" s="340"/>
      <c r="D204" s="340"/>
      <c r="E204" s="441" t="s">
        <v>55</v>
      </c>
      <c r="F204" s="441" t="s">
        <v>4934</v>
      </c>
      <c r="G204" s="441" t="s">
        <v>329</v>
      </c>
      <c r="H204" s="441" t="s">
        <v>243</v>
      </c>
      <c r="I204" s="441"/>
      <c r="J204" s="157">
        <v>190</v>
      </c>
      <c r="K204" s="441"/>
      <c r="L204" s="441"/>
      <c r="M204" s="441"/>
      <c r="N204" s="441"/>
      <c r="O204" s="441"/>
      <c r="P204" s="441"/>
      <c r="Q204" s="441" t="s">
        <v>4935</v>
      </c>
    </row>
    <row r="205" spans="1:17" ht="12" customHeight="1">
      <c r="A205" s="339"/>
      <c r="B205" s="339"/>
      <c r="C205" s="340"/>
      <c r="D205" s="340"/>
      <c r="E205" s="441" t="s">
        <v>55</v>
      </c>
      <c r="F205" s="441" t="s">
        <v>4936</v>
      </c>
      <c r="G205" s="441" t="s">
        <v>329</v>
      </c>
      <c r="H205" s="441" t="s">
        <v>243</v>
      </c>
      <c r="I205" s="441"/>
      <c r="J205" s="157">
        <v>191</v>
      </c>
      <c r="K205" s="441"/>
      <c r="L205" s="441"/>
      <c r="M205" s="441"/>
      <c r="N205" s="441"/>
      <c r="O205" s="441"/>
      <c r="P205" s="441"/>
      <c r="Q205" s="441" t="s">
        <v>4935</v>
      </c>
    </row>
    <row r="206" spans="1:17" ht="12" customHeight="1">
      <c r="A206" s="339"/>
      <c r="B206" s="339"/>
      <c r="C206" s="340"/>
      <c r="D206" s="340"/>
      <c r="E206" s="441" t="s">
        <v>55</v>
      </c>
      <c r="F206" s="441" t="s">
        <v>4937</v>
      </c>
      <c r="G206" s="441" t="s">
        <v>329</v>
      </c>
      <c r="H206" s="441" t="s">
        <v>243</v>
      </c>
      <c r="I206" s="441"/>
      <c r="J206" s="157">
        <v>192</v>
      </c>
      <c r="K206" s="441"/>
      <c r="L206" s="441"/>
      <c r="M206" s="441"/>
      <c r="N206" s="441"/>
      <c r="O206" s="441"/>
      <c r="P206" s="441"/>
      <c r="Q206" s="441" t="s">
        <v>4935</v>
      </c>
    </row>
    <row r="207" spans="1:17" ht="12" customHeight="1">
      <c r="A207" s="339"/>
      <c r="B207" s="339"/>
      <c r="C207" s="340"/>
      <c r="D207" s="340"/>
      <c r="E207" s="441" t="s">
        <v>55</v>
      </c>
      <c r="F207" s="441" t="s">
        <v>4938</v>
      </c>
      <c r="G207" s="441" t="s">
        <v>329</v>
      </c>
      <c r="H207" s="441" t="s">
        <v>243</v>
      </c>
      <c r="I207" s="441"/>
      <c r="J207" s="157">
        <v>193</v>
      </c>
      <c r="K207" s="441"/>
      <c r="L207" s="441"/>
      <c r="M207" s="441"/>
      <c r="N207" s="441"/>
      <c r="O207" s="441"/>
      <c r="P207" s="441"/>
      <c r="Q207" s="441" t="s">
        <v>4935</v>
      </c>
    </row>
    <row r="208" spans="1:17" ht="12" customHeight="1">
      <c r="A208" s="339"/>
      <c r="B208" s="339"/>
      <c r="C208" s="340"/>
      <c r="D208" s="340"/>
      <c r="E208" s="441" t="s">
        <v>55</v>
      </c>
      <c r="F208" s="441" t="s">
        <v>4939</v>
      </c>
      <c r="G208" s="441" t="s">
        <v>329</v>
      </c>
      <c r="H208" s="441" t="s">
        <v>243</v>
      </c>
      <c r="I208" s="441"/>
      <c r="J208" s="157">
        <v>194</v>
      </c>
      <c r="K208" s="441"/>
      <c r="L208" s="441"/>
      <c r="M208" s="441"/>
      <c r="N208" s="441"/>
      <c r="O208" s="441"/>
      <c r="P208" s="441"/>
      <c r="Q208" s="441" t="s">
        <v>4935</v>
      </c>
    </row>
    <row r="209" spans="1:17" ht="12" customHeight="1">
      <c r="A209" s="339"/>
      <c r="B209" s="339"/>
      <c r="C209" s="340"/>
      <c r="D209" s="340"/>
      <c r="E209" s="441" t="s">
        <v>55</v>
      </c>
      <c r="F209" s="441" t="s">
        <v>4940</v>
      </c>
      <c r="G209" s="441" t="s">
        <v>329</v>
      </c>
      <c r="H209" s="441" t="s">
        <v>243</v>
      </c>
      <c r="I209" s="441"/>
      <c r="J209" s="157">
        <v>195</v>
      </c>
      <c r="K209" s="441"/>
      <c r="L209" s="441"/>
      <c r="M209" s="441"/>
      <c r="N209" s="441"/>
      <c r="O209" s="441"/>
      <c r="P209" s="441"/>
      <c r="Q209" s="441" t="s">
        <v>4935</v>
      </c>
    </row>
    <row r="210" spans="1:17" ht="12" customHeight="1">
      <c r="A210" s="339"/>
      <c r="B210" s="339"/>
      <c r="C210" s="340"/>
      <c r="D210" s="340"/>
      <c r="E210" s="441" t="s">
        <v>55</v>
      </c>
      <c r="F210" s="441" t="s">
        <v>4941</v>
      </c>
      <c r="G210" s="441" t="s">
        <v>329</v>
      </c>
      <c r="H210" s="441" t="s">
        <v>243</v>
      </c>
      <c r="I210" s="441"/>
      <c r="J210" s="157">
        <v>196</v>
      </c>
      <c r="K210" s="441"/>
      <c r="L210" s="441"/>
      <c r="M210" s="441"/>
      <c r="N210" s="441"/>
      <c r="O210" s="441"/>
      <c r="P210" s="441"/>
      <c r="Q210" s="441" t="s">
        <v>4935</v>
      </c>
    </row>
    <row r="211" spans="1:17" ht="12" customHeight="1">
      <c r="A211" s="339"/>
      <c r="B211" s="339"/>
      <c r="C211" s="340"/>
      <c r="D211" s="340"/>
      <c r="E211" s="441" t="s">
        <v>55</v>
      </c>
      <c r="F211" s="441" t="s">
        <v>4942</v>
      </c>
      <c r="G211" s="441" t="s">
        <v>329</v>
      </c>
      <c r="H211" s="441" t="s">
        <v>243</v>
      </c>
      <c r="I211" s="441"/>
      <c r="J211" s="157">
        <v>197</v>
      </c>
      <c r="K211" s="441"/>
      <c r="L211" s="441"/>
      <c r="M211" s="441"/>
      <c r="N211" s="441"/>
      <c r="O211" s="441"/>
      <c r="P211" s="441"/>
      <c r="Q211" s="441" t="s">
        <v>4935</v>
      </c>
    </row>
    <row r="212" spans="1:17" ht="12" customHeight="1">
      <c r="A212" s="339"/>
      <c r="B212" s="339"/>
      <c r="C212" s="340"/>
      <c r="D212" s="340"/>
      <c r="E212" s="441" t="s">
        <v>55</v>
      </c>
      <c r="F212" s="441" t="s">
        <v>4943</v>
      </c>
      <c r="G212" s="441" t="s">
        <v>329</v>
      </c>
      <c r="H212" s="441" t="s">
        <v>243</v>
      </c>
      <c r="I212" s="441"/>
      <c r="J212" s="157">
        <v>198</v>
      </c>
      <c r="K212" s="441"/>
      <c r="L212" s="441"/>
      <c r="M212" s="441"/>
      <c r="N212" s="441"/>
      <c r="O212" s="441"/>
      <c r="P212" s="441"/>
      <c r="Q212" s="441" t="s">
        <v>4935</v>
      </c>
    </row>
    <row r="213" spans="1:17" ht="12" customHeight="1">
      <c r="A213" s="339"/>
      <c r="B213" s="339"/>
      <c r="C213" s="340"/>
      <c r="D213" s="340"/>
      <c r="E213" s="441" t="s">
        <v>55</v>
      </c>
      <c r="F213" s="441" t="s">
        <v>4944</v>
      </c>
      <c r="G213" s="441" t="s">
        <v>329</v>
      </c>
      <c r="H213" s="441" t="s">
        <v>243</v>
      </c>
      <c r="I213" s="441"/>
      <c r="J213" s="157">
        <v>199</v>
      </c>
      <c r="K213" s="441"/>
      <c r="L213" s="441"/>
      <c r="M213" s="441"/>
      <c r="N213" s="441"/>
      <c r="O213" s="441"/>
      <c r="P213" s="441"/>
      <c r="Q213" s="441" t="s">
        <v>4935</v>
      </c>
    </row>
    <row r="214" spans="1:17" ht="12" customHeight="1">
      <c r="A214" s="339"/>
      <c r="B214" s="339"/>
      <c r="C214" s="340"/>
      <c r="D214" s="340"/>
      <c r="E214" s="441" t="s">
        <v>55</v>
      </c>
      <c r="F214" s="441" t="s">
        <v>4945</v>
      </c>
      <c r="G214" s="441" t="s">
        <v>329</v>
      </c>
      <c r="H214" s="441" t="s">
        <v>243</v>
      </c>
      <c r="I214" s="441"/>
      <c r="J214" s="157">
        <v>200</v>
      </c>
      <c r="K214" s="441"/>
      <c r="L214" s="441"/>
      <c r="M214" s="441"/>
      <c r="N214" s="441"/>
      <c r="O214" s="441"/>
      <c r="P214" s="441"/>
      <c r="Q214" s="441" t="s">
        <v>4935</v>
      </c>
    </row>
    <row r="215" spans="1:17" ht="12" customHeight="1">
      <c r="A215" s="339"/>
      <c r="B215" s="339"/>
      <c r="C215" s="340"/>
      <c r="D215" s="340"/>
      <c r="E215" s="441" t="s">
        <v>55</v>
      </c>
      <c r="F215" s="441" t="s">
        <v>4946</v>
      </c>
      <c r="G215" s="441" t="s">
        <v>329</v>
      </c>
      <c r="H215" s="441" t="s">
        <v>243</v>
      </c>
      <c r="I215" s="441"/>
      <c r="J215" s="157">
        <v>201</v>
      </c>
      <c r="K215" s="441"/>
      <c r="L215" s="441"/>
      <c r="M215" s="441"/>
      <c r="N215" s="441"/>
      <c r="O215" s="441"/>
      <c r="P215" s="441"/>
      <c r="Q215" s="441" t="s">
        <v>4935</v>
      </c>
    </row>
    <row r="216" spans="1:17" ht="12" customHeight="1">
      <c r="A216" s="339"/>
      <c r="B216" s="339"/>
      <c r="C216" s="340"/>
      <c r="D216" s="340"/>
      <c r="E216" s="441" t="s">
        <v>55</v>
      </c>
      <c r="F216" s="441" t="s">
        <v>4947</v>
      </c>
      <c r="G216" s="441" t="s">
        <v>329</v>
      </c>
      <c r="H216" s="441" t="s">
        <v>243</v>
      </c>
      <c r="I216" s="441"/>
      <c r="J216" s="157">
        <v>202</v>
      </c>
      <c r="K216" s="441"/>
      <c r="L216" s="441"/>
      <c r="M216" s="441"/>
      <c r="N216" s="441"/>
      <c r="O216" s="441"/>
      <c r="P216" s="441"/>
      <c r="Q216" s="441" t="s">
        <v>4928</v>
      </c>
    </row>
    <row r="217" spans="1:17" ht="12" customHeight="1">
      <c r="A217" s="339"/>
      <c r="B217" s="339"/>
      <c r="C217" s="340"/>
      <c r="D217" s="340"/>
      <c r="E217" s="441" t="s">
        <v>55</v>
      </c>
      <c r="F217" s="441" t="s">
        <v>4948</v>
      </c>
      <c r="G217" s="441" t="s">
        <v>329</v>
      </c>
      <c r="H217" s="441" t="s">
        <v>243</v>
      </c>
      <c r="I217" s="441"/>
      <c r="J217" s="157">
        <v>203</v>
      </c>
      <c r="K217" s="441"/>
      <c r="L217" s="441"/>
      <c r="M217" s="441"/>
      <c r="N217" s="441"/>
      <c r="O217" s="441"/>
      <c r="P217" s="441"/>
      <c r="Q217" s="441" t="s">
        <v>4928</v>
      </c>
    </row>
    <row r="218" spans="1:17" ht="12" customHeight="1">
      <c r="A218" s="339"/>
      <c r="B218" s="339"/>
      <c r="C218" s="340"/>
      <c r="D218" s="340"/>
      <c r="E218" s="441" t="s">
        <v>55</v>
      </c>
      <c r="F218" s="441" t="s">
        <v>4949</v>
      </c>
      <c r="G218" s="441" t="s">
        <v>329</v>
      </c>
      <c r="H218" s="441" t="s">
        <v>243</v>
      </c>
      <c r="I218" s="441"/>
      <c r="J218" s="157">
        <v>204</v>
      </c>
      <c r="K218" s="441"/>
      <c r="L218" s="441"/>
      <c r="M218" s="441"/>
      <c r="N218" s="441"/>
      <c r="O218" s="441"/>
      <c r="P218" s="441"/>
      <c r="Q218" s="441" t="s">
        <v>4928</v>
      </c>
    </row>
    <row r="219" spans="1:17" ht="12" customHeight="1">
      <c r="A219" s="339"/>
      <c r="B219" s="339"/>
      <c r="C219" s="340"/>
      <c r="D219" s="340"/>
      <c r="E219" s="441" t="s">
        <v>55</v>
      </c>
      <c r="F219" s="441" t="s">
        <v>4950</v>
      </c>
      <c r="G219" s="441" t="s">
        <v>329</v>
      </c>
      <c r="H219" s="441" t="s">
        <v>243</v>
      </c>
      <c r="I219" s="441"/>
      <c r="J219" s="157">
        <v>205</v>
      </c>
      <c r="K219" s="441"/>
      <c r="L219" s="441"/>
      <c r="M219" s="441"/>
      <c r="N219" s="441"/>
      <c r="O219" s="441"/>
      <c r="P219" s="441"/>
      <c r="Q219" s="441" t="s">
        <v>4951</v>
      </c>
    </row>
    <row r="220" spans="1:17" ht="12" customHeight="1">
      <c r="A220" s="339"/>
      <c r="B220" s="339"/>
      <c r="C220" s="340"/>
      <c r="D220" s="340"/>
      <c r="E220" s="441" t="s">
        <v>55</v>
      </c>
      <c r="F220" s="441" t="s">
        <v>4952</v>
      </c>
      <c r="G220" s="441" t="s">
        <v>329</v>
      </c>
      <c r="H220" s="441" t="s">
        <v>243</v>
      </c>
      <c r="I220" s="441"/>
      <c r="J220" s="157">
        <v>206</v>
      </c>
      <c r="K220" s="441"/>
      <c r="L220" s="441"/>
      <c r="M220" s="441"/>
      <c r="N220" s="441"/>
      <c r="O220" s="441"/>
      <c r="P220" s="441"/>
      <c r="Q220" s="441" t="s">
        <v>4951</v>
      </c>
    </row>
    <row r="221" spans="1:17" ht="12" customHeight="1">
      <c r="A221" s="339"/>
      <c r="B221" s="339"/>
      <c r="C221" s="340"/>
      <c r="D221" s="340"/>
      <c r="E221" s="441" t="s">
        <v>55</v>
      </c>
      <c r="F221" s="441" t="s">
        <v>4953</v>
      </c>
      <c r="G221" s="441" t="s">
        <v>329</v>
      </c>
      <c r="H221" s="441" t="s">
        <v>243</v>
      </c>
      <c r="I221" s="441"/>
      <c r="J221" s="157">
        <v>207</v>
      </c>
      <c r="K221" s="441"/>
      <c r="L221" s="441"/>
      <c r="M221" s="441"/>
      <c r="N221" s="441"/>
      <c r="O221" s="441"/>
      <c r="P221" s="441"/>
      <c r="Q221" s="441" t="s">
        <v>4951</v>
      </c>
    </row>
    <row r="222" spans="1:17" ht="12" customHeight="1">
      <c r="A222" s="339"/>
      <c r="B222" s="339"/>
      <c r="C222" s="340"/>
      <c r="D222" s="340"/>
      <c r="E222" s="441" t="s">
        <v>55</v>
      </c>
      <c r="F222" s="441" t="s">
        <v>4954</v>
      </c>
      <c r="G222" s="441" t="s">
        <v>329</v>
      </c>
      <c r="H222" s="441" t="s">
        <v>243</v>
      </c>
      <c r="I222" s="441"/>
      <c r="J222" s="157">
        <v>208</v>
      </c>
      <c r="K222" s="441"/>
      <c r="L222" s="441"/>
      <c r="M222" s="441"/>
      <c r="N222" s="441"/>
      <c r="O222" s="441"/>
      <c r="P222" s="441"/>
      <c r="Q222" s="441" t="s">
        <v>4951</v>
      </c>
    </row>
    <row r="223" spans="1:17" ht="12" customHeight="1">
      <c r="A223" s="339"/>
      <c r="B223" s="339"/>
      <c r="C223" s="340"/>
      <c r="D223" s="340"/>
      <c r="E223" s="441" t="s">
        <v>55</v>
      </c>
      <c r="F223" s="441" t="s">
        <v>4955</v>
      </c>
      <c r="G223" s="441" t="s">
        <v>329</v>
      </c>
      <c r="H223" s="441" t="s">
        <v>243</v>
      </c>
      <c r="I223" s="441"/>
      <c r="J223" s="157">
        <v>209</v>
      </c>
      <c r="K223" s="441"/>
      <c r="L223" s="441"/>
      <c r="M223" s="441"/>
      <c r="N223" s="441"/>
      <c r="O223" s="441"/>
      <c r="P223" s="441"/>
      <c r="Q223" s="441" t="s">
        <v>4951</v>
      </c>
    </row>
    <row r="224" spans="1:17" ht="12" customHeight="1">
      <c r="A224" s="339"/>
      <c r="B224" s="339"/>
      <c r="C224" s="340"/>
      <c r="D224" s="340"/>
      <c r="E224" s="441" t="s">
        <v>55</v>
      </c>
      <c r="F224" s="441" t="s">
        <v>4956</v>
      </c>
      <c r="G224" s="441" t="s">
        <v>329</v>
      </c>
      <c r="H224" s="441" t="s">
        <v>243</v>
      </c>
      <c r="I224" s="441"/>
      <c r="J224" s="157">
        <v>210</v>
      </c>
      <c r="K224" s="441"/>
      <c r="L224" s="441"/>
      <c r="M224" s="441"/>
      <c r="N224" s="441"/>
      <c r="O224" s="441"/>
      <c r="P224" s="441"/>
      <c r="Q224" s="441" t="s">
        <v>4951</v>
      </c>
    </row>
    <row r="225" spans="1:17" ht="12" customHeight="1">
      <c r="A225" s="339"/>
      <c r="B225" s="339"/>
      <c r="C225" s="340"/>
      <c r="D225" s="340"/>
      <c r="E225" s="441" t="s">
        <v>55</v>
      </c>
      <c r="F225" s="441" t="s">
        <v>4957</v>
      </c>
      <c r="G225" s="441" t="s">
        <v>329</v>
      </c>
      <c r="H225" s="441" t="s">
        <v>243</v>
      </c>
      <c r="I225" s="441"/>
      <c r="J225" s="157">
        <v>211</v>
      </c>
      <c r="K225" s="441"/>
      <c r="L225" s="441"/>
      <c r="M225" s="441"/>
      <c r="N225" s="441"/>
      <c r="O225" s="441"/>
      <c r="P225" s="441"/>
      <c r="Q225" s="441" t="s">
        <v>4951</v>
      </c>
    </row>
    <row r="226" spans="1:17" ht="12" customHeight="1">
      <c r="A226" s="339"/>
      <c r="B226" s="339"/>
      <c r="C226" s="340"/>
      <c r="D226" s="340"/>
      <c r="E226" s="441" t="s">
        <v>55</v>
      </c>
      <c r="F226" s="441" t="s">
        <v>4958</v>
      </c>
      <c r="G226" s="441" t="s">
        <v>329</v>
      </c>
      <c r="H226" s="441" t="s">
        <v>243</v>
      </c>
      <c r="I226" s="441"/>
      <c r="J226" s="157">
        <v>212</v>
      </c>
      <c r="K226" s="441"/>
      <c r="L226" s="441"/>
      <c r="M226" s="441"/>
      <c r="N226" s="441"/>
      <c r="O226" s="441"/>
      <c r="P226" s="441"/>
      <c r="Q226" s="441" t="s">
        <v>4951</v>
      </c>
    </row>
    <row r="227" spans="1:17" ht="12" customHeight="1">
      <c r="A227" s="339"/>
      <c r="B227" s="339"/>
      <c r="C227" s="340"/>
      <c r="D227" s="340"/>
      <c r="E227" s="441" t="s">
        <v>55</v>
      </c>
      <c r="F227" s="441" t="s">
        <v>4959</v>
      </c>
      <c r="G227" s="441" t="s">
        <v>329</v>
      </c>
      <c r="H227" s="441" t="s">
        <v>243</v>
      </c>
      <c r="I227" s="441"/>
      <c r="J227" s="157">
        <v>213</v>
      </c>
      <c r="K227" s="441"/>
      <c r="L227" s="441"/>
      <c r="M227" s="441"/>
      <c r="N227" s="441"/>
      <c r="O227" s="441"/>
      <c r="P227" s="441"/>
      <c r="Q227" s="441" t="s">
        <v>4951</v>
      </c>
    </row>
    <row r="228" spans="1:17" ht="12" customHeight="1">
      <c r="A228" s="339"/>
      <c r="B228" s="339"/>
      <c r="C228" s="340"/>
      <c r="D228" s="340"/>
      <c r="E228" s="441" t="s">
        <v>55</v>
      </c>
      <c r="F228" s="441" t="s">
        <v>4960</v>
      </c>
      <c r="G228" s="441" t="s">
        <v>329</v>
      </c>
      <c r="H228" s="441" t="s">
        <v>243</v>
      </c>
      <c r="I228" s="441"/>
      <c r="J228" s="157">
        <v>214</v>
      </c>
      <c r="K228" s="441"/>
      <c r="L228" s="441"/>
      <c r="M228" s="441"/>
      <c r="N228" s="441"/>
      <c r="O228" s="441"/>
      <c r="P228" s="441"/>
      <c r="Q228" s="441" t="s">
        <v>4951</v>
      </c>
    </row>
    <row r="229" spans="1:17" ht="12" customHeight="1">
      <c r="A229" s="339"/>
      <c r="B229" s="339"/>
      <c r="C229" s="340"/>
      <c r="D229" s="340"/>
      <c r="E229" s="441" t="s">
        <v>55</v>
      </c>
      <c r="F229" s="441" t="s">
        <v>4961</v>
      </c>
      <c r="G229" s="441" t="s">
        <v>329</v>
      </c>
      <c r="H229" s="441" t="s">
        <v>243</v>
      </c>
      <c r="I229" s="441"/>
      <c r="J229" s="157">
        <v>215</v>
      </c>
      <c r="K229" s="441"/>
      <c r="L229" s="441"/>
      <c r="M229" s="441"/>
      <c r="N229" s="441"/>
      <c r="O229" s="441"/>
      <c r="P229" s="441"/>
      <c r="Q229" s="441" t="s">
        <v>4951</v>
      </c>
    </row>
    <row r="230" spans="1:17" ht="12" customHeight="1">
      <c r="A230" s="339"/>
      <c r="B230" s="339"/>
      <c r="C230" s="340"/>
      <c r="D230" s="340"/>
      <c r="E230" s="441" t="s">
        <v>55</v>
      </c>
      <c r="F230" s="441" t="s">
        <v>4962</v>
      </c>
      <c r="G230" s="441" t="s">
        <v>329</v>
      </c>
      <c r="H230" s="441" t="s">
        <v>243</v>
      </c>
      <c r="I230" s="441"/>
      <c r="J230" s="157">
        <v>216</v>
      </c>
      <c r="K230" s="441"/>
      <c r="L230" s="441"/>
      <c r="M230" s="441"/>
      <c r="N230" s="441"/>
      <c r="O230" s="441"/>
      <c r="P230" s="441"/>
      <c r="Q230" s="441" t="s">
        <v>4951</v>
      </c>
    </row>
    <row r="231" spans="1:17" ht="12" customHeight="1">
      <c r="A231" s="339"/>
      <c r="B231" s="339"/>
      <c r="C231" s="340"/>
      <c r="D231" s="340"/>
      <c r="E231" s="441" t="s">
        <v>55</v>
      </c>
      <c r="F231" s="441" t="s">
        <v>4963</v>
      </c>
      <c r="G231" s="441" t="s">
        <v>329</v>
      </c>
      <c r="H231" s="441" t="s">
        <v>243</v>
      </c>
      <c r="I231" s="441"/>
      <c r="J231" s="157">
        <v>217</v>
      </c>
      <c r="K231" s="441"/>
      <c r="L231" s="441"/>
      <c r="M231" s="441"/>
      <c r="N231" s="441"/>
      <c r="O231" s="441"/>
      <c r="P231" s="441"/>
      <c r="Q231" s="441" t="s">
        <v>4928</v>
      </c>
    </row>
    <row r="232" spans="1:17" ht="12" customHeight="1">
      <c r="A232" s="339"/>
      <c r="B232" s="339"/>
      <c r="C232" s="340"/>
      <c r="D232" s="340"/>
      <c r="E232" s="441" t="s">
        <v>55</v>
      </c>
      <c r="F232" s="441" t="s">
        <v>4964</v>
      </c>
      <c r="G232" s="441" t="s">
        <v>329</v>
      </c>
      <c r="H232" s="441" t="s">
        <v>243</v>
      </c>
      <c r="I232" s="441"/>
      <c r="J232" s="157">
        <v>218</v>
      </c>
      <c r="K232" s="441"/>
      <c r="L232" s="441"/>
      <c r="M232" s="441"/>
      <c r="N232" s="441"/>
      <c r="O232" s="441"/>
      <c r="P232" s="441"/>
      <c r="Q232" s="441" t="s">
        <v>4928</v>
      </c>
    </row>
    <row r="233" spans="1:17" ht="12" customHeight="1">
      <c r="A233" s="339"/>
      <c r="B233" s="339"/>
      <c r="C233" s="340"/>
      <c r="D233" s="340"/>
      <c r="E233" s="441" t="s">
        <v>55</v>
      </c>
      <c r="F233" s="441" t="s">
        <v>4965</v>
      </c>
      <c r="G233" s="441" t="s">
        <v>329</v>
      </c>
      <c r="H233" s="441" t="s">
        <v>243</v>
      </c>
      <c r="I233" s="441"/>
      <c r="J233" s="157">
        <v>219</v>
      </c>
      <c r="K233" s="441"/>
      <c r="L233" s="441"/>
      <c r="M233" s="441"/>
      <c r="N233" s="441"/>
      <c r="O233" s="441"/>
      <c r="P233" s="441"/>
      <c r="Q233" s="441" t="s">
        <v>4928</v>
      </c>
    </row>
    <row r="234" spans="1:17" ht="12" customHeight="1">
      <c r="A234" s="339"/>
      <c r="B234" s="339"/>
      <c r="C234" s="340"/>
      <c r="D234" s="340"/>
      <c r="E234" s="441" t="s">
        <v>55</v>
      </c>
      <c r="F234" s="441" t="s">
        <v>4966</v>
      </c>
      <c r="G234" s="441" t="s">
        <v>329</v>
      </c>
      <c r="H234" s="441" t="s">
        <v>243</v>
      </c>
      <c r="I234" s="441"/>
      <c r="J234" s="157">
        <v>220</v>
      </c>
      <c r="K234" s="441"/>
      <c r="L234" s="441"/>
      <c r="M234" s="441"/>
      <c r="N234" s="441"/>
      <c r="O234" s="441"/>
      <c r="P234" s="441"/>
      <c r="Q234" s="441" t="s">
        <v>4967</v>
      </c>
    </row>
    <row r="235" spans="1:17" ht="12" customHeight="1">
      <c r="A235" s="339"/>
      <c r="B235" s="339"/>
      <c r="C235" s="340"/>
      <c r="D235" s="340"/>
      <c r="E235" s="441" t="s">
        <v>55</v>
      </c>
      <c r="F235" s="441" t="s">
        <v>4968</v>
      </c>
      <c r="G235" s="441" t="s">
        <v>329</v>
      </c>
      <c r="H235" s="441" t="s">
        <v>243</v>
      </c>
      <c r="I235" s="441"/>
      <c r="J235" s="157">
        <v>221</v>
      </c>
      <c r="K235" s="441"/>
      <c r="L235" s="441"/>
      <c r="M235" s="441"/>
      <c r="N235" s="441"/>
      <c r="O235" s="441"/>
      <c r="P235" s="441"/>
      <c r="Q235" s="441" t="s">
        <v>4967</v>
      </c>
    </row>
    <row r="236" spans="1:17" ht="12" customHeight="1">
      <c r="A236" s="339"/>
      <c r="B236" s="339"/>
      <c r="C236" s="340"/>
      <c r="D236" s="340"/>
      <c r="E236" s="441" t="s">
        <v>55</v>
      </c>
      <c r="F236" s="441" t="s">
        <v>4969</v>
      </c>
      <c r="G236" s="441" t="s">
        <v>329</v>
      </c>
      <c r="H236" s="441" t="s">
        <v>243</v>
      </c>
      <c r="I236" s="441"/>
      <c r="J236" s="157">
        <v>222</v>
      </c>
      <c r="K236" s="441"/>
      <c r="L236" s="441"/>
      <c r="M236" s="441"/>
      <c r="N236" s="441"/>
      <c r="O236" s="441"/>
      <c r="P236" s="441"/>
      <c r="Q236" s="441" t="s">
        <v>4967</v>
      </c>
    </row>
    <row r="237" spans="1:17" ht="12" customHeight="1">
      <c r="A237" s="339"/>
      <c r="B237" s="339"/>
      <c r="C237" s="340"/>
      <c r="D237" s="340"/>
      <c r="E237" s="441" t="s">
        <v>55</v>
      </c>
      <c r="F237" s="441" t="s">
        <v>4970</v>
      </c>
      <c r="G237" s="441" t="s">
        <v>329</v>
      </c>
      <c r="H237" s="441" t="s">
        <v>243</v>
      </c>
      <c r="I237" s="441"/>
      <c r="J237" s="157">
        <v>223</v>
      </c>
      <c r="K237" s="441"/>
      <c r="L237" s="441"/>
      <c r="M237" s="441"/>
      <c r="N237" s="441"/>
      <c r="O237" s="441"/>
      <c r="P237" s="441"/>
      <c r="Q237" s="441" t="s">
        <v>4967</v>
      </c>
    </row>
    <row r="238" spans="1:17" ht="12" customHeight="1">
      <c r="A238" s="339"/>
      <c r="B238" s="339"/>
      <c r="C238" s="340"/>
      <c r="D238" s="340"/>
      <c r="E238" s="441" t="s">
        <v>55</v>
      </c>
      <c r="F238" s="441" t="s">
        <v>4971</v>
      </c>
      <c r="G238" s="441" t="s">
        <v>329</v>
      </c>
      <c r="H238" s="441" t="s">
        <v>243</v>
      </c>
      <c r="I238" s="441"/>
      <c r="J238" s="157">
        <v>224</v>
      </c>
      <c r="K238" s="441"/>
      <c r="L238" s="441"/>
      <c r="M238" s="441"/>
      <c r="N238" s="441"/>
      <c r="O238" s="441"/>
      <c r="P238" s="441"/>
      <c r="Q238" s="441" t="s">
        <v>4967</v>
      </c>
    </row>
    <row r="239" spans="1:17" ht="12" customHeight="1">
      <c r="A239" s="339"/>
      <c r="B239" s="339"/>
      <c r="C239" s="340"/>
      <c r="D239" s="340"/>
      <c r="E239" s="441" t="s">
        <v>55</v>
      </c>
      <c r="F239" s="441" t="s">
        <v>4972</v>
      </c>
      <c r="G239" s="441" t="s">
        <v>329</v>
      </c>
      <c r="H239" s="441" t="s">
        <v>243</v>
      </c>
      <c r="I239" s="441"/>
      <c r="J239" s="157">
        <v>225</v>
      </c>
      <c r="K239" s="441"/>
      <c r="L239" s="441"/>
      <c r="M239" s="441"/>
      <c r="N239" s="441"/>
      <c r="O239" s="441"/>
      <c r="P239" s="441"/>
      <c r="Q239" s="441" t="s">
        <v>4967</v>
      </c>
    </row>
    <row r="240" spans="1:17" ht="12" customHeight="1">
      <c r="A240" s="339"/>
      <c r="B240" s="339"/>
      <c r="C240" s="340"/>
      <c r="D240" s="340"/>
      <c r="E240" s="441" t="s">
        <v>55</v>
      </c>
      <c r="F240" s="441" t="s">
        <v>4973</v>
      </c>
      <c r="G240" s="441" t="s">
        <v>329</v>
      </c>
      <c r="H240" s="441" t="s">
        <v>243</v>
      </c>
      <c r="I240" s="441"/>
      <c r="J240" s="157">
        <v>226</v>
      </c>
      <c r="K240" s="441"/>
      <c r="L240" s="441"/>
      <c r="M240" s="441"/>
      <c r="N240" s="441"/>
      <c r="O240" s="441"/>
      <c r="P240" s="441"/>
      <c r="Q240" s="441" t="s">
        <v>4974</v>
      </c>
    </row>
    <row r="241" spans="1:17" ht="12" customHeight="1">
      <c r="A241" s="339"/>
      <c r="B241" s="339"/>
      <c r="C241" s="340"/>
      <c r="D241" s="340"/>
      <c r="E241" s="441" t="s">
        <v>55</v>
      </c>
      <c r="F241" s="441" t="s">
        <v>4975</v>
      </c>
      <c r="G241" s="441" t="s">
        <v>329</v>
      </c>
      <c r="H241" s="441" t="s">
        <v>243</v>
      </c>
      <c r="I241" s="441"/>
      <c r="J241" s="157">
        <v>227</v>
      </c>
      <c r="K241" s="441"/>
      <c r="L241" s="441"/>
      <c r="M241" s="441"/>
      <c r="N241" s="441"/>
      <c r="O241" s="441"/>
      <c r="P241" s="441"/>
      <c r="Q241" s="441" t="s">
        <v>4974</v>
      </c>
    </row>
    <row r="242" spans="1:17" ht="12" customHeight="1">
      <c r="A242" s="339"/>
      <c r="B242" s="339"/>
      <c r="C242" s="340"/>
      <c r="D242" s="340"/>
      <c r="E242" s="441" t="s">
        <v>55</v>
      </c>
      <c r="F242" s="441" t="s">
        <v>4976</v>
      </c>
      <c r="G242" s="441" t="s">
        <v>329</v>
      </c>
      <c r="H242" s="441" t="s">
        <v>243</v>
      </c>
      <c r="I242" s="441"/>
      <c r="J242" s="157">
        <v>228</v>
      </c>
      <c r="K242" s="441"/>
      <c r="L242" s="441"/>
      <c r="M242" s="441"/>
      <c r="N242" s="441"/>
      <c r="O242" s="441"/>
      <c r="P242" s="441"/>
      <c r="Q242" s="441" t="s">
        <v>4974</v>
      </c>
    </row>
    <row r="243" spans="1:17" ht="12" customHeight="1">
      <c r="A243" s="339"/>
      <c r="B243" s="339"/>
      <c r="C243" s="340"/>
      <c r="D243" s="340"/>
      <c r="E243" s="441" t="s">
        <v>55</v>
      </c>
      <c r="F243" s="441" t="s">
        <v>4977</v>
      </c>
      <c r="G243" s="441" t="s">
        <v>329</v>
      </c>
      <c r="H243" s="441" t="s">
        <v>243</v>
      </c>
      <c r="I243" s="441"/>
      <c r="J243" s="157">
        <v>229</v>
      </c>
      <c r="K243" s="441"/>
      <c r="L243" s="441"/>
      <c r="M243" s="441"/>
      <c r="N243" s="441"/>
      <c r="O243" s="441"/>
      <c r="P243" s="441"/>
      <c r="Q243" s="441" t="s">
        <v>4974</v>
      </c>
    </row>
    <row r="244" spans="1:17" ht="12" customHeight="1">
      <c r="A244" s="339"/>
      <c r="B244" s="339"/>
      <c r="C244" s="340"/>
      <c r="D244" s="340"/>
      <c r="E244" s="441" t="s">
        <v>55</v>
      </c>
      <c r="F244" s="441" t="s">
        <v>4978</v>
      </c>
      <c r="G244" s="441" t="s">
        <v>329</v>
      </c>
      <c r="H244" s="441" t="s">
        <v>243</v>
      </c>
      <c r="I244" s="441"/>
      <c r="J244" s="157">
        <v>230</v>
      </c>
      <c r="K244" s="441"/>
      <c r="L244" s="441"/>
      <c r="M244" s="441"/>
      <c r="N244" s="441"/>
      <c r="O244" s="441"/>
      <c r="P244" s="441"/>
      <c r="Q244" s="441" t="s">
        <v>4974</v>
      </c>
    </row>
    <row r="245" spans="1:17" ht="12" customHeight="1">
      <c r="A245" s="339"/>
      <c r="B245" s="339"/>
      <c r="C245" s="340"/>
      <c r="D245" s="340"/>
      <c r="E245" s="441" t="s">
        <v>55</v>
      </c>
      <c r="F245" s="441" t="s">
        <v>4979</v>
      </c>
      <c r="G245" s="441" t="s">
        <v>329</v>
      </c>
      <c r="H245" s="441" t="s">
        <v>243</v>
      </c>
      <c r="I245" s="441"/>
      <c r="J245" s="157">
        <v>231</v>
      </c>
      <c r="K245" s="441"/>
      <c r="L245" s="441"/>
      <c r="M245" s="441"/>
      <c r="N245" s="441"/>
      <c r="O245" s="441"/>
      <c r="P245" s="441"/>
      <c r="Q245" s="441" t="s">
        <v>4974</v>
      </c>
    </row>
    <row r="246" spans="1:17" ht="12" customHeight="1">
      <c r="A246" s="339"/>
      <c r="B246" s="339"/>
      <c r="C246" s="340"/>
      <c r="D246" s="340"/>
      <c r="E246" s="441" t="s">
        <v>55</v>
      </c>
      <c r="F246" s="441" t="s">
        <v>4980</v>
      </c>
      <c r="G246" s="441" t="s">
        <v>329</v>
      </c>
      <c r="H246" s="441" t="s">
        <v>243</v>
      </c>
      <c r="I246" s="441"/>
      <c r="J246" s="157">
        <v>232</v>
      </c>
      <c r="K246" s="441"/>
      <c r="L246" s="441"/>
      <c r="M246" s="441"/>
      <c r="N246" s="441"/>
      <c r="O246" s="441"/>
      <c r="P246" s="441"/>
      <c r="Q246" s="441" t="s">
        <v>4974</v>
      </c>
    </row>
    <row r="247" spans="1:17" ht="12" customHeight="1">
      <c r="A247" s="339"/>
      <c r="B247" s="339"/>
      <c r="C247" s="340"/>
      <c r="D247" s="340"/>
      <c r="E247" s="441" t="s">
        <v>55</v>
      </c>
      <c r="F247" s="441" t="s">
        <v>4981</v>
      </c>
      <c r="G247" s="441" t="s">
        <v>329</v>
      </c>
      <c r="H247" s="441" t="s">
        <v>243</v>
      </c>
      <c r="I247" s="441"/>
      <c r="J247" s="157">
        <v>233</v>
      </c>
      <c r="K247" s="441"/>
      <c r="L247" s="441"/>
      <c r="M247" s="441"/>
      <c r="N247" s="441"/>
      <c r="O247" s="441"/>
      <c r="P247" s="441"/>
      <c r="Q247" s="441" t="s">
        <v>4974</v>
      </c>
    </row>
    <row r="248" spans="1:17" ht="12" customHeight="1">
      <c r="A248" s="339"/>
      <c r="B248" s="339"/>
      <c r="C248" s="340"/>
      <c r="D248" s="340"/>
      <c r="E248" s="441" t="s">
        <v>55</v>
      </c>
      <c r="F248" s="441" t="s">
        <v>4982</v>
      </c>
      <c r="G248" s="441" t="s">
        <v>329</v>
      </c>
      <c r="H248" s="441" t="s">
        <v>243</v>
      </c>
      <c r="I248" s="441"/>
      <c r="J248" s="157">
        <v>234</v>
      </c>
      <c r="K248" s="441"/>
      <c r="L248" s="441"/>
      <c r="M248" s="441"/>
      <c r="N248" s="441"/>
      <c r="O248" s="441"/>
      <c r="P248" s="441"/>
      <c r="Q248" s="441" t="s">
        <v>4974</v>
      </c>
    </row>
    <row r="249" spans="1:17" ht="12" customHeight="1">
      <c r="A249" s="339"/>
      <c r="B249" s="339"/>
      <c r="C249" s="340"/>
      <c r="D249" s="340"/>
      <c r="E249" s="441" t="s">
        <v>55</v>
      </c>
      <c r="F249" s="441" t="s">
        <v>4983</v>
      </c>
      <c r="G249" s="441" t="s">
        <v>329</v>
      </c>
      <c r="H249" s="441" t="s">
        <v>243</v>
      </c>
      <c r="I249" s="441"/>
      <c r="J249" s="157">
        <v>235</v>
      </c>
      <c r="K249" s="441"/>
      <c r="L249" s="441"/>
      <c r="M249" s="441"/>
      <c r="N249" s="441"/>
      <c r="O249" s="441"/>
      <c r="P249" s="441"/>
      <c r="Q249" s="441" t="s">
        <v>4974</v>
      </c>
    </row>
    <row r="250" spans="1:17" ht="12" customHeight="1">
      <c r="A250" s="339"/>
      <c r="B250" s="339"/>
      <c r="C250" s="340"/>
      <c r="D250" s="340"/>
      <c r="E250" s="441" t="s">
        <v>55</v>
      </c>
      <c r="F250" s="441" t="s">
        <v>4984</v>
      </c>
      <c r="G250" s="441" t="s">
        <v>329</v>
      </c>
      <c r="H250" s="441" t="s">
        <v>243</v>
      </c>
      <c r="I250" s="441"/>
      <c r="J250" s="157">
        <v>236</v>
      </c>
      <c r="K250" s="441"/>
      <c r="L250" s="441"/>
      <c r="M250" s="441"/>
      <c r="N250" s="441"/>
      <c r="O250" s="441"/>
      <c r="P250" s="441"/>
      <c r="Q250" s="441" t="s">
        <v>4974</v>
      </c>
    </row>
    <row r="251" spans="1:17" ht="12" customHeight="1">
      <c r="A251" s="339"/>
      <c r="B251" s="339"/>
      <c r="C251" s="340"/>
      <c r="D251" s="340"/>
      <c r="E251" s="441" t="s">
        <v>55</v>
      </c>
      <c r="F251" s="441" t="s">
        <v>4985</v>
      </c>
      <c r="G251" s="441" t="s">
        <v>329</v>
      </c>
      <c r="H251" s="441" t="s">
        <v>243</v>
      </c>
      <c r="I251" s="441"/>
      <c r="J251" s="157">
        <v>237</v>
      </c>
      <c r="K251" s="441"/>
      <c r="L251" s="441"/>
      <c r="M251" s="441"/>
      <c r="N251" s="441"/>
      <c r="O251" s="441"/>
      <c r="P251" s="441"/>
      <c r="Q251" s="441" t="s">
        <v>4974</v>
      </c>
    </row>
    <row r="252" spans="1:17" ht="12" customHeight="1">
      <c r="A252" s="339"/>
      <c r="B252" s="339"/>
      <c r="C252" s="340"/>
      <c r="D252" s="340"/>
      <c r="E252" s="441" t="s">
        <v>55</v>
      </c>
      <c r="F252" s="441" t="s">
        <v>4986</v>
      </c>
      <c r="G252" s="441" t="s">
        <v>329</v>
      </c>
      <c r="H252" s="441" t="s">
        <v>243</v>
      </c>
      <c r="I252" s="441"/>
      <c r="J252" s="157">
        <v>238</v>
      </c>
      <c r="K252" s="441"/>
      <c r="L252" s="441"/>
      <c r="M252" s="441"/>
      <c r="N252" s="441"/>
      <c r="O252" s="441"/>
      <c r="P252" s="441"/>
      <c r="Q252" s="441" t="s">
        <v>4967</v>
      </c>
    </row>
    <row r="253" spans="1:17" ht="12" customHeight="1">
      <c r="A253" s="339"/>
      <c r="B253" s="339"/>
      <c r="C253" s="340"/>
      <c r="D253" s="340"/>
      <c r="E253" s="441" t="s">
        <v>55</v>
      </c>
      <c r="F253" s="441" t="s">
        <v>4254</v>
      </c>
      <c r="G253" s="441" t="s">
        <v>329</v>
      </c>
      <c r="H253" s="441" t="s">
        <v>243</v>
      </c>
      <c r="I253" s="441"/>
      <c r="J253" s="157">
        <v>239</v>
      </c>
      <c r="K253" s="441"/>
      <c r="L253" s="441"/>
      <c r="M253" s="441"/>
      <c r="N253" s="441"/>
      <c r="O253" s="441"/>
      <c r="P253" s="441"/>
      <c r="Q253" s="441" t="s">
        <v>4967</v>
      </c>
    </row>
    <row r="254" spans="1:17" ht="12" customHeight="1">
      <c r="A254" s="339"/>
      <c r="B254" s="339"/>
      <c r="C254" s="340"/>
      <c r="D254" s="340"/>
      <c r="E254" s="441" t="s">
        <v>55</v>
      </c>
      <c r="F254" s="441" t="s">
        <v>4256</v>
      </c>
      <c r="G254" s="441" t="s">
        <v>329</v>
      </c>
      <c r="H254" s="441" t="s">
        <v>243</v>
      </c>
      <c r="I254" s="441"/>
      <c r="J254" s="157">
        <v>240</v>
      </c>
      <c r="K254" s="441"/>
      <c r="L254" s="441"/>
      <c r="M254" s="441"/>
      <c r="N254" s="441"/>
      <c r="O254" s="441"/>
      <c r="P254" s="441"/>
      <c r="Q254" s="441" t="s">
        <v>4967</v>
      </c>
    </row>
    <row r="255" spans="1:17" ht="12" customHeight="1">
      <c r="A255" s="339"/>
      <c r="B255" s="339"/>
      <c r="C255" s="340"/>
      <c r="D255" s="340"/>
      <c r="E255" s="441" t="s">
        <v>55</v>
      </c>
      <c r="F255" s="441" t="s">
        <v>4987</v>
      </c>
      <c r="G255" s="441" t="s">
        <v>329</v>
      </c>
      <c r="H255" s="441" t="s">
        <v>243</v>
      </c>
      <c r="I255" s="441"/>
      <c r="J255" s="157">
        <v>241</v>
      </c>
      <c r="K255" s="441"/>
      <c r="L255" s="441"/>
      <c r="M255" s="441"/>
      <c r="N255" s="441"/>
      <c r="O255" s="441"/>
      <c r="P255" s="441"/>
      <c r="Q255" s="441" t="s">
        <v>4988</v>
      </c>
    </row>
    <row r="256" spans="1:17" ht="12" customHeight="1">
      <c r="A256" s="339"/>
      <c r="B256" s="339"/>
      <c r="C256" s="340"/>
      <c r="D256" s="340"/>
      <c r="E256" s="441" t="s">
        <v>55</v>
      </c>
      <c r="F256" s="441" t="s">
        <v>4989</v>
      </c>
      <c r="G256" s="441" t="s">
        <v>329</v>
      </c>
      <c r="H256" s="441" t="s">
        <v>243</v>
      </c>
      <c r="I256" s="441"/>
      <c r="J256" s="157">
        <v>242</v>
      </c>
      <c r="K256" s="441"/>
      <c r="L256" s="441"/>
      <c r="M256" s="441"/>
      <c r="N256" s="441"/>
      <c r="O256" s="441"/>
      <c r="P256" s="441"/>
      <c r="Q256" s="441" t="s">
        <v>4988</v>
      </c>
    </row>
    <row r="257" spans="1:17" ht="12" customHeight="1">
      <c r="A257" s="339"/>
      <c r="B257" s="339"/>
      <c r="C257" s="340"/>
      <c r="D257" s="340"/>
      <c r="E257" s="441" t="s">
        <v>55</v>
      </c>
      <c r="F257" s="441" t="s">
        <v>4990</v>
      </c>
      <c r="G257" s="441" t="s">
        <v>329</v>
      </c>
      <c r="H257" s="441" t="s">
        <v>243</v>
      </c>
      <c r="I257" s="441"/>
      <c r="J257" s="157">
        <v>243</v>
      </c>
      <c r="K257" s="441"/>
      <c r="L257" s="441"/>
      <c r="M257" s="441"/>
      <c r="N257" s="441"/>
      <c r="O257" s="441"/>
      <c r="P257" s="441"/>
      <c r="Q257" s="441" t="s">
        <v>4988</v>
      </c>
    </row>
    <row r="258" spans="1:17" ht="12" customHeight="1">
      <c r="A258" s="339"/>
      <c r="B258" s="339"/>
      <c r="C258" s="340"/>
      <c r="D258" s="340"/>
      <c r="E258" s="441" t="s">
        <v>55</v>
      </c>
      <c r="F258" s="441" t="s">
        <v>4991</v>
      </c>
      <c r="G258" s="441" t="s">
        <v>329</v>
      </c>
      <c r="H258" s="441" t="s">
        <v>243</v>
      </c>
      <c r="I258" s="441"/>
      <c r="J258" s="157">
        <v>244</v>
      </c>
      <c r="K258" s="441"/>
      <c r="L258" s="441"/>
      <c r="M258" s="441"/>
      <c r="N258" s="441"/>
      <c r="O258" s="441"/>
      <c r="P258" s="441"/>
      <c r="Q258" s="441" t="s">
        <v>4988</v>
      </c>
    </row>
    <row r="259" spans="1:17" ht="12" customHeight="1">
      <c r="A259" s="339"/>
      <c r="B259" s="339"/>
      <c r="C259" s="340"/>
      <c r="D259" s="340"/>
      <c r="E259" s="441" t="s">
        <v>55</v>
      </c>
      <c r="F259" s="441" t="s">
        <v>4992</v>
      </c>
      <c r="G259" s="441" t="s">
        <v>329</v>
      </c>
      <c r="H259" s="441" t="s">
        <v>243</v>
      </c>
      <c r="I259" s="441"/>
      <c r="J259" s="157">
        <v>245</v>
      </c>
      <c r="K259" s="441"/>
      <c r="L259" s="441"/>
      <c r="M259" s="441"/>
      <c r="N259" s="441"/>
      <c r="O259" s="441"/>
      <c r="P259" s="441"/>
      <c r="Q259" s="441" t="s">
        <v>4988</v>
      </c>
    </row>
    <row r="260" spans="1:17" ht="12" customHeight="1">
      <c r="A260" s="339"/>
      <c r="B260" s="339"/>
      <c r="C260" s="340"/>
      <c r="D260" s="340"/>
      <c r="E260" s="441" t="s">
        <v>55</v>
      </c>
      <c r="F260" s="441" t="s">
        <v>4993</v>
      </c>
      <c r="G260" s="441" t="s">
        <v>329</v>
      </c>
      <c r="H260" s="441" t="s">
        <v>243</v>
      </c>
      <c r="I260" s="441"/>
      <c r="J260" s="157">
        <v>246</v>
      </c>
      <c r="K260" s="441"/>
      <c r="L260" s="441"/>
      <c r="M260" s="441"/>
      <c r="N260" s="441"/>
      <c r="O260" s="441"/>
      <c r="P260" s="441"/>
      <c r="Q260" s="441" t="s">
        <v>4988</v>
      </c>
    </row>
    <row r="261" spans="1:17" ht="12" customHeight="1">
      <c r="A261" s="339"/>
      <c r="B261" s="339"/>
      <c r="C261" s="340"/>
      <c r="D261" s="340"/>
      <c r="E261" s="441" t="s">
        <v>55</v>
      </c>
      <c r="F261" s="441" t="s">
        <v>4994</v>
      </c>
      <c r="G261" s="441" t="s">
        <v>329</v>
      </c>
      <c r="H261" s="441" t="s">
        <v>243</v>
      </c>
      <c r="I261" s="441"/>
      <c r="J261" s="157">
        <v>247</v>
      </c>
      <c r="K261" s="441"/>
      <c r="L261" s="441"/>
      <c r="M261" s="441"/>
      <c r="N261" s="441"/>
      <c r="O261" s="441"/>
      <c r="P261" s="441"/>
      <c r="Q261" s="441" t="s">
        <v>4988</v>
      </c>
    </row>
    <row r="262" spans="1:17" ht="12" customHeight="1">
      <c r="A262" s="339"/>
      <c r="B262" s="339"/>
      <c r="C262" s="340"/>
      <c r="D262" s="340"/>
      <c r="E262" s="441" t="s">
        <v>55</v>
      </c>
      <c r="F262" s="441" t="s">
        <v>4995</v>
      </c>
      <c r="G262" s="441" t="s">
        <v>329</v>
      </c>
      <c r="H262" s="441" t="s">
        <v>243</v>
      </c>
      <c r="I262" s="441"/>
      <c r="J262" s="157">
        <v>248</v>
      </c>
      <c r="K262" s="441"/>
      <c r="L262" s="441"/>
      <c r="M262" s="441"/>
      <c r="N262" s="441"/>
      <c r="O262" s="441"/>
      <c r="P262" s="441"/>
      <c r="Q262" s="441" t="s">
        <v>4988</v>
      </c>
    </row>
    <row r="263" spans="1:17" ht="12" customHeight="1">
      <c r="A263" s="339"/>
      <c r="B263" s="339"/>
      <c r="C263" s="340"/>
      <c r="D263" s="340"/>
      <c r="E263" s="441" t="s">
        <v>55</v>
      </c>
      <c r="F263" s="441" t="s">
        <v>4996</v>
      </c>
      <c r="G263" s="441" t="s">
        <v>329</v>
      </c>
      <c r="H263" s="441" t="s">
        <v>243</v>
      </c>
      <c r="I263" s="441"/>
      <c r="J263" s="157">
        <v>249</v>
      </c>
      <c r="K263" s="441"/>
      <c r="L263" s="441"/>
      <c r="M263" s="441"/>
      <c r="N263" s="441"/>
      <c r="O263" s="441"/>
      <c r="P263" s="441"/>
      <c r="Q263" s="441" t="s">
        <v>4988</v>
      </c>
    </row>
    <row r="264" spans="1:17" ht="12" customHeight="1">
      <c r="A264" s="339"/>
      <c r="B264" s="339"/>
      <c r="C264" s="340"/>
      <c r="D264" s="340"/>
      <c r="E264" s="441" t="s">
        <v>55</v>
      </c>
      <c r="F264" s="441" t="s">
        <v>4997</v>
      </c>
      <c r="G264" s="441" t="s">
        <v>329</v>
      </c>
      <c r="H264" s="441" t="s">
        <v>243</v>
      </c>
      <c r="I264" s="441"/>
      <c r="J264" s="157">
        <v>250</v>
      </c>
      <c r="K264" s="441"/>
      <c r="L264" s="441"/>
      <c r="M264" s="441"/>
      <c r="N264" s="441"/>
      <c r="O264" s="441"/>
      <c r="P264" s="441"/>
      <c r="Q264" s="441" t="s">
        <v>4988</v>
      </c>
    </row>
    <row r="265" spans="1:17" ht="12" customHeight="1">
      <c r="A265" s="339"/>
      <c r="B265" s="339"/>
      <c r="C265" s="340"/>
      <c r="D265" s="340"/>
      <c r="E265" s="441" t="s">
        <v>55</v>
      </c>
      <c r="F265" s="441" t="s">
        <v>4998</v>
      </c>
      <c r="G265" s="441" t="s">
        <v>329</v>
      </c>
      <c r="H265" s="441" t="s">
        <v>243</v>
      </c>
      <c r="I265" s="441"/>
      <c r="J265" s="157">
        <v>251</v>
      </c>
      <c r="K265" s="441"/>
      <c r="L265" s="441"/>
      <c r="M265" s="441"/>
      <c r="N265" s="441"/>
      <c r="O265" s="441"/>
      <c r="P265" s="441"/>
      <c r="Q265" s="441" t="s">
        <v>4988</v>
      </c>
    </row>
    <row r="266" spans="1:17" ht="12" customHeight="1">
      <c r="A266" s="339"/>
      <c r="B266" s="339"/>
      <c r="C266" s="340"/>
      <c r="D266" s="340"/>
      <c r="E266" s="441" t="s">
        <v>55</v>
      </c>
      <c r="F266" s="441" t="s">
        <v>4999</v>
      </c>
      <c r="G266" s="441" t="s">
        <v>329</v>
      </c>
      <c r="H266" s="441" t="s">
        <v>243</v>
      </c>
      <c r="I266" s="441"/>
      <c r="J266" s="157">
        <v>252</v>
      </c>
      <c r="K266" s="441"/>
      <c r="L266" s="441"/>
      <c r="M266" s="441"/>
      <c r="N266" s="441"/>
      <c r="O266" s="441"/>
      <c r="P266" s="441"/>
      <c r="Q266" s="441" t="s">
        <v>4988</v>
      </c>
    </row>
    <row r="267" spans="1:17" ht="12" customHeight="1">
      <c r="A267" s="339"/>
      <c r="B267" s="339"/>
      <c r="C267" s="340"/>
      <c r="D267" s="340"/>
      <c r="E267" s="441" t="s">
        <v>55</v>
      </c>
      <c r="F267" s="441" t="s">
        <v>4267</v>
      </c>
      <c r="G267" s="441" t="s">
        <v>329</v>
      </c>
      <c r="H267" s="441" t="s">
        <v>243</v>
      </c>
      <c r="I267" s="441"/>
      <c r="J267" s="157">
        <v>253</v>
      </c>
      <c r="K267" s="441"/>
      <c r="L267" s="441"/>
      <c r="M267" s="441"/>
      <c r="N267" s="441"/>
      <c r="O267" s="441"/>
      <c r="P267" s="441"/>
      <c r="Q267" s="441" t="s">
        <v>4967</v>
      </c>
    </row>
    <row r="268" spans="1:17" ht="12" customHeight="1">
      <c r="A268" s="339"/>
      <c r="B268" s="339"/>
      <c r="C268" s="340"/>
      <c r="D268" s="340"/>
      <c r="E268" s="441" t="s">
        <v>55</v>
      </c>
      <c r="F268" s="441" t="s">
        <v>5000</v>
      </c>
      <c r="G268" s="441" t="s">
        <v>329</v>
      </c>
      <c r="H268" s="441" t="s">
        <v>243</v>
      </c>
      <c r="I268" s="441"/>
      <c r="J268" s="157">
        <v>254</v>
      </c>
      <c r="K268" s="441"/>
      <c r="L268" s="441"/>
      <c r="M268" s="441"/>
      <c r="N268" s="441"/>
      <c r="O268" s="441"/>
      <c r="P268" s="441"/>
      <c r="Q268" s="441" t="s">
        <v>4967</v>
      </c>
    </row>
    <row r="269" spans="1:17" ht="12" customHeight="1">
      <c r="A269" s="339"/>
      <c r="B269" s="339"/>
      <c r="C269" s="340"/>
      <c r="D269" s="340"/>
      <c r="E269" s="441" t="s">
        <v>55</v>
      </c>
      <c r="F269" s="441" t="s">
        <v>4268</v>
      </c>
      <c r="G269" s="441" t="s">
        <v>329</v>
      </c>
      <c r="H269" s="441" t="s">
        <v>243</v>
      </c>
      <c r="I269" s="441"/>
      <c r="J269" s="157">
        <v>255</v>
      </c>
      <c r="K269" s="157">
        <v>1</v>
      </c>
      <c r="L269" s="441" t="s">
        <v>4736</v>
      </c>
      <c r="M269" s="459" t="s">
        <v>5001</v>
      </c>
      <c r="N269" s="441"/>
      <c r="O269" s="441"/>
      <c r="P269" s="441"/>
      <c r="Q269" s="441" t="s">
        <v>4967</v>
      </c>
    </row>
    <row r="270" spans="1:17" ht="12" customHeight="1">
      <c r="A270" s="339"/>
      <c r="B270" s="339"/>
      <c r="C270" s="340"/>
      <c r="D270" s="340"/>
      <c r="E270" s="441" t="s">
        <v>55</v>
      </c>
      <c r="F270" s="441" t="s">
        <v>5002</v>
      </c>
      <c r="G270" s="441" t="s">
        <v>329</v>
      </c>
      <c r="H270" s="441" t="s">
        <v>243</v>
      </c>
      <c r="I270" s="441"/>
      <c r="J270" s="157">
        <v>256</v>
      </c>
      <c r="K270" s="441"/>
      <c r="L270" s="441"/>
      <c r="M270" s="441"/>
      <c r="N270" s="441"/>
      <c r="O270" s="441"/>
      <c r="P270" s="441"/>
      <c r="Q270" s="441" t="s">
        <v>5003</v>
      </c>
    </row>
    <row r="271" spans="1:17" ht="12" customHeight="1">
      <c r="A271" s="339"/>
      <c r="B271" s="339"/>
      <c r="C271" s="340"/>
      <c r="D271" s="340"/>
      <c r="E271" s="441" t="s">
        <v>55</v>
      </c>
      <c r="F271" s="441" t="s">
        <v>5004</v>
      </c>
      <c r="G271" s="441" t="s">
        <v>329</v>
      </c>
      <c r="H271" s="441" t="s">
        <v>243</v>
      </c>
      <c r="I271" s="441"/>
      <c r="J271" s="157">
        <v>257</v>
      </c>
      <c r="K271" s="441"/>
      <c r="L271" s="441"/>
      <c r="M271" s="441"/>
      <c r="N271" s="441"/>
      <c r="O271" s="441"/>
      <c r="P271" s="441"/>
      <c r="Q271" s="441" t="s">
        <v>5003</v>
      </c>
    </row>
    <row r="272" spans="1:17" ht="12" customHeight="1">
      <c r="A272" s="339"/>
      <c r="B272" s="339"/>
      <c r="C272" s="340"/>
      <c r="D272" s="340"/>
      <c r="E272" s="441" t="s">
        <v>55</v>
      </c>
      <c r="F272" s="441" t="s">
        <v>5005</v>
      </c>
      <c r="G272" s="441" t="s">
        <v>329</v>
      </c>
      <c r="H272" s="441" t="s">
        <v>243</v>
      </c>
      <c r="I272" s="441"/>
      <c r="J272" s="157">
        <v>258</v>
      </c>
      <c r="K272" s="441"/>
      <c r="L272" s="441"/>
      <c r="M272" s="441"/>
      <c r="N272" s="441"/>
      <c r="O272" s="441"/>
      <c r="P272" s="441"/>
      <c r="Q272" s="441" t="s">
        <v>5003</v>
      </c>
    </row>
    <row r="273" spans="1:17" ht="12" customHeight="1">
      <c r="A273" s="339"/>
      <c r="B273" s="339"/>
      <c r="C273" s="340"/>
      <c r="D273" s="340"/>
      <c r="E273" s="441" t="s">
        <v>55</v>
      </c>
      <c r="F273" s="441" t="s">
        <v>5006</v>
      </c>
      <c r="G273" s="441" t="s">
        <v>329</v>
      </c>
      <c r="H273" s="441" t="s">
        <v>243</v>
      </c>
      <c r="I273" s="441"/>
      <c r="J273" s="157">
        <v>259</v>
      </c>
      <c r="K273" s="441"/>
      <c r="L273" s="441"/>
      <c r="M273" s="441"/>
      <c r="N273" s="441"/>
      <c r="O273" s="441"/>
      <c r="P273" s="441"/>
      <c r="Q273" s="441" t="s">
        <v>5003</v>
      </c>
    </row>
    <row r="274" spans="1:17" ht="12" customHeight="1">
      <c r="A274" s="339"/>
      <c r="B274" s="339"/>
      <c r="C274" s="340"/>
      <c r="D274" s="340"/>
      <c r="E274" s="441" t="s">
        <v>55</v>
      </c>
      <c r="F274" s="441" t="s">
        <v>5007</v>
      </c>
      <c r="G274" s="441" t="s">
        <v>329</v>
      </c>
      <c r="H274" s="441" t="s">
        <v>243</v>
      </c>
      <c r="I274" s="441"/>
      <c r="J274" s="157">
        <v>260</v>
      </c>
      <c r="K274" s="441"/>
      <c r="L274" s="441"/>
      <c r="M274" s="441"/>
      <c r="N274" s="441"/>
      <c r="O274" s="441"/>
      <c r="P274" s="441"/>
      <c r="Q274" s="441" t="s">
        <v>5003</v>
      </c>
    </row>
    <row r="275" spans="1:17" ht="12" customHeight="1">
      <c r="A275" s="339"/>
      <c r="B275" s="339"/>
      <c r="C275" s="340"/>
      <c r="D275" s="340"/>
      <c r="E275" s="441" t="s">
        <v>55</v>
      </c>
      <c r="F275" s="441" t="s">
        <v>5008</v>
      </c>
      <c r="G275" s="441" t="s">
        <v>329</v>
      </c>
      <c r="H275" s="441" t="s">
        <v>243</v>
      </c>
      <c r="I275" s="441"/>
      <c r="J275" s="157">
        <v>261</v>
      </c>
      <c r="K275" s="441"/>
      <c r="L275" s="441"/>
      <c r="M275" s="441"/>
      <c r="N275" s="441"/>
      <c r="O275" s="441"/>
      <c r="P275" s="441"/>
      <c r="Q275" s="441" t="s">
        <v>5003</v>
      </c>
    </row>
    <row r="276" spans="1:17" ht="12" customHeight="1">
      <c r="A276" s="339"/>
      <c r="B276" s="339"/>
      <c r="C276" s="340"/>
      <c r="D276" s="340"/>
      <c r="E276" s="441" t="s">
        <v>55</v>
      </c>
      <c r="F276" s="441" t="s">
        <v>5009</v>
      </c>
      <c r="G276" s="441" t="s">
        <v>329</v>
      </c>
      <c r="H276" s="441" t="s">
        <v>243</v>
      </c>
      <c r="I276" s="441"/>
      <c r="J276" s="157">
        <v>262</v>
      </c>
      <c r="K276" s="441"/>
      <c r="L276" s="441"/>
      <c r="M276" s="441"/>
      <c r="N276" s="441"/>
      <c r="O276" s="441"/>
      <c r="P276" s="441"/>
      <c r="Q276" s="441" t="s">
        <v>5003</v>
      </c>
    </row>
    <row r="277" spans="1:17" ht="12" customHeight="1">
      <c r="A277" s="339"/>
      <c r="B277" s="339"/>
      <c r="C277" s="340"/>
      <c r="D277" s="340"/>
      <c r="E277" s="441" t="s">
        <v>55</v>
      </c>
      <c r="F277" s="441" t="s">
        <v>5010</v>
      </c>
      <c r="G277" s="441" t="s">
        <v>329</v>
      </c>
      <c r="H277" s="441" t="s">
        <v>243</v>
      </c>
      <c r="I277" s="441"/>
      <c r="J277" s="157">
        <v>263</v>
      </c>
      <c r="K277" s="441"/>
      <c r="L277" s="441"/>
      <c r="M277" s="441"/>
      <c r="N277" s="441"/>
      <c r="O277" s="441"/>
      <c r="P277" s="441"/>
      <c r="Q277" s="441" t="s">
        <v>5003</v>
      </c>
    </row>
    <row r="278" spans="1:17" ht="12" customHeight="1">
      <c r="A278" s="339"/>
      <c r="B278" s="339"/>
      <c r="C278" s="340"/>
      <c r="D278" s="340"/>
      <c r="E278" s="441" t="s">
        <v>55</v>
      </c>
      <c r="F278" s="441" t="s">
        <v>5011</v>
      </c>
      <c r="G278" s="441" t="s">
        <v>329</v>
      </c>
      <c r="H278" s="441" t="s">
        <v>243</v>
      </c>
      <c r="I278" s="441"/>
      <c r="J278" s="157">
        <v>264</v>
      </c>
      <c r="K278" s="441"/>
      <c r="L278" s="441"/>
      <c r="M278" s="441"/>
      <c r="N278" s="441"/>
      <c r="O278" s="441"/>
      <c r="P278" s="441"/>
      <c r="Q278" s="441" t="s">
        <v>5003</v>
      </c>
    </row>
    <row r="279" spans="1:17" ht="12" customHeight="1">
      <c r="A279" s="339"/>
      <c r="B279" s="339"/>
      <c r="C279" s="340"/>
      <c r="D279" s="340"/>
      <c r="E279" s="441" t="s">
        <v>55</v>
      </c>
      <c r="F279" s="441" t="s">
        <v>5012</v>
      </c>
      <c r="G279" s="441" t="s">
        <v>329</v>
      </c>
      <c r="H279" s="441" t="s">
        <v>243</v>
      </c>
      <c r="I279" s="441"/>
      <c r="J279" s="157">
        <v>265</v>
      </c>
      <c r="K279" s="441"/>
      <c r="L279" s="441"/>
      <c r="M279" s="441"/>
      <c r="N279" s="441"/>
      <c r="O279" s="441"/>
      <c r="P279" s="441"/>
      <c r="Q279" s="441" t="s">
        <v>5003</v>
      </c>
    </row>
    <row r="280" spans="1:17" ht="12" customHeight="1">
      <c r="A280" s="339"/>
      <c r="B280" s="339"/>
      <c r="C280" s="340"/>
      <c r="D280" s="340"/>
      <c r="E280" s="441" t="s">
        <v>55</v>
      </c>
      <c r="F280" s="441" t="s">
        <v>5013</v>
      </c>
      <c r="G280" s="441" t="s">
        <v>329</v>
      </c>
      <c r="H280" s="441" t="s">
        <v>243</v>
      </c>
      <c r="I280" s="441"/>
      <c r="J280" s="157">
        <v>266</v>
      </c>
      <c r="K280" s="441"/>
      <c r="L280" s="441"/>
      <c r="M280" s="441"/>
      <c r="N280" s="441"/>
      <c r="O280" s="441"/>
      <c r="P280" s="441"/>
      <c r="Q280" s="441" t="s">
        <v>5003</v>
      </c>
    </row>
    <row r="281" spans="1:17" ht="12" customHeight="1">
      <c r="A281" s="339"/>
      <c r="B281" s="339"/>
      <c r="C281" s="340"/>
      <c r="D281" s="340"/>
      <c r="E281" s="441" t="s">
        <v>55</v>
      </c>
      <c r="F281" s="441" t="s">
        <v>5014</v>
      </c>
      <c r="G281" s="441" t="s">
        <v>329</v>
      </c>
      <c r="H281" s="441" t="s">
        <v>243</v>
      </c>
      <c r="I281" s="441"/>
      <c r="J281" s="157">
        <v>267</v>
      </c>
      <c r="K281" s="441"/>
      <c r="L281" s="441"/>
      <c r="M281" s="441"/>
      <c r="N281" s="441"/>
      <c r="O281" s="441"/>
      <c r="P281" s="441"/>
      <c r="Q281" s="441" t="s">
        <v>5003</v>
      </c>
    </row>
    <row r="282" spans="1:17" ht="12" customHeight="1">
      <c r="A282" s="339"/>
      <c r="B282" s="339"/>
      <c r="C282" s="340"/>
      <c r="D282" s="340"/>
      <c r="E282" s="441" t="s">
        <v>55</v>
      </c>
      <c r="F282" s="441" t="s">
        <v>870</v>
      </c>
      <c r="G282" s="441" t="s">
        <v>252</v>
      </c>
      <c r="H282" s="441" t="s">
        <v>243</v>
      </c>
      <c r="I282" s="441"/>
      <c r="J282" s="157">
        <v>268</v>
      </c>
      <c r="K282" s="441"/>
      <c r="L282" s="441"/>
      <c r="M282" s="441"/>
      <c r="N282" s="441"/>
      <c r="O282" s="441"/>
      <c r="P282" s="441"/>
      <c r="Q282" s="441" t="s">
        <v>5015</v>
      </c>
    </row>
    <row r="283" spans="1:17" ht="12" customHeight="1">
      <c r="A283" s="339"/>
      <c r="B283" s="339"/>
      <c r="C283" s="340"/>
      <c r="D283" s="340"/>
      <c r="E283" s="441" t="s">
        <v>55</v>
      </c>
      <c r="F283" s="441" t="s">
        <v>869</v>
      </c>
      <c r="G283" s="441" t="s">
        <v>252</v>
      </c>
      <c r="H283" s="441" t="s">
        <v>243</v>
      </c>
      <c r="I283" s="441"/>
      <c r="J283" s="157">
        <v>269</v>
      </c>
      <c r="K283" s="441"/>
      <c r="L283" s="441"/>
      <c r="M283" s="441"/>
      <c r="N283" s="441"/>
      <c r="O283" s="441"/>
      <c r="P283" s="441"/>
      <c r="Q283" s="441" t="s">
        <v>5016</v>
      </c>
    </row>
    <row r="284" spans="1:17" ht="12" customHeight="1">
      <c r="A284" s="339"/>
      <c r="B284" s="339"/>
      <c r="C284" s="340"/>
      <c r="D284" s="340"/>
      <c r="E284" s="441" t="s">
        <v>55</v>
      </c>
      <c r="F284" s="441" t="s">
        <v>5017</v>
      </c>
      <c r="G284" s="441" t="s">
        <v>329</v>
      </c>
      <c r="H284" s="441" t="s">
        <v>243</v>
      </c>
      <c r="I284" s="441"/>
      <c r="J284" s="157">
        <v>270</v>
      </c>
      <c r="K284" s="441"/>
      <c r="L284" s="441"/>
      <c r="M284" s="441"/>
      <c r="N284" s="441"/>
      <c r="O284" s="441"/>
      <c r="P284" s="441"/>
      <c r="Q284" s="441" t="s">
        <v>5018</v>
      </c>
    </row>
    <row r="285" spans="1:17" ht="12" customHeight="1">
      <c r="A285" s="339"/>
      <c r="B285" s="339"/>
      <c r="C285" s="340"/>
      <c r="D285" s="340"/>
      <c r="E285" s="441" t="s">
        <v>55</v>
      </c>
      <c r="F285" s="441" t="s">
        <v>5019</v>
      </c>
      <c r="G285" s="441" t="s">
        <v>329</v>
      </c>
      <c r="H285" s="441" t="s">
        <v>243</v>
      </c>
      <c r="I285" s="441"/>
      <c r="J285" s="157">
        <v>271</v>
      </c>
      <c r="K285" s="441"/>
      <c r="L285" s="441"/>
      <c r="M285" s="441"/>
      <c r="N285" s="441"/>
      <c r="O285" s="441"/>
      <c r="P285" s="441"/>
      <c r="Q285" s="441" t="s">
        <v>5020</v>
      </c>
    </row>
    <row r="286" spans="1:17" ht="12" customHeight="1">
      <c r="A286" s="339"/>
      <c r="B286" s="339"/>
      <c r="C286" s="340"/>
      <c r="D286" s="340"/>
      <c r="E286" s="441" t="s">
        <v>55</v>
      </c>
      <c r="F286" s="441" t="s">
        <v>5021</v>
      </c>
      <c r="G286" s="441" t="s">
        <v>329</v>
      </c>
      <c r="H286" s="441" t="s">
        <v>243</v>
      </c>
      <c r="I286" s="441"/>
      <c r="J286" s="157">
        <v>272</v>
      </c>
      <c r="K286" s="441"/>
      <c r="L286" s="441"/>
      <c r="M286" s="441"/>
      <c r="N286" s="441"/>
      <c r="O286" s="441"/>
      <c r="P286" s="441"/>
      <c r="Q286" s="441" t="s">
        <v>5020</v>
      </c>
    </row>
    <row r="287" spans="1:17" ht="12" customHeight="1">
      <c r="A287" s="339"/>
      <c r="B287" s="339"/>
      <c r="C287" s="340"/>
      <c r="D287" s="340"/>
      <c r="E287" s="441" t="s">
        <v>55</v>
      </c>
      <c r="F287" s="441" t="s">
        <v>5022</v>
      </c>
      <c r="G287" s="441" t="s">
        <v>329</v>
      </c>
      <c r="H287" s="441" t="s">
        <v>243</v>
      </c>
      <c r="I287" s="441"/>
      <c r="J287" s="157">
        <v>273</v>
      </c>
      <c r="K287" s="441"/>
      <c r="L287" s="441"/>
      <c r="M287" s="441"/>
      <c r="N287" s="441"/>
      <c r="O287" s="441"/>
      <c r="P287" s="441"/>
      <c r="Q287" s="441" t="s">
        <v>5020</v>
      </c>
    </row>
    <row r="288" spans="1:17" ht="12" customHeight="1">
      <c r="A288" s="339"/>
      <c r="B288" s="339"/>
      <c r="C288" s="340"/>
      <c r="D288" s="340"/>
      <c r="E288" s="441" t="s">
        <v>55</v>
      </c>
      <c r="F288" s="441" t="s">
        <v>5023</v>
      </c>
      <c r="G288" s="441" t="s">
        <v>329</v>
      </c>
      <c r="H288" s="441" t="s">
        <v>243</v>
      </c>
      <c r="I288" s="441"/>
      <c r="J288" s="157">
        <v>274</v>
      </c>
      <c r="K288" s="441"/>
      <c r="L288" s="441"/>
      <c r="M288" s="441"/>
      <c r="N288" s="441"/>
      <c r="O288" s="441"/>
      <c r="P288" s="441"/>
      <c r="Q288" s="441" t="s">
        <v>5020</v>
      </c>
    </row>
    <row r="289" spans="1:17" ht="12" customHeight="1">
      <c r="A289" s="339"/>
      <c r="B289" s="339"/>
      <c r="C289" s="340"/>
      <c r="D289" s="340"/>
      <c r="E289" s="441" t="s">
        <v>55</v>
      </c>
      <c r="F289" s="441" t="s">
        <v>5024</v>
      </c>
      <c r="G289" s="441" t="s">
        <v>329</v>
      </c>
      <c r="H289" s="441" t="s">
        <v>243</v>
      </c>
      <c r="I289" s="441"/>
      <c r="J289" s="157">
        <v>275</v>
      </c>
      <c r="K289" s="441"/>
      <c r="L289" s="441"/>
      <c r="M289" s="441"/>
      <c r="N289" s="441"/>
      <c r="O289" s="441"/>
      <c r="P289" s="441"/>
      <c r="Q289" s="441" t="s">
        <v>5020</v>
      </c>
    </row>
    <row r="290" spans="1:17" ht="12" customHeight="1">
      <c r="A290" s="339"/>
      <c r="B290" s="339"/>
      <c r="C290" s="340"/>
      <c r="D290" s="340"/>
      <c r="E290" s="441" t="s">
        <v>55</v>
      </c>
      <c r="F290" s="441" t="s">
        <v>5025</v>
      </c>
      <c r="G290" s="441" t="s">
        <v>329</v>
      </c>
      <c r="H290" s="441" t="s">
        <v>243</v>
      </c>
      <c r="I290" s="441"/>
      <c r="J290" s="157">
        <v>276</v>
      </c>
      <c r="K290" s="441"/>
      <c r="L290" s="441"/>
      <c r="M290" s="441"/>
      <c r="N290" s="441"/>
      <c r="O290" s="441"/>
      <c r="P290" s="441"/>
      <c r="Q290" s="441" t="s">
        <v>5020</v>
      </c>
    </row>
    <row r="291" spans="1:17" ht="12" customHeight="1">
      <c r="A291" s="339"/>
      <c r="B291" s="339"/>
      <c r="C291" s="340"/>
      <c r="D291" s="340"/>
      <c r="E291" s="441" t="s">
        <v>55</v>
      </c>
      <c r="F291" s="441" t="s">
        <v>5026</v>
      </c>
      <c r="G291" s="441" t="s">
        <v>329</v>
      </c>
      <c r="H291" s="441" t="s">
        <v>243</v>
      </c>
      <c r="I291" s="441"/>
      <c r="J291" s="157">
        <v>277</v>
      </c>
      <c r="K291" s="441"/>
      <c r="L291" s="441"/>
      <c r="M291" s="441"/>
      <c r="N291" s="441"/>
      <c r="O291" s="441"/>
      <c r="P291" s="441"/>
      <c r="Q291" s="441" t="s">
        <v>5020</v>
      </c>
    </row>
    <row r="292" spans="1:17" ht="12" customHeight="1">
      <c r="A292" s="339"/>
      <c r="B292" s="339"/>
      <c r="C292" s="340"/>
      <c r="D292" s="340"/>
      <c r="E292" s="441" t="s">
        <v>55</v>
      </c>
      <c r="F292" s="441" t="s">
        <v>5027</v>
      </c>
      <c r="G292" s="441" t="s">
        <v>329</v>
      </c>
      <c r="H292" s="441" t="s">
        <v>243</v>
      </c>
      <c r="I292" s="441"/>
      <c r="J292" s="157">
        <v>278</v>
      </c>
      <c r="K292" s="441"/>
      <c r="L292" s="441"/>
      <c r="M292" s="441"/>
      <c r="N292" s="441"/>
      <c r="O292" s="441"/>
      <c r="P292" s="441"/>
      <c r="Q292" s="441" t="s">
        <v>5020</v>
      </c>
    </row>
    <row r="293" spans="1:17" ht="12" customHeight="1">
      <c r="A293" s="339"/>
      <c r="B293" s="339"/>
      <c r="C293" s="340"/>
      <c r="D293" s="340"/>
      <c r="E293" s="441" t="s">
        <v>55</v>
      </c>
      <c r="F293" s="441" t="s">
        <v>5028</v>
      </c>
      <c r="G293" s="441" t="s">
        <v>329</v>
      </c>
      <c r="H293" s="441" t="s">
        <v>243</v>
      </c>
      <c r="I293" s="441"/>
      <c r="J293" s="157">
        <v>279</v>
      </c>
      <c r="K293" s="441"/>
      <c r="L293" s="441"/>
      <c r="M293" s="441"/>
      <c r="N293" s="441"/>
      <c r="O293" s="441"/>
      <c r="P293" s="441"/>
      <c r="Q293" s="441" t="s">
        <v>5020</v>
      </c>
    </row>
    <row r="294" spans="1:17" ht="12" customHeight="1">
      <c r="A294" s="339"/>
      <c r="B294" s="339"/>
      <c r="C294" s="340"/>
      <c r="D294" s="340"/>
      <c r="E294" s="441" t="s">
        <v>55</v>
      </c>
      <c r="F294" s="441" t="s">
        <v>5029</v>
      </c>
      <c r="G294" s="441" t="s">
        <v>329</v>
      </c>
      <c r="H294" s="441" t="s">
        <v>243</v>
      </c>
      <c r="I294" s="441"/>
      <c r="J294" s="157">
        <v>280</v>
      </c>
      <c r="K294" s="441"/>
      <c r="L294" s="441"/>
      <c r="M294" s="441"/>
      <c r="N294" s="441"/>
      <c r="O294" s="441"/>
      <c r="P294" s="441"/>
      <c r="Q294" s="441" t="s">
        <v>5020</v>
      </c>
    </row>
    <row r="295" spans="1:17" ht="12" customHeight="1">
      <c r="A295" s="339"/>
      <c r="B295" s="339"/>
      <c r="C295" s="340"/>
      <c r="D295" s="340"/>
      <c r="E295" s="441" t="s">
        <v>55</v>
      </c>
      <c r="F295" s="441" t="s">
        <v>5030</v>
      </c>
      <c r="G295" s="441" t="s">
        <v>329</v>
      </c>
      <c r="H295" s="441" t="s">
        <v>243</v>
      </c>
      <c r="I295" s="441"/>
      <c r="J295" s="157">
        <v>281</v>
      </c>
      <c r="K295" s="441"/>
      <c r="L295" s="441"/>
      <c r="M295" s="441"/>
      <c r="N295" s="441"/>
      <c r="O295" s="441"/>
      <c r="P295" s="441"/>
      <c r="Q295" s="441" t="s">
        <v>5020</v>
      </c>
    </row>
    <row r="296" spans="1:17" ht="12" customHeight="1">
      <c r="A296" s="339"/>
      <c r="B296" s="339"/>
      <c r="C296" s="340"/>
      <c r="D296" s="340"/>
      <c r="E296" s="441" t="s">
        <v>55</v>
      </c>
      <c r="F296" s="441" t="s">
        <v>5031</v>
      </c>
      <c r="G296" s="441" t="s">
        <v>329</v>
      </c>
      <c r="H296" s="441" t="s">
        <v>243</v>
      </c>
      <c r="I296" s="441"/>
      <c r="J296" s="157">
        <v>282</v>
      </c>
      <c r="K296" s="441"/>
      <c r="L296" s="441"/>
      <c r="M296" s="441"/>
      <c r="N296" s="441"/>
      <c r="O296" s="441"/>
      <c r="P296" s="441"/>
      <c r="Q296" s="441" t="s">
        <v>5020</v>
      </c>
    </row>
    <row r="297" spans="1:17" ht="12" customHeight="1">
      <c r="A297" s="339"/>
      <c r="B297" s="339"/>
      <c r="C297" s="340"/>
      <c r="D297" s="340"/>
      <c r="E297" s="441" t="s">
        <v>55</v>
      </c>
      <c r="F297" s="441" t="s">
        <v>400</v>
      </c>
      <c r="G297" s="441" t="s">
        <v>329</v>
      </c>
      <c r="H297" s="441" t="s">
        <v>243</v>
      </c>
      <c r="I297" s="441"/>
      <c r="J297" s="382">
        <v>295</v>
      </c>
      <c r="K297" s="441"/>
      <c r="L297" s="441"/>
      <c r="M297" s="441"/>
      <c r="N297" s="441"/>
      <c r="O297" s="441"/>
      <c r="P297" s="441"/>
      <c r="Q297" s="441" t="s">
        <v>5032</v>
      </c>
    </row>
    <row r="298" spans="1:17" ht="12" customHeight="1">
      <c r="A298" s="339"/>
      <c r="B298" s="339"/>
      <c r="C298" s="340"/>
      <c r="D298" s="340"/>
      <c r="E298" s="441" t="s">
        <v>55</v>
      </c>
      <c r="F298" s="441" t="s">
        <v>1812</v>
      </c>
      <c r="G298" s="441" t="s">
        <v>247</v>
      </c>
      <c r="H298" s="441" t="s">
        <v>243</v>
      </c>
      <c r="I298" s="441"/>
      <c r="J298" s="382">
        <v>296</v>
      </c>
      <c r="K298" s="441"/>
      <c r="L298" s="441"/>
      <c r="M298" s="441"/>
      <c r="N298" s="441"/>
      <c r="O298" s="441"/>
      <c r="P298" s="441"/>
      <c r="Q298" s="441" t="s">
        <v>5033</v>
      </c>
    </row>
    <row r="299" spans="1:17" ht="12" customHeight="1">
      <c r="A299" s="339"/>
      <c r="B299" s="339"/>
      <c r="C299" s="340"/>
      <c r="D299" s="340"/>
      <c r="E299" s="441" t="s">
        <v>55</v>
      </c>
      <c r="F299" s="441" t="s">
        <v>1815</v>
      </c>
      <c r="G299" s="441" t="s">
        <v>247</v>
      </c>
      <c r="H299" s="441" t="s">
        <v>243</v>
      </c>
      <c r="I299" s="441"/>
      <c r="J299" s="382">
        <v>297</v>
      </c>
      <c r="K299" s="441"/>
      <c r="L299" s="441"/>
      <c r="M299" s="441"/>
      <c r="N299" s="441"/>
      <c r="O299" s="441"/>
      <c r="P299" s="441"/>
      <c r="Q299" s="441" t="s">
        <v>5033</v>
      </c>
    </row>
    <row r="300" spans="1:17" ht="12" customHeight="1">
      <c r="A300" s="339"/>
      <c r="B300" s="339"/>
      <c r="C300" s="340"/>
      <c r="D300" s="340"/>
      <c r="E300" s="441" t="s">
        <v>55</v>
      </c>
      <c r="F300" s="441" t="s">
        <v>5034</v>
      </c>
      <c r="G300" s="441" t="s">
        <v>329</v>
      </c>
      <c r="H300" s="441" t="s">
        <v>243</v>
      </c>
      <c r="I300" s="441"/>
      <c r="J300" s="382">
        <v>298</v>
      </c>
      <c r="K300" s="441"/>
      <c r="L300" s="441"/>
      <c r="M300" s="441"/>
      <c r="N300" s="441"/>
      <c r="O300" s="441"/>
      <c r="P300" s="441"/>
      <c r="Q300" s="441" t="s">
        <v>5035</v>
      </c>
    </row>
    <row r="301" spans="1:17" ht="12" customHeight="1">
      <c r="A301" s="339"/>
      <c r="B301" s="339"/>
      <c r="C301" s="340"/>
      <c r="D301" s="340"/>
      <c r="E301" s="441" t="s">
        <v>55</v>
      </c>
      <c r="F301" s="441" t="s">
        <v>5036</v>
      </c>
      <c r="G301" s="441" t="s">
        <v>329</v>
      </c>
      <c r="H301" s="441" t="s">
        <v>243</v>
      </c>
      <c r="I301" s="441"/>
      <c r="J301" s="382">
        <v>299</v>
      </c>
      <c r="K301" s="441"/>
      <c r="L301" s="441"/>
      <c r="M301" s="441"/>
      <c r="N301" s="441"/>
      <c r="O301" s="441"/>
      <c r="P301" s="441"/>
      <c r="Q301" s="441" t="s">
        <v>5037</v>
      </c>
    </row>
    <row r="302" spans="1:17" ht="12" customHeight="1">
      <c r="A302" s="339"/>
      <c r="B302" s="339"/>
      <c r="C302" s="340"/>
      <c r="D302" s="340"/>
      <c r="E302" s="441" t="s">
        <v>55</v>
      </c>
      <c r="F302" s="441" t="s">
        <v>5038</v>
      </c>
      <c r="G302" s="441" t="s">
        <v>329</v>
      </c>
      <c r="H302" s="441" t="s">
        <v>243</v>
      </c>
      <c r="I302" s="441"/>
      <c r="J302" s="382">
        <v>300</v>
      </c>
      <c r="K302" s="441"/>
      <c r="L302" s="441"/>
      <c r="M302" s="441"/>
      <c r="N302" s="441"/>
      <c r="O302" s="441"/>
      <c r="P302" s="441"/>
      <c r="Q302" s="441" t="s">
        <v>5037</v>
      </c>
    </row>
    <row r="303" spans="1:17" ht="12" customHeight="1">
      <c r="A303" s="339"/>
      <c r="B303" s="339"/>
      <c r="C303" s="340"/>
      <c r="D303" s="340"/>
      <c r="E303" s="441" t="s">
        <v>55</v>
      </c>
      <c r="F303" s="441" t="s">
        <v>5039</v>
      </c>
      <c r="G303" s="441" t="s">
        <v>329</v>
      </c>
      <c r="H303" s="441" t="s">
        <v>243</v>
      </c>
      <c r="I303" s="441"/>
      <c r="J303" s="382">
        <v>301</v>
      </c>
      <c r="K303" s="441"/>
      <c r="L303" s="441"/>
      <c r="M303" s="441"/>
      <c r="N303" s="441"/>
      <c r="O303" s="441"/>
      <c r="P303" s="441"/>
      <c r="Q303" s="441" t="s">
        <v>5037</v>
      </c>
    </row>
    <row r="304" spans="1:17" ht="12" customHeight="1">
      <c r="A304" s="339"/>
      <c r="B304" s="339"/>
      <c r="C304" s="340"/>
      <c r="D304" s="340"/>
      <c r="E304" s="441" t="s">
        <v>55</v>
      </c>
      <c r="F304" s="441" t="s">
        <v>5040</v>
      </c>
      <c r="G304" s="441" t="s">
        <v>329</v>
      </c>
      <c r="H304" s="441" t="s">
        <v>243</v>
      </c>
      <c r="I304" s="441"/>
      <c r="J304" s="382">
        <v>302</v>
      </c>
      <c r="K304" s="441"/>
      <c r="L304" s="441"/>
      <c r="M304" s="441"/>
      <c r="N304" s="441"/>
      <c r="O304" s="441"/>
      <c r="P304" s="441"/>
      <c r="Q304" s="441" t="s">
        <v>5037</v>
      </c>
    </row>
    <row r="305" spans="1:17" ht="12" customHeight="1">
      <c r="A305" s="339"/>
      <c r="B305" s="339"/>
      <c r="C305" s="340"/>
      <c r="D305" s="340"/>
      <c r="E305" s="441" t="s">
        <v>55</v>
      </c>
      <c r="F305" s="441" t="s">
        <v>5041</v>
      </c>
      <c r="G305" s="441" t="s">
        <v>329</v>
      </c>
      <c r="H305" s="441" t="s">
        <v>243</v>
      </c>
      <c r="I305" s="441"/>
      <c r="J305" s="382">
        <v>303</v>
      </c>
      <c r="K305" s="441"/>
      <c r="L305" s="441"/>
      <c r="M305" s="441"/>
      <c r="N305" s="441"/>
      <c r="O305" s="441"/>
      <c r="P305" s="441"/>
      <c r="Q305" s="441" t="s">
        <v>5037</v>
      </c>
    </row>
    <row r="306" spans="1:17" ht="12" customHeight="1">
      <c r="A306" s="339"/>
      <c r="B306" s="339"/>
      <c r="C306" s="340"/>
      <c r="D306" s="340"/>
      <c r="E306" s="441" t="s">
        <v>55</v>
      </c>
      <c r="F306" s="441" t="s">
        <v>5042</v>
      </c>
      <c r="G306" s="441" t="s">
        <v>329</v>
      </c>
      <c r="H306" s="441" t="s">
        <v>243</v>
      </c>
      <c r="I306" s="441"/>
      <c r="J306" s="382">
        <v>304</v>
      </c>
      <c r="K306" s="441"/>
      <c r="L306" s="441"/>
      <c r="M306" s="441"/>
      <c r="N306" s="441"/>
      <c r="O306" s="441"/>
      <c r="P306" s="441"/>
      <c r="Q306" s="441" t="s">
        <v>5037</v>
      </c>
    </row>
    <row r="307" spans="1:17" ht="12" customHeight="1">
      <c r="A307" s="339"/>
      <c r="B307" s="339"/>
      <c r="C307" s="340"/>
      <c r="D307" s="340"/>
      <c r="E307" s="441" t="s">
        <v>55</v>
      </c>
      <c r="F307" s="441" t="s">
        <v>5043</v>
      </c>
      <c r="G307" s="441" t="s">
        <v>329</v>
      </c>
      <c r="H307" s="441" t="s">
        <v>243</v>
      </c>
      <c r="I307" s="441"/>
      <c r="J307" s="382">
        <v>305</v>
      </c>
      <c r="K307" s="441"/>
      <c r="L307" s="441"/>
      <c r="M307" s="441"/>
      <c r="N307" s="441"/>
      <c r="O307" s="441"/>
      <c r="P307" s="441"/>
      <c r="Q307" s="441" t="s">
        <v>5037</v>
      </c>
    </row>
    <row r="308" spans="1:17" ht="12" customHeight="1">
      <c r="A308" s="339"/>
      <c r="B308" s="339"/>
      <c r="C308" s="340"/>
      <c r="D308" s="340"/>
      <c r="E308" s="441" t="s">
        <v>55</v>
      </c>
      <c r="F308" s="441" t="s">
        <v>5044</v>
      </c>
      <c r="G308" s="441" t="s">
        <v>329</v>
      </c>
      <c r="H308" s="441" t="s">
        <v>243</v>
      </c>
      <c r="I308" s="441"/>
      <c r="J308" s="382">
        <v>306</v>
      </c>
      <c r="K308" s="441"/>
      <c r="L308" s="441"/>
      <c r="M308" s="441"/>
      <c r="N308" s="441"/>
      <c r="O308" s="441"/>
      <c r="P308" s="441"/>
      <c r="Q308" s="441" t="s">
        <v>5037</v>
      </c>
    </row>
    <row r="309" spans="1:17" ht="12" customHeight="1">
      <c r="A309" s="339"/>
      <c r="B309" s="339"/>
      <c r="C309" s="340"/>
      <c r="D309" s="340"/>
      <c r="E309" s="441" t="s">
        <v>55</v>
      </c>
      <c r="F309" s="441" t="s">
        <v>5045</v>
      </c>
      <c r="G309" s="441" t="s">
        <v>329</v>
      </c>
      <c r="H309" s="441" t="s">
        <v>243</v>
      </c>
      <c r="I309" s="441"/>
      <c r="J309" s="382">
        <v>307</v>
      </c>
      <c r="K309" s="441"/>
      <c r="L309" s="441"/>
      <c r="M309" s="441"/>
      <c r="N309" s="441"/>
      <c r="O309" s="441"/>
      <c r="P309" s="441"/>
      <c r="Q309" s="441" t="s">
        <v>5037</v>
      </c>
    </row>
    <row r="310" spans="1:17" ht="12" customHeight="1">
      <c r="A310" s="339"/>
      <c r="B310" s="339"/>
      <c r="C310" s="340"/>
      <c r="D310" s="340"/>
      <c r="E310" s="441" t="s">
        <v>55</v>
      </c>
      <c r="F310" s="441" t="s">
        <v>5046</v>
      </c>
      <c r="G310" s="441" t="s">
        <v>329</v>
      </c>
      <c r="H310" s="441" t="s">
        <v>243</v>
      </c>
      <c r="I310" s="441"/>
      <c r="J310" s="382">
        <v>308</v>
      </c>
      <c r="K310" s="441"/>
      <c r="L310" s="441"/>
      <c r="M310" s="441"/>
      <c r="N310" s="441"/>
      <c r="O310" s="441"/>
      <c r="P310" s="441"/>
      <c r="Q310" s="441" t="s">
        <v>5037</v>
      </c>
    </row>
    <row r="311" spans="1:17" ht="12" customHeight="1">
      <c r="A311" s="339"/>
      <c r="B311" s="339"/>
      <c r="C311" s="340"/>
      <c r="D311" s="340"/>
      <c r="E311" s="441" t="s">
        <v>55</v>
      </c>
      <c r="F311" s="441" t="s">
        <v>5047</v>
      </c>
      <c r="G311" s="441" t="s">
        <v>329</v>
      </c>
      <c r="H311" s="441" t="s">
        <v>243</v>
      </c>
      <c r="I311" s="441"/>
      <c r="J311" s="382">
        <v>309</v>
      </c>
      <c r="K311" s="441"/>
      <c r="L311" s="441"/>
      <c r="M311" s="441"/>
      <c r="N311" s="441"/>
      <c r="O311" s="441"/>
      <c r="P311" s="441"/>
      <c r="Q311" s="441" t="s">
        <v>5037</v>
      </c>
    </row>
    <row r="312" spans="1:17" ht="12" customHeight="1">
      <c r="A312" s="339"/>
      <c r="B312" s="339"/>
      <c r="C312" s="340"/>
      <c r="D312" s="340"/>
      <c r="E312" s="441" t="s">
        <v>55</v>
      </c>
      <c r="F312" s="441" t="s">
        <v>5048</v>
      </c>
      <c r="G312" s="441" t="s">
        <v>329</v>
      </c>
      <c r="H312" s="441" t="s">
        <v>243</v>
      </c>
      <c r="I312" s="441"/>
      <c r="J312" s="382">
        <v>310</v>
      </c>
      <c r="K312" s="441"/>
      <c r="L312" s="441"/>
      <c r="M312" s="441"/>
      <c r="N312" s="441"/>
      <c r="O312" s="441"/>
      <c r="P312" s="441"/>
      <c r="Q312" s="441" t="s">
        <v>5037</v>
      </c>
    </row>
    <row r="313" spans="1:17" ht="12" customHeight="1">
      <c r="A313" s="339"/>
      <c r="B313" s="339"/>
      <c r="C313" s="340"/>
      <c r="D313" s="340"/>
      <c r="E313" s="441" t="s">
        <v>55</v>
      </c>
      <c r="F313" s="441" t="s">
        <v>5049</v>
      </c>
      <c r="G313" s="441" t="s">
        <v>329</v>
      </c>
      <c r="H313" s="441" t="s">
        <v>243</v>
      </c>
      <c r="I313" s="441"/>
      <c r="J313" s="382">
        <v>311</v>
      </c>
      <c r="K313" s="441"/>
      <c r="L313" s="441"/>
      <c r="M313" s="441"/>
      <c r="N313" s="441"/>
      <c r="O313" s="441"/>
      <c r="P313" s="441"/>
      <c r="Q313" s="441" t="s">
        <v>5037</v>
      </c>
    </row>
    <row r="314" spans="1:17" ht="12" customHeight="1">
      <c r="A314" s="339"/>
      <c r="B314" s="339"/>
      <c r="C314" s="340"/>
      <c r="D314" s="340"/>
      <c r="E314" s="441" t="s">
        <v>61</v>
      </c>
      <c r="F314" s="441" t="s">
        <v>5050</v>
      </c>
      <c r="G314" s="441" t="s">
        <v>247</v>
      </c>
      <c r="H314" s="441" t="s">
        <v>243</v>
      </c>
      <c r="I314" s="441"/>
      <c r="J314" s="157">
        <v>27</v>
      </c>
      <c r="K314" s="157">
        <v>1</v>
      </c>
      <c r="L314" s="441"/>
      <c r="M314" s="441" t="s">
        <v>5051</v>
      </c>
      <c r="N314" s="459"/>
      <c r="O314" s="441"/>
      <c r="P314" s="441"/>
      <c r="Q314" s="441" t="s">
        <v>5052</v>
      </c>
    </row>
    <row r="315" spans="1:17" ht="12" customHeight="1">
      <c r="A315" s="339"/>
      <c r="B315" s="339"/>
      <c r="C315" s="340"/>
      <c r="D315" s="340"/>
      <c r="E315" s="441" t="s">
        <v>61</v>
      </c>
      <c r="F315" s="441" t="s">
        <v>5053</v>
      </c>
      <c r="G315" s="441" t="s">
        <v>264</v>
      </c>
      <c r="H315" s="441" t="s">
        <v>243</v>
      </c>
      <c r="I315" s="441"/>
      <c r="J315" s="157">
        <v>28</v>
      </c>
      <c r="K315" s="157">
        <v>1</v>
      </c>
      <c r="L315" s="441"/>
      <c r="M315" s="441" t="s">
        <v>5051</v>
      </c>
      <c r="N315" s="441"/>
      <c r="O315" s="441"/>
      <c r="P315" s="441"/>
      <c r="Q315" s="441" t="s">
        <v>5054</v>
      </c>
    </row>
    <row r="316" spans="1:17" ht="12" customHeight="1">
      <c r="A316" s="441"/>
      <c r="B316" s="441"/>
      <c r="C316" s="441"/>
      <c r="D316" s="441"/>
      <c r="E316" s="441"/>
      <c r="F316" s="441"/>
      <c r="G316" s="441"/>
      <c r="H316" s="441"/>
      <c r="I316" s="441"/>
      <c r="J316" s="441"/>
      <c r="K316" s="441"/>
      <c r="L316" s="441"/>
      <c r="M316" s="441"/>
      <c r="N316" s="441"/>
      <c r="O316" s="441"/>
      <c r="P316" s="441"/>
      <c r="Q316" s="441"/>
    </row>
    <row r="317" spans="1:17" ht="12" customHeight="1">
      <c r="A317" s="441"/>
      <c r="B317" s="441"/>
      <c r="C317" s="441"/>
      <c r="D317" s="441"/>
      <c r="E317" s="441"/>
      <c r="F317" s="441"/>
      <c r="G317" s="441"/>
      <c r="H317" s="441"/>
      <c r="I317" s="441"/>
      <c r="J317" s="441"/>
      <c r="K317" s="441"/>
      <c r="L317" s="441"/>
      <c r="M317" s="441"/>
      <c r="N317" s="441"/>
      <c r="O317" s="441"/>
      <c r="P317" s="441"/>
      <c r="Q317" s="441"/>
    </row>
    <row r="318" spans="1:17" ht="12" customHeight="1">
      <c r="A318" s="441"/>
      <c r="B318" s="441"/>
      <c r="C318" s="441"/>
      <c r="D318" s="441"/>
      <c r="E318" s="441"/>
      <c r="F318" s="441"/>
      <c r="G318" s="441"/>
      <c r="H318" s="441"/>
      <c r="I318" s="441"/>
      <c r="J318" s="441"/>
      <c r="K318" s="441"/>
      <c r="L318" s="441"/>
      <c r="M318" s="441"/>
      <c r="N318" s="441"/>
      <c r="O318" s="441"/>
      <c r="P318" s="441"/>
      <c r="Q318" s="441"/>
    </row>
    <row r="319" spans="1:17" ht="12" customHeight="1">
      <c r="A319" s="441"/>
      <c r="B319" s="441"/>
      <c r="C319" s="441"/>
      <c r="D319" s="441"/>
      <c r="E319" s="401"/>
      <c r="F319" s="401" t="s">
        <v>5055</v>
      </c>
      <c r="G319" s="401" t="s">
        <v>329</v>
      </c>
      <c r="H319" s="401" t="s">
        <v>243</v>
      </c>
      <c r="I319" s="401"/>
      <c r="J319" s="401"/>
      <c r="K319" s="402">
        <v>1</v>
      </c>
      <c r="L319" s="401" t="s">
        <v>4736</v>
      </c>
      <c r="M319" s="401" t="s">
        <v>5056</v>
      </c>
      <c r="N319" s="401"/>
      <c r="O319" s="401"/>
      <c r="P319" s="401"/>
      <c r="Q319" s="401" t="s">
        <v>5057</v>
      </c>
    </row>
    <row r="320" spans="1:17" ht="12" customHeight="1">
      <c r="A320" s="441"/>
      <c r="B320" s="441"/>
      <c r="C320" s="441"/>
      <c r="D320" s="441"/>
      <c r="E320" s="401"/>
      <c r="F320" s="401" t="s">
        <v>5058</v>
      </c>
      <c r="G320" s="401" t="s">
        <v>329</v>
      </c>
      <c r="H320" s="401" t="s">
        <v>243</v>
      </c>
      <c r="I320" s="401"/>
      <c r="J320" s="401"/>
      <c r="K320" s="402">
        <v>1</v>
      </c>
      <c r="L320" s="401" t="s">
        <v>4736</v>
      </c>
      <c r="M320" s="401" t="s">
        <v>5059</v>
      </c>
      <c r="N320" s="401"/>
      <c r="O320" s="401"/>
      <c r="P320" s="401"/>
      <c r="Q320" s="401" t="s">
        <v>5060</v>
      </c>
    </row>
    <row r="321" spans="5:17" ht="12" customHeight="1">
      <c r="E321" s="401"/>
      <c r="F321" s="401" t="s">
        <v>5061</v>
      </c>
      <c r="G321" s="401" t="s">
        <v>329</v>
      </c>
      <c r="H321" s="401" t="s">
        <v>243</v>
      </c>
      <c r="I321" s="401"/>
      <c r="J321" s="401"/>
      <c r="K321" s="402">
        <v>1</v>
      </c>
      <c r="L321" s="401" t="s">
        <v>4736</v>
      </c>
      <c r="M321" s="401" t="s">
        <v>5062</v>
      </c>
      <c r="N321" s="401"/>
      <c r="O321" s="401"/>
      <c r="P321" s="401"/>
      <c r="Q321" s="401" t="s">
        <v>5063</v>
      </c>
    </row>
    <row r="322" spans="5:17" ht="12" customHeight="1">
      <c r="E322" s="401"/>
      <c r="F322" s="401" t="s">
        <v>5064</v>
      </c>
      <c r="G322" s="401" t="s">
        <v>329</v>
      </c>
      <c r="H322" s="401" t="s">
        <v>243</v>
      </c>
      <c r="I322" s="401"/>
      <c r="J322" s="401"/>
      <c r="K322" s="402">
        <v>1</v>
      </c>
      <c r="L322" s="401" t="s">
        <v>4736</v>
      </c>
      <c r="M322" s="401" t="s">
        <v>5065</v>
      </c>
      <c r="N322" s="401"/>
      <c r="O322" s="401"/>
      <c r="P322" s="401"/>
      <c r="Q322" s="401" t="s">
        <v>5066</v>
      </c>
    </row>
    <row r="323" spans="5:17" ht="12" customHeight="1">
      <c r="E323" s="401"/>
      <c r="F323" s="401" t="s">
        <v>5067</v>
      </c>
      <c r="G323" s="401" t="s">
        <v>329</v>
      </c>
      <c r="H323" s="401" t="s">
        <v>243</v>
      </c>
      <c r="I323" s="401"/>
      <c r="J323" s="401"/>
      <c r="K323" s="402">
        <v>1</v>
      </c>
      <c r="L323" s="401" t="s">
        <v>4736</v>
      </c>
      <c r="M323" s="401" t="s">
        <v>5068</v>
      </c>
      <c r="N323" s="401"/>
      <c r="O323" s="401"/>
      <c r="P323" s="401"/>
      <c r="Q323" s="401" t="s">
        <v>5069</v>
      </c>
    </row>
    <row r="324" spans="5:17" ht="12" customHeight="1">
      <c r="E324" s="401"/>
      <c r="F324" s="401" t="s">
        <v>5070</v>
      </c>
      <c r="G324" s="401" t="s">
        <v>329</v>
      </c>
      <c r="H324" s="401" t="s">
        <v>243</v>
      </c>
      <c r="I324" s="401"/>
      <c r="J324" s="401"/>
      <c r="K324" s="402">
        <v>1</v>
      </c>
      <c r="L324" s="401" t="s">
        <v>4736</v>
      </c>
      <c r="M324" s="403" t="s">
        <v>5071</v>
      </c>
      <c r="N324" s="401"/>
      <c r="O324" s="401"/>
      <c r="P324" s="401"/>
      <c r="Q324" s="401" t="s">
        <v>5072</v>
      </c>
    </row>
    <row r="325" spans="5:17" ht="12" customHeight="1">
      <c r="E325" s="441" t="s">
        <v>55</v>
      </c>
      <c r="F325" s="441" t="s">
        <v>5073</v>
      </c>
      <c r="G325" s="441" t="s">
        <v>535</v>
      </c>
      <c r="H325" s="441" t="s">
        <v>243</v>
      </c>
      <c r="I325" s="441"/>
      <c r="J325" s="441"/>
      <c r="K325" s="441"/>
      <c r="L325" s="441"/>
      <c r="M325" s="441"/>
      <c r="N325" s="441"/>
      <c r="O325" s="441"/>
      <c r="P325" s="441"/>
      <c r="Q325" s="441" t="s">
        <v>5074</v>
      </c>
    </row>
    <row r="326" spans="5:17" ht="12" customHeight="1">
      <c r="E326" s="441" t="s">
        <v>55</v>
      </c>
      <c r="F326" s="441" t="s">
        <v>5075</v>
      </c>
      <c r="G326" s="441" t="s">
        <v>329</v>
      </c>
      <c r="H326" s="441" t="s">
        <v>243</v>
      </c>
      <c r="I326" s="441"/>
      <c r="J326" s="441"/>
      <c r="K326" s="441"/>
      <c r="L326" s="441"/>
      <c r="M326" s="441"/>
      <c r="N326" s="441"/>
      <c r="O326" s="441"/>
      <c r="P326" s="441"/>
      <c r="Q326" s="441" t="s">
        <v>5076</v>
      </c>
    </row>
    <row r="327" spans="5:17" ht="12" customHeight="1">
      <c r="E327" s="441" t="s">
        <v>55</v>
      </c>
      <c r="F327" s="441" t="s">
        <v>5077</v>
      </c>
      <c r="G327" s="441" t="s">
        <v>329</v>
      </c>
      <c r="H327" s="441" t="s">
        <v>243</v>
      </c>
      <c r="I327" s="441"/>
      <c r="J327" s="441"/>
      <c r="K327" s="441"/>
      <c r="L327" s="441"/>
      <c r="M327" s="441"/>
      <c r="N327" s="441"/>
      <c r="O327" s="441"/>
      <c r="P327" s="441"/>
      <c r="Q327" s="441" t="s">
        <v>5076</v>
      </c>
    </row>
    <row r="328" spans="5:17" ht="12" customHeight="1">
      <c r="E328" s="441" t="s">
        <v>55</v>
      </c>
      <c r="F328" s="441" t="s">
        <v>5078</v>
      </c>
      <c r="G328" s="441" t="s">
        <v>329</v>
      </c>
      <c r="H328" s="441" t="s">
        <v>243</v>
      </c>
      <c r="I328" s="441"/>
      <c r="J328" s="441"/>
      <c r="K328" s="441"/>
      <c r="L328" s="441"/>
      <c r="M328" s="441"/>
      <c r="N328" s="441"/>
      <c r="P328" s="441"/>
      <c r="Q328" s="441" t="s">
        <v>5076</v>
      </c>
    </row>
    <row r="329" spans="5:17" ht="12" customHeight="1">
      <c r="E329" s="441" t="s">
        <v>55</v>
      </c>
      <c r="F329" s="441" t="s">
        <v>5079</v>
      </c>
      <c r="G329" s="441" t="s">
        <v>329</v>
      </c>
      <c r="H329" s="441" t="s">
        <v>243</v>
      </c>
      <c r="I329" s="441"/>
      <c r="J329" s="441"/>
      <c r="K329" s="441"/>
      <c r="L329" s="441"/>
      <c r="M329" s="441"/>
      <c r="N329" s="441"/>
      <c r="P329" s="441"/>
      <c r="Q329" s="441" t="s">
        <v>5076</v>
      </c>
    </row>
  </sheetData>
  <autoFilter ref="E3:Q315" xr:uid="{00000000-0009-0000-0000-00002A000000}"/>
  <pageMargins left="0.7" right="0.7" top="0.75" bottom="0.75" header="0" footer="0"/>
  <pageSetup orientation="landscape"/>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R21"/>
  <sheetViews>
    <sheetView topLeftCell="E1" workbookViewId="0"/>
  </sheetViews>
  <sheetFormatPr defaultColWidth="14.453125" defaultRowHeight="15" customHeight="1"/>
  <cols>
    <col min="1" max="4" width="10.7265625" hidden="1" customWidth="1"/>
    <col min="5" max="5" width="15.26953125" customWidth="1"/>
    <col min="6" max="6" width="45.7265625" customWidth="1"/>
    <col min="7" max="7" width="18.453125" customWidth="1"/>
    <col min="8" max="8" width="8.7265625" customWidth="1"/>
    <col min="9" max="9" width="12" customWidth="1"/>
    <col min="10" max="10" width="5.26953125" customWidth="1"/>
    <col min="11" max="11" width="21.7265625" customWidth="1"/>
    <col min="12" max="12" width="21.1796875" customWidth="1"/>
    <col min="13" max="13" width="18" customWidth="1"/>
    <col min="14" max="14" width="42.26953125" customWidth="1"/>
    <col min="15" max="15" width="25.1796875" customWidth="1"/>
    <col min="16" max="16" width="16.7265625" customWidth="1"/>
    <col min="17" max="17" width="5" customWidth="1"/>
    <col min="18" max="18" width="28.1796875" customWidth="1"/>
    <col min="19" max="27" width="10.7265625" customWidth="1"/>
  </cols>
  <sheetData>
    <row r="1" spans="5:18" ht="12.75" customHeight="1">
      <c r="E1" t="s">
        <v>5080</v>
      </c>
    </row>
    <row r="2" spans="5:18" ht="12.75" customHeight="1"/>
    <row r="3" spans="5:18" ht="12.75" customHeight="1">
      <c r="E3" s="158" t="s">
        <v>3009</v>
      </c>
      <c r="K3" s="404"/>
      <c r="L3" s="405" t="s">
        <v>107</v>
      </c>
      <c r="M3" s="404"/>
    </row>
    <row r="4" spans="5:18" ht="33.75" customHeight="1">
      <c r="E4" s="406" t="s">
        <v>224</v>
      </c>
      <c r="F4" s="406" t="s">
        <v>225</v>
      </c>
      <c r="G4" s="406" t="s">
        <v>226</v>
      </c>
      <c r="H4" s="406" t="s">
        <v>227</v>
      </c>
      <c r="I4" s="406" t="s">
        <v>1044</v>
      </c>
      <c r="J4" s="406" t="s">
        <v>1045</v>
      </c>
      <c r="K4" s="159" t="s">
        <v>1891</v>
      </c>
      <c r="L4" s="159" t="s">
        <v>3111</v>
      </c>
      <c r="M4" s="159" t="s">
        <v>109</v>
      </c>
      <c r="N4" s="160" t="s">
        <v>5081</v>
      </c>
      <c r="O4" s="406" t="s">
        <v>110</v>
      </c>
      <c r="P4" s="406" t="s">
        <v>112</v>
      </c>
      <c r="Q4" s="406" t="s">
        <v>111</v>
      </c>
      <c r="R4" s="406" t="s">
        <v>113</v>
      </c>
    </row>
    <row r="5" spans="5:18" ht="12.75" customHeight="1">
      <c r="E5" s="123" t="s">
        <v>53</v>
      </c>
      <c r="F5" t="s">
        <v>123</v>
      </c>
      <c r="G5" t="s">
        <v>535</v>
      </c>
      <c r="H5" t="s">
        <v>243</v>
      </c>
      <c r="J5">
        <v>294</v>
      </c>
      <c r="M5" t="s">
        <v>5082</v>
      </c>
      <c r="N5" s="407"/>
      <c r="R5" s="123" t="s">
        <v>1190</v>
      </c>
    </row>
    <row r="6" spans="5:18" ht="12.75" customHeight="1">
      <c r="E6" s="123" t="s">
        <v>55</v>
      </c>
      <c r="F6" t="s">
        <v>4738</v>
      </c>
      <c r="G6" t="s">
        <v>264</v>
      </c>
      <c r="H6" t="s">
        <v>243</v>
      </c>
      <c r="J6">
        <v>288</v>
      </c>
      <c r="L6" t="s">
        <v>5083</v>
      </c>
      <c r="M6" s="123" t="s">
        <v>5084</v>
      </c>
      <c r="N6" s="408" t="s">
        <v>5084</v>
      </c>
      <c r="P6" t="s">
        <v>81</v>
      </c>
      <c r="R6" s="123" t="s">
        <v>1190</v>
      </c>
    </row>
    <row r="7" spans="5:18" ht="12.75" customHeight="1">
      <c r="E7" s="123" t="s">
        <v>55</v>
      </c>
      <c r="F7" t="s">
        <v>4739</v>
      </c>
      <c r="G7" t="s">
        <v>535</v>
      </c>
      <c r="H7" t="s">
        <v>243</v>
      </c>
      <c r="J7">
        <v>289</v>
      </c>
      <c r="M7" s="123"/>
      <c r="N7" s="409" t="s">
        <v>5085</v>
      </c>
      <c r="O7" s="161" t="s">
        <v>5086</v>
      </c>
      <c r="R7" s="123" t="s">
        <v>1190</v>
      </c>
    </row>
    <row r="8" spans="5:18" ht="12.75" customHeight="1">
      <c r="E8" s="123" t="s">
        <v>55</v>
      </c>
      <c r="F8" t="s">
        <v>4740</v>
      </c>
      <c r="G8" t="s">
        <v>247</v>
      </c>
      <c r="H8" t="s">
        <v>243</v>
      </c>
      <c r="J8">
        <v>290</v>
      </c>
      <c r="N8" s="407" t="s">
        <v>5087</v>
      </c>
      <c r="O8" t="s">
        <v>5088</v>
      </c>
      <c r="P8" s="162" t="s">
        <v>5089</v>
      </c>
      <c r="R8" s="123" t="s">
        <v>1190</v>
      </c>
    </row>
    <row r="9" spans="5:18" ht="12.75" customHeight="1">
      <c r="E9" s="123" t="s">
        <v>55</v>
      </c>
      <c r="F9" s="123" t="s">
        <v>870</v>
      </c>
      <c r="G9" s="123" t="s">
        <v>252</v>
      </c>
      <c r="H9" s="123" t="s">
        <v>243</v>
      </c>
      <c r="I9" s="123"/>
      <c r="J9" s="123">
        <v>268</v>
      </c>
      <c r="K9" s="123"/>
      <c r="M9" s="123"/>
      <c r="N9" s="408" t="s">
        <v>1925</v>
      </c>
      <c r="O9" s="123"/>
      <c r="P9" s="39">
        <v>42247</v>
      </c>
      <c r="Q9" s="123"/>
      <c r="R9" s="123" t="s">
        <v>5015</v>
      </c>
    </row>
    <row r="10" spans="5:18" ht="12.75" customHeight="1">
      <c r="E10" s="123" t="s">
        <v>55</v>
      </c>
      <c r="F10" s="123" t="s">
        <v>5017</v>
      </c>
      <c r="G10" s="123" t="s">
        <v>329</v>
      </c>
      <c r="H10" s="123" t="s">
        <v>243</v>
      </c>
      <c r="I10" s="123"/>
      <c r="J10" s="123">
        <v>270</v>
      </c>
      <c r="K10" s="123"/>
      <c r="M10" s="123"/>
      <c r="N10" s="408" t="s">
        <v>5090</v>
      </c>
      <c r="P10" s="163">
        <v>0.05</v>
      </c>
      <c r="Q10" s="123"/>
      <c r="R10" s="123" t="s">
        <v>5018</v>
      </c>
    </row>
    <row r="11" spans="5:18" ht="12.75" customHeight="1">
      <c r="E11" s="123" t="s">
        <v>55</v>
      </c>
      <c r="F11" s="123" t="s">
        <v>1812</v>
      </c>
      <c r="G11" s="123" t="s">
        <v>247</v>
      </c>
      <c r="H11" t="s">
        <v>243</v>
      </c>
      <c r="J11">
        <v>296</v>
      </c>
      <c r="N11" s="407" t="s">
        <v>5091</v>
      </c>
      <c r="P11" t="s">
        <v>5092</v>
      </c>
      <c r="R11" t="s">
        <v>5033</v>
      </c>
    </row>
    <row r="12" spans="5:18" ht="12.75" customHeight="1">
      <c r="E12" s="123" t="s">
        <v>55</v>
      </c>
      <c r="F12" s="123" t="s">
        <v>1815</v>
      </c>
      <c r="G12" s="123" t="s">
        <v>247</v>
      </c>
      <c r="H12" t="s">
        <v>243</v>
      </c>
      <c r="J12">
        <v>297</v>
      </c>
      <c r="N12" s="410" t="s">
        <v>5093</v>
      </c>
      <c r="R12" t="s">
        <v>5033</v>
      </c>
    </row>
    <row r="13" spans="5:18" ht="12.75" customHeight="1">
      <c r="E13" s="123" t="s">
        <v>61</v>
      </c>
      <c r="F13" s="123" t="s">
        <v>5050</v>
      </c>
      <c r="G13" s="123" t="s">
        <v>247</v>
      </c>
      <c r="H13" s="123" t="s">
        <v>243</v>
      </c>
      <c r="I13" s="123"/>
      <c r="J13" s="123">
        <v>27</v>
      </c>
      <c r="N13" s="407" t="s">
        <v>2572</v>
      </c>
      <c r="P13" t="s">
        <v>5094</v>
      </c>
      <c r="Q13" s="123"/>
      <c r="R13" s="123" t="s">
        <v>5052</v>
      </c>
    </row>
    <row r="14" spans="5:18" ht="12.75" customHeight="1">
      <c r="E14" s="123" t="s">
        <v>61</v>
      </c>
      <c r="F14" s="123" t="s">
        <v>5053</v>
      </c>
      <c r="G14" s="123" t="s">
        <v>264</v>
      </c>
      <c r="H14" s="123" t="s">
        <v>243</v>
      </c>
      <c r="I14" s="123"/>
      <c r="J14" s="123">
        <v>28</v>
      </c>
      <c r="L14" t="s">
        <v>5083</v>
      </c>
      <c r="M14" t="s">
        <v>5095</v>
      </c>
      <c r="N14" s="407" t="s">
        <v>5095</v>
      </c>
      <c r="P14" t="s">
        <v>5095</v>
      </c>
      <c r="Q14" s="123"/>
      <c r="R14" s="123" t="s">
        <v>5054</v>
      </c>
    </row>
    <row r="19" spans="5:7" ht="45.75" customHeight="1">
      <c r="E19" s="707" t="s">
        <v>5096</v>
      </c>
      <c r="F19" s="692"/>
      <c r="G19" s="692"/>
    </row>
    <row r="20" spans="5:7" ht="12.75" customHeight="1"/>
    <row r="21" spans="5:7" ht="12.75" customHeight="1">
      <c r="E21" t="s">
        <v>5097</v>
      </c>
    </row>
  </sheetData>
  <mergeCells count="1">
    <mergeCell ref="E19:G19"/>
  </mergeCells>
  <pageMargins left="0.7" right="0.7" top="0.75" bottom="0.75" header="0" footer="0"/>
  <pageSetup orientation="landscape"/>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outlinePr summaryBelow="0" summaryRight="0"/>
  </sheetPr>
  <dimension ref="A1:T20"/>
  <sheetViews>
    <sheetView topLeftCell="E1" workbookViewId="0"/>
  </sheetViews>
  <sheetFormatPr defaultColWidth="14.453125" defaultRowHeight="15" customHeight="1"/>
  <cols>
    <col min="1" max="4" width="0.1796875" hidden="1" customWidth="1"/>
    <col min="5" max="5" width="24.453125" customWidth="1"/>
    <col min="6" max="6" width="29.7265625" customWidth="1"/>
    <col min="7" max="7" width="26.7265625" customWidth="1"/>
    <col min="8" max="8" width="11.1796875" customWidth="1"/>
    <col min="9" max="9" width="12.7265625" customWidth="1"/>
    <col min="10" max="10" width="6.7265625" customWidth="1"/>
    <col min="11" max="11" width="9.1796875" customWidth="1"/>
    <col min="12" max="20" width="24.453125" customWidth="1"/>
    <col min="21" max="26" width="17.26953125" customWidth="1"/>
  </cols>
  <sheetData>
    <row r="1" spans="1:20" ht="18.75" customHeight="1">
      <c r="A1" s="186"/>
      <c r="B1" s="186"/>
      <c r="C1" s="186"/>
      <c r="D1" s="119"/>
      <c r="E1" s="289" t="s">
        <v>1322</v>
      </c>
      <c r="F1" s="186"/>
      <c r="G1" s="186"/>
      <c r="H1" s="186"/>
      <c r="I1" s="186"/>
      <c r="J1" s="186"/>
      <c r="K1" s="381"/>
      <c r="L1" s="207" t="s">
        <v>1038</v>
      </c>
      <c r="M1" s="207"/>
      <c r="N1" s="207"/>
      <c r="O1" s="207"/>
      <c r="P1" s="207"/>
      <c r="Q1" s="207"/>
      <c r="R1" s="186"/>
      <c r="S1" s="186"/>
      <c r="T1" s="186"/>
    </row>
    <row r="2" spans="1:20" ht="18.75" customHeight="1">
      <c r="A2" s="208" t="s">
        <v>1040</v>
      </c>
      <c r="B2" s="208" t="s">
        <v>1041</v>
      </c>
      <c r="C2" s="208" t="s">
        <v>1042</v>
      </c>
      <c r="D2" s="295" t="s">
        <v>1043</v>
      </c>
      <c r="E2" s="208" t="s">
        <v>224</v>
      </c>
      <c r="F2" s="208" t="s">
        <v>225</v>
      </c>
      <c r="G2" s="208" t="s">
        <v>226</v>
      </c>
      <c r="H2" s="208" t="s">
        <v>227</v>
      </c>
      <c r="I2" s="208" t="s">
        <v>1044</v>
      </c>
      <c r="J2" s="208" t="s">
        <v>1045</v>
      </c>
      <c r="K2" s="207" t="s">
        <v>1046</v>
      </c>
      <c r="L2" s="207" t="s">
        <v>100</v>
      </c>
      <c r="M2" s="207" t="s">
        <v>101</v>
      </c>
      <c r="N2" s="207" t="s">
        <v>102</v>
      </c>
      <c r="O2" s="207" t="s">
        <v>103</v>
      </c>
      <c r="P2" s="207" t="s">
        <v>104</v>
      </c>
      <c r="Q2" s="207" t="s">
        <v>105</v>
      </c>
      <c r="R2" s="208" t="s">
        <v>111</v>
      </c>
      <c r="S2" s="208" t="s">
        <v>112</v>
      </c>
      <c r="T2" s="208" t="s">
        <v>113</v>
      </c>
    </row>
    <row r="3" spans="1:20" ht="18.75" customHeight="1">
      <c r="A3" s="213"/>
      <c r="B3" s="213"/>
      <c r="C3" s="210"/>
      <c r="D3" s="297"/>
      <c r="E3" s="186" t="s">
        <v>63</v>
      </c>
      <c r="F3" s="186" t="s">
        <v>124</v>
      </c>
      <c r="G3" s="186" t="s">
        <v>535</v>
      </c>
      <c r="H3" s="186" t="s">
        <v>903</v>
      </c>
      <c r="I3" s="186"/>
      <c r="J3" s="186">
        <v>1</v>
      </c>
      <c r="K3" s="186"/>
      <c r="L3" s="186"/>
      <c r="M3" s="186"/>
      <c r="N3" s="90"/>
      <c r="O3" s="90"/>
      <c r="P3" s="90"/>
      <c r="Q3" s="186"/>
      <c r="R3" s="186"/>
      <c r="S3" s="186"/>
      <c r="T3" s="186" t="s">
        <v>1190</v>
      </c>
    </row>
    <row r="4" spans="1:20" ht="18.75" customHeight="1">
      <c r="A4" s="213"/>
      <c r="B4" s="213"/>
      <c r="C4" s="210"/>
      <c r="D4" s="297"/>
      <c r="E4" s="186" t="s">
        <v>53</v>
      </c>
      <c r="F4" s="186" t="s">
        <v>1189</v>
      </c>
      <c r="G4" s="186" t="s">
        <v>249</v>
      </c>
      <c r="H4" s="186" t="s">
        <v>243</v>
      </c>
      <c r="I4" s="186"/>
      <c r="J4" s="186">
        <v>2</v>
      </c>
      <c r="K4" s="186"/>
      <c r="L4" s="186"/>
      <c r="M4" s="186"/>
      <c r="N4" s="90"/>
      <c r="O4" s="90"/>
      <c r="P4" s="90"/>
      <c r="Q4" s="186"/>
      <c r="R4" s="186"/>
      <c r="S4" s="186"/>
      <c r="T4" s="186" t="s">
        <v>1190</v>
      </c>
    </row>
    <row r="5" spans="1:20" ht="18.75" customHeight="1">
      <c r="A5" s="213"/>
      <c r="B5" s="213"/>
      <c r="C5" s="210"/>
      <c r="D5" s="297"/>
      <c r="E5" s="186" t="s">
        <v>53</v>
      </c>
      <c r="F5" s="186" t="s">
        <v>1191</v>
      </c>
      <c r="G5" s="186" t="s">
        <v>252</v>
      </c>
      <c r="H5" s="186" t="s">
        <v>243</v>
      </c>
      <c r="I5" s="186"/>
      <c r="J5" s="186">
        <v>3</v>
      </c>
      <c r="K5" s="186"/>
      <c r="L5" s="186"/>
      <c r="M5" s="186"/>
      <c r="N5" s="90"/>
      <c r="O5" s="90"/>
      <c r="P5" s="90"/>
      <c r="Q5" s="186"/>
      <c r="R5" s="186"/>
      <c r="S5" s="186"/>
      <c r="T5" s="186" t="s">
        <v>1190</v>
      </c>
    </row>
    <row r="6" spans="1:20" ht="18.75" customHeight="1">
      <c r="A6" s="213"/>
      <c r="B6" s="213"/>
      <c r="C6" s="210"/>
      <c r="D6" s="297"/>
      <c r="E6" s="186" t="s">
        <v>53</v>
      </c>
      <c r="F6" s="186" t="s">
        <v>1192</v>
      </c>
      <c r="G6" s="186" t="s">
        <v>242</v>
      </c>
      <c r="H6" s="186" t="s">
        <v>243</v>
      </c>
      <c r="I6" s="186"/>
      <c r="J6" s="186">
        <v>4</v>
      </c>
      <c r="K6" s="186"/>
      <c r="L6" s="186"/>
      <c r="M6" s="186"/>
      <c r="N6" s="90"/>
      <c r="O6" s="90"/>
      <c r="P6" s="90"/>
      <c r="Q6" s="186"/>
      <c r="R6" s="186"/>
      <c r="S6" s="186"/>
      <c r="T6" s="186" t="s">
        <v>1190</v>
      </c>
    </row>
    <row r="7" spans="1:20" ht="18.75" customHeight="1">
      <c r="A7" s="213"/>
      <c r="B7" s="213"/>
      <c r="C7" s="210"/>
      <c r="D7" s="297"/>
      <c r="E7" s="186" t="s">
        <v>53</v>
      </c>
      <c r="F7" s="186" t="s">
        <v>1193</v>
      </c>
      <c r="G7" s="186" t="s">
        <v>247</v>
      </c>
      <c r="H7" s="186" t="s">
        <v>243</v>
      </c>
      <c r="I7" s="186"/>
      <c r="J7" s="186">
        <v>5</v>
      </c>
      <c r="K7" s="186"/>
      <c r="L7" s="186"/>
      <c r="M7" s="186"/>
      <c r="N7" s="90"/>
      <c r="O7" s="90"/>
      <c r="P7" s="90"/>
      <c r="Q7" s="186"/>
      <c r="R7" s="186"/>
      <c r="S7" s="186"/>
      <c r="T7" s="186" t="s">
        <v>1190</v>
      </c>
    </row>
    <row r="8" spans="1:20" ht="18.75" customHeight="1">
      <c r="A8" s="213"/>
      <c r="B8" s="213"/>
      <c r="C8" s="210"/>
      <c r="D8" s="297"/>
      <c r="E8" s="186" t="s">
        <v>53</v>
      </c>
      <c r="F8" s="186" t="s">
        <v>1194</v>
      </c>
      <c r="G8" s="186" t="s">
        <v>252</v>
      </c>
      <c r="H8" s="186" t="s">
        <v>243</v>
      </c>
      <c r="I8" s="186"/>
      <c r="J8" s="186">
        <v>6</v>
      </c>
      <c r="K8" s="186"/>
      <c r="L8" s="186"/>
      <c r="M8" s="186"/>
      <c r="N8" s="90"/>
      <c r="O8" s="90"/>
      <c r="P8" s="90"/>
      <c r="Q8" s="186"/>
      <c r="R8" s="186"/>
      <c r="S8" s="186"/>
      <c r="T8" s="186" t="s">
        <v>1190</v>
      </c>
    </row>
    <row r="9" spans="1:20" ht="18.75" customHeight="1">
      <c r="A9" s="213"/>
      <c r="B9" s="213"/>
      <c r="C9" s="210"/>
      <c r="D9" s="297"/>
      <c r="E9" s="186" t="s">
        <v>53</v>
      </c>
      <c r="F9" s="186" t="s">
        <v>1195</v>
      </c>
      <c r="G9" s="186" t="s">
        <v>247</v>
      </c>
      <c r="H9" s="186" t="s">
        <v>243</v>
      </c>
      <c r="I9" s="186"/>
      <c r="J9" s="186">
        <v>7</v>
      </c>
      <c r="K9" s="186"/>
      <c r="L9" s="186"/>
      <c r="M9" s="186"/>
      <c r="N9" s="90"/>
      <c r="O9" s="90"/>
      <c r="P9" s="90"/>
      <c r="Q9" s="186"/>
      <c r="R9" s="186"/>
      <c r="S9" s="186"/>
      <c r="T9" s="186" t="s">
        <v>1190</v>
      </c>
    </row>
    <row r="10" spans="1:20" ht="18.75" customHeight="1">
      <c r="A10" s="213"/>
      <c r="B10" s="213"/>
      <c r="C10" s="210"/>
      <c r="D10" s="297"/>
      <c r="E10" s="186" t="s">
        <v>53</v>
      </c>
      <c r="F10" s="186" t="s">
        <v>1196</v>
      </c>
      <c r="G10" s="186" t="s">
        <v>535</v>
      </c>
      <c r="H10" s="186" t="s">
        <v>903</v>
      </c>
      <c r="I10" s="186"/>
      <c r="J10" s="186">
        <v>8</v>
      </c>
      <c r="K10" s="186"/>
      <c r="L10" s="186"/>
      <c r="M10" s="186"/>
      <c r="N10" s="90"/>
      <c r="O10" s="90"/>
      <c r="P10" s="90"/>
      <c r="Q10" s="186"/>
      <c r="R10" s="186"/>
      <c r="S10" s="186"/>
      <c r="T10" s="186" t="s">
        <v>1190</v>
      </c>
    </row>
    <row r="11" spans="1:20" ht="18.75" customHeight="1">
      <c r="A11" s="213"/>
      <c r="B11" s="213"/>
      <c r="C11" s="210"/>
      <c r="D11" s="297"/>
      <c r="E11" s="186" t="s">
        <v>61</v>
      </c>
      <c r="F11" s="186" t="s">
        <v>1898</v>
      </c>
      <c r="G11" s="186" t="s">
        <v>535</v>
      </c>
      <c r="H11" s="186" t="s">
        <v>1012</v>
      </c>
      <c r="I11" s="186"/>
      <c r="J11" s="186">
        <v>9</v>
      </c>
      <c r="K11" s="186"/>
      <c r="L11" s="186"/>
      <c r="M11" s="186"/>
      <c r="N11" s="90"/>
      <c r="O11" s="90"/>
      <c r="P11" s="90"/>
      <c r="Q11" s="186"/>
      <c r="R11" s="186"/>
      <c r="S11" s="186"/>
      <c r="T11" s="186" t="s">
        <v>5098</v>
      </c>
    </row>
    <row r="12" spans="1:20" ht="18.75" customHeight="1">
      <c r="A12" s="213"/>
      <c r="B12" s="213"/>
      <c r="C12" s="210"/>
      <c r="D12" s="297"/>
      <c r="E12" s="186" t="s">
        <v>53</v>
      </c>
      <c r="F12" s="186" t="s">
        <v>1290</v>
      </c>
      <c r="G12" s="186" t="s">
        <v>432</v>
      </c>
      <c r="H12" s="186" t="s">
        <v>243</v>
      </c>
      <c r="I12" s="186"/>
      <c r="J12" s="186">
        <v>10</v>
      </c>
      <c r="K12" s="186"/>
      <c r="L12" s="186"/>
      <c r="M12" s="186"/>
      <c r="N12" s="90"/>
      <c r="O12" s="90"/>
      <c r="P12" s="90"/>
      <c r="Q12" s="186"/>
      <c r="R12" s="186"/>
      <c r="S12" s="186"/>
      <c r="T12" s="186" t="s">
        <v>1190</v>
      </c>
    </row>
    <row r="13" spans="1:20" ht="18.75" customHeight="1">
      <c r="A13" s="213"/>
      <c r="B13" s="213"/>
      <c r="C13" s="210"/>
      <c r="D13" s="297"/>
      <c r="E13" s="186" t="s">
        <v>53</v>
      </c>
      <c r="F13" s="186" t="s">
        <v>1291</v>
      </c>
      <c r="G13" s="186" t="s">
        <v>247</v>
      </c>
      <c r="H13" s="186" t="s">
        <v>243</v>
      </c>
      <c r="I13" s="186"/>
      <c r="J13" s="186">
        <v>11</v>
      </c>
      <c r="K13" s="186"/>
      <c r="L13" s="186"/>
      <c r="M13" s="186"/>
      <c r="N13" s="90"/>
      <c r="O13" s="90"/>
      <c r="P13" s="90"/>
      <c r="Q13" s="186"/>
      <c r="R13" s="186"/>
      <c r="S13" s="186"/>
      <c r="T13" s="186" t="s">
        <v>1190</v>
      </c>
    </row>
    <row r="14" spans="1:20" ht="18.75" customHeight="1">
      <c r="A14" s="213"/>
      <c r="B14" s="213"/>
      <c r="C14" s="210"/>
      <c r="D14" s="297"/>
      <c r="E14" s="186" t="s">
        <v>53</v>
      </c>
      <c r="F14" s="186" t="s">
        <v>1292</v>
      </c>
      <c r="G14" s="186" t="s">
        <v>535</v>
      </c>
      <c r="H14" s="186" t="s">
        <v>243</v>
      </c>
      <c r="I14" s="186"/>
      <c r="J14" s="186">
        <v>12</v>
      </c>
      <c r="K14" s="186"/>
      <c r="L14" s="186"/>
      <c r="M14" s="186"/>
      <c r="N14" s="90"/>
      <c r="O14" s="90"/>
      <c r="P14" s="90"/>
      <c r="Q14" s="186"/>
      <c r="R14" s="186"/>
      <c r="S14" s="186"/>
      <c r="T14" s="186" t="s">
        <v>1190</v>
      </c>
    </row>
    <row r="15" spans="1:20" ht="18.75" customHeight="1">
      <c r="A15" s="213"/>
      <c r="B15" s="213"/>
      <c r="C15" s="210"/>
      <c r="D15" s="297"/>
      <c r="E15" s="186" t="s">
        <v>53</v>
      </c>
      <c r="F15" s="186" t="s">
        <v>1289</v>
      </c>
      <c r="G15" s="186" t="s">
        <v>324</v>
      </c>
      <c r="H15" s="186" t="s">
        <v>243</v>
      </c>
      <c r="I15" s="186"/>
      <c r="J15" s="186">
        <v>13</v>
      </c>
      <c r="K15" s="186"/>
      <c r="L15" s="186"/>
      <c r="M15" s="186"/>
      <c r="N15" s="90"/>
      <c r="O15" s="90"/>
      <c r="P15" s="90"/>
      <c r="Q15" s="186"/>
      <c r="R15" s="186"/>
      <c r="S15" s="186"/>
      <c r="T15" s="186" t="s">
        <v>1190</v>
      </c>
    </row>
    <row r="16" spans="1:20" ht="18.75" customHeight="1">
      <c r="A16" s="213"/>
      <c r="B16" s="213"/>
      <c r="C16" s="210"/>
      <c r="D16" s="297"/>
      <c r="E16" s="186" t="s">
        <v>53</v>
      </c>
      <c r="F16" s="186" t="s">
        <v>1293</v>
      </c>
      <c r="G16" s="186" t="s">
        <v>432</v>
      </c>
      <c r="H16" s="186" t="s">
        <v>243</v>
      </c>
      <c r="I16" s="186"/>
      <c r="J16" s="186">
        <v>14</v>
      </c>
      <c r="K16" s="186"/>
      <c r="L16" s="186"/>
      <c r="M16" s="186"/>
      <c r="N16" s="90"/>
      <c r="O16" s="90"/>
      <c r="P16" s="90"/>
      <c r="Q16" s="186"/>
      <c r="R16" s="186"/>
      <c r="S16" s="186"/>
      <c r="T16" s="186" t="s">
        <v>1190</v>
      </c>
    </row>
    <row r="17" spans="1:20" ht="18.75" customHeight="1">
      <c r="A17" s="213"/>
      <c r="B17" s="213"/>
      <c r="C17" s="210"/>
      <c r="D17" s="297"/>
      <c r="E17" s="186" t="s">
        <v>61</v>
      </c>
      <c r="F17" s="186" t="s">
        <v>123</v>
      </c>
      <c r="G17" s="186" t="s">
        <v>535</v>
      </c>
      <c r="H17" s="186" t="s">
        <v>903</v>
      </c>
      <c r="I17" s="186"/>
      <c r="J17" s="186">
        <v>15</v>
      </c>
      <c r="K17" s="186"/>
      <c r="L17" s="186"/>
      <c r="M17" s="186"/>
      <c r="N17" s="90"/>
      <c r="O17" s="90"/>
      <c r="P17" s="90"/>
      <c r="Q17" s="186"/>
      <c r="R17" s="186"/>
      <c r="S17" s="186"/>
      <c r="T17" s="186" t="s">
        <v>5099</v>
      </c>
    </row>
    <row r="18" spans="1:20" ht="18.75" customHeight="1">
      <c r="A18" s="213"/>
      <c r="B18" s="213"/>
      <c r="C18" s="210"/>
      <c r="D18" s="297"/>
      <c r="E18" s="186" t="s">
        <v>61</v>
      </c>
      <c r="F18" s="186" t="s">
        <v>5100</v>
      </c>
      <c r="G18" s="186" t="s">
        <v>535</v>
      </c>
      <c r="H18" s="186" t="s">
        <v>243</v>
      </c>
      <c r="I18" s="186"/>
      <c r="J18" s="186">
        <v>16</v>
      </c>
      <c r="K18" s="186"/>
      <c r="L18" s="186"/>
      <c r="M18" s="186"/>
      <c r="N18" s="90"/>
      <c r="O18" s="90"/>
      <c r="P18" s="90"/>
      <c r="Q18" s="186"/>
      <c r="R18" s="186"/>
      <c r="S18" s="186"/>
      <c r="T18" s="186" t="s">
        <v>5101</v>
      </c>
    </row>
    <row r="19" spans="1:20" ht="18.75" customHeight="1">
      <c r="A19" s="213"/>
      <c r="B19" s="213"/>
      <c r="C19" s="210"/>
      <c r="D19" s="297"/>
      <c r="E19" s="186" t="s">
        <v>61</v>
      </c>
      <c r="F19" s="186" t="s">
        <v>968</v>
      </c>
      <c r="G19" s="186" t="s">
        <v>242</v>
      </c>
      <c r="H19" s="186" t="s">
        <v>243</v>
      </c>
      <c r="I19" s="186"/>
      <c r="J19" s="186">
        <v>17</v>
      </c>
      <c r="K19" s="186"/>
      <c r="L19" s="186"/>
      <c r="M19" s="186"/>
      <c r="N19" s="90"/>
      <c r="O19" s="90"/>
      <c r="P19" s="90"/>
      <c r="Q19" s="186"/>
      <c r="R19" s="186"/>
      <c r="S19" s="186"/>
      <c r="T19" s="186" t="s">
        <v>3689</v>
      </c>
    </row>
    <row r="20" spans="1:20" ht="18.75" customHeight="1">
      <c r="A20" s="213"/>
      <c r="B20" s="213"/>
      <c r="C20" s="210"/>
      <c r="D20" s="297"/>
      <c r="E20" s="186" t="s">
        <v>53</v>
      </c>
      <c r="F20" s="186" t="s">
        <v>1288</v>
      </c>
      <c r="G20" s="186" t="s">
        <v>535</v>
      </c>
      <c r="H20" s="186" t="s">
        <v>903</v>
      </c>
      <c r="I20" s="186"/>
      <c r="J20" s="186">
        <v>18</v>
      </c>
      <c r="K20" s="186"/>
      <c r="L20" s="186"/>
      <c r="M20" s="186"/>
      <c r="N20" s="90"/>
      <c r="O20" s="90"/>
      <c r="P20" s="90"/>
      <c r="Q20" s="186"/>
      <c r="R20" s="186"/>
      <c r="S20" s="186"/>
      <c r="T20" s="186" t="s">
        <v>1190</v>
      </c>
    </row>
  </sheetData>
  <autoFilter ref="A2:T20" xr:uid="{00000000-0009-0000-0000-00002C000000}"/>
  <pageMargins left="0.7" right="0.7" top="0.75" bottom="0.75" header="0" footer="0"/>
  <pageSetup orientation="landscape"/>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outlinePr summaryBelow="0" summaryRight="0"/>
  </sheetPr>
  <dimension ref="A1"/>
  <sheetViews>
    <sheetView workbookViewId="0"/>
  </sheetViews>
  <sheetFormatPr defaultColWidth="14.453125" defaultRowHeight="15" customHeight="1"/>
  <cols>
    <col min="1" max="6" width="10.7265625" customWidth="1"/>
    <col min="7" max="26" width="17.26953125" customWidth="1"/>
  </cols>
  <sheetData/>
  <pageMargins left="0.7" right="0.7" top="0.75" bottom="0.75" header="0" footer="0"/>
  <pageSetup orientation="landscape"/>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outlinePr summaryBelow="0" summaryRight="0"/>
  </sheetPr>
  <dimension ref="A1"/>
  <sheetViews>
    <sheetView workbookViewId="0"/>
  </sheetViews>
  <sheetFormatPr defaultColWidth="14.453125" defaultRowHeight="15" customHeight="1"/>
  <cols>
    <col min="1" max="6" width="10.7265625" customWidth="1"/>
    <col min="7" max="26" width="17.26953125" customWidth="1"/>
  </cols>
  <sheetData/>
  <pageMargins left="0.7" right="0.7" top="0.75" bottom="0.75" header="0" footer="0"/>
  <pageSetup orientation="landscape"/>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outlinePr summaryBelow="0" summaryRight="0"/>
  </sheetPr>
  <dimension ref="A1:N19"/>
  <sheetViews>
    <sheetView workbookViewId="0">
      <pane xSplit="3" ySplit="2" topLeftCell="D3" activePane="bottomRight" state="frozen"/>
      <selection pane="topRight" activeCell="D1" sqref="D1"/>
      <selection pane="bottomLeft" activeCell="A3" sqref="A3"/>
      <selection pane="bottomRight" activeCell="D3" sqref="D3"/>
    </sheetView>
  </sheetViews>
  <sheetFormatPr defaultColWidth="14.453125" defaultRowHeight="15" customHeight="1"/>
  <cols>
    <col min="1" max="1" width="13.1796875" customWidth="1"/>
    <col min="2" max="2" width="36.7265625" customWidth="1"/>
    <col min="3" max="3" width="22.7265625" customWidth="1"/>
    <col min="4" max="4" width="14.26953125" customWidth="1"/>
    <col min="5" max="5" width="9.26953125" customWidth="1"/>
    <col min="6" max="6" width="13" customWidth="1"/>
    <col min="7" max="7" width="5.453125" customWidth="1"/>
    <col min="8" max="8" width="9.1796875" customWidth="1"/>
    <col min="9" max="9" width="18.453125" customWidth="1"/>
    <col min="10" max="10" width="19.453125" customWidth="1"/>
    <col min="11" max="13" width="17.26953125" customWidth="1"/>
    <col min="14" max="14" width="65.1796875" customWidth="1"/>
    <col min="15" max="26" width="17.26953125" customWidth="1"/>
  </cols>
  <sheetData>
    <row r="1" spans="1:14" ht="12.5">
      <c r="A1" s="374" t="s">
        <v>3009</v>
      </c>
      <c r="B1" s="375"/>
      <c r="C1" s="375"/>
      <c r="D1" s="375"/>
      <c r="E1" s="375"/>
      <c r="F1" s="375"/>
      <c r="G1" s="375"/>
      <c r="H1" s="164"/>
      <c r="I1" s="165" t="s">
        <v>107</v>
      </c>
      <c r="J1" s="164"/>
      <c r="K1" s="164"/>
      <c r="L1" s="375"/>
      <c r="M1" s="375"/>
      <c r="N1" s="375"/>
    </row>
    <row r="2" spans="1:14" ht="12.5">
      <c r="A2" s="166" t="s">
        <v>224</v>
      </c>
      <c r="B2" s="166" t="s">
        <v>225</v>
      </c>
      <c r="C2" s="166" t="s">
        <v>226</v>
      </c>
      <c r="D2" s="166" t="s">
        <v>227</v>
      </c>
      <c r="E2" s="166"/>
      <c r="F2" s="166" t="s">
        <v>1044</v>
      </c>
      <c r="G2" s="166" t="s">
        <v>1045</v>
      </c>
      <c r="H2" s="167" t="s">
        <v>1046</v>
      </c>
      <c r="I2" s="167" t="s">
        <v>3111</v>
      </c>
      <c r="J2" s="168" t="s">
        <v>109</v>
      </c>
      <c r="K2" s="168" t="s">
        <v>110</v>
      </c>
      <c r="L2" s="166" t="s">
        <v>111</v>
      </c>
      <c r="M2" s="166" t="s">
        <v>112</v>
      </c>
      <c r="N2" s="169" t="s">
        <v>113</v>
      </c>
    </row>
    <row r="3" spans="1:14" ht="12.5">
      <c r="A3" s="459" t="s">
        <v>61</v>
      </c>
      <c r="B3" s="459" t="s">
        <v>170</v>
      </c>
      <c r="C3" s="459" t="s">
        <v>324</v>
      </c>
      <c r="D3" s="459" t="s">
        <v>903</v>
      </c>
      <c r="E3" s="459"/>
      <c r="F3" s="459"/>
      <c r="G3" s="139">
        <v>2</v>
      </c>
      <c r="H3" s="459"/>
      <c r="I3" s="459"/>
      <c r="J3" s="459"/>
      <c r="K3" s="459"/>
      <c r="L3" s="459"/>
      <c r="M3" s="459"/>
      <c r="N3" s="130" t="s">
        <v>5102</v>
      </c>
    </row>
    <row r="4" spans="1:14" ht="12.5">
      <c r="A4" s="459" t="s">
        <v>53</v>
      </c>
      <c r="B4" s="459" t="s">
        <v>1189</v>
      </c>
      <c r="C4" s="459" t="s">
        <v>249</v>
      </c>
      <c r="D4" s="459" t="s">
        <v>243</v>
      </c>
      <c r="E4" s="459"/>
      <c r="F4" s="459"/>
      <c r="G4" s="139">
        <v>3</v>
      </c>
      <c r="H4" s="459"/>
      <c r="I4" s="459"/>
      <c r="J4" s="459"/>
      <c r="K4" s="459"/>
      <c r="L4" s="459"/>
      <c r="M4" s="459"/>
      <c r="N4" s="186" t="s">
        <v>1190</v>
      </c>
    </row>
    <row r="5" spans="1:14" ht="12.5">
      <c r="A5" s="459" t="s">
        <v>53</v>
      </c>
      <c r="B5" s="459" t="s">
        <v>1191</v>
      </c>
      <c r="C5" s="459" t="s">
        <v>252</v>
      </c>
      <c r="D5" s="459" t="s">
        <v>243</v>
      </c>
      <c r="E5" s="459"/>
      <c r="F5" s="459"/>
      <c r="G5" s="139">
        <v>4</v>
      </c>
      <c r="H5" s="459"/>
      <c r="I5" s="459"/>
      <c r="J5" s="459"/>
      <c r="K5" s="459"/>
      <c r="L5" s="459"/>
      <c r="M5" s="459"/>
      <c r="N5" s="186" t="s">
        <v>1190</v>
      </c>
    </row>
    <row r="6" spans="1:14" ht="12.5">
      <c r="A6" s="459" t="s">
        <v>53</v>
      </c>
      <c r="B6" s="459" t="s">
        <v>1192</v>
      </c>
      <c r="C6" s="459" t="s">
        <v>242</v>
      </c>
      <c r="D6" s="459" t="s">
        <v>243</v>
      </c>
      <c r="E6" s="459"/>
      <c r="F6" s="459"/>
      <c r="G6" s="139">
        <v>5</v>
      </c>
      <c r="H6" s="459"/>
      <c r="I6" s="459"/>
      <c r="J6" s="459"/>
      <c r="K6" s="459"/>
      <c r="L6" s="459"/>
      <c r="M6" s="459"/>
      <c r="N6" s="186" t="s">
        <v>1190</v>
      </c>
    </row>
    <row r="7" spans="1:14" ht="12.5">
      <c r="A7" s="459" t="s">
        <v>53</v>
      </c>
      <c r="B7" s="459" t="s">
        <v>1193</v>
      </c>
      <c r="C7" s="459" t="s">
        <v>247</v>
      </c>
      <c r="D7" s="459" t="s">
        <v>243</v>
      </c>
      <c r="E7" s="459"/>
      <c r="F7" s="459"/>
      <c r="G7" s="139">
        <v>6</v>
      </c>
      <c r="H7" s="459"/>
      <c r="I7" s="459"/>
      <c r="J7" s="459"/>
      <c r="K7" s="459"/>
      <c r="L7" s="459"/>
      <c r="M7" s="459"/>
      <c r="N7" s="186" t="s">
        <v>1190</v>
      </c>
    </row>
    <row r="8" spans="1:14" ht="12.5">
      <c r="A8" s="459" t="s">
        <v>53</v>
      </c>
      <c r="B8" s="459" t="s">
        <v>1194</v>
      </c>
      <c r="C8" s="459" t="s">
        <v>252</v>
      </c>
      <c r="D8" s="459" t="s">
        <v>243</v>
      </c>
      <c r="E8" s="459"/>
      <c r="F8" s="459"/>
      <c r="G8" s="139">
        <v>7</v>
      </c>
      <c r="H8" s="459"/>
      <c r="I8" s="459"/>
      <c r="J8" s="459"/>
      <c r="K8" s="459"/>
      <c r="L8" s="459"/>
      <c r="M8" s="459"/>
      <c r="N8" s="186" t="s">
        <v>1190</v>
      </c>
    </row>
    <row r="9" spans="1:14" ht="12.5">
      <c r="A9" s="459" t="s">
        <v>53</v>
      </c>
      <c r="B9" s="459" t="s">
        <v>1195</v>
      </c>
      <c r="C9" s="459" t="s">
        <v>247</v>
      </c>
      <c r="D9" s="459" t="s">
        <v>243</v>
      </c>
      <c r="E9" s="459"/>
      <c r="F9" s="459"/>
      <c r="G9" s="139">
        <v>8</v>
      </c>
      <c r="H9" s="459"/>
      <c r="I9" s="459"/>
      <c r="J9" s="459"/>
      <c r="K9" s="459"/>
      <c r="L9" s="459"/>
      <c r="M9" s="459"/>
      <c r="N9" s="186" t="s">
        <v>1190</v>
      </c>
    </row>
    <row r="10" spans="1:14" ht="12.5">
      <c r="A10" s="459" t="s">
        <v>53</v>
      </c>
      <c r="B10" s="459" t="s">
        <v>1196</v>
      </c>
      <c r="C10" s="459" t="s">
        <v>535</v>
      </c>
      <c r="D10" s="459" t="s">
        <v>903</v>
      </c>
      <c r="E10" s="459"/>
      <c r="F10" s="459"/>
      <c r="G10" s="139">
        <v>9</v>
      </c>
      <c r="H10" s="459"/>
      <c r="I10" s="459"/>
      <c r="J10" s="459"/>
      <c r="K10" s="459"/>
      <c r="L10" s="459"/>
      <c r="M10" s="459"/>
      <c r="N10" s="186" t="s">
        <v>1190</v>
      </c>
    </row>
    <row r="11" spans="1:14" ht="12.5">
      <c r="A11" s="459" t="s">
        <v>53</v>
      </c>
      <c r="B11" s="459" t="s">
        <v>124</v>
      </c>
      <c r="C11" s="459" t="s">
        <v>535</v>
      </c>
      <c r="D11" s="459" t="s">
        <v>903</v>
      </c>
      <c r="E11" s="459"/>
      <c r="F11" s="459"/>
      <c r="G11" s="139">
        <v>1</v>
      </c>
      <c r="H11" s="459"/>
      <c r="I11" s="459"/>
      <c r="J11" s="459"/>
      <c r="K11" s="459"/>
      <c r="L11" s="459"/>
      <c r="M11" s="459"/>
      <c r="N11" s="186" t="s">
        <v>1190</v>
      </c>
    </row>
    <row r="12" spans="1:14" ht="12.5">
      <c r="A12" s="459" t="s">
        <v>53</v>
      </c>
      <c r="B12" s="459" t="s">
        <v>1288</v>
      </c>
      <c r="C12" s="459" t="s">
        <v>535</v>
      </c>
      <c r="D12" s="459" t="s">
        <v>903</v>
      </c>
      <c r="E12" s="459"/>
      <c r="F12" s="459"/>
      <c r="G12" s="139">
        <v>17</v>
      </c>
      <c r="H12" s="459"/>
      <c r="I12" s="459"/>
      <c r="J12" s="459"/>
      <c r="K12" s="459"/>
      <c r="L12" s="459"/>
      <c r="M12" s="459"/>
      <c r="N12" s="186" t="s">
        <v>1190</v>
      </c>
    </row>
    <row r="13" spans="1:14" ht="12.5">
      <c r="A13" s="459" t="s">
        <v>53</v>
      </c>
      <c r="B13" s="459" t="s">
        <v>1289</v>
      </c>
      <c r="C13" s="459" t="s">
        <v>324</v>
      </c>
      <c r="D13" s="459" t="s">
        <v>243</v>
      </c>
      <c r="E13" s="459"/>
      <c r="F13" s="459"/>
      <c r="G13" s="139">
        <v>13</v>
      </c>
      <c r="H13" s="459"/>
      <c r="I13" s="459"/>
      <c r="J13" s="459"/>
      <c r="K13" s="459"/>
      <c r="L13" s="459"/>
      <c r="M13" s="459"/>
      <c r="N13" s="186" t="s">
        <v>1190</v>
      </c>
    </row>
    <row r="14" spans="1:14" ht="12.5">
      <c r="A14" s="459" t="s">
        <v>53</v>
      </c>
      <c r="B14" s="459" t="s">
        <v>1290</v>
      </c>
      <c r="C14" s="459" t="s">
        <v>432</v>
      </c>
      <c r="D14" s="459" t="s">
        <v>243</v>
      </c>
      <c r="E14" s="459"/>
      <c r="F14" s="459"/>
      <c r="G14" s="139">
        <v>10</v>
      </c>
      <c r="H14" s="459"/>
      <c r="I14" s="459"/>
      <c r="J14" s="459"/>
      <c r="K14" s="459"/>
      <c r="L14" s="459"/>
      <c r="M14" s="459"/>
      <c r="N14" s="186" t="s">
        <v>1190</v>
      </c>
    </row>
    <row r="15" spans="1:14" ht="12.5">
      <c r="A15" s="459" t="s">
        <v>53</v>
      </c>
      <c r="B15" s="459" t="s">
        <v>1291</v>
      </c>
      <c r="C15" s="459" t="s">
        <v>247</v>
      </c>
      <c r="D15" s="459" t="s">
        <v>243</v>
      </c>
      <c r="E15" s="459"/>
      <c r="F15" s="459"/>
      <c r="G15" s="139">
        <v>11</v>
      </c>
      <c r="H15" s="459"/>
      <c r="I15" s="459"/>
      <c r="J15" s="459"/>
      <c r="K15" s="459"/>
      <c r="L15" s="459"/>
      <c r="M15" s="459"/>
      <c r="N15" s="186" t="s">
        <v>1190</v>
      </c>
    </row>
    <row r="16" spans="1:14" ht="12.5">
      <c r="A16" s="459" t="s">
        <v>53</v>
      </c>
      <c r="B16" s="459" t="s">
        <v>1292</v>
      </c>
      <c r="C16" s="459" t="s">
        <v>535</v>
      </c>
      <c r="D16" s="459" t="s">
        <v>243</v>
      </c>
      <c r="E16" s="459"/>
      <c r="F16" s="459"/>
      <c r="G16" s="139">
        <v>12</v>
      </c>
      <c r="H16" s="459"/>
      <c r="I16" s="459"/>
      <c r="J16" s="459"/>
      <c r="K16" s="459"/>
      <c r="L16" s="459"/>
      <c r="M16" s="459"/>
      <c r="N16" s="186" t="s">
        <v>1190</v>
      </c>
    </row>
    <row r="17" spans="1:14" ht="12.5">
      <c r="A17" s="459" t="s">
        <v>53</v>
      </c>
      <c r="B17" s="459" t="s">
        <v>1293</v>
      </c>
      <c r="C17" s="459" t="s">
        <v>432</v>
      </c>
      <c r="D17" s="459" t="s">
        <v>243</v>
      </c>
      <c r="E17" s="459"/>
      <c r="F17" s="459"/>
      <c r="G17" s="139">
        <v>14</v>
      </c>
      <c r="H17" s="459"/>
      <c r="I17" s="459"/>
      <c r="J17" s="459"/>
      <c r="K17" s="459"/>
      <c r="L17" s="459"/>
      <c r="M17" s="459"/>
      <c r="N17" s="186" t="s">
        <v>1190</v>
      </c>
    </row>
    <row r="18" spans="1:14" ht="12.5">
      <c r="A18" s="459" t="s">
        <v>61</v>
      </c>
      <c r="B18" s="459" t="s">
        <v>123</v>
      </c>
      <c r="C18" s="459" t="s">
        <v>535</v>
      </c>
      <c r="D18" s="459" t="s">
        <v>903</v>
      </c>
      <c r="E18" s="459"/>
      <c r="F18" s="459"/>
      <c r="G18" s="139">
        <v>15</v>
      </c>
      <c r="H18" s="459"/>
      <c r="I18" s="459"/>
      <c r="J18" s="459"/>
      <c r="K18" s="459"/>
      <c r="L18" s="459"/>
      <c r="M18" s="459"/>
      <c r="N18" s="130" t="s">
        <v>5103</v>
      </c>
    </row>
    <row r="19" spans="1:14" ht="13.5" customHeight="1">
      <c r="A19" s="459" t="s">
        <v>61</v>
      </c>
      <c r="B19" s="459" t="s">
        <v>968</v>
      </c>
      <c r="C19" s="459" t="s">
        <v>242</v>
      </c>
      <c r="D19" s="459" t="s">
        <v>1012</v>
      </c>
      <c r="E19" s="459"/>
      <c r="F19" s="459"/>
      <c r="G19" s="139">
        <v>16</v>
      </c>
      <c r="H19" s="459"/>
      <c r="I19" s="459"/>
      <c r="J19" s="459"/>
      <c r="K19" s="459"/>
      <c r="L19" s="459"/>
      <c r="M19" s="459"/>
      <c r="N19" s="130" t="s">
        <v>3689</v>
      </c>
    </row>
  </sheetData>
  <conditionalFormatting sqref="H3:H19">
    <cfRule type="cellIs" dxfId="16" priority="1" operator="equal">
      <formula>1</formula>
    </cfRule>
  </conditionalFormatting>
  <pageMargins left="0.7" right="0.7" top="0.75" bottom="0.75" header="0" footer="0"/>
  <pageSetup orientation="landscape"/>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outlinePr summaryBelow="0" summaryRight="0"/>
  </sheetPr>
  <dimension ref="A1:Z23"/>
  <sheetViews>
    <sheetView topLeftCell="E1" workbookViewId="0"/>
  </sheetViews>
  <sheetFormatPr defaultColWidth="14.453125" defaultRowHeight="15" customHeight="1"/>
  <cols>
    <col min="1" max="2" width="12.7265625" hidden="1" customWidth="1"/>
    <col min="3" max="3" width="13" hidden="1" customWidth="1"/>
    <col min="4" max="4" width="17.26953125" hidden="1" customWidth="1"/>
    <col min="5" max="5" width="20.453125" customWidth="1"/>
    <col min="6" max="6" width="27.453125" customWidth="1"/>
    <col min="7" max="7" width="24.7265625" customWidth="1"/>
    <col min="8" max="8" width="12.7265625" customWidth="1"/>
    <col min="9" max="9" width="17.7265625" customWidth="1"/>
    <col min="10" max="10" width="16.26953125" customWidth="1"/>
    <col min="11" max="12" width="22.1796875" customWidth="1"/>
    <col min="13" max="13" width="17.453125" customWidth="1"/>
    <col min="14" max="14" width="25.1796875" customWidth="1"/>
    <col min="15" max="15" width="23.7265625" customWidth="1"/>
    <col min="16" max="18" width="22.1796875" customWidth="1"/>
    <col min="19" max="26" width="10.7265625" customWidth="1"/>
  </cols>
  <sheetData>
    <row r="1" spans="1:26" ht="18.75" customHeight="1">
      <c r="A1" s="186"/>
      <c r="B1" s="186"/>
      <c r="C1" s="186"/>
      <c r="D1" s="186"/>
      <c r="E1" s="289" t="s">
        <v>1322</v>
      </c>
      <c r="F1" s="186"/>
      <c r="G1" s="186"/>
      <c r="H1" s="186"/>
      <c r="I1" s="186"/>
      <c r="J1" s="186"/>
      <c r="K1" s="207" t="s">
        <v>1038</v>
      </c>
      <c r="L1" s="207"/>
      <c r="M1" s="207"/>
      <c r="N1" s="207"/>
      <c r="O1" s="207"/>
      <c r="P1" s="207"/>
      <c r="Q1" s="207"/>
      <c r="R1" s="207"/>
      <c r="S1" s="186"/>
      <c r="T1" s="186"/>
      <c r="U1" s="186"/>
      <c r="V1" s="186"/>
      <c r="W1" s="186"/>
      <c r="X1" s="186"/>
      <c r="Y1" s="186"/>
      <c r="Z1" s="186"/>
    </row>
    <row r="2" spans="1:26" ht="18.75" customHeight="1">
      <c r="A2" s="208" t="s">
        <v>1040</v>
      </c>
      <c r="B2" s="208" t="s">
        <v>1041</v>
      </c>
      <c r="C2" s="208" t="s">
        <v>1042</v>
      </c>
      <c r="D2" s="208" t="s">
        <v>1043</v>
      </c>
      <c r="E2" s="208" t="s">
        <v>224</v>
      </c>
      <c r="F2" s="208" t="s">
        <v>225</v>
      </c>
      <c r="G2" s="208" t="s">
        <v>226</v>
      </c>
      <c r="H2" s="208" t="s">
        <v>227</v>
      </c>
      <c r="I2" s="208" t="s">
        <v>1044</v>
      </c>
      <c r="J2" s="208" t="s">
        <v>1045</v>
      </c>
      <c r="K2" s="207" t="s">
        <v>100</v>
      </c>
      <c r="L2" s="207" t="s">
        <v>101</v>
      </c>
      <c r="M2" s="207" t="s">
        <v>102</v>
      </c>
      <c r="N2" s="285" t="s">
        <v>104</v>
      </c>
      <c r="O2" s="207" t="s">
        <v>105</v>
      </c>
      <c r="P2" s="207" t="s">
        <v>111</v>
      </c>
      <c r="Q2" s="207" t="s">
        <v>112</v>
      </c>
      <c r="R2" s="207" t="s">
        <v>103</v>
      </c>
      <c r="S2" s="186"/>
      <c r="T2" s="186"/>
      <c r="U2" s="186"/>
      <c r="V2" s="186"/>
      <c r="W2" s="186"/>
      <c r="X2" s="186"/>
      <c r="Y2" s="186"/>
      <c r="Z2" s="186"/>
    </row>
    <row r="3" spans="1:26" ht="18.75" customHeight="1">
      <c r="A3" s="213"/>
      <c r="B3" s="213"/>
      <c r="C3" s="210"/>
      <c r="D3" s="297"/>
      <c r="E3" s="186" t="s">
        <v>63</v>
      </c>
      <c r="F3" s="186" t="s">
        <v>124</v>
      </c>
      <c r="G3" s="186" t="s">
        <v>535</v>
      </c>
      <c r="H3" s="186" t="s">
        <v>903</v>
      </c>
      <c r="I3" s="186"/>
      <c r="J3" s="72">
        <v>1</v>
      </c>
      <c r="K3" s="186"/>
      <c r="L3" s="186"/>
      <c r="M3" s="90"/>
      <c r="N3" s="90"/>
      <c r="O3" s="186"/>
      <c r="P3" s="186"/>
      <c r="Q3" s="186"/>
      <c r="R3" s="186" t="s">
        <v>1190</v>
      </c>
      <c r="S3" s="186"/>
      <c r="T3" s="186"/>
      <c r="U3" s="186"/>
      <c r="V3" s="186"/>
      <c r="W3" s="186"/>
      <c r="X3" s="186"/>
      <c r="Y3" s="186"/>
      <c r="Z3" s="186"/>
    </row>
    <row r="4" spans="1:26" ht="18.75" customHeight="1">
      <c r="A4" s="213"/>
      <c r="B4" s="213"/>
      <c r="C4" s="210"/>
      <c r="D4" s="210"/>
      <c r="E4" s="186" t="s">
        <v>53</v>
      </c>
      <c r="F4" s="186" t="s">
        <v>1189</v>
      </c>
      <c r="G4" s="186" t="s">
        <v>249</v>
      </c>
      <c r="H4" s="186" t="s">
        <v>243</v>
      </c>
      <c r="I4" s="186"/>
      <c r="J4" s="72">
        <v>2</v>
      </c>
      <c r="K4" s="186"/>
      <c r="L4" s="186"/>
      <c r="M4" s="90"/>
      <c r="N4" s="90"/>
      <c r="O4" s="186"/>
      <c r="P4" s="186"/>
      <c r="Q4" s="186"/>
      <c r="R4" s="186" t="s">
        <v>1190</v>
      </c>
      <c r="S4" s="186"/>
      <c r="T4" s="186"/>
      <c r="U4" s="186"/>
      <c r="V4" s="186"/>
      <c r="W4" s="186"/>
      <c r="X4" s="186"/>
      <c r="Y4" s="186"/>
      <c r="Z4" s="186"/>
    </row>
    <row r="5" spans="1:26" ht="18.75" customHeight="1">
      <c r="A5" s="213"/>
      <c r="B5" s="213"/>
      <c r="C5" s="210"/>
      <c r="D5" s="210"/>
      <c r="E5" s="186" t="s">
        <v>53</v>
      </c>
      <c r="F5" s="186" t="s">
        <v>1191</v>
      </c>
      <c r="G5" s="186" t="s">
        <v>252</v>
      </c>
      <c r="H5" s="186" t="s">
        <v>243</v>
      </c>
      <c r="I5" s="186"/>
      <c r="J5" s="72">
        <v>3</v>
      </c>
      <c r="K5" s="186"/>
      <c r="L5" s="186"/>
      <c r="M5" s="90"/>
      <c r="N5" s="90"/>
      <c r="O5" s="186"/>
      <c r="P5" s="186"/>
      <c r="Q5" s="186"/>
      <c r="R5" s="186" t="s">
        <v>1190</v>
      </c>
      <c r="S5" s="186"/>
      <c r="T5" s="186"/>
      <c r="U5" s="186"/>
      <c r="V5" s="186"/>
      <c r="W5" s="186"/>
      <c r="X5" s="186"/>
      <c r="Y5" s="186"/>
      <c r="Z5" s="186"/>
    </row>
    <row r="6" spans="1:26" ht="18.75" customHeight="1">
      <c r="A6" s="213"/>
      <c r="B6" s="213"/>
      <c r="C6" s="210"/>
      <c r="D6" s="210"/>
      <c r="E6" s="186" t="s">
        <v>53</v>
      </c>
      <c r="F6" s="186" t="s">
        <v>1192</v>
      </c>
      <c r="G6" s="186" t="s">
        <v>242</v>
      </c>
      <c r="H6" s="186" t="s">
        <v>243</v>
      </c>
      <c r="I6" s="186"/>
      <c r="J6" s="72">
        <v>4</v>
      </c>
      <c r="K6" s="186"/>
      <c r="L6" s="186"/>
      <c r="M6" s="90"/>
      <c r="N6" s="90"/>
      <c r="O6" s="186"/>
      <c r="P6" s="186"/>
      <c r="Q6" s="186"/>
      <c r="R6" s="186" t="s">
        <v>1190</v>
      </c>
      <c r="S6" s="186"/>
      <c r="T6" s="186"/>
      <c r="U6" s="186"/>
      <c r="V6" s="186"/>
      <c r="W6" s="186"/>
      <c r="X6" s="186"/>
      <c r="Y6" s="186"/>
      <c r="Z6" s="186"/>
    </row>
    <row r="7" spans="1:26" ht="18.75" customHeight="1">
      <c r="A7" s="213"/>
      <c r="B7" s="213"/>
      <c r="C7" s="210"/>
      <c r="D7" s="210"/>
      <c r="E7" s="186" t="s">
        <v>53</v>
      </c>
      <c r="F7" s="186" t="s">
        <v>1193</v>
      </c>
      <c r="G7" s="186" t="s">
        <v>247</v>
      </c>
      <c r="H7" s="186" t="s">
        <v>243</v>
      </c>
      <c r="I7" s="186"/>
      <c r="J7" s="72">
        <v>5</v>
      </c>
      <c r="K7" s="186"/>
      <c r="L7" s="186"/>
      <c r="M7" s="90"/>
      <c r="N7" s="90"/>
      <c r="O7" s="186"/>
      <c r="P7" s="186"/>
      <c r="Q7" s="186"/>
      <c r="R7" s="186" t="s">
        <v>1190</v>
      </c>
      <c r="S7" s="186"/>
      <c r="T7" s="186"/>
      <c r="U7" s="186"/>
      <c r="V7" s="186"/>
      <c r="W7" s="186"/>
      <c r="X7" s="186"/>
      <c r="Y7" s="186"/>
      <c r="Z7" s="186"/>
    </row>
    <row r="8" spans="1:26" ht="18.75" customHeight="1">
      <c r="A8" s="213"/>
      <c r="B8" s="213"/>
      <c r="C8" s="210"/>
      <c r="D8" s="210"/>
      <c r="E8" s="186" t="s">
        <v>53</v>
      </c>
      <c r="F8" s="186" t="s">
        <v>1194</v>
      </c>
      <c r="G8" s="186" t="s">
        <v>252</v>
      </c>
      <c r="H8" s="186" t="s">
        <v>243</v>
      </c>
      <c r="I8" s="186"/>
      <c r="J8" s="72">
        <v>6</v>
      </c>
      <c r="K8" s="186"/>
      <c r="L8" s="186"/>
      <c r="M8" s="90"/>
      <c r="N8" s="90"/>
      <c r="O8" s="186"/>
      <c r="P8" s="186"/>
      <c r="Q8" s="186"/>
      <c r="R8" s="186" t="s">
        <v>1190</v>
      </c>
      <c r="S8" s="186"/>
      <c r="T8" s="186"/>
      <c r="U8" s="186"/>
      <c r="V8" s="186"/>
      <c r="W8" s="186"/>
      <c r="X8" s="186"/>
      <c r="Y8" s="186"/>
      <c r="Z8" s="186"/>
    </row>
    <row r="9" spans="1:26" ht="18.75" customHeight="1">
      <c r="A9" s="213"/>
      <c r="B9" s="213"/>
      <c r="C9" s="210"/>
      <c r="D9" s="210"/>
      <c r="E9" s="186" t="s">
        <v>53</v>
      </c>
      <c r="F9" s="186" t="s">
        <v>1195</v>
      </c>
      <c r="G9" s="186" t="s">
        <v>247</v>
      </c>
      <c r="H9" s="186" t="s">
        <v>243</v>
      </c>
      <c r="I9" s="186"/>
      <c r="J9" s="72">
        <v>7</v>
      </c>
      <c r="K9" s="186"/>
      <c r="L9" s="186"/>
      <c r="M9" s="90"/>
      <c r="N9" s="90"/>
      <c r="O9" s="186"/>
      <c r="P9" s="186"/>
      <c r="Q9" s="186"/>
      <c r="R9" s="186" t="s">
        <v>1190</v>
      </c>
      <c r="S9" s="186"/>
      <c r="T9" s="186"/>
      <c r="U9" s="186"/>
      <c r="V9" s="186"/>
      <c r="W9" s="186"/>
      <c r="X9" s="186"/>
      <c r="Y9" s="186"/>
      <c r="Z9" s="186"/>
    </row>
    <row r="10" spans="1:26" ht="18.75" customHeight="1">
      <c r="A10" s="213"/>
      <c r="B10" s="213"/>
      <c r="C10" s="210"/>
      <c r="D10" s="210"/>
      <c r="E10" s="186" t="s">
        <v>53</v>
      </c>
      <c r="F10" s="186" t="s">
        <v>1956</v>
      </c>
      <c r="G10" s="186" t="s">
        <v>252</v>
      </c>
      <c r="H10" s="186" t="s">
        <v>243</v>
      </c>
      <c r="I10" s="186"/>
      <c r="J10" s="72">
        <v>8</v>
      </c>
      <c r="K10" s="186"/>
      <c r="L10" s="186"/>
      <c r="M10" s="90"/>
      <c r="N10" s="90"/>
      <c r="O10" s="186"/>
      <c r="P10" s="186"/>
      <c r="Q10" s="186"/>
      <c r="R10" s="186" t="s">
        <v>1190</v>
      </c>
      <c r="S10" s="186"/>
      <c r="T10" s="186"/>
      <c r="U10" s="186"/>
      <c r="V10" s="186"/>
      <c r="W10" s="186"/>
      <c r="X10" s="186"/>
      <c r="Y10" s="186"/>
      <c r="Z10" s="186"/>
    </row>
    <row r="11" spans="1:26" ht="18.75" customHeight="1">
      <c r="A11" s="213"/>
      <c r="B11" s="213"/>
      <c r="C11" s="210"/>
      <c r="D11" s="210"/>
      <c r="E11" s="186" t="s">
        <v>53</v>
      </c>
      <c r="F11" s="186" t="s">
        <v>1957</v>
      </c>
      <c r="G11" s="186" t="s">
        <v>252</v>
      </c>
      <c r="H11" s="186" t="s">
        <v>243</v>
      </c>
      <c r="I11" s="186"/>
      <c r="J11" s="72">
        <v>9</v>
      </c>
      <c r="K11" s="186"/>
      <c r="L11" s="186"/>
      <c r="M11" s="90"/>
      <c r="N11" s="90"/>
      <c r="O11" s="186"/>
      <c r="P11" s="186"/>
      <c r="Q11" s="186"/>
      <c r="R11" s="186" t="s">
        <v>1190</v>
      </c>
      <c r="S11" s="186"/>
      <c r="T11" s="186"/>
      <c r="U11" s="186"/>
      <c r="V11" s="186"/>
      <c r="W11" s="186"/>
      <c r="X11" s="186"/>
      <c r="Y11" s="186"/>
      <c r="Z11" s="186"/>
    </row>
    <row r="12" spans="1:26" ht="18.75" customHeight="1">
      <c r="A12" s="213"/>
      <c r="B12" s="213"/>
      <c r="C12" s="210"/>
      <c r="D12" s="210"/>
      <c r="E12" s="186" t="s">
        <v>53</v>
      </c>
      <c r="F12" s="186" t="s">
        <v>1196</v>
      </c>
      <c r="G12" s="186" t="s">
        <v>535</v>
      </c>
      <c r="H12" s="186" t="s">
        <v>903</v>
      </c>
      <c r="I12" s="186"/>
      <c r="J12" s="72">
        <v>10</v>
      </c>
      <c r="K12" s="186"/>
      <c r="L12" s="186"/>
      <c r="M12" s="90"/>
      <c r="N12" s="90"/>
      <c r="O12" s="186"/>
      <c r="P12" s="186"/>
      <c r="Q12" s="186"/>
      <c r="R12" s="186" t="s">
        <v>1190</v>
      </c>
      <c r="S12" s="186"/>
      <c r="T12" s="186"/>
      <c r="U12" s="186"/>
      <c r="V12" s="186"/>
      <c r="W12" s="186"/>
      <c r="X12" s="186"/>
      <c r="Y12" s="186"/>
      <c r="Z12" s="186"/>
    </row>
    <row r="13" spans="1:26" ht="18.75" customHeight="1">
      <c r="A13" s="213"/>
      <c r="B13" s="213"/>
      <c r="C13" s="210"/>
      <c r="D13" s="210"/>
      <c r="E13" s="186" t="s">
        <v>55</v>
      </c>
      <c r="F13" s="186" t="s">
        <v>5104</v>
      </c>
      <c r="G13" s="186" t="s">
        <v>329</v>
      </c>
      <c r="H13" s="186" t="s">
        <v>243</v>
      </c>
      <c r="I13" s="186"/>
      <c r="J13" s="72">
        <v>11</v>
      </c>
      <c r="K13" s="186"/>
      <c r="L13" s="186"/>
      <c r="M13" s="90"/>
      <c r="N13" s="90"/>
      <c r="O13" s="186"/>
      <c r="P13" s="90"/>
      <c r="Q13" s="90"/>
      <c r="R13" s="90" t="s">
        <v>5105</v>
      </c>
      <c r="S13" s="186"/>
      <c r="T13" s="186"/>
      <c r="U13" s="186"/>
      <c r="V13" s="186"/>
      <c r="W13" s="186"/>
      <c r="X13" s="186"/>
      <c r="Y13" s="186"/>
      <c r="Z13" s="186"/>
    </row>
    <row r="14" spans="1:26" ht="18.75" customHeight="1">
      <c r="A14" s="213"/>
      <c r="B14" s="213"/>
      <c r="C14" s="210"/>
      <c r="D14" s="210"/>
      <c r="E14" s="186" t="s">
        <v>55</v>
      </c>
      <c r="F14" s="186" t="s">
        <v>5106</v>
      </c>
      <c r="G14" s="186" t="s">
        <v>329</v>
      </c>
      <c r="H14" s="186" t="s">
        <v>243</v>
      </c>
      <c r="I14" s="186"/>
      <c r="J14" s="72">
        <v>12</v>
      </c>
      <c r="K14" s="186"/>
      <c r="L14" s="186"/>
      <c r="M14" s="90"/>
      <c r="N14" s="90"/>
      <c r="O14" s="186"/>
      <c r="P14" s="90"/>
      <c r="Q14" s="90"/>
      <c r="R14" s="90" t="s">
        <v>5107</v>
      </c>
      <c r="S14" s="186"/>
      <c r="T14" s="186"/>
      <c r="U14" s="186"/>
      <c r="V14" s="186"/>
      <c r="W14" s="186"/>
      <c r="X14" s="186"/>
      <c r="Y14" s="186"/>
      <c r="Z14" s="186"/>
    </row>
    <row r="15" spans="1:26" ht="18.75" customHeight="1">
      <c r="A15" s="213"/>
      <c r="B15" s="213"/>
      <c r="C15" s="210"/>
      <c r="D15" s="210"/>
      <c r="E15" s="186" t="s">
        <v>53</v>
      </c>
      <c r="F15" s="186" t="s">
        <v>1290</v>
      </c>
      <c r="G15" s="186" t="s">
        <v>432</v>
      </c>
      <c r="H15" s="186" t="s">
        <v>243</v>
      </c>
      <c r="I15" s="186"/>
      <c r="J15" s="72">
        <v>13</v>
      </c>
      <c r="K15" s="186"/>
      <c r="L15" s="186"/>
      <c r="M15" s="90"/>
      <c r="N15" s="90"/>
      <c r="O15" s="186"/>
      <c r="P15" s="186"/>
      <c r="Q15" s="186"/>
      <c r="R15" s="186" t="s">
        <v>1190</v>
      </c>
      <c r="S15" s="186"/>
      <c r="T15" s="186"/>
      <c r="U15" s="186"/>
      <c r="V15" s="186"/>
      <c r="W15" s="186"/>
      <c r="X15" s="186"/>
      <c r="Y15" s="186"/>
      <c r="Z15" s="186"/>
    </row>
    <row r="16" spans="1:26" ht="18.75" customHeight="1">
      <c r="A16" s="213"/>
      <c r="B16" s="213"/>
      <c r="C16" s="210"/>
      <c r="D16" s="210"/>
      <c r="E16" s="186" t="s">
        <v>53</v>
      </c>
      <c r="F16" s="186" t="s">
        <v>1291</v>
      </c>
      <c r="G16" s="186" t="s">
        <v>247</v>
      </c>
      <c r="H16" s="186" t="s">
        <v>243</v>
      </c>
      <c r="I16" s="186"/>
      <c r="J16" s="72">
        <v>14</v>
      </c>
      <c r="K16" s="186"/>
      <c r="L16" s="186"/>
      <c r="M16" s="90"/>
      <c r="N16" s="90"/>
      <c r="O16" s="186"/>
      <c r="P16" s="186"/>
      <c r="Q16" s="186"/>
      <c r="R16" s="186" t="s">
        <v>1190</v>
      </c>
      <c r="S16" s="186"/>
      <c r="T16" s="186"/>
      <c r="U16" s="186"/>
      <c r="V16" s="186"/>
      <c r="W16" s="186"/>
      <c r="X16" s="186"/>
      <c r="Y16" s="186"/>
      <c r="Z16" s="186"/>
    </row>
    <row r="17" spans="1:26" ht="18.75" customHeight="1">
      <c r="A17" s="213"/>
      <c r="B17" s="213"/>
      <c r="C17" s="210"/>
      <c r="D17" s="210"/>
      <c r="E17" s="186" t="s">
        <v>53</v>
      </c>
      <c r="F17" s="186" t="s">
        <v>1292</v>
      </c>
      <c r="G17" s="186" t="s">
        <v>535</v>
      </c>
      <c r="H17" s="186" t="s">
        <v>243</v>
      </c>
      <c r="I17" s="186"/>
      <c r="J17" s="72">
        <v>15</v>
      </c>
      <c r="K17" s="186"/>
      <c r="L17" s="186"/>
      <c r="M17" s="90"/>
      <c r="N17" s="90"/>
      <c r="O17" s="186"/>
      <c r="P17" s="186"/>
      <c r="Q17" s="186"/>
      <c r="R17" s="186" t="s">
        <v>1190</v>
      </c>
      <c r="S17" s="186"/>
      <c r="T17" s="186"/>
      <c r="U17" s="186"/>
      <c r="V17" s="186"/>
      <c r="W17" s="186"/>
      <c r="X17" s="186"/>
      <c r="Y17" s="186"/>
      <c r="Z17" s="186"/>
    </row>
    <row r="18" spans="1:26" ht="18.75" customHeight="1">
      <c r="A18" s="213"/>
      <c r="B18" s="213"/>
      <c r="C18" s="210"/>
      <c r="D18" s="210"/>
      <c r="E18" s="186" t="s">
        <v>53</v>
      </c>
      <c r="F18" s="186" t="s">
        <v>1289</v>
      </c>
      <c r="G18" s="186" t="s">
        <v>324</v>
      </c>
      <c r="H18" s="186" t="s">
        <v>243</v>
      </c>
      <c r="I18" s="186"/>
      <c r="J18" s="72">
        <v>16</v>
      </c>
      <c r="K18" s="186"/>
      <c r="L18" s="186"/>
      <c r="M18" s="90"/>
      <c r="N18" s="90"/>
      <c r="O18" s="186"/>
      <c r="P18" s="186"/>
      <c r="Q18" s="186"/>
      <c r="R18" s="186" t="s">
        <v>1190</v>
      </c>
      <c r="S18" s="186"/>
      <c r="T18" s="186"/>
      <c r="U18" s="186"/>
      <c r="V18" s="186"/>
      <c r="W18" s="186"/>
      <c r="X18" s="186"/>
      <c r="Y18" s="186"/>
      <c r="Z18" s="186"/>
    </row>
    <row r="19" spans="1:26" ht="18.75" customHeight="1">
      <c r="A19" s="213"/>
      <c r="B19" s="213"/>
      <c r="C19" s="210"/>
      <c r="D19" s="210"/>
      <c r="E19" s="186" t="s">
        <v>53</v>
      </c>
      <c r="F19" s="186" t="s">
        <v>1293</v>
      </c>
      <c r="G19" s="186" t="s">
        <v>432</v>
      </c>
      <c r="H19" s="186" t="s">
        <v>243</v>
      </c>
      <c r="I19" s="186"/>
      <c r="J19" s="72">
        <v>17</v>
      </c>
      <c r="K19" s="186"/>
      <c r="L19" s="186"/>
      <c r="M19" s="90"/>
      <c r="N19" s="90"/>
      <c r="O19" s="186"/>
      <c r="P19" s="186"/>
      <c r="Q19" s="186"/>
      <c r="R19" s="186" t="s">
        <v>1190</v>
      </c>
      <c r="S19" s="186"/>
      <c r="T19" s="186"/>
      <c r="U19" s="186"/>
      <c r="V19" s="186"/>
      <c r="W19" s="186"/>
      <c r="X19" s="186"/>
      <c r="Y19" s="186"/>
      <c r="Z19" s="186"/>
    </row>
    <row r="20" spans="1:26" ht="18.75" customHeight="1">
      <c r="A20" s="213"/>
      <c r="B20" s="213"/>
      <c r="C20" s="210"/>
      <c r="D20" s="210"/>
      <c r="E20" s="186" t="s">
        <v>224</v>
      </c>
      <c r="F20" s="186" t="s">
        <v>5108</v>
      </c>
      <c r="G20" s="186" t="s">
        <v>329</v>
      </c>
      <c r="H20" s="186" t="s">
        <v>243</v>
      </c>
      <c r="I20" s="186"/>
      <c r="J20" s="72">
        <v>18</v>
      </c>
      <c r="K20" s="186"/>
      <c r="L20" s="186"/>
      <c r="M20" s="90"/>
      <c r="N20" s="90"/>
      <c r="O20" s="186"/>
      <c r="P20" s="90"/>
      <c r="Q20" s="90"/>
      <c r="R20" s="90" t="s">
        <v>5109</v>
      </c>
      <c r="S20" s="186"/>
      <c r="T20" s="186"/>
      <c r="U20" s="186"/>
      <c r="V20" s="186"/>
      <c r="W20" s="186"/>
      <c r="X20" s="186"/>
      <c r="Y20" s="186"/>
      <c r="Z20" s="186"/>
    </row>
    <row r="21" spans="1:26" ht="18.75" customHeight="1">
      <c r="A21" s="213"/>
      <c r="B21" s="213"/>
      <c r="C21" s="210"/>
      <c r="D21" s="210"/>
      <c r="E21" s="186" t="s">
        <v>53</v>
      </c>
      <c r="F21" s="186" t="s">
        <v>1288</v>
      </c>
      <c r="G21" s="186" t="s">
        <v>535</v>
      </c>
      <c r="H21" s="186" t="s">
        <v>903</v>
      </c>
      <c r="I21" s="186"/>
      <c r="J21" s="72">
        <v>19</v>
      </c>
      <c r="K21" s="186"/>
      <c r="L21" s="186"/>
      <c r="M21" s="90"/>
      <c r="N21" s="90"/>
      <c r="O21" s="186"/>
      <c r="P21" s="186"/>
      <c r="Q21" s="186"/>
      <c r="R21" s="186" t="s">
        <v>1190</v>
      </c>
      <c r="S21" s="186"/>
      <c r="T21" s="186"/>
      <c r="U21" s="186"/>
      <c r="V21" s="186"/>
      <c r="W21" s="186"/>
      <c r="X21" s="186"/>
      <c r="Y21" s="186"/>
      <c r="Z21" s="186"/>
    </row>
    <row r="22" spans="1:26" ht="18.75" customHeight="1">
      <c r="A22" s="213"/>
      <c r="B22" s="213"/>
      <c r="C22" s="210"/>
      <c r="D22" s="210"/>
      <c r="E22" s="186" t="s">
        <v>224</v>
      </c>
      <c r="F22" s="186" t="s">
        <v>5110</v>
      </c>
      <c r="G22" s="186" t="s">
        <v>535</v>
      </c>
      <c r="H22" s="186" t="s">
        <v>903</v>
      </c>
      <c r="I22" s="186"/>
      <c r="J22" s="72">
        <v>20</v>
      </c>
      <c r="K22" s="186"/>
      <c r="L22" s="186"/>
      <c r="M22" s="90"/>
      <c r="N22" s="90"/>
      <c r="O22" s="186"/>
      <c r="P22" s="90"/>
      <c r="Q22" s="90"/>
      <c r="R22" s="90" t="s">
        <v>5111</v>
      </c>
      <c r="S22" s="186"/>
      <c r="T22" s="186"/>
      <c r="U22" s="186"/>
      <c r="V22" s="186"/>
      <c r="W22" s="186"/>
      <c r="X22" s="186"/>
      <c r="Y22" s="186"/>
      <c r="Z22" s="186"/>
    </row>
    <row r="23" spans="1:26" ht="18.75" customHeight="1">
      <c r="A23" s="213"/>
      <c r="B23" s="213"/>
      <c r="C23" s="210"/>
      <c r="D23" s="210"/>
      <c r="E23" s="186" t="s">
        <v>224</v>
      </c>
      <c r="F23" s="186" t="s">
        <v>2352</v>
      </c>
      <c r="G23" s="186" t="s">
        <v>535</v>
      </c>
      <c r="H23" s="186" t="s">
        <v>903</v>
      </c>
      <c r="I23" s="186"/>
      <c r="J23" s="72">
        <v>21</v>
      </c>
      <c r="K23" s="186"/>
      <c r="L23" s="186"/>
      <c r="M23" s="90"/>
      <c r="N23" s="90"/>
      <c r="O23" s="186"/>
      <c r="P23" s="90"/>
      <c r="Q23" s="90"/>
      <c r="R23" s="90" t="s">
        <v>5112</v>
      </c>
      <c r="S23" s="186"/>
      <c r="T23" s="186"/>
      <c r="U23" s="186"/>
      <c r="V23" s="186"/>
      <c r="W23" s="186"/>
      <c r="X23" s="186"/>
      <c r="Y23" s="186"/>
      <c r="Z23" s="186"/>
    </row>
  </sheetData>
  <autoFilter ref="A2:Z23" xr:uid="{00000000-0009-0000-0000-000033000000}"/>
  <pageMargins left="0.7" right="0.7" top="0.75" bottom="0.75" header="0" footer="0"/>
  <pageSetup orientation="landscape"/>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outlinePr summaryBelow="0" summaryRight="0"/>
  </sheetPr>
  <dimension ref="A1:AA59"/>
  <sheetViews>
    <sheetView topLeftCell="E1" workbookViewId="0"/>
  </sheetViews>
  <sheetFormatPr defaultColWidth="14.453125" defaultRowHeight="15" customHeight="1"/>
  <cols>
    <col min="1" max="2" width="12.7265625" hidden="1" customWidth="1"/>
    <col min="3" max="3" width="13" hidden="1" customWidth="1"/>
    <col min="4" max="4" width="17.26953125" hidden="1" customWidth="1"/>
    <col min="5" max="5" width="20.453125" customWidth="1"/>
    <col min="6" max="6" width="36.1796875" customWidth="1"/>
    <col min="7" max="7" width="24.7265625" customWidth="1"/>
    <col min="8" max="8" width="12.1796875" customWidth="1"/>
    <col min="9" max="9" width="15.7265625" customWidth="1"/>
    <col min="10" max="10" width="8.453125" customWidth="1"/>
    <col min="11" max="13" width="22.1796875" customWidth="1"/>
    <col min="14" max="14" width="27.453125" customWidth="1"/>
    <col min="15" max="15" width="23.7265625" customWidth="1"/>
    <col min="16" max="16" width="15.453125" customWidth="1"/>
    <col min="17" max="18" width="26.453125" customWidth="1"/>
    <col min="19" max="27" width="10.7265625" customWidth="1"/>
  </cols>
  <sheetData>
    <row r="1" spans="1:27" ht="18.75" customHeight="1">
      <c r="A1" s="186"/>
      <c r="B1" s="186"/>
      <c r="C1" s="186"/>
      <c r="D1" s="186"/>
      <c r="E1" s="289" t="s">
        <v>1322</v>
      </c>
      <c r="F1" s="186"/>
      <c r="G1" s="186"/>
      <c r="H1" s="186"/>
      <c r="I1" s="186"/>
      <c r="J1" s="186"/>
      <c r="K1" s="207" t="s">
        <v>1038</v>
      </c>
      <c r="L1" s="207"/>
      <c r="M1" s="207"/>
      <c r="N1" s="207"/>
      <c r="O1" s="207"/>
      <c r="P1" s="207"/>
      <c r="Q1" s="207"/>
      <c r="R1" s="207"/>
      <c r="S1" s="186"/>
      <c r="T1" s="186"/>
      <c r="U1" s="186"/>
      <c r="V1" s="186"/>
      <c r="W1" s="186"/>
      <c r="X1" s="186"/>
      <c r="Y1" s="186"/>
      <c r="Z1" s="186"/>
      <c r="AA1" s="186"/>
    </row>
    <row r="2" spans="1:27" ht="18.75" customHeight="1">
      <c r="A2" s="208" t="s">
        <v>1040</v>
      </c>
      <c r="B2" s="208" t="s">
        <v>1041</v>
      </c>
      <c r="C2" s="208" t="s">
        <v>1042</v>
      </c>
      <c r="D2" s="208" t="s">
        <v>1043</v>
      </c>
      <c r="E2" s="208" t="s">
        <v>224</v>
      </c>
      <c r="F2" s="208" t="s">
        <v>225</v>
      </c>
      <c r="G2" s="208" t="s">
        <v>226</v>
      </c>
      <c r="H2" s="208" t="s">
        <v>227</v>
      </c>
      <c r="I2" s="208" t="s">
        <v>1044</v>
      </c>
      <c r="J2" s="208" t="s">
        <v>1045</v>
      </c>
      <c r="K2" s="207" t="s">
        <v>100</v>
      </c>
      <c r="L2" s="207" t="s">
        <v>101</v>
      </c>
      <c r="M2" s="207" t="s">
        <v>102</v>
      </c>
      <c r="N2" s="285" t="s">
        <v>104</v>
      </c>
      <c r="O2" s="207" t="s">
        <v>105</v>
      </c>
      <c r="P2" s="207" t="s">
        <v>111</v>
      </c>
      <c r="Q2" s="207" t="s">
        <v>112</v>
      </c>
      <c r="R2" s="207" t="s">
        <v>103</v>
      </c>
      <c r="S2" s="186"/>
      <c r="T2" s="186"/>
      <c r="U2" s="186"/>
      <c r="V2" s="186"/>
      <c r="W2" s="186"/>
      <c r="X2" s="186"/>
      <c r="Y2" s="186"/>
      <c r="Z2" s="186"/>
      <c r="AA2" s="186"/>
    </row>
    <row r="3" spans="1:27" ht="18.75" customHeight="1">
      <c r="A3" s="213"/>
      <c r="B3" s="213"/>
      <c r="C3" s="210"/>
      <c r="D3" s="297"/>
      <c r="E3" s="186" t="s">
        <v>63</v>
      </c>
      <c r="F3" s="186" t="s">
        <v>124</v>
      </c>
      <c r="G3" s="186" t="s">
        <v>535</v>
      </c>
      <c r="H3" s="186" t="s">
        <v>903</v>
      </c>
      <c r="I3" s="186"/>
      <c r="J3" s="72">
        <v>1</v>
      </c>
      <c r="K3" s="186"/>
      <c r="L3" s="186"/>
      <c r="M3" s="90"/>
      <c r="N3" s="90"/>
      <c r="O3" s="186"/>
      <c r="P3" s="186"/>
      <c r="Q3" s="186"/>
      <c r="R3" s="186" t="s">
        <v>1190</v>
      </c>
      <c r="S3" s="129"/>
      <c r="T3" s="186"/>
      <c r="U3" s="186"/>
      <c r="V3" s="186"/>
      <c r="W3" s="186"/>
      <c r="X3" s="186"/>
      <c r="Y3" s="186"/>
      <c r="Z3" s="186"/>
      <c r="AA3" s="186"/>
    </row>
    <row r="4" spans="1:27" ht="18.75" customHeight="1">
      <c r="A4" s="213"/>
      <c r="B4" s="213"/>
      <c r="C4" s="210"/>
      <c r="D4" s="210"/>
      <c r="E4" s="186" t="s">
        <v>55</v>
      </c>
      <c r="F4" s="186" t="s">
        <v>3178</v>
      </c>
      <c r="G4" s="186" t="s">
        <v>329</v>
      </c>
      <c r="H4" s="186" t="s">
        <v>243</v>
      </c>
      <c r="I4" s="186"/>
      <c r="J4" s="72">
        <v>2</v>
      </c>
      <c r="K4" s="186"/>
      <c r="L4" s="186"/>
      <c r="M4" s="90"/>
      <c r="N4" s="90"/>
      <c r="O4" s="186"/>
      <c r="P4" s="186"/>
      <c r="Q4" s="186"/>
      <c r="R4" s="186" t="s">
        <v>3179</v>
      </c>
      <c r="S4" s="186"/>
      <c r="T4" s="186"/>
      <c r="U4" s="186"/>
      <c r="V4" s="186"/>
      <c r="W4" s="186"/>
      <c r="X4" s="186"/>
      <c r="Y4" s="186"/>
      <c r="Z4" s="186"/>
      <c r="AA4" s="186"/>
    </row>
    <row r="5" spans="1:27" ht="18.75" customHeight="1">
      <c r="A5" s="213"/>
      <c r="B5" s="213"/>
      <c r="C5" s="210"/>
      <c r="D5" s="210"/>
      <c r="E5" s="186" t="s">
        <v>55</v>
      </c>
      <c r="F5" s="186" t="s">
        <v>3180</v>
      </c>
      <c r="G5" s="186" t="s">
        <v>329</v>
      </c>
      <c r="H5" s="186" t="s">
        <v>243</v>
      </c>
      <c r="I5" s="186"/>
      <c r="J5" s="72">
        <v>3</v>
      </c>
      <c r="K5" s="186"/>
      <c r="L5" s="186"/>
      <c r="M5" s="90"/>
      <c r="N5" s="90"/>
      <c r="O5" s="186"/>
      <c r="P5" s="186"/>
      <c r="Q5" s="186"/>
      <c r="R5" s="186" t="s">
        <v>3181</v>
      </c>
      <c r="S5" s="186"/>
      <c r="T5" s="186"/>
      <c r="U5" s="186"/>
      <c r="V5" s="186"/>
      <c r="W5" s="186"/>
      <c r="X5" s="186"/>
      <c r="Y5" s="186"/>
      <c r="Z5" s="186"/>
      <c r="AA5" s="186"/>
    </row>
    <row r="6" spans="1:27" ht="18.75" customHeight="1">
      <c r="A6" s="213"/>
      <c r="B6" s="213"/>
      <c r="C6" s="210"/>
      <c r="D6" s="210"/>
      <c r="E6" s="186" t="s">
        <v>55</v>
      </c>
      <c r="F6" s="186" t="s">
        <v>3182</v>
      </c>
      <c r="G6" s="186" t="s">
        <v>329</v>
      </c>
      <c r="H6" s="186" t="s">
        <v>243</v>
      </c>
      <c r="I6" s="186"/>
      <c r="J6" s="72">
        <v>4</v>
      </c>
      <c r="K6" s="186"/>
      <c r="L6" s="186"/>
      <c r="M6" s="90"/>
      <c r="N6" s="90"/>
      <c r="O6" s="186"/>
      <c r="P6" s="186"/>
      <c r="Q6" s="186"/>
      <c r="R6" s="186" t="s">
        <v>3183</v>
      </c>
      <c r="S6" s="186"/>
      <c r="T6" s="186"/>
      <c r="U6" s="186"/>
      <c r="V6" s="186"/>
      <c r="W6" s="186"/>
      <c r="X6" s="186"/>
      <c r="Y6" s="186"/>
      <c r="Z6" s="186"/>
      <c r="AA6" s="186"/>
    </row>
    <row r="7" spans="1:27" ht="18.75" customHeight="1">
      <c r="A7" s="213"/>
      <c r="B7" s="213"/>
      <c r="C7" s="210"/>
      <c r="D7" s="210"/>
      <c r="E7" s="186" t="s">
        <v>55</v>
      </c>
      <c r="F7" s="186" t="s">
        <v>3184</v>
      </c>
      <c r="G7" s="186" t="s">
        <v>329</v>
      </c>
      <c r="H7" s="186" t="s">
        <v>243</v>
      </c>
      <c r="I7" s="186"/>
      <c r="J7" s="72">
        <v>5</v>
      </c>
      <c r="K7" s="186"/>
      <c r="L7" s="186"/>
      <c r="M7" s="90"/>
      <c r="N7" s="90"/>
      <c r="O7" s="186"/>
      <c r="P7" s="186"/>
      <c r="Q7" s="186"/>
      <c r="R7" s="186" t="s">
        <v>3185</v>
      </c>
      <c r="S7" s="186"/>
      <c r="T7" s="186"/>
      <c r="U7" s="186"/>
      <c r="V7" s="186"/>
      <c r="W7" s="186"/>
      <c r="X7" s="186"/>
      <c r="Y7" s="186"/>
      <c r="Z7" s="186"/>
      <c r="AA7" s="186"/>
    </row>
    <row r="8" spans="1:27" ht="18.75" customHeight="1">
      <c r="A8" s="213"/>
      <c r="B8" s="213"/>
      <c r="C8" s="210"/>
      <c r="D8" s="210"/>
      <c r="E8" s="186" t="s">
        <v>55</v>
      </c>
      <c r="F8" s="186" t="s">
        <v>3186</v>
      </c>
      <c r="G8" s="186" t="s">
        <v>329</v>
      </c>
      <c r="H8" s="186" t="s">
        <v>243</v>
      </c>
      <c r="I8" s="186"/>
      <c r="J8" s="72">
        <v>6</v>
      </c>
      <c r="K8" s="186"/>
      <c r="L8" s="186"/>
      <c r="M8" s="90"/>
      <c r="N8" s="90"/>
      <c r="O8" s="186"/>
      <c r="P8" s="186"/>
      <c r="Q8" s="186"/>
      <c r="R8" s="186" t="s">
        <v>3187</v>
      </c>
      <c r="S8" s="186"/>
      <c r="T8" s="186"/>
      <c r="U8" s="186"/>
      <c r="V8" s="186"/>
      <c r="W8" s="186"/>
      <c r="X8" s="186"/>
      <c r="Y8" s="186"/>
      <c r="Z8" s="186"/>
      <c r="AA8" s="186"/>
    </row>
    <row r="9" spans="1:27" ht="18.75" customHeight="1">
      <c r="A9" s="213"/>
      <c r="B9" s="213"/>
      <c r="C9" s="210"/>
      <c r="D9" s="210"/>
      <c r="E9" s="186" t="s">
        <v>55</v>
      </c>
      <c r="F9" s="186" t="s">
        <v>3188</v>
      </c>
      <c r="G9" s="186" t="s">
        <v>329</v>
      </c>
      <c r="H9" s="186" t="s">
        <v>243</v>
      </c>
      <c r="I9" s="186"/>
      <c r="J9" s="72">
        <v>7</v>
      </c>
      <c r="K9" s="186"/>
      <c r="L9" s="186"/>
      <c r="M9" s="90"/>
      <c r="N9" s="90"/>
      <c r="O9" s="186"/>
      <c r="P9" s="186"/>
      <c r="Q9" s="186"/>
      <c r="R9" s="186" t="s">
        <v>3189</v>
      </c>
      <c r="S9" s="186"/>
      <c r="T9" s="186"/>
      <c r="U9" s="186"/>
      <c r="V9" s="186"/>
      <c r="W9" s="186"/>
      <c r="X9" s="186"/>
      <c r="Y9" s="186"/>
      <c r="Z9" s="186"/>
      <c r="AA9" s="186"/>
    </row>
    <row r="10" spans="1:27" ht="18.75" customHeight="1">
      <c r="A10" s="213"/>
      <c r="B10" s="213"/>
      <c r="C10" s="210"/>
      <c r="D10" s="210"/>
      <c r="E10" s="186" t="s">
        <v>55</v>
      </c>
      <c r="F10" s="186" t="s">
        <v>3190</v>
      </c>
      <c r="G10" s="186" t="s">
        <v>329</v>
      </c>
      <c r="H10" s="186" t="s">
        <v>243</v>
      </c>
      <c r="I10" s="186"/>
      <c r="J10" s="72">
        <v>8</v>
      </c>
      <c r="K10" s="186"/>
      <c r="L10" s="186"/>
      <c r="M10" s="90"/>
      <c r="N10" s="90"/>
      <c r="O10" s="186"/>
      <c r="P10" s="186"/>
      <c r="Q10" s="186"/>
      <c r="R10" s="186" t="s">
        <v>3191</v>
      </c>
      <c r="S10" s="186"/>
      <c r="T10" s="186"/>
      <c r="U10" s="186"/>
      <c r="V10" s="186"/>
      <c r="W10" s="186"/>
      <c r="X10" s="186"/>
      <c r="Y10" s="186"/>
      <c r="Z10" s="186"/>
      <c r="AA10" s="186"/>
    </row>
    <row r="11" spans="1:27" ht="18.75" customHeight="1">
      <c r="A11" s="213"/>
      <c r="B11" s="213"/>
      <c r="C11" s="210"/>
      <c r="D11" s="210"/>
      <c r="E11" s="186" t="s">
        <v>53</v>
      </c>
      <c r="F11" s="186" t="s">
        <v>1189</v>
      </c>
      <c r="G11" s="186" t="s">
        <v>249</v>
      </c>
      <c r="H11" s="186" t="s">
        <v>243</v>
      </c>
      <c r="I11" s="186"/>
      <c r="J11" s="72">
        <v>9</v>
      </c>
      <c r="K11" s="186"/>
      <c r="L11" s="186"/>
      <c r="M11" s="90"/>
      <c r="N11" s="90"/>
      <c r="O11" s="186"/>
      <c r="P11" s="186"/>
      <c r="Q11" s="186"/>
      <c r="R11" s="186" t="s">
        <v>1190</v>
      </c>
      <c r="S11" s="186"/>
      <c r="T11" s="186"/>
      <c r="U11" s="186"/>
      <c r="V11" s="186"/>
      <c r="W11" s="186"/>
      <c r="X11" s="186"/>
      <c r="Y11" s="186"/>
      <c r="Z11" s="186"/>
      <c r="AA11" s="186"/>
    </row>
    <row r="12" spans="1:27" ht="18.75" customHeight="1">
      <c r="A12" s="213"/>
      <c r="B12" s="213"/>
      <c r="C12" s="210"/>
      <c r="D12" s="210"/>
      <c r="E12" s="186" t="s">
        <v>53</v>
      </c>
      <c r="F12" s="186" t="s">
        <v>1191</v>
      </c>
      <c r="G12" s="186" t="s">
        <v>252</v>
      </c>
      <c r="H12" s="186" t="s">
        <v>243</v>
      </c>
      <c r="I12" s="186"/>
      <c r="J12" s="72">
        <v>10</v>
      </c>
      <c r="K12" s="186"/>
      <c r="L12" s="186"/>
      <c r="M12" s="90"/>
      <c r="N12" s="90"/>
      <c r="O12" s="186"/>
      <c r="P12" s="186"/>
      <c r="Q12" s="186"/>
      <c r="R12" s="186" t="s">
        <v>1190</v>
      </c>
      <c r="S12" s="186"/>
      <c r="T12" s="186"/>
      <c r="U12" s="186"/>
      <c r="V12" s="186"/>
      <c r="W12" s="186"/>
      <c r="X12" s="186"/>
      <c r="Y12" s="186"/>
      <c r="Z12" s="186"/>
      <c r="AA12" s="186"/>
    </row>
    <row r="13" spans="1:27" ht="18.75" customHeight="1">
      <c r="A13" s="213"/>
      <c r="B13" s="213"/>
      <c r="C13" s="210"/>
      <c r="D13" s="210"/>
      <c r="E13" s="186" t="s">
        <v>53</v>
      </c>
      <c r="F13" s="186" t="s">
        <v>1192</v>
      </c>
      <c r="G13" s="186" t="s">
        <v>242</v>
      </c>
      <c r="H13" s="186" t="s">
        <v>243</v>
      </c>
      <c r="I13" s="186"/>
      <c r="J13" s="72">
        <v>11</v>
      </c>
      <c r="K13" s="186"/>
      <c r="L13" s="186"/>
      <c r="M13" s="90"/>
      <c r="N13" s="90"/>
      <c r="O13" s="186"/>
      <c r="P13" s="186"/>
      <c r="Q13" s="186"/>
      <c r="R13" s="186" t="s">
        <v>1190</v>
      </c>
      <c r="S13" s="186"/>
      <c r="T13" s="186"/>
      <c r="U13" s="186"/>
      <c r="V13" s="186"/>
      <c r="W13" s="186"/>
      <c r="X13" s="186"/>
      <c r="Y13" s="186"/>
      <c r="Z13" s="186"/>
      <c r="AA13" s="186"/>
    </row>
    <row r="14" spans="1:27" ht="18.75" customHeight="1">
      <c r="A14" s="213"/>
      <c r="B14" s="213"/>
      <c r="C14" s="210"/>
      <c r="D14" s="210"/>
      <c r="E14" s="186" t="s">
        <v>53</v>
      </c>
      <c r="F14" s="186" t="s">
        <v>1193</v>
      </c>
      <c r="G14" s="186" t="s">
        <v>247</v>
      </c>
      <c r="H14" s="186" t="s">
        <v>243</v>
      </c>
      <c r="I14" s="186"/>
      <c r="J14" s="72">
        <v>12</v>
      </c>
      <c r="K14" s="186"/>
      <c r="L14" s="186"/>
      <c r="M14" s="90"/>
      <c r="N14" s="90"/>
      <c r="O14" s="186"/>
      <c r="P14" s="186"/>
      <c r="Q14" s="186"/>
      <c r="R14" s="186" t="s">
        <v>1190</v>
      </c>
      <c r="S14" s="186"/>
      <c r="T14" s="186"/>
      <c r="U14" s="186"/>
      <c r="V14" s="186"/>
      <c r="W14" s="186"/>
      <c r="X14" s="186"/>
      <c r="Y14" s="186"/>
      <c r="Z14" s="186"/>
      <c r="AA14" s="186"/>
    </row>
    <row r="15" spans="1:27" ht="18.75" customHeight="1">
      <c r="A15" s="213"/>
      <c r="B15" s="213"/>
      <c r="C15" s="210"/>
      <c r="D15" s="210"/>
      <c r="E15" s="186" t="s">
        <v>53</v>
      </c>
      <c r="F15" s="186" t="s">
        <v>1194</v>
      </c>
      <c r="G15" s="186" t="s">
        <v>252</v>
      </c>
      <c r="H15" s="186" t="s">
        <v>243</v>
      </c>
      <c r="I15" s="186"/>
      <c r="J15" s="72">
        <v>13</v>
      </c>
      <c r="K15" s="186"/>
      <c r="L15" s="186"/>
      <c r="M15" s="90"/>
      <c r="N15" s="90"/>
      <c r="O15" s="186"/>
      <c r="P15" s="186"/>
      <c r="Q15" s="186"/>
      <c r="R15" s="186" t="s">
        <v>1190</v>
      </c>
      <c r="S15" s="186"/>
      <c r="T15" s="186"/>
      <c r="U15" s="186"/>
      <c r="V15" s="186"/>
      <c r="W15" s="186"/>
      <c r="X15" s="186"/>
      <c r="Y15" s="186"/>
      <c r="Z15" s="186"/>
      <c r="AA15" s="186"/>
    </row>
    <row r="16" spans="1:27" ht="18.75" customHeight="1">
      <c r="A16" s="213"/>
      <c r="B16" s="213"/>
      <c r="C16" s="210"/>
      <c r="D16" s="210"/>
      <c r="E16" s="186" t="s">
        <v>53</v>
      </c>
      <c r="F16" s="186" t="s">
        <v>1195</v>
      </c>
      <c r="G16" s="186" t="s">
        <v>247</v>
      </c>
      <c r="H16" s="186" t="s">
        <v>243</v>
      </c>
      <c r="I16" s="186"/>
      <c r="J16" s="72">
        <v>14</v>
      </c>
      <c r="K16" s="186"/>
      <c r="L16" s="186"/>
      <c r="M16" s="90"/>
      <c r="N16" s="90"/>
      <c r="O16" s="186"/>
      <c r="P16" s="186"/>
      <c r="Q16" s="186"/>
      <c r="R16" s="186" t="s">
        <v>1190</v>
      </c>
      <c r="S16" s="186"/>
      <c r="T16" s="186"/>
      <c r="U16" s="186"/>
      <c r="V16" s="186"/>
      <c r="W16" s="186"/>
      <c r="X16" s="186"/>
      <c r="Y16" s="186"/>
      <c r="Z16" s="186"/>
      <c r="AA16" s="186"/>
    </row>
    <row r="17" spans="1:27" ht="18.75" customHeight="1">
      <c r="A17" s="213"/>
      <c r="B17" s="213"/>
      <c r="C17" s="210"/>
      <c r="D17" s="210"/>
      <c r="E17" s="186" t="s">
        <v>53</v>
      </c>
      <c r="F17" s="186" t="s">
        <v>1196</v>
      </c>
      <c r="G17" s="186" t="s">
        <v>535</v>
      </c>
      <c r="H17" s="186" t="s">
        <v>903</v>
      </c>
      <c r="I17" s="186"/>
      <c r="J17" s="72">
        <v>15</v>
      </c>
      <c r="K17" s="186"/>
      <c r="L17" s="186"/>
      <c r="M17" s="90"/>
      <c r="N17" s="90"/>
      <c r="O17" s="186"/>
      <c r="P17" s="186"/>
      <c r="Q17" s="186"/>
      <c r="R17" s="186" t="s">
        <v>1190</v>
      </c>
      <c r="S17" s="186"/>
      <c r="T17" s="186"/>
      <c r="U17" s="186"/>
      <c r="V17" s="186"/>
      <c r="W17" s="186"/>
      <c r="X17" s="186"/>
      <c r="Y17" s="186"/>
      <c r="Z17" s="186"/>
      <c r="AA17" s="186"/>
    </row>
    <row r="18" spans="1:27" ht="18.75" customHeight="1">
      <c r="A18" s="213"/>
      <c r="B18" s="213"/>
      <c r="C18" s="210"/>
      <c r="D18" s="210"/>
      <c r="E18" s="186" t="s">
        <v>55</v>
      </c>
      <c r="F18" s="186" t="s">
        <v>3192</v>
      </c>
      <c r="G18" s="186" t="s">
        <v>329</v>
      </c>
      <c r="H18" s="186" t="s">
        <v>243</v>
      </c>
      <c r="I18" s="186"/>
      <c r="J18" s="72">
        <v>16</v>
      </c>
      <c r="K18" s="186"/>
      <c r="L18" s="186"/>
      <c r="M18" s="90"/>
      <c r="N18" s="90"/>
      <c r="O18" s="186"/>
      <c r="P18" s="186"/>
      <c r="Q18" s="186"/>
      <c r="R18" s="186" t="s">
        <v>3193</v>
      </c>
      <c r="S18" s="186"/>
      <c r="T18" s="186"/>
      <c r="U18" s="186"/>
      <c r="V18" s="186"/>
      <c r="W18" s="186"/>
      <c r="X18" s="186"/>
      <c r="Y18" s="186"/>
      <c r="Z18" s="186"/>
      <c r="AA18" s="186"/>
    </row>
    <row r="19" spans="1:27" ht="18.75" customHeight="1">
      <c r="A19" s="213"/>
      <c r="B19" s="213"/>
      <c r="C19" s="210"/>
      <c r="D19" s="210"/>
      <c r="E19" s="186" t="s">
        <v>224</v>
      </c>
      <c r="F19" s="186" t="s">
        <v>3194</v>
      </c>
      <c r="G19" s="186" t="s">
        <v>250</v>
      </c>
      <c r="H19" s="186" t="s">
        <v>243</v>
      </c>
      <c r="I19" s="186"/>
      <c r="J19" s="72">
        <v>17</v>
      </c>
      <c r="K19" s="186"/>
      <c r="L19" s="186"/>
      <c r="M19" s="90"/>
      <c r="N19" s="90"/>
      <c r="O19" s="186"/>
      <c r="P19" s="186"/>
      <c r="Q19" s="186"/>
      <c r="R19" s="186" t="s">
        <v>3196</v>
      </c>
      <c r="S19" s="186"/>
      <c r="T19" s="186"/>
      <c r="U19" s="186"/>
      <c r="V19" s="186"/>
      <c r="W19" s="186"/>
      <c r="X19" s="186"/>
      <c r="Y19" s="186"/>
      <c r="Z19" s="186"/>
      <c r="AA19" s="186"/>
    </row>
    <row r="20" spans="1:27" ht="18.75" customHeight="1">
      <c r="A20" s="213"/>
      <c r="B20" s="213"/>
      <c r="C20" s="210"/>
      <c r="D20" s="210"/>
      <c r="E20" s="186" t="s">
        <v>55</v>
      </c>
      <c r="F20" s="186" t="s">
        <v>3197</v>
      </c>
      <c r="G20" s="186" t="s">
        <v>329</v>
      </c>
      <c r="H20" s="186" t="s">
        <v>243</v>
      </c>
      <c r="I20" s="186"/>
      <c r="J20" s="72">
        <v>18</v>
      </c>
      <c r="K20" s="186"/>
      <c r="L20" s="186"/>
      <c r="M20" s="90"/>
      <c r="N20" s="90"/>
      <c r="O20" s="186"/>
      <c r="P20" s="90"/>
      <c r="Q20" s="90"/>
      <c r="R20" s="90" t="s">
        <v>3198</v>
      </c>
      <c r="S20" s="186"/>
      <c r="T20" s="186"/>
      <c r="U20" s="186"/>
      <c r="V20" s="186"/>
      <c r="W20" s="186"/>
      <c r="X20" s="186"/>
      <c r="Y20" s="186"/>
      <c r="Z20" s="186"/>
      <c r="AA20" s="186"/>
    </row>
    <row r="21" spans="1:27" ht="18.75" customHeight="1">
      <c r="A21" s="213"/>
      <c r="B21" s="213"/>
      <c r="C21" s="210"/>
      <c r="D21" s="210"/>
      <c r="E21" s="186" t="s">
        <v>55</v>
      </c>
      <c r="F21" s="186" t="s">
        <v>3199</v>
      </c>
      <c r="G21" s="186" t="s">
        <v>329</v>
      </c>
      <c r="H21" s="186" t="s">
        <v>243</v>
      </c>
      <c r="I21" s="186"/>
      <c r="J21" s="72">
        <v>19</v>
      </c>
      <c r="K21" s="186"/>
      <c r="L21" s="186"/>
      <c r="M21" s="90"/>
      <c r="N21" s="90"/>
      <c r="O21" s="186"/>
      <c r="P21" s="186"/>
      <c r="Q21" s="186"/>
      <c r="R21" s="186" t="s">
        <v>3200</v>
      </c>
      <c r="S21" s="186"/>
      <c r="T21" s="186"/>
      <c r="U21" s="186"/>
      <c r="V21" s="186"/>
      <c r="W21" s="186"/>
      <c r="X21" s="186"/>
      <c r="Y21" s="186"/>
      <c r="Z21" s="186"/>
      <c r="AA21" s="186"/>
    </row>
    <row r="22" spans="1:27" ht="18.75" customHeight="1">
      <c r="A22" s="213"/>
      <c r="B22" s="213"/>
      <c r="C22" s="210"/>
      <c r="D22" s="210"/>
      <c r="E22" s="186" t="s">
        <v>55</v>
      </c>
      <c r="F22" s="186" t="s">
        <v>3201</v>
      </c>
      <c r="G22" s="186" t="s">
        <v>329</v>
      </c>
      <c r="H22" s="186" t="s">
        <v>243</v>
      </c>
      <c r="I22" s="186"/>
      <c r="J22" s="72">
        <v>20</v>
      </c>
      <c r="K22" s="186"/>
      <c r="L22" s="186"/>
      <c r="M22" s="90"/>
      <c r="N22" s="90"/>
      <c r="O22" s="186"/>
      <c r="P22" s="90"/>
      <c r="Q22" s="90"/>
      <c r="R22" s="90" t="s">
        <v>3202</v>
      </c>
      <c r="S22" s="186"/>
      <c r="T22" s="186"/>
      <c r="U22" s="186"/>
      <c r="V22" s="186"/>
      <c r="W22" s="186"/>
      <c r="X22" s="186"/>
      <c r="Y22" s="186"/>
      <c r="Z22" s="186"/>
      <c r="AA22" s="186"/>
    </row>
    <row r="23" spans="1:27" ht="18.75" customHeight="1">
      <c r="A23" s="213"/>
      <c r="B23" s="213"/>
      <c r="C23" s="210"/>
      <c r="D23" s="210"/>
      <c r="E23" s="186" t="s">
        <v>55</v>
      </c>
      <c r="F23" s="186" t="s">
        <v>3203</v>
      </c>
      <c r="G23" s="186" t="s">
        <v>329</v>
      </c>
      <c r="H23" s="186" t="s">
        <v>243</v>
      </c>
      <c r="I23" s="186"/>
      <c r="J23" s="72">
        <v>21</v>
      </c>
      <c r="K23" s="186"/>
      <c r="L23" s="186"/>
      <c r="M23" s="90"/>
      <c r="N23" s="90"/>
      <c r="O23" s="186"/>
      <c r="P23" s="90"/>
      <c r="Q23" s="90"/>
      <c r="R23" s="90" t="s">
        <v>3204</v>
      </c>
      <c r="S23" s="186"/>
      <c r="T23" s="186"/>
      <c r="U23" s="186"/>
      <c r="V23" s="186"/>
      <c r="W23" s="186"/>
      <c r="X23" s="186"/>
      <c r="Y23" s="186"/>
      <c r="Z23" s="186"/>
      <c r="AA23" s="186"/>
    </row>
    <row r="24" spans="1:27" ht="18.75" customHeight="1">
      <c r="A24" s="213"/>
      <c r="B24" s="213"/>
      <c r="C24" s="210"/>
      <c r="D24" s="210"/>
      <c r="E24" s="186" t="s">
        <v>224</v>
      </c>
      <c r="F24" s="186" t="s">
        <v>3205</v>
      </c>
      <c r="G24" s="186" t="s">
        <v>250</v>
      </c>
      <c r="H24" s="186" t="s">
        <v>243</v>
      </c>
      <c r="I24" s="186"/>
      <c r="J24" s="72">
        <v>22</v>
      </c>
      <c r="K24" s="186"/>
      <c r="L24" s="186"/>
      <c r="M24" s="90"/>
      <c r="N24" s="90"/>
      <c r="O24" s="186"/>
      <c r="P24" s="90"/>
      <c r="Q24" s="90"/>
      <c r="R24" s="90" t="s">
        <v>3207</v>
      </c>
      <c r="S24" s="186"/>
    </row>
    <row r="25" spans="1:27" ht="18.75" customHeight="1">
      <c r="A25" s="213"/>
      <c r="B25" s="213"/>
      <c r="C25" s="210"/>
      <c r="D25" s="210"/>
      <c r="E25" s="186" t="s">
        <v>55</v>
      </c>
      <c r="F25" s="186" t="s">
        <v>3208</v>
      </c>
      <c r="G25" s="186" t="s">
        <v>329</v>
      </c>
      <c r="H25" s="186" t="s">
        <v>243</v>
      </c>
      <c r="I25" s="186"/>
      <c r="J25" s="72">
        <v>23</v>
      </c>
      <c r="K25" s="186"/>
      <c r="L25" s="186"/>
      <c r="M25" s="90"/>
      <c r="N25" s="90"/>
      <c r="O25" s="186"/>
      <c r="P25" s="90"/>
      <c r="Q25" s="90"/>
      <c r="R25" s="90" t="s">
        <v>3209</v>
      </c>
      <c r="S25" s="186"/>
    </row>
    <row r="26" spans="1:27" ht="18.75" customHeight="1">
      <c r="A26" s="213"/>
      <c r="B26" s="213"/>
      <c r="C26" s="210"/>
      <c r="D26" s="210"/>
      <c r="E26" s="186" t="s">
        <v>55</v>
      </c>
      <c r="F26" s="186" t="s">
        <v>3210</v>
      </c>
      <c r="G26" s="186" t="s">
        <v>255</v>
      </c>
      <c r="H26" s="186" t="s">
        <v>243</v>
      </c>
      <c r="I26" s="186"/>
      <c r="J26" s="72">
        <v>24</v>
      </c>
      <c r="K26" s="186"/>
      <c r="L26" s="186"/>
      <c r="M26" s="90"/>
      <c r="N26" s="90"/>
      <c r="O26" s="186"/>
      <c r="P26" s="90"/>
      <c r="Q26" s="90"/>
      <c r="R26" s="90" t="s">
        <v>3211</v>
      </c>
      <c r="S26" s="186"/>
    </row>
    <row r="27" spans="1:27" ht="18.75" customHeight="1">
      <c r="A27" s="213"/>
      <c r="B27" s="213"/>
      <c r="C27" s="210"/>
      <c r="D27" s="210"/>
      <c r="E27" s="186" t="s">
        <v>55</v>
      </c>
      <c r="F27" s="186" t="s">
        <v>3212</v>
      </c>
      <c r="G27" s="186" t="s">
        <v>329</v>
      </c>
      <c r="H27" s="186" t="s">
        <v>243</v>
      </c>
      <c r="I27" s="186"/>
      <c r="J27" s="72">
        <v>25</v>
      </c>
      <c r="K27" s="186"/>
      <c r="L27" s="186"/>
      <c r="M27" s="90"/>
      <c r="N27" s="90"/>
      <c r="O27" s="186"/>
      <c r="P27" s="90"/>
      <c r="Q27" s="90"/>
      <c r="R27" s="90" t="s">
        <v>3213</v>
      </c>
      <c r="S27" s="186"/>
    </row>
    <row r="28" spans="1:27" ht="18.75" customHeight="1">
      <c r="A28" s="213"/>
      <c r="B28" s="213"/>
      <c r="C28" s="210"/>
      <c r="D28" s="210"/>
      <c r="E28" s="186" t="s">
        <v>55</v>
      </c>
      <c r="F28" s="186" t="s">
        <v>3214</v>
      </c>
      <c r="G28" s="186" t="s">
        <v>255</v>
      </c>
      <c r="H28" s="186" t="s">
        <v>243</v>
      </c>
      <c r="I28" s="186"/>
      <c r="J28" s="72">
        <v>26</v>
      </c>
      <c r="K28" s="186"/>
      <c r="L28" s="186"/>
      <c r="M28" s="90"/>
      <c r="N28" s="90"/>
      <c r="O28" s="186"/>
      <c r="P28" s="90"/>
      <c r="Q28" s="90"/>
      <c r="R28" s="90" t="s">
        <v>3215</v>
      </c>
      <c r="S28" s="186"/>
    </row>
    <row r="29" spans="1:27" ht="18.75" customHeight="1">
      <c r="A29" s="213"/>
      <c r="B29" s="213"/>
      <c r="C29" s="210"/>
      <c r="D29" s="210"/>
      <c r="E29" s="186" t="s">
        <v>55</v>
      </c>
      <c r="F29" s="186" t="s">
        <v>3216</v>
      </c>
      <c r="G29" s="186" t="s">
        <v>329</v>
      </c>
      <c r="H29" s="186" t="s">
        <v>243</v>
      </c>
      <c r="I29" s="186"/>
      <c r="J29" s="72">
        <v>27</v>
      </c>
      <c r="K29" s="186"/>
      <c r="L29" s="186"/>
      <c r="M29" s="90"/>
      <c r="N29" s="90"/>
      <c r="O29" s="186"/>
      <c r="P29" s="90"/>
      <c r="Q29" s="90"/>
      <c r="R29" s="90" t="s">
        <v>3217</v>
      </c>
      <c r="S29" s="186"/>
    </row>
    <row r="30" spans="1:27" ht="18.75" customHeight="1">
      <c r="A30" s="213"/>
      <c r="B30" s="213"/>
      <c r="C30" s="210"/>
      <c r="D30" s="210"/>
      <c r="E30" s="186" t="s">
        <v>55</v>
      </c>
      <c r="F30" s="186" t="s">
        <v>3218</v>
      </c>
      <c r="G30" s="186" t="s">
        <v>329</v>
      </c>
      <c r="H30" s="186" t="s">
        <v>243</v>
      </c>
      <c r="I30" s="186"/>
      <c r="J30" s="72">
        <v>28</v>
      </c>
      <c r="K30" s="186"/>
      <c r="L30" s="186"/>
      <c r="M30" s="90"/>
      <c r="N30" s="90"/>
      <c r="O30" s="186"/>
      <c r="P30" s="90"/>
      <c r="Q30" s="90"/>
      <c r="R30" s="90" t="s">
        <v>3219</v>
      </c>
      <c r="S30" s="186"/>
    </row>
    <row r="31" spans="1:27" ht="18.75" customHeight="1">
      <c r="A31" s="213"/>
      <c r="B31" s="213"/>
      <c r="C31" s="210"/>
      <c r="D31" s="210"/>
      <c r="E31" s="186" t="s">
        <v>55</v>
      </c>
      <c r="F31" s="186" t="s">
        <v>3220</v>
      </c>
      <c r="G31" s="186" t="s">
        <v>329</v>
      </c>
      <c r="H31" s="186" t="s">
        <v>243</v>
      </c>
      <c r="I31" s="186"/>
      <c r="J31" s="72">
        <v>29</v>
      </c>
      <c r="K31" s="186"/>
      <c r="L31" s="186"/>
      <c r="M31" s="90"/>
      <c r="N31" s="90"/>
      <c r="O31" s="186"/>
      <c r="P31" s="90"/>
      <c r="Q31" s="90"/>
      <c r="R31" s="90" t="s">
        <v>3221</v>
      </c>
      <c r="S31" s="186"/>
    </row>
    <row r="32" spans="1:27" ht="18.75" customHeight="1">
      <c r="A32" s="213"/>
      <c r="B32" s="213"/>
      <c r="C32" s="210"/>
      <c r="D32" s="210"/>
      <c r="E32" s="186" t="s">
        <v>55</v>
      </c>
      <c r="F32" s="186" t="s">
        <v>3222</v>
      </c>
      <c r="G32" s="186" t="s">
        <v>329</v>
      </c>
      <c r="H32" s="186" t="s">
        <v>243</v>
      </c>
      <c r="I32" s="186"/>
      <c r="J32" s="72">
        <v>30</v>
      </c>
      <c r="K32" s="186"/>
      <c r="L32" s="186"/>
      <c r="M32" s="90"/>
      <c r="N32" s="90"/>
      <c r="O32" s="186"/>
      <c r="P32" s="90"/>
      <c r="Q32" s="90"/>
      <c r="R32" s="90" t="s">
        <v>3223</v>
      </c>
      <c r="S32" s="186"/>
    </row>
    <row r="33" spans="1:19" ht="18.75" customHeight="1">
      <c r="A33" s="213"/>
      <c r="B33" s="213"/>
      <c r="C33" s="210"/>
      <c r="D33" s="210"/>
      <c r="E33" s="186" t="s">
        <v>55</v>
      </c>
      <c r="F33" s="186" t="s">
        <v>5113</v>
      </c>
      <c r="G33" s="186" t="s">
        <v>329</v>
      </c>
      <c r="H33" s="186" t="s">
        <v>243</v>
      </c>
      <c r="I33" s="186"/>
      <c r="J33" s="72">
        <v>31</v>
      </c>
      <c r="K33" s="186"/>
      <c r="L33" s="186"/>
      <c r="M33" s="90"/>
      <c r="N33" s="90"/>
      <c r="O33" s="186"/>
      <c r="P33" s="90"/>
      <c r="Q33" s="90"/>
      <c r="R33" s="90" t="s">
        <v>3225</v>
      </c>
      <c r="S33" s="186"/>
    </row>
    <row r="34" spans="1:19" ht="18.75" customHeight="1">
      <c r="A34" s="213"/>
      <c r="B34" s="213"/>
      <c r="C34" s="210"/>
      <c r="D34" s="210"/>
      <c r="E34" s="186" t="s">
        <v>55</v>
      </c>
      <c r="F34" s="186" t="s">
        <v>3226</v>
      </c>
      <c r="G34" s="186" t="s">
        <v>329</v>
      </c>
      <c r="H34" s="186" t="s">
        <v>243</v>
      </c>
      <c r="I34" s="186"/>
      <c r="J34" s="72">
        <v>32</v>
      </c>
      <c r="K34" s="186"/>
      <c r="L34" s="186"/>
      <c r="M34" s="90"/>
      <c r="N34" s="90"/>
      <c r="O34" s="186"/>
      <c r="P34" s="90"/>
      <c r="Q34" s="90"/>
      <c r="R34" s="90" t="s">
        <v>3227</v>
      </c>
      <c r="S34" s="186"/>
    </row>
    <row r="35" spans="1:19" ht="18.75" customHeight="1">
      <c r="A35" s="213"/>
      <c r="B35" s="213"/>
      <c r="C35" s="210"/>
      <c r="D35" s="210"/>
      <c r="E35" s="186" t="s">
        <v>55</v>
      </c>
      <c r="F35" s="186" t="s">
        <v>3228</v>
      </c>
      <c r="G35" s="186" t="s">
        <v>329</v>
      </c>
      <c r="H35" s="186" t="s">
        <v>243</v>
      </c>
      <c r="I35" s="186"/>
      <c r="J35" s="72">
        <v>33</v>
      </c>
      <c r="K35" s="186"/>
      <c r="L35" s="186"/>
      <c r="M35" s="90"/>
      <c r="N35" s="90"/>
      <c r="O35" s="186"/>
      <c r="P35" s="90"/>
      <c r="Q35" s="90"/>
      <c r="R35" s="90" t="s">
        <v>3229</v>
      </c>
      <c r="S35" s="186"/>
    </row>
    <row r="36" spans="1:19" ht="18.75" customHeight="1">
      <c r="A36" s="213"/>
      <c r="B36" s="213"/>
      <c r="C36" s="210"/>
      <c r="D36" s="210"/>
      <c r="E36" s="186" t="s">
        <v>55</v>
      </c>
      <c r="F36" s="186" t="s">
        <v>3230</v>
      </c>
      <c r="G36" s="186" t="s">
        <v>329</v>
      </c>
      <c r="H36" s="186" t="s">
        <v>243</v>
      </c>
      <c r="I36" s="186"/>
      <c r="J36" s="72">
        <v>34</v>
      </c>
      <c r="K36" s="186"/>
      <c r="L36" s="186"/>
      <c r="M36" s="90"/>
      <c r="N36" s="90"/>
      <c r="O36" s="186"/>
      <c r="P36" s="90"/>
      <c r="Q36" s="90"/>
      <c r="R36" s="90" t="s">
        <v>3231</v>
      </c>
      <c r="S36" s="186"/>
    </row>
    <row r="37" spans="1:19" ht="18.75" customHeight="1">
      <c r="A37" s="213"/>
      <c r="B37" s="213"/>
      <c r="C37" s="210"/>
      <c r="D37" s="210"/>
      <c r="E37" s="186" t="s">
        <v>55</v>
      </c>
      <c r="F37" s="186" t="s">
        <v>3232</v>
      </c>
      <c r="G37" s="186" t="s">
        <v>329</v>
      </c>
      <c r="H37" s="186" t="s">
        <v>243</v>
      </c>
      <c r="I37" s="186"/>
      <c r="J37" s="72">
        <v>35</v>
      </c>
      <c r="K37" s="186"/>
      <c r="L37" s="186"/>
      <c r="M37" s="90"/>
      <c r="N37" s="90"/>
      <c r="O37" s="186"/>
      <c r="P37" s="90"/>
      <c r="Q37" s="90"/>
      <c r="R37" s="90" t="s">
        <v>3233</v>
      </c>
      <c r="S37" s="186"/>
    </row>
    <row r="38" spans="1:19" ht="18.75" customHeight="1">
      <c r="A38" s="213"/>
      <c r="B38" s="213"/>
      <c r="C38" s="210"/>
      <c r="D38" s="210"/>
      <c r="E38" s="186" t="s">
        <v>55</v>
      </c>
      <c r="F38" s="186" t="s">
        <v>3234</v>
      </c>
      <c r="G38" s="186" t="s">
        <v>329</v>
      </c>
      <c r="H38" s="186" t="s">
        <v>243</v>
      </c>
      <c r="I38" s="186"/>
      <c r="J38" s="72">
        <v>36</v>
      </c>
      <c r="K38" s="186"/>
      <c r="L38" s="186"/>
      <c r="M38" s="90"/>
      <c r="N38" s="90"/>
      <c r="O38" s="186"/>
      <c r="P38" s="90"/>
      <c r="Q38" s="90"/>
      <c r="R38" s="90" t="s">
        <v>3235</v>
      </c>
      <c r="S38" s="186"/>
    </row>
    <row r="39" spans="1:19" ht="18.75" customHeight="1">
      <c r="A39" s="213"/>
      <c r="B39" s="213"/>
      <c r="C39" s="210"/>
      <c r="D39" s="210"/>
      <c r="E39" s="186" t="s">
        <v>55</v>
      </c>
      <c r="F39" s="186" t="s">
        <v>3236</v>
      </c>
      <c r="G39" s="186" t="s">
        <v>329</v>
      </c>
      <c r="H39" s="186" t="s">
        <v>243</v>
      </c>
      <c r="I39" s="186"/>
      <c r="J39" s="72">
        <v>37</v>
      </c>
      <c r="K39" s="186"/>
      <c r="L39" s="186"/>
      <c r="M39" s="90"/>
      <c r="N39" s="90"/>
      <c r="O39" s="186"/>
      <c r="P39" s="90"/>
      <c r="Q39" s="90"/>
      <c r="R39" s="90" t="s">
        <v>3237</v>
      </c>
      <c r="S39" s="186"/>
    </row>
    <row r="40" spans="1:19" ht="18.75" customHeight="1">
      <c r="A40" s="213"/>
      <c r="B40" s="213"/>
      <c r="C40" s="210"/>
      <c r="D40" s="210"/>
      <c r="E40" s="186" t="s">
        <v>55</v>
      </c>
      <c r="F40" s="186" t="s">
        <v>3238</v>
      </c>
      <c r="G40" s="186" t="s">
        <v>329</v>
      </c>
      <c r="H40" s="186" t="s">
        <v>243</v>
      </c>
      <c r="I40" s="186"/>
      <c r="J40" s="72">
        <v>38</v>
      </c>
      <c r="K40" s="186"/>
      <c r="L40" s="186"/>
      <c r="M40" s="90"/>
      <c r="N40" s="90"/>
      <c r="O40" s="186"/>
      <c r="P40" s="90"/>
      <c r="Q40" s="90"/>
      <c r="R40" s="90" t="s">
        <v>3239</v>
      </c>
      <c r="S40" s="186"/>
    </row>
    <row r="41" spans="1:19" ht="18.75" customHeight="1">
      <c r="A41" s="213"/>
      <c r="B41" s="213"/>
      <c r="C41" s="210"/>
      <c r="D41" s="210"/>
      <c r="E41" s="186" t="s">
        <v>55</v>
      </c>
      <c r="F41" s="186" t="s">
        <v>3240</v>
      </c>
      <c r="G41" s="186" t="s">
        <v>329</v>
      </c>
      <c r="H41" s="186" t="s">
        <v>243</v>
      </c>
      <c r="I41" s="186"/>
      <c r="J41" s="72">
        <v>39</v>
      </c>
      <c r="K41" s="186"/>
      <c r="L41" s="186"/>
      <c r="M41" s="90"/>
      <c r="N41" s="90"/>
      <c r="O41" s="186"/>
      <c r="P41" s="90"/>
      <c r="Q41" s="90"/>
      <c r="R41" s="90" t="s">
        <v>3241</v>
      </c>
      <c r="S41" s="186"/>
    </row>
    <row r="42" spans="1:19" ht="18.75" customHeight="1">
      <c r="A42" s="213"/>
      <c r="B42" s="213"/>
      <c r="C42" s="210"/>
      <c r="D42" s="210"/>
      <c r="E42" s="186" t="s">
        <v>55</v>
      </c>
      <c r="F42" s="186" t="s">
        <v>3242</v>
      </c>
      <c r="G42" s="186" t="s">
        <v>329</v>
      </c>
      <c r="H42" s="186" t="s">
        <v>243</v>
      </c>
      <c r="I42" s="186"/>
      <c r="J42" s="72">
        <v>40</v>
      </c>
      <c r="K42" s="186"/>
      <c r="L42" s="186"/>
      <c r="M42" s="90"/>
      <c r="N42" s="90"/>
      <c r="O42" s="186"/>
      <c r="P42" s="90"/>
      <c r="Q42" s="90"/>
      <c r="R42" s="90" t="s">
        <v>3243</v>
      </c>
      <c r="S42" s="186"/>
    </row>
    <row r="43" spans="1:19" ht="18.75" customHeight="1">
      <c r="A43" s="213"/>
      <c r="B43" s="213"/>
      <c r="C43" s="210"/>
      <c r="D43" s="210"/>
      <c r="E43" s="186" t="s">
        <v>55</v>
      </c>
      <c r="F43" s="186" t="s">
        <v>3244</v>
      </c>
      <c r="G43" s="186" t="s">
        <v>329</v>
      </c>
      <c r="H43" s="186" t="s">
        <v>243</v>
      </c>
      <c r="I43" s="186"/>
      <c r="J43" s="72">
        <v>41</v>
      </c>
      <c r="K43" s="186"/>
      <c r="L43" s="186"/>
      <c r="M43" s="90"/>
      <c r="N43" s="90"/>
      <c r="O43" s="186"/>
      <c r="P43" s="90"/>
      <c r="Q43" s="90"/>
      <c r="R43" s="90" t="s">
        <v>3245</v>
      </c>
      <c r="S43" s="186"/>
    </row>
    <row r="44" spans="1:19" ht="18.75" customHeight="1">
      <c r="A44" s="213"/>
      <c r="B44" s="213"/>
      <c r="C44" s="210"/>
      <c r="D44" s="210"/>
      <c r="E44" s="186" t="s">
        <v>55</v>
      </c>
      <c r="F44" s="186" t="s">
        <v>3246</v>
      </c>
      <c r="G44" s="186" t="s">
        <v>329</v>
      </c>
      <c r="H44" s="186" t="s">
        <v>243</v>
      </c>
      <c r="I44" s="186"/>
      <c r="J44" s="72">
        <v>42</v>
      </c>
      <c r="K44" s="186"/>
      <c r="L44" s="186"/>
      <c r="M44" s="90"/>
      <c r="N44" s="90"/>
      <c r="O44" s="186"/>
      <c r="P44" s="90"/>
      <c r="Q44" s="90"/>
      <c r="R44" s="90" t="s">
        <v>3247</v>
      </c>
      <c r="S44" s="186"/>
    </row>
    <row r="45" spans="1:19" ht="18.75" customHeight="1">
      <c r="A45" s="213"/>
      <c r="B45" s="213"/>
      <c r="C45" s="210"/>
      <c r="D45" s="210"/>
      <c r="E45" s="186" t="s">
        <v>55</v>
      </c>
      <c r="F45" s="186" t="s">
        <v>3248</v>
      </c>
      <c r="G45" s="186" t="s">
        <v>329</v>
      </c>
      <c r="H45" s="186" t="s">
        <v>243</v>
      </c>
      <c r="I45" s="186"/>
      <c r="J45" s="72">
        <v>43</v>
      </c>
      <c r="K45" s="186"/>
      <c r="L45" s="186"/>
      <c r="M45" s="90"/>
      <c r="N45" s="90"/>
      <c r="O45" s="186"/>
      <c r="P45" s="90"/>
      <c r="Q45" s="90"/>
      <c r="R45" s="90" t="s">
        <v>3249</v>
      </c>
      <c r="S45" s="186"/>
    </row>
    <row r="46" spans="1:19" ht="18.75" customHeight="1">
      <c r="A46" s="213"/>
      <c r="B46" s="213"/>
      <c r="C46" s="210"/>
      <c r="D46" s="210"/>
      <c r="E46" s="186" t="s">
        <v>224</v>
      </c>
      <c r="F46" s="186" t="s">
        <v>1678</v>
      </c>
      <c r="G46" s="186" t="s">
        <v>255</v>
      </c>
      <c r="H46" s="186" t="s">
        <v>243</v>
      </c>
      <c r="I46" s="186"/>
      <c r="J46" s="72">
        <v>44</v>
      </c>
      <c r="K46" s="186"/>
      <c r="L46" s="186"/>
      <c r="M46" s="90"/>
      <c r="N46" s="90"/>
      <c r="O46" s="186"/>
      <c r="P46" s="90"/>
      <c r="Q46" s="90"/>
      <c r="R46" s="90" t="s">
        <v>3251</v>
      </c>
      <c r="S46" s="186"/>
    </row>
    <row r="47" spans="1:19" ht="18.75" customHeight="1">
      <c r="A47" s="213"/>
      <c r="B47" s="213"/>
      <c r="C47" s="210"/>
      <c r="D47" s="210"/>
      <c r="E47" s="186" t="s">
        <v>55</v>
      </c>
      <c r="F47" s="186" t="s">
        <v>3252</v>
      </c>
      <c r="G47" s="186" t="s">
        <v>329</v>
      </c>
      <c r="H47" s="186" t="s">
        <v>243</v>
      </c>
      <c r="I47" s="186"/>
      <c r="J47" s="72">
        <v>45</v>
      </c>
      <c r="K47" s="186"/>
      <c r="L47" s="186"/>
      <c r="M47" s="90"/>
      <c r="N47" s="90"/>
      <c r="O47" s="186"/>
      <c r="P47" s="90"/>
      <c r="Q47" s="90"/>
      <c r="R47" s="90" t="s">
        <v>3253</v>
      </c>
      <c r="S47" s="186"/>
    </row>
    <row r="48" spans="1:19" ht="18.75" customHeight="1">
      <c r="A48" s="213"/>
      <c r="B48" s="213"/>
      <c r="C48" s="210"/>
      <c r="D48" s="210"/>
      <c r="E48" s="186" t="s">
        <v>55</v>
      </c>
      <c r="F48" s="186" t="s">
        <v>3254</v>
      </c>
      <c r="G48" s="186" t="s">
        <v>329</v>
      </c>
      <c r="H48" s="186" t="s">
        <v>243</v>
      </c>
      <c r="I48" s="186"/>
      <c r="J48" s="72">
        <v>46</v>
      </c>
      <c r="K48" s="186"/>
      <c r="L48" s="186"/>
      <c r="M48" s="90"/>
      <c r="N48" s="90"/>
      <c r="O48" s="186"/>
      <c r="P48" s="90"/>
      <c r="Q48" s="90"/>
      <c r="R48" s="90" t="s">
        <v>3255</v>
      </c>
      <c r="S48" s="186"/>
    </row>
    <row r="49" spans="1:19" ht="18.75" customHeight="1">
      <c r="A49" s="213"/>
      <c r="B49" s="213"/>
      <c r="C49" s="210"/>
      <c r="D49" s="210"/>
      <c r="E49" s="186" t="s">
        <v>55</v>
      </c>
      <c r="F49" s="186" t="s">
        <v>3256</v>
      </c>
      <c r="G49" s="186" t="s">
        <v>329</v>
      </c>
      <c r="H49" s="186" t="s">
        <v>243</v>
      </c>
      <c r="I49" s="186"/>
      <c r="J49" s="72">
        <v>47</v>
      </c>
      <c r="K49" s="186"/>
      <c r="L49" s="186"/>
      <c r="M49" s="90"/>
      <c r="N49" s="90"/>
      <c r="O49" s="186"/>
      <c r="P49" s="90"/>
      <c r="Q49" s="90"/>
      <c r="R49" s="90" t="s">
        <v>3257</v>
      </c>
      <c r="S49" s="186"/>
    </row>
    <row r="50" spans="1:19" ht="18.75" customHeight="1">
      <c r="A50" s="213"/>
      <c r="B50" s="213"/>
      <c r="C50" s="210"/>
      <c r="D50" s="210"/>
      <c r="E50" s="186" t="s">
        <v>55</v>
      </c>
      <c r="F50" s="186" t="s">
        <v>3258</v>
      </c>
      <c r="G50" s="186" t="s">
        <v>255</v>
      </c>
      <c r="H50" s="186" t="s">
        <v>243</v>
      </c>
      <c r="I50" s="186"/>
      <c r="J50" s="72">
        <v>48</v>
      </c>
      <c r="K50" s="186"/>
      <c r="L50" s="186"/>
      <c r="M50" s="90"/>
      <c r="N50" s="90"/>
      <c r="O50" s="186"/>
      <c r="P50" s="90"/>
      <c r="Q50" s="90"/>
      <c r="R50" s="90" t="s">
        <v>3259</v>
      </c>
      <c r="S50" s="186"/>
    </row>
    <row r="51" spans="1:19" ht="18.75" customHeight="1">
      <c r="A51" s="213"/>
      <c r="B51" s="213"/>
      <c r="C51" s="210"/>
      <c r="D51" s="210"/>
      <c r="E51" s="186" t="s">
        <v>224</v>
      </c>
      <c r="F51" s="186" t="s">
        <v>152</v>
      </c>
      <c r="G51" s="186" t="s">
        <v>247</v>
      </c>
      <c r="H51" s="186" t="s">
        <v>243</v>
      </c>
      <c r="I51" s="186"/>
      <c r="J51" s="72">
        <v>49</v>
      </c>
      <c r="K51" s="186"/>
      <c r="L51" s="186"/>
      <c r="M51" s="90"/>
      <c r="N51" s="90"/>
      <c r="O51" s="186"/>
      <c r="P51" s="90"/>
      <c r="Q51" s="90"/>
      <c r="R51" s="90" t="s">
        <v>3260</v>
      </c>
      <c r="S51" s="186"/>
    </row>
    <row r="52" spans="1:19" ht="18.75" customHeight="1">
      <c r="A52" s="213"/>
      <c r="B52" s="213"/>
      <c r="C52" s="210"/>
      <c r="D52" s="210"/>
      <c r="E52" s="186" t="s">
        <v>55</v>
      </c>
      <c r="F52" s="186" t="s">
        <v>316</v>
      </c>
      <c r="G52" s="186" t="s">
        <v>264</v>
      </c>
      <c r="H52" s="186" t="s">
        <v>243</v>
      </c>
      <c r="I52" s="186"/>
      <c r="J52" s="72">
        <v>56</v>
      </c>
      <c r="K52" s="186"/>
      <c r="L52" s="186"/>
      <c r="M52" s="90"/>
      <c r="N52" s="90"/>
      <c r="O52" s="186"/>
      <c r="P52" s="90"/>
      <c r="Q52" s="90"/>
      <c r="R52" s="90" t="s">
        <v>1589</v>
      </c>
      <c r="S52" s="186"/>
    </row>
    <row r="53" spans="1:19" ht="18.75" customHeight="1">
      <c r="A53" s="213"/>
      <c r="B53" s="213"/>
      <c r="C53" s="210"/>
      <c r="D53" s="210"/>
      <c r="E53" s="186" t="s">
        <v>55</v>
      </c>
      <c r="F53" s="186" t="s">
        <v>3261</v>
      </c>
      <c r="G53" s="186" t="s">
        <v>329</v>
      </c>
      <c r="H53" s="186" t="s">
        <v>243</v>
      </c>
      <c r="I53" s="186"/>
      <c r="J53" s="72">
        <v>57</v>
      </c>
      <c r="K53" s="186"/>
      <c r="L53" s="186"/>
      <c r="M53" s="90"/>
      <c r="N53" s="90"/>
      <c r="O53" s="186"/>
      <c r="P53" s="90"/>
      <c r="Q53" s="90"/>
      <c r="R53" s="90" t="s">
        <v>3262</v>
      </c>
      <c r="S53" s="186"/>
    </row>
    <row r="54" spans="1:19" ht="18.75" customHeight="1">
      <c r="A54" s="213"/>
      <c r="B54" s="213"/>
      <c r="C54" s="210"/>
      <c r="D54" s="210"/>
      <c r="E54" s="186" t="s">
        <v>55</v>
      </c>
      <c r="F54" s="186" t="s">
        <v>3263</v>
      </c>
      <c r="G54" s="186" t="s">
        <v>329</v>
      </c>
      <c r="H54" s="186" t="s">
        <v>243</v>
      </c>
      <c r="I54" s="186"/>
      <c r="J54" s="72">
        <v>58</v>
      </c>
      <c r="K54" s="186"/>
      <c r="L54" s="186"/>
      <c r="M54" s="90"/>
      <c r="N54" s="90"/>
      <c r="O54" s="186"/>
      <c r="P54" s="90"/>
      <c r="Q54" s="90"/>
      <c r="R54" s="90" t="s">
        <v>3264</v>
      </c>
      <c r="S54" s="186"/>
    </row>
    <row r="55" spans="1:19" ht="18.75" customHeight="1">
      <c r="A55" s="213"/>
      <c r="B55" s="213"/>
      <c r="C55" s="210"/>
      <c r="D55" s="210"/>
      <c r="E55" s="186" t="s">
        <v>55</v>
      </c>
      <c r="F55" s="186" t="s">
        <v>3265</v>
      </c>
      <c r="G55" s="186" t="s">
        <v>329</v>
      </c>
      <c r="H55" s="186" t="s">
        <v>243</v>
      </c>
      <c r="I55" s="186"/>
      <c r="J55" s="72">
        <v>59</v>
      </c>
      <c r="K55" s="186"/>
      <c r="L55" s="186"/>
      <c r="M55" s="90"/>
      <c r="N55" s="90"/>
      <c r="O55" s="186"/>
      <c r="P55" s="90"/>
      <c r="Q55" s="90"/>
      <c r="R55" s="90" t="s">
        <v>3266</v>
      </c>
      <c r="S55" s="186"/>
    </row>
    <row r="56" spans="1:19" ht="18.75" customHeight="1">
      <c r="A56" s="213"/>
      <c r="B56" s="213"/>
      <c r="C56" s="210"/>
      <c r="D56" s="210"/>
      <c r="E56" s="186" t="s">
        <v>55</v>
      </c>
      <c r="F56" s="186" t="s">
        <v>3267</v>
      </c>
      <c r="G56" s="186" t="s">
        <v>329</v>
      </c>
      <c r="H56" s="186" t="s">
        <v>243</v>
      </c>
      <c r="I56" s="186"/>
      <c r="J56" s="72">
        <v>60</v>
      </c>
      <c r="K56" s="186"/>
      <c r="L56" s="186"/>
      <c r="M56" s="90"/>
      <c r="N56" s="90"/>
      <c r="O56" s="186"/>
      <c r="P56" s="90"/>
      <c r="Q56" s="90"/>
      <c r="R56" s="90" t="s">
        <v>3245</v>
      </c>
      <c r="S56" s="186"/>
    </row>
    <row r="57" spans="1:19" ht="18.75" customHeight="1">
      <c r="A57" s="213"/>
      <c r="B57" s="213"/>
      <c r="C57" s="210"/>
      <c r="D57" s="210"/>
      <c r="E57" s="186" t="s">
        <v>55</v>
      </c>
      <c r="F57" s="186" t="s">
        <v>3268</v>
      </c>
      <c r="G57" s="186" t="s">
        <v>329</v>
      </c>
      <c r="H57" s="186" t="s">
        <v>243</v>
      </c>
      <c r="I57" s="186"/>
      <c r="J57" s="72">
        <v>61</v>
      </c>
      <c r="K57" s="186"/>
      <c r="L57" s="186"/>
      <c r="M57" s="90"/>
      <c r="N57" s="90"/>
      <c r="O57" s="186"/>
      <c r="P57" s="90"/>
      <c r="Q57" s="90"/>
      <c r="R57" s="90" t="s">
        <v>3264</v>
      </c>
      <c r="S57" s="186"/>
    </row>
    <row r="58" spans="1:19" ht="18.75" customHeight="1">
      <c r="A58" s="213"/>
      <c r="B58" s="213"/>
      <c r="C58" s="210"/>
      <c r="D58" s="210"/>
      <c r="E58" s="186" t="s">
        <v>53</v>
      </c>
      <c r="F58" s="186" t="s">
        <v>2352</v>
      </c>
      <c r="G58" s="186" t="s">
        <v>535</v>
      </c>
      <c r="H58" s="186" t="s">
        <v>243</v>
      </c>
      <c r="I58" s="186"/>
      <c r="J58" s="72">
        <v>63</v>
      </c>
      <c r="K58" s="186"/>
      <c r="L58" s="186"/>
      <c r="M58" s="90"/>
      <c r="N58" s="90"/>
      <c r="O58" s="186"/>
      <c r="P58" s="186"/>
      <c r="Q58" s="186"/>
      <c r="R58" s="186" t="s">
        <v>3269</v>
      </c>
      <c r="S58" s="186"/>
    </row>
    <row r="59" spans="1:19" ht="18.75" customHeight="1">
      <c r="A59" s="213"/>
      <c r="B59" s="213"/>
      <c r="C59" s="210"/>
      <c r="D59" s="210"/>
      <c r="E59" s="186" t="s">
        <v>53</v>
      </c>
      <c r="F59" s="186" t="s">
        <v>3270</v>
      </c>
      <c r="G59" s="186" t="s">
        <v>535</v>
      </c>
      <c r="H59" s="186" t="s">
        <v>243</v>
      </c>
      <c r="I59" s="186"/>
      <c r="J59" s="72">
        <v>64</v>
      </c>
      <c r="K59" s="186"/>
      <c r="L59" s="186"/>
      <c r="M59" s="90"/>
      <c r="N59" s="90"/>
      <c r="O59" s="186"/>
      <c r="P59" s="186"/>
      <c r="Q59" s="186"/>
      <c r="R59" s="186" t="s">
        <v>1190</v>
      </c>
      <c r="S59" s="186"/>
    </row>
  </sheetData>
  <autoFilter ref="A2:AA59" xr:uid="{00000000-0009-0000-0000-000034000000}"/>
  <pageMargins left="0.7" right="0.7" top="0.75" bottom="0.75" header="0" footer="0"/>
  <pageSetup orientation="landscape"/>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outlinePr summaryBelow="0" summaryRight="0"/>
  </sheetPr>
  <dimension ref="A1:M19"/>
  <sheetViews>
    <sheetView workbookViewId="0">
      <pane ySplit="2" topLeftCell="A3" activePane="bottomLeft" state="frozen"/>
      <selection pane="bottomLeft" activeCell="B4" sqref="B4"/>
    </sheetView>
  </sheetViews>
  <sheetFormatPr defaultColWidth="14.453125" defaultRowHeight="15" customHeight="1"/>
  <cols>
    <col min="1" max="1" width="13.1796875" customWidth="1"/>
    <col min="2" max="2" width="26.26953125" customWidth="1"/>
    <col min="3" max="3" width="20.7265625" customWidth="1"/>
    <col min="4" max="4" width="8.453125" customWidth="1"/>
    <col min="5" max="5" width="12" customWidth="1"/>
    <col min="6" max="6" width="5.26953125" customWidth="1"/>
    <col min="7" max="7" width="9.1796875" customWidth="1"/>
    <col min="8" max="8" width="17.26953125" customWidth="1"/>
    <col min="9" max="9" width="10.453125" customWidth="1"/>
    <col min="10" max="10" width="9.453125" customWidth="1"/>
    <col min="11" max="11" width="21.453125" customWidth="1"/>
    <col min="12" max="12" width="11.7265625" customWidth="1"/>
    <col min="13" max="13" width="18.1796875" customWidth="1"/>
    <col min="14" max="28" width="17.26953125" customWidth="1"/>
  </cols>
  <sheetData>
    <row r="1" spans="1:13" ht="15" customHeight="1">
      <c r="A1" s="459"/>
      <c r="B1" s="459"/>
      <c r="C1" s="459"/>
      <c r="D1" s="459"/>
      <c r="E1" s="459"/>
      <c r="F1" s="459"/>
      <c r="G1" s="381"/>
      <c r="H1" s="207" t="s">
        <v>1038</v>
      </c>
      <c r="I1" s="207"/>
      <c r="J1" s="207"/>
      <c r="K1" s="335"/>
      <c r="L1" s="335"/>
      <c r="M1" s="207"/>
    </row>
    <row r="2" spans="1:13" ht="15" customHeight="1">
      <c r="A2" s="208" t="s">
        <v>224</v>
      </c>
      <c r="B2" s="208" t="s">
        <v>225</v>
      </c>
      <c r="C2" s="208" t="s">
        <v>226</v>
      </c>
      <c r="D2" s="208" t="s">
        <v>227</v>
      </c>
      <c r="E2" s="208" t="s">
        <v>1044</v>
      </c>
      <c r="F2" s="208" t="s">
        <v>1045</v>
      </c>
      <c r="G2" s="207" t="s">
        <v>1046</v>
      </c>
      <c r="H2" s="207" t="s">
        <v>100</v>
      </c>
      <c r="I2" s="207" t="s">
        <v>101</v>
      </c>
      <c r="J2" s="207" t="s">
        <v>102</v>
      </c>
      <c r="K2" s="170" t="s">
        <v>104</v>
      </c>
      <c r="L2" s="171" t="s">
        <v>105</v>
      </c>
      <c r="M2" s="207" t="s">
        <v>103</v>
      </c>
    </row>
    <row r="3" spans="1:13" ht="15" customHeight="1">
      <c r="A3" s="459" t="s">
        <v>53</v>
      </c>
      <c r="B3" s="459" t="s">
        <v>124</v>
      </c>
      <c r="C3" s="459" t="s">
        <v>535</v>
      </c>
      <c r="D3" s="459" t="s">
        <v>903</v>
      </c>
      <c r="E3" s="459"/>
      <c r="F3" s="459">
        <v>1</v>
      </c>
      <c r="G3" s="459"/>
      <c r="H3" s="459"/>
      <c r="I3" s="459"/>
      <c r="J3" s="459"/>
      <c r="K3" s="459"/>
      <c r="L3" s="459"/>
      <c r="M3" s="186" t="s">
        <v>1190</v>
      </c>
    </row>
    <row r="4" spans="1:13" ht="15" customHeight="1">
      <c r="A4" s="459" t="s">
        <v>53</v>
      </c>
      <c r="B4" s="459" t="s">
        <v>1189</v>
      </c>
      <c r="C4" s="459" t="s">
        <v>249</v>
      </c>
      <c r="D4" s="459" t="s">
        <v>243</v>
      </c>
      <c r="E4" s="459"/>
      <c r="F4" s="459">
        <v>2</v>
      </c>
      <c r="G4" s="459"/>
      <c r="H4" s="459"/>
      <c r="I4" s="459"/>
      <c r="J4" s="459"/>
      <c r="K4" s="459"/>
      <c r="L4" s="459"/>
      <c r="M4" s="186" t="s">
        <v>1190</v>
      </c>
    </row>
    <row r="5" spans="1:13" ht="15" customHeight="1">
      <c r="A5" s="459" t="s">
        <v>53</v>
      </c>
      <c r="B5" s="459" t="s">
        <v>1191</v>
      </c>
      <c r="C5" s="459" t="s">
        <v>252</v>
      </c>
      <c r="D5" s="459" t="s">
        <v>243</v>
      </c>
      <c r="E5" s="459"/>
      <c r="F5" s="459">
        <v>3</v>
      </c>
      <c r="G5" s="459"/>
      <c r="H5" s="459"/>
      <c r="I5" s="459"/>
      <c r="J5" s="459"/>
      <c r="K5" s="459"/>
      <c r="L5" s="459"/>
      <c r="M5" s="186" t="s">
        <v>1190</v>
      </c>
    </row>
    <row r="6" spans="1:13" ht="15" customHeight="1">
      <c r="A6" s="459" t="s">
        <v>53</v>
      </c>
      <c r="B6" s="459" t="s">
        <v>1192</v>
      </c>
      <c r="C6" s="459" t="s">
        <v>242</v>
      </c>
      <c r="D6" s="459" t="s">
        <v>243</v>
      </c>
      <c r="E6" s="459"/>
      <c r="F6" s="459">
        <v>4</v>
      </c>
      <c r="G6" s="459"/>
      <c r="H6" s="459"/>
      <c r="I6" s="459"/>
      <c r="J6" s="459"/>
      <c r="K6" s="459"/>
      <c r="L6" s="459"/>
      <c r="M6" s="186" t="s">
        <v>1190</v>
      </c>
    </row>
    <row r="7" spans="1:13" ht="15" customHeight="1">
      <c r="A7" s="459" t="s">
        <v>53</v>
      </c>
      <c r="B7" s="459" t="s">
        <v>1193</v>
      </c>
      <c r="C7" s="459" t="s">
        <v>247</v>
      </c>
      <c r="D7" s="459" t="s">
        <v>243</v>
      </c>
      <c r="E7" s="459"/>
      <c r="F7" s="459">
        <v>5</v>
      </c>
      <c r="G7" s="459"/>
      <c r="H7" s="459"/>
      <c r="I7" s="459"/>
      <c r="J7" s="459"/>
      <c r="K7" s="459"/>
      <c r="L7" s="459"/>
      <c r="M7" s="186" t="s">
        <v>1190</v>
      </c>
    </row>
    <row r="8" spans="1:13" ht="15" customHeight="1">
      <c r="A8" s="459" t="s">
        <v>53</v>
      </c>
      <c r="B8" s="459" t="s">
        <v>1194</v>
      </c>
      <c r="C8" s="459" t="s">
        <v>252</v>
      </c>
      <c r="D8" s="459" t="s">
        <v>243</v>
      </c>
      <c r="E8" s="459"/>
      <c r="F8" s="459">
        <v>6</v>
      </c>
      <c r="G8" s="459"/>
      <c r="H8" s="459"/>
      <c r="I8" s="459"/>
      <c r="J8" s="459"/>
      <c r="K8" s="459"/>
      <c r="L8" s="459"/>
      <c r="M8" s="186" t="s">
        <v>1190</v>
      </c>
    </row>
    <row r="9" spans="1:13" ht="15" customHeight="1">
      <c r="A9" s="459" t="s">
        <v>53</v>
      </c>
      <c r="B9" s="459" t="s">
        <v>1195</v>
      </c>
      <c r="C9" s="459" t="s">
        <v>247</v>
      </c>
      <c r="D9" s="459" t="s">
        <v>243</v>
      </c>
      <c r="E9" s="459"/>
      <c r="F9" s="459">
        <v>7</v>
      </c>
      <c r="G9" s="459"/>
      <c r="H9" s="459"/>
      <c r="I9" s="459"/>
      <c r="J9" s="459"/>
      <c r="K9" s="459"/>
      <c r="L9" s="459"/>
      <c r="M9" s="186" t="s">
        <v>1190</v>
      </c>
    </row>
    <row r="10" spans="1:13" ht="15" customHeight="1">
      <c r="A10" s="459" t="s">
        <v>53</v>
      </c>
      <c r="B10" s="459" t="s">
        <v>1196</v>
      </c>
      <c r="C10" s="459" t="s">
        <v>535</v>
      </c>
      <c r="D10" s="459" t="s">
        <v>903</v>
      </c>
      <c r="E10" s="459"/>
      <c r="F10" s="459">
        <v>8</v>
      </c>
      <c r="G10" s="459"/>
      <c r="H10" s="459"/>
      <c r="I10" s="459"/>
      <c r="J10" s="459"/>
      <c r="K10" s="459"/>
      <c r="L10" s="459"/>
      <c r="M10" s="186" t="s">
        <v>1190</v>
      </c>
    </row>
    <row r="11" spans="1:13" ht="15" customHeight="1">
      <c r="A11" s="459" t="s">
        <v>53</v>
      </c>
      <c r="B11" s="459" t="s">
        <v>1290</v>
      </c>
      <c r="C11" s="459" t="s">
        <v>432</v>
      </c>
      <c r="D11" s="459" t="s">
        <v>243</v>
      </c>
      <c r="E11" s="459"/>
      <c r="F11" s="459">
        <v>12</v>
      </c>
      <c r="G11" s="459"/>
      <c r="H11" s="459"/>
      <c r="I11" s="459"/>
      <c r="J11" s="459"/>
      <c r="K11" s="459"/>
      <c r="L11" s="459"/>
      <c r="M11" s="186" t="s">
        <v>1190</v>
      </c>
    </row>
    <row r="12" spans="1:13" ht="15" customHeight="1">
      <c r="A12" s="459" t="s">
        <v>53</v>
      </c>
      <c r="B12" s="459" t="s">
        <v>1291</v>
      </c>
      <c r="C12" s="459" t="s">
        <v>247</v>
      </c>
      <c r="D12" s="459" t="s">
        <v>243</v>
      </c>
      <c r="E12" s="459"/>
      <c r="F12" s="459">
        <v>13</v>
      </c>
      <c r="G12" s="459"/>
      <c r="H12" s="459"/>
      <c r="I12" s="459"/>
      <c r="J12" s="459"/>
      <c r="K12" s="459"/>
      <c r="L12" s="459"/>
      <c r="M12" s="186" t="s">
        <v>1190</v>
      </c>
    </row>
    <row r="13" spans="1:13" ht="15" customHeight="1">
      <c r="A13" s="459" t="s">
        <v>53</v>
      </c>
      <c r="B13" s="459" t="s">
        <v>1292</v>
      </c>
      <c r="C13" s="459" t="s">
        <v>535</v>
      </c>
      <c r="D13" s="459" t="s">
        <v>243</v>
      </c>
      <c r="E13" s="459"/>
      <c r="F13" s="459">
        <v>14</v>
      </c>
      <c r="G13" s="459"/>
      <c r="H13" s="459"/>
      <c r="I13" s="459"/>
      <c r="J13" s="459"/>
      <c r="K13" s="459"/>
      <c r="L13" s="459"/>
      <c r="M13" s="186" t="s">
        <v>1190</v>
      </c>
    </row>
    <row r="14" spans="1:13" ht="15" customHeight="1">
      <c r="A14" s="459" t="s">
        <v>53</v>
      </c>
      <c r="B14" s="459" t="s">
        <v>1289</v>
      </c>
      <c r="C14" s="459" t="s">
        <v>324</v>
      </c>
      <c r="D14" s="459" t="s">
        <v>243</v>
      </c>
      <c r="E14" s="459"/>
      <c r="F14" s="459">
        <v>15</v>
      </c>
      <c r="G14" s="459"/>
      <c r="H14" s="459"/>
      <c r="I14" s="459"/>
      <c r="J14" s="459"/>
      <c r="K14" s="459"/>
      <c r="L14" s="459"/>
      <c r="M14" s="186" t="s">
        <v>1190</v>
      </c>
    </row>
    <row r="15" spans="1:13" ht="15" customHeight="1">
      <c r="A15" s="459" t="s">
        <v>53</v>
      </c>
      <c r="B15" s="459" t="s">
        <v>1293</v>
      </c>
      <c r="C15" s="459" t="s">
        <v>432</v>
      </c>
      <c r="D15" s="459" t="s">
        <v>243</v>
      </c>
      <c r="E15" s="459"/>
      <c r="F15" s="459">
        <v>16</v>
      </c>
      <c r="G15" s="459"/>
      <c r="H15" s="459"/>
      <c r="I15" s="459"/>
      <c r="J15" s="459"/>
      <c r="K15" s="459"/>
      <c r="L15" s="459"/>
      <c r="M15" s="186" t="s">
        <v>1190</v>
      </c>
    </row>
    <row r="16" spans="1:13" ht="15" customHeight="1">
      <c r="A16" s="459" t="s">
        <v>53</v>
      </c>
      <c r="B16" s="459" t="s">
        <v>1288</v>
      </c>
      <c r="C16" s="459" t="s">
        <v>535</v>
      </c>
      <c r="D16" s="459" t="s">
        <v>903</v>
      </c>
      <c r="E16" s="459"/>
      <c r="F16" s="459">
        <v>17</v>
      </c>
      <c r="G16" s="459"/>
      <c r="H16" s="459"/>
      <c r="I16" s="459"/>
      <c r="J16" s="459"/>
      <c r="K16" s="459"/>
      <c r="L16" s="459"/>
      <c r="M16" s="186" t="s">
        <v>1190</v>
      </c>
    </row>
    <row r="17" spans="1:13" ht="15" customHeight="1">
      <c r="A17" s="459" t="s">
        <v>55</v>
      </c>
      <c r="B17" s="459" t="s">
        <v>5114</v>
      </c>
      <c r="C17" s="459" t="s">
        <v>5115</v>
      </c>
      <c r="D17" s="459" t="s">
        <v>903</v>
      </c>
      <c r="E17" s="459"/>
      <c r="F17" s="459">
        <v>9</v>
      </c>
      <c r="G17" s="459"/>
      <c r="H17" s="459"/>
      <c r="I17" s="459"/>
      <c r="J17" s="459"/>
      <c r="K17" s="459"/>
      <c r="L17" s="459"/>
      <c r="M17" s="130" t="s">
        <v>5116</v>
      </c>
    </row>
    <row r="18" spans="1:13" ht="15" customHeight="1">
      <c r="A18" s="459" t="s">
        <v>61</v>
      </c>
      <c r="B18" s="459" t="s">
        <v>1898</v>
      </c>
      <c r="C18" s="459" t="s">
        <v>1325</v>
      </c>
      <c r="D18" s="459" t="s">
        <v>1012</v>
      </c>
      <c r="E18" s="459"/>
      <c r="F18" s="459">
        <v>10</v>
      </c>
      <c r="G18" s="459"/>
      <c r="H18" s="459"/>
      <c r="I18" s="459"/>
      <c r="J18" s="459"/>
      <c r="K18" s="459"/>
      <c r="L18" s="459"/>
      <c r="M18" s="130" t="s">
        <v>5117</v>
      </c>
    </row>
    <row r="19" spans="1:13" ht="15" customHeight="1">
      <c r="A19" s="459" t="s">
        <v>61</v>
      </c>
      <c r="B19" s="459" t="s">
        <v>4700</v>
      </c>
      <c r="C19" s="459" t="s">
        <v>1325</v>
      </c>
      <c r="D19" s="459" t="s">
        <v>1012</v>
      </c>
      <c r="E19" s="459"/>
      <c r="F19" s="459">
        <v>11</v>
      </c>
      <c r="G19" s="459"/>
      <c r="H19" s="459"/>
      <c r="I19" s="459"/>
      <c r="J19" s="459"/>
      <c r="K19" s="459"/>
      <c r="L19" s="459"/>
      <c r="M19" s="130" t="s">
        <v>3837</v>
      </c>
    </row>
  </sheetData>
  <conditionalFormatting sqref="G3:G19">
    <cfRule type="cellIs" dxfId="15" priority="1" operator="equal">
      <formula>1</formula>
    </cfRule>
    <cfRule type="cellIs" dxfId="14" priority="2" operator="equal">
      <formula>0</formula>
    </cfRule>
  </conditionalFormatting>
  <pageMargins left="0.7" right="0.7" top="0.75" bottom="0.75" header="0" footer="0"/>
  <pageSetup orientation="landscape"/>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outlinePr summaryBelow="0" summaryRight="0"/>
  </sheetPr>
  <dimension ref="A1:L33"/>
  <sheetViews>
    <sheetView workbookViewId="0">
      <pane ySplit="2" topLeftCell="A3" activePane="bottomLeft" state="frozen"/>
      <selection pane="bottomLeft" activeCell="B4" sqref="B4"/>
    </sheetView>
  </sheetViews>
  <sheetFormatPr defaultColWidth="14.453125" defaultRowHeight="15" customHeight="1"/>
  <cols>
    <col min="1" max="1" width="24" customWidth="1"/>
    <col min="2" max="2" width="32.453125" customWidth="1"/>
    <col min="3" max="3" width="23.26953125" customWidth="1"/>
    <col min="4" max="26" width="17.26953125" customWidth="1"/>
  </cols>
  <sheetData>
    <row r="1" spans="1:12" ht="15" customHeight="1">
      <c r="A1" s="459"/>
      <c r="B1" s="459"/>
      <c r="C1" s="459"/>
      <c r="D1" s="459"/>
      <c r="E1" s="459"/>
      <c r="F1" s="459"/>
      <c r="G1" s="207" t="s">
        <v>1038</v>
      </c>
      <c r="H1" s="207"/>
      <c r="I1" s="207"/>
      <c r="J1" s="207"/>
      <c r="K1" s="207"/>
      <c r="L1" s="207"/>
    </row>
    <row r="2" spans="1:12" ht="15" customHeight="1">
      <c r="A2" s="208" t="s">
        <v>224</v>
      </c>
      <c r="B2" s="208" t="s">
        <v>225</v>
      </c>
      <c r="C2" s="208" t="s">
        <v>226</v>
      </c>
      <c r="D2" s="208" t="s">
        <v>227</v>
      </c>
      <c r="E2" s="208" t="s">
        <v>1044</v>
      </c>
      <c r="F2" s="208" t="s">
        <v>1045</v>
      </c>
      <c r="G2" s="207" t="s">
        <v>100</v>
      </c>
      <c r="H2" s="207" t="s">
        <v>101</v>
      </c>
      <c r="I2" s="207" t="s">
        <v>102</v>
      </c>
      <c r="J2" s="207" t="s">
        <v>103</v>
      </c>
      <c r="K2" s="207" t="s">
        <v>104</v>
      </c>
      <c r="L2" s="207" t="s">
        <v>105</v>
      </c>
    </row>
    <row r="3" spans="1:12" ht="15" customHeight="1">
      <c r="A3" s="459" t="s">
        <v>53</v>
      </c>
      <c r="B3" s="459" t="s">
        <v>124</v>
      </c>
      <c r="C3" s="459"/>
      <c r="D3" s="459" t="s">
        <v>903</v>
      </c>
      <c r="E3" s="459"/>
      <c r="F3" s="459">
        <v>31</v>
      </c>
      <c r="G3" s="459"/>
      <c r="H3" s="459"/>
      <c r="I3" s="459"/>
      <c r="J3" s="130" t="s">
        <v>3987</v>
      </c>
      <c r="K3" s="459"/>
      <c r="L3" s="130"/>
    </row>
    <row r="4" spans="1:12" ht="15" customHeight="1">
      <c r="A4" s="459" t="s">
        <v>53</v>
      </c>
      <c r="B4" s="459" t="s">
        <v>1189</v>
      </c>
      <c r="C4" s="459"/>
      <c r="D4" s="459" t="s">
        <v>243</v>
      </c>
      <c r="E4" s="459"/>
      <c r="F4" s="459">
        <v>34</v>
      </c>
      <c r="G4" s="459"/>
      <c r="H4" s="459"/>
      <c r="I4" s="459"/>
      <c r="J4" s="130" t="s">
        <v>3987</v>
      </c>
      <c r="K4" s="459"/>
      <c r="L4" s="130"/>
    </row>
    <row r="5" spans="1:12" ht="15" customHeight="1">
      <c r="A5" s="459" t="s">
        <v>53</v>
      </c>
      <c r="B5" s="459" t="s">
        <v>125</v>
      </c>
      <c r="C5" s="459"/>
      <c r="D5" s="459" t="s">
        <v>243</v>
      </c>
      <c r="E5" s="459"/>
      <c r="F5" s="459">
        <v>39</v>
      </c>
      <c r="G5" s="459"/>
      <c r="H5" s="459"/>
      <c r="I5" s="459"/>
      <c r="J5" s="130" t="s">
        <v>3987</v>
      </c>
      <c r="K5" s="459"/>
      <c r="L5" s="130"/>
    </row>
    <row r="6" spans="1:12" ht="15" customHeight="1">
      <c r="A6" s="459" t="s">
        <v>53</v>
      </c>
      <c r="B6" s="459" t="s">
        <v>1191</v>
      </c>
      <c r="C6" s="459"/>
      <c r="D6" s="459" t="s">
        <v>243</v>
      </c>
      <c r="E6" s="459"/>
      <c r="F6" s="459">
        <v>44</v>
      </c>
      <c r="G6" s="459"/>
      <c r="H6" s="459"/>
      <c r="I6" s="459"/>
      <c r="J6" s="130" t="s">
        <v>3987</v>
      </c>
      <c r="K6" s="459"/>
      <c r="L6" s="130"/>
    </row>
    <row r="7" spans="1:12" ht="15" customHeight="1">
      <c r="A7" s="459" t="s">
        <v>53</v>
      </c>
      <c r="B7" s="459" t="s">
        <v>1192</v>
      </c>
      <c r="C7" s="459"/>
      <c r="D7" s="459" t="s">
        <v>243</v>
      </c>
      <c r="E7" s="459"/>
      <c r="F7" s="459">
        <v>63</v>
      </c>
      <c r="G7" s="459"/>
      <c r="H7" s="459"/>
      <c r="I7" s="459"/>
      <c r="J7" s="130" t="s">
        <v>3987</v>
      </c>
      <c r="K7" s="459"/>
      <c r="L7" s="130"/>
    </row>
    <row r="8" spans="1:12" ht="15" customHeight="1">
      <c r="A8" s="459" t="s">
        <v>53</v>
      </c>
      <c r="B8" s="459" t="s">
        <v>1193</v>
      </c>
      <c r="C8" s="459"/>
      <c r="D8" s="459" t="s">
        <v>243</v>
      </c>
      <c r="E8" s="459"/>
      <c r="F8" s="459">
        <v>70</v>
      </c>
      <c r="G8" s="459"/>
      <c r="H8" s="459"/>
      <c r="I8" s="459"/>
      <c r="J8" s="130" t="s">
        <v>3987</v>
      </c>
      <c r="K8" s="459"/>
      <c r="L8" s="130"/>
    </row>
    <row r="9" spans="1:12" ht="15" customHeight="1">
      <c r="A9" s="459" t="s">
        <v>53</v>
      </c>
      <c r="B9" s="459" t="s">
        <v>1194</v>
      </c>
      <c r="C9" s="459"/>
      <c r="D9" s="459" t="s">
        <v>243</v>
      </c>
      <c r="E9" s="459"/>
      <c r="F9" s="459">
        <v>71</v>
      </c>
      <c r="G9" s="459"/>
      <c r="H9" s="459"/>
      <c r="I9" s="459"/>
      <c r="J9" s="130" t="s">
        <v>3987</v>
      </c>
      <c r="K9" s="459"/>
      <c r="L9" s="130"/>
    </row>
    <row r="10" spans="1:12" ht="15" customHeight="1">
      <c r="A10" s="459" t="s">
        <v>53</v>
      </c>
      <c r="B10" s="459" t="s">
        <v>1195</v>
      </c>
      <c r="C10" s="459"/>
      <c r="D10" s="459" t="s">
        <v>243</v>
      </c>
      <c r="E10" s="459"/>
      <c r="F10" s="459">
        <v>6</v>
      </c>
      <c r="G10" s="459"/>
      <c r="H10" s="459"/>
      <c r="I10" s="459"/>
      <c r="J10" s="130" t="s">
        <v>3987</v>
      </c>
      <c r="K10" s="459"/>
      <c r="L10" s="130"/>
    </row>
    <row r="11" spans="1:12" ht="15" customHeight="1">
      <c r="A11" s="459" t="s">
        <v>53</v>
      </c>
      <c r="B11" s="459" t="s">
        <v>1196</v>
      </c>
      <c r="C11" s="459"/>
      <c r="D11" s="459" t="s">
        <v>903</v>
      </c>
      <c r="E11" s="459"/>
      <c r="F11" s="459">
        <v>27</v>
      </c>
      <c r="G11" s="459"/>
      <c r="H11" s="459"/>
      <c r="I11" s="459"/>
      <c r="J11" s="130" t="s">
        <v>3987</v>
      </c>
      <c r="K11" s="459"/>
      <c r="L11" s="130"/>
    </row>
    <row r="12" spans="1:12" ht="15" customHeight="1">
      <c r="A12" s="459" t="s">
        <v>59</v>
      </c>
      <c r="B12" s="459" t="s">
        <v>3988</v>
      </c>
      <c r="C12" s="459"/>
      <c r="D12" s="459" t="s">
        <v>243</v>
      </c>
      <c r="E12" s="459"/>
      <c r="F12" s="459">
        <v>46</v>
      </c>
      <c r="G12" s="459"/>
      <c r="H12" s="459"/>
      <c r="I12" s="459"/>
      <c r="J12" s="130" t="s">
        <v>5118</v>
      </c>
      <c r="K12" s="459"/>
      <c r="L12" s="130"/>
    </row>
    <row r="13" spans="1:12" ht="15" customHeight="1">
      <c r="A13" s="459" t="s">
        <v>59</v>
      </c>
      <c r="B13" s="459" t="s">
        <v>3990</v>
      </c>
      <c r="C13" s="459"/>
      <c r="D13" s="459" t="s">
        <v>243</v>
      </c>
      <c r="E13" s="459"/>
      <c r="F13" s="459">
        <v>72</v>
      </c>
      <c r="G13" s="459"/>
      <c r="H13" s="459"/>
      <c r="I13" s="459"/>
      <c r="J13" s="130" t="s">
        <v>5119</v>
      </c>
      <c r="K13" s="459"/>
      <c r="L13" s="130"/>
    </row>
    <row r="14" spans="1:12" ht="15" customHeight="1">
      <c r="A14" s="459" t="s">
        <v>55</v>
      </c>
      <c r="B14" s="459" t="s">
        <v>3992</v>
      </c>
      <c r="C14" s="459"/>
      <c r="D14" s="459" t="s">
        <v>243</v>
      </c>
      <c r="E14" s="459"/>
      <c r="F14" s="459">
        <v>2</v>
      </c>
      <c r="G14" s="459"/>
      <c r="H14" s="459"/>
      <c r="I14" s="459"/>
      <c r="J14" s="130"/>
      <c r="K14" s="459"/>
      <c r="L14" s="130"/>
    </row>
    <row r="15" spans="1:12" ht="15" customHeight="1">
      <c r="A15" s="459" t="s">
        <v>55</v>
      </c>
      <c r="B15" s="459" t="s">
        <v>3994</v>
      </c>
      <c r="C15" s="459"/>
      <c r="D15" s="459" t="s">
        <v>243</v>
      </c>
      <c r="E15" s="459"/>
      <c r="F15" s="459">
        <v>3</v>
      </c>
      <c r="G15" s="459"/>
      <c r="H15" s="459"/>
      <c r="I15" s="459"/>
      <c r="J15" s="130"/>
      <c r="K15" s="459"/>
      <c r="L15" s="130"/>
    </row>
    <row r="16" spans="1:12" ht="15" customHeight="1">
      <c r="A16" s="459" t="s">
        <v>55</v>
      </c>
      <c r="B16" s="459" t="s">
        <v>3996</v>
      </c>
      <c r="C16" s="459"/>
      <c r="D16" s="459" t="s">
        <v>243</v>
      </c>
      <c r="E16" s="459"/>
      <c r="F16" s="459">
        <v>4</v>
      </c>
      <c r="G16" s="459"/>
      <c r="H16" s="459"/>
      <c r="I16" s="459"/>
      <c r="J16" s="130"/>
      <c r="K16" s="459"/>
      <c r="L16" s="130"/>
    </row>
    <row r="17" spans="1:12" ht="15" customHeight="1">
      <c r="A17" s="459" t="s">
        <v>55</v>
      </c>
      <c r="B17" s="459" t="s">
        <v>2042</v>
      </c>
      <c r="C17" s="459"/>
      <c r="D17" s="459" t="s">
        <v>243</v>
      </c>
      <c r="E17" s="459"/>
      <c r="F17" s="459">
        <v>5</v>
      </c>
      <c r="G17" s="459"/>
      <c r="H17" s="459"/>
      <c r="I17" s="459"/>
      <c r="J17" s="130"/>
      <c r="K17" s="459"/>
      <c r="L17" s="130"/>
    </row>
    <row r="18" spans="1:12" ht="15" customHeight="1">
      <c r="A18" s="459" t="s">
        <v>55</v>
      </c>
      <c r="B18" s="459" t="s">
        <v>3999</v>
      </c>
      <c r="C18" s="459"/>
      <c r="D18" s="459" t="s">
        <v>243</v>
      </c>
      <c r="E18" s="459"/>
      <c r="F18" s="459">
        <v>7</v>
      </c>
      <c r="G18" s="459"/>
      <c r="H18" s="459"/>
      <c r="I18" s="459"/>
      <c r="J18" s="130" t="s">
        <v>5120</v>
      </c>
      <c r="K18" s="459"/>
      <c r="L18" s="130"/>
    </row>
    <row r="19" spans="1:12" ht="15" customHeight="1">
      <c r="A19" s="459" t="s">
        <v>55</v>
      </c>
      <c r="B19" s="459" t="s">
        <v>4001</v>
      </c>
      <c r="C19" s="459"/>
      <c r="D19" s="459" t="s">
        <v>243</v>
      </c>
      <c r="E19" s="459"/>
      <c r="F19" s="459">
        <v>8</v>
      </c>
      <c r="G19" s="459"/>
      <c r="H19" s="459"/>
      <c r="I19" s="459"/>
      <c r="J19" s="130"/>
      <c r="K19" s="459"/>
      <c r="L19" s="130"/>
    </row>
    <row r="20" spans="1:12" ht="15" customHeight="1">
      <c r="A20" s="459" t="s">
        <v>55</v>
      </c>
      <c r="B20" s="459" t="s">
        <v>4003</v>
      </c>
      <c r="C20" s="459"/>
      <c r="D20" s="459" t="s">
        <v>243</v>
      </c>
      <c r="E20" s="459"/>
      <c r="F20" s="459">
        <v>9</v>
      </c>
      <c r="G20" s="459"/>
      <c r="H20" s="459"/>
      <c r="I20" s="459"/>
      <c r="J20" s="130"/>
      <c r="K20" s="459"/>
      <c r="L20" s="130"/>
    </row>
    <row r="21" spans="1:12" ht="15" customHeight="1">
      <c r="A21" s="459" t="s">
        <v>55</v>
      </c>
      <c r="B21" s="459" t="s">
        <v>4005</v>
      </c>
      <c r="C21" s="459"/>
      <c r="D21" s="459" t="s">
        <v>243</v>
      </c>
      <c r="E21" s="459"/>
      <c r="F21" s="459">
        <v>10</v>
      </c>
      <c r="G21" s="459"/>
      <c r="H21" s="459"/>
      <c r="I21" s="459"/>
      <c r="J21" s="130"/>
      <c r="K21" s="459"/>
      <c r="L21" s="130"/>
    </row>
    <row r="22" spans="1:12" ht="15" customHeight="1">
      <c r="A22" s="459" t="s">
        <v>55</v>
      </c>
      <c r="B22" s="459" t="s">
        <v>4007</v>
      </c>
      <c r="C22" s="459"/>
      <c r="D22" s="459" t="s">
        <v>243</v>
      </c>
      <c r="E22" s="459"/>
      <c r="F22" s="459">
        <v>11</v>
      </c>
      <c r="G22" s="459"/>
      <c r="H22" s="459"/>
      <c r="I22" s="459"/>
      <c r="J22" s="130"/>
      <c r="K22" s="459"/>
      <c r="L22" s="130"/>
    </row>
    <row r="23" spans="1:12" ht="15" customHeight="1">
      <c r="A23" s="459" t="s">
        <v>224</v>
      </c>
      <c r="B23" s="459" t="s">
        <v>2339</v>
      </c>
      <c r="C23" s="459"/>
      <c r="D23" s="459" t="s">
        <v>243</v>
      </c>
      <c r="E23" s="459"/>
      <c r="F23" s="459">
        <v>12</v>
      </c>
      <c r="G23" s="459"/>
      <c r="H23" s="459"/>
      <c r="I23" s="459"/>
      <c r="J23" s="130"/>
      <c r="K23" s="459"/>
      <c r="L23" s="130"/>
    </row>
    <row r="24" spans="1:12" ht="15" customHeight="1">
      <c r="A24" s="459" t="s">
        <v>55</v>
      </c>
      <c r="B24" s="459" t="s">
        <v>1290</v>
      </c>
      <c r="C24" s="459"/>
      <c r="D24" s="459" t="s">
        <v>243</v>
      </c>
      <c r="E24" s="459"/>
      <c r="F24" s="459">
        <v>13</v>
      </c>
      <c r="G24" s="459"/>
      <c r="H24" s="459"/>
      <c r="I24" s="459"/>
      <c r="J24" s="130"/>
      <c r="K24" s="459"/>
      <c r="L24" s="130"/>
    </row>
    <row r="25" spans="1:12" ht="15" customHeight="1">
      <c r="A25" s="459" t="s">
        <v>53</v>
      </c>
      <c r="B25" s="459" t="s">
        <v>1291</v>
      </c>
      <c r="C25" s="459"/>
      <c r="D25" s="459" t="s">
        <v>243</v>
      </c>
      <c r="E25" s="459"/>
      <c r="F25" s="459">
        <v>21</v>
      </c>
      <c r="G25" s="459"/>
      <c r="H25" s="459"/>
      <c r="I25" s="459"/>
      <c r="J25" s="186"/>
      <c r="K25" s="459"/>
      <c r="L25" s="130"/>
    </row>
    <row r="26" spans="1:12" ht="15" customHeight="1">
      <c r="A26" s="459" t="s">
        <v>53</v>
      </c>
      <c r="B26" s="459" t="s">
        <v>1292</v>
      </c>
      <c r="C26" s="459"/>
      <c r="D26" s="459" t="s">
        <v>243</v>
      </c>
      <c r="E26" s="459"/>
      <c r="F26" s="459">
        <v>22</v>
      </c>
      <c r="G26" s="459"/>
      <c r="H26" s="459"/>
      <c r="I26" s="459"/>
      <c r="J26" s="130"/>
      <c r="K26" s="459"/>
      <c r="L26" s="130"/>
    </row>
    <row r="27" spans="1:12" ht="15" customHeight="1">
      <c r="A27" s="459" t="s">
        <v>53</v>
      </c>
      <c r="B27" s="459" t="s">
        <v>1289</v>
      </c>
      <c r="C27" s="459"/>
      <c r="D27" s="459" t="s">
        <v>243</v>
      </c>
      <c r="E27" s="459"/>
      <c r="F27" s="459">
        <v>23</v>
      </c>
      <c r="G27" s="459"/>
      <c r="H27" s="459"/>
      <c r="I27" s="459"/>
      <c r="J27" s="130"/>
      <c r="K27" s="459"/>
      <c r="L27" s="130"/>
    </row>
    <row r="28" spans="1:12" ht="15" customHeight="1">
      <c r="A28" s="459" t="s">
        <v>53</v>
      </c>
      <c r="B28" s="459" t="s">
        <v>1293</v>
      </c>
      <c r="C28" s="459"/>
      <c r="D28" s="459" t="s">
        <v>243</v>
      </c>
      <c r="E28" s="459"/>
      <c r="F28" s="459">
        <v>24</v>
      </c>
      <c r="G28" s="459"/>
      <c r="H28" s="459"/>
      <c r="I28" s="459"/>
      <c r="J28" s="130"/>
      <c r="K28" s="459"/>
      <c r="L28" s="130"/>
    </row>
    <row r="29" spans="1:12" ht="15" customHeight="1">
      <c r="A29" s="459" t="s">
        <v>55</v>
      </c>
      <c r="B29" s="459" t="s">
        <v>4010</v>
      </c>
      <c r="C29" s="459"/>
      <c r="D29" s="459" t="s">
        <v>243</v>
      </c>
      <c r="E29" s="459"/>
      <c r="F29" s="459">
        <v>25</v>
      </c>
      <c r="G29" s="459"/>
      <c r="H29" s="459"/>
      <c r="I29" s="459"/>
      <c r="J29" s="130"/>
      <c r="K29" s="459"/>
      <c r="L29" s="130"/>
    </row>
    <row r="30" spans="1:12" ht="15" customHeight="1">
      <c r="A30" s="459" t="s">
        <v>224</v>
      </c>
      <c r="B30" s="459" t="s">
        <v>1010</v>
      </c>
      <c r="C30" s="459"/>
      <c r="D30" s="459" t="s">
        <v>243</v>
      </c>
      <c r="E30" s="459"/>
      <c r="F30" s="459">
        <v>26</v>
      </c>
      <c r="G30" s="459"/>
      <c r="H30" s="459"/>
      <c r="I30" s="459"/>
      <c r="J30" s="130"/>
      <c r="K30" s="459"/>
      <c r="L30" s="130"/>
    </row>
    <row r="31" spans="1:12" ht="15" customHeight="1">
      <c r="A31" s="459" t="s">
        <v>224</v>
      </c>
      <c r="B31" s="459" t="s">
        <v>1406</v>
      </c>
      <c r="C31" s="459"/>
      <c r="D31" s="459" t="s">
        <v>243</v>
      </c>
      <c r="E31" s="459"/>
      <c r="F31" s="459">
        <v>28</v>
      </c>
      <c r="G31" s="459"/>
      <c r="H31" s="459"/>
      <c r="I31" s="459"/>
      <c r="J31" s="130"/>
      <c r="K31" s="459"/>
      <c r="L31" s="130"/>
    </row>
    <row r="32" spans="1:12" ht="15" customHeight="1">
      <c r="A32" s="459" t="s">
        <v>53</v>
      </c>
      <c r="B32" s="459" t="s">
        <v>1288</v>
      </c>
      <c r="C32" s="459"/>
      <c r="D32" s="459" t="s">
        <v>903</v>
      </c>
      <c r="E32" s="459"/>
      <c r="F32" s="459">
        <v>29</v>
      </c>
      <c r="G32" s="459"/>
      <c r="H32" s="459"/>
      <c r="I32" s="459"/>
      <c r="J32" s="130"/>
      <c r="K32" s="459"/>
      <c r="L32" s="130"/>
    </row>
    <row r="33" spans="1:12" ht="15" customHeight="1">
      <c r="A33" s="459" t="s">
        <v>224</v>
      </c>
      <c r="B33" s="459" t="s">
        <v>123</v>
      </c>
      <c r="C33" s="459"/>
      <c r="D33" s="459" t="s">
        <v>243</v>
      </c>
      <c r="E33" s="459"/>
      <c r="F33" s="459">
        <v>30</v>
      </c>
      <c r="G33" s="459"/>
      <c r="H33" s="459"/>
      <c r="I33" s="459"/>
      <c r="J33" s="130"/>
      <c r="K33" s="459"/>
      <c r="L33" s="130"/>
    </row>
  </sheetData>
  <pageMargins left="0.7" right="0.7" top="0.75" bottom="0.75" header="0" footer="0"/>
  <pageSetup orientation="landscape"/>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filterMode="1">
    <outlinePr summaryBelow="0" summaryRight="0"/>
  </sheetPr>
  <dimension ref="A1:AA27"/>
  <sheetViews>
    <sheetView workbookViewId="0">
      <pane ySplit="2" topLeftCell="A13" activePane="bottomLeft" state="frozen"/>
      <selection pane="bottomLeft" activeCell="E31" sqref="E31"/>
    </sheetView>
  </sheetViews>
  <sheetFormatPr defaultColWidth="14.453125" defaultRowHeight="15" customHeight="1"/>
  <cols>
    <col min="1" max="1" width="60.54296875" customWidth="1"/>
    <col min="2" max="2" width="27.1796875" customWidth="1"/>
    <col min="3" max="3" width="25.7265625" customWidth="1"/>
    <col min="4" max="4" width="8.7265625" customWidth="1"/>
    <col min="5" max="5" width="12" customWidth="1"/>
    <col min="6" max="6" width="5.453125" customWidth="1"/>
    <col min="7" max="7" width="9.1796875" customWidth="1"/>
    <col min="8" max="8" width="19.1796875" customWidth="1"/>
    <col min="9" max="9" width="39.26953125" customWidth="1"/>
    <col min="10" max="10" width="10.453125" customWidth="1"/>
    <col min="11" max="11" width="17.7265625" customWidth="1"/>
    <col min="12" max="12" width="12.453125" customWidth="1"/>
    <col min="13" max="13" width="11.7265625" customWidth="1"/>
    <col min="14" max="27" width="17.26953125" customWidth="1"/>
  </cols>
  <sheetData>
    <row r="1" spans="1:27" ht="26.25" customHeight="1">
      <c r="A1" s="542" t="s">
        <v>5121</v>
      </c>
      <c r="B1" s="130"/>
      <c r="C1" s="459"/>
      <c r="D1" s="459"/>
      <c r="E1" s="459"/>
      <c r="F1" s="459"/>
      <c r="G1" s="381"/>
      <c r="H1" s="207" t="s">
        <v>1038</v>
      </c>
      <c r="I1" s="207"/>
      <c r="J1" s="207"/>
      <c r="K1" s="207"/>
      <c r="L1" s="207"/>
      <c r="M1" s="207"/>
      <c r="N1" s="207"/>
      <c r="O1" s="459"/>
      <c r="P1" s="459"/>
      <c r="Q1" s="459"/>
      <c r="R1" s="459"/>
      <c r="S1" s="459"/>
      <c r="T1" s="459"/>
      <c r="U1" s="459"/>
      <c r="V1" s="459"/>
      <c r="W1" s="459"/>
      <c r="X1" s="459"/>
      <c r="Y1" s="459"/>
      <c r="Z1" s="459"/>
      <c r="AA1" s="459"/>
    </row>
    <row r="2" spans="1:27" ht="15" customHeight="1">
      <c r="A2" s="208" t="s">
        <v>224</v>
      </c>
      <c r="B2" s="208" t="s">
        <v>225</v>
      </c>
      <c r="C2" s="208" t="s">
        <v>226</v>
      </c>
      <c r="D2" s="208" t="s">
        <v>227</v>
      </c>
      <c r="E2" s="208" t="s">
        <v>1044</v>
      </c>
      <c r="F2" s="208" t="s">
        <v>1045</v>
      </c>
      <c r="G2" s="207" t="s">
        <v>1046</v>
      </c>
      <c r="H2" s="207" t="s">
        <v>100</v>
      </c>
      <c r="I2" s="207" t="s">
        <v>101</v>
      </c>
      <c r="J2" s="207" t="s">
        <v>102</v>
      </c>
      <c r="K2" s="285" t="s">
        <v>104</v>
      </c>
      <c r="L2" s="207" t="s">
        <v>105</v>
      </c>
      <c r="M2" s="207" t="s">
        <v>112</v>
      </c>
      <c r="N2" s="207" t="s">
        <v>103</v>
      </c>
      <c r="O2" s="459"/>
      <c r="P2" s="459"/>
      <c r="Q2" s="459"/>
      <c r="R2" s="459"/>
      <c r="S2" s="459"/>
      <c r="T2" s="459"/>
      <c r="U2" s="459"/>
      <c r="V2" s="459"/>
      <c r="W2" s="459"/>
      <c r="X2" s="459"/>
      <c r="Y2" s="459"/>
      <c r="Z2" s="459"/>
      <c r="AA2" s="459"/>
    </row>
    <row r="3" spans="1:27" ht="15" hidden="1" customHeight="1">
      <c r="A3" s="459" t="s">
        <v>53</v>
      </c>
      <c r="B3" s="459" t="s">
        <v>124</v>
      </c>
      <c r="C3" s="459" t="s">
        <v>5122</v>
      </c>
      <c r="D3" s="459" t="s">
        <v>903</v>
      </c>
      <c r="E3" s="459"/>
      <c r="F3" s="459">
        <v>1</v>
      </c>
      <c r="G3" s="459" t="s">
        <v>680</v>
      </c>
      <c r="H3" s="459"/>
      <c r="I3" s="459"/>
      <c r="J3" s="459"/>
      <c r="K3" s="459"/>
      <c r="L3" s="459"/>
      <c r="M3" s="459"/>
      <c r="N3" s="186" t="s">
        <v>1190</v>
      </c>
      <c r="O3" s="459"/>
      <c r="P3" s="459"/>
      <c r="Q3" s="459"/>
      <c r="R3" s="459"/>
      <c r="S3" s="459"/>
      <c r="T3" s="459"/>
      <c r="U3" s="459"/>
      <c r="V3" s="459"/>
      <c r="W3" s="459"/>
      <c r="X3" s="459"/>
      <c r="Y3" s="459"/>
      <c r="Z3" s="459"/>
      <c r="AA3" s="459"/>
    </row>
    <row r="4" spans="1:27" ht="15" hidden="1" customHeight="1">
      <c r="A4" s="459" t="s">
        <v>53</v>
      </c>
      <c r="B4" s="459" t="s">
        <v>1189</v>
      </c>
      <c r="C4" s="459" t="s">
        <v>249</v>
      </c>
      <c r="D4" s="459" t="s">
        <v>243</v>
      </c>
      <c r="E4" s="459"/>
      <c r="F4" s="459">
        <v>2</v>
      </c>
      <c r="G4" s="459" t="s">
        <v>680</v>
      </c>
      <c r="H4" s="459"/>
      <c r="I4" s="459"/>
      <c r="J4" s="459"/>
      <c r="K4" s="459"/>
      <c r="L4" s="459"/>
      <c r="M4" s="459"/>
      <c r="N4" s="186" t="s">
        <v>1190</v>
      </c>
      <c r="O4" s="459"/>
      <c r="P4" s="459"/>
      <c r="Q4" s="459"/>
      <c r="R4" s="459"/>
      <c r="S4" s="459"/>
      <c r="T4" s="459"/>
      <c r="U4" s="459"/>
      <c r="V4" s="459"/>
      <c r="W4" s="459"/>
      <c r="X4" s="459"/>
      <c r="Y4" s="459"/>
      <c r="Z4" s="459"/>
      <c r="AA4" s="459"/>
    </row>
    <row r="5" spans="1:27" ht="15" hidden="1" customHeight="1">
      <c r="A5" s="459" t="s">
        <v>53</v>
      </c>
      <c r="B5" s="459" t="s">
        <v>1191</v>
      </c>
      <c r="C5" s="459" t="s">
        <v>255</v>
      </c>
      <c r="D5" s="459" t="s">
        <v>243</v>
      </c>
      <c r="E5" s="459"/>
      <c r="F5" s="459">
        <v>3</v>
      </c>
      <c r="G5" s="459" t="s">
        <v>680</v>
      </c>
      <c r="H5" s="459"/>
      <c r="I5" s="459"/>
      <c r="J5" s="459"/>
      <c r="K5" s="459"/>
      <c r="L5" s="459"/>
      <c r="M5" s="459"/>
      <c r="N5" s="186" t="s">
        <v>1190</v>
      </c>
      <c r="O5" s="459"/>
      <c r="P5" s="459"/>
      <c r="Q5" s="459"/>
      <c r="R5" s="459"/>
      <c r="S5" s="459"/>
      <c r="T5" s="459"/>
      <c r="U5" s="459"/>
      <c r="V5" s="459"/>
      <c r="W5" s="459"/>
      <c r="X5" s="459"/>
      <c r="Y5" s="459"/>
      <c r="Z5" s="459"/>
      <c r="AA5" s="459"/>
    </row>
    <row r="6" spans="1:27" ht="15" hidden="1" customHeight="1">
      <c r="A6" s="459" t="s">
        <v>53</v>
      </c>
      <c r="B6" s="459" t="s">
        <v>1192</v>
      </c>
      <c r="C6" s="459" t="s">
        <v>242</v>
      </c>
      <c r="D6" s="459" t="s">
        <v>243</v>
      </c>
      <c r="E6" s="459"/>
      <c r="F6" s="459">
        <v>4</v>
      </c>
      <c r="G6" s="459" t="s">
        <v>680</v>
      </c>
      <c r="H6" s="459"/>
      <c r="I6" s="459"/>
      <c r="J6" s="459"/>
      <c r="K6" s="459"/>
      <c r="L6" s="459"/>
      <c r="M6" s="459"/>
      <c r="N6" s="186" t="s">
        <v>1190</v>
      </c>
      <c r="O6" s="459"/>
      <c r="P6" s="459"/>
      <c r="Q6" s="459"/>
      <c r="R6" s="459"/>
      <c r="S6" s="459"/>
      <c r="T6" s="459"/>
      <c r="U6" s="459"/>
      <c r="V6" s="459"/>
      <c r="W6" s="459"/>
      <c r="X6" s="459"/>
      <c r="Y6" s="459"/>
      <c r="Z6" s="459"/>
      <c r="AA6" s="459"/>
    </row>
    <row r="7" spans="1:27" ht="15" hidden="1" customHeight="1">
      <c r="A7" s="459" t="s">
        <v>53</v>
      </c>
      <c r="B7" s="459" t="s">
        <v>1193</v>
      </c>
      <c r="C7" s="459" t="s">
        <v>247</v>
      </c>
      <c r="D7" s="459" t="s">
        <v>243</v>
      </c>
      <c r="E7" s="459"/>
      <c r="F7" s="459">
        <v>5</v>
      </c>
      <c r="G7" s="172" t="s">
        <v>680</v>
      </c>
      <c r="H7" s="459"/>
      <c r="I7" s="459"/>
      <c r="J7" s="459"/>
      <c r="K7" s="459"/>
      <c r="L7" s="459"/>
      <c r="M7" s="459"/>
      <c r="N7" s="186" t="s">
        <v>1190</v>
      </c>
      <c r="O7" s="459"/>
      <c r="P7" s="459"/>
      <c r="Q7" s="459"/>
      <c r="R7" s="459"/>
      <c r="S7" s="459"/>
      <c r="T7" s="459"/>
      <c r="U7" s="459"/>
      <c r="V7" s="459"/>
      <c r="W7" s="459"/>
      <c r="X7" s="459"/>
      <c r="Y7" s="459"/>
      <c r="Z7" s="459"/>
      <c r="AA7" s="459"/>
    </row>
    <row r="8" spans="1:27" ht="15" hidden="1" customHeight="1">
      <c r="A8" s="459" t="s">
        <v>53</v>
      </c>
      <c r="B8" s="459" t="s">
        <v>1194</v>
      </c>
      <c r="C8" s="459" t="s">
        <v>255</v>
      </c>
      <c r="D8" s="459" t="s">
        <v>243</v>
      </c>
      <c r="E8" s="459"/>
      <c r="F8" s="459">
        <v>6</v>
      </c>
      <c r="G8" s="172" t="s">
        <v>680</v>
      </c>
      <c r="H8" s="459"/>
      <c r="I8" s="459"/>
      <c r="J8" s="459"/>
      <c r="K8" s="459"/>
      <c r="L8" s="459"/>
      <c r="M8" s="459"/>
      <c r="N8" s="186" t="s">
        <v>1190</v>
      </c>
      <c r="O8" s="459"/>
      <c r="P8" s="459"/>
      <c r="Q8" s="459"/>
      <c r="R8" s="459"/>
      <c r="S8" s="459"/>
      <c r="T8" s="459"/>
      <c r="U8" s="459"/>
      <c r="V8" s="459"/>
      <c r="W8" s="459"/>
      <c r="X8" s="459"/>
      <c r="Y8" s="459"/>
      <c r="Z8" s="459"/>
      <c r="AA8" s="459"/>
    </row>
    <row r="9" spans="1:27" ht="15" hidden="1" customHeight="1">
      <c r="A9" s="459" t="s">
        <v>53</v>
      </c>
      <c r="B9" s="459" t="s">
        <v>1195</v>
      </c>
      <c r="C9" s="459" t="s">
        <v>247</v>
      </c>
      <c r="D9" s="459" t="s">
        <v>243</v>
      </c>
      <c r="E9" s="459"/>
      <c r="F9" s="459">
        <v>7</v>
      </c>
      <c r="G9" s="172" t="s">
        <v>680</v>
      </c>
      <c r="H9" s="459"/>
      <c r="I9" s="459"/>
      <c r="J9" s="459"/>
      <c r="K9" s="459"/>
      <c r="L9" s="459"/>
      <c r="M9" s="459"/>
      <c r="N9" s="186" t="s">
        <v>1190</v>
      </c>
      <c r="O9" s="459"/>
      <c r="P9" s="459"/>
      <c r="Q9" s="459"/>
      <c r="R9" s="459"/>
      <c r="S9" s="459"/>
      <c r="T9" s="459"/>
      <c r="U9" s="459"/>
      <c r="V9" s="459"/>
      <c r="W9" s="459"/>
      <c r="X9" s="459"/>
      <c r="Y9" s="459"/>
      <c r="Z9" s="459"/>
      <c r="AA9" s="459"/>
    </row>
    <row r="10" spans="1:27" ht="15" hidden="1" customHeight="1">
      <c r="A10" s="459" t="s">
        <v>55</v>
      </c>
      <c r="B10" s="459" t="s">
        <v>1956</v>
      </c>
      <c r="C10" s="459" t="s">
        <v>255</v>
      </c>
      <c r="D10" s="459" t="s">
        <v>243</v>
      </c>
      <c r="E10" s="459"/>
      <c r="F10" s="459">
        <v>8</v>
      </c>
      <c r="G10" s="172" t="s">
        <v>680</v>
      </c>
      <c r="H10" s="459"/>
      <c r="I10" s="459"/>
      <c r="J10" s="459"/>
      <c r="K10" s="459"/>
      <c r="L10" s="459"/>
      <c r="M10" s="459"/>
      <c r="N10" s="186" t="s">
        <v>1190</v>
      </c>
      <c r="O10" s="459"/>
      <c r="P10" s="459"/>
      <c r="Q10" s="459"/>
      <c r="R10" s="459"/>
      <c r="S10" s="459"/>
      <c r="T10" s="459"/>
      <c r="U10" s="459"/>
      <c r="V10" s="459"/>
      <c r="W10" s="459"/>
      <c r="X10" s="459"/>
      <c r="Y10" s="459"/>
      <c r="Z10" s="459"/>
      <c r="AA10" s="459"/>
    </row>
    <row r="11" spans="1:27" ht="15" hidden="1" customHeight="1">
      <c r="A11" s="459" t="s">
        <v>55</v>
      </c>
      <c r="B11" s="459" t="s">
        <v>1957</v>
      </c>
      <c r="C11" s="459" t="s">
        <v>255</v>
      </c>
      <c r="D11" s="459" t="s">
        <v>243</v>
      </c>
      <c r="E11" s="459"/>
      <c r="F11" s="459">
        <v>9</v>
      </c>
      <c r="G11" s="172" t="s">
        <v>680</v>
      </c>
      <c r="H11" s="459"/>
      <c r="I11" s="459"/>
      <c r="J11" s="459"/>
      <c r="K11" s="459"/>
      <c r="L11" s="459"/>
      <c r="M11" s="459"/>
      <c r="N11" s="186" t="s">
        <v>1190</v>
      </c>
      <c r="O11" s="459"/>
      <c r="P11" s="459"/>
      <c r="Q11" s="459"/>
      <c r="R11" s="459"/>
      <c r="S11" s="459"/>
      <c r="T11" s="459"/>
      <c r="U11" s="459"/>
      <c r="V11" s="459"/>
      <c r="W11" s="459"/>
      <c r="X11" s="459"/>
      <c r="Y11" s="459"/>
      <c r="Z11" s="459"/>
      <c r="AA11" s="459"/>
    </row>
    <row r="12" spans="1:27" ht="15" hidden="1" customHeight="1">
      <c r="A12" s="459" t="s">
        <v>53</v>
      </c>
      <c r="B12" s="459" t="s">
        <v>1196</v>
      </c>
      <c r="C12" s="459" t="s">
        <v>5122</v>
      </c>
      <c r="D12" s="459" t="s">
        <v>903</v>
      </c>
      <c r="E12" s="459"/>
      <c r="F12" s="459">
        <v>10</v>
      </c>
      <c r="G12" s="172" t="s">
        <v>680</v>
      </c>
      <c r="H12" s="459"/>
      <c r="I12" s="459"/>
      <c r="J12" s="459"/>
      <c r="K12" s="459"/>
      <c r="L12" s="459"/>
      <c r="M12" s="459"/>
      <c r="N12" s="186" t="s">
        <v>1190</v>
      </c>
      <c r="O12" s="459"/>
      <c r="P12" s="459"/>
      <c r="Q12" s="459"/>
      <c r="R12" s="459"/>
      <c r="S12" s="459"/>
      <c r="T12" s="459"/>
      <c r="U12" s="459"/>
      <c r="V12" s="459"/>
      <c r="W12" s="459"/>
      <c r="X12" s="459"/>
      <c r="Y12" s="459"/>
      <c r="Z12" s="459"/>
      <c r="AA12" s="459"/>
    </row>
    <row r="13" spans="1:27" ht="15" customHeight="1">
      <c r="A13" s="459" t="s">
        <v>224</v>
      </c>
      <c r="B13" s="459" t="s">
        <v>5123</v>
      </c>
      <c r="C13" s="459" t="s">
        <v>5115</v>
      </c>
      <c r="D13" s="459" t="s">
        <v>243</v>
      </c>
      <c r="E13" s="459"/>
      <c r="F13" s="459">
        <v>11</v>
      </c>
      <c r="G13" s="459" t="s">
        <v>682</v>
      </c>
      <c r="H13" s="708" t="s">
        <v>5124</v>
      </c>
      <c r="I13" s="708"/>
      <c r="J13" s="459"/>
      <c r="K13" s="459"/>
      <c r="L13" s="459"/>
      <c r="M13" s="459"/>
      <c r="N13" s="459" t="s">
        <v>182</v>
      </c>
      <c r="O13" s="459"/>
      <c r="P13" s="459"/>
      <c r="Q13" s="459"/>
      <c r="R13" s="459"/>
      <c r="S13" s="459"/>
      <c r="T13" s="459"/>
      <c r="U13" s="459"/>
      <c r="V13" s="459"/>
      <c r="W13" s="459"/>
      <c r="X13" s="459"/>
      <c r="Y13" s="459"/>
      <c r="Z13" s="459"/>
      <c r="AA13" s="459"/>
    </row>
    <row r="14" spans="1:27" ht="15" customHeight="1">
      <c r="A14" s="459" t="s">
        <v>224</v>
      </c>
      <c r="B14" s="459" t="s">
        <v>5125</v>
      </c>
      <c r="C14" s="459" t="s">
        <v>249</v>
      </c>
      <c r="D14" s="459" t="s">
        <v>243</v>
      </c>
      <c r="E14" s="459"/>
      <c r="F14" s="459">
        <v>12</v>
      </c>
      <c r="G14" s="459" t="s">
        <v>682</v>
      </c>
      <c r="H14" s="708"/>
      <c r="I14" s="708"/>
      <c r="J14" s="459"/>
      <c r="K14" s="459"/>
      <c r="L14" s="459"/>
      <c r="M14" s="459"/>
      <c r="N14" s="459" t="s">
        <v>5126</v>
      </c>
      <c r="O14" s="459"/>
      <c r="P14" s="459"/>
      <c r="Q14" s="459"/>
      <c r="R14" s="459"/>
      <c r="S14" s="459"/>
      <c r="T14" s="459"/>
      <c r="U14" s="459"/>
      <c r="V14" s="459"/>
      <c r="W14" s="459"/>
      <c r="X14" s="459"/>
      <c r="Y14" s="459"/>
      <c r="Z14" s="459"/>
      <c r="AA14" s="459"/>
    </row>
    <row r="15" spans="1:27" ht="15" hidden="1" customHeight="1">
      <c r="A15" s="459" t="s">
        <v>55</v>
      </c>
      <c r="B15" s="459" t="s">
        <v>5127</v>
      </c>
      <c r="C15" s="459" t="s">
        <v>255</v>
      </c>
      <c r="D15" s="459" t="s">
        <v>243</v>
      </c>
      <c r="E15" s="459"/>
      <c r="F15" s="459">
        <v>13</v>
      </c>
      <c r="G15" s="459" t="s">
        <v>680</v>
      </c>
      <c r="H15" s="709"/>
      <c r="I15" s="709"/>
      <c r="J15" s="459"/>
      <c r="K15" s="459"/>
      <c r="L15" s="459"/>
      <c r="M15" s="459"/>
      <c r="N15" s="459" t="s">
        <v>5128</v>
      </c>
      <c r="O15" s="459"/>
      <c r="P15" s="459"/>
      <c r="Q15" s="459"/>
      <c r="R15" s="459"/>
      <c r="S15" s="459"/>
      <c r="T15" s="459"/>
      <c r="U15" s="459"/>
      <c r="V15" s="459"/>
      <c r="W15" s="459"/>
      <c r="X15" s="459"/>
      <c r="Y15" s="459"/>
      <c r="Z15" s="459"/>
      <c r="AA15" s="459"/>
    </row>
    <row r="16" spans="1:27" ht="15" hidden="1" customHeight="1">
      <c r="A16" s="459" t="s">
        <v>55</v>
      </c>
      <c r="B16" s="459" t="s">
        <v>5129</v>
      </c>
      <c r="C16" s="459" t="s">
        <v>255</v>
      </c>
      <c r="D16" s="459" t="s">
        <v>243</v>
      </c>
      <c r="E16" s="459"/>
      <c r="F16" s="459">
        <v>14</v>
      </c>
      <c r="G16" s="459" t="s">
        <v>680</v>
      </c>
      <c r="H16" s="709"/>
      <c r="I16" s="709"/>
      <c r="J16" s="459"/>
      <c r="K16" s="459"/>
      <c r="L16" s="459"/>
      <c r="M16" s="459"/>
      <c r="N16" s="459" t="s">
        <v>5130</v>
      </c>
      <c r="O16" s="459"/>
      <c r="P16" s="459"/>
      <c r="Q16" s="459"/>
      <c r="R16" s="459"/>
      <c r="S16" s="459"/>
      <c r="T16" s="459"/>
      <c r="U16" s="459"/>
      <c r="V16" s="459"/>
      <c r="W16" s="459"/>
      <c r="X16" s="459"/>
      <c r="Y16" s="459"/>
      <c r="Z16" s="459"/>
      <c r="AA16" s="459"/>
    </row>
    <row r="17" spans="1:27" ht="15" hidden="1" customHeight="1">
      <c r="A17" s="459" t="s">
        <v>55</v>
      </c>
      <c r="B17" s="459" t="s">
        <v>5131</v>
      </c>
      <c r="C17" s="459" t="s">
        <v>5122</v>
      </c>
      <c r="D17" s="459" t="s">
        <v>243</v>
      </c>
      <c r="E17" s="459"/>
      <c r="F17" s="459">
        <v>15</v>
      </c>
      <c r="G17" s="459" t="s">
        <v>680</v>
      </c>
      <c r="H17" s="709"/>
      <c r="I17" s="709"/>
      <c r="J17" s="459"/>
      <c r="K17" s="459"/>
      <c r="L17" s="459"/>
      <c r="M17" s="459"/>
      <c r="N17" s="459" t="s">
        <v>5132</v>
      </c>
      <c r="O17" s="459"/>
      <c r="P17" s="459"/>
      <c r="Q17" s="459"/>
      <c r="R17" s="459"/>
      <c r="S17" s="459"/>
      <c r="T17" s="459"/>
      <c r="U17" s="459"/>
      <c r="V17" s="459"/>
      <c r="W17" s="459"/>
      <c r="X17" s="459"/>
      <c r="Y17" s="459"/>
      <c r="Z17" s="459"/>
      <c r="AA17" s="459"/>
    </row>
    <row r="18" spans="1:27" ht="15" hidden="1" customHeight="1">
      <c r="A18" s="459" t="s">
        <v>55</v>
      </c>
      <c r="B18" s="459" t="s">
        <v>5133</v>
      </c>
      <c r="C18" s="459" t="s">
        <v>5122</v>
      </c>
      <c r="D18" s="459" t="s">
        <v>243</v>
      </c>
      <c r="E18" s="459"/>
      <c r="F18" s="459">
        <v>16</v>
      </c>
      <c r="G18" s="459" t="s">
        <v>680</v>
      </c>
      <c r="H18" s="709"/>
      <c r="I18" s="709"/>
      <c r="J18" s="459"/>
      <c r="K18" s="459"/>
      <c r="L18" s="459"/>
      <c r="M18" s="459"/>
      <c r="N18" s="459" t="s">
        <v>5134</v>
      </c>
      <c r="O18" s="459"/>
      <c r="P18" s="459"/>
      <c r="Q18" s="459"/>
      <c r="R18" s="459"/>
      <c r="S18" s="459"/>
      <c r="T18" s="459"/>
      <c r="U18" s="459"/>
      <c r="V18" s="459"/>
      <c r="W18" s="459"/>
      <c r="X18" s="459"/>
      <c r="Y18" s="459"/>
      <c r="Z18" s="459"/>
      <c r="AA18" s="459"/>
    </row>
    <row r="19" spans="1:27" ht="15" hidden="1" customHeight="1">
      <c r="A19" s="459" t="s">
        <v>53</v>
      </c>
      <c r="B19" s="459" t="s">
        <v>1290</v>
      </c>
      <c r="C19" s="459" t="s">
        <v>432</v>
      </c>
      <c r="D19" s="459" t="s">
        <v>243</v>
      </c>
      <c r="E19" s="459"/>
      <c r="F19" s="459">
        <v>17</v>
      </c>
      <c r="G19" s="459" t="s">
        <v>680</v>
      </c>
      <c r="H19" s="709"/>
      <c r="I19" s="709"/>
      <c r="J19" s="459"/>
      <c r="K19" s="459"/>
      <c r="L19" s="459"/>
      <c r="M19" s="459"/>
      <c r="N19" s="186" t="s">
        <v>5135</v>
      </c>
      <c r="O19" s="459"/>
      <c r="P19" s="459"/>
      <c r="Q19" s="459"/>
      <c r="R19" s="459"/>
      <c r="S19" s="459"/>
      <c r="T19" s="459"/>
      <c r="U19" s="459"/>
      <c r="V19" s="459"/>
      <c r="W19" s="459"/>
      <c r="X19" s="459"/>
      <c r="Y19" s="459"/>
      <c r="Z19" s="459"/>
      <c r="AA19" s="459"/>
    </row>
    <row r="20" spans="1:27" ht="15" hidden="1" customHeight="1">
      <c r="A20" s="459" t="s">
        <v>53</v>
      </c>
      <c r="B20" s="459" t="s">
        <v>1291</v>
      </c>
      <c r="C20" s="459" t="s">
        <v>247</v>
      </c>
      <c r="D20" s="459" t="s">
        <v>243</v>
      </c>
      <c r="E20" s="459"/>
      <c r="F20" s="459">
        <v>18</v>
      </c>
      <c r="G20" s="459" t="s">
        <v>680</v>
      </c>
      <c r="H20" s="709"/>
      <c r="I20" s="709"/>
      <c r="J20" s="459"/>
      <c r="K20" s="459"/>
      <c r="L20" s="459"/>
      <c r="M20" s="459"/>
      <c r="N20" s="186" t="s">
        <v>1190</v>
      </c>
      <c r="O20" s="459"/>
      <c r="P20" s="459"/>
      <c r="Q20" s="459"/>
      <c r="R20" s="459"/>
      <c r="S20" s="459"/>
      <c r="T20" s="459"/>
      <c r="U20" s="459"/>
      <c r="V20" s="459"/>
      <c r="W20" s="459"/>
      <c r="X20" s="459"/>
      <c r="Y20" s="459"/>
      <c r="Z20" s="459"/>
      <c r="AA20" s="459"/>
    </row>
    <row r="21" spans="1:27" ht="15" hidden="1" customHeight="1">
      <c r="A21" s="459" t="s">
        <v>53</v>
      </c>
      <c r="B21" s="459" t="s">
        <v>1292</v>
      </c>
      <c r="C21" s="459" t="s">
        <v>5122</v>
      </c>
      <c r="D21" s="459" t="s">
        <v>243</v>
      </c>
      <c r="E21" s="459"/>
      <c r="F21" s="459">
        <v>19</v>
      </c>
      <c r="G21" s="459" t="s">
        <v>680</v>
      </c>
      <c r="H21" s="709"/>
      <c r="I21" s="709"/>
      <c r="J21" s="459"/>
      <c r="K21" s="459"/>
      <c r="L21" s="459"/>
      <c r="M21" s="459"/>
      <c r="N21" s="186" t="s">
        <v>1190</v>
      </c>
      <c r="O21" s="459"/>
      <c r="P21" s="459"/>
      <c r="Q21" s="459"/>
      <c r="R21" s="459"/>
      <c r="S21" s="459"/>
      <c r="T21" s="459"/>
      <c r="U21" s="459"/>
      <c r="V21" s="459"/>
      <c r="W21" s="459"/>
      <c r="X21" s="459"/>
      <c r="Y21" s="459"/>
      <c r="Z21" s="459"/>
      <c r="AA21" s="459"/>
    </row>
    <row r="22" spans="1:27" ht="15" hidden="1" customHeight="1">
      <c r="A22" s="459" t="s">
        <v>53</v>
      </c>
      <c r="B22" s="459" t="s">
        <v>1289</v>
      </c>
      <c r="C22" s="459" t="s">
        <v>324</v>
      </c>
      <c r="D22" s="459" t="s">
        <v>243</v>
      </c>
      <c r="E22" s="459"/>
      <c r="F22" s="459">
        <v>20</v>
      </c>
      <c r="G22" s="459" t="s">
        <v>680</v>
      </c>
      <c r="H22" s="709"/>
      <c r="I22" s="709"/>
      <c r="J22" s="459"/>
      <c r="K22" s="459"/>
      <c r="L22" s="459"/>
      <c r="M22" s="459"/>
      <c r="N22" s="186" t="s">
        <v>1190</v>
      </c>
      <c r="O22" s="459"/>
      <c r="P22" s="459"/>
      <c r="Q22" s="459"/>
      <c r="R22" s="459"/>
      <c r="S22" s="459"/>
      <c r="T22" s="459"/>
      <c r="U22" s="459"/>
      <c r="V22" s="459"/>
      <c r="W22" s="459"/>
      <c r="X22" s="459"/>
      <c r="Y22" s="459"/>
      <c r="Z22" s="459"/>
      <c r="AA22" s="459"/>
    </row>
    <row r="23" spans="1:27" ht="15" hidden="1" customHeight="1">
      <c r="A23" s="459" t="s">
        <v>53</v>
      </c>
      <c r="B23" s="459" t="s">
        <v>1293</v>
      </c>
      <c r="C23" s="459" t="s">
        <v>432</v>
      </c>
      <c r="D23" s="459" t="s">
        <v>243</v>
      </c>
      <c r="E23" s="459"/>
      <c r="F23" s="459">
        <v>21</v>
      </c>
      <c r="G23" s="459" t="s">
        <v>680</v>
      </c>
      <c r="H23" s="709"/>
      <c r="I23" s="709"/>
      <c r="J23" s="459"/>
      <c r="K23" s="459"/>
      <c r="L23" s="459"/>
      <c r="M23" s="459"/>
      <c r="N23" s="186" t="s">
        <v>1190</v>
      </c>
      <c r="O23" s="459"/>
      <c r="P23" s="459"/>
      <c r="Q23" s="459"/>
      <c r="R23" s="459"/>
      <c r="S23" s="459"/>
      <c r="T23" s="459"/>
      <c r="U23" s="459"/>
      <c r="V23" s="459"/>
      <c r="W23" s="459"/>
      <c r="X23" s="459"/>
      <c r="Y23" s="459"/>
      <c r="Z23" s="459"/>
      <c r="AA23" s="459"/>
    </row>
    <row r="24" spans="1:27" ht="15" customHeight="1">
      <c r="A24" s="459" t="s">
        <v>224</v>
      </c>
      <c r="B24" s="459" t="s">
        <v>5136</v>
      </c>
      <c r="C24" s="459" t="s">
        <v>324</v>
      </c>
      <c r="D24" s="459" t="s">
        <v>243</v>
      </c>
      <c r="E24" s="459"/>
      <c r="F24" s="459">
        <v>22</v>
      </c>
      <c r="G24" s="459" t="s">
        <v>682</v>
      </c>
      <c r="H24" s="708"/>
      <c r="I24" s="708"/>
      <c r="J24" s="459"/>
      <c r="K24" s="459"/>
      <c r="L24" s="459"/>
      <c r="M24" s="459"/>
      <c r="N24" s="459" t="s">
        <v>5137</v>
      </c>
      <c r="O24" s="459"/>
      <c r="P24" s="459"/>
      <c r="Q24" s="459"/>
      <c r="R24" s="459"/>
      <c r="S24" s="459"/>
      <c r="T24" s="459"/>
      <c r="U24" s="459"/>
      <c r="V24" s="459"/>
      <c r="W24" s="459"/>
      <c r="X24" s="459"/>
      <c r="Y24" s="459"/>
      <c r="Z24" s="459"/>
      <c r="AA24" s="459"/>
    </row>
    <row r="25" spans="1:27" ht="15" customHeight="1">
      <c r="A25" s="459" t="s">
        <v>55</v>
      </c>
      <c r="B25" s="459" t="s">
        <v>5138</v>
      </c>
      <c r="C25" s="459" t="s">
        <v>324</v>
      </c>
      <c r="D25" s="459" t="s">
        <v>243</v>
      </c>
      <c r="E25" s="459"/>
      <c r="F25" s="459">
        <v>23</v>
      </c>
      <c r="G25" s="459" t="s">
        <v>682</v>
      </c>
      <c r="H25" s="708"/>
      <c r="I25" s="708"/>
      <c r="J25" s="459"/>
      <c r="K25" s="459"/>
      <c r="L25" s="459"/>
      <c r="M25" s="459"/>
      <c r="N25" s="459" t="s">
        <v>5139</v>
      </c>
      <c r="O25" s="459"/>
      <c r="P25" s="459"/>
      <c r="Q25" s="459"/>
      <c r="R25" s="459"/>
      <c r="S25" s="459"/>
      <c r="T25" s="459"/>
      <c r="U25" s="459"/>
      <c r="V25" s="459"/>
      <c r="W25" s="459"/>
      <c r="X25" s="459"/>
      <c r="Y25" s="459"/>
      <c r="Z25" s="459"/>
      <c r="AA25" s="459"/>
    </row>
    <row r="26" spans="1:27" ht="15" hidden="1" customHeight="1">
      <c r="A26" s="459" t="s">
        <v>53</v>
      </c>
      <c r="B26" s="459" t="s">
        <v>1288</v>
      </c>
      <c r="C26" s="459" t="s">
        <v>5122</v>
      </c>
      <c r="D26" s="459" t="s">
        <v>903</v>
      </c>
      <c r="E26" s="459"/>
      <c r="F26" s="459">
        <v>24</v>
      </c>
      <c r="G26" s="459" t="s">
        <v>680</v>
      </c>
      <c r="H26" s="709"/>
      <c r="I26" s="709"/>
      <c r="J26" s="459"/>
      <c r="K26" s="459"/>
      <c r="L26" s="459"/>
      <c r="M26" s="459"/>
      <c r="N26" s="186" t="s">
        <v>1190</v>
      </c>
      <c r="O26" s="459"/>
      <c r="P26" s="459"/>
      <c r="Q26" s="459"/>
      <c r="R26" s="459"/>
      <c r="S26" s="459"/>
      <c r="T26" s="459"/>
      <c r="U26" s="459"/>
      <c r="V26" s="459"/>
      <c r="W26" s="459"/>
      <c r="X26" s="459"/>
      <c r="Y26" s="459"/>
      <c r="Z26" s="459"/>
      <c r="AA26" s="459"/>
    </row>
    <row r="27" spans="1:27" ht="15" customHeight="1">
      <c r="A27" s="459" t="s">
        <v>53</v>
      </c>
      <c r="B27" s="459" t="s">
        <v>123</v>
      </c>
      <c r="C27" s="459" t="s">
        <v>5122</v>
      </c>
      <c r="D27" s="459" t="s">
        <v>243</v>
      </c>
      <c r="E27" s="459"/>
      <c r="F27" s="459">
        <v>25</v>
      </c>
      <c r="G27" s="459" t="s">
        <v>682</v>
      </c>
      <c r="H27" s="708"/>
      <c r="I27" s="708"/>
      <c r="J27" s="459"/>
      <c r="K27" s="459"/>
      <c r="L27" s="459"/>
      <c r="M27" s="459"/>
      <c r="N27" s="459" t="s">
        <v>5140</v>
      </c>
      <c r="O27" s="459"/>
      <c r="P27" s="459"/>
      <c r="Q27" s="459"/>
      <c r="R27" s="459"/>
      <c r="S27" s="459"/>
      <c r="T27" s="459"/>
      <c r="U27" s="459"/>
      <c r="V27" s="459"/>
      <c r="W27" s="459"/>
      <c r="X27" s="459"/>
      <c r="Y27" s="459"/>
      <c r="Z27" s="459"/>
      <c r="AA27" s="459"/>
    </row>
  </sheetData>
  <autoFilter ref="A2:AA27" xr:uid="{00000000-0009-0000-0000-000037000000}">
    <filterColumn colId="6">
      <filters>
        <filter val="Y"/>
      </filters>
    </filterColumn>
  </autoFilter>
  <mergeCells count="1">
    <mergeCell ref="H13:I27"/>
  </mergeCells>
  <conditionalFormatting sqref="G3:G9 G11:G27">
    <cfRule type="cellIs" dxfId="13" priority="1" operator="equal">
      <formula>1</formula>
    </cfRule>
    <cfRule type="cellIs" dxfId="12" priority="2" operator="equal">
      <formula>0</formula>
    </cfRule>
  </conditionalFormatting>
  <hyperlinks>
    <hyperlink ref="A1" r:id="rId1" xr:uid="{00000000-0004-0000-3700-000000000000}"/>
    <hyperlink ref="H13:I27" r:id="rId2" display="Spec link : https://docs.google.com/spreadsheets/d/1T6HYsdjhFQcFjwqCct3qN5coG6a0s8Kvh1MCkD_4i1w/edit#gid=0" xr:uid="{7CAC1364-EB98-43FC-81B2-7844245E1C9C}"/>
  </hyperlinks>
  <pageMargins left="0.7" right="0.7" top="0.75" bottom="0.75" header="0" footer="0"/>
  <pageSetup orientation="landscape"/>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outlinePr summaryBelow="0" summaryRight="0"/>
  </sheetPr>
  <dimension ref="A1:N27"/>
  <sheetViews>
    <sheetView workbookViewId="0">
      <pane ySplit="2" topLeftCell="A3" activePane="bottomLeft" state="frozen"/>
      <selection pane="bottomLeft" activeCell="B4" sqref="B4"/>
    </sheetView>
  </sheetViews>
  <sheetFormatPr defaultColWidth="14.453125" defaultRowHeight="15" customHeight="1"/>
  <cols>
    <col min="1" max="1" width="17.26953125" customWidth="1"/>
    <col min="2" max="2" width="25" customWidth="1"/>
    <col min="3" max="3" width="21.7265625" customWidth="1"/>
    <col min="4" max="4" width="8.7265625" customWidth="1"/>
    <col min="5" max="5" width="12" customWidth="1"/>
    <col min="6" max="6" width="5.453125" customWidth="1"/>
    <col min="7" max="7" width="9.1796875" customWidth="1"/>
    <col min="8" max="8" width="17.26953125" customWidth="1"/>
    <col min="9" max="9" width="10.453125" customWidth="1"/>
    <col min="10" max="10" width="9.453125" customWidth="1"/>
    <col min="11" max="11" width="25.1796875" customWidth="1"/>
    <col min="12" max="12" width="9.26953125" customWidth="1"/>
    <col min="13" max="13" width="11.7265625" customWidth="1"/>
    <col min="14" max="26" width="17.26953125" customWidth="1"/>
  </cols>
  <sheetData>
    <row r="1" spans="1:14" ht="15" customHeight="1">
      <c r="A1" s="459"/>
      <c r="B1" s="459"/>
      <c r="C1" s="459"/>
      <c r="D1" s="459"/>
      <c r="E1" s="459"/>
      <c r="F1" s="459"/>
      <c r="G1" s="381"/>
      <c r="H1" s="207" t="s">
        <v>1038</v>
      </c>
      <c r="I1" s="207"/>
      <c r="J1" s="207"/>
      <c r="K1" s="207"/>
      <c r="L1" s="207"/>
      <c r="M1" s="207"/>
      <c r="N1" s="207"/>
    </row>
    <row r="2" spans="1:14" ht="15" customHeight="1">
      <c r="A2" s="208" t="s">
        <v>224</v>
      </c>
      <c r="B2" s="208" t="s">
        <v>225</v>
      </c>
      <c r="C2" s="208" t="s">
        <v>226</v>
      </c>
      <c r="D2" s="208" t="s">
        <v>227</v>
      </c>
      <c r="E2" s="208" t="s">
        <v>1044</v>
      </c>
      <c r="F2" s="208" t="s">
        <v>1045</v>
      </c>
      <c r="G2" s="207" t="s">
        <v>1046</v>
      </c>
      <c r="H2" s="285" t="s">
        <v>100</v>
      </c>
      <c r="I2" s="207" t="s">
        <v>101</v>
      </c>
      <c r="J2" s="207" t="s">
        <v>102</v>
      </c>
      <c r="K2" s="207" t="s">
        <v>104</v>
      </c>
      <c r="L2" s="207" t="s">
        <v>105</v>
      </c>
      <c r="M2" s="207" t="s">
        <v>112</v>
      </c>
      <c r="N2" s="207" t="s">
        <v>103</v>
      </c>
    </row>
    <row r="3" spans="1:14" ht="15" customHeight="1">
      <c r="A3" s="459" t="s">
        <v>53</v>
      </c>
      <c r="B3" s="459" t="s">
        <v>124</v>
      </c>
      <c r="C3" s="459" t="s">
        <v>5122</v>
      </c>
      <c r="D3" s="459" t="s">
        <v>903</v>
      </c>
      <c r="E3" s="459"/>
      <c r="F3" s="459">
        <v>1</v>
      </c>
      <c r="G3" s="459"/>
      <c r="H3" s="459"/>
      <c r="I3" s="459"/>
      <c r="J3" s="459"/>
      <c r="K3" s="459"/>
      <c r="L3" s="459"/>
      <c r="M3" s="459"/>
      <c r="N3" s="186" t="s">
        <v>1190</v>
      </c>
    </row>
    <row r="4" spans="1:14" ht="15" customHeight="1">
      <c r="A4" s="459" t="s">
        <v>53</v>
      </c>
      <c r="B4" s="459" t="s">
        <v>1189</v>
      </c>
      <c r="C4" s="459" t="s">
        <v>249</v>
      </c>
      <c r="D4" s="459" t="s">
        <v>243</v>
      </c>
      <c r="E4" s="459"/>
      <c r="F4" s="459">
        <v>2</v>
      </c>
      <c r="G4" s="459"/>
      <c r="H4" s="459"/>
      <c r="I4" s="459"/>
      <c r="J4" s="459"/>
      <c r="K4" s="459"/>
      <c r="L4" s="459"/>
      <c r="M4" s="459"/>
      <c r="N4" s="186" t="s">
        <v>1190</v>
      </c>
    </row>
    <row r="5" spans="1:14" ht="15" customHeight="1">
      <c r="A5" s="459" t="s">
        <v>53</v>
      </c>
      <c r="B5" s="459" t="s">
        <v>1191</v>
      </c>
      <c r="C5" s="459" t="s">
        <v>255</v>
      </c>
      <c r="D5" s="459" t="s">
        <v>243</v>
      </c>
      <c r="E5" s="459"/>
      <c r="F5" s="459">
        <v>3</v>
      </c>
      <c r="G5" s="459"/>
      <c r="H5" s="459"/>
      <c r="I5" s="459"/>
      <c r="J5" s="459"/>
      <c r="K5" s="459"/>
      <c r="L5" s="459"/>
      <c r="M5" s="459"/>
      <c r="N5" s="186" t="s">
        <v>1190</v>
      </c>
    </row>
    <row r="6" spans="1:14" ht="15" customHeight="1">
      <c r="A6" s="459" t="s">
        <v>53</v>
      </c>
      <c r="B6" s="459" t="s">
        <v>1192</v>
      </c>
      <c r="C6" s="459" t="s">
        <v>242</v>
      </c>
      <c r="D6" s="459" t="s">
        <v>243</v>
      </c>
      <c r="E6" s="459"/>
      <c r="F6" s="459">
        <v>4</v>
      </c>
      <c r="G6" s="459"/>
      <c r="H6" s="459"/>
      <c r="I6" s="459"/>
      <c r="J6" s="459"/>
      <c r="K6" s="459"/>
      <c r="L6" s="459"/>
      <c r="M6" s="459"/>
      <c r="N6" s="186" t="s">
        <v>1190</v>
      </c>
    </row>
    <row r="7" spans="1:14" ht="15" customHeight="1">
      <c r="A7" s="459" t="s">
        <v>53</v>
      </c>
      <c r="B7" s="459" t="s">
        <v>1193</v>
      </c>
      <c r="C7" s="459" t="s">
        <v>247</v>
      </c>
      <c r="D7" s="459" t="s">
        <v>243</v>
      </c>
      <c r="E7" s="459"/>
      <c r="F7" s="459">
        <v>5</v>
      </c>
      <c r="G7" s="459"/>
      <c r="H7" s="459"/>
      <c r="I7" s="459"/>
      <c r="J7" s="459"/>
      <c r="K7" s="459"/>
      <c r="L7" s="459"/>
      <c r="M7" s="459"/>
      <c r="N7" s="186" t="s">
        <v>1190</v>
      </c>
    </row>
    <row r="8" spans="1:14" ht="15" customHeight="1">
      <c r="A8" s="459" t="s">
        <v>53</v>
      </c>
      <c r="B8" s="459" t="s">
        <v>1194</v>
      </c>
      <c r="C8" s="459" t="s">
        <v>255</v>
      </c>
      <c r="D8" s="459" t="s">
        <v>243</v>
      </c>
      <c r="E8" s="459"/>
      <c r="F8" s="459">
        <v>6</v>
      </c>
      <c r="G8" s="459"/>
      <c r="H8" s="459"/>
      <c r="I8" s="459"/>
      <c r="J8" s="459"/>
      <c r="K8" s="459"/>
      <c r="L8" s="459"/>
      <c r="M8" s="459"/>
      <c r="N8" s="186" t="s">
        <v>1190</v>
      </c>
    </row>
    <row r="9" spans="1:14" ht="15" customHeight="1">
      <c r="A9" s="459" t="s">
        <v>53</v>
      </c>
      <c r="B9" s="459" t="s">
        <v>1195</v>
      </c>
      <c r="C9" s="459" t="s">
        <v>247</v>
      </c>
      <c r="D9" s="459" t="s">
        <v>243</v>
      </c>
      <c r="E9" s="459"/>
      <c r="F9" s="459">
        <v>7</v>
      </c>
      <c r="G9" s="459"/>
      <c r="H9" s="459"/>
      <c r="I9" s="459"/>
      <c r="J9" s="459"/>
      <c r="K9" s="459"/>
      <c r="L9" s="459"/>
      <c r="M9" s="459"/>
      <c r="N9" s="186" t="s">
        <v>1190</v>
      </c>
    </row>
    <row r="10" spans="1:14" ht="15" customHeight="1">
      <c r="A10" s="459" t="s">
        <v>55</v>
      </c>
      <c r="B10" s="459" t="s">
        <v>1956</v>
      </c>
      <c r="C10" s="459" t="s">
        <v>255</v>
      </c>
      <c r="D10" s="459" t="s">
        <v>243</v>
      </c>
      <c r="E10" s="459"/>
      <c r="F10" s="459">
        <v>8</v>
      </c>
      <c r="G10" s="459"/>
      <c r="H10" s="459"/>
      <c r="I10" s="459"/>
      <c r="J10" s="459"/>
      <c r="K10" s="459"/>
      <c r="L10" s="459"/>
      <c r="M10" s="459"/>
      <c r="N10" s="186" t="s">
        <v>1190</v>
      </c>
    </row>
    <row r="11" spans="1:14" ht="15" customHeight="1">
      <c r="A11" s="459" t="s">
        <v>55</v>
      </c>
      <c r="B11" s="459" t="s">
        <v>1957</v>
      </c>
      <c r="C11" s="459" t="s">
        <v>255</v>
      </c>
      <c r="D11" s="459" t="s">
        <v>243</v>
      </c>
      <c r="E11" s="459"/>
      <c r="F11" s="459">
        <v>9</v>
      </c>
      <c r="G11" s="459"/>
      <c r="H11" s="459"/>
      <c r="I11" s="459"/>
      <c r="J11" s="459"/>
      <c r="K11" s="459"/>
      <c r="L11" s="459"/>
      <c r="M11" s="459"/>
      <c r="N11" s="186" t="s">
        <v>1190</v>
      </c>
    </row>
    <row r="12" spans="1:14" ht="15" customHeight="1">
      <c r="A12" s="459" t="s">
        <v>53</v>
      </c>
      <c r="B12" s="459" t="s">
        <v>1196</v>
      </c>
      <c r="C12" s="459" t="s">
        <v>5122</v>
      </c>
      <c r="D12" s="459" t="s">
        <v>903</v>
      </c>
      <c r="E12" s="459"/>
      <c r="F12" s="459">
        <v>10</v>
      </c>
      <c r="G12" s="459"/>
      <c r="H12" s="459"/>
      <c r="I12" s="459"/>
      <c r="J12" s="459"/>
      <c r="K12" s="459"/>
      <c r="L12" s="459"/>
      <c r="M12" s="459"/>
      <c r="N12" s="186" t="s">
        <v>1190</v>
      </c>
    </row>
    <row r="13" spans="1:14" ht="15" customHeight="1">
      <c r="A13" s="459" t="s">
        <v>224</v>
      </c>
      <c r="B13" s="459" t="s">
        <v>5123</v>
      </c>
      <c r="C13" s="459" t="s">
        <v>5115</v>
      </c>
      <c r="D13" s="459" t="s">
        <v>243</v>
      </c>
      <c r="E13" s="459"/>
      <c r="F13" s="459">
        <v>11</v>
      </c>
      <c r="G13" s="459"/>
      <c r="H13" s="459"/>
      <c r="I13" s="459"/>
      <c r="J13" s="459"/>
      <c r="K13" s="459"/>
      <c r="L13" s="459"/>
      <c r="M13" s="459"/>
      <c r="N13" s="459" t="s">
        <v>182</v>
      </c>
    </row>
    <row r="14" spans="1:14" ht="15" customHeight="1">
      <c r="A14" s="459" t="s">
        <v>224</v>
      </c>
      <c r="B14" s="459" t="s">
        <v>5125</v>
      </c>
      <c r="C14" s="459" t="s">
        <v>249</v>
      </c>
      <c r="D14" s="459" t="s">
        <v>243</v>
      </c>
      <c r="E14" s="459"/>
      <c r="F14" s="459">
        <v>12</v>
      </c>
      <c r="G14" s="459"/>
      <c r="H14" s="459"/>
      <c r="I14" s="459"/>
      <c r="J14" s="459"/>
      <c r="K14" s="459"/>
      <c r="L14" s="459"/>
      <c r="M14" s="459"/>
      <c r="N14" s="459" t="s">
        <v>5126</v>
      </c>
    </row>
    <row r="15" spans="1:14" ht="15" customHeight="1">
      <c r="A15" s="459" t="s">
        <v>55</v>
      </c>
      <c r="B15" s="459" t="s">
        <v>5127</v>
      </c>
      <c r="C15" s="459" t="s">
        <v>255</v>
      </c>
      <c r="D15" s="459" t="s">
        <v>243</v>
      </c>
      <c r="E15" s="459"/>
      <c r="F15" s="459">
        <v>13</v>
      </c>
      <c r="G15" s="459"/>
      <c r="H15" s="459"/>
      <c r="I15" s="459"/>
      <c r="J15" s="459"/>
      <c r="K15" s="459"/>
      <c r="L15" s="459"/>
      <c r="M15" s="459"/>
      <c r="N15" s="459" t="s">
        <v>5128</v>
      </c>
    </row>
    <row r="16" spans="1:14" ht="15" customHeight="1">
      <c r="A16" s="459" t="s">
        <v>55</v>
      </c>
      <c r="B16" s="459" t="s">
        <v>5129</v>
      </c>
      <c r="C16" s="459" t="s">
        <v>255</v>
      </c>
      <c r="D16" s="459" t="s">
        <v>243</v>
      </c>
      <c r="E16" s="459"/>
      <c r="F16" s="459">
        <v>14</v>
      </c>
      <c r="G16" s="459"/>
      <c r="H16" s="459"/>
      <c r="I16" s="459"/>
      <c r="J16" s="459"/>
      <c r="K16" s="459"/>
      <c r="L16" s="459"/>
      <c r="M16" s="459"/>
      <c r="N16" s="459" t="s">
        <v>5130</v>
      </c>
    </row>
    <row r="17" spans="1:14" ht="15" customHeight="1">
      <c r="A17" s="459" t="s">
        <v>55</v>
      </c>
      <c r="B17" s="459" t="s">
        <v>5131</v>
      </c>
      <c r="C17" s="459" t="s">
        <v>5122</v>
      </c>
      <c r="D17" s="459" t="s">
        <v>243</v>
      </c>
      <c r="E17" s="459"/>
      <c r="F17" s="459">
        <v>15</v>
      </c>
      <c r="G17" s="459"/>
      <c r="H17" s="459"/>
      <c r="I17" s="459"/>
      <c r="J17" s="459"/>
      <c r="K17" s="459"/>
      <c r="L17" s="459"/>
      <c r="M17" s="459"/>
      <c r="N17" s="459" t="s">
        <v>5132</v>
      </c>
    </row>
    <row r="18" spans="1:14" ht="15" customHeight="1">
      <c r="A18" s="459" t="s">
        <v>55</v>
      </c>
      <c r="B18" s="459" t="s">
        <v>5133</v>
      </c>
      <c r="C18" s="459" t="s">
        <v>5122</v>
      </c>
      <c r="D18" s="459" t="s">
        <v>243</v>
      </c>
      <c r="E18" s="459"/>
      <c r="F18" s="459">
        <v>16</v>
      </c>
      <c r="G18" s="459"/>
      <c r="H18" s="459"/>
      <c r="I18" s="459"/>
      <c r="J18" s="459"/>
      <c r="K18" s="459"/>
      <c r="L18" s="459"/>
      <c r="M18" s="459"/>
      <c r="N18" s="459" t="s">
        <v>5134</v>
      </c>
    </row>
    <row r="19" spans="1:14" ht="15" customHeight="1">
      <c r="A19" s="459" t="s">
        <v>53</v>
      </c>
      <c r="B19" s="459" t="s">
        <v>1290</v>
      </c>
      <c r="C19" s="459" t="s">
        <v>432</v>
      </c>
      <c r="D19" s="459" t="s">
        <v>243</v>
      </c>
      <c r="E19" s="459"/>
      <c r="F19" s="459">
        <v>17</v>
      </c>
      <c r="G19" s="459"/>
      <c r="H19" s="459"/>
      <c r="I19" s="459"/>
      <c r="J19" s="459"/>
      <c r="K19" s="459"/>
      <c r="L19" s="459"/>
      <c r="M19" s="459"/>
      <c r="N19" s="186" t="s">
        <v>5135</v>
      </c>
    </row>
    <row r="20" spans="1:14" ht="15" customHeight="1">
      <c r="A20" s="459" t="s">
        <v>53</v>
      </c>
      <c r="B20" s="459" t="s">
        <v>1291</v>
      </c>
      <c r="C20" s="459" t="s">
        <v>247</v>
      </c>
      <c r="D20" s="459" t="s">
        <v>243</v>
      </c>
      <c r="E20" s="459"/>
      <c r="F20" s="459">
        <v>18</v>
      </c>
      <c r="G20" s="459"/>
      <c r="H20" s="459"/>
      <c r="I20" s="459"/>
      <c r="J20" s="459"/>
      <c r="K20" s="459"/>
      <c r="L20" s="459"/>
      <c r="M20" s="459"/>
      <c r="N20" s="186" t="s">
        <v>1190</v>
      </c>
    </row>
    <row r="21" spans="1:14" ht="15" customHeight="1">
      <c r="A21" s="459" t="s">
        <v>53</v>
      </c>
      <c r="B21" s="459" t="s">
        <v>1292</v>
      </c>
      <c r="C21" s="459" t="s">
        <v>5122</v>
      </c>
      <c r="D21" s="459" t="s">
        <v>243</v>
      </c>
      <c r="E21" s="459"/>
      <c r="F21" s="459">
        <v>19</v>
      </c>
      <c r="G21" s="459"/>
      <c r="H21" s="459"/>
      <c r="I21" s="459"/>
      <c r="J21" s="459"/>
      <c r="K21" s="459"/>
      <c r="L21" s="459"/>
      <c r="M21" s="459"/>
      <c r="N21" s="186" t="s">
        <v>1190</v>
      </c>
    </row>
    <row r="22" spans="1:14" ht="15" customHeight="1">
      <c r="A22" s="459" t="s">
        <v>53</v>
      </c>
      <c r="B22" s="459" t="s">
        <v>1289</v>
      </c>
      <c r="C22" s="459" t="s">
        <v>324</v>
      </c>
      <c r="D22" s="459" t="s">
        <v>243</v>
      </c>
      <c r="E22" s="459"/>
      <c r="F22" s="459">
        <v>20</v>
      </c>
      <c r="G22" s="459"/>
      <c r="H22" s="459"/>
      <c r="I22" s="459"/>
      <c r="J22" s="459"/>
      <c r="K22" s="459"/>
      <c r="L22" s="459"/>
      <c r="M22" s="459"/>
      <c r="N22" s="186" t="s">
        <v>1190</v>
      </c>
    </row>
    <row r="23" spans="1:14" ht="15" customHeight="1">
      <c r="A23" s="459" t="s">
        <v>53</v>
      </c>
      <c r="B23" s="459" t="s">
        <v>1293</v>
      </c>
      <c r="C23" s="459" t="s">
        <v>432</v>
      </c>
      <c r="D23" s="459" t="s">
        <v>243</v>
      </c>
      <c r="E23" s="459"/>
      <c r="F23" s="459">
        <v>21</v>
      </c>
      <c r="G23" s="459"/>
      <c r="H23" s="459"/>
      <c r="I23" s="459"/>
      <c r="J23" s="459"/>
      <c r="K23" s="459"/>
      <c r="L23" s="459"/>
      <c r="M23" s="459"/>
      <c r="N23" s="186" t="s">
        <v>1190</v>
      </c>
    </row>
    <row r="24" spans="1:14" ht="15" customHeight="1">
      <c r="A24" s="459" t="s">
        <v>224</v>
      </c>
      <c r="B24" s="459" t="s">
        <v>5136</v>
      </c>
      <c r="C24" s="459" t="s">
        <v>324</v>
      </c>
      <c r="D24" s="459" t="s">
        <v>243</v>
      </c>
      <c r="E24" s="459"/>
      <c r="F24" s="459">
        <v>22</v>
      </c>
      <c r="G24" s="459"/>
      <c r="H24" s="459"/>
      <c r="I24" s="459"/>
      <c r="J24" s="459"/>
      <c r="K24" s="459"/>
      <c r="L24" s="459"/>
      <c r="M24" s="459"/>
      <c r="N24" s="459" t="s">
        <v>5137</v>
      </c>
    </row>
    <row r="25" spans="1:14" ht="15" customHeight="1">
      <c r="A25" s="459" t="s">
        <v>55</v>
      </c>
      <c r="B25" s="459" t="s">
        <v>5138</v>
      </c>
      <c r="C25" s="459" t="s">
        <v>324</v>
      </c>
      <c r="D25" s="459" t="s">
        <v>243</v>
      </c>
      <c r="E25" s="459"/>
      <c r="F25" s="459">
        <v>23</v>
      </c>
      <c r="G25" s="459"/>
      <c r="H25" s="459"/>
      <c r="I25" s="459"/>
      <c r="J25" s="459"/>
      <c r="K25" s="459"/>
      <c r="L25" s="459"/>
      <c r="M25" s="459"/>
      <c r="N25" s="459" t="s">
        <v>5139</v>
      </c>
    </row>
    <row r="26" spans="1:14" ht="15" customHeight="1">
      <c r="A26" s="459" t="s">
        <v>53</v>
      </c>
      <c r="B26" s="459" t="s">
        <v>1288</v>
      </c>
      <c r="C26" s="459" t="s">
        <v>5122</v>
      </c>
      <c r="D26" s="459" t="s">
        <v>903</v>
      </c>
      <c r="E26" s="459"/>
      <c r="F26" s="459">
        <v>24</v>
      </c>
      <c r="G26" s="459"/>
      <c r="H26" s="459"/>
      <c r="I26" s="459"/>
      <c r="J26" s="459"/>
      <c r="K26" s="459"/>
      <c r="L26" s="459"/>
      <c r="M26" s="459"/>
      <c r="N26" s="186" t="s">
        <v>1190</v>
      </c>
    </row>
    <row r="27" spans="1:14" ht="15" customHeight="1">
      <c r="A27" s="459" t="s">
        <v>53</v>
      </c>
      <c r="B27" s="459" t="s">
        <v>123</v>
      </c>
      <c r="C27" s="459" t="s">
        <v>5122</v>
      </c>
      <c r="D27" s="459" t="s">
        <v>243</v>
      </c>
      <c r="E27" s="459"/>
      <c r="F27" s="459">
        <v>25</v>
      </c>
      <c r="G27" s="459"/>
      <c r="H27" s="459"/>
      <c r="I27" s="459"/>
      <c r="J27" s="459"/>
      <c r="K27" s="459"/>
      <c r="L27" s="459"/>
      <c r="M27" s="459"/>
      <c r="N27" s="459" t="s">
        <v>5140</v>
      </c>
    </row>
  </sheetData>
  <conditionalFormatting sqref="G3:G27">
    <cfRule type="cellIs" dxfId="11" priority="1" operator="equal">
      <formula>1</formula>
    </cfRule>
    <cfRule type="cellIs" dxfId="10" priority="2" operator="equal">
      <formula>0</formula>
    </cfRule>
  </conditionalFormatting>
  <pageMargins left="0.7" right="0.7" top="0.75" bottom="0.75" header="0" footer="0"/>
  <pageSetup orientation="landscape"/>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outlinePr summaryBelow="0" summaryRight="0"/>
  </sheetPr>
  <dimension ref="A1:Q31"/>
  <sheetViews>
    <sheetView workbookViewId="0">
      <pane xSplit="6" ySplit="4" topLeftCell="G5" activePane="bottomRight" state="frozen"/>
      <selection pane="topRight" activeCell="G1" sqref="G1"/>
      <selection pane="bottomLeft" activeCell="A5" sqref="A5"/>
      <selection pane="bottomRight" activeCell="AC12" sqref="AC12"/>
    </sheetView>
  </sheetViews>
  <sheetFormatPr defaultColWidth="9.1796875" defaultRowHeight="15" customHeight="1"/>
  <cols>
    <col min="1" max="4" width="17.7265625" hidden="1" customWidth="1"/>
    <col min="5" max="5" width="27.7265625" customWidth="1"/>
    <col min="6" max="6" width="35.7265625" customWidth="1"/>
    <col min="7" max="11" width="18.26953125" customWidth="1"/>
    <col min="12" max="12" width="37.7265625" customWidth="1"/>
    <col min="13" max="13" width="32" customWidth="1"/>
    <col min="14" max="14" width="28.1796875" customWidth="1"/>
    <col min="15" max="15" width="17.1796875" customWidth="1"/>
    <col min="16" max="16" width="10.7265625" customWidth="1"/>
    <col min="17" max="17" width="37.7265625" customWidth="1"/>
    <col min="18" max="26" width="17.26953125" customWidth="1"/>
  </cols>
  <sheetData>
    <row r="1" spans="1:17" ht="12.75" customHeight="1">
      <c r="A1" s="441"/>
      <c r="B1" s="441"/>
      <c r="C1" s="441"/>
      <c r="D1" s="411"/>
      <c r="E1" s="441" t="s">
        <v>5141</v>
      </c>
      <c r="F1" s="441"/>
      <c r="G1" s="441"/>
      <c r="H1" s="441"/>
      <c r="I1" s="441"/>
      <c r="J1" s="441"/>
      <c r="K1" s="441"/>
      <c r="L1" s="441"/>
      <c r="M1" s="441"/>
      <c r="N1" s="441"/>
      <c r="O1" s="441"/>
      <c r="P1" s="441"/>
      <c r="Q1" s="441"/>
    </row>
    <row r="2" spans="1:17" ht="12.75" customHeight="1">
      <c r="A2" s="441"/>
      <c r="B2" s="441"/>
      <c r="C2" s="441"/>
      <c r="D2" s="411"/>
      <c r="E2" s="441"/>
      <c r="F2" s="441"/>
      <c r="G2" s="441"/>
      <c r="H2" s="441"/>
      <c r="I2" s="441"/>
      <c r="J2" s="441"/>
      <c r="K2" s="441"/>
      <c r="L2" s="441"/>
      <c r="M2" s="441"/>
      <c r="N2" s="441"/>
      <c r="O2" s="441"/>
      <c r="P2" s="441"/>
      <c r="Q2" s="441"/>
    </row>
    <row r="3" spans="1:17" ht="18.75" customHeight="1">
      <c r="A3" s="459"/>
      <c r="B3" s="459"/>
      <c r="C3" s="459"/>
      <c r="D3" s="173"/>
      <c r="E3" s="174" t="s">
        <v>3009</v>
      </c>
      <c r="F3" s="459"/>
      <c r="G3" s="459"/>
      <c r="H3" s="459"/>
      <c r="I3" s="459"/>
      <c r="J3" s="459"/>
      <c r="K3" s="285"/>
      <c r="L3" s="285" t="s">
        <v>107</v>
      </c>
      <c r="M3" s="285"/>
      <c r="N3" s="285"/>
      <c r="O3" s="285"/>
      <c r="P3" s="459"/>
      <c r="Q3" s="459"/>
    </row>
    <row r="4" spans="1:17" ht="18.75" customHeight="1">
      <c r="A4" s="283" t="s">
        <v>1040</v>
      </c>
      <c r="B4" s="283" t="s">
        <v>1041</v>
      </c>
      <c r="C4" s="283" t="s">
        <v>1042</v>
      </c>
      <c r="D4" s="365" t="s">
        <v>1043</v>
      </c>
      <c r="E4" s="283" t="s">
        <v>224</v>
      </c>
      <c r="F4" s="283" t="s">
        <v>225</v>
      </c>
      <c r="G4" s="283" t="s">
        <v>226</v>
      </c>
      <c r="H4" s="283" t="s">
        <v>227</v>
      </c>
      <c r="I4" s="283" t="s">
        <v>1044</v>
      </c>
      <c r="J4" s="283" t="s">
        <v>1045</v>
      </c>
      <c r="K4" s="285" t="s">
        <v>1891</v>
      </c>
      <c r="L4" s="285" t="s">
        <v>3111</v>
      </c>
      <c r="M4" s="285" t="s">
        <v>109</v>
      </c>
      <c r="N4" s="285" t="s">
        <v>110</v>
      </c>
      <c r="O4" s="285" t="s">
        <v>112</v>
      </c>
      <c r="P4" s="283" t="s">
        <v>111</v>
      </c>
      <c r="Q4" s="283" t="s">
        <v>113</v>
      </c>
    </row>
    <row r="5" spans="1:17" ht="12.75" customHeight="1">
      <c r="A5" s="130"/>
      <c r="B5" s="130"/>
      <c r="C5" s="130"/>
      <c r="D5" s="175"/>
      <c r="E5" s="459" t="s">
        <v>53</v>
      </c>
      <c r="F5" s="186" t="s">
        <v>124</v>
      </c>
      <c r="G5" s="186" t="s">
        <v>535</v>
      </c>
      <c r="H5" s="186" t="s">
        <v>903</v>
      </c>
      <c r="I5" s="186"/>
      <c r="J5" s="72">
        <v>1</v>
      </c>
      <c r="K5" s="459"/>
      <c r="L5" s="459"/>
      <c r="M5" s="459"/>
      <c r="N5" s="459"/>
      <c r="O5" s="459"/>
      <c r="P5" s="459"/>
      <c r="Q5" s="459" t="s">
        <v>1190</v>
      </c>
    </row>
    <row r="6" spans="1:17" ht="60" customHeight="1">
      <c r="A6" s="130"/>
      <c r="B6" s="130"/>
      <c r="C6" s="130"/>
      <c r="D6" s="175"/>
      <c r="E6" s="459" t="s">
        <v>55</v>
      </c>
      <c r="F6" s="186" t="s">
        <v>3402</v>
      </c>
      <c r="G6" s="186" t="s">
        <v>249</v>
      </c>
      <c r="H6" s="186" t="s">
        <v>243</v>
      </c>
      <c r="I6" s="186"/>
      <c r="J6" s="72">
        <v>2</v>
      </c>
      <c r="K6" s="459"/>
      <c r="L6" s="459"/>
      <c r="M6" s="459"/>
      <c r="N6" s="459"/>
      <c r="O6" s="459"/>
      <c r="P6" s="459"/>
      <c r="Q6" s="459" t="s">
        <v>3719</v>
      </c>
    </row>
    <row r="7" spans="1:17" ht="12.75" customHeight="1">
      <c r="A7" s="459"/>
      <c r="B7" s="459"/>
      <c r="C7" s="459"/>
      <c r="D7" s="173"/>
      <c r="E7" s="459" t="s">
        <v>55</v>
      </c>
      <c r="F7" s="186" t="s">
        <v>117</v>
      </c>
      <c r="G7" s="186" t="s">
        <v>346</v>
      </c>
      <c r="H7" s="186" t="s">
        <v>243</v>
      </c>
      <c r="I7" s="186"/>
      <c r="J7" s="72">
        <v>3</v>
      </c>
      <c r="K7" s="459"/>
      <c r="L7" s="459"/>
      <c r="M7" s="459"/>
      <c r="N7" s="459"/>
      <c r="O7" s="459"/>
      <c r="P7" s="459"/>
      <c r="Q7" s="459" t="s">
        <v>5142</v>
      </c>
    </row>
    <row r="8" spans="1:17" ht="12.75" customHeight="1">
      <c r="A8" s="130"/>
      <c r="B8" s="130"/>
      <c r="C8" s="130"/>
      <c r="D8" s="175"/>
      <c r="E8" s="459" t="s">
        <v>53</v>
      </c>
      <c r="F8" s="186" t="s">
        <v>1189</v>
      </c>
      <c r="G8" s="186" t="s">
        <v>249</v>
      </c>
      <c r="H8" s="186" t="s">
        <v>243</v>
      </c>
      <c r="I8" s="186"/>
      <c r="J8" s="72">
        <v>4</v>
      </c>
      <c r="K8" s="459"/>
      <c r="L8" s="459"/>
      <c r="M8" s="459"/>
      <c r="N8" s="459"/>
      <c r="O8" s="459"/>
      <c r="P8" s="459"/>
      <c r="Q8" s="459" t="s">
        <v>1190</v>
      </c>
    </row>
    <row r="9" spans="1:17" ht="12.75" customHeight="1">
      <c r="A9" s="130"/>
      <c r="B9" s="130"/>
      <c r="C9" s="130"/>
      <c r="D9" s="175"/>
      <c r="E9" s="459" t="s">
        <v>53</v>
      </c>
      <c r="F9" s="186" t="s">
        <v>1191</v>
      </c>
      <c r="G9" s="186" t="s">
        <v>252</v>
      </c>
      <c r="H9" s="186" t="s">
        <v>243</v>
      </c>
      <c r="I9" s="186"/>
      <c r="J9" s="72">
        <v>5</v>
      </c>
      <c r="K9" s="459"/>
      <c r="L9" s="459"/>
      <c r="M9" s="459"/>
      <c r="N9" s="459"/>
      <c r="O9" s="459"/>
      <c r="P9" s="459"/>
      <c r="Q9" s="459" t="s">
        <v>1190</v>
      </c>
    </row>
    <row r="10" spans="1:17" ht="18.75" customHeight="1">
      <c r="A10" s="130"/>
      <c r="B10" s="130"/>
      <c r="C10" s="130"/>
      <c r="D10" s="175"/>
      <c r="E10" s="459" t="s">
        <v>53</v>
      </c>
      <c r="F10" s="186" t="s">
        <v>1192</v>
      </c>
      <c r="G10" s="186" t="s">
        <v>242</v>
      </c>
      <c r="H10" s="186" t="s">
        <v>243</v>
      </c>
      <c r="I10" s="186"/>
      <c r="J10" s="72">
        <v>6</v>
      </c>
      <c r="K10" s="459"/>
      <c r="L10" s="459"/>
      <c r="M10" s="459"/>
      <c r="N10" s="459"/>
      <c r="O10" s="459"/>
      <c r="P10" s="459"/>
      <c r="Q10" s="459" t="s">
        <v>1190</v>
      </c>
    </row>
    <row r="11" spans="1:17" ht="18.75" customHeight="1">
      <c r="A11" s="130"/>
      <c r="B11" s="130"/>
      <c r="C11" s="130"/>
      <c r="D11" s="175"/>
      <c r="E11" s="459" t="s">
        <v>53</v>
      </c>
      <c r="F11" s="186" t="s">
        <v>1193</v>
      </c>
      <c r="G11" s="186" t="s">
        <v>247</v>
      </c>
      <c r="H11" s="186" t="s">
        <v>243</v>
      </c>
      <c r="I11" s="186"/>
      <c r="J11" s="72">
        <v>7</v>
      </c>
      <c r="K11" s="459"/>
      <c r="L11" s="459"/>
      <c r="M11" s="459"/>
      <c r="N11" s="459"/>
      <c r="O11" s="459"/>
      <c r="P11" s="459"/>
      <c r="Q11" s="459" t="s">
        <v>1190</v>
      </c>
    </row>
    <row r="12" spans="1:17" ht="18.75" customHeight="1">
      <c r="A12" s="130"/>
      <c r="B12" s="130"/>
      <c r="C12" s="130"/>
      <c r="D12" s="175"/>
      <c r="E12" s="459" t="s">
        <v>53</v>
      </c>
      <c r="F12" s="186" t="s">
        <v>1194</v>
      </c>
      <c r="G12" s="186" t="s">
        <v>252</v>
      </c>
      <c r="H12" s="186" t="s">
        <v>243</v>
      </c>
      <c r="I12" s="186"/>
      <c r="J12" s="72">
        <v>8</v>
      </c>
      <c r="K12" s="459"/>
      <c r="L12" s="459"/>
      <c r="M12" s="459"/>
      <c r="N12" s="459"/>
      <c r="O12" s="459"/>
      <c r="P12" s="459"/>
      <c r="Q12" s="459" t="s">
        <v>1190</v>
      </c>
    </row>
    <row r="13" spans="1:17" ht="18.75" customHeight="1">
      <c r="A13" s="130"/>
      <c r="B13" s="130"/>
      <c r="C13" s="130"/>
      <c r="D13" s="175"/>
      <c r="E13" s="459" t="s">
        <v>53</v>
      </c>
      <c r="F13" s="186" t="s">
        <v>1195</v>
      </c>
      <c r="G13" s="186" t="s">
        <v>247</v>
      </c>
      <c r="H13" s="186" t="s">
        <v>243</v>
      </c>
      <c r="I13" s="186"/>
      <c r="J13" s="72">
        <v>9</v>
      </c>
      <c r="K13" s="459"/>
      <c r="L13" s="459"/>
      <c r="M13" s="459"/>
      <c r="N13" s="459"/>
      <c r="O13" s="459"/>
      <c r="P13" s="459"/>
      <c r="Q13" s="459" t="s">
        <v>1190</v>
      </c>
    </row>
    <row r="14" spans="1:17" ht="18.75" customHeight="1">
      <c r="A14" s="459"/>
      <c r="B14" s="459"/>
      <c r="C14" s="459"/>
      <c r="D14" s="173"/>
      <c r="E14" s="459" t="s">
        <v>53</v>
      </c>
      <c r="F14" s="186" t="s">
        <v>1196</v>
      </c>
      <c r="G14" s="186" t="s">
        <v>535</v>
      </c>
      <c r="H14" s="186" t="s">
        <v>903</v>
      </c>
      <c r="I14" s="186"/>
      <c r="J14" s="72">
        <v>10</v>
      </c>
      <c r="K14" s="459"/>
      <c r="L14" s="459"/>
      <c r="M14" s="710"/>
      <c r="N14" s="692"/>
      <c r="O14" s="459"/>
      <c r="P14" s="459"/>
      <c r="Q14" s="459" t="s">
        <v>1190</v>
      </c>
    </row>
    <row r="15" spans="1:17" ht="18.75" customHeight="1">
      <c r="A15" s="130"/>
      <c r="B15" s="130"/>
      <c r="C15" s="130"/>
      <c r="D15" s="175"/>
      <c r="E15" s="459" t="s">
        <v>55</v>
      </c>
      <c r="F15" s="186" t="s">
        <v>5143</v>
      </c>
      <c r="G15" s="186" t="s">
        <v>242</v>
      </c>
      <c r="H15" s="186" t="s">
        <v>243</v>
      </c>
      <c r="I15" s="186"/>
      <c r="J15" s="72">
        <v>11</v>
      </c>
      <c r="K15" s="459"/>
      <c r="L15" s="459"/>
      <c r="M15" s="710"/>
      <c r="N15" s="692"/>
      <c r="O15" s="459"/>
      <c r="P15" s="459"/>
      <c r="Q15" s="459" t="s">
        <v>5144</v>
      </c>
    </row>
    <row r="16" spans="1:17" ht="18.75" customHeight="1">
      <c r="A16" s="130"/>
      <c r="B16" s="130"/>
      <c r="C16" s="130"/>
      <c r="D16" s="175"/>
      <c r="E16" s="459" t="s">
        <v>55</v>
      </c>
      <c r="F16" s="186" t="s">
        <v>5145</v>
      </c>
      <c r="G16" s="186" t="s">
        <v>242</v>
      </c>
      <c r="H16" s="186" t="s">
        <v>243</v>
      </c>
      <c r="I16" s="186"/>
      <c r="J16" s="72">
        <v>12</v>
      </c>
      <c r="K16" s="459"/>
      <c r="L16" s="459"/>
      <c r="M16" s="710"/>
      <c r="N16" s="692"/>
      <c r="O16" s="459"/>
      <c r="P16" s="459"/>
      <c r="Q16" s="459" t="s">
        <v>5146</v>
      </c>
    </row>
    <row r="17" spans="1:17" ht="18.75" customHeight="1">
      <c r="A17" s="459"/>
      <c r="B17" s="459"/>
      <c r="C17" s="459"/>
      <c r="D17" s="173"/>
      <c r="E17" s="459" t="s">
        <v>55</v>
      </c>
      <c r="F17" s="123" t="s">
        <v>5147</v>
      </c>
      <c r="G17" s="123" t="s">
        <v>255</v>
      </c>
      <c r="H17" s="123" t="s">
        <v>243</v>
      </c>
      <c r="I17" s="123"/>
      <c r="J17" s="176">
        <v>13</v>
      </c>
      <c r="K17" s="176"/>
      <c r="L17" s="123"/>
      <c r="M17" s="123"/>
      <c r="N17" s="459"/>
      <c r="O17" s="459"/>
      <c r="P17" s="459"/>
      <c r="Q17" s="459" t="s">
        <v>5148</v>
      </c>
    </row>
    <row r="18" spans="1:17" ht="18.75" customHeight="1">
      <c r="A18" s="459"/>
      <c r="B18" s="459"/>
      <c r="C18" s="459"/>
      <c r="D18" s="173"/>
      <c r="E18" s="459" t="s">
        <v>55</v>
      </c>
      <c r="F18" s="123" t="s">
        <v>5149</v>
      </c>
      <c r="G18" s="123" t="s">
        <v>329</v>
      </c>
      <c r="H18" s="123" t="s">
        <v>243</v>
      </c>
      <c r="I18" s="123"/>
      <c r="J18" s="176">
        <v>14</v>
      </c>
      <c r="K18" s="176"/>
      <c r="L18" s="123"/>
      <c r="M18" s="123"/>
      <c r="N18" s="459"/>
      <c r="O18" s="459"/>
      <c r="P18" s="459"/>
      <c r="Q18" s="459" t="s">
        <v>5150</v>
      </c>
    </row>
    <row r="19" spans="1:17" ht="18.75" customHeight="1">
      <c r="A19" s="130"/>
      <c r="B19" s="130"/>
      <c r="C19" s="130"/>
      <c r="D19" s="175"/>
      <c r="E19" s="459" t="s">
        <v>55</v>
      </c>
      <c r="F19" s="186" t="s">
        <v>5151</v>
      </c>
      <c r="G19" s="186" t="s">
        <v>255</v>
      </c>
      <c r="H19" s="186" t="s">
        <v>243</v>
      </c>
      <c r="I19" s="186"/>
      <c r="J19" s="72">
        <v>15</v>
      </c>
      <c r="K19" s="459"/>
      <c r="L19" s="459"/>
      <c r="M19" s="710"/>
      <c r="N19" s="692"/>
      <c r="O19" s="459"/>
      <c r="P19" s="459"/>
      <c r="Q19" s="459" t="s">
        <v>5152</v>
      </c>
    </row>
    <row r="20" spans="1:17" ht="18.75" customHeight="1">
      <c r="A20" s="459"/>
      <c r="B20" s="459"/>
      <c r="C20" s="459"/>
      <c r="D20" s="173"/>
      <c r="E20" s="459" t="s">
        <v>53</v>
      </c>
      <c r="F20" s="186" t="s">
        <v>1406</v>
      </c>
      <c r="G20" s="186" t="s">
        <v>535</v>
      </c>
      <c r="H20" s="186" t="s">
        <v>243</v>
      </c>
      <c r="I20" s="186"/>
      <c r="J20" s="72">
        <v>16</v>
      </c>
      <c r="K20" s="459"/>
      <c r="L20" s="459"/>
      <c r="M20" s="710"/>
      <c r="N20" s="692"/>
      <c r="O20" s="459"/>
      <c r="P20" s="459"/>
      <c r="Q20" s="459" t="s">
        <v>1190</v>
      </c>
    </row>
    <row r="21" spans="1:17" ht="18.75" customHeight="1">
      <c r="A21" s="459"/>
      <c r="B21" s="459"/>
      <c r="C21" s="459"/>
      <c r="D21" s="173"/>
      <c r="E21" s="459" t="s">
        <v>55</v>
      </c>
      <c r="F21" s="123" t="s">
        <v>5153</v>
      </c>
      <c r="G21" s="123" t="s">
        <v>535</v>
      </c>
      <c r="H21" s="123" t="s">
        <v>243</v>
      </c>
      <c r="I21" s="123"/>
      <c r="J21" s="176">
        <v>17</v>
      </c>
      <c r="K21" s="459"/>
      <c r="L21" s="459"/>
      <c r="M21" s="710"/>
      <c r="N21" s="692"/>
      <c r="O21" s="459"/>
      <c r="P21" s="459"/>
      <c r="Q21" s="459" t="s">
        <v>5154</v>
      </c>
    </row>
    <row r="22" spans="1:17" ht="18.75" customHeight="1">
      <c r="A22" s="130"/>
      <c r="B22" s="130"/>
      <c r="C22" s="130"/>
      <c r="D22" s="175"/>
      <c r="E22" s="459" t="s">
        <v>55</v>
      </c>
      <c r="F22" s="186" t="s">
        <v>2790</v>
      </c>
      <c r="G22" s="186" t="s">
        <v>535</v>
      </c>
      <c r="H22" s="186" t="s">
        <v>243</v>
      </c>
      <c r="I22" s="186"/>
      <c r="J22" s="72">
        <v>18</v>
      </c>
      <c r="K22" s="459"/>
      <c r="L22" s="459"/>
      <c r="M22" s="710"/>
      <c r="N22" s="692"/>
      <c r="O22" s="459"/>
      <c r="P22" s="459"/>
      <c r="Q22" s="459" t="s">
        <v>5155</v>
      </c>
    </row>
    <row r="23" spans="1:17" ht="18.75" customHeight="1">
      <c r="A23" s="130"/>
      <c r="B23" s="130"/>
      <c r="C23" s="130"/>
      <c r="D23" s="175"/>
      <c r="E23" s="459" t="s">
        <v>53</v>
      </c>
      <c r="F23" s="186" t="s">
        <v>123</v>
      </c>
      <c r="G23" s="186" t="s">
        <v>535</v>
      </c>
      <c r="H23" s="186" t="s">
        <v>243</v>
      </c>
      <c r="I23" s="186"/>
      <c r="J23" s="72">
        <v>19</v>
      </c>
      <c r="K23" s="459"/>
      <c r="L23" s="459"/>
      <c r="M23" s="710"/>
      <c r="N23" s="692"/>
      <c r="O23" s="459"/>
      <c r="P23" s="459"/>
      <c r="Q23" s="459" t="s">
        <v>5156</v>
      </c>
    </row>
    <row r="24" spans="1:17" ht="18.75" customHeight="1">
      <c r="A24" s="459"/>
      <c r="B24" s="459"/>
      <c r="C24" s="459"/>
      <c r="D24" s="173"/>
      <c r="E24" s="459" t="s">
        <v>55</v>
      </c>
      <c r="F24" s="186" t="s">
        <v>5157</v>
      </c>
      <c r="G24" s="186" t="s">
        <v>5158</v>
      </c>
      <c r="H24" s="186" t="s">
        <v>243</v>
      </c>
      <c r="I24" s="186"/>
      <c r="J24" s="72">
        <v>20</v>
      </c>
      <c r="K24" s="459"/>
      <c r="L24" s="459"/>
      <c r="M24" s="710"/>
      <c r="N24" s="692"/>
      <c r="O24" s="459"/>
      <c r="P24" s="459"/>
      <c r="Q24" s="459" t="s">
        <v>5159</v>
      </c>
    </row>
    <row r="25" spans="1:17" ht="18.75" customHeight="1">
      <c r="A25" s="459"/>
      <c r="B25" s="459"/>
      <c r="C25" s="459"/>
      <c r="D25" s="173"/>
      <c r="E25" s="459" t="s">
        <v>55</v>
      </c>
      <c r="F25" s="186" t="s">
        <v>5160</v>
      </c>
      <c r="G25" s="186" t="s">
        <v>5161</v>
      </c>
      <c r="H25" s="186" t="s">
        <v>243</v>
      </c>
      <c r="I25" s="186"/>
      <c r="J25" s="72">
        <v>21</v>
      </c>
      <c r="K25" s="459"/>
      <c r="L25" s="459"/>
      <c r="M25" s="459"/>
      <c r="N25" s="459"/>
      <c r="O25" s="459"/>
      <c r="P25" s="459"/>
      <c r="Q25" s="459" t="s">
        <v>5162</v>
      </c>
    </row>
    <row r="26" spans="1:17" ht="18.75" customHeight="1">
      <c r="A26" s="130"/>
      <c r="B26" s="130"/>
      <c r="C26" s="130"/>
      <c r="D26" s="175"/>
      <c r="E26" s="459" t="s">
        <v>55</v>
      </c>
      <c r="F26" s="186" t="s">
        <v>174</v>
      </c>
      <c r="G26" s="186" t="s">
        <v>909</v>
      </c>
      <c r="H26" s="186" t="s">
        <v>243</v>
      </c>
      <c r="I26" s="186"/>
      <c r="J26" s="72">
        <v>22</v>
      </c>
      <c r="K26" s="459"/>
      <c r="L26" s="459"/>
      <c r="M26" s="459"/>
      <c r="N26" s="459"/>
      <c r="O26" s="459"/>
      <c r="P26" s="459"/>
      <c r="Q26" s="459" t="s">
        <v>5163</v>
      </c>
    </row>
    <row r="27" spans="1:17" ht="18.75" customHeight="1">
      <c r="A27" s="130"/>
      <c r="B27" s="130"/>
      <c r="C27" s="130"/>
      <c r="D27" s="175"/>
      <c r="E27" s="459" t="s">
        <v>55</v>
      </c>
      <c r="F27" s="186" t="s">
        <v>918</v>
      </c>
      <c r="G27" s="186" t="s">
        <v>247</v>
      </c>
      <c r="H27" s="186" t="s">
        <v>243</v>
      </c>
      <c r="I27" s="186"/>
      <c r="J27" s="72">
        <v>23</v>
      </c>
      <c r="K27" s="459"/>
      <c r="L27" s="459"/>
      <c r="M27" s="459"/>
      <c r="N27" s="459"/>
      <c r="O27" s="459"/>
      <c r="P27" s="459"/>
      <c r="Q27" s="459" t="s">
        <v>5164</v>
      </c>
    </row>
    <row r="28" spans="1:17" ht="18.75" customHeight="1">
      <c r="A28" s="459"/>
      <c r="B28" s="459"/>
      <c r="C28" s="459"/>
      <c r="D28" s="173"/>
      <c r="E28" s="459" t="s">
        <v>55</v>
      </c>
      <c r="F28" s="123" t="s">
        <v>1010</v>
      </c>
      <c r="G28" s="123" t="s">
        <v>535</v>
      </c>
      <c r="H28" s="123" t="s">
        <v>243</v>
      </c>
      <c r="I28" s="123"/>
      <c r="J28" s="176">
        <v>24</v>
      </c>
      <c r="K28" s="176"/>
      <c r="L28" s="123"/>
      <c r="M28" s="123"/>
      <c r="N28" s="459"/>
      <c r="O28" s="459"/>
      <c r="P28" s="459"/>
      <c r="Q28" s="459" t="s">
        <v>5165</v>
      </c>
    </row>
    <row r="29" spans="1:17" ht="18.75" customHeight="1">
      <c r="A29" s="130"/>
      <c r="B29" s="130"/>
      <c r="C29" s="130"/>
      <c r="D29" s="175"/>
      <c r="E29" s="459" t="s">
        <v>53</v>
      </c>
      <c r="F29" s="186" t="s">
        <v>5166</v>
      </c>
      <c r="G29" s="186" t="s">
        <v>432</v>
      </c>
      <c r="H29" s="186" t="s">
        <v>243</v>
      </c>
      <c r="I29" s="186"/>
      <c r="J29" s="72">
        <v>25</v>
      </c>
      <c r="K29" s="459"/>
      <c r="L29" s="459"/>
      <c r="M29" s="459"/>
      <c r="N29" s="459"/>
      <c r="O29" s="459"/>
      <c r="P29" s="459"/>
      <c r="Q29" s="459" t="s">
        <v>1190</v>
      </c>
    </row>
    <row r="30" spans="1:17" ht="18.75" customHeight="1">
      <c r="A30" s="459"/>
      <c r="B30" s="459"/>
      <c r="C30" s="459"/>
      <c r="D30" s="173"/>
      <c r="E30" s="459" t="s">
        <v>55</v>
      </c>
      <c r="F30" s="123" t="s">
        <v>3414</v>
      </c>
      <c r="G30" s="123" t="s">
        <v>429</v>
      </c>
      <c r="H30" s="123" t="s">
        <v>243</v>
      </c>
      <c r="I30" s="123"/>
      <c r="J30" s="176">
        <v>26</v>
      </c>
      <c r="K30" s="459"/>
      <c r="L30" s="459"/>
      <c r="M30" s="459"/>
      <c r="N30" s="459"/>
      <c r="O30" s="459"/>
      <c r="P30" s="459"/>
      <c r="Q30" s="459" t="s">
        <v>5167</v>
      </c>
    </row>
    <row r="31" spans="1:17" ht="18.75" customHeight="1">
      <c r="A31" s="130"/>
      <c r="B31" s="130"/>
      <c r="C31" s="130"/>
      <c r="D31" s="175"/>
      <c r="E31" s="459" t="s">
        <v>55</v>
      </c>
      <c r="F31" s="186" t="s">
        <v>5168</v>
      </c>
      <c r="G31" s="186" t="s">
        <v>324</v>
      </c>
      <c r="H31" s="186" t="s">
        <v>243</v>
      </c>
      <c r="I31" s="186"/>
      <c r="J31" s="72">
        <v>27</v>
      </c>
      <c r="K31" s="459"/>
      <c r="L31" s="459"/>
      <c r="M31" s="459"/>
      <c r="N31" s="459"/>
      <c r="O31" s="459"/>
      <c r="P31" s="459"/>
      <c r="Q31" s="459" t="s">
        <v>110</v>
      </c>
    </row>
  </sheetData>
  <autoFilter ref="A3:Q31" xr:uid="{00000000-0009-0000-0000-000039000000}"/>
  <mergeCells count="9">
    <mergeCell ref="M23:N23"/>
    <mergeCell ref="M24:N24"/>
    <mergeCell ref="M14:N14"/>
    <mergeCell ref="M15:N15"/>
    <mergeCell ref="M16:N16"/>
    <mergeCell ref="M19:N19"/>
    <mergeCell ref="M20:N20"/>
    <mergeCell ref="M21:N21"/>
    <mergeCell ref="M22:N22"/>
  </mergeCells>
  <pageMargins left="0.7" right="0.7" top="0.75" bottom="0.75" header="0" footer="0"/>
  <pageSetup orientation="landscape"/>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outlinePr summaryBelow="0" summaryRight="0"/>
  </sheetPr>
  <dimension ref="A1:T24"/>
  <sheetViews>
    <sheetView workbookViewId="0">
      <pane ySplit="2" topLeftCell="A3" activePane="bottomLeft" state="frozen"/>
      <selection pane="bottomLeft" activeCell="B4" sqref="B4"/>
    </sheetView>
  </sheetViews>
  <sheetFormatPr defaultColWidth="14.453125" defaultRowHeight="15" customHeight="1"/>
  <cols>
    <col min="1" max="4" width="17.26953125" hidden="1" customWidth="1"/>
    <col min="5" max="5" width="17.26953125" customWidth="1"/>
    <col min="6" max="6" width="34.1796875" customWidth="1"/>
    <col min="7" max="7" width="17.26953125" customWidth="1"/>
    <col min="8" max="10" width="17.26953125" hidden="1" customWidth="1"/>
    <col min="11" max="11" width="17.26953125" customWidth="1"/>
    <col min="12" max="12" width="22.453125" customWidth="1"/>
    <col min="13" max="26" width="17.26953125" customWidth="1"/>
  </cols>
  <sheetData>
    <row r="1" spans="1:20" ht="18.75" customHeight="1">
      <c r="A1" s="186"/>
      <c r="B1" s="186"/>
      <c r="C1" s="186"/>
      <c r="D1" s="186"/>
      <c r="E1" s="293" t="s">
        <v>1322</v>
      </c>
      <c r="F1" s="186"/>
      <c r="G1" s="186"/>
      <c r="H1" s="186"/>
      <c r="I1" s="186"/>
      <c r="J1" s="186"/>
      <c r="K1" s="177"/>
      <c r="L1" s="294" t="s">
        <v>1038</v>
      </c>
      <c r="M1" s="241"/>
      <c r="N1" s="241"/>
      <c r="O1" s="294"/>
      <c r="P1" s="294"/>
      <c r="Q1" s="294"/>
      <c r="R1" s="186"/>
      <c r="S1" s="186"/>
      <c r="T1" s="186"/>
    </row>
    <row r="2" spans="1:20" ht="18.75" customHeight="1">
      <c r="A2" s="294" t="s">
        <v>1040</v>
      </c>
      <c r="B2" s="294" t="s">
        <v>1041</v>
      </c>
      <c r="C2" s="294" t="s">
        <v>1042</v>
      </c>
      <c r="D2" s="294" t="s">
        <v>1043</v>
      </c>
      <c r="E2" s="294" t="s">
        <v>224</v>
      </c>
      <c r="F2" s="294" t="s">
        <v>225</v>
      </c>
      <c r="G2" s="294" t="s">
        <v>226</v>
      </c>
      <c r="H2" s="294" t="s">
        <v>227</v>
      </c>
      <c r="I2" s="294" t="s">
        <v>1044</v>
      </c>
      <c r="J2" s="294" t="s">
        <v>1045</v>
      </c>
      <c r="K2" s="294" t="s">
        <v>1891</v>
      </c>
      <c r="L2" s="294" t="s">
        <v>100</v>
      </c>
      <c r="M2" s="241" t="s">
        <v>101</v>
      </c>
      <c r="N2" s="241" t="s">
        <v>102</v>
      </c>
      <c r="O2" s="294" t="s">
        <v>103</v>
      </c>
      <c r="P2" s="294" t="s">
        <v>104</v>
      </c>
      <c r="Q2" s="294" t="s">
        <v>105</v>
      </c>
      <c r="R2" s="294" t="s">
        <v>111</v>
      </c>
      <c r="S2" s="294" t="s">
        <v>112</v>
      </c>
      <c r="T2" s="294" t="s">
        <v>113</v>
      </c>
    </row>
    <row r="3" spans="1:20" ht="12.5">
      <c r="E3" s="441" t="s">
        <v>61</v>
      </c>
      <c r="F3" s="441" t="s">
        <v>124</v>
      </c>
      <c r="G3" s="441" t="s">
        <v>5169</v>
      </c>
      <c r="H3" s="441" t="s">
        <v>903</v>
      </c>
      <c r="K3" s="441"/>
      <c r="L3" s="441"/>
      <c r="T3" s="186" t="s">
        <v>1190</v>
      </c>
    </row>
    <row r="4" spans="1:20" ht="12.5">
      <c r="E4" s="441" t="s">
        <v>55</v>
      </c>
      <c r="F4" s="441" t="s">
        <v>5170</v>
      </c>
      <c r="G4" s="441" t="s">
        <v>329</v>
      </c>
      <c r="H4" s="441" t="s">
        <v>243</v>
      </c>
      <c r="K4" s="441"/>
      <c r="T4" s="439" t="s">
        <v>5171</v>
      </c>
    </row>
    <row r="5" spans="1:20" ht="12.5">
      <c r="E5" s="441" t="s">
        <v>53</v>
      </c>
      <c r="F5" s="441" t="s">
        <v>1189</v>
      </c>
      <c r="G5" s="441" t="s">
        <v>276</v>
      </c>
      <c r="H5" s="441" t="s">
        <v>243</v>
      </c>
      <c r="K5" s="441"/>
      <c r="L5" s="441"/>
      <c r="T5" s="186" t="s">
        <v>1190</v>
      </c>
    </row>
    <row r="6" spans="1:20" ht="12.5">
      <c r="E6" s="441" t="s">
        <v>53</v>
      </c>
      <c r="F6" s="441" t="s">
        <v>1191</v>
      </c>
      <c r="G6" s="441" t="s">
        <v>252</v>
      </c>
      <c r="H6" s="441" t="s">
        <v>243</v>
      </c>
      <c r="K6" s="441"/>
      <c r="L6" s="441"/>
      <c r="T6" s="186" t="s">
        <v>1190</v>
      </c>
    </row>
    <row r="7" spans="1:20" ht="12.5">
      <c r="E7" s="441" t="s">
        <v>53</v>
      </c>
      <c r="F7" s="441" t="s">
        <v>1192</v>
      </c>
      <c r="G7" s="441" t="s">
        <v>2502</v>
      </c>
      <c r="H7" s="441" t="s">
        <v>243</v>
      </c>
      <c r="K7" s="441"/>
      <c r="L7" s="441"/>
      <c r="T7" s="186" t="s">
        <v>1190</v>
      </c>
    </row>
    <row r="8" spans="1:20" ht="12.5">
      <c r="E8" s="441" t="s">
        <v>53</v>
      </c>
      <c r="F8" s="441" t="s">
        <v>1193</v>
      </c>
      <c r="G8" s="441" t="s">
        <v>1855</v>
      </c>
      <c r="H8" s="441" t="s">
        <v>243</v>
      </c>
      <c r="K8" s="441"/>
      <c r="L8" s="441"/>
      <c r="T8" s="186" t="s">
        <v>1190</v>
      </c>
    </row>
    <row r="9" spans="1:20" ht="12.5">
      <c r="E9" s="441" t="s">
        <v>53</v>
      </c>
      <c r="F9" s="441" t="s">
        <v>1194</v>
      </c>
      <c r="G9" s="441" t="s">
        <v>252</v>
      </c>
      <c r="H9" s="441" t="s">
        <v>243</v>
      </c>
      <c r="K9" s="441"/>
      <c r="L9" s="441"/>
      <c r="T9" s="186" t="s">
        <v>1190</v>
      </c>
    </row>
    <row r="10" spans="1:20" ht="12.5">
      <c r="E10" s="441" t="s">
        <v>53</v>
      </c>
      <c r="F10" s="441" t="s">
        <v>1195</v>
      </c>
      <c r="G10" s="441" t="s">
        <v>1855</v>
      </c>
      <c r="H10" s="441" t="s">
        <v>243</v>
      </c>
      <c r="K10" s="441"/>
      <c r="L10" s="441"/>
      <c r="T10" s="186" t="s">
        <v>1190</v>
      </c>
    </row>
    <row r="11" spans="1:20" ht="12.5">
      <c r="E11" s="441" t="s">
        <v>61</v>
      </c>
      <c r="F11" s="441" t="s">
        <v>1196</v>
      </c>
      <c r="G11" s="441" t="s">
        <v>5169</v>
      </c>
      <c r="H11" s="441" t="s">
        <v>903</v>
      </c>
      <c r="K11" s="441"/>
      <c r="L11" s="441"/>
      <c r="T11" s="186" t="s">
        <v>1190</v>
      </c>
    </row>
    <row r="12" spans="1:20" ht="12.5">
      <c r="E12" s="441" t="s">
        <v>55</v>
      </c>
      <c r="F12" s="441" t="s">
        <v>5172</v>
      </c>
      <c r="G12" s="441" t="s">
        <v>329</v>
      </c>
      <c r="H12" s="441" t="s">
        <v>243</v>
      </c>
      <c r="K12" s="441"/>
      <c r="T12" s="439" t="s">
        <v>5173</v>
      </c>
    </row>
    <row r="13" spans="1:20" ht="12.5">
      <c r="E13" s="441" t="s">
        <v>61</v>
      </c>
      <c r="F13" s="441" t="s">
        <v>5174</v>
      </c>
      <c r="G13" s="441" t="s">
        <v>329</v>
      </c>
      <c r="H13" s="441" t="s">
        <v>243</v>
      </c>
      <c r="K13" s="441"/>
      <c r="L13" s="441"/>
      <c r="M13" s="441"/>
      <c r="T13" s="439" t="s">
        <v>5175</v>
      </c>
    </row>
    <row r="14" spans="1:20" ht="12.5">
      <c r="E14" s="441" t="s">
        <v>61</v>
      </c>
      <c r="F14" s="441" t="s">
        <v>2463</v>
      </c>
      <c r="G14" s="441" t="s">
        <v>5176</v>
      </c>
      <c r="H14" s="441" t="s">
        <v>903</v>
      </c>
      <c r="K14" s="441"/>
      <c r="L14" s="441"/>
      <c r="M14" s="441"/>
      <c r="T14" s="439" t="s">
        <v>5177</v>
      </c>
    </row>
    <row r="15" spans="1:20" ht="12.5">
      <c r="E15" s="441" t="s">
        <v>61</v>
      </c>
      <c r="F15" s="441" t="s">
        <v>129</v>
      </c>
      <c r="G15" s="441" t="s">
        <v>2471</v>
      </c>
      <c r="H15" s="441" t="s">
        <v>243</v>
      </c>
      <c r="K15" s="441"/>
      <c r="L15" s="441"/>
      <c r="T15" s="439" t="s">
        <v>5178</v>
      </c>
    </row>
    <row r="16" spans="1:20" ht="12.5">
      <c r="E16" s="441" t="s">
        <v>55</v>
      </c>
      <c r="F16" s="441" t="s">
        <v>1849</v>
      </c>
      <c r="G16" s="441" t="s">
        <v>329</v>
      </c>
      <c r="H16" s="441" t="s">
        <v>243</v>
      </c>
      <c r="K16" s="441"/>
      <c r="L16" s="441"/>
      <c r="M16" s="441"/>
      <c r="T16" s="439" t="s">
        <v>5179</v>
      </c>
    </row>
    <row r="17" spans="5:20" ht="12.5">
      <c r="E17" s="441" t="s">
        <v>61</v>
      </c>
      <c r="F17" s="441" t="s">
        <v>5180</v>
      </c>
      <c r="G17" s="441" t="s">
        <v>329</v>
      </c>
      <c r="H17" s="441" t="s">
        <v>243</v>
      </c>
      <c r="K17" s="441"/>
      <c r="L17" s="441"/>
      <c r="M17" s="441"/>
      <c r="T17" s="439" t="s">
        <v>5181</v>
      </c>
    </row>
    <row r="18" spans="5:20" ht="12.5">
      <c r="E18" s="441" t="s">
        <v>61</v>
      </c>
      <c r="F18" s="441" t="s">
        <v>5182</v>
      </c>
      <c r="G18" s="441" t="s">
        <v>1249</v>
      </c>
      <c r="H18" s="441" t="s">
        <v>903</v>
      </c>
      <c r="K18" s="441"/>
      <c r="M18" s="441"/>
      <c r="O18" s="441"/>
      <c r="T18" s="439" t="s">
        <v>5183</v>
      </c>
    </row>
    <row r="19" spans="5:20" ht="12.5">
      <c r="E19" s="441" t="s">
        <v>61</v>
      </c>
      <c r="F19" s="441" t="s">
        <v>152</v>
      </c>
      <c r="G19" s="441" t="s">
        <v>5184</v>
      </c>
      <c r="H19" s="441" t="s">
        <v>243</v>
      </c>
      <c r="K19" s="441"/>
      <c r="T19" s="186" t="s">
        <v>5185</v>
      </c>
    </row>
    <row r="20" spans="5:20" ht="12.5">
      <c r="E20" s="441" t="s">
        <v>53</v>
      </c>
      <c r="F20" s="441" t="s">
        <v>2352</v>
      </c>
      <c r="G20" s="441" t="s">
        <v>5169</v>
      </c>
      <c r="H20" s="441" t="s">
        <v>243</v>
      </c>
      <c r="K20" s="441"/>
      <c r="T20" s="186" t="s">
        <v>1190</v>
      </c>
    </row>
    <row r="21" spans="5:20" ht="15.75" customHeight="1">
      <c r="E21" s="441" t="s">
        <v>61</v>
      </c>
      <c r="F21" s="441" t="s">
        <v>5186</v>
      </c>
      <c r="G21" s="441" t="s">
        <v>5187</v>
      </c>
      <c r="H21" s="441" t="s">
        <v>903</v>
      </c>
      <c r="K21" s="441"/>
      <c r="L21" s="441"/>
      <c r="M21" s="441"/>
      <c r="T21" s="186" t="s">
        <v>5188</v>
      </c>
    </row>
    <row r="22" spans="5:20" ht="15.75" customHeight="1">
      <c r="E22" s="441" t="s">
        <v>61</v>
      </c>
      <c r="F22" s="441" t="s">
        <v>5189</v>
      </c>
      <c r="G22" s="441" t="s">
        <v>276</v>
      </c>
      <c r="H22" s="441" t="s">
        <v>903</v>
      </c>
      <c r="K22" s="441"/>
      <c r="O22" s="412"/>
      <c r="T22" s="439" t="s">
        <v>5190</v>
      </c>
    </row>
    <row r="23" spans="5:20" ht="15.75" customHeight="1">
      <c r="E23" s="441" t="s">
        <v>53</v>
      </c>
      <c r="F23" s="441" t="s">
        <v>1406</v>
      </c>
      <c r="G23" s="441" t="s">
        <v>5169</v>
      </c>
      <c r="H23" s="441" t="s">
        <v>243</v>
      </c>
      <c r="K23" s="441"/>
      <c r="L23" s="441"/>
      <c r="Q23" s="441"/>
      <c r="T23" s="186" t="s">
        <v>1190</v>
      </c>
    </row>
    <row r="24" spans="5:20" ht="15.75" customHeight="1">
      <c r="E24" s="441" t="s">
        <v>53</v>
      </c>
      <c r="F24" s="441" t="s">
        <v>123</v>
      </c>
      <c r="G24" s="441" t="s">
        <v>5169</v>
      </c>
      <c r="H24" s="441" t="s">
        <v>243</v>
      </c>
      <c r="K24" s="441"/>
      <c r="L24" s="441"/>
      <c r="Q24" s="441"/>
      <c r="T24" s="186" t="s">
        <v>1190</v>
      </c>
    </row>
  </sheetData>
  <autoFilter ref="A2:T24" xr:uid="{00000000-0009-0000-0000-00003A000000}"/>
  <pageMargins left="0.7" right="0.7" top="0.75" bottom="0.75" header="0" footer="0"/>
  <pageSetup orientation="landscape"/>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outlinePr summaryBelow="0" summaryRight="0"/>
  </sheetPr>
  <dimension ref="A1:T16"/>
  <sheetViews>
    <sheetView workbookViewId="0">
      <pane ySplit="2" topLeftCell="A3" activePane="bottomLeft" state="frozen"/>
      <selection pane="bottomLeft" activeCell="B4" sqref="B4"/>
    </sheetView>
  </sheetViews>
  <sheetFormatPr defaultColWidth="14.453125" defaultRowHeight="15" customHeight="1"/>
  <cols>
    <col min="1" max="4" width="17.26953125" hidden="1" customWidth="1"/>
    <col min="5" max="5" width="25" customWidth="1"/>
    <col min="6" max="6" width="17.26953125" customWidth="1"/>
    <col min="7" max="7" width="21" customWidth="1"/>
    <col min="8" max="8" width="17.26953125" customWidth="1"/>
    <col min="9" max="10" width="17.26953125" hidden="1" customWidth="1"/>
    <col min="11" max="30" width="17.26953125" customWidth="1"/>
  </cols>
  <sheetData>
    <row r="1" spans="1:20" ht="18.75" customHeight="1">
      <c r="A1" s="178"/>
      <c r="B1" s="178"/>
      <c r="C1" s="178"/>
      <c r="D1" s="178"/>
      <c r="E1" s="413" t="s">
        <v>1322</v>
      </c>
      <c r="F1" s="178"/>
      <c r="G1" s="178"/>
      <c r="H1" s="178"/>
      <c r="I1" s="178"/>
      <c r="J1" s="178"/>
      <c r="K1" s="179"/>
      <c r="L1" s="414" t="s">
        <v>1038</v>
      </c>
      <c r="M1" s="415"/>
      <c r="N1" s="415"/>
      <c r="O1" s="414"/>
      <c r="P1" s="414"/>
      <c r="Q1" s="414"/>
      <c r="R1" s="178"/>
      <c r="S1" s="178"/>
      <c r="T1" s="178"/>
    </row>
    <row r="2" spans="1:20" ht="18.75" customHeight="1">
      <c r="A2" s="414" t="s">
        <v>1040</v>
      </c>
      <c r="B2" s="414" t="s">
        <v>1041</v>
      </c>
      <c r="C2" s="414" t="s">
        <v>1042</v>
      </c>
      <c r="D2" s="414" t="s">
        <v>1043</v>
      </c>
      <c r="E2" s="414" t="s">
        <v>224</v>
      </c>
      <c r="F2" s="414" t="s">
        <v>225</v>
      </c>
      <c r="G2" s="414" t="s">
        <v>226</v>
      </c>
      <c r="H2" s="414" t="s">
        <v>227</v>
      </c>
      <c r="I2" s="414" t="s">
        <v>1044</v>
      </c>
      <c r="J2" s="414" t="s">
        <v>1045</v>
      </c>
      <c r="K2" s="414" t="s">
        <v>1891</v>
      </c>
      <c r="L2" s="414" t="s">
        <v>100</v>
      </c>
      <c r="M2" s="415" t="s">
        <v>101</v>
      </c>
      <c r="N2" s="415" t="s">
        <v>102</v>
      </c>
      <c r="O2" s="414" t="s">
        <v>103</v>
      </c>
      <c r="P2" s="414" t="s">
        <v>104</v>
      </c>
      <c r="Q2" s="414" t="s">
        <v>105</v>
      </c>
      <c r="R2" s="414" t="s">
        <v>111</v>
      </c>
      <c r="S2" s="414" t="s">
        <v>112</v>
      </c>
      <c r="T2" s="414" t="s">
        <v>113</v>
      </c>
    </row>
    <row r="3" spans="1:20" ht="12.5">
      <c r="E3" s="441" t="s">
        <v>53</v>
      </c>
      <c r="F3" s="441" t="s">
        <v>124</v>
      </c>
      <c r="G3" s="441" t="s">
        <v>2468</v>
      </c>
      <c r="H3" s="441" t="s">
        <v>903</v>
      </c>
      <c r="J3" s="441">
        <v>1</v>
      </c>
      <c r="T3" s="186" t="s">
        <v>1190</v>
      </c>
    </row>
    <row r="4" spans="1:20" ht="12.5">
      <c r="E4" s="441" t="s">
        <v>53</v>
      </c>
      <c r="F4" s="441" t="s">
        <v>1189</v>
      </c>
      <c r="G4" s="441" t="s">
        <v>249</v>
      </c>
      <c r="H4" s="441" t="s">
        <v>243</v>
      </c>
      <c r="J4" s="441">
        <v>2</v>
      </c>
      <c r="T4" s="186" t="s">
        <v>1190</v>
      </c>
    </row>
    <row r="5" spans="1:20" ht="12.5">
      <c r="E5" s="441" t="s">
        <v>53</v>
      </c>
      <c r="F5" s="441" t="s">
        <v>1191</v>
      </c>
      <c r="G5" s="441" t="s">
        <v>252</v>
      </c>
      <c r="H5" s="441" t="s">
        <v>243</v>
      </c>
      <c r="J5" s="441">
        <v>3</v>
      </c>
      <c r="T5" s="186" t="s">
        <v>1190</v>
      </c>
    </row>
    <row r="6" spans="1:20" ht="12.5">
      <c r="E6" s="441" t="s">
        <v>53</v>
      </c>
      <c r="F6" s="441" t="s">
        <v>1192</v>
      </c>
      <c r="G6" s="441" t="s">
        <v>242</v>
      </c>
      <c r="H6" s="441" t="s">
        <v>243</v>
      </c>
      <c r="J6" s="441">
        <v>4</v>
      </c>
      <c r="T6" s="186" t="s">
        <v>1190</v>
      </c>
    </row>
    <row r="7" spans="1:20" ht="12.5">
      <c r="E7" s="441" t="s">
        <v>53</v>
      </c>
      <c r="F7" s="441" t="s">
        <v>1193</v>
      </c>
      <c r="G7" s="441" t="s">
        <v>247</v>
      </c>
      <c r="H7" s="441" t="s">
        <v>243</v>
      </c>
      <c r="J7" s="441">
        <v>5</v>
      </c>
      <c r="T7" s="186" t="s">
        <v>1190</v>
      </c>
    </row>
    <row r="8" spans="1:20" ht="12.5">
      <c r="E8" s="441" t="s">
        <v>53</v>
      </c>
      <c r="F8" s="441" t="s">
        <v>1194</v>
      </c>
      <c r="G8" s="441" t="s">
        <v>252</v>
      </c>
      <c r="H8" s="441" t="s">
        <v>243</v>
      </c>
      <c r="J8" s="441">
        <v>6</v>
      </c>
      <c r="T8" s="186" t="s">
        <v>1190</v>
      </c>
    </row>
    <row r="9" spans="1:20" ht="12.5">
      <c r="E9" s="441" t="s">
        <v>53</v>
      </c>
      <c r="F9" s="441" t="s">
        <v>1195</v>
      </c>
      <c r="G9" s="441" t="s">
        <v>247</v>
      </c>
      <c r="H9" s="441" t="s">
        <v>243</v>
      </c>
      <c r="J9" s="441">
        <v>7</v>
      </c>
      <c r="T9" s="186" t="s">
        <v>1190</v>
      </c>
    </row>
    <row r="10" spans="1:20" ht="12.5">
      <c r="E10" s="441" t="s">
        <v>53</v>
      </c>
      <c r="F10" s="441" t="s">
        <v>1196</v>
      </c>
      <c r="G10" s="441" t="s">
        <v>535</v>
      </c>
      <c r="H10" s="441" t="s">
        <v>903</v>
      </c>
      <c r="J10" s="441">
        <v>8</v>
      </c>
      <c r="T10" s="186" t="s">
        <v>1190</v>
      </c>
    </row>
    <row r="11" spans="1:20" ht="75">
      <c r="E11" s="441" t="s">
        <v>224</v>
      </c>
      <c r="F11" s="441" t="s">
        <v>5123</v>
      </c>
      <c r="G11" s="441" t="s">
        <v>264</v>
      </c>
      <c r="H11" s="441" t="s">
        <v>903</v>
      </c>
      <c r="J11" s="441">
        <v>9</v>
      </c>
      <c r="T11" s="441" t="s">
        <v>5191</v>
      </c>
    </row>
    <row r="12" spans="1:20" ht="25">
      <c r="E12" s="459" t="s">
        <v>59</v>
      </c>
      <c r="F12" s="441" t="s">
        <v>2572</v>
      </c>
      <c r="G12" s="441" t="s">
        <v>324</v>
      </c>
      <c r="H12" s="441" t="s">
        <v>243</v>
      </c>
      <c r="J12" s="441">
        <v>10</v>
      </c>
      <c r="T12" s="441" t="s">
        <v>5192</v>
      </c>
    </row>
    <row r="13" spans="1:20" ht="12.5">
      <c r="E13" s="441" t="s">
        <v>224</v>
      </c>
      <c r="F13" s="441" t="s">
        <v>5193</v>
      </c>
      <c r="G13" s="441" t="s">
        <v>255</v>
      </c>
      <c r="H13" s="441" t="s">
        <v>903</v>
      </c>
      <c r="J13" s="441">
        <v>11</v>
      </c>
      <c r="T13" s="441" t="s">
        <v>5194</v>
      </c>
    </row>
    <row r="14" spans="1:20" ht="25">
      <c r="E14" s="441" t="s">
        <v>224</v>
      </c>
      <c r="F14" s="441" t="s">
        <v>5195</v>
      </c>
      <c r="G14" s="441" t="s">
        <v>242</v>
      </c>
      <c r="H14" s="441" t="s">
        <v>243</v>
      </c>
      <c r="J14" s="441">
        <v>12</v>
      </c>
      <c r="T14" s="441" t="s">
        <v>5196</v>
      </c>
    </row>
    <row r="15" spans="1:20" ht="12.5">
      <c r="E15" s="441" t="s">
        <v>53</v>
      </c>
      <c r="F15" s="441" t="s">
        <v>123</v>
      </c>
      <c r="G15" s="441" t="s">
        <v>535</v>
      </c>
      <c r="H15" s="441" t="s">
        <v>243</v>
      </c>
      <c r="J15" s="441">
        <v>13</v>
      </c>
      <c r="T15" s="186" t="s">
        <v>1190</v>
      </c>
    </row>
    <row r="16" spans="1:20" ht="12.5">
      <c r="E16" s="441" t="s">
        <v>53</v>
      </c>
      <c r="F16" s="441" t="s">
        <v>1406</v>
      </c>
      <c r="G16" s="441" t="s">
        <v>535</v>
      </c>
      <c r="H16" s="441" t="s">
        <v>243</v>
      </c>
      <c r="J16" s="441">
        <v>14</v>
      </c>
      <c r="T16" s="186" t="s">
        <v>1190</v>
      </c>
    </row>
  </sheetData>
  <autoFilter ref="A1:T16" xr:uid="{00000000-0009-0000-0000-00003B000000}"/>
  <pageMargins left="0.7" right="0.7" top="0.75" bottom="0.75" header="0" footer="0"/>
  <pageSetup orientation="landscape"/>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outlinePr summaryBelow="0" summaryRight="0"/>
  </sheetPr>
  <dimension ref="A1:M50"/>
  <sheetViews>
    <sheetView workbookViewId="0">
      <pane xSplit="2" ySplit="2" topLeftCell="C3" activePane="bottomRight" state="frozen"/>
      <selection pane="topRight" activeCell="C1" sqref="C1"/>
      <selection pane="bottomLeft" activeCell="A3" sqref="A3"/>
      <selection pane="bottomRight" activeCell="C3" sqref="C3"/>
    </sheetView>
  </sheetViews>
  <sheetFormatPr defaultColWidth="14.453125" defaultRowHeight="15" customHeight="1"/>
  <cols>
    <col min="1" max="1" width="13.1796875" customWidth="1"/>
    <col min="2" max="2" width="24.1796875" customWidth="1"/>
    <col min="3" max="3" width="25.7265625" customWidth="1"/>
    <col min="4" max="4" width="12.1796875" customWidth="1"/>
    <col min="5" max="5" width="12" customWidth="1"/>
    <col min="6" max="6" width="8.7265625" customWidth="1"/>
    <col min="7" max="7" width="18.26953125" customWidth="1"/>
    <col min="8" max="8" width="47.7265625" customWidth="1"/>
    <col min="9" max="9" width="32" customWidth="1"/>
    <col min="10" max="10" width="28.1796875" customWidth="1"/>
    <col min="11" max="11" width="17.1796875" customWidth="1"/>
    <col min="12" max="12" width="10.7265625" customWidth="1"/>
    <col min="13" max="13" width="37.7265625" customWidth="1"/>
    <col min="14" max="26" width="17.26953125" customWidth="1"/>
  </cols>
  <sheetData>
    <row r="1" spans="1:13" ht="18.75" customHeight="1">
      <c r="A1" s="174" t="s">
        <v>3009</v>
      </c>
      <c r="B1" s="459"/>
      <c r="C1" s="459"/>
      <c r="D1" s="459"/>
      <c r="E1" s="459"/>
      <c r="F1" s="459"/>
      <c r="G1" s="241"/>
      <c r="H1" s="241" t="s">
        <v>107</v>
      </c>
      <c r="I1" s="241"/>
      <c r="J1" s="241"/>
      <c r="K1" s="241"/>
      <c r="L1" s="459"/>
      <c r="M1" s="130"/>
    </row>
    <row r="2" spans="1:13" ht="18.75" customHeight="1">
      <c r="A2" s="241" t="s">
        <v>224</v>
      </c>
      <c r="B2" s="241" t="s">
        <v>225</v>
      </c>
      <c r="C2" s="241" t="s">
        <v>226</v>
      </c>
      <c r="D2" s="241" t="s">
        <v>227</v>
      </c>
      <c r="E2" s="241" t="s">
        <v>1044</v>
      </c>
      <c r="F2" s="241" t="s">
        <v>1045</v>
      </c>
      <c r="G2" s="241" t="s">
        <v>1891</v>
      </c>
      <c r="H2" s="285" t="s">
        <v>100</v>
      </c>
      <c r="I2" s="207" t="s">
        <v>101</v>
      </c>
      <c r="J2" s="207" t="s">
        <v>102</v>
      </c>
      <c r="K2" s="241" t="s">
        <v>112</v>
      </c>
      <c r="L2" s="241" t="s">
        <v>111</v>
      </c>
      <c r="M2" s="294" t="s">
        <v>113</v>
      </c>
    </row>
    <row r="3" spans="1:13" ht="18.75" customHeight="1">
      <c r="A3" s="130" t="s">
        <v>53</v>
      </c>
      <c r="B3" s="130" t="s">
        <v>124</v>
      </c>
      <c r="C3" s="130" t="s">
        <v>535</v>
      </c>
      <c r="D3" s="130" t="s">
        <v>903</v>
      </c>
      <c r="E3" s="130"/>
      <c r="F3" s="130">
        <v>1</v>
      </c>
      <c r="G3" s="130"/>
      <c r="H3" s="130"/>
      <c r="I3" s="459"/>
      <c r="J3" s="130"/>
      <c r="K3" s="130"/>
      <c r="L3" s="130"/>
      <c r="M3" s="130" t="s">
        <v>1190</v>
      </c>
    </row>
    <row r="4" spans="1:13" ht="12.75" customHeight="1">
      <c r="A4" s="130" t="s">
        <v>53</v>
      </c>
      <c r="B4" s="459" t="s">
        <v>1290</v>
      </c>
      <c r="C4" s="459" t="s">
        <v>432</v>
      </c>
      <c r="D4" s="459" t="s">
        <v>243</v>
      </c>
      <c r="E4" s="459"/>
      <c r="F4" s="459">
        <v>283</v>
      </c>
      <c r="G4" s="459"/>
      <c r="H4" s="459"/>
      <c r="I4" s="459"/>
      <c r="J4" s="459"/>
      <c r="K4" s="459"/>
      <c r="L4" s="459"/>
      <c r="M4" s="130" t="s">
        <v>1190</v>
      </c>
    </row>
    <row r="5" spans="1:13" ht="12.75" customHeight="1">
      <c r="A5" s="130" t="s">
        <v>53</v>
      </c>
      <c r="B5" s="459" t="s">
        <v>1291</v>
      </c>
      <c r="C5" s="459" t="s">
        <v>247</v>
      </c>
      <c r="D5" s="459" t="s">
        <v>243</v>
      </c>
      <c r="E5" s="459"/>
      <c r="F5" s="459">
        <v>284</v>
      </c>
      <c r="G5" s="459"/>
      <c r="H5" s="459"/>
      <c r="I5" s="459"/>
      <c r="J5" s="459"/>
      <c r="K5" s="459"/>
      <c r="L5" s="459"/>
      <c r="M5" s="130" t="s">
        <v>1190</v>
      </c>
    </row>
    <row r="6" spans="1:13" ht="12.75" customHeight="1">
      <c r="A6" s="130" t="s">
        <v>53</v>
      </c>
      <c r="B6" s="459" t="s">
        <v>1292</v>
      </c>
      <c r="C6" s="459" t="s">
        <v>535</v>
      </c>
      <c r="D6" s="459" t="s">
        <v>243</v>
      </c>
      <c r="E6" s="459"/>
      <c r="F6" s="459">
        <v>285</v>
      </c>
      <c r="G6" s="459"/>
      <c r="H6" s="459"/>
      <c r="I6" s="459"/>
      <c r="J6" s="459"/>
      <c r="K6" s="459"/>
      <c r="L6" s="459"/>
      <c r="M6" s="130" t="s">
        <v>1190</v>
      </c>
    </row>
    <row r="7" spans="1:13" ht="12.75" customHeight="1">
      <c r="A7" s="130" t="s">
        <v>53</v>
      </c>
      <c r="B7" s="459" t="s">
        <v>1289</v>
      </c>
      <c r="C7" s="459" t="s">
        <v>324</v>
      </c>
      <c r="D7" s="459" t="s">
        <v>243</v>
      </c>
      <c r="E7" s="459"/>
      <c r="F7" s="459">
        <v>286</v>
      </c>
      <c r="G7" s="459"/>
      <c r="H7" s="459"/>
      <c r="I7" s="459"/>
      <c r="J7" s="459"/>
      <c r="K7" s="459"/>
      <c r="L7" s="459"/>
      <c r="M7" s="130" t="s">
        <v>1190</v>
      </c>
    </row>
    <row r="8" spans="1:13" ht="12.75" customHeight="1">
      <c r="A8" s="130" t="s">
        <v>53</v>
      </c>
      <c r="B8" s="459" t="s">
        <v>1293</v>
      </c>
      <c r="C8" s="459" t="s">
        <v>432</v>
      </c>
      <c r="D8" s="459" t="s">
        <v>243</v>
      </c>
      <c r="E8" s="459"/>
      <c r="F8" s="459">
        <v>287</v>
      </c>
      <c r="G8" s="459"/>
      <c r="H8" s="459"/>
      <c r="I8" s="459"/>
      <c r="J8" s="459"/>
      <c r="K8" s="459"/>
      <c r="L8" s="459"/>
      <c r="M8" s="130" t="s">
        <v>1190</v>
      </c>
    </row>
    <row r="9" spans="1:13" ht="12.75" customHeight="1">
      <c r="A9" s="130" t="s">
        <v>53</v>
      </c>
      <c r="B9" s="459" t="s">
        <v>1406</v>
      </c>
      <c r="C9" s="459" t="s">
        <v>535</v>
      </c>
      <c r="D9" s="459" t="s">
        <v>243</v>
      </c>
      <c r="E9" s="459"/>
      <c r="F9" s="459">
        <v>291</v>
      </c>
      <c r="G9" s="459"/>
      <c r="H9" s="459"/>
      <c r="I9" s="459"/>
      <c r="J9" s="459"/>
      <c r="K9" s="459"/>
      <c r="L9" s="459"/>
      <c r="M9" s="130" t="s">
        <v>1190</v>
      </c>
    </row>
    <row r="10" spans="1:13" ht="12.75" customHeight="1">
      <c r="A10" s="130" t="s">
        <v>53</v>
      </c>
      <c r="B10" s="459" t="s">
        <v>1409</v>
      </c>
      <c r="C10" s="459" t="s">
        <v>535</v>
      </c>
      <c r="D10" s="459" t="s">
        <v>243</v>
      </c>
      <c r="E10" s="459"/>
      <c r="F10" s="459">
        <v>292</v>
      </c>
      <c r="G10" s="459"/>
      <c r="H10" s="459"/>
      <c r="I10" s="459"/>
      <c r="J10" s="459"/>
      <c r="K10" s="459"/>
      <c r="L10" s="459"/>
      <c r="M10" s="130" t="s">
        <v>1190</v>
      </c>
    </row>
    <row r="11" spans="1:13" ht="18.75" customHeight="1">
      <c r="A11" s="130" t="s">
        <v>53</v>
      </c>
      <c r="B11" s="130" t="s">
        <v>1189</v>
      </c>
      <c r="C11" s="130" t="s">
        <v>249</v>
      </c>
      <c r="D11" s="130" t="s">
        <v>243</v>
      </c>
      <c r="E11" s="130"/>
      <c r="F11" s="130">
        <v>29</v>
      </c>
      <c r="G11" s="130"/>
      <c r="H11" s="130"/>
      <c r="I11" s="459"/>
      <c r="J11" s="130"/>
      <c r="K11" s="130"/>
      <c r="L11" s="130"/>
      <c r="M11" s="130" t="s">
        <v>1190</v>
      </c>
    </row>
    <row r="12" spans="1:13" ht="18.75" customHeight="1">
      <c r="A12" s="130" t="s">
        <v>53</v>
      </c>
      <c r="B12" s="130" t="s">
        <v>1191</v>
      </c>
      <c r="C12" s="130" t="s">
        <v>252</v>
      </c>
      <c r="D12" s="130" t="s">
        <v>243</v>
      </c>
      <c r="E12" s="130"/>
      <c r="F12" s="130">
        <v>30</v>
      </c>
      <c r="G12" s="130"/>
      <c r="H12" s="130"/>
      <c r="I12" s="459"/>
      <c r="J12" s="130"/>
      <c r="K12" s="130"/>
      <c r="L12" s="130"/>
      <c r="M12" s="130" t="s">
        <v>1190</v>
      </c>
    </row>
    <row r="13" spans="1:13" ht="18.75" customHeight="1">
      <c r="A13" s="130" t="s">
        <v>53</v>
      </c>
      <c r="B13" s="130" t="s">
        <v>1192</v>
      </c>
      <c r="C13" s="130" t="s">
        <v>242</v>
      </c>
      <c r="D13" s="130" t="s">
        <v>243</v>
      </c>
      <c r="E13" s="130"/>
      <c r="F13" s="130">
        <v>31</v>
      </c>
      <c r="G13" s="130"/>
      <c r="H13" s="130"/>
      <c r="I13" s="459"/>
      <c r="J13" s="130"/>
      <c r="K13" s="130"/>
      <c r="L13" s="130"/>
      <c r="M13" s="130" t="s">
        <v>1190</v>
      </c>
    </row>
    <row r="14" spans="1:13" ht="18.75" customHeight="1">
      <c r="A14" s="130" t="s">
        <v>53</v>
      </c>
      <c r="B14" s="130" t="s">
        <v>1193</v>
      </c>
      <c r="C14" s="130" t="s">
        <v>247</v>
      </c>
      <c r="D14" s="130" t="s">
        <v>243</v>
      </c>
      <c r="E14" s="130"/>
      <c r="F14" s="130">
        <v>32</v>
      </c>
      <c r="G14" s="130"/>
      <c r="H14" s="130"/>
      <c r="I14" s="459"/>
      <c r="J14" s="130"/>
      <c r="K14" s="130"/>
      <c r="L14" s="130"/>
      <c r="M14" s="130" t="s">
        <v>1190</v>
      </c>
    </row>
    <row r="15" spans="1:13" ht="18.75" customHeight="1">
      <c r="A15" s="130" t="s">
        <v>53</v>
      </c>
      <c r="B15" s="130" t="s">
        <v>1194</v>
      </c>
      <c r="C15" s="130" t="s">
        <v>252</v>
      </c>
      <c r="D15" s="130" t="s">
        <v>243</v>
      </c>
      <c r="E15" s="130"/>
      <c r="F15" s="130">
        <v>33</v>
      </c>
      <c r="G15" s="130"/>
      <c r="H15" s="130"/>
      <c r="I15" s="459"/>
      <c r="J15" s="130"/>
      <c r="K15" s="130"/>
      <c r="L15" s="130"/>
      <c r="M15" s="130" t="s">
        <v>1190</v>
      </c>
    </row>
    <row r="16" spans="1:13" ht="18.75" customHeight="1">
      <c r="A16" s="130" t="s">
        <v>53</v>
      </c>
      <c r="B16" s="130" t="s">
        <v>1195</v>
      </c>
      <c r="C16" s="130" t="s">
        <v>247</v>
      </c>
      <c r="D16" s="130" t="s">
        <v>243</v>
      </c>
      <c r="E16" s="130"/>
      <c r="F16" s="130">
        <v>34</v>
      </c>
      <c r="G16" s="130"/>
      <c r="H16" s="130"/>
      <c r="I16" s="459"/>
      <c r="J16" s="130"/>
      <c r="K16" s="130"/>
      <c r="L16" s="130"/>
      <c r="M16" s="130" t="s">
        <v>1190</v>
      </c>
    </row>
    <row r="17" spans="1:13" ht="18.75" customHeight="1">
      <c r="A17" s="130" t="s">
        <v>53</v>
      </c>
      <c r="B17" s="130" t="s">
        <v>1196</v>
      </c>
      <c r="C17" s="130" t="s">
        <v>535</v>
      </c>
      <c r="D17" s="130" t="s">
        <v>903</v>
      </c>
      <c r="E17" s="130"/>
      <c r="F17" s="130">
        <v>35</v>
      </c>
      <c r="G17" s="130"/>
      <c r="H17" s="130"/>
      <c r="I17" s="459"/>
      <c r="J17" s="130"/>
      <c r="K17" s="130"/>
      <c r="L17" s="130"/>
      <c r="M17" s="130" t="s">
        <v>1190</v>
      </c>
    </row>
    <row r="18" spans="1:13" ht="12.75" customHeight="1">
      <c r="A18" s="130" t="s">
        <v>53</v>
      </c>
      <c r="B18" s="459" t="s">
        <v>1288</v>
      </c>
      <c r="C18" s="459" t="s">
        <v>535</v>
      </c>
      <c r="D18" s="459" t="s">
        <v>903</v>
      </c>
      <c r="E18" s="459"/>
      <c r="F18" s="459">
        <v>293</v>
      </c>
      <c r="G18" s="459"/>
      <c r="H18" s="459"/>
      <c r="I18" s="459"/>
      <c r="J18" s="459"/>
      <c r="K18" s="459"/>
      <c r="L18" s="459"/>
      <c r="M18" s="130" t="s">
        <v>1190</v>
      </c>
    </row>
    <row r="19" spans="1:13" ht="12.75" customHeight="1">
      <c r="A19" s="459" t="s">
        <v>53</v>
      </c>
      <c r="B19" s="186" t="s">
        <v>124</v>
      </c>
      <c r="C19" s="186" t="s">
        <v>535</v>
      </c>
      <c r="D19" s="186" t="s">
        <v>903</v>
      </c>
      <c r="E19" s="186"/>
      <c r="F19" s="72">
        <v>1</v>
      </c>
      <c r="G19" s="459"/>
      <c r="H19" s="459"/>
      <c r="I19" s="459"/>
      <c r="J19" s="459"/>
      <c r="K19" s="459"/>
      <c r="L19" s="459"/>
      <c r="M19" s="130" t="s">
        <v>1190</v>
      </c>
    </row>
    <row r="20" spans="1:13" ht="17.25" customHeight="1">
      <c r="A20" s="459" t="s">
        <v>224</v>
      </c>
      <c r="B20" s="416" t="s">
        <v>125</v>
      </c>
      <c r="C20" s="186" t="s">
        <v>255</v>
      </c>
      <c r="D20" s="186" t="s">
        <v>243</v>
      </c>
      <c r="E20" s="186"/>
      <c r="F20" s="72"/>
      <c r="G20" s="459"/>
      <c r="H20" s="459"/>
      <c r="I20" s="459"/>
      <c r="J20" s="459"/>
      <c r="K20" s="459"/>
      <c r="L20" s="459"/>
      <c r="M20" s="130" t="s">
        <v>5197</v>
      </c>
    </row>
    <row r="21" spans="1:13" ht="17.25" customHeight="1">
      <c r="A21" s="459" t="s">
        <v>224</v>
      </c>
      <c r="B21" s="186" t="s">
        <v>5198</v>
      </c>
      <c r="C21" s="186" t="s">
        <v>432</v>
      </c>
      <c r="D21" s="186" t="s">
        <v>243</v>
      </c>
      <c r="E21" s="186"/>
      <c r="F21" s="72">
        <v>2</v>
      </c>
      <c r="G21" s="459"/>
      <c r="H21" s="459"/>
      <c r="I21" s="459"/>
      <c r="J21" s="459"/>
      <c r="K21" s="459"/>
      <c r="L21" s="459"/>
      <c r="M21" s="130" t="s">
        <v>5199</v>
      </c>
    </row>
    <row r="22" spans="1:13" ht="12.75" customHeight="1">
      <c r="A22" s="459" t="s">
        <v>55</v>
      </c>
      <c r="B22" s="186" t="s">
        <v>5200</v>
      </c>
      <c r="C22" s="186" t="s">
        <v>329</v>
      </c>
      <c r="D22" s="186" t="s">
        <v>243</v>
      </c>
      <c r="E22" s="186"/>
      <c r="F22" s="72">
        <v>3</v>
      </c>
      <c r="G22" s="459"/>
      <c r="H22" s="459"/>
      <c r="I22" s="459"/>
      <c r="J22" s="459"/>
      <c r="K22" s="459"/>
      <c r="L22" s="459"/>
      <c r="M22" s="130" t="s">
        <v>5201</v>
      </c>
    </row>
    <row r="23" spans="1:13" ht="12.75" customHeight="1">
      <c r="A23" s="459" t="s">
        <v>53</v>
      </c>
      <c r="B23" s="186" t="s">
        <v>1189</v>
      </c>
      <c r="C23" s="186" t="s">
        <v>249</v>
      </c>
      <c r="D23" s="186" t="s">
        <v>243</v>
      </c>
      <c r="E23" s="186"/>
      <c r="F23" s="72">
        <v>4</v>
      </c>
      <c r="G23" s="459"/>
      <c r="H23" s="459"/>
      <c r="I23" s="459"/>
      <c r="J23" s="459"/>
      <c r="K23" s="459"/>
      <c r="L23" s="459"/>
      <c r="M23" s="130" t="s">
        <v>1190</v>
      </c>
    </row>
    <row r="24" spans="1:13" ht="12.75" customHeight="1">
      <c r="A24" s="459" t="s">
        <v>53</v>
      </c>
      <c r="B24" s="186" t="s">
        <v>1191</v>
      </c>
      <c r="C24" s="186" t="s">
        <v>252</v>
      </c>
      <c r="D24" s="186" t="s">
        <v>243</v>
      </c>
      <c r="E24" s="186"/>
      <c r="F24" s="72">
        <v>5</v>
      </c>
      <c r="G24" s="459"/>
      <c r="H24" s="459"/>
      <c r="I24" s="459"/>
      <c r="J24" s="459"/>
      <c r="K24" s="459"/>
      <c r="L24" s="459"/>
      <c r="M24" s="130" t="s">
        <v>1190</v>
      </c>
    </row>
    <row r="25" spans="1:13" ht="18.75" customHeight="1">
      <c r="A25" s="459" t="s">
        <v>53</v>
      </c>
      <c r="B25" s="186" t="s">
        <v>1192</v>
      </c>
      <c r="C25" s="186" t="s">
        <v>242</v>
      </c>
      <c r="D25" s="186" t="s">
        <v>243</v>
      </c>
      <c r="E25" s="186"/>
      <c r="F25" s="72">
        <v>6</v>
      </c>
      <c r="G25" s="459"/>
      <c r="H25" s="459"/>
      <c r="I25" s="459"/>
      <c r="J25" s="459"/>
      <c r="K25" s="459"/>
      <c r="L25" s="459"/>
      <c r="M25" s="130" t="s">
        <v>1190</v>
      </c>
    </row>
    <row r="26" spans="1:13" ht="18.75" customHeight="1">
      <c r="A26" s="459" t="s">
        <v>53</v>
      </c>
      <c r="B26" s="186" t="s">
        <v>1193</v>
      </c>
      <c r="C26" s="186" t="s">
        <v>247</v>
      </c>
      <c r="D26" s="186" t="s">
        <v>243</v>
      </c>
      <c r="E26" s="186"/>
      <c r="F26" s="72">
        <v>7</v>
      </c>
      <c r="G26" s="459"/>
      <c r="H26" s="459"/>
      <c r="I26" s="459"/>
      <c r="J26" s="459"/>
      <c r="K26" s="459"/>
      <c r="L26" s="459"/>
      <c r="M26" s="130" t="s">
        <v>1190</v>
      </c>
    </row>
    <row r="27" spans="1:13" ht="18.75" customHeight="1">
      <c r="A27" s="459" t="s">
        <v>53</v>
      </c>
      <c r="B27" s="186" t="s">
        <v>1194</v>
      </c>
      <c r="C27" s="186" t="s">
        <v>252</v>
      </c>
      <c r="D27" s="186" t="s">
        <v>243</v>
      </c>
      <c r="E27" s="186"/>
      <c r="F27" s="72">
        <v>8</v>
      </c>
      <c r="G27" s="459"/>
      <c r="H27" s="459"/>
      <c r="I27" s="459"/>
      <c r="J27" s="459"/>
      <c r="K27" s="459"/>
      <c r="L27" s="459"/>
      <c r="M27" s="130" t="s">
        <v>1190</v>
      </c>
    </row>
    <row r="28" spans="1:13" ht="18.75" customHeight="1">
      <c r="A28" s="459" t="s">
        <v>53</v>
      </c>
      <c r="B28" s="186" t="s">
        <v>1195</v>
      </c>
      <c r="C28" s="186" t="s">
        <v>247</v>
      </c>
      <c r="D28" s="186" t="s">
        <v>243</v>
      </c>
      <c r="E28" s="186"/>
      <c r="F28" s="72">
        <v>9</v>
      </c>
      <c r="G28" s="459"/>
      <c r="H28" s="459"/>
      <c r="I28" s="459"/>
      <c r="J28" s="459"/>
      <c r="K28" s="459"/>
      <c r="L28" s="459"/>
      <c r="M28" s="130" t="s">
        <v>1190</v>
      </c>
    </row>
    <row r="29" spans="1:13" ht="18.75" customHeight="1">
      <c r="A29" s="459" t="s">
        <v>53</v>
      </c>
      <c r="B29" s="186" t="s">
        <v>1196</v>
      </c>
      <c r="C29" s="186" t="s">
        <v>535</v>
      </c>
      <c r="D29" s="186" t="s">
        <v>903</v>
      </c>
      <c r="E29" s="186"/>
      <c r="F29" s="72">
        <v>10</v>
      </c>
      <c r="G29" s="459"/>
      <c r="H29" s="459"/>
      <c r="I29" s="710"/>
      <c r="J29" s="692"/>
      <c r="K29" s="459"/>
      <c r="L29" s="459"/>
      <c r="M29" s="130" t="s">
        <v>1190</v>
      </c>
    </row>
    <row r="30" spans="1:13" ht="18.75" customHeight="1">
      <c r="A30" s="459" t="s">
        <v>55</v>
      </c>
      <c r="B30" s="186" t="s">
        <v>5202</v>
      </c>
      <c r="C30" s="186" t="s">
        <v>329</v>
      </c>
      <c r="D30" s="186" t="s">
        <v>243</v>
      </c>
      <c r="E30" s="186"/>
      <c r="F30" s="72">
        <v>11</v>
      </c>
      <c r="G30" s="459"/>
      <c r="H30" s="459"/>
      <c r="I30" s="710"/>
      <c r="J30" s="692"/>
      <c r="K30" s="459"/>
      <c r="L30" s="459"/>
      <c r="M30" s="130" t="s">
        <v>5203</v>
      </c>
    </row>
    <row r="31" spans="1:13" ht="18.75" customHeight="1">
      <c r="A31" s="459" t="s">
        <v>55</v>
      </c>
      <c r="B31" s="186" t="s">
        <v>5204</v>
      </c>
      <c r="C31" s="186" t="s">
        <v>329</v>
      </c>
      <c r="D31" s="186" t="s">
        <v>243</v>
      </c>
      <c r="E31" s="186"/>
      <c r="F31" s="72">
        <v>12</v>
      </c>
      <c r="G31" s="459"/>
      <c r="H31" s="459"/>
      <c r="I31" s="710"/>
      <c r="J31" s="692"/>
      <c r="K31" s="459"/>
      <c r="L31" s="459"/>
      <c r="M31" s="130" t="s">
        <v>5205</v>
      </c>
    </row>
    <row r="32" spans="1:13" ht="18.75" customHeight="1">
      <c r="A32" s="459" t="s">
        <v>55</v>
      </c>
      <c r="B32" s="186" t="s">
        <v>5206</v>
      </c>
      <c r="C32" s="186" t="s">
        <v>329</v>
      </c>
      <c r="D32" s="186" t="s">
        <v>243</v>
      </c>
      <c r="E32" s="186"/>
      <c r="F32" s="72">
        <v>13</v>
      </c>
      <c r="G32" s="72"/>
      <c r="H32" s="186"/>
      <c r="I32" s="186"/>
      <c r="J32" s="459"/>
      <c r="K32" s="459"/>
      <c r="L32" s="459"/>
      <c r="M32" s="130" t="s">
        <v>5207</v>
      </c>
    </row>
    <row r="33" spans="1:13" ht="18.75" customHeight="1">
      <c r="A33" s="459" t="s">
        <v>224</v>
      </c>
      <c r="B33" s="186" t="s">
        <v>5208</v>
      </c>
      <c r="C33" s="186" t="s">
        <v>329</v>
      </c>
      <c r="D33" s="186" t="s">
        <v>243</v>
      </c>
      <c r="E33" s="186"/>
      <c r="F33" s="72">
        <v>14</v>
      </c>
      <c r="G33" s="72"/>
      <c r="H33" s="186"/>
      <c r="I33" s="186"/>
      <c r="J33" s="459"/>
      <c r="K33" s="459"/>
      <c r="L33" s="459"/>
      <c r="M33" s="130" t="s">
        <v>5209</v>
      </c>
    </row>
    <row r="34" spans="1:13" ht="18.75" customHeight="1">
      <c r="A34" s="459" t="s">
        <v>55</v>
      </c>
      <c r="B34" s="186" t="s">
        <v>5210</v>
      </c>
      <c r="C34" s="186" t="s">
        <v>329</v>
      </c>
      <c r="D34" s="186" t="s">
        <v>243</v>
      </c>
      <c r="E34" s="186"/>
      <c r="F34" s="72">
        <v>15</v>
      </c>
      <c r="G34" s="459"/>
      <c r="H34" s="459"/>
      <c r="I34" s="710"/>
      <c r="J34" s="692"/>
      <c r="K34" s="459"/>
      <c r="L34" s="459"/>
      <c r="M34" s="130" t="s">
        <v>5211</v>
      </c>
    </row>
    <row r="35" spans="1:13" ht="18.75" customHeight="1">
      <c r="A35" s="459" t="s">
        <v>55</v>
      </c>
      <c r="B35" s="186" t="s">
        <v>5212</v>
      </c>
      <c r="C35" s="186" t="s">
        <v>4525</v>
      </c>
      <c r="D35" s="186" t="s">
        <v>243</v>
      </c>
      <c r="E35" s="186"/>
      <c r="F35" s="72">
        <v>16</v>
      </c>
      <c r="G35" s="459"/>
      <c r="H35" s="186"/>
      <c r="I35" s="710"/>
      <c r="J35" s="692"/>
      <c r="K35" s="459"/>
      <c r="L35" s="459"/>
      <c r="M35" s="130" t="s">
        <v>5213</v>
      </c>
    </row>
    <row r="36" spans="1:13" ht="18.75" customHeight="1">
      <c r="A36" s="459" t="s">
        <v>55</v>
      </c>
      <c r="B36" s="186" t="s">
        <v>5214</v>
      </c>
      <c r="C36" s="186" t="s">
        <v>5215</v>
      </c>
      <c r="D36" s="186" t="s">
        <v>243</v>
      </c>
      <c r="E36" s="186"/>
      <c r="F36" s="72">
        <v>17</v>
      </c>
      <c r="G36" s="459"/>
      <c r="H36" s="459"/>
      <c r="I36" s="710"/>
      <c r="J36" s="692"/>
      <c r="K36" s="459"/>
      <c r="L36" s="459"/>
      <c r="M36" s="130" t="s">
        <v>5216</v>
      </c>
    </row>
    <row r="37" spans="1:13" ht="18.75" customHeight="1">
      <c r="A37" s="459" t="s">
        <v>55</v>
      </c>
      <c r="B37" s="186" t="s">
        <v>5217</v>
      </c>
      <c r="C37" s="186" t="s">
        <v>5215</v>
      </c>
      <c r="D37" s="186" t="s">
        <v>243</v>
      </c>
      <c r="E37" s="186"/>
      <c r="F37" s="72">
        <v>18</v>
      </c>
      <c r="G37" s="459"/>
      <c r="H37" s="459"/>
      <c r="I37" s="710"/>
      <c r="J37" s="692"/>
      <c r="K37" s="459"/>
      <c r="L37" s="459"/>
      <c r="M37" s="130" t="s">
        <v>5218</v>
      </c>
    </row>
    <row r="38" spans="1:13" ht="18.75" customHeight="1">
      <c r="A38" s="459" t="s">
        <v>55</v>
      </c>
      <c r="B38" s="186" t="s">
        <v>5219</v>
      </c>
      <c r="C38" s="186" t="s">
        <v>5215</v>
      </c>
      <c r="D38" s="186" t="s">
        <v>243</v>
      </c>
      <c r="E38" s="186"/>
      <c r="F38" s="72">
        <v>19</v>
      </c>
      <c r="G38" s="459"/>
      <c r="H38" s="459"/>
      <c r="I38" s="710"/>
      <c r="J38" s="692"/>
      <c r="K38" s="459"/>
      <c r="L38" s="459"/>
      <c r="M38" s="130" t="s">
        <v>5218</v>
      </c>
    </row>
    <row r="39" spans="1:13" ht="18.75" customHeight="1">
      <c r="A39" s="459" t="s">
        <v>55</v>
      </c>
      <c r="B39" s="186" t="s">
        <v>5220</v>
      </c>
      <c r="C39" s="186" t="s">
        <v>5215</v>
      </c>
      <c r="D39" s="186" t="s">
        <v>243</v>
      </c>
      <c r="E39" s="186"/>
      <c r="F39" s="72">
        <v>20</v>
      </c>
      <c r="G39" s="459"/>
      <c r="H39" s="459"/>
      <c r="I39" s="710"/>
      <c r="J39" s="692"/>
      <c r="K39" s="459"/>
      <c r="L39" s="459"/>
      <c r="M39" s="130" t="s">
        <v>5159</v>
      </c>
    </row>
    <row r="40" spans="1:13" ht="18.75" customHeight="1">
      <c r="A40" s="459" t="s">
        <v>55</v>
      </c>
      <c r="B40" s="186" t="s">
        <v>5221</v>
      </c>
      <c r="C40" s="186" t="s">
        <v>5215</v>
      </c>
      <c r="D40" s="186" t="s">
        <v>243</v>
      </c>
      <c r="E40" s="186"/>
      <c r="F40" s="72">
        <v>21</v>
      </c>
      <c r="G40" s="459"/>
      <c r="H40" s="459"/>
      <c r="I40" s="459"/>
      <c r="J40" s="459"/>
      <c r="K40" s="459"/>
      <c r="L40" s="459"/>
      <c r="M40" s="130" t="s">
        <v>5162</v>
      </c>
    </row>
    <row r="41" spans="1:13" ht="18.75" customHeight="1">
      <c r="A41" s="459" t="s">
        <v>55</v>
      </c>
      <c r="B41" s="186" t="s">
        <v>5222</v>
      </c>
      <c r="C41" s="186" t="s">
        <v>5215</v>
      </c>
      <c r="D41" s="186" t="s">
        <v>243</v>
      </c>
      <c r="E41" s="186"/>
      <c r="F41" s="72">
        <v>22</v>
      </c>
      <c r="G41" s="459"/>
      <c r="H41" s="459"/>
      <c r="I41" s="459"/>
      <c r="J41" s="459"/>
      <c r="K41" s="459"/>
      <c r="L41" s="459"/>
      <c r="M41" s="130" t="s">
        <v>5163</v>
      </c>
    </row>
    <row r="42" spans="1:13" ht="18.75" customHeight="1">
      <c r="A42" s="459" t="s">
        <v>55</v>
      </c>
      <c r="B42" s="186" t="s">
        <v>5223</v>
      </c>
      <c r="C42" s="186" t="s">
        <v>329</v>
      </c>
      <c r="D42" s="186" t="s">
        <v>243</v>
      </c>
      <c r="E42" s="186"/>
      <c r="F42" s="72">
        <v>23</v>
      </c>
      <c r="G42" s="459"/>
      <c r="H42" s="459"/>
      <c r="I42" s="459"/>
      <c r="J42" s="459"/>
      <c r="K42" s="459"/>
      <c r="L42" s="459"/>
      <c r="M42" s="130" t="s">
        <v>5164</v>
      </c>
    </row>
    <row r="43" spans="1:13" ht="18.75" customHeight="1">
      <c r="A43" s="459" t="s">
        <v>55</v>
      </c>
      <c r="B43" s="186" t="s">
        <v>5224</v>
      </c>
      <c r="C43" s="186" t="s">
        <v>329</v>
      </c>
      <c r="D43" s="186" t="s">
        <v>243</v>
      </c>
      <c r="E43" s="186"/>
      <c r="F43" s="72">
        <v>24</v>
      </c>
      <c r="G43" s="72"/>
      <c r="H43" s="186"/>
      <c r="I43" s="186"/>
      <c r="J43" s="459"/>
      <c r="K43" s="459"/>
      <c r="L43" s="459"/>
      <c r="M43" s="130" t="s">
        <v>5165</v>
      </c>
    </row>
    <row r="44" spans="1:13" ht="18.75" customHeight="1">
      <c r="A44" s="459" t="s">
        <v>224</v>
      </c>
      <c r="B44" s="186" t="s">
        <v>5225</v>
      </c>
      <c r="C44" s="186" t="s">
        <v>329</v>
      </c>
      <c r="D44" s="186" t="s">
        <v>243</v>
      </c>
      <c r="E44" s="186"/>
      <c r="F44" s="72">
        <v>25</v>
      </c>
      <c r="G44" s="459"/>
      <c r="H44" s="459"/>
      <c r="I44" s="459"/>
      <c r="J44" s="459"/>
      <c r="K44" s="459"/>
      <c r="L44" s="459"/>
      <c r="M44" s="130" t="s">
        <v>5226</v>
      </c>
    </row>
    <row r="45" spans="1:13" ht="18.75" customHeight="1">
      <c r="A45" s="459" t="s">
        <v>224</v>
      </c>
      <c r="B45" s="186" t="s">
        <v>5227</v>
      </c>
      <c r="C45" s="186" t="s">
        <v>5215</v>
      </c>
      <c r="D45" s="186" t="s">
        <v>243</v>
      </c>
      <c r="E45" s="186"/>
      <c r="F45" s="72">
        <v>26</v>
      </c>
      <c r="G45" s="459"/>
      <c r="H45" s="459"/>
      <c r="I45" s="459"/>
      <c r="J45" s="459"/>
      <c r="K45" s="459"/>
      <c r="L45" s="459"/>
      <c r="M45" s="130" t="s">
        <v>5228</v>
      </c>
    </row>
    <row r="46" spans="1:13" ht="18.75" customHeight="1">
      <c r="A46" s="459" t="s">
        <v>55</v>
      </c>
      <c r="B46" s="186" t="s">
        <v>5229</v>
      </c>
      <c r="C46" s="186" t="s">
        <v>5215</v>
      </c>
      <c r="D46" s="186" t="s">
        <v>243</v>
      </c>
      <c r="E46" s="186"/>
      <c r="F46" s="72">
        <v>27</v>
      </c>
      <c r="G46" s="459"/>
      <c r="H46" s="459"/>
      <c r="I46" s="459"/>
      <c r="J46" s="459"/>
      <c r="K46" s="459"/>
      <c r="L46" s="459"/>
      <c r="M46" s="130" t="s">
        <v>110</v>
      </c>
    </row>
    <row r="47" spans="1:13" ht="18.75" customHeight="1">
      <c r="A47" s="459" t="s">
        <v>224</v>
      </c>
      <c r="B47" s="459" t="s">
        <v>1010</v>
      </c>
      <c r="C47" s="459" t="s">
        <v>535</v>
      </c>
      <c r="D47" s="459" t="s">
        <v>243</v>
      </c>
      <c r="E47" s="459"/>
      <c r="F47" s="459">
        <v>28</v>
      </c>
      <c r="G47" s="459"/>
      <c r="H47" s="186"/>
      <c r="I47" s="459"/>
      <c r="J47" s="459"/>
      <c r="K47" s="459"/>
      <c r="L47" s="459"/>
      <c r="M47" s="130" t="s">
        <v>5230</v>
      </c>
    </row>
    <row r="48" spans="1:13" ht="18.75" customHeight="1">
      <c r="A48" s="459" t="s">
        <v>53</v>
      </c>
      <c r="B48" s="459" t="s">
        <v>1406</v>
      </c>
      <c r="C48" s="459" t="s">
        <v>535</v>
      </c>
      <c r="D48" s="459" t="s">
        <v>243</v>
      </c>
      <c r="E48" s="459"/>
      <c r="F48" s="459">
        <v>29</v>
      </c>
      <c r="G48" s="459"/>
      <c r="H48" s="459"/>
      <c r="I48" s="459"/>
      <c r="J48" s="459"/>
      <c r="K48" s="459"/>
      <c r="L48" s="459"/>
      <c r="M48" s="130" t="s">
        <v>1190</v>
      </c>
    </row>
    <row r="49" spans="1:13" ht="18.75" customHeight="1">
      <c r="A49" s="459" t="s">
        <v>53</v>
      </c>
      <c r="B49" s="459" t="s">
        <v>1409</v>
      </c>
      <c r="C49" s="459" t="s">
        <v>535</v>
      </c>
      <c r="D49" s="459" t="s">
        <v>243</v>
      </c>
      <c r="E49" s="459"/>
      <c r="F49" s="459">
        <v>30</v>
      </c>
      <c r="G49" s="459"/>
      <c r="H49" s="459"/>
      <c r="I49" s="459"/>
      <c r="J49" s="459"/>
      <c r="K49" s="459"/>
      <c r="L49" s="459"/>
      <c r="M49" s="130" t="s">
        <v>1190</v>
      </c>
    </row>
    <row r="50" spans="1:13" ht="18.75" customHeight="1">
      <c r="A50" s="459" t="s">
        <v>53</v>
      </c>
      <c r="B50" s="459" t="s">
        <v>123</v>
      </c>
      <c r="C50" s="459" t="s">
        <v>535</v>
      </c>
      <c r="D50" s="459" t="s">
        <v>243</v>
      </c>
      <c r="E50" s="459"/>
      <c r="F50" s="459">
        <v>31</v>
      </c>
      <c r="G50" s="459"/>
      <c r="H50" s="459"/>
      <c r="I50" s="459"/>
      <c r="J50" s="459"/>
      <c r="K50" s="459"/>
      <c r="L50" s="459"/>
      <c r="M50" s="130" t="s">
        <v>1190</v>
      </c>
    </row>
  </sheetData>
  <autoFilter ref="A2:M50" xr:uid="{00000000-0009-0000-0000-00003C000000}"/>
  <mergeCells count="9">
    <mergeCell ref="I38:J38"/>
    <mergeCell ref="I39:J39"/>
    <mergeCell ref="I29:J29"/>
    <mergeCell ref="I30:J30"/>
    <mergeCell ref="I31:J31"/>
    <mergeCell ref="I34:J34"/>
    <mergeCell ref="I35:J35"/>
    <mergeCell ref="I36:J36"/>
    <mergeCell ref="I37:J37"/>
  </mergeCells>
  <pageMargins left="0.7" right="0.7" top="0.75" bottom="0.75" header="0" footer="0"/>
  <pageSetup orientation="landscape"/>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outlinePr summaryBelow="0" summaryRight="0"/>
  </sheetPr>
  <dimension ref="A2:Q70"/>
  <sheetViews>
    <sheetView workbookViewId="0">
      <pane xSplit="2" ySplit="2" topLeftCell="C3" activePane="bottomRight" state="frozen"/>
      <selection pane="topRight" activeCell="C1" sqref="C1"/>
      <selection pane="bottomLeft" activeCell="A3" sqref="A3"/>
      <selection pane="bottomRight" activeCell="C3" sqref="C3"/>
    </sheetView>
  </sheetViews>
  <sheetFormatPr defaultColWidth="14.453125" defaultRowHeight="15" customHeight="1"/>
  <cols>
    <col min="1" max="1" width="21.453125" customWidth="1"/>
    <col min="2" max="2" width="37" customWidth="1"/>
    <col min="3" max="3" width="22.1796875" customWidth="1"/>
    <col min="4" max="4" width="12.1796875" customWidth="1"/>
    <col min="5" max="5" width="15.7265625" customWidth="1"/>
    <col min="6" max="6" width="8.453125" customWidth="1"/>
    <col min="7" max="7" width="12.26953125" customWidth="1"/>
    <col min="8" max="11" width="17.26953125" customWidth="1"/>
    <col min="12" max="12" width="20.453125" customWidth="1"/>
    <col min="13" max="13" width="17.26953125" customWidth="1"/>
    <col min="14" max="14" width="12.7265625" customWidth="1"/>
    <col min="15" max="27" width="17.26953125" customWidth="1"/>
  </cols>
  <sheetData>
    <row r="2" spans="1:17" ht="18.75" customHeight="1">
      <c r="A2" s="417" t="s">
        <v>224</v>
      </c>
      <c r="B2" s="417" t="s">
        <v>225</v>
      </c>
      <c r="C2" s="417" t="s">
        <v>226</v>
      </c>
      <c r="D2" s="417" t="s">
        <v>227</v>
      </c>
      <c r="E2" s="417" t="s">
        <v>1044</v>
      </c>
      <c r="F2" s="417" t="s">
        <v>1045</v>
      </c>
      <c r="G2" s="353" t="s">
        <v>1046</v>
      </c>
      <c r="H2" s="335" t="s">
        <v>100</v>
      </c>
      <c r="I2" s="353" t="s">
        <v>101</v>
      </c>
      <c r="J2" s="353" t="s">
        <v>102</v>
      </c>
      <c r="K2" s="353" t="s">
        <v>103</v>
      </c>
      <c r="L2" s="335" t="s">
        <v>104</v>
      </c>
      <c r="M2" s="353" t="s">
        <v>105</v>
      </c>
      <c r="N2" s="417" t="s">
        <v>111</v>
      </c>
      <c r="O2" s="417" t="s">
        <v>112</v>
      </c>
      <c r="P2" s="417" t="s">
        <v>113</v>
      </c>
      <c r="Q2" s="418" t="s">
        <v>1034</v>
      </c>
    </row>
    <row r="3" spans="1:17" ht="12.5">
      <c r="A3" s="459" t="s">
        <v>53</v>
      </c>
      <c r="B3" s="459" t="s">
        <v>124</v>
      </c>
      <c r="C3" s="459" t="s">
        <v>1325</v>
      </c>
      <c r="D3" s="459" t="s">
        <v>903</v>
      </c>
      <c r="E3" s="459"/>
      <c r="F3" s="459">
        <v>1</v>
      </c>
      <c r="G3" s="459"/>
      <c r="H3" s="459"/>
      <c r="I3" s="459"/>
      <c r="J3" s="459"/>
      <c r="K3" s="459"/>
      <c r="L3" s="459"/>
      <c r="M3" s="459"/>
      <c r="N3" s="459"/>
      <c r="O3" s="459"/>
      <c r="P3" s="130" t="s">
        <v>1190</v>
      </c>
      <c r="Q3" s="459"/>
    </row>
    <row r="4" spans="1:17" ht="12.5">
      <c r="A4" s="459" t="s">
        <v>55</v>
      </c>
      <c r="B4" s="459" t="s">
        <v>5231</v>
      </c>
      <c r="C4" s="459" t="s">
        <v>3986</v>
      </c>
      <c r="D4" s="459" t="s">
        <v>243</v>
      </c>
      <c r="E4" s="459"/>
      <c r="F4" s="459">
        <v>2</v>
      </c>
      <c r="G4" s="459"/>
      <c r="H4" s="459"/>
      <c r="I4" s="459"/>
      <c r="J4" s="459"/>
      <c r="K4" s="459"/>
      <c r="L4" s="459"/>
      <c r="M4" s="459"/>
      <c r="N4" s="459"/>
      <c r="O4" s="459"/>
      <c r="P4" s="130" t="s">
        <v>5232</v>
      </c>
      <c r="Q4" s="459"/>
    </row>
    <row r="5" spans="1:17" ht="12.5">
      <c r="A5" s="459" t="s">
        <v>53</v>
      </c>
      <c r="B5" s="459" t="s">
        <v>1189</v>
      </c>
      <c r="C5" s="459" t="s">
        <v>249</v>
      </c>
      <c r="D5" s="459" t="s">
        <v>243</v>
      </c>
      <c r="E5" s="459"/>
      <c r="F5" s="459">
        <v>3</v>
      </c>
      <c r="G5" s="459"/>
      <c r="H5" s="459"/>
      <c r="I5" s="459"/>
      <c r="J5" s="459"/>
      <c r="K5" s="459"/>
      <c r="L5" s="459"/>
      <c r="M5" s="459"/>
      <c r="N5" s="459"/>
      <c r="O5" s="459"/>
      <c r="P5" s="130" t="s">
        <v>1190</v>
      </c>
      <c r="Q5" s="459"/>
    </row>
    <row r="6" spans="1:17" ht="12.5">
      <c r="A6" s="459" t="s">
        <v>53</v>
      </c>
      <c r="B6" s="459" t="s">
        <v>1191</v>
      </c>
      <c r="C6" s="459" t="s">
        <v>5233</v>
      </c>
      <c r="D6" s="459" t="s">
        <v>243</v>
      </c>
      <c r="E6" s="459"/>
      <c r="F6" s="459">
        <v>4</v>
      </c>
      <c r="G6" s="459"/>
      <c r="H6" s="459"/>
      <c r="I6" s="459"/>
      <c r="J6" s="459"/>
      <c r="K6" s="459"/>
      <c r="L6" s="459"/>
      <c r="M6" s="459"/>
      <c r="N6" s="459"/>
      <c r="O6" s="459"/>
      <c r="P6" s="130" t="s">
        <v>1190</v>
      </c>
      <c r="Q6" s="459"/>
    </row>
    <row r="7" spans="1:17" ht="12.5">
      <c r="A7" s="459" t="s">
        <v>53</v>
      </c>
      <c r="B7" s="459" t="s">
        <v>1192</v>
      </c>
      <c r="C7" s="459" t="s">
        <v>242</v>
      </c>
      <c r="D7" s="459" t="s">
        <v>243</v>
      </c>
      <c r="E7" s="459"/>
      <c r="F7" s="459">
        <v>5</v>
      </c>
      <c r="G7" s="459"/>
      <c r="H7" s="459"/>
      <c r="I7" s="459"/>
      <c r="J7" s="459"/>
      <c r="K7" s="459"/>
      <c r="L7" s="459"/>
      <c r="M7" s="459"/>
      <c r="N7" s="459"/>
      <c r="O7" s="459"/>
      <c r="P7" s="130" t="s">
        <v>1190</v>
      </c>
      <c r="Q7" s="459"/>
    </row>
    <row r="8" spans="1:17" ht="12.5">
      <c r="A8" s="459" t="s">
        <v>53</v>
      </c>
      <c r="B8" s="459" t="s">
        <v>1193</v>
      </c>
      <c r="C8" s="459" t="s">
        <v>247</v>
      </c>
      <c r="D8" s="459" t="s">
        <v>243</v>
      </c>
      <c r="E8" s="459"/>
      <c r="F8" s="459">
        <v>6</v>
      </c>
      <c r="G8" s="459"/>
      <c r="H8" s="459"/>
      <c r="I8" s="459"/>
      <c r="J8" s="459"/>
      <c r="K8" s="459"/>
      <c r="L8" s="459"/>
      <c r="M8" s="459"/>
      <c r="N8" s="459"/>
      <c r="O8" s="459"/>
      <c r="P8" s="130" t="s">
        <v>1190</v>
      </c>
      <c r="Q8" s="459"/>
    </row>
    <row r="9" spans="1:17" ht="12.5">
      <c r="A9" s="459" t="s">
        <v>53</v>
      </c>
      <c r="B9" s="459" t="s">
        <v>1194</v>
      </c>
      <c r="C9" s="459" t="s">
        <v>5233</v>
      </c>
      <c r="D9" s="459" t="s">
        <v>243</v>
      </c>
      <c r="E9" s="459"/>
      <c r="F9" s="459">
        <v>7</v>
      </c>
      <c r="G9" s="459"/>
      <c r="H9" s="459"/>
      <c r="I9" s="459"/>
      <c r="J9" s="459"/>
      <c r="K9" s="459"/>
      <c r="L9" s="459"/>
      <c r="M9" s="459"/>
      <c r="N9" s="459"/>
      <c r="O9" s="459"/>
      <c r="P9" s="130" t="s">
        <v>1190</v>
      </c>
      <c r="Q9" s="459"/>
    </row>
    <row r="10" spans="1:17" ht="12.5">
      <c r="A10" s="459" t="s">
        <v>53</v>
      </c>
      <c r="B10" s="459" t="s">
        <v>1195</v>
      </c>
      <c r="C10" s="459" t="s">
        <v>247</v>
      </c>
      <c r="D10" s="459" t="s">
        <v>243</v>
      </c>
      <c r="E10" s="459"/>
      <c r="F10" s="459">
        <v>8</v>
      </c>
      <c r="G10" s="459"/>
      <c r="H10" s="459"/>
      <c r="I10" s="459"/>
      <c r="J10" s="459"/>
      <c r="K10" s="459"/>
      <c r="L10" s="459"/>
      <c r="M10" s="459"/>
      <c r="N10" s="459"/>
      <c r="O10" s="459"/>
      <c r="P10" s="130" t="s">
        <v>1190</v>
      </c>
      <c r="Q10" s="459"/>
    </row>
    <row r="11" spans="1:17" ht="12.5">
      <c r="A11" s="459" t="s">
        <v>224</v>
      </c>
      <c r="B11" s="459" t="s">
        <v>1956</v>
      </c>
      <c r="C11" s="459" t="s">
        <v>5233</v>
      </c>
      <c r="D11" s="459" t="s">
        <v>243</v>
      </c>
      <c r="E11" s="459"/>
      <c r="F11" s="459">
        <v>9</v>
      </c>
      <c r="G11" s="459"/>
      <c r="H11" s="459"/>
      <c r="I11" s="459"/>
      <c r="J11" s="459"/>
      <c r="K11" s="459"/>
      <c r="L11" s="459"/>
      <c r="M11" s="459"/>
      <c r="N11" s="459"/>
      <c r="O11" s="459"/>
      <c r="P11" s="130" t="s">
        <v>1190</v>
      </c>
      <c r="Q11" s="459"/>
    </row>
    <row r="12" spans="1:17" ht="12.5">
      <c r="A12" s="459" t="s">
        <v>53</v>
      </c>
      <c r="B12" s="459" t="s">
        <v>1957</v>
      </c>
      <c r="C12" s="459" t="s">
        <v>5233</v>
      </c>
      <c r="D12" s="459" t="s">
        <v>243</v>
      </c>
      <c r="E12" s="459"/>
      <c r="F12" s="459">
        <v>10</v>
      </c>
      <c r="G12" s="459"/>
      <c r="H12" s="459"/>
      <c r="I12" s="459"/>
      <c r="J12" s="459"/>
      <c r="K12" s="459"/>
      <c r="L12" s="459"/>
      <c r="M12" s="459"/>
      <c r="N12" s="459"/>
      <c r="O12" s="459"/>
      <c r="P12" s="130" t="s">
        <v>1190</v>
      </c>
      <c r="Q12" s="459"/>
    </row>
    <row r="13" spans="1:17" ht="12.5">
      <c r="A13" s="459" t="s">
        <v>55</v>
      </c>
      <c r="B13" s="459" t="s">
        <v>1196</v>
      </c>
      <c r="C13" s="459" t="s">
        <v>5234</v>
      </c>
      <c r="D13" s="459" t="s">
        <v>903</v>
      </c>
      <c r="E13" s="459"/>
      <c r="F13" s="459">
        <v>11</v>
      </c>
      <c r="G13" s="459"/>
      <c r="H13" s="459"/>
      <c r="I13" s="459"/>
      <c r="J13" s="459"/>
      <c r="K13" s="459"/>
      <c r="L13" s="459"/>
      <c r="M13" s="459"/>
      <c r="N13" s="459"/>
      <c r="O13" s="459"/>
      <c r="P13" s="130" t="s">
        <v>1190</v>
      </c>
      <c r="Q13" s="459"/>
    </row>
    <row r="14" spans="1:17" ht="12.5">
      <c r="A14" s="459" t="s">
        <v>55</v>
      </c>
      <c r="B14" s="459" t="s">
        <v>5235</v>
      </c>
      <c r="C14" s="459" t="s">
        <v>3986</v>
      </c>
      <c r="D14" s="459" t="s">
        <v>243</v>
      </c>
      <c r="E14" s="459"/>
      <c r="F14" s="459">
        <v>12</v>
      </c>
      <c r="G14" s="459"/>
      <c r="H14" s="459"/>
      <c r="I14" s="459"/>
      <c r="J14" s="459"/>
      <c r="K14" s="459"/>
      <c r="L14" s="459"/>
      <c r="M14" s="459"/>
      <c r="N14" s="459"/>
      <c r="O14" s="459"/>
      <c r="P14" s="130" t="s">
        <v>5236</v>
      </c>
      <c r="Q14" s="459"/>
    </row>
    <row r="15" spans="1:17" ht="12.5">
      <c r="A15" s="459" t="s">
        <v>59</v>
      </c>
      <c r="B15" s="459" t="s">
        <v>120</v>
      </c>
      <c r="C15" s="459" t="s">
        <v>429</v>
      </c>
      <c r="D15" s="459" t="s">
        <v>243</v>
      </c>
      <c r="E15" s="459"/>
      <c r="F15" s="459">
        <v>13</v>
      </c>
      <c r="G15" s="459"/>
      <c r="H15" s="459"/>
      <c r="I15" s="459"/>
      <c r="J15" s="459"/>
      <c r="K15" s="459"/>
      <c r="L15" s="459"/>
      <c r="M15" s="459"/>
      <c r="N15" s="459"/>
      <c r="O15" s="459"/>
      <c r="P15" s="130" t="s">
        <v>5237</v>
      </c>
      <c r="Q15" s="459"/>
    </row>
    <row r="16" spans="1:17" ht="12.5">
      <c r="A16" s="459" t="s">
        <v>224</v>
      </c>
      <c r="B16" s="459" t="s">
        <v>5238</v>
      </c>
      <c r="C16" s="459" t="s">
        <v>3986</v>
      </c>
      <c r="D16" s="459" t="s">
        <v>243</v>
      </c>
      <c r="E16" s="459"/>
      <c r="F16" s="459">
        <v>14</v>
      </c>
      <c r="G16" s="459"/>
      <c r="H16" s="459"/>
      <c r="I16" s="459"/>
      <c r="J16" s="459"/>
      <c r="K16" s="459"/>
      <c r="L16" s="459"/>
      <c r="M16" s="459"/>
      <c r="N16" s="459"/>
      <c r="O16" s="459"/>
      <c r="P16" s="130" t="s">
        <v>5239</v>
      </c>
      <c r="Q16" s="459"/>
    </row>
    <row r="17" spans="1:17" ht="12.5">
      <c r="A17" s="459" t="s">
        <v>55</v>
      </c>
      <c r="B17" s="459" t="s">
        <v>5240</v>
      </c>
      <c r="C17" s="459" t="s">
        <v>247</v>
      </c>
      <c r="D17" s="459" t="s">
        <v>243</v>
      </c>
      <c r="E17" s="459"/>
      <c r="F17" s="459">
        <v>15</v>
      </c>
      <c r="G17" s="459"/>
      <c r="H17" s="459"/>
      <c r="I17" s="459"/>
      <c r="J17" s="459"/>
      <c r="K17" s="459"/>
      <c r="L17" s="459"/>
      <c r="M17" s="459"/>
      <c r="N17" s="459"/>
      <c r="O17" s="459"/>
      <c r="P17" s="130" t="s">
        <v>5241</v>
      </c>
      <c r="Q17" s="459"/>
    </row>
    <row r="18" spans="1:17" ht="12.5">
      <c r="A18" s="459" t="s">
        <v>55</v>
      </c>
      <c r="B18" s="459" t="s">
        <v>331</v>
      </c>
      <c r="C18" s="459" t="s">
        <v>5242</v>
      </c>
      <c r="D18" s="459" t="s">
        <v>243</v>
      </c>
      <c r="E18" s="459"/>
      <c r="F18" s="459">
        <v>16</v>
      </c>
      <c r="G18" s="459"/>
      <c r="H18" s="459"/>
      <c r="I18" s="459"/>
      <c r="J18" s="459"/>
      <c r="K18" s="459"/>
      <c r="L18" s="459"/>
      <c r="M18" s="459"/>
      <c r="N18" s="459"/>
      <c r="O18" s="459"/>
      <c r="P18" s="130" t="s">
        <v>2369</v>
      </c>
      <c r="Q18" s="459"/>
    </row>
    <row r="19" spans="1:17" ht="12.5">
      <c r="A19" s="459" t="s">
        <v>55</v>
      </c>
      <c r="B19" s="459" t="s">
        <v>129</v>
      </c>
      <c r="C19" s="459" t="s">
        <v>250</v>
      </c>
      <c r="D19" s="459" t="s">
        <v>243</v>
      </c>
      <c r="E19" s="459"/>
      <c r="F19" s="459">
        <v>17</v>
      </c>
      <c r="G19" s="459"/>
      <c r="H19" s="459"/>
      <c r="I19" s="459"/>
      <c r="J19" s="459"/>
      <c r="K19" s="459"/>
      <c r="L19" s="459"/>
      <c r="M19" s="459"/>
      <c r="N19" s="459"/>
      <c r="O19" s="459"/>
      <c r="P19" s="130" t="s">
        <v>5243</v>
      </c>
      <c r="Q19" s="459"/>
    </row>
    <row r="20" spans="1:17" ht="12.5">
      <c r="A20" s="459" t="s">
        <v>59</v>
      </c>
      <c r="B20" s="459" t="s">
        <v>404</v>
      </c>
      <c r="C20" s="459" t="s">
        <v>3986</v>
      </c>
      <c r="D20" s="459" t="s">
        <v>243</v>
      </c>
      <c r="E20" s="459"/>
      <c r="F20" s="459">
        <v>18</v>
      </c>
      <c r="G20" s="459"/>
      <c r="H20" s="459"/>
      <c r="I20" s="459"/>
      <c r="J20" s="459"/>
      <c r="K20" s="459"/>
      <c r="L20" s="459"/>
      <c r="M20" s="459"/>
      <c r="N20" s="459"/>
      <c r="O20" s="459"/>
      <c r="P20" s="130" t="s">
        <v>5244</v>
      </c>
      <c r="Q20" s="459"/>
    </row>
    <row r="21" spans="1:17" ht="15.75" customHeight="1">
      <c r="A21" s="459" t="s">
        <v>59</v>
      </c>
      <c r="B21" s="459" t="s">
        <v>328</v>
      </c>
      <c r="C21" s="459" t="s">
        <v>3986</v>
      </c>
      <c r="D21" s="459" t="s">
        <v>243</v>
      </c>
      <c r="E21" s="459"/>
      <c r="F21" s="459">
        <v>19</v>
      </c>
      <c r="G21" s="459"/>
      <c r="H21" s="459"/>
      <c r="I21" s="459"/>
      <c r="J21" s="459"/>
      <c r="K21" s="459"/>
      <c r="L21" s="459"/>
      <c r="M21" s="459"/>
      <c r="N21" s="459"/>
      <c r="O21" s="459"/>
      <c r="P21" s="130" t="s">
        <v>5245</v>
      </c>
      <c r="Q21" s="459"/>
    </row>
    <row r="22" spans="1:17" ht="15.75" customHeight="1">
      <c r="A22" s="459" t="s">
        <v>55</v>
      </c>
      <c r="B22" s="459" t="s">
        <v>5246</v>
      </c>
      <c r="C22" s="459" t="s">
        <v>3986</v>
      </c>
      <c r="D22" s="459" t="s">
        <v>243</v>
      </c>
      <c r="E22" s="459"/>
      <c r="F22" s="459">
        <v>20</v>
      </c>
      <c r="G22" s="459"/>
      <c r="H22" s="459"/>
      <c r="I22" s="459"/>
      <c r="J22" s="459"/>
      <c r="K22" s="459"/>
      <c r="L22" s="459"/>
      <c r="M22" s="459"/>
      <c r="N22" s="459"/>
      <c r="O22" s="459"/>
      <c r="P22" s="130" t="s">
        <v>5247</v>
      </c>
      <c r="Q22" s="459"/>
    </row>
    <row r="23" spans="1:17" ht="15.75" customHeight="1">
      <c r="A23" s="459" t="s">
        <v>224</v>
      </c>
      <c r="B23" s="459" t="s">
        <v>144</v>
      </c>
      <c r="C23" s="459" t="s">
        <v>3986</v>
      </c>
      <c r="D23" s="459" t="s">
        <v>243</v>
      </c>
      <c r="E23" s="459"/>
      <c r="F23" s="459">
        <v>21</v>
      </c>
      <c r="G23" s="459"/>
      <c r="H23" s="459"/>
      <c r="I23" s="459"/>
      <c r="J23" s="459"/>
      <c r="K23" s="459"/>
      <c r="L23" s="459"/>
      <c r="M23" s="459"/>
      <c r="N23" s="459"/>
      <c r="O23" s="459"/>
      <c r="P23" s="130" t="s">
        <v>5248</v>
      </c>
      <c r="Q23" s="459"/>
    </row>
    <row r="24" spans="1:17" ht="15.75" customHeight="1">
      <c r="A24" s="459" t="s">
        <v>55</v>
      </c>
      <c r="B24" s="459" t="s">
        <v>5249</v>
      </c>
      <c r="C24" s="459" t="s">
        <v>3986</v>
      </c>
      <c r="D24" s="459" t="s">
        <v>243</v>
      </c>
      <c r="E24" s="459"/>
      <c r="F24" s="459">
        <v>22</v>
      </c>
      <c r="G24" s="459"/>
      <c r="H24" s="459"/>
      <c r="I24" s="459"/>
      <c r="J24" s="459"/>
      <c r="K24" s="459"/>
      <c r="L24" s="459"/>
      <c r="M24" s="459"/>
      <c r="N24" s="459"/>
      <c r="O24" s="459"/>
      <c r="P24" s="130" t="s">
        <v>5250</v>
      </c>
      <c r="Q24" s="459"/>
    </row>
    <row r="25" spans="1:17" ht="15.75" customHeight="1">
      <c r="A25" s="459" t="s">
        <v>55</v>
      </c>
      <c r="B25" s="459" t="s">
        <v>5251</v>
      </c>
      <c r="C25" s="459" t="s">
        <v>3986</v>
      </c>
      <c r="D25" s="459" t="s">
        <v>243</v>
      </c>
      <c r="E25" s="459"/>
      <c r="F25" s="459">
        <v>23</v>
      </c>
      <c r="G25" s="459"/>
      <c r="H25" s="459"/>
      <c r="I25" s="459"/>
      <c r="J25" s="459"/>
      <c r="K25" s="459"/>
      <c r="L25" s="459"/>
      <c r="M25" s="459"/>
      <c r="N25" s="459"/>
      <c r="O25" s="459"/>
      <c r="P25" s="130" t="s">
        <v>5252</v>
      </c>
      <c r="Q25" s="459"/>
    </row>
    <row r="26" spans="1:17" ht="15.75" customHeight="1">
      <c r="A26" s="459" t="s">
        <v>55</v>
      </c>
      <c r="B26" s="459" t="s">
        <v>5253</v>
      </c>
      <c r="C26" s="459" t="s">
        <v>3986</v>
      </c>
      <c r="D26" s="459" t="s">
        <v>243</v>
      </c>
      <c r="E26" s="459"/>
      <c r="F26" s="459">
        <v>24</v>
      </c>
      <c r="G26" s="459"/>
      <c r="H26" s="459"/>
      <c r="I26" s="459"/>
      <c r="J26" s="459"/>
      <c r="K26" s="459"/>
      <c r="L26" s="459"/>
      <c r="M26" s="459"/>
      <c r="N26" s="459"/>
      <c r="O26" s="459"/>
      <c r="P26" s="130" t="s">
        <v>5254</v>
      </c>
      <c r="Q26" s="459"/>
    </row>
    <row r="27" spans="1:17" ht="15.75" customHeight="1">
      <c r="A27" s="459" t="s">
        <v>55</v>
      </c>
      <c r="B27" s="459" t="s">
        <v>5255</v>
      </c>
      <c r="C27" s="459" t="s">
        <v>5256</v>
      </c>
      <c r="D27" s="459" t="s">
        <v>243</v>
      </c>
      <c r="E27" s="459"/>
      <c r="F27" s="459">
        <v>25</v>
      </c>
      <c r="G27" s="459"/>
      <c r="H27" s="459"/>
      <c r="I27" s="459"/>
      <c r="J27" s="459"/>
      <c r="K27" s="459"/>
      <c r="L27" s="459"/>
      <c r="M27" s="459"/>
      <c r="N27" s="459"/>
      <c r="O27" s="459"/>
      <c r="P27" s="130" t="s">
        <v>5257</v>
      </c>
      <c r="Q27" s="459"/>
    </row>
    <row r="28" spans="1:17" ht="15.75" customHeight="1">
      <c r="A28" s="459" t="s">
        <v>55</v>
      </c>
      <c r="B28" s="459" t="s">
        <v>5258</v>
      </c>
      <c r="C28" s="459" t="s">
        <v>324</v>
      </c>
      <c r="D28" s="459" t="s">
        <v>243</v>
      </c>
      <c r="E28" s="459"/>
      <c r="F28" s="459">
        <v>26</v>
      </c>
      <c r="G28" s="459"/>
      <c r="H28" s="459"/>
      <c r="I28" s="459"/>
      <c r="J28" s="459"/>
      <c r="K28" s="459"/>
      <c r="L28" s="459"/>
      <c r="M28" s="459"/>
      <c r="N28" s="459"/>
      <c r="O28" s="459"/>
      <c r="P28" s="130" t="s">
        <v>5259</v>
      </c>
      <c r="Q28" s="459"/>
    </row>
    <row r="29" spans="1:17" ht="15.75" customHeight="1">
      <c r="A29" s="459" t="s">
        <v>59</v>
      </c>
      <c r="B29" s="459" t="s">
        <v>2572</v>
      </c>
      <c r="C29" s="459" t="s">
        <v>324</v>
      </c>
      <c r="D29" s="459" t="s">
        <v>243</v>
      </c>
      <c r="E29" s="459"/>
      <c r="F29" s="459">
        <v>27</v>
      </c>
      <c r="G29" s="459"/>
      <c r="H29" s="459"/>
      <c r="I29" s="459"/>
      <c r="J29" s="459"/>
      <c r="K29" s="459"/>
      <c r="L29" s="459"/>
      <c r="M29" s="459"/>
      <c r="N29" s="459"/>
      <c r="O29" s="459"/>
      <c r="P29" s="130" t="s">
        <v>5260</v>
      </c>
      <c r="Q29" s="459"/>
    </row>
    <row r="30" spans="1:17" ht="15.75" customHeight="1">
      <c r="A30" s="459" t="s">
        <v>53</v>
      </c>
      <c r="B30" s="459" t="s">
        <v>1406</v>
      </c>
      <c r="C30" s="459" t="s">
        <v>1325</v>
      </c>
      <c r="D30" s="459" t="s">
        <v>243</v>
      </c>
      <c r="E30" s="459"/>
      <c r="F30" s="459">
        <v>28</v>
      </c>
      <c r="G30" s="459"/>
      <c r="H30" s="459"/>
      <c r="I30" s="459"/>
      <c r="J30" s="459"/>
      <c r="K30" s="459"/>
      <c r="L30" s="459"/>
      <c r="M30" s="459"/>
      <c r="N30" s="459"/>
      <c r="O30" s="459"/>
      <c r="P30" s="130" t="s">
        <v>1190</v>
      </c>
      <c r="Q30" s="459"/>
    </row>
    <row r="31" spans="1:17" ht="15.75" customHeight="1">
      <c r="A31" s="459" t="s">
        <v>53</v>
      </c>
      <c r="B31" s="459" t="s">
        <v>123</v>
      </c>
      <c r="C31" s="459" t="s">
        <v>1325</v>
      </c>
      <c r="D31" s="459" t="s">
        <v>243</v>
      </c>
      <c r="E31" s="459"/>
      <c r="F31" s="459">
        <v>29</v>
      </c>
      <c r="G31" s="459"/>
      <c r="H31" s="459"/>
      <c r="I31" s="459"/>
      <c r="J31" s="459"/>
      <c r="K31" s="459"/>
      <c r="L31" s="459"/>
      <c r="M31" s="459"/>
      <c r="N31" s="459"/>
      <c r="O31" s="459"/>
      <c r="P31" s="130" t="s">
        <v>1190</v>
      </c>
      <c r="Q31" s="459"/>
    </row>
    <row r="32" spans="1:17" ht="15.75" customHeight="1">
      <c r="A32" s="459" t="s">
        <v>224</v>
      </c>
      <c r="B32" s="459" t="s">
        <v>1010</v>
      </c>
      <c r="C32" s="459" t="s">
        <v>1325</v>
      </c>
      <c r="D32" s="459" t="s">
        <v>243</v>
      </c>
      <c r="E32" s="459"/>
      <c r="F32" s="459">
        <v>30</v>
      </c>
      <c r="G32" s="459"/>
      <c r="H32" s="459"/>
      <c r="I32" s="459"/>
      <c r="J32" s="459"/>
      <c r="K32" s="459"/>
      <c r="L32" s="459"/>
      <c r="M32" s="459"/>
      <c r="N32" s="459"/>
      <c r="O32" s="459"/>
      <c r="P32" s="130" t="s">
        <v>5261</v>
      </c>
      <c r="Q32" s="459"/>
    </row>
    <row r="33" spans="1:17" ht="15.75" customHeight="1">
      <c r="A33" s="459" t="s">
        <v>224</v>
      </c>
      <c r="B33" s="459" t="s">
        <v>5262</v>
      </c>
      <c r="C33" s="459" t="s">
        <v>1325</v>
      </c>
      <c r="D33" s="459" t="s">
        <v>243</v>
      </c>
      <c r="E33" s="459"/>
      <c r="F33" s="459">
        <v>31</v>
      </c>
      <c r="G33" s="459"/>
      <c r="H33" s="459"/>
      <c r="I33" s="459"/>
      <c r="J33" s="459"/>
      <c r="K33" s="459"/>
      <c r="L33" s="459"/>
      <c r="M33" s="459"/>
      <c r="N33" s="459"/>
      <c r="O33" s="459"/>
      <c r="P33" s="130" t="s">
        <v>5263</v>
      </c>
      <c r="Q33" s="459"/>
    </row>
    <row r="34" spans="1:17" ht="15.75" customHeight="1">
      <c r="A34" s="459" t="s">
        <v>55</v>
      </c>
      <c r="B34" s="459" t="s">
        <v>5264</v>
      </c>
      <c r="C34" s="459" t="s">
        <v>1325</v>
      </c>
      <c r="D34" s="459" t="s">
        <v>243</v>
      </c>
      <c r="E34" s="459"/>
      <c r="F34" s="459">
        <v>32</v>
      </c>
      <c r="G34" s="459"/>
      <c r="H34" s="459"/>
      <c r="I34" s="459"/>
      <c r="J34" s="459"/>
      <c r="K34" s="459"/>
      <c r="L34" s="459"/>
      <c r="M34" s="459"/>
      <c r="N34" s="459"/>
      <c r="O34" s="459"/>
      <c r="P34" s="130" t="s">
        <v>5265</v>
      </c>
      <c r="Q34" s="459"/>
    </row>
    <row r="35" spans="1:17" ht="15.75" customHeight="1">
      <c r="A35" s="459" t="s">
        <v>55</v>
      </c>
      <c r="B35" s="459" t="s">
        <v>2352</v>
      </c>
      <c r="C35" s="459" t="s">
        <v>1325</v>
      </c>
      <c r="D35" s="459" t="s">
        <v>243</v>
      </c>
      <c r="E35" s="459"/>
      <c r="F35" s="459">
        <v>33</v>
      </c>
      <c r="G35" s="459"/>
      <c r="H35" s="459"/>
      <c r="I35" s="459"/>
      <c r="J35" s="459"/>
      <c r="K35" s="459"/>
      <c r="L35" s="459"/>
      <c r="M35" s="459"/>
      <c r="N35" s="459"/>
      <c r="O35" s="459"/>
      <c r="P35" s="130" t="s">
        <v>5266</v>
      </c>
      <c r="Q35" s="459"/>
    </row>
    <row r="36" spans="1:17" ht="15.75" customHeight="1">
      <c r="A36" s="459" t="s">
        <v>55</v>
      </c>
      <c r="B36" s="459" t="s">
        <v>5267</v>
      </c>
      <c r="C36" s="459" t="s">
        <v>1325</v>
      </c>
      <c r="D36" s="459" t="s">
        <v>243</v>
      </c>
      <c r="E36" s="459"/>
      <c r="F36" s="459">
        <v>34</v>
      </c>
      <c r="G36" s="459"/>
      <c r="H36" s="459"/>
      <c r="I36" s="459"/>
      <c r="J36" s="459"/>
      <c r="K36" s="459"/>
      <c r="L36" s="459"/>
      <c r="M36" s="459"/>
      <c r="N36" s="459"/>
      <c r="O36" s="459"/>
      <c r="P36" s="130" t="s">
        <v>5268</v>
      </c>
      <c r="Q36" s="459"/>
    </row>
    <row r="37" spans="1:17" ht="15.75" customHeight="1">
      <c r="A37" s="459" t="s">
        <v>224</v>
      </c>
      <c r="B37" s="459" t="s">
        <v>5269</v>
      </c>
      <c r="C37" s="459" t="s">
        <v>246</v>
      </c>
      <c r="D37" s="459" t="s">
        <v>243</v>
      </c>
      <c r="E37" s="459"/>
      <c r="F37" s="459">
        <v>35</v>
      </c>
      <c r="G37" s="459"/>
      <c r="H37" s="459"/>
      <c r="I37" s="459"/>
      <c r="J37" s="459"/>
      <c r="K37" s="459"/>
      <c r="L37" s="459"/>
      <c r="M37" s="459"/>
      <c r="N37" s="459"/>
      <c r="O37" s="459"/>
      <c r="P37" s="130" t="s">
        <v>5270</v>
      </c>
      <c r="Q37" s="459"/>
    </row>
    <row r="38" spans="1:17" ht="15.75" customHeight="1">
      <c r="A38" s="459" t="s">
        <v>59</v>
      </c>
      <c r="B38" s="459" t="s">
        <v>5271</v>
      </c>
      <c r="C38" s="459" t="s">
        <v>247</v>
      </c>
      <c r="D38" s="459" t="s">
        <v>243</v>
      </c>
      <c r="E38" s="459"/>
      <c r="F38" s="459">
        <v>36</v>
      </c>
      <c r="G38" s="459"/>
      <c r="H38" s="459"/>
      <c r="I38" s="459"/>
      <c r="J38" s="459"/>
      <c r="K38" s="459"/>
      <c r="L38" s="459"/>
      <c r="M38" s="459"/>
      <c r="N38" s="459"/>
      <c r="O38" s="459"/>
      <c r="P38" s="130" t="s">
        <v>5272</v>
      </c>
      <c r="Q38" s="459"/>
    </row>
    <row r="39" spans="1:17" ht="15.75" customHeight="1">
      <c r="A39" s="459" t="s">
        <v>59</v>
      </c>
      <c r="B39" s="459" t="s">
        <v>5273</v>
      </c>
      <c r="C39" s="459" t="s">
        <v>247</v>
      </c>
      <c r="D39" s="459" t="s">
        <v>243</v>
      </c>
      <c r="E39" s="459"/>
      <c r="F39" s="459">
        <v>37</v>
      </c>
      <c r="G39" s="459"/>
      <c r="H39" s="459"/>
      <c r="I39" s="459"/>
      <c r="J39" s="459"/>
      <c r="K39" s="459"/>
      <c r="L39" s="459"/>
      <c r="M39" s="459"/>
      <c r="N39" s="459"/>
      <c r="O39" s="459"/>
      <c r="P39" s="130" t="s">
        <v>5274</v>
      </c>
      <c r="Q39" s="459"/>
    </row>
    <row r="40" spans="1:17" ht="15.75" customHeight="1">
      <c r="A40" s="459" t="s">
        <v>59</v>
      </c>
      <c r="B40" s="459" t="s">
        <v>5275</v>
      </c>
      <c r="C40" s="459" t="s">
        <v>432</v>
      </c>
      <c r="D40" s="459" t="s">
        <v>243</v>
      </c>
      <c r="E40" s="459"/>
      <c r="F40" s="459">
        <v>38</v>
      </c>
      <c r="G40" s="459"/>
      <c r="H40" s="459"/>
      <c r="I40" s="459"/>
      <c r="J40" s="459"/>
      <c r="K40" s="459"/>
      <c r="L40" s="459"/>
      <c r="M40" s="459"/>
      <c r="N40" s="459"/>
      <c r="O40" s="459"/>
      <c r="P40" s="130" t="s">
        <v>5276</v>
      </c>
      <c r="Q40" s="459"/>
    </row>
    <row r="41" spans="1:17" ht="15.75" customHeight="1">
      <c r="A41" s="459" t="s">
        <v>224</v>
      </c>
      <c r="B41" s="459" t="s">
        <v>5277</v>
      </c>
      <c r="C41" s="459" t="s">
        <v>242</v>
      </c>
      <c r="D41" s="459" t="s">
        <v>243</v>
      </c>
      <c r="E41" s="459"/>
      <c r="F41" s="459">
        <v>39</v>
      </c>
      <c r="G41" s="459"/>
      <c r="H41" s="459"/>
      <c r="I41" s="459"/>
      <c r="J41" s="459"/>
      <c r="K41" s="459"/>
      <c r="L41" s="459"/>
      <c r="M41" s="459"/>
      <c r="N41" s="459"/>
      <c r="O41" s="459"/>
      <c r="P41" s="130" t="s">
        <v>5278</v>
      </c>
      <c r="Q41" s="459"/>
    </row>
    <row r="42" spans="1:17" ht="15.75" customHeight="1">
      <c r="A42" s="459" t="s">
        <v>55</v>
      </c>
      <c r="B42" s="459" t="s">
        <v>5279</v>
      </c>
      <c r="C42" s="459" t="s">
        <v>429</v>
      </c>
      <c r="D42" s="459" t="s">
        <v>243</v>
      </c>
      <c r="E42" s="459"/>
      <c r="F42" s="459">
        <v>40</v>
      </c>
      <c r="G42" s="459"/>
      <c r="H42" s="459"/>
      <c r="I42" s="459"/>
      <c r="J42" s="459"/>
      <c r="K42" s="459"/>
      <c r="L42" s="459"/>
      <c r="M42" s="459"/>
      <c r="N42" s="459"/>
      <c r="O42" s="459"/>
      <c r="P42" s="130" t="s">
        <v>5280</v>
      </c>
      <c r="Q42" s="459"/>
    </row>
    <row r="43" spans="1:17" ht="15.75" customHeight="1">
      <c r="A43" s="459" t="s">
        <v>59</v>
      </c>
      <c r="B43" s="459" t="s">
        <v>5281</v>
      </c>
      <c r="C43" s="459" t="s">
        <v>5256</v>
      </c>
      <c r="D43" s="459" t="s">
        <v>243</v>
      </c>
      <c r="E43" s="459"/>
      <c r="F43" s="459">
        <v>41</v>
      </c>
      <c r="G43" s="459"/>
      <c r="H43" s="459"/>
      <c r="I43" s="459"/>
      <c r="J43" s="459"/>
      <c r="K43" s="459"/>
      <c r="L43" s="459"/>
      <c r="M43" s="459"/>
      <c r="N43" s="459"/>
      <c r="O43" s="459"/>
      <c r="P43" s="130" t="s">
        <v>5282</v>
      </c>
      <c r="Q43" s="459"/>
    </row>
    <row r="44" spans="1:17" ht="15.75" customHeight="1">
      <c r="A44" s="459" t="s">
        <v>224</v>
      </c>
      <c r="B44" s="459" t="s">
        <v>5283</v>
      </c>
      <c r="C44" s="459" t="s">
        <v>3986</v>
      </c>
      <c r="D44" s="459" t="s">
        <v>243</v>
      </c>
      <c r="E44" s="459"/>
      <c r="F44" s="459">
        <v>42</v>
      </c>
      <c r="G44" s="459"/>
      <c r="H44" s="459"/>
      <c r="I44" s="459"/>
      <c r="J44" s="459"/>
      <c r="K44" s="459"/>
      <c r="L44" s="459"/>
      <c r="M44" s="459"/>
      <c r="N44" s="459"/>
      <c r="O44" s="459"/>
      <c r="P44" s="130" t="s">
        <v>5284</v>
      </c>
      <c r="Q44" s="459"/>
    </row>
    <row r="45" spans="1:17" ht="15.75" customHeight="1">
      <c r="A45" s="459" t="s">
        <v>53</v>
      </c>
      <c r="B45" s="459" t="s">
        <v>5285</v>
      </c>
      <c r="C45" s="459" t="s">
        <v>346</v>
      </c>
      <c r="D45" s="459" t="s">
        <v>243</v>
      </c>
      <c r="E45" s="459"/>
      <c r="F45" s="459">
        <v>43</v>
      </c>
      <c r="G45" s="459"/>
      <c r="H45" s="459"/>
      <c r="I45" s="459"/>
      <c r="J45" s="459"/>
      <c r="K45" s="459"/>
      <c r="L45" s="459"/>
      <c r="M45" s="459"/>
      <c r="N45" s="459"/>
      <c r="O45" s="459"/>
      <c r="P45" s="130" t="s">
        <v>5286</v>
      </c>
      <c r="Q45" s="459"/>
    </row>
    <row r="46" spans="1:17" ht="15.75" customHeight="1">
      <c r="A46" s="459" t="s">
        <v>59</v>
      </c>
      <c r="B46" s="459" t="s">
        <v>5287</v>
      </c>
      <c r="C46" s="459" t="s">
        <v>1828</v>
      </c>
      <c r="D46" s="459" t="s">
        <v>243</v>
      </c>
      <c r="E46" s="459"/>
      <c r="F46" s="459">
        <v>44</v>
      </c>
      <c r="G46" s="459"/>
      <c r="H46" s="459"/>
      <c r="I46" s="459"/>
      <c r="J46" s="459"/>
      <c r="K46" s="459"/>
      <c r="L46" s="459"/>
      <c r="M46" s="459"/>
      <c r="N46" s="459"/>
      <c r="O46" s="459"/>
      <c r="P46" s="130" t="s">
        <v>5288</v>
      </c>
      <c r="Q46" s="459"/>
    </row>
    <row r="47" spans="1:17" ht="15.75" customHeight="1">
      <c r="A47" s="459" t="s">
        <v>53</v>
      </c>
      <c r="B47" s="459" t="s">
        <v>5289</v>
      </c>
      <c r="C47" s="459" t="s">
        <v>5256</v>
      </c>
      <c r="D47" s="459" t="s">
        <v>243</v>
      </c>
      <c r="E47" s="459"/>
      <c r="F47" s="459">
        <v>45</v>
      </c>
      <c r="G47" s="459"/>
      <c r="H47" s="459"/>
      <c r="I47" s="459"/>
      <c r="J47" s="459"/>
      <c r="K47" s="459"/>
      <c r="L47" s="459"/>
      <c r="M47" s="459"/>
      <c r="N47" s="459"/>
      <c r="O47" s="459"/>
      <c r="P47" s="130" t="s">
        <v>5290</v>
      </c>
      <c r="Q47" s="459"/>
    </row>
    <row r="48" spans="1:17" ht="15.75" customHeight="1">
      <c r="A48" s="459" t="s">
        <v>55</v>
      </c>
      <c r="B48" s="459" t="s">
        <v>1294</v>
      </c>
      <c r="C48" s="459" t="s">
        <v>324</v>
      </c>
      <c r="D48" s="459" t="s">
        <v>243</v>
      </c>
      <c r="E48" s="459"/>
      <c r="F48" s="459">
        <v>46</v>
      </c>
      <c r="G48" s="459"/>
      <c r="H48" s="459"/>
      <c r="I48" s="459"/>
      <c r="J48" s="459"/>
      <c r="K48" s="459"/>
      <c r="L48" s="459"/>
      <c r="M48" s="459"/>
      <c r="N48" s="459"/>
      <c r="O48" s="459"/>
      <c r="P48" s="130" t="s">
        <v>1190</v>
      </c>
      <c r="Q48" s="459"/>
    </row>
    <row r="49" spans="1:17" ht="15.75" customHeight="1">
      <c r="A49" s="459" t="s">
        <v>59</v>
      </c>
      <c r="B49" s="459" t="s">
        <v>333</v>
      </c>
      <c r="C49" s="459" t="s">
        <v>3986</v>
      </c>
      <c r="D49" s="459" t="s">
        <v>243</v>
      </c>
      <c r="E49" s="459"/>
      <c r="F49" s="459">
        <v>47</v>
      </c>
      <c r="G49" s="459"/>
      <c r="H49" s="459"/>
      <c r="I49" s="459"/>
      <c r="J49" s="459"/>
      <c r="K49" s="459"/>
      <c r="L49" s="459"/>
      <c r="M49" s="459"/>
      <c r="N49" s="459"/>
      <c r="O49" s="459"/>
      <c r="P49" s="130" t="s">
        <v>5291</v>
      </c>
      <c r="Q49" s="459"/>
    </row>
    <row r="50" spans="1:17" ht="15.75" customHeight="1">
      <c r="A50" s="459" t="s">
        <v>55</v>
      </c>
      <c r="B50" s="459" t="s">
        <v>5292</v>
      </c>
      <c r="C50" s="459" t="s">
        <v>589</v>
      </c>
      <c r="D50" s="459" t="s">
        <v>243</v>
      </c>
      <c r="E50" s="459"/>
      <c r="F50" s="459">
        <v>48</v>
      </c>
      <c r="G50" s="459"/>
      <c r="H50" s="459"/>
      <c r="I50" s="459"/>
      <c r="J50" s="459"/>
      <c r="K50" s="459"/>
      <c r="L50" s="459"/>
      <c r="M50" s="459"/>
      <c r="N50" s="459"/>
      <c r="O50" s="459"/>
      <c r="P50" s="130" t="s">
        <v>5293</v>
      </c>
      <c r="Q50" s="459"/>
    </row>
    <row r="51" spans="1:17" ht="15.75" customHeight="1">
      <c r="A51" s="459" t="s">
        <v>55</v>
      </c>
      <c r="B51" s="459" t="s">
        <v>5294</v>
      </c>
      <c r="C51" s="459" t="s">
        <v>3986</v>
      </c>
      <c r="D51" s="459" t="s">
        <v>243</v>
      </c>
      <c r="E51" s="459"/>
      <c r="F51" s="459">
        <v>49</v>
      </c>
      <c r="G51" s="459"/>
      <c r="H51" s="459"/>
      <c r="I51" s="459"/>
      <c r="J51" s="459"/>
      <c r="K51" s="459"/>
      <c r="L51" s="459"/>
      <c r="M51" s="459"/>
      <c r="N51" s="459"/>
      <c r="O51" s="459"/>
      <c r="P51" s="130" t="s">
        <v>5295</v>
      </c>
      <c r="Q51" s="459"/>
    </row>
    <row r="52" spans="1:17" ht="15.75" customHeight="1">
      <c r="A52" s="459" t="s">
        <v>55</v>
      </c>
      <c r="B52" s="459" t="s">
        <v>5296</v>
      </c>
      <c r="C52" s="459" t="s">
        <v>247</v>
      </c>
      <c r="D52" s="459" t="s">
        <v>243</v>
      </c>
      <c r="E52" s="459"/>
      <c r="F52" s="459">
        <v>50</v>
      </c>
      <c r="G52" s="459"/>
      <c r="H52" s="459"/>
      <c r="I52" s="459"/>
      <c r="J52" s="459"/>
      <c r="K52" s="459"/>
      <c r="L52" s="459"/>
      <c r="M52" s="459"/>
      <c r="N52" s="459"/>
      <c r="O52" s="459"/>
      <c r="P52" s="186" t="s">
        <v>5297</v>
      </c>
      <c r="Q52" s="459"/>
    </row>
    <row r="53" spans="1:17" ht="15.75" customHeight="1">
      <c r="A53" s="459" t="s">
        <v>55</v>
      </c>
      <c r="B53" s="459" t="s">
        <v>1570</v>
      </c>
      <c r="C53" s="459" t="s">
        <v>247</v>
      </c>
      <c r="D53" s="459" t="s">
        <v>243</v>
      </c>
      <c r="E53" s="459"/>
      <c r="F53" s="459">
        <v>51</v>
      </c>
      <c r="G53" s="459"/>
      <c r="H53" s="459"/>
      <c r="I53" s="459"/>
      <c r="J53" s="459"/>
      <c r="K53" s="459"/>
      <c r="L53" s="459"/>
      <c r="M53" s="459"/>
      <c r="N53" s="459"/>
      <c r="O53" s="459"/>
      <c r="P53" s="130" t="s">
        <v>5298</v>
      </c>
      <c r="Q53" s="459"/>
    </row>
    <row r="54" spans="1:17" ht="15.75" customHeight="1">
      <c r="A54" s="459" t="s">
        <v>55</v>
      </c>
      <c r="B54" s="459" t="s">
        <v>253</v>
      </c>
      <c r="C54" s="459" t="s">
        <v>247</v>
      </c>
      <c r="D54" s="459" t="s">
        <v>243</v>
      </c>
      <c r="E54" s="459"/>
      <c r="F54" s="459">
        <v>52</v>
      </c>
      <c r="G54" s="459"/>
      <c r="H54" s="459"/>
      <c r="I54" s="459"/>
      <c r="J54" s="459"/>
      <c r="K54" s="459"/>
      <c r="L54" s="459"/>
      <c r="M54" s="459"/>
      <c r="N54" s="459"/>
      <c r="O54" s="459"/>
      <c r="P54" s="130" t="s">
        <v>5299</v>
      </c>
      <c r="Q54" s="459"/>
    </row>
    <row r="55" spans="1:17" ht="15.75" customHeight="1">
      <c r="A55" s="459" t="s">
        <v>59</v>
      </c>
      <c r="B55" s="459" t="s">
        <v>117</v>
      </c>
      <c r="C55" s="459" t="s">
        <v>247</v>
      </c>
      <c r="D55" s="459" t="s">
        <v>243</v>
      </c>
      <c r="E55" s="459"/>
      <c r="F55" s="459">
        <v>53</v>
      </c>
      <c r="G55" s="459"/>
      <c r="H55" s="459"/>
      <c r="I55" s="459"/>
      <c r="J55" s="459"/>
      <c r="K55" s="459"/>
      <c r="L55" s="459"/>
      <c r="M55" s="459"/>
      <c r="N55" s="459"/>
      <c r="O55" s="459"/>
      <c r="P55" s="130" t="s">
        <v>5300</v>
      </c>
      <c r="Q55" s="459"/>
    </row>
    <row r="56" spans="1:17" ht="15.75" customHeight="1">
      <c r="A56" s="459" t="s">
        <v>55</v>
      </c>
      <c r="B56" s="459" t="s">
        <v>1658</v>
      </c>
      <c r="C56" s="459" t="s">
        <v>3986</v>
      </c>
      <c r="D56" s="459" t="s">
        <v>243</v>
      </c>
      <c r="E56" s="459"/>
      <c r="F56" s="459">
        <v>54</v>
      </c>
      <c r="G56" s="459"/>
      <c r="H56" s="459"/>
      <c r="I56" s="459"/>
      <c r="J56" s="459"/>
      <c r="K56" s="459"/>
      <c r="L56" s="459"/>
      <c r="M56" s="459"/>
      <c r="N56" s="459"/>
      <c r="O56" s="459"/>
      <c r="P56" s="130" t="s">
        <v>5301</v>
      </c>
      <c r="Q56" s="459"/>
    </row>
    <row r="57" spans="1:17" ht="15.75" customHeight="1">
      <c r="A57" s="459" t="s">
        <v>55</v>
      </c>
      <c r="B57" s="459" t="s">
        <v>5302</v>
      </c>
      <c r="C57" s="459" t="s">
        <v>3986</v>
      </c>
      <c r="D57" s="459" t="s">
        <v>243</v>
      </c>
      <c r="E57" s="459"/>
      <c r="F57" s="459">
        <v>55</v>
      </c>
      <c r="G57" s="459"/>
      <c r="H57" s="459"/>
      <c r="I57" s="459"/>
      <c r="J57" s="459"/>
      <c r="K57" s="459"/>
      <c r="L57" s="459"/>
      <c r="M57" s="459"/>
      <c r="N57" s="459"/>
      <c r="O57" s="459"/>
      <c r="P57" s="130" t="s">
        <v>5303</v>
      </c>
      <c r="Q57" s="459"/>
    </row>
    <row r="58" spans="1:17" ht="15.75" customHeight="1">
      <c r="A58" s="459" t="s">
        <v>55</v>
      </c>
      <c r="B58" s="459" t="s">
        <v>5304</v>
      </c>
      <c r="C58" s="459" t="s">
        <v>247</v>
      </c>
      <c r="D58" s="459" t="s">
        <v>243</v>
      </c>
      <c r="E58" s="459"/>
      <c r="F58" s="459">
        <v>56</v>
      </c>
      <c r="G58" s="459"/>
      <c r="H58" s="459"/>
      <c r="I58" s="459"/>
      <c r="J58" s="459"/>
      <c r="K58" s="459"/>
      <c r="L58" s="459"/>
      <c r="M58" s="459"/>
      <c r="N58" s="459"/>
      <c r="O58" s="459"/>
      <c r="P58" s="130" t="s">
        <v>5305</v>
      </c>
      <c r="Q58" s="459"/>
    </row>
    <row r="59" spans="1:17" ht="15.75" customHeight="1">
      <c r="A59" s="459" t="s">
        <v>55</v>
      </c>
      <c r="B59" s="459" t="s">
        <v>5306</v>
      </c>
      <c r="C59" s="459" t="s">
        <v>247</v>
      </c>
      <c r="D59" s="459" t="s">
        <v>243</v>
      </c>
      <c r="E59" s="459"/>
      <c r="F59" s="459">
        <v>57</v>
      </c>
      <c r="G59" s="459"/>
      <c r="H59" s="459"/>
      <c r="I59" s="459"/>
      <c r="J59" s="459"/>
      <c r="K59" s="459"/>
      <c r="L59" s="459"/>
      <c r="M59" s="459"/>
      <c r="N59" s="459"/>
      <c r="O59" s="459"/>
      <c r="P59" s="130" t="s">
        <v>5307</v>
      </c>
      <c r="Q59" s="459"/>
    </row>
    <row r="60" spans="1:17" ht="15.75" customHeight="1">
      <c r="A60" s="459" t="s">
        <v>55</v>
      </c>
      <c r="B60" s="459" t="s">
        <v>5308</v>
      </c>
      <c r="C60" s="459" t="s">
        <v>247</v>
      </c>
      <c r="D60" s="459" t="s">
        <v>243</v>
      </c>
      <c r="E60" s="459"/>
      <c r="F60" s="459">
        <v>58</v>
      </c>
      <c r="G60" s="459"/>
      <c r="H60" s="459"/>
      <c r="I60" s="459"/>
      <c r="J60" s="459"/>
      <c r="K60" s="459"/>
      <c r="L60" s="459"/>
      <c r="M60" s="459"/>
      <c r="N60" s="459"/>
      <c r="O60" s="459"/>
      <c r="P60" s="130" t="s">
        <v>5309</v>
      </c>
      <c r="Q60" s="459"/>
    </row>
    <row r="61" spans="1:17" ht="15.75" customHeight="1">
      <c r="A61" s="459" t="s">
        <v>55</v>
      </c>
      <c r="B61" s="459" t="s">
        <v>5310</v>
      </c>
      <c r="C61" s="459" t="s">
        <v>247</v>
      </c>
      <c r="D61" s="459" t="s">
        <v>243</v>
      </c>
      <c r="E61" s="459"/>
      <c r="F61" s="459">
        <v>59</v>
      </c>
      <c r="G61" s="459"/>
      <c r="H61" s="459"/>
      <c r="I61" s="459"/>
      <c r="J61" s="459"/>
      <c r="K61" s="459"/>
      <c r="L61" s="459"/>
      <c r="M61" s="459"/>
      <c r="N61" s="459"/>
      <c r="O61" s="459"/>
      <c r="P61" s="130" t="s">
        <v>5311</v>
      </c>
      <c r="Q61" s="459"/>
    </row>
    <row r="62" spans="1:17" ht="15.75" customHeight="1">
      <c r="A62" s="459" t="s">
        <v>55</v>
      </c>
      <c r="B62" s="459" t="s">
        <v>5312</v>
      </c>
      <c r="C62" s="459" t="s">
        <v>247</v>
      </c>
      <c r="D62" s="459" t="s">
        <v>243</v>
      </c>
      <c r="E62" s="459"/>
      <c r="F62" s="459">
        <v>60</v>
      </c>
      <c r="G62" s="459"/>
      <c r="H62" s="459"/>
      <c r="I62" s="459"/>
      <c r="J62" s="459"/>
      <c r="K62" s="459"/>
      <c r="L62" s="459"/>
      <c r="M62" s="459"/>
      <c r="N62" s="459"/>
      <c r="O62" s="459"/>
      <c r="P62" s="130" t="s">
        <v>5313</v>
      </c>
      <c r="Q62" s="459"/>
    </row>
    <row r="63" spans="1:17" ht="15.75" customHeight="1">
      <c r="A63" s="459" t="s">
        <v>55</v>
      </c>
      <c r="B63" s="459" t="s">
        <v>2465</v>
      </c>
      <c r="C63" s="459" t="s">
        <v>5256</v>
      </c>
      <c r="D63" s="459" t="s">
        <v>243</v>
      </c>
      <c r="E63" s="459"/>
      <c r="F63" s="459">
        <v>61</v>
      </c>
      <c r="G63" s="459"/>
      <c r="H63" s="459"/>
      <c r="I63" s="459"/>
      <c r="J63" s="459"/>
      <c r="K63" s="459"/>
      <c r="L63" s="459"/>
      <c r="M63" s="459"/>
      <c r="N63" s="459"/>
      <c r="O63" s="459"/>
      <c r="P63" s="130" t="s">
        <v>5314</v>
      </c>
      <c r="Q63" s="459"/>
    </row>
    <row r="64" spans="1:17" ht="15.75" customHeight="1">
      <c r="A64" s="459" t="s">
        <v>55</v>
      </c>
      <c r="B64" s="459" t="s">
        <v>5315</v>
      </c>
      <c r="C64" s="459" t="s">
        <v>3986</v>
      </c>
      <c r="D64" s="459" t="s">
        <v>243</v>
      </c>
      <c r="E64" s="459"/>
      <c r="F64" s="459">
        <v>62</v>
      </c>
      <c r="G64" s="459"/>
      <c r="H64" s="459"/>
      <c r="I64" s="459"/>
      <c r="J64" s="459"/>
      <c r="K64" s="459"/>
      <c r="L64" s="459"/>
      <c r="M64" s="459"/>
      <c r="N64" s="459"/>
      <c r="O64" s="459"/>
      <c r="P64" s="130" t="s">
        <v>5316</v>
      </c>
      <c r="Q64" s="459"/>
    </row>
    <row r="65" spans="1:17" ht="15.75" customHeight="1">
      <c r="A65" s="459" t="s">
        <v>55</v>
      </c>
      <c r="B65" s="459" t="s">
        <v>5317</v>
      </c>
      <c r="C65" s="459" t="s">
        <v>589</v>
      </c>
      <c r="D65" s="459" t="s">
        <v>243</v>
      </c>
      <c r="E65" s="459"/>
      <c r="F65" s="459">
        <v>63</v>
      </c>
      <c r="G65" s="459"/>
      <c r="H65" s="459"/>
      <c r="I65" s="459"/>
      <c r="J65" s="459"/>
      <c r="K65" s="459"/>
      <c r="L65" s="459"/>
      <c r="M65" s="459"/>
      <c r="N65" s="459"/>
      <c r="O65" s="459"/>
      <c r="P65" s="130" t="s">
        <v>5318</v>
      </c>
      <c r="Q65" s="459"/>
    </row>
    <row r="66" spans="1:17" ht="15.75" customHeight="1">
      <c r="A66" s="459" t="s">
        <v>55</v>
      </c>
      <c r="B66" s="459" t="s">
        <v>5319</v>
      </c>
      <c r="C66" s="459" t="s">
        <v>3986</v>
      </c>
      <c r="D66" s="459" t="s">
        <v>243</v>
      </c>
      <c r="E66" s="459"/>
      <c r="F66" s="459">
        <v>64</v>
      </c>
      <c r="G66" s="459"/>
      <c r="H66" s="459"/>
      <c r="I66" s="459"/>
      <c r="J66" s="459"/>
      <c r="K66" s="459"/>
      <c r="L66" s="459"/>
      <c r="M66" s="459"/>
      <c r="N66" s="459"/>
      <c r="O66" s="459"/>
      <c r="P66" s="130" t="s">
        <v>5320</v>
      </c>
      <c r="Q66" s="459"/>
    </row>
    <row r="67" spans="1:17" ht="15.75" customHeight="1">
      <c r="A67" s="459" t="s">
        <v>224</v>
      </c>
      <c r="B67" s="459" t="s">
        <v>5321</v>
      </c>
      <c r="C67" s="459" t="s">
        <v>249</v>
      </c>
      <c r="D67" s="459" t="s">
        <v>243</v>
      </c>
      <c r="E67" s="459"/>
      <c r="F67" s="459">
        <v>65</v>
      </c>
      <c r="G67" s="459"/>
      <c r="H67" s="459"/>
      <c r="I67" s="459"/>
      <c r="J67" s="459"/>
      <c r="K67" s="459"/>
      <c r="L67" s="459"/>
      <c r="M67" s="459"/>
      <c r="N67" s="459"/>
      <c r="O67" s="459"/>
      <c r="P67" s="130" t="s">
        <v>5322</v>
      </c>
      <c r="Q67" s="459"/>
    </row>
    <row r="68" spans="1:17" ht="15.75" customHeight="1">
      <c r="A68" s="459" t="s">
        <v>55</v>
      </c>
      <c r="B68" s="459" t="s">
        <v>5323</v>
      </c>
      <c r="C68" s="459" t="s">
        <v>3986</v>
      </c>
      <c r="D68" s="459" t="s">
        <v>243</v>
      </c>
      <c r="E68" s="459"/>
      <c r="F68" s="459">
        <v>66</v>
      </c>
      <c r="G68" s="459"/>
      <c r="H68" s="459"/>
      <c r="I68" s="459"/>
      <c r="J68" s="459"/>
      <c r="K68" s="459"/>
      <c r="L68" s="459"/>
      <c r="M68" s="459"/>
      <c r="N68" s="459"/>
      <c r="O68" s="459"/>
      <c r="P68" s="130" t="s">
        <v>5324</v>
      </c>
      <c r="Q68" s="459"/>
    </row>
    <row r="69" spans="1:17" ht="15.75" customHeight="1">
      <c r="A69" s="459" t="s">
        <v>55</v>
      </c>
      <c r="B69" s="459" t="s">
        <v>361</v>
      </c>
      <c r="C69" s="459" t="s">
        <v>5256</v>
      </c>
      <c r="D69" s="459" t="s">
        <v>243</v>
      </c>
      <c r="E69" s="459"/>
      <c r="F69" s="459">
        <v>67</v>
      </c>
      <c r="G69" s="459"/>
      <c r="H69" s="459"/>
      <c r="I69" s="459"/>
      <c r="J69" s="459"/>
      <c r="K69" s="459"/>
      <c r="L69" s="459"/>
      <c r="M69" s="459"/>
      <c r="N69" s="459"/>
      <c r="O69" s="459"/>
      <c r="P69" s="130" t="s">
        <v>5325</v>
      </c>
      <c r="Q69" s="459"/>
    </row>
    <row r="70" spans="1:17" ht="15.75" customHeight="1">
      <c r="A70" s="459" t="s">
        <v>55</v>
      </c>
      <c r="B70" s="459" t="s">
        <v>5326</v>
      </c>
      <c r="C70" s="459" t="s">
        <v>247</v>
      </c>
      <c r="D70" s="459" t="s">
        <v>243</v>
      </c>
      <c r="E70" s="459"/>
      <c r="F70" s="459">
        <v>68</v>
      </c>
      <c r="G70" s="459"/>
      <c r="H70" s="459"/>
      <c r="I70" s="459"/>
      <c r="J70" s="459"/>
      <c r="K70" s="459"/>
      <c r="L70" s="459"/>
      <c r="M70" s="459"/>
      <c r="N70" s="459"/>
      <c r="O70" s="459"/>
      <c r="P70" s="130" t="s">
        <v>5327</v>
      </c>
      <c r="Q70" s="459"/>
    </row>
  </sheetData>
  <autoFilter ref="A2:Q70" xr:uid="{00000000-0009-0000-0000-00003D000000}"/>
  <conditionalFormatting sqref="G3:G70">
    <cfRule type="cellIs" dxfId="9" priority="1" operator="equal">
      <formula>1</formula>
    </cfRule>
    <cfRule type="cellIs" dxfId="8" priority="2" operator="equal">
      <formula>2</formula>
    </cfRule>
  </conditionalFormatting>
  <pageMargins left="0.7" right="0.7" top="0.75" bottom="0.75" header="0" footer="0"/>
  <pageSetup orientation="landscape"/>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0-000000000000}">
  <sheetPr>
    <outlinePr summaryBelow="0" summaryRight="0"/>
  </sheetPr>
  <dimension ref="A2:P18"/>
  <sheetViews>
    <sheetView workbookViewId="0"/>
  </sheetViews>
  <sheetFormatPr defaultColWidth="14.453125" defaultRowHeight="15" customHeight="1"/>
  <cols>
    <col min="1" max="1" width="23.1796875" customWidth="1"/>
    <col min="2" max="2" width="17.26953125" customWidth="1"/>
    <col min="3" max="4" width="23.7265625" customWidth="1"/>
    <col min="5" max="26" width="17.26953125" customWidth="1"/>
  </cols>
  <sheetData>
    <row r="2" spans="1:16" ht="15" customHeight="1">
      <c r="A2" s="417" t="s">
        <v>224</v>
      </c>
      <c r="B2" s="417" t="s">
        <v>225</v>
      </c>
      <c r="C2" s="417" t="s">
        <v>226</v>
      </c>
      <c r="D2" s="417" t="s">
        <v>227</v>
      </c>
      <c r="E2" s="417" t="s">
        <v>1044</v>
      </c>
      <c r="F2" s="417" t="s">
        <v>1045</v>
      </c>
      <c r="G2" s="353" t="s">
        <v>1046</v>
      </c>
      <c r="H2" s="335" t="s">
        <v>100</v>
      </c>
      <c r="I2" s="353" t="s">
        <v>101</v>
      </c>
      <c r="J2" s="353" t="s">
        <v>102</v>
      </c>
      <c r="K2" s="353" t="s">
        <v>103</v>
      </c>
      <c r="L2" s="335" t="s">
        <v>104</v>
      </c>
      <c r="M2" s="353" t="s">
        <v>105</v>
      </c>
      <c r="N2" s="417" t="s">
        <v>111</v>
      </c>
      <c r="O2" s="417" t="s">
        <v>112</v>
      </c>
      <c r="P2" s="417" t="s">
        <v>113</v>
      </c>
    </row>
    <row r="3" spans="1:16" ht="15" customHeight="1">
      <c r="A3" s="441" t="s">
        <v>55</v>
      </c>
      <c r="B3" s="441" t="s">
        <v>5328</v>
      </c>
    </row>
    <row r="4" spans="1:16" ht="15" customHeight="1">
      <c r="A4" s="459" t="s">
        <v>53</v>
      </c>
      <c r="B4" s="441" t="s">
        <v>5329</v>
      </c>
      <c r="C4" s="130" t="s">
        <v>535</v>
      </c>
    </row>
    <row r="5" spans="1:16" ht="15" customHeight="1">
      <c r="A5" s="441" t="s">
        <v>53</v>
      </c>
      <c r="B5" s="441" t="s">
        <v>5330</v>
      </c>
      <c r="C5" s="441" t="s">
        <v>242</v>
      </c>
    </row>
    <row r="6" spans="1:16" ht="15" customHeight="1">
      <c r="A6" s="441" t="s">
        <v>224</v>
      </c>
      <c r="B6" s="441" t="s">
        <v>5331</v>
      </c>
      <c r="C6" s="441" t="s">
        <v>3676</v>
      </c>
    </row>
    <row r="7" spans="1:16" ht="15" customHeight="1">
      <c r="A7" s="441" t="s">
        <v>55</v>
      </c>
      <c r="B7" s="441" t="s">
        <v>5332</v>
      </c>
      <c r="C7" s="441" t="s">
        <v>324</v>
      </c>
    </row>
    <row r="8" spans="1:16" ht="15" customHeight="1">
      <c r="A8" s="459" t="s">
        <v>224</v>
      </c>
      <c r="B8" s="441" t="s">
        <v>5333</v>
      </c>
      <c r="C8" s="459" t="s">
        <v>5256</v>
      </c>
    </row>
    <row r="9" spans="1:16" ht="15" customHeight="1">
      <c r="A9" s="441" t="s">
        <v>53</v>
      </c>
      <c r="B9" s="441" t="s">
        <v>5334</v>
      </c>
      <c r="C9" s="130" t="s">
        <v>252</v>
      </c>
    </row>
    <row r="10" spans="1:16" ht="15" customHeight="1">
      <c r="A10" s="441" t="s">
        <v>224</v>
      </c>
      <c r="B10" s="441" t="s">
        <v>5335</v>
      </c>
      <c r="C10" s="459" t="s">
        <v>5256</v>
      </c>
    </row>
    <row r="11" spans="1:16" ht="15" customHeight="1">
      <c r="A11" s="441" t="s">
        <v>224</v>
      </c>
      <c r="B11" s="441" t="s">
        <v>5336</v>
      </c>
      <c r="C11" s="459" t="s">
        <v>5256</v>
      </c>
    </row>
    <row r="12" spans="1:16" ht="15" customHeight="1">
      <c r="A12" s="441" t="s">
        <v>224</v>
      </c>
      <c r="B12" s="441" t="s">
        <v>5337</v>
      </c>
      <c r="C12" s="441" t="s">
        <v>5338</v>
      </c>
    </row>
    <row r="13" spans="1:16" ht="15" customHeight="1">
      <c r="A13" s="441" t="s">
        <v>59</v>
      </c>
      <c r="B13" s="441" t="s">
        <v>5339</v>
      </c>
    </row>
    <row r="14" spans="1:16" ht="15" customHeight="1">
      <c r="A14" s="441" t="s">
        <v>59</v>
      </c>
      <c r="B14" s="441" t="s">
        <v>5340</v>
      </c>
    </row>
    <row r="15" spans="1:16" ht="15" customHeight="1">
      <c r="A15" s="441" t="s">
        <v>59</v>
      </c>
      <c r="B15" s="441" t="s">
        <v>3305</v>
      </c>
    </row>
    <row r="16" spans="1:16" ht="15" customHeight="1">
      <c r="A16" s="441" t="s">
        <v>59</v>
      </c>
      <c r="B16" s="441" t="s">
        <v>5341</v>
      </c>
    </row>
    <row r="17" spans="1:2" ht="15" customHeight="1">
      <c r="A17" s="441" t="s">
        <v>53</v>
      </c>
      <c r="B17" s="441" t="s">
        <v>5342</v>
      </c>
    </row>
    <row r="18" spans="1:2" ht="15" customHeight="1">
      <c r="A18" s="441" t="s">
        <v>53</v>
      </c>
      <c r="B18" s="441" t="s">
        <v>5343</v>
      </c>
    </row>
  </sheetData>
  <autoFilter ref="A2:P18" xr:uid="{00000000-0009-0000-0000-00003E000000}"/>
  <pageMargins left="0.7" right="0.7" top="0.75" bottom="0.75" header="0" footer="0"/>
  <pageSetup orientation="landscape"/>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F00-000000000000}">
  <sheetPr>
    <outlinePr summaryBelow="0" summaryRight="0"/>
  </sheetPr>
  <dimension ref="A1:O23"/>
  <sheetViews>
    <sheetView workbookViewId="0"/>
  </sheetViews>
  <sheetFormatPr defaultColWidth="14.453125" defaultRowHeight="15" customHeight="1"/>
  <cols>
    <col min="1" max="1" width="18.1796875" customWidth="1"/>
    <col min="2" max="2" width="39.26953125" customWidth="1"/>
    <col min="3" max="3" width="24.7265625" customWidth="1"/>
    <col min="4" max="5" width="10.7265625" hidden="1" customWidth="1"/>
    <col min="6" max="6" width="16.26953125" hidden="1" customWidth="1"/>
    <col min="7" max="11" width="22.1796875" customWidth="1"/>
    <col min="12" max="12" width="20.453125" customWidth="1"/>
    <col min="13" max="13" width="38" customWidth="1"/>
    <col min="14" max="14" width="26.453125" customWidth="1"/>
    <col min="15" max="15" width="21.7265625" customWidth="1"/>
    <col min="16" max="16" width="34.26953125" customWidth="1"/>
    <col min="17" max="31" width="10.7265625" customWidth="1"/>
  </cols>
  <sheetData>
    <row r="1" spans="1:15" ht="18.75" customHeight="1">
      <c r="A1" s="289" t="s">
        <v>1322</v>
      </c>
      <c r="B1" s="186"/>
      <c r="C1" s="186"/>
      <c r="D1" s="186"/>
      <c r="E1" s="186"/>
      <c r="F1" s="186"/>
      <c r="G1" s="207" t="s">
        <v>1038</v>
      </c>
      <c r="H1" s="207"/>
      <c r="I1" s="207"/>
      <c r="J1" s="207"/>
      <c r="K1" s="207"/>
      <c r="L1" s="207"/>
      <c r="M1" s="186"/>
      <c r="N1" s="186"/>
      <c r="O1" s="186"/>
    </row>
    <row r="2" spans="1:15" ht="18.75" customHeight="1">
      <c r="A2" s="208" t="s">
        <v>224</v>
      </c>
      <c r="B2" s="208" t="s">
        <v>225</v>
      </c>
      <c r="C2" s="208" t="s">
        <v>226</v>
      </c>
      <c r="D2" s="208" t="s">
        <v>227</v>
      </c>
      <c r="E2" s="208" t="s">
        <v>1044</v>
      </c>
      <c r="F2" s="208" t="s">
        <v>1045</v>
      </c>
      <c r="G2" s="207" t="s">
        <v>100</v>
      </c>
      <c r="H2" s="207" t="s">
        <v>101</v>
      </c>
      <c r="I2" s="207" t="s">
        <v>102</v>
      </c>
      <c r="J2" s="207" t="s">
        <v>103</v>
      </c>
      <c r="K2" s="207" t="s">
        <v>104</v>
      </c>
      <c r="L2" s="207" t="s">
        <v>105</v>
      </c>
      <c r="M2" s="208" t="s">
        <v>111</v>
      </c>
      <c r="N2" s="208" t="s">
        <v>112</v>
      </c>
      <c r="O2" s="208" t="s">
        <v>113</v>
      </c>
    </row>
    <row r="3" spans="1:15" ht="18.75" customHeight="1">
      <c r="A3" s="186" t="s">
        <v>53</v>
      </c>
      <c r="B3" s="186" t="s">
        <v>124</v>
      </c>
      <c r="C3" s="186" t="s">
        <v>535</v>
      </c>
      <c r="D3" s="186" t="s">
        <v>903</v>
      </c>
      <c r="E3" s="186"/>
      <c r="F3" s="186">
        <v>1</v>
      </c>
      <c r="G3" s="186"/>
      <c r="H3" s="186"/>
      <c r="I3" s="90"/>
      <c r="J3" s="90"/>
      <c r="K3" s="90"/>
      <c r="L3" s="186"/>
      <c r="M3" s="186"/>
      <c r="N3" s="122"/>
      <c r="O3" s="186" t="s">
        <v>1190</v>
      </c>
    </row>
    <row r="4" spans="1:15" ht="18.75" customHeight="1">
      <c r="A4" s="186" t="s">
        <v>53</v>
      </c>
      <c r="B4" s="186" t="s">
        <v>1189</v>
      </c>
      <c r="C4" s="186" t="s">
        <v>249</v>
      </c>
      <c r="D4" s="186" t="s">
        <v>243</v>
      </c>
      <c r="E4" s="186"/>
      <c r="F4" s="186">
        <v>14</v>
      </c>
      <c r="G4" s="186"/>
      <c r="H4" s="186"/>
      <c r="I4" s="90"/>
      <c r="J4" s="90"/>
      <c r="K4" s="90"/>
      <c r="L4" s="186"/>
      <c r="M4" s="186"/>
      <c r="N4" s="122"/>
      <c r="O4" s="186" t="s">
        <v>1190</v>
      </c>
    </row>
    <row r="5" spans="1:15" ht="18.75" customHeight="1">
      <c r="A5" s="186" t="s">
        <v>53</v>
      </c>
      <c r="B5" s="186" t="s">
        <v>1191</v>
      </c>
      <c r="C5" s="186" t="s">
        <v>252</v>
      </c>
      <c r="D5" s="186" t="s">
        <v>243</v>
      </c>
      <c r="E5" s="186"/>
      <c r="F5" s="186">
        <v>15</v>
      </c>
      <c r="G5" s="186"/>
      <c r="H5" s="186"/>
      <c r="I5" s="90"/>
      <c r="J5" s="90"/>
      <c r="K5" s="90"/>
      <c r="L5" s="186"/>
      <c r="M5" s="186"/>
      <c r="N5" s="122"/>
      <c r="O5" s="186" t="s">
        <v>1190</v>
      </c>
    </row>
    <row r="6" spans="1:15" ht="18.75" customHeight="1">
      <c r="A6" s="186" t="s">
        <v>53</v>
      </c>
      <c r="B6" s="186" t="s">
        <v>5344</v>
      </c>
      <c r="C6" s="186" t="s">
        <v>432</v>
      </c>
      <c r="D6" s="186" t="s">
        <v>243</v>
      </c>
      <c r="E6" s="186"/>
      <c r="F6" s="186">
        <v>17</v>
      </c>
      <c r="G6" s="186"/>
      <c r="H6" s="186"/>
      <c r="I6" s="90"/>
      <c r="J6" s="90"/>
      <c r="K6" s="90"/>
      <c r="L6" s="186"/>
      <c r="M6" s="186"/>
      <c r="N6" s="122"/>
      <c r="O6" s="186" t="s">
        <v>1190</v>
      </c>
    </row>
    <row r="7" spans="1:15" ht="18.75" customHeight="1">
      <c r="A7" s="186" t="s">
        <v>53</v>
      </c>
      <c r="B7" s="186" t="s">
        <v>1192</v>
      </c>
      <c r="C7" s="186" t="s">
        <v>242</v>
      </c>
      <c r="D7" s="186" t="s">
        <v>243</v>
      </c>
      <c r="E7" s="186"/>
      <c r="F7" s="186">
        <v>16</v>
      </c>
      <c r="G7" s="186"/>
      <c r="H7" s="186"/>
      <c r="I7" s="90"/>
      <c r="J7" s="90"/>
      <c r="K7" s="90"/>
      <c r="L7" s="186"/>
      <c r="M7" s="186"/>
      <c r="N7" s="122"/>
      <c r="O7" s="186" t="s">
        <v>1190</v>
      </c>
    </row>
    <row r="8" spans="1:15" ht="18.75" customHeight="1">
      <c r="A8" s="186" t="s">
        <v>53</v>
      </c>
      <c r="B8" s="186" t="s">
        <v>1193</v>
      </c>
      <c r="C8" s="186" t="s">
        <v>247</v>
      </c>
      <c r="D8" s="186" t="s">
        <v>243</v>
      </c>
      <c r="E8" s="186"/>
      <c r="F8" s="186">
        <v>17</v>
      </c>
      <c r="G8" s="186"/>
      <c r="H8" s="186"/>
      <c r="I8" s="90"/>
      <c r="J8" s="90"/>
      <c r="K8" s="90"/>
      <c r="L8" s="186"/>
      <c r="M8" s="186"/>
      <c r="N8" s="122"/>
      <c r="O8" s="186" t="s">
        <v>1190</v>
      </c>
    </row>
    <row r="9" spans="1:15" ht="18.75" customHeight="1">
      <c r="A9" s="186" t="s">
        <v>53</v>
      </c>
      <c r="B9" s="186" t="s">
        <v>1194</v>
      </c>
      <c r="C9" s="186" t="s">
        <v>252</v>
      </c>
      <c r="D9" s="186" t="s">
        <v>243</v>
      </c>
      <c r="E9" s="186"/>
      <c r="F9" s="186">
        <v>18</v>
      </c>
      <c r="G9" s="186"/>
      <c r="H9" s="186"/>
      <c r="I9" s="90"/>
      <c r="J9" s="90"/>
      <c r="K9" s="90"/>
      <c r="L9" s="186"/>
      <c r="M9" s="186"/>
      <c r="N9" s="122"/>
      <c r="O9" s="186" t="s">
        <v>1190</v>
      </c>
    </row>
    <row r="10" spans="1:15" ht="18.75" customHeight="1">
      <c r="A10" s="186" t="s">
        <v>53</v>
      </c>
      <c r="B10" s="186" t="s">
        <v>1195</v>
      </c>
      <c r="C10" s="186" t="s">
        <v>247</v>
      </c>
      <c r="D10" s="186" t="s">
        <v>243</v>
      </c>
      <c r="E10" s="186"/>
      <c r="F10" s="186">
        <v>19</v>
      </c>
      <c r="G10" s="186"/>
      <c r="H10" s="186"/>
      <c r="I10" s="90"/>
      <c r="J10" s="90"/>
      <c r="K10" s="90"/>
      <c r="L10" s="186"/>
      <c r="M10" s="186"/>
      <c r="N10" s="122"/>
      <c r="O10" s="186" t="s">
        <v>1190</v>
      </c>
    </row>
    <row r="11" spans="1:15" ht="18.75" customHeight="1">
      <c r="A11" s="186" t="s">
        <v>53</v>
      </c>
      <c r="B11" s="186" t="s">
        <v>1956</v>
      </c>
      <c r="C11" s="186" t="s">
        <v>252</v>
      </c>
      <c r="D11" s="186" t="s">
        <v>243</v>
      </c>
      <c r="E11" s="186"/>
      <c r="F11" s="186">
        <v>20</v>
      </c>
      <c r="G11" s="186"/>
      <c r="H11" s="186"/>
      <c r="I11" s="90"/>
      <c r="J11" s="90"/>
      <c r="K11" s="90"/>
      <c r="L11" s="186"/>
      <c r="M11" s="186"/>
      <c r="N11" s="122"/>
      <c r="O11" s="186" t="s">
        <v>1190</v>
      </c>
    </row>
    <row r="12" spans="1:15" ht="18.75" customHeight="1">
      <c r="A12" s="186" t="s">
        <v>53</v>
      </c>
      <c r="B12" s="186" t="s">
        <v>1957</v>
      </c>
      <c r="C12" s="186" t="s">
        <v>252</v>
      </c>
      <c r="D12" s="186" t="s">
        <v>243</v>
      </c>
      <c r="E12" s="186"/>
      <c r="F12" s="186">
        <v>21</v>
      </c>
      <c r="G12" s="186"/>
      <c r="H12" s="186"/>
      <c r="I12" s="90"/>
      <c r="J12" s="90"/>
      <c r="K12" s="90"/>
      <c r="L12" s="186"/>
      <c r="M12" s="186"/>
      <c r="N12" s="122"/>
      <c r="O12" s="186" t="s">
        <v>1190</v>
      </c>
    </row>
    <row r="13" spans="1:15" ht="18.75" customHeight="1">
      <c r="A13" s="186" t="s">
        <v>53</v>
      </c>
      <c r="B13" s="186" t="s">
        <v>1196</v>
      </c>
      <c r="C13" s="186" t="s">
        <v>535</v>
      </c>
      <c r="D13" s="186" t="s">
        <v>903</v>
      </c>
      <c r="E13" s="186"/>
      <c r="F13" s="186">
        <v>22</v>
      </c>
      <c r="G13" s="186"/>
      <c r="H13" s="186"/>
      <c r="I13" s="90"/>
      <c r="J13" s="90"/>
      <c r="K13" s="90"/>
      <c r="L13" s="186"/>
      <c r="M13" s="186"/>
      <c r="N13" s="122"/>
      <c r="O13" s="186" t="s">
        <v>1190</v>
      </c>
    </row>
    <row r="14" spans="1:15" ht="18.75" customHeight="1">
      <c r="A14" s="186" t="s">
        <v>53</v>
      </c>
      <c r="B14" s="186" t="s">
        <v>1290</v>
      </c>
      <c r="C14" s="186" t="s">
        <v>432</v>
      </c>
      <c r="D14" s="186" t="s">
        <v>243</v>
      </c>
      <c r="E14" s="186"/>
      <c r="F14" s="186">
        <v>45</v>
      </c>
      <c r="G14" s="186"/>
      <c r="H14" s="186"/>
      <c r="I14" s="90"/>
      <c r="J14" s="90"/>
      <c r="K14" s="90"/>
      <c r="L14" s="186"/>
      <c r="M14" s="186"/>
      <c r="N14" s="122"/>
      <c r="O14" s="186" t="s">
        <v>1190</v>
      </c>
    </row>
    <row r="15" spans="1:15" ht="18.75" customHeight="1">
      <c r="A15" s="186" t="s">
        <v>53</v>
      </c>
      <c r="B15" s="186" t="s">
        <v>1291</v>
      </c>
      <c r="C15" s="186" t="s">
        <v>247</v>
      </c>
      <c r="D15" s="186" t="s">
        <v>243</v>
      </c>
      <c r="E15" s="186"/>
      <c r="F15" s="186">
        <v>46</v>
      </c>
      <c r="G15" s="186"/>
      <c r="H15" s="186"/>
      <c r="I15" s="90"/>
      <c r="J15" s="90"/>
      <c r="K15" s="90"/>
      <c r="L15" s="186"/>
      <c r="M15" s="186"/>
      <c r="N15" s="122"/>
      <c r="O15" s="186" t="s">
        <v>1190</v>
      </c>
    </row>
    <row r="16" spans="1:15" ht="18.75" customHeight="1">
      <c r="A16" s="186" t="s">
        <v>53</v>
      </c>
      <c r="B16" s="186" t="s">
        <v>1292</v>
      </c>
      <c r="C16" s="186" t="s">
        <v>535</v>
      </c>
      <c r="D16" s="186" t="s">
        <v>243</v>
      </c>
      <c r="E16" s="186"/>
      <c r="F16" s="186">
        <v>55</v>
      </c>
      <c r="G16" s="186"/>
      <c r="H16" s="186"/>
      <c r="I16" s="90"/>
      <c r="J16" s="90"/>
      <c r="K16" s="90"/>
      <c r="L16" s="186"/>
      <c r="M16" s="122"/>
      <c r="N16" s="122"/>
      <c r="O16" s="186" t="s">
        <v>1190</v>
      </c>
    </row>
    <row r="17" spans="1:15" ht="18.75" customHeight="1">
      <c r="A17" s="186" t="s">
        <v>53</v>
      </c>
      <c r="B17" s="186" t="s">
        <v>1289</v>
      </c>
      <c r="C17" s="186" t="s">
        <v>324</v>
      </c>
      <c r="D17" s="186" t="s">
        <v>243</v>
      </c>
      <c r="E17" s="186"/>
      <c r="F17" s="186">
        <v>57</v>
      </c>
      <c r="G17" s="186"/>
      <c r="H17" s="186"/>
      <c r="I17" s="90"/>
      <c r="J17" s="90"/>
      <c r="K17" s="90"/>
      <c r="L17" s="186"/>
      <c r="M17" s="122"/>
      <c r="N17" s="122"/>
      <c r="O17" s="186" t="s">
        <v>1190</v>
      </c>
    </row>
    <row r="18" spans="1:15" ht="18.75" customHeight="1">
      <c r="A18" s="186" t="s">
        <v>53</v>
      </c>
      <c r="B18" s="186" t="s">
        <v>1293</v>
      </c>
      <c r="C18" s="186" t="s">
        <v>432</v>
      </c>
      <c r="D18" s="186" t="s">
        <v>243</v>
      </c>
      <c r="E18" s="186"/>
      <c r="F18" s="186">
        <v>58</v>
      </c>
      <c r="G18" s="186"/>
      <c r="H18" s="186"/>
      <c r="I18" s="90"/>
      <c r="J18" s="90"/>
      <c r="K18" s="90"/>
      <c r="L18" s="186"/>
      <c r="M18" s="122"/>
      <c r="N18" s="122"/>
      <c r="O18" s="186" t="s">
        <v>1190</v>
      </c>
    </row>
    <row r="19" spans="1:15" ht="18.75" customHeight="1">
      <c r="A19" s="186" t="s">
        <v>53</v>
      </c>
      <c r="B19" s="186" t="s">
        <v>1288</v>
      </c>
      <c r="C19" s="186" t="s">
        <v>535</v>
      </c>
      <c r="D19" s="186" t="s">
        <v>903</v>
      </c>
      <c r="E19" s="186"/>
      <c r="F19" s="186">
        <v>65</v>
      </c>
      <c r="G19" s="186"/>
      <c r="H19" s="186"/>
      <c r="I19" s="90"/>
      <c r="J19" s="90"/>
      <c r="K19" s="90"/>
      <c r="L19" s="186"/>
      <c r="M19" s="186"/>
      <c r="N19" s="122"/>
      <c r="O19" s="186" t="s">
        <v>1190</v>
      </c>
    </row>
    <row r="20" spans="1:15" ht="18.75" customHeight="1">
      <c r="A20" s="186" t="s">
        <v>61</v>
      </c>
      <c r="B20" s="186" t="s">
        <v>123</v>
      </c>
      <c r="C20" s="186" t="s">
        <v>897</v>
      </c>
      <c r="D20" s="186" t="s">
        <v>680</v>
      </c>
      <c r="E20" s="186"/>
      <c r="F20" s="186">
        <v>11</v>
      </c>
      <c r="G20" s="186"/>
      <c r="H20" s="186"/>
      <c r="I20" s="90"/>
      <c r="J20" s="90"/>
      <c r="K20" s="90"/>
      <c r="L20" s="186"/>
      <c r="M20" s="186"/>
      <c r="N20" s="79"/>
      <c r="O20" s="186" t="s">
        <v>1190</v>
      </c>
    </row>
    <row r="21" spans="1:15" ht="18.75" customHeight="1">
      <c r="A21" s="186" t="s">
        <v>61</v>
      </c>
      <c r="B21" s="186" t="s">
        <v>152</v>
      </c>
      <c r="C21" s="186" t="s">
        <v>247</v>
      </c>
      <c r="D21" s="186" t="s">
        <v>243</v>
      </c>
      <c r="E21" s="186"/>
      <c r="F21" s="186">
        <v>44</v>
      </c>
      <c r="G21" s="186"/>
      <c r="H21" s="186"/>
      <c r="I21" s="90"/>
      <c r="J21" s="90"/>
      <c r="K21" s="90"/>
      <c r="L21" s="186"/>
      <c r="M21" s="186"/>
      <c r="N21" s="122"/>
      <c r="O21" s="186" t="s">
        <v>2498</v>
      </c>
    </row>
    <row r="22" spans="1:15" ht="18.75" customHeight="1">
      <c r="A22" s="186" t="s">
        <v>61</v>
      </c>
      <c r="B22" s="186" t="s">
        <v>157</v>
      </c>
      <c r="C22" s="186" t="s">
        <v>324</v>
      </c>
      <c r="D22" s="186" t="s">
        <v>243</v>
      </c>
      <c r="E22" s="186"/>
      <c r="F22" s="186">
        <v>49</v>
      </c>
      <c r="G22" s="186"/>
      <c r="H22" s="186"/>
      <c r="I22" s="90"/>
      <c r="J22" s="90"/>
      <c r="K22" s="90"/>
      <c r="L22" s="186"/>
      <c r="M22" s="186"/>
      <c r="N22" s="122"/>
      <c r="O22" s="186" t="s">
        <v>2508</v>
      </c>
    </row>
    <row r="23" spans="1:15" ht="18.75" customHeight="1">
      <c r="A23" s="186" t="s">
        <v>61</v>
      </c>
      <c r="B23" s="186" t="s">
        <v>158</v>
      </c>
      <c r="C23" s="186" t="s">
        <v>264</v>
      </c>
      <c r="D23" s="186" t="s">
        <v>243</v>
      </c>
      <c r="E23" s="186"/>
      <c r="F23" s="186">
        <v>53</v>
      </c>
      <c r="G23" s="186"/>
      <c r="H23" s="186"/>
      <c r="I23" s="186"/>
      <c r="J23" s="186"/>
      <c r="K23" s="186"/>
      <c r="L23" s="186"/>
      <c r="M23" s="186"/>
      <c r="N23" s="122"/>
      <c r="O23" s="186" t="s">
        <v>2513</v>
      </c>
    </row>
  </sheetData>
  <pageMargins left="0.7" right="0.7" top="0.75" bottom="0.75" header="0" footer="0"/>
  <pageSetup orientation="landscape"/>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000-000000000000}">
  <sheetPr>
    <outlinePr summaryBelow="0" summaryRight="0"/>
  </sheetPr>
  <dimension ref="A1:X37"/>
  <sheetViews>
    <sheetView workbookViewId="0">
      <pane xSplit="6" ySplit="2" topLeftCell="G3" activePane="bottomRight" state="frozen"/>
      <selection pane="topRight" activeCell="G1" sqref="G1"/>
      <selection pane="bottomLeft" activeCell="A3" sqref="A3"/>
      <selection pane="bottomRight" activeCell="G3" sqref="G3"/>
    </sheetView>
  </sheetViews>
  <sheetFormatPr defaultColWidth="14.453125" defaultRowHeight="15" customHeight="1"/>
  <cols>
    <col min="1" max="1" width="13.26953125" hidden="1" customWidth="1"/>
    <col min="2" max="2" width="12" hidden="1" customWidth="1"/>
    <col min="3" max="3" width="17.7265625" hidden="1" customWidth="1"/>
    <col min="4" max="4" width="9.7265625" hidden="1" customWidth="1"/>
    <col min="5" max="5" width="22.453125" customWidth="1"/>
    <col min="6" max="6" width="38.26953125" customWidth="1"/>
    <col min="7" max="7" width="23.7265625" customWidth="1"/>
    <col min="8" max="8" width="11.453125" hidden="1" customWidth="1"/>
    <col min="9" max="9" width="20.1796875" hidden="1" customWidth="1"/>
    <col min="10" max="10" width="20.453125" hidden="1" customWidth="1"/>
    <col min="11" max="12" width="25.7265625" customWidth="1"/>
    <col min="13" max="13" width="14.453125" customWidth="1"/>
    <col min="14" max="16" width="30.1796875" customWidth="1"/>
    <col min="17" max="17" width="23.26953125" customWidth="1"/>
    <col min="18" max="18" width="23.1796875" customWidth="1"/>
    <col min="19" max="19" width="25.7265625" customWidth="1"/>
    <col min="20" max="20" width="57.1796875" customWidth="1"/>
    <col min="21" max="23" width="10.7265625" customWidth="1"/>
    <col min="24" max="24" width="23.453125" customWidth="1"/>
    <col min="25" max="26" width="17.26953125" customWidth="1"/>
  </cols>
  <sheetData>
    <row r="1" spans="1:24" ht="18.75" customHeight="1">
      <c r="A1" s="186"/>
      <c r="B1" s="186"/>
      <c r="C1" s="186"/>
      <c r="D1" s="186"/>
      <c r="E1" s="289"/>
      <c r="F1" s="186"/>
      <c r="G1" s="186"/>
      <c r="H1" s="186"/>
      <c r="I1" s="186"/>
      <c r="J1" s="186"/>
      <c r="K1" s="381"/>
      <c r="L1" s="207" t="s">
        <v>1038</v>
      </c>
      <c r="M1" s="207"/>
      <c r="N1" s="207"/>
      <c r="O1" s="207"/>
      <c r="P1" s="207"/>
      <c r="Q1" s="207"/>
      <c r="R1" s="186"/>
      <c r="S1" s="186"/>
      <c r="T1" s="186"/>
      <c r="U1" s="186"/>
      <c r="V1" s="186"/>
      <c r="W1" s="186"/>
      <c r="X1" s="186"/>
    </row>
    <row r="2" spans="1:24" ht="18.75" customHeight="1">
      <c r="A2" s="208" t="s">
        <v>1040</v>
      </c>
      <c r="B2" s="208" t="s">
        <v>1041</v>
      </c>
      <c r="C2" s="208" t="s">
        <v>1042</v>
      </c>
      <c r="D2" s="208" t="s">
        <v>1043</v>
      </c>
      <c r="E2" s="208" t="s">
        <v>224</v>
      </c>
      <c r="F2" s="208" t="s">
        <v>225</v>
      </c>
      <c r="G2" s="208" t="s">
        <v>226</v>
      </c>
      <c r="H2" s="208" t="s">
        <v>227</v>
      </c>
      <c r="I2" s="208" t="s">
        <v>1044</v>
      </c>
      <c r="J2" s="208" t="s">
        <v>1045</v>
      </c>
      <c r="K2" s="207" t="s">
        <v>1891</v>
      </c>
      <c r="L2" s="207" t="s">
        <v>100</v>
      </c>
      <c r="M2" s="207" t="s">
        <v>101</v>
      </c>
      <c r="N2" s="207" t="s">
        <v>102</v>
      </c>
      <c r="O2" s="207" t="s">
        <v>103</v>
      </c>
      <c r="P2" s="207" t="s">
        <v>104</v>
      </c>
      <c r="Q2" s="207" t="s">
        <v>105</v>
      </c>
      <c r="R2" s="208" t="s">
        <v>111</v>
      </c>
      <c r="S2" s="208" t="s">
        <v>112</v>
      </c>
      <c r="T2" s="208" t="s">
        <v>113</v>
      </c>
      <c r="U2" s="186"/>
      <c r="V2" s="186"/>
      <c r="W2" s="186"/>
      <c r="X2" s="186"/>
    </row>
    <row r="3" spans="1:24" ht="18.75" customHeight="1">
      <c r="A3" s="213"/>
      <c r="B3" s="213"/>
      <c r="C3" s="210"/>
      <c r="D3" s="210"/>
      <c r="E3" s="186" t="s">
        <v>59</v>
      </c>
      <c r="F3" s="186" t="s">
        <v>5345</v>
      </c>
      <c r="G3" s="186" t="s">
        <v>329</v>
      </c>
      <c r="H3" s="186" t="s">
        <v>243</v>
      </c>
      <c r="I3" s="186"/>
      <c r="J3" s="186">
        <v>24</v>
      </c>
      <c r="K3" s="186"/>
      <c r="L3" s="186"/>
      <c r="M3" s="186"/>
      <c r="N3" s="186"/>
      <c r="O3" s="186"/>
      <c r="P3" s="186"/>
      <c r="Q3" s="186"/>
      <c r="R3" s="186"/>
      <c r="S3" s="186"/>
      <c r="T3" s="186" t="s">
        <v>5346</v>
      </c>
      <c r="U3" s="186"/>
      <c r="V3" s="186"/>
      <c r="W3" s="186"/>
      <c r="X3" s="186"/>
    </row>
    <row r="4" spans="1:24" ht="18.75" customHeight="1">
      <c r="A4" s="213"/>
      <c r="B4" s="213"/>
      <c r="C4" s="210"/>
      <c r="D4" s="210"/>
      <c r="E4" s="186" t="s">
        <v>53</v>
      </c>
      <c r="F4" s="186" t="s">
        <v>1406</v>
      </c>
      <c r="G4" s="186" t="s">
        <v>535</v>
      </c>
      <c r="H4" s="186" t="s">
        <v>243</v>
      </c>
      <c r="I4" s="186"/>
      <c r="J4" s="186">
        <v>18</v>
      </c>
      <c r="K4" s="186"/>
      <c r="L4" s="186"/>
      <c r="M4" s="186"/>
      <c r="N4" s="90"/>
      <c r="O4" s="90"/>
      <c r="P4" s="90"/>
      <c r="Q4" s="186"/>
      <c r="R4" s="186"/>
      <c r="S4" s="122"/>
      <c r="T4" s="186" t="s">
        <v>1190</v>
      </c>
      <c r="U4" s="186"/>
      <c r="V4" s="186"/>
      <c r="W4" s="186"/>
      <c r="X4" s="186"/>
    </row>
    <row r="5" spans="1:24" ht="18.75" customHeight="1">
      <c r="A5" s="213"/>
      <c r="B5" s="213"/>
      <c r="C5" s="210"/>
      <c r="D5" s="210"/>
      <c r="E5" s="186" t="s">
        <v>53</v>
      </c>
      <c r="F5" s="186" t="s">
        <v>1189</v>
      </c>
      <c r="G5" s="186" t="s">
        <v>249</v>
      </c>
      <c r="H5" s="186" t="s">
        <v>243</v>
      </c>
      <c r="I5" s="186"/>
      <c r="J5" s="186">
        <v>3</v>
      </c>
      <c r="K5" s="186"/>
      <c r="L5" s="186"/>
      <c r="M5" s="186"/>
      <c r="N5" s="186"/>
      <c r="O5" s="186"/>
      <c r="P5" s="186"/>
      <c r="Q5" s="186"/>
      <c r="R5" s="186"/>
      <c r="S5" s="186"/>
      <c r="T5" s="186" t="s">
        <v>1190</v>
      </c>
      <c r="U5" s="186"/>
      <c r="V5" s="186"/>
      <c r="W5" s="186"/>
      <c r="X5" s="186"/>
    </row>
    <row r="6" spans="1:24" ht="18.75" customHeight="1">
      <c r="A6" s="213"/>
      <c r="B6" s="213"/>
      <c r="C6" s="210"/>
      <c r="D6" s="210"/>
      <c r="E6" s="186" t="s">
        <v>53</v>
      </c>
      <c r="F6" s="186" t="s">
        <v>1191</v>
      </c>
      <c r="G6" s="186" t="s">
        <v>252</v>
      </c>
      <c r="H6" s="186" t="s">
        <v>243</v>
      </c>
      <c r="I6" s="186"/>
      <c r="J6" s="186">
        <v>4</v>
      </c>
      <c r="K6" s="186"/>
      <c r="L6" s="186"/>
      <c r="M6" s="186"/>
      <c r="N6" s="186"/>
      <c r="O6" s="186"/>
      <c r="P6" s="186"/>
      <c r="Q6" s="186"/>
      <c r="R6" s="186"/>
      <c r="S6" s="186"/>
      <c r="T6" s="186" t="s">
        <v>1190</v>
      </c>
      <c r="U6" s="186"/>
      <c r="V6" s="186"/>
      <c r="W6" s="186"/>
      <c r="X6" s="186"/>
    </row>
    <row r="7" spans="1:24" ht="18.75" customHeight="1">
      <c r="A7" s="213"/>
      <c r="B7" s="213"/>
      <c r="C7" s="210"/>
      <c r="D7" s="210"/>
      <c r="E7" s="186" t="s">
        <v>53</v>
      </c>
      <c r="F7" s="186" t="s">
        <v>1192</v>
      </c>
      <c r="G7" s="186" t="s">
        <v>242</v>
      </c>
      <c r="H7" s="186" t="s">
        <v>243</v>
      </c>
      <c r="I7" s="186"/>
      <c r="J7" s="186">
        <v>5</v>
      </c>
      <c r="K7" s="186"/>
      <c r="L7" s="186"/>
      <c r="M7" s="186"/>
      <c r="N7" s="186"/>
      <c r="O7" s="186"/>
      <c r="P7" s="186"/>
      <c r="Q7" s="186"/>
      <c r="R7" s="186"/>
      <c r="S7" s="186"/>
      <c r="T7" s="186" t="s">
        <v>1190</v>
      </c>
      <c r="U7" s="186"/>
      <c r="V7" s="186"/>
      <c r="W7" s="186"/>
      <c r="X7" s="186"/>
    </row>
    <row r="8" spans="1:24" ht="18.75" customHeight="1">
      <c r="A8" s="213"/>
      <c r="B8" s="213"/>
      <c r="C8" s="210"/>
      <c r="D8" s="210"/>
      <c r="E8" s="186" t="s">
        <v>53</v>
      </c>
      <c r="F8" s="186" t="s">
        <v>1193</v>
      </c>
      <c r="G8" s="186" t="s">
        <v>247</v>
      </c>
      <c r="H8" s="186" t="s">
        <v>243</v>
      </c>
      <c r="I8" s="186"/>
      <c r="J8" s="186">
        <v>6</v>
      </c>
      <c r="K8" s="186"/>
      <c r="L8" s="186"/>
      <c r="M8" s="186"/>
      <c r="N8" s="90"/>
      <c r="O8" s="90"/>
      <c r="P8" s="90"/>
      <c r="Q8" s="186"/>
      <c r="R8" s="186"/>
      <c r="S8" s="122"/>
      <c r="T8" s="186" t="s">
        <v>1190</v>
      </c>
      <c r="U8" s="186"/>
      <c r="V8" s="186"/>
      <c r="W8" s="186"/>
      <c r="X8" s="186"/>
    </row>
    <row r="9" spans="1:24" ht="18.75" customHeight="1">
      <c r="A9" s="213"/>
      <c r="B9" s="213"/>
      <c r="C9" s="210"/>
      <c r="D9" s="210"/>
      <c r="E9" s="186" t="s">
        <v>53</v>
      </c>
      <c r="F9" s="186" t="s">
        <v>1194</v>
      </c>
      <c r="G9" s="186" t="s">
        <v>252</v>
      </c>
      <c r="H9" s="186" t="s">
        <v>243</v>
      </c>
      <c r="I9" s="186"/>
      <c r="J9" s="186">
        <v>7</v>
      </c>
      <c r="K9" s="186"/>
      <c r="L9" s="186"/>
      <c r="M9" s="186"/>
      <c r="N9" s="90"/>
      <c r="O9" s="90"/>
      <c r="P9" s="90"/>
      <c r="Q9" s="186"/>
      <c r="R9" s="186"/>
      <c r="S9" s="122"/>
      <c r="T9" s="186" t="s">
        <v>1190</v>
      </c>
      <c r="U9" s="186"/>
      <c r="V9" s="186"/>
      <c r="W9" s="186"/>
      <c r="X9" s="186"/>
    </row>
    <row r="10" spans="1:24" ht="18.75" customHeight="1">
      <c r="A10" s="213"/>
      <c r="B10" s="213"/>
      <c r="C10" s="210"/>
      <c r="D10" s="210"/>
      <c r="E10" s="186" t="s">
        <v>53</v>
      </c>
      <c r="F10" s="186" t="s">
        <v>1195</v>
      </c>
      <c r="G10" s="186" t="s">
        <v>247</v>
      </c>
      <c r="H10" s="186" t="s">
        <v>243</v>
      </c>
      <c r="I10" s="186"/>
      <c r="J10" s="186">
        <v>8</v>
      </c>
      <c r="K10" s="186"/>
      <c r="L10" s="186"/>
      <c r="M10" s="186"/>
      <c r="N10" s="90"/>
      <c r="O10" s="90"/>
      <c r="P10" s="90"/>
      <c r="Q10" s="186"/>
      <c r="R10" s="186"/>
      <c r="S10" s="122"/>
      <c r="T10" s="186" t="s">
        <v>1190</v>
      </c>
      <c r="U10" s="186"/>
      <c r="V10" s="186"/>
      <c r="W10" s="186"/>
      <c r="X10" s="186"/>
    </row>
    <row r="11" spans="1:24" ht="18.75" customHeight="1">
      <c r="A11" s="213"/>
      <c r="B11" s="213"/>
      <c r="C11" s="210"/>
      <c r="D11" s="210"/>
      <c r="E11" s="186" t="s">
        <v>53</v>
      </c>
      <c r="F11" s="186" t="s">
        <v>1956</v>
      </c>
      <c r="G11" s="186" t="s">
        <v>252</v>
      </c>
      <c r="H11" s="186" t="s">
        <v>243</v>
      </c>
      <c r="I11" s="186"/>
      <c r="J11" s="186">
        <v>9</v>
      </c>
      <c r="K11" s="186"/>
      <c r="L11" s="186"/>
      <c r="M11" s="186"/>
      <c r="N11" s="90"/>
      <c r="O11" s="90"/>
      <c r="P11" s="90"/>
      <c r="Q11" s="186"/>
      <c r="R11" s="186"/>
      <c r="S11" s="122"/>
      <c r="T11" s="186" t="s">
        <v>1190</v>
      </c>
      <c r="U11" s="186"/>
      <c r="V11" s="186"/>
      <c r="W11" s="186"/>
      <c r="X11" s="186"/>
    </row>
    <row r="12" spans="1:24" ht="18.75" customHeight="1">
      <c r="A12" s="213"/>
      <c r="B12" s="213"/>
      <c r="C12" s="210"/>
      <c r="D12" s="210"/>
      <c r="E12" s="186" t="s">
        <v>53</v>
      </c>
      <c r="F12" s="186" t="s">
        <v>1957</v>
      </c>
      <c r="G12" s="186" t="s">
        <v>252</v>
      </c>
      <c r="H12" s="186" t="s">
        <v>243</v>
      </c>
      <c r="I12" s="186"/>
      <c r="J12" s="186">
        <v>10</v>
      </c>
      <c r="K12" s="186"/>
      <c r="L12" s="186"/>
      <c r="M12" s="186"/>
      <c r="N12" s="186"/>
      <c r="O12" s="186"/>
      <c r="P12" s="186"/>
      <c r="Q12" s="186"/>
      <c r="R12" s="186"/>
      <c r="S12" s="122"/>
      <c r="T12" s="186" t="s">
        <v>1190</v>
      </c>
      <c r="U12" s="186"/>
      <c r="V12" s="186"/>
      <c r="W12" s="186"/>
      <c r="X12" s="186"/>
    </row>
    <row r="13" spans="1:24" ht="18.75" customHeight="1">
      <c r="A13" s="213"/>
      <c r="B13" s="213"/>
      <c r="C13" s="210"/>
      <c r="D13" s="210"/>
      <c r="E13" s="186" t="s">
        <v>53</v>
      </c>
      <c r="F13" s="186" t="s">
        <v>1196</v>
      </c>
      <c r="G13" s="186" t="s">
        <v>535</v>
      </c>
      <c r="H13" s="186" t="s">
        <v>903</v>
      </c>
      <c r="I13" s="186"/>
      <c r="J13" s="186">
        <v>11</v>
      </c>
      <c r="K13" s="186"/>
      <c r="L13" s="186"/>
      <c r="M13" s="186"/>
      <c r="N13" s="186"/>
      <c r="O13" s="186"/>
      <c r="P13" s="186"/>
      <c r="Q13" s="186"/>
      <c r="R13" s="186"/>
      <c r="S13" s="186"/>
      <c r="T13" s="186" t="s">
        <v>1190</v>
      </c>
      <c r="U13" s="186"/>
      <c r="V13" s="186"/>
      <c r="W13" s="186"/>
      <c r="X13" s="186"/>
    </row>
    <row r="14" spans="1:24" ht="18.75" customHeight="1">
      <c r="A14" s="213"/>
      <c r="B14" s="213"/>
      <c r="C14" s="210"/>
      <c r="D14" s="210"/>
      <c r="E14" s="186" t="s">
        <v>59</v>
      </c>
      <c r="F14" s="186" t="s">
        <v>5347</v>
      </c>
      <c r="G14" s="186" t="s">
        <v>324</v>
      </c>
      <c r="H14" s="186" t="s">
        <v>243</v>
      </c>
      <c r="I14" s="186"/>
      <c r="J14" s="186">
        <v>12</v>
      </c>
      <c r="K14" s="186"/>
      <c r="L14" s="186"/>
      <c r="M14" s="186"/>
      <c r="N14" s="90"/>
      <c r="O14" s="90"/>
      <c r="P14" s="90"/>
      <c r="Q14" s="186"/>
      <c r="R14" s="186"/>
      <c r="S14" s="122"/>
      <c r="T14" s="186" t="s">
        <v>5348</v>
      </c>
      <c r="U14" s="186"/>
      <c r="V14" s="186"/>
      <c r="W14" s="186"/>
      <c r="X14" s="186"/>
    </row>
    <row r="15" spans="1:24" ht="18.75" customHeight="1">
      <c r="A15" s="213"/>
      <c r="B15" s="213"/>
      <c r="C15" s="210"/>
      <c r="D15" s="210"/>
      <c r="E15" s="186" t="s">
        <v>59</v>
      </c>
      <c r="F15" s="186" t="s">
        <v>5168</v>
      </c>
      <c r="G15" s="186" t="s">
        <v>324</v>
      </c>
      <c r="H15" s="186" t="s">
        <v>243</v>
      </c>
      <c r="I15" s="186"/>
      <c r="J15" s="186">
        <v>13</v>
      </c>
      <c r="K15" s="186"/>
      <c r="L15" s="186"/>
      <c r="M15" s="186"/>
      <c r="N15" s="186"/>
      <c r="O15" s="186"/>
      <c r="P15" s="186"/>
      <c r="Q15" s="186"/>
      <c r="R15" s="186"/>
      <c r="S15" s="186"/>
      <c r="T15" s="441" t="s">
        <v>5349</v>
      </c>
      <c r="U15" s="186"/>
      <c r="V15" s="186"/>
      <c r="W15" s="186"/>
      <c r="X15" s="186"/>
    </row>
    <row r="16" spans="1:24" ht="18.75" customHeight="1">
      <c r="A16" s="213"/>
      <c r="B16" s="213"/>
      <c r="C16" s="210"/>
      <c r="D16" s="210"/>
      <c r="E16" s="186" t="s">
        <v>59</v>
      </c>
      <c r="F16" s="186" t="s">
        <v>5350</v>
      </c>
      <c r="G16" s="186" t="s">
        <v>329</v>
      </c>
      <c r="H16" s="186" t="s">
        <v>243</v>
      </c>
      <c r="I16" s="186"/>
      <c r="J16" s="186">
        <v>14</v>
      </c>
      <c r="K16" s="186"/>
      <c r="L16" s="186"/>
      <c r="M16" s="186"/>
      <c r="N16" s="186"/>
      <c r="O16" s="186"/>
      <c r="P16" s="186"/>
      <c r="Q16" s="186"/>
      <c r="R16" s="186"/>
      <c r="S16" s="186"/>
      <c r="T16" s="186" t="s">
        <v>5351</v>
      </c>
      <c r="U16" s="186"/>
      <c r="V16" s="186"/>
      <c r="W16" s="186"/>
      <c r="X16" s="186"/>
    </row>
    <row r="17" spans="1:24" ht="18.75" customHeight="1">
      <c r="A17" s="213"/>
      <c r="B17" s="213"/>
      <c r="C17" s="210"/>
      <c r="D17" s="210"/>
      <c r="E17" s="186" t="s">
        <v>53</v>
      </c>
      <c r="F17" s="186" t="s">
        <v>2572</v>
      </c>
      <c r="G17" s="186" t="s">
        <v>5352</v>
      </c>
      <c r="H17" s="186" t="s">
        <v>243</v>
      </c>
      <c r="I17" s="186"/>
      <c r="J17" s="186">
        <v>15</v>
      </c>
      <c r="K17" s="186"/>
      <c r="L17" s="186"/>
      <c r="M17" s="186"/>
      <c r="N17" s="186"/>
      <c r="O17" s="186"/>
      <c r="P17" s="186"/>
      <c r="Q17" s="186"/>
      <c r="R17" s="186"/>
      <c r="S17" s="186"/>
      <c r="T17" s="186" t="s">
        <v>5353</v>
      </c>
      <c r="U17" s="186"/>
      <c r="V17" s="186"/>
      <c r="W17" s="186"/>
      <c r="X17" s="186"/>
    </row>
    <row r="18" spans="1:24" ht="18.75" customHeight="1">
      <c r="A18" s="213"/>
      <c r="B18" s="213"/>
      <c r="C18" s="210"/>
      <c r="D18" s="210"/>
      <c r="E18" s="186" t="s">
        <v>224</v>
      </c>
      <c r="F18" s="186" t="s">
        <v>5354</v>
      </c>
      <c r="G18" s="186" t="s">
        <v>242</v>
      </c>
      <c r="H18" s="186" t="s">
        <v>243</v>
      </c>
      <c r="I18" s="186"/>
      <c r="J18" s="186">
        <v>32</v>
      </c>
      <c r="K18" s="186"/>
      <c r="L18" s="186"/>
      <c r="M18" s="186"/>
      <c r="N18" s="90"/>
      <c r="O18" s="90"/>
      <c r="P18" s="90"/>
      <c r="Q18" s="186"/>
      <c r="R18" s="186"/>
      <c r="S18" s="122"/>
      <c r="T18" s="186" t="s">
        <v>5355</v>
      </c>
      <c r="U18" s="186"/>
      <c r="V18" s="186"/>
      <c r="W18" s="186"/>
      <c r="X18" s="186"/>
    </row>
    <row r="19" spans="1:24" ht="18.75" customHeight="1">
      <c r="A19" s="213"/>
      <c r="B19" s="213"/>
      <c r="C19" s="210"/>
      <c r="D19" s="210"/>
      <c r="E19" s="186" t="s">
        <v>53</v>
      </c>
      <c r="F19" s="186" t="s">
        <v>124</v>
      </c>
      <c r="G19" s="186" t="s">
        <v>535</v>
      </c>
      <c r="H19" s="186" t="s">
        <v>903</v>
      </c>
      <c r="I19" s="186"/>
      <c r="J19" s="186">
        <v>1</v>
      </c>
      <c r="K19" s="186"/>
      <c r="L19" s="186"/>
      <c r="M19" s="186"/>
      <c r="N19" s="90"/>
      <c r="O19" s="90"/>
      <c r="P19" s="90"/>
      <c r="Q19" s="186"/>
      <c r="R19" s="186"/>
      <c r="S19" s="122"/>
      <c r="T19" s="186" t="s">
        <v>1190</v>
      </c>
      <c r="U19" s="186"/>
      <c r="V19" s="186"/>
      <c r="W19" s="186"/>
      <c r="X19" s="186"/>
    </row>
    <row r="20" spans="1:24" ht="18.75" customHeight="1">
      <c r="A20" s="213"/>
      <c r="B20" s="213"/>
      <c r="C20" s="210"/>
      <c r="D20" s="210"/>
      <c r="E20" s="186" t="s">
        <v>55</v>
      </c>
      <c r="F20" s="186" t="s">
        <v>5356</v>
      </c>
      <c r="G20" s="186" t="s">
        <v>535</v>
      </c>
      <c r="H20" s="186" t="s">
        <v>243</v>
      </c>
      <c r="I20" s="186"/>
      <c r="J20" s="186">
        <v>36</v>
      </c>
      <c r="K20" s="186"/>
      <c r="L20" s="186"/>
      <c r="M20" s="186"/>
      <c r="N20" s="90"/>
      <c r="O20" s="90"/>
      <c r="P20" s="90"/>
      <c r="Q20" s="186"/>
      <c r="R20" s="186"/>
      <c r="S20" s="122"/>
      <c r="T20" s="186" t="s">
        <v>5357</v>
      </c>
      <c r="U20" s="186"/>
      <c r="V20" s="186"/>
      <c r="W20" s="186"/>
      <c r="X20" s="186"/>
    </row>
    <row r="21" spans="1:24" ht="18.75" customHeight="1">
      <c r="A21" s="213"/>
      <c r="B21" s="213"/>
      <c r="C21" s="210"/>
      <c r="D21" s="210"/>
      <c r="E21" s="186" t="s">
        <v>59</v>
      </c>
      <c r="F21" s="186" t="s">
        <v>498</v>
      </c>
      <c r="G21" s="186" t="s">
        <v>242</v>
      </c>
      <c r="H21" s="186" t="s">
        <v>243</v>
      </c>
      <c r="I21" s="186"/>
      <c r="J21" s="186">
        <v>20</v>
      </c>
      <c r="K21" s="186"/>
      <c r="L21" s="186"/>
      <c r="M21" s="186"/>
      <c r="N21" s="90"/>
      <c r="O21" s="90"/>
      <c r="P21" s="90"/>
      <c r="Q21" s="186"/>
      <c r="R21" s="186"/>
      <c r="S21" s="122"/>
      <c r="T21" s="90" t="s">
        <v>5358</v>
      </c>
      <c r="U21" s="186"/>
      <c r="V21" s="186"/>
      <c r="W21" s="186"/>
      <c r="X21" s="186"/>
    </row>
    <row r="22" spans="1:24" ht="18.75" customHeight="1">
      <c r="A22" s="213"/>
      <c r="B22" s="213"/>
      <c r="C22" s="210"/>
      <c r="D22" s="210"/>
      <c r="E22" s="186" t="s">
        <v>59</v>
      </c>
      <c r="F22" s="186" t="s">
        <v>5359</v>
      </c>
      <c r="G22" s="186" t="s">
        <v>5360</v>
      </c>
      <c r="H22" s="186" t="s">
        <v>243</v>
      </c>
      <c r="I22" s="186"/>
      <c r="J22" s="186">
        <v>27</v>
      </c>
      <c r="K22" s="186"/>
      <c r="L22" s="186"/>
      <c r="M22" s="186"/>
      <c r="N22" s="186"/>
      <c r="O22" s="186"/>
      <c r="P22" s="186"/>
      <c r="Q22" s="186"/>
      <c r="R22" s="186"/>
      <c r="S22" s="122"/>
      <c r="T22" s="186" t="s">
        <v>5361</v>
      </c>
      <c r="U22" s="186"/>
      <c r="V22" s="186"/>
      <c r="W22" s="186"/>
      <c r="X22" s="186"/>
    </row>
    <row r="23" spans="1:24" ht="18.75" customHeight="1">
      <c r="A23" s="213"/>
      <c r="B23" s="213"/>
      <c r="C23" s="210"/>
      <c r="D23" s="210"/>
      <c r="E23" s="186" t="s">
        <v>59</v>
      </c>
      <c r="F23" s="186" t="s">
        <v>5362</v>
      </c>
      <c r="G23" s="186" t="s">
        <v>5360</v>
      </c>
      <c r="H23" s="186" t="s">
        <v>243</v>
      </c>
      <c r="I23" s="186"/>
      <c r="J23" s="186">
        <v>26</v>
      </c>
      <c r="K23" s="186"/>
      <c r="L23" s="186"/>
      <c r="M23" s="186"/>
      <c r="N23" s="186"/>
      <c r="O23" s="186"/>
      <c r="P23" s="186"/>
      <c r="Q23" s="186"/>
      <c r="R23" s="186"/>
      <c r="S23" s="186"/>
      <c r="T23" s="186" t="s">
        <v>5363</v>
      </c>
      <c r="U23" s="186"/>
      <c r="V23" s="186"/>
      <c r="W23" s="186"/>
      <c r="X23" s="186"/>
    </row>
    <row r="24" spans="1:24" ht="18.75" customHeight="1">
      <c r="A24" s="213"/>
      <c r="B24" s="213"/>
      <c r="C24" s="210"/>
      <c r="D24" s="210"/>
      <c r="E24" s="186" t="s">
        <v>59</v>
      </c>
      <c r="F24" s="186" t="s">
        <v>5364</v>
      </c>
      <c r="G24" s="186" t="s">
        <v>5360</v>
      </c>
      <c r="H24" s="186" t="s">
        <v>243</v>
      </c>
      <c r="I24" s="186"/>
      <c r="J24" s="186">
        <v>25</v>
      </c>
      <c r="K24" s="186"/>
      <c r="L24" s="186"/>
      <c r="M24" s="186"/>
      <c r="N24" s="90"/>
      <c r="O24" s="90"/>
      <c r="P24" s="90"/>
      <c r="Q24" s="186"/>
      <c r="R24" s="186"/>
      <c r="S24" s="122"/>
      <c r="T24" s="186" t="s">
        <v>5365</v>
      </c>
      <c r="U24" s="186"/>
      <c r="V24" s="186"/>
      <c r="W24" s="186"/>
      <c r="X24" s="186"/>
    </row>
    <row r="25" spans="1:24" ht="18.75" customHeight="1">
      <c r="A25" s="213"/>
      <c r="B25" s="213"/>
      <c r="C25" s="210"/>
      <c r="D25" s="210"/>
      <c r="E25" s="186" t="s">
        <v>224</v>
      </c>
      <c r="F25" s="186" t="s">
        <v>5366</v>
      </c>
      <c r="G25" s="186" t="s">
        <v>264</v>
      </c>
      <c r="H25" s="186" t="s">
        <v>903</v>
      </c>
      <c r="I25" s="186"/>
      <c r="J25" s="186">
        <v>2</v>
      </c>
      <c r="K25" s="186"/>
      <c r="L25" s="186"/>
      <c r="M25" s="186"/>
      <c r="N25" s="186"/>
      <c r="O25" s="186"/>
      <c r="P25" s="186"/>
      <c r="Q25" s="186"/>
      <c r="R25" s="186"/>
      <c r="S25" s="186"/>
      <c r="T25" s="186" t="s">
        <v>5367</v>
      </c>
      <c r="U25" s="186"/>
      <c r="V25" s="186"/>
      <c r="W25" s="186"/>
      <c r="X25" s="186"/>
    </row>
    <row r="26" spans="1:24" ht="18.75" customHeight="1">
      <c r="A26" s="213"/>
      <c r="B26" s="213"/>
      <c r="C26" s="210"/>
      <c r="D26" s="210"/>
      <c r="E26" s="186" t="s">
        <v>59</v>
      </c>
      <c r="F26" s="186" t="s">
        <v>5368</v>
      </c>
      <c r="G26" s="186" t="s">
        <v>264</v>
      </c>
      <c r="H26" s="186" t="s">
        <v>903</v>
      </c>
      <c r="I26" s="186"/>
      <c r="J26" s="186">
        <v>16</v>
      </c>
      <c r="K26" s="186"/>
      <c r="L26" s="186"/>
      <c r="M26" s="186"/>
      <c r="N26" s="90"/>
      <c r="O26" s="90"/>
      <c r="P26" s="90"/>
      <c r="Q26" s="186"/>
      <c r="R26" s="186"/>
      <c r="S26" s="122"/>
      <c r="T26" s="90" t="s">
        <v>5369</v>
      </c>
      <c r="U26" s="186"/>
      <c r="V26" s="186"/>
      <c r="W26" s="186"/>
      <c r="X26" s="186"/>
    </row>
    <row r="27" spans="1:24" ht="18.75" customHeight="1">
      <c r="A27" s="213"/>
      <c r="B27" s="213"/>
      <c r="C27" s="210"/>
      <c r="D27" s="210"/>
      <c r="E27" s="186" t="s">
        <v>224</v>
      </c>
      <c r="F27" s="186" t="s">
        <v>920</v>
      </c>
      <c r="G27" s="186" t="s">
        <v>242</v>
      </c>
      <c r="H27" s="186" t="s">
        <v>243</v>
      </c>
      <c r="I27" s="186"/>
      <c r="J27" s="186">
        <v>17</v>
      </c>
      <c r="K27" s="186"/>
      <c r="L27" s="186"/>
      <c r="M27" s="186"/>
      <c r="N27" s="186"/>
      <c r="O27" s="186"/>
      <c r="P27" s="186"/>
      <c r="Q27" s="186"/>
      <c r="R27" s="186"/>
      <c r="S27" s="186"/>
      <c r="T27" s="186" t="s">
        <v>5370</v>
      </c>
      <c r="U27" s="186"/>
      <c r="V27" s="186"/>
      <c r="W27" s="186"/>
      <c r="X27" s="186"/>
    </row>
    <row r="28" spans="1:24" ht="18.75" customHeight="1">
      <c r="A28" s="213"/>
      <c r="B28" s="213"/>
      <c r="C28" s="210"/>
      <c r="D28" s="210"/>
      <c r="E28" s="186" t="s">
        <v>224</v>
      </c>
      <c r="F28" s="186" t="s">
        <v>5371</v>
      </c>
      <c r="G28" s="186" t="s">
        <v>255</v>
      </c>
      <c r="H28" s="186" t="s">
        <v>243</v>
      </c>
      <c r="I28" s="186"/>
      <c r="J28" s="186">
        <v>21</v>
      </c>
      <c r="K28" s="186"/>
      <c r="L28" s="186"/>
      <c r="M28" s="186"/>
      <c r="N28" s="90"/>
      <c r="O28" s="90"/>
      <c r="P28" s="90"/>
      <c r="Q28" s="186"/>
      <c r="R28" s="186"/>
      <c r="S28" s="122"/>
      <c r="T28" s="90" t="s">
        <v>5372</v>
      </c>
      <c r="U28" s="186"/>
      <c r="V28" s="186"/>
      <c r="W28" s="186"/>
      <c r="X28" s="186"/>
    </row>
    <row r="29" spans="1:24" ht="18.75" customHeight="1">
      <c r="A29" s="213"/>
      <c r="B29" s="213"/>
      <c r="C29" s="210"/>
      <c r="D29" s="210"/>
      <c r="E29" s="186" t="s">
        <v>59</v>
      </c>
      <c r="F29" s="186" t="s">
        <v>5373</v>
      </c>
      <c r="G29" s="186" t="s">
        <v>247</v>
      </c>
      <c r="H29" s="186" t="s">
        <v>243</v>
      </c>
      <c r="I29" s="186"/>
      <c r="J29" s="186">
        <v>31</v>
      </c>
      <c r="K29" s="186"/>
      <c r="L29" s="186"/>
      <c r="M29" s="186"/>
      <c r="N29" s="186"/>
      <c r="O29" s="186"/>
      <c r="P29" s="186"/>
      <c r="Q29" s="186"/>
      <c r="R29" s="186"/>
      <c r="S29" s="186"/>
      <c r="T29" s="186" t="s">
        <v>5374</v>
      </c>
      <c r="U29" s="186"/>
      <c r="V29" s="186"/>
      <c r="W29" s="186"/>
      <c r="X29" s="186"/>
    </row>
    <row r="30" spans="1:24" ht="18.75" customHeight="1">
      <c r="A30" s="213"/>
      <c r="B30" s="213"/>
      <c r="C30" s="210"/>
      <c r="D30" s="210"/>
      <c r="E30" s="186" t="s">
        <v>59</v>
      </c>
      <c r="F30" s="186" t="s">
        <v>5375</v>
      </c>
      <c r="G30" s="186" t="s">
        <v>329</v>
      </c>
      <c r="H30" s="186" t="s">
        <v>243</v>
      </c>
      <c r="I30" s="186"/>
      <c r="J30" s="186">
        <v>28</v>
      </c>
      <c r="K30" s="186"/>
      <c r="L30" s="186"/>
      <c r="M30" s="186"/>
      <c r="N30" s="186"/>
      <c r="O30" s="186"/>
      <c r="P30" s="186"/>
      <c r="Q30" s="186"/>
      <c r="R30" s="186"/>
      <c r="S30" s="122"/>
      <c r="T30" s="186" t="s">
        <v>5376</v>
      </c>
      <c r="U30" s="186"/>
      <c r="V30" s="186"/>
      <c r="W30" s="186"/>
      <c r="X30" s="186"/>
    </row>
    <row r="31" spans="1:24" ht="18.75" customHeight="1">
      <c r="A31" s="213"/>
      <c r="B31" s="213"/>
      <c r="C31" s="210"/>
      <c r="D31" s="210"/>
      <c r="E31" s="186" t="s">
        <v>59</v>
      </c>
      <c r="F31" s="186" t="s">
        <v>5377</v>
      </c>
      <c r="G31" s="186" t="s">
        <v>329</v>
      </c>
      <c r="H31" s="186" t="s">
        <v>243</v>
      </c>
      <c r="I31" s="186"/>
      <c r="J31" s="186">
        <v>30</v>
      </c>
      <c r="K31" s="186"/>
      <c r="L31" s="186"/>
      <c r="M31" s="186"/>
      <c r="N31" s="186"/>
      <c r="O31" s="186"/>
      <c r="P31" s="186"/>
      <c r="Q31" s="186"/>
      <c r="R31" s="186"/>
      <c r="S31" s="186"/>
      <c r="T31" s="186" t="s">
        <v>5378</v>
      </c>
      <c r="U31" s="186"/>
      <c r="V31" s="186"/>
      <c r="W31" s="186"/>
      <c r="X31" s="186"/>
    </row>
    <row r="32" spans="1:24" ht="18.75" customHeight="1">
      <c r="A32" s="213"/>
      <c r="B32" s="213"/>
      <c r="C32" s="210"/>
      <c r="D32" s="210"/>
      <c r="E32" s="186" t="s">
        <v>59</v>
      </c>
      <c r="F32" s="186" t="s">
        <v>5379</v>
      </c>
      <c r="G32" s="186" t="s">
        <v>329</v>
      </c>
      <c r="H32" s="186" t="s">
        <v>243</v>
      </c>
      <c r="I32" s="186"/>
      <c r="J32" s="186">
        <v>29</v>
      </c>
      <c r="K32" s="186"/>
      <c r="L32" s="186"/>
      <c r="M32" s="242"/>
      <c r="N32" s="90"/>
      <c r="O32" s="90"/>
      <c r="P32" s="90"/>
      <c r="Q32" s="186"/>
      <c r="R32" s="186"/>
      <c r="S32" s="122"/>
      <c r="T32" s="186" t="s">
        <v>5380</v>
      </c>
      <c r="U32" s="186"/>
      <c r="V32" s="186"/>
      <c r="W32" s="186"/>
      <c r="X32" s="186"/>
    </row>
    <row r="33" spans="1:24" ht="18.75" customHeight="1">
      <c r="A33" s="213"/>
      <c r="B33" s="213"/>
      <c r="C33" s="210"/>
      <c r="D33" s="210"/>
      <c r="E33" s="186" t="s">
        <v>59</v>
      </c>
      <c r="F33" s="186" t="s">
        <v>1878</v>
      </c>
      <c r="G33" s="186" t="s">
        <v>535</v>
      </c>
      <c r="H33" s="186" t="s">
        <v>243</v>
      </c>
      <c r="I33" s="186"/>
      <c r="J33" s="186">
        <v>35</v>
      </c>
      <c r="K33" s="186"/>
      <c r="L33" s="186"/>
      <c r="M33" s="186"/>
      <c r="N33" s="90"/>
      <c r="O33" s="90"/>
      <c r="P33" s="90"/>
      <c r="Q33" s="186"/>
      <c r="R33" s="186"/>
      <c r="S33" s="122"/>
      <c r="T33" s="186" t="s">
        <v>5381</v>
      </c>
      <c r="U33" s="186"/>
      <c r="V33" s="186"/>
      <c r="W33" s="186"/>
      <c r="X33" s="186"/>
    </row>
    <row r="34" spans="1:24" ht="18.75" customHeight="1">
      <c r="A34" s="213"/>
      <c r="B34" s="213"/>
      <c r="C34" s="210"/>
      <c r="D34" s="210"/>
      <c r="E34" s="186" t="s">
        <v>55</v>
      </c>
      <c r="F34" s="186" t="s">
        <v>5382</v>
      </c>
      <c r="G34" s="186" t="s">
        <v>247</v>
      </c>
      <c r="H34" s="186" t="s">
        <v>243</v>
      </c>
      <c r="I34" s="186"/>
      <c r="J34" s="186">
        <v>22</v>
      </c>
      <c r="K34" s="186"/>
      <c r="L34" s="186"/>
      <c r="M34" s="186"/>
      <c r="N34" s="90"/>
      <c r="O34" s="90"/>
      <c r="P34" s="90"/>
      <c r="Q34" s="186"/>
      <c r="R34" s="186"/>
      <c r="S34" s="122"/>
      <c r="T34" s="90" t="s">
        <v>5383</v>
      </c>
      <c r="U34" s="186"/>
      <c r="V34" s="186"/>
      <c r="W34" s="186"/>
      <c r="X34" s="186"/>
    </row>
    <row r="35" spans="1:24" ht="18.75" customHeight="1">
      <c r="A35" s="213"/>
      <c r="B35" s="213"/>
      <c r="C35" s="210"/>
      <c r="D35" s="210"/>
      <c r="E35" s="186" t="s">
        <v>55</v>
      </c>
      <c r="F35" s="186" t="s">
        <v>5384</v>
      </c>
      <c r="G35" s="186" t="s">
        <v>5385</v>
      </c>
      <c r="H35" s="186" t="s">
        <v>243</v>
      </c>
      <c r="I35" s="186"/>
      <c r="J35" s="186">
        <v>23</v>
      </c>
      <c r="K35" s="186"/>
      <c r="L35" s="186"/>
      <c r="M35" s="186"/>
      <c r="N35" s="186"/>
      <c r="O35" s="186"/>
      <c r="P35" s="186"/>
      <c r="Q35" s="186"/>
      <c r="R35" s="186"/>
      <c r="S35" s="186"/>
      <c r="T35" s="90" t="s">
        <v>5386</v>
      </c>
      <c r="U35" s="186"/>
      <c r="V35" s="186"/>
      <c r="W35" s="186"/>
      <c r="X35" s="186"/>
    </row>
    <row r="36" spans="1:24" ht="18.75" customHeight="1">
      <c r="A36" s="213"/>
      <c r="B36" s="213"/>
      <c r="C36" s="210"/>
      <c r="D36" s="210"/>
      <c r="E36" s="186" t="s">
        <v>59</v>
      </c>
      <c r="F36" s="186" t="s">
        <v>4663</v>
      </c>
      <c r="G36" s="186" t="s">
        <v>5115</v>
      </c>
      <c r="H36" s="186" t="s">
        <v>243</v>
      </c>
      <c r="I36" s="186"/>
      <c r="J36" s="186">
        <v>34</v>
      </c>
      <c r="K36" s="186"/>
      <c r="L36" s="186"/>
      <c r="M36" s="186"/>
      <c r="N36" s="186"/>
      <c r="O36" s="186"/>
      <c r="P36" s="186"/>
      <c r="Q36" s="186"/>
      <c r="R36" s="186"/>
      <c r="S36" s="186"/>
      <c r="T36" s="186" t="s">
        <v>5387</v>
      </c>
      <c r="U36" s="186"/>
      <c r="V36" s="186"/>
      <c r="W36" s="186"/>
      <c r="X36" s="186"/>
    </row>
    <row r="37" spans="1:24" ht="18.75" customHeight="1">
      <c r="A37" s="213"/>
      <c r="B37" s="213"/>
      <c r="C37" s="210"/>
      <c r="D37" s="210"/>
      <c r="E37" s="186" t="s">
        <v>63</v>
      </c>
      <c r="F37" s="186" t="s">
        <v>123</v>
      </c>
      <c r="G37" s="186" t="s">
        <v>535</v>
      </c>
      <c r="H37" s="186" t="s">
        <v>243</v>
      </c>
      <c r="I37" s="186"/>
      <c r="J37" s="186">
        <v>19</v>
      </c>
      <c r="K37" s="186"/>
      <c r="L37" s="186"/>
      <c r="M37" s="242"/>
      <c r="N37" s="90"/>
      <c r="O37" s="90"/>
      <c r="P37" s="90"/>
      <c r="Q37" s="186"/>
      <c r="R37" s="186"/>
      <c r="S37" s="122"/>
      <c r="T37" s="186" t="s">
        <v>1190</v>
      </c>
      <c r="U37" s="186"/>
      <c r="V37" s="186"/>
      <c r="W37" s="186"/>
      <c r="X37" s="186"/>
    </row>
  </sheetData>
  <autoFilter ref="A2:Z37" xr:uid="{00000000-0009-0000-0000-000040000000}"/>
  <pageMargins left="0.7" right="0.7" top="0.75" bottom="0.75" header="0" footer="0"/>
  <pageSetup orientation="landscape"/>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100-000000000000}">
  <sheetPr>
    <outlinePr summaryBelow="0" summaryRight="0"/>
  </sheetPr>
  <dimension ref="A1:X34"/>
  <sheetViews>
    <sheetView workbookViewId="0">
      <pane xSplit="6" ySplit="2" topLeftCell="G3" activePane="bottomRight" state="frozen"/>
      <selection pane="topRight" activeCell="G1" sqref="G1"/>
      <selection pane="bottomLeft" activeCell="A3" sqref="A3"/>
      <selection pane="bottomRight" activeCell="G3" sqref="G3"/>
    </sheetView>
  </sheetViews>
  <sheetFormatPr defaultColWidth="14.453125" defaultRowHeight="15" customHeight="1"/>
  <cols>
    <col min="1" max="1" width="13.26953125" hidden="1" customWidth="1"/>
    <col min="2" max="2" width="12" hidden="1" customWidth="1"/>
    <col min="3" max="3" width="17.7265625" hidden="1" customWidth="1"/>
    <col min="4" max="4" width="9.7265625" hidden="1" customWidth="1"/>
    <col min="5" max="5" width="22.453125" customWidth="1"/>
    <col min="6" max="6" width="38.26953125" customWidth="1"/>
    <col min="7" max="7" width="23.7265625" customWidth="1"/>
    <col min="8" max="8" width="11.453125" hidden="1" customWidth="1"/>
    <col min="9" max="9" width="20.1796875" hidden="1" customWidth="1"/>
    <col min="10" max="10" width="20.453125" hidden="1" customWidth="1"/>
    <col min="11" max="12" width="25.7265625" customWidth="1"/>
    <col min="13" max="13" width="14.453125" customWidth="1"/>
    <col min="14" max="16" width="30.1796875" customWidth="1"/>
    <col min="17" max="17" width="23.26953125" customWidth="1"/>
    <col min="18" max="18" width="23.1796875" customWidth="1"/>
    <col min="19" max="19" width="25.7265625" customWidth="1"/>
    <col min="20" max="20" width="57.1796875" customWidth="1"/>
    <col min="21" max="23" width="10.7265625" customWidth="1"/>
    <col min="24" max="24" width="23.453125" customWidth="1"/>
    <col min="25" max="26" width="17.26953125" customWidth="1"/>
  </cols>
  <sheetData>
    <row r="1" spans="1:24" ht="18.75" customHeight="1">
      <c r="A1" s="186"/>
      <c r="B1" s="186"/>
      <c r="C1" s="186"/>
      <c r="D1" s="186"/>
      <c r="E1" s="289"/>
      <c r="F1" s="186"/>
      <c r="G1" s="186"/>
      <c r="H1" s="186"/>
      <c r="I1" s="186"/>
      <c r="J1" s="186"/>
      <c r="K1" s="381"/>
      <c r="L1" s="207" t="s">
        <v>1038</v>
      </c>
      <c r="M1" s="207"/>
      <c r="N1" s="207"/>
      <c r="O1" s="207"/>
      <c r="P1" s="207"/>
      <c r="Q1" s="207"/>
      <c r="R1" s="186"/>
      <c r="S1" s="186"/>
      <c r="T1" s="186"/>
      <c r="U1" s="186"/>
      <c r="V1" s="186"/>
      <c r="W1" s="186"/>
      <c r="X1" s="186"/>
    </row>
    <row r="2" spans="1:24" ht="18.75" customHeight="1">
      <c r="A2" s="208" t="s">
        <v>1040</v>
      </c>
      <c r="B2" s="208" t="s">
        <v>1041</v>
      </c>
      <c r="C2" s="208" t="s">
        <v>1042</v>
      </c>
      <c r="D2" s="208" t="s">
        <v>1043</v>
      </c>
      <c r="E2" s="208" t="s">
        <v>224</v>
      </c>
      <c r="F2" s="208" t="s">
        <v>225</v>
      </c>
      <c r="G2" s="208" t="s">
        <v>226</v>
      </c>
      <c r="H2" s="208" t="s">
        <v>227</v>
      </c>
      <c r="I2" s="208" t="s">
        <v>1044</v>
      </c>
      <c r="J2" s="208" t="s">
        <v>1045</v>
      </c>
      <c r="K2" s="207" t="s">
        <v>1891</v>
      </c>
      <c r="L2" s="207" t="s">
        <v>100</v>
      </c>
      <c r="M2" s="207" t="s">
        <v>101</v>
      </c>
      <c r="N2" s="207" t="s">
        <v>102</v>
      </c>
      <c r="O2" s="207" t="s">
        <v>103</v>
      </c>
      <c r="P2" s="207" t="s">
        <v>104</v>
      </c>
      <c r="Q2" s="207" t="s">
        <v>105</v>
      </c>
      <c r="R2" s="208" t="s">
        <v>111</v>
      </c>
      <c r="S2" s="208" t="s">
        <v>112</v>
      </c>
      <c r="T2" s="208" t="s">
        <v>113</v>
      </c>
      <c r="U2" s="186"/>
      <c r="V2" s="186"/>
      <c r="W2" s="186"/>
      <c r="X2" s="186"/>
    </row>
    <row r="3" spans="1:24" ht="18.75" customHeight="1">
      <c r="A3" s="213"/>
      <c r="B3" s="213"/>
      <c r="C3" s="210"/>
      <c r="D3" s="210"/>
      <c r="E3" s="186" t="s">
        <v>53</v>
      </c>
      <c r="F3" s="186" t="s">
        <v>124</v>
      </c>
      <c r="G3" s="186" t="s">
        <v>535</v>
      </c>
      <c r="H3" s="186" t="s">
        <v>903</v>
      </c>
      <c r="I3" s="186"/>
      <c r="J3" s="186">
        <v>1</v>
      </c>
      <c r="K3" s="186"/>
      <c r="L3" s="186"/>
      <c r="M3" s="186"/>
      <c r="N3" s="90"/>
      <c r="O3" s="90"/>
      <c r="P3" s="90"/>
      <c r="Q3" s="186"/>
      <c r="R3" s="186"/>
      <c r="S3" s="122"/>
      <c r="T3" s="186" t="s">
        <v>1190</v>
      </c>
      <c r="U3" s="186"/>
      <c r="V3" s="186"/>
      <c r="W3" s="186"/>
      <c r="X3" s="186"/>
    </row>
    <row r="4" spans="1:24" ht="18.75" customHeight="1">
      <c r="A4" s="213"/>
      <c r="B4" s="213"/>
      <c r="C4" s="210"/>
      <c r="D4" s="210"/>
      <c r="E4" s="186" t="s">
        <v>53</v>
      </c>
      <c r="F4" s="186" t="s">
        <v>1189</v>
      </c>
      <c r="G4" s="186" t="s">
        <v>249</v>
      </c>
      <c r="H4" s="186" t="s">
        <v>243</v>
      </c>
      <c r="I4" s="186"/>
      <c r="J4" s="186">
        <v>3</v>
      </c>
      <c r="K4" s="186"/>
      <c r="L4" s="186"/>
      <c r="M4" s="186"/>
      <c r="N4" s="186"/>
      <c r="O4" s="186"/>
      <c r="P4" s="186"/>
      <c r="Q4" s="186"/>
      <c r="R4" s="186"/>
      <c r="S4" s="186"/>
      <c r="T4" s="186" t="s">
        <v>1190</v>
      </c>
      <c r="U4" s="186"/>
      <c r="V4" s="186"/>
      <c r="W4" s="186"/>
      <c r="X4" s="186"/>
    </row>
    <row r="5" spans="1:24" ht="18.75" customHeight="1">
      <c r="A5" s="213"/>
      <c r="B5" s="213"/>
      <c r="C5" s="210"/>
      <c r="D5" s="210"/>
      <c r="E5" s="186" t="s">
        <v>53</v>
      </c>
      <c r="F5" s="186" t="s">
        <v>1191</v>
      </c>
      <c r="G5" s="186" t="s">
        <v>252</v>
      </c>
      <c r="H5" s="186" t="s">
        <v>243</v>
      </c>
      <c r="I5" s="186"/>
      <c r="J5" s="186">
        <v>4</v>
      </c>
      <c r="K5" s="186"/>
      <c r="L5" s="186"/>
      <c r="M5" s="186"/>
      <c r="N5" s="186"/>
      <c r="O5" s="186"/>
      <c r="P5" s="186"/>
      <c r="Q5" s="186"/>
      <c r="R5" s="186"/>
      <c r="S5" s="186"/>
      <c r="T5" s="186" t="s">
        <v>1190</v>
      </c>
      <c r="U5" s="186"/>
      <c r="V5" s="186"/>
      <c r="W5" s="186"/>
      <c r="X5" s="186"/>
    </row>
    <row r="6" spans="1:24" ht="18.75" customHeight="1">
      <c r="A6" s="213"/>
      <c r="B6" s="213"/>
      <c r="C6" s="210"/>
      <c r="D6" s="210"/>
      <c r="E6" s="186" t="s">
        <v>53</v>
      </c>
      <c r="F6" s="186" t="s">
        <v>1192</v>
      </c>
      <c r="G6" s="186" t="s">
        <v>242</v>
      </c>
      <c r="H6" s="186" t="s">
        <v>243</v>
      </c>
      <c r="I6" s="186"/>
      <c r="J6" s="186">
        <v>5</v>
      </c>
      <c r="K6" s="186"/>
      <c r="L6" s="186"/>
      <c r="M6" s="186"/>
      <c r="N6" s="186"/>
      <c r="O6" s="186"/>
      <c r="P6" s="186"/>
      <c r="Q6" s="186"/>
      <c r="R6" s="186"/>
      <c r="S6" s="186"/>
      <c r="T6" s="186" t="s">
        <v>1190</v>
      </c>
      <c r="U6" s="186"/>
      <c r="V6" s="186"/>
      <c r="W6" s="186"/>
      <c r="X6" s="186"/>
    </row>
    <row r="7" spans="1:24" ht="18.75" customHeight="1">
      <c r="A7" s="213"/>
      <c r="B7" s="213"/>
      <c r="C7" s="210"/>
      <c r="D7" s="210"/>
      <c r="E7" s="186" t="s">
        <v>53</v>
      </c>
      <c r="F7" s="186" t="s">
        <v>1193</v>
      </c>
      <c r="G7" s="186" t="s">
        <v>247</v>
      </c>
      <c r="H7" s="186" t="s">
        <v>243</v>
      </c>
      <c r="I7" s="186"/>
      <c r="J7" s="186">
        <v>6</v>
      </c>
      <c r="K7" s="186"/>
      <c r="L7" s="186"/>
      <c r="M7" s="186"/>
      <c r="N7" s="90"/>
      <c r="O7" s="90"/>
      <c r="P7" s="90"/>
      <c r="Q7" s="186"/>
      <c r="R7" s="186"/>
      <c r="S7" s="122"/>
      <c r="T7" s="186" t="s">
        <v>1190</v>
      </c>
      <c r="U7" s="186"/>
      <c r="V7" s="186"/>
      <c r="W7" s="186"/>
      <c r="X7" s="186"/>
    </row>
    <row r="8" spans="1:24" ht="18.75" customHeight="1">
      <c r="A8" s="213"/>
      <c r="B8" s="213"/>
      <c r="C8" s="210"/>
      <c r="D8" s="210"/>
      <c r="E8" s="186" t="s">
        <v>53</v>
      </c>
      <c r="F8" s="186" t="s">
        <v>1194</v>
      </c>
      <c r="G8" s="186" t="s">
        <v>252</v>
      </c>
      <c r="H8" s="186" t="s">
        <v>243</v>
      </c>
      <c r="I8" s="186"/>
      <c r="J8" s="186">
        <v>7</v>
      </c>
      <c r="K8" s="186"/>
      <c r="L8" s="186"/>
      <c r="M8" s="186"/>
      <c r="N8" s="90"/>
      <c r="O8" s="90"/>
      <c r="P8" s="90"/>
      <c r="Q8" s="186"/>
      <c r="R8" s="186"/>
      <c r="S8" s="122"/>
      <c r="T8" s="186" t="s">
        <v>1190</v>
      </c>
      <c r="U8" s="186"/>
      <c r="V8" s="186"/>
      <c r="W8" s="186"/>
      <c r="X8" s="186"/>
    </row>
    <row r="9" spans="1:24" ht="18.75" customHeight="1">
      <c r="A9" s="213"/>
      <c r="B9" s="213"/>
      <c r="C9" s="210"/>
      <c r="D9" s="210"/>
      <c r="E9" s="186" t="s">
        <v>53</v>
      </c>
      <c r="F9" s="186" t="s">
        <v>1195</v>
      </c>
      <c r="G9" s="186" t="s">
        <v>247</v>
      </c>
      <c r="H9" s="186" t="s">
        <v>243</v>
      </c>
      <c r="I9" s="186"/>
      <c r="J9" s="186">
        <v>8</v>
      </c>
      <c r="K9" s="186"/>
      <c r="L9" s="186"/>
      <c r="M9" s="186"/>
      <c r="N9" s="90"/>
      <c r="O9" s="90"/>
      <c r="P9" s="90"/>
      <c r="Q9" s="186"/>
      <c r="R9" s="186"/>
      <c r="S9" s="122"/>
      <c r="T9" s="186" t="s">
        <v>1190</v>
      </c>
      <c r="U9" s="186"/>
      <c r="V9" s="186"/>
      <c r="W9" s="186"/>
      <c r="X9" s="186"/>
    </row>
    <row r="10" spans="1:24" ht="18.75" customHeight="1">
      <c r="A10" s="213"/>
      <c r="B10" s="213"/>
      <c r="C10" s="210"/>
      <c r="D10" s="210"/>
      <c r="E10" s="186" t="s">
        <v>53</v>
      </c>
      <c r="F10" s="186" t="s">
        <v>1956</v>
      </c>
      <c r="G10" s="186" t="s">
        <v>252</v>
      </c>
      <c r="H10" s="186" t="s">
        <v>243</v>
      </c>
      <c r="I10" s="186"/>
      <c r="J10" s="186">
        <v>9</v>
      </c>
      <c r="K10" s="186"/>
      <c r="L10" s="186"/>
      <c r="M10" s="186"/>
      <c r="N10" s="90"/>
      <c r="O10" s="90"/>
      <c r="P10" s="90"/>
      <c r="Q10" s="186"/>
      <c r="R10" s="186"/>
      <c r="S10" s="122"/>
      <c r="T10" s="186" t="s">
        <v>1190</v>
      </c>
      <c r="U10" s="186"/>
      <c r="V10" s="186"/>
      <c r="W10" s="186"/>
      <c r="X10" s="186"/>
    </row>
    <row r="11" spans="1:24" ht="18.75" customHeight="1">
      <c r="A11" s="213"/>
      <c r="B11" s="213"/>
      <c r="C11" s="210"/>
      <c r="D11" s="210"/>
      <c r="E11" s="186" t="s">
        <v>53</v>
      </c>
      <c r="F11" s="186" t="s">
        <v>1957</v>
      </c>
      <c r="G11" s="186" t="s">
        <v>252</v>
      </c>
      <c r="H11" s="186" t="s">
        <v>243</v>
      </c>
      <c r="I11" s="186"/>
      <c r="J11" s="186">
        <v>10</v>
      </c>
      <c r="K11" s="186"/>
      <c r="L11" s="186"/>
      <c r="M11" s="186"/>
      <c r="N11" s="186"/>
      <c r="O11" s="186"/>
      <c r="P11" s="186"/>
      <c r="Q11" s="186"/>
      <c r="R11" s="186"/>
      <c r="S11" s="122"/>
      <c r="T11" s="186" t="s">
        <v>1190</v>
      </c>
      <c r="U11" s="186"/>
      <c r="V11" s="186"/>
      <c r="W11" s="186"/>
      <c r="X11" s="186"/>
    </row>
    <row r="12" spans="1:24" ht="18.75" customHeight="1">
      <c r="A12" s="213"/>
      <c r="B12" s="213"/>
      <c r="C12" s="210"/>
      <c r="D12" s="210"/>
      <c r="E12" s="186" t="s">
        <v>53</v>
      </c>
      <c r="F12" s="186" t="s">
        <v>1196</v>
      </c>
      <c r="G12" s="186" t="s">
        <v>535</v>
      </c>
      <c r="H12" s="186" t="s">
        <v>903</v>
      </c>
      <c r="I12" s="186"/>
      <c r="J12" s="186">
        <v>11</v>
      </c>
      <c r="K12" s="186"/>
      <c r="L12" s="186"/>
      <c r="M12" s="186"/>
      <c r="N12" s="186"/>
      <c r="O12" s="186"/>
      <c r="P12" s="186"/>
      <c r="Q12" s="186"/>
      <c r="R12" s="186"/>
      <c r="S12" s="186"/>
      <c r="T12" s="186" t="s">
        <v>1190</v>
      </c>
      <c r="U12" s="186"/>
      <c r="V12" s="186"/>
      <c r="W12" s="186"/>
      <c r="X12" s="186"/>
    </row>
    <row r="13" spans="1:24" ht="18.75" customHeight="1">
      <c r="A13" s="213"/>
      <c r="B13" s="213"/>
      <c r="C13" s="210"/>
      <c r="D13" s="210"/>
      <c r="E13" s="186" t="s">
        <v>55</v>
      </c>
      <c r="F13" s="186" t="s">
        <v>5168</v>
      </c>
      <c r="G13" s="186" t="s">
        <v>324</v>
      </c>
      <c r="H13" s="186" t="s">
        <v>243</v>
      </c>
      <c r="I13" s="186"/>
      <c r="J13" s="186">
        <v>12</v>
      </c>
      <c r="K13" s="186"/>
      <c r="L13" s="186"/>
      <c r="M13" s="186"/>
      <c r="N13" s="90"/>
      <c r="O13" s="90"/>
      <c r="P13" s="90"/>
      <c r="Q13" s="186"/>
      <c r="R13" s="186"/>
      <c r="S13" s="122"/>
      <c r="T13" s="441" t="s">
        <v>5388</v>
      </c>
      <c r="U13" s="186"/>
      <c r="V13" s="186"/>
      <c r="W13" s="186"/>
      <c r="X13" s="186"/>
    </row>
    <row r="14" spans="1:24" ht="18.75" customHeight="1">
      <c r="A14" s="213"/>
      <c r="B14" s="213"/>
      <c r="C14" s="210"/>
      <c r="D14" s="210"/>
      <c r="E14" s="186" t="s">
        <v>53</v>
      </c>
      <c r="F14" s="186" t="s">
        <v>5389</v>
      </c>
      <c r="G14" s="186" t="s">
        <v>264</v>
      </c>
      <c r="H14" s="186" t="s">
        <v>903</v>
      </c>
      <c r="I14" s="186"/>
      <c r="J14" s="186">
        <v>13</v>
      </c>
      <c r="K14" s="186"/>
      <c r="L14" s="186"/>
      <c r="M14" s="186"/>
      <c r="N14" s="186"/>
      <c r="O14" s="186"/>
      <c r="P14" s="186"/>
      <c r="Q14" s="186"/>
      <c r="R14" s="186"/>
      <c r="S14" s="186"/>
      <c r="T14" s="441" t="s">
        <v>5390</v>
      </c>
      <c r="U14" s="186"/>
      <c r="V14" s="186"/>
      <c r="W14" s="186"/>
      <c r="X14" s="186"/>
    </row>
    <row r="15" spans="1:24" ht="18.75" customHeight="1">
      <c r="A15" s="213"/>
      <c r="B15" s="213"/>
      <c r="C15" s="210"/>
      <c r="D15" s="210"/>
      <c r="E15" s="186" t="s">
        <v>224</v>
      </c>
      <c r="F15" s="186" t="s">
        <v>5391</v>
      </c>
      <c r="G15" s="186" t="s">
        <v>264</v>
      </c>
      <c r="H15" s="186" t="s">
        <v>903</v>
      </c>
      <c r="I15" s="186"/>
      <c r="J15" s="186">
        <v>14</v>
      </c>
      <c r="K15" s="186"/>
      <c r="L15" s="186"/>
      <c r="M15" s="186"/>
      <c r="N15" s="186"/>
      <c r="O15" s="186"/>
      <c r="P15" s="186"/>
      <c r="Q15" s="186"/>
      <c r="R15" s="186"/>
      <c r="S15" s="186"/>
      <c r="T15" s="186" t="s">
        <v>5392</v>
      </c>
      <c r="U15" s="186"/>
      <c r="V15" s="186"/>
      <c r="W15" s="186"/>
      <c r="X15" s="186"/>
    </row>
    <row r="16" spans="1:24" ht="18.75" customHeight="1">
      <c r="A16" s="213"/>
      <c r="B16" s="213"/>
      <c r="C16" s="210"/>
      <c r="D16" s="210"/>
      <c r="E16" s="186" t="s">
        <v>224</v>
      </c>
      <c r="F16" s="186" t="s">
        <v>5104</v>
      </c>
      <c r="G16" s="186" t="s">
        <v>329</v>
      </c>
      <c r="H16" s="186" t="s">
        <v>243</v>
      </c>
      <c r="I16" s="186"/>
      <c r="J16" s="186">
        <v>15</v>
      </c>
      <c r="K16" s="186"/>
      <c r="L16" s="186"/>
      <c r="M16" s="186"/>
      <c r="N16" s="186"/>
      <c r="O16" s="186"/>
      <c r="P16" s="186"/>
      <c r="Q16" s="186"/>
      <c r="R16" s="186"/>
      <c r="S16" s="186"/>
      <c r="T16" s="186" t="s">
        <v>5393</v>
      </c>
      <c r="U16" s="186"/>
      <c r="V16" s="186"/>
      <c r="W16" s="186"/>
      <c r="X16" s="186"/>
    </row>
    <row r="17" spans="1:24" ht="18.75" customHeight="1">
      <c r="A17" s="213"/>
      <c r="B17" s="213"/>
      <c r="C17" s="210"/>
      <c r="D17" s="210"/>
      <c r="E17" s="186" t="s">
        <v>224</v>
      </c>
      <c r="F17" s="186" t="s">
        <v>5106</v>
      </c>
      <c r="G17" s="186" t="s">
        <v>329</v>
      </c>
      <c r="H17" s="186" t="s">
        <v>243</v>
      </c>
      <c r="I17" s="186"/>
      <c r="J17" s="186">
        <v>16</v>
      </c>
      <c r="K17" s="186"/>
      <c r="L17" s="186"/>
      <c r="M17" s="186"/>
      <c r="N17" s="90"/>
      <c r="O17" s="90"/>
      <c r="P17" s="90"/>
      <c r="Q17" s="186"/>
      <c r="R17" s="186"/>
      <c r="S17" s="122"/>
      <c r="T17" s="186" t="s">
        <v>5394</v>
      </c>
      <c r="U17" s="186"/>
      <c r="V17" s="186"/>
      <c r="W17" s="186"/>
      <c r="X17" s="186"/>
    </row>
    <row r="18" spans="1:24" ht="18.75" customHeight="1">
      <c r="A18" s="234"/>
      <c r="B18" s="234"/>
      <c r="C18" s="234"/>
      <c r="D18" s="234"/>
      <c r="E18" s="234" t="s">
        <v>55</v>
      </c>
      <c r="F18" s="234" t="s">
        <v>920</v>
      </c>
      <c r="G18" s="234" t="s">
        <v>242</v>
      </c>
      <c r="H18" s="234" t="s">
        <v>243</v>
      </c>
      <c r="I18" s="234"/>
      <c r="J18" s="234">
        <v>17</v>
      </c>
      <c r="K18" s="234"/>
      <c r="L18" s="234"/>
      <c r="M18" s="234"/>
      <c r="N18" s="234"/>
      <c r="O18" s="234"/>
      <c r="P18" s="234"/>
      <c r="Q18" s="234"/>
      <c r="R18" s="234"/>
      <c r="S18" s="234"/>
      <c r="T18" s="234" t="s">
        <v>5395</v>
      </c>
      <c r="U18" s="234"/>
      <c r="V18" s="234"/>
      <c r="W18" s="234"/>
      <c r="X18" s="234"/>
    </row>
    <row r="19" spans="1:24" ht="18.75" customHeight="1">
      <c r="A19" s="213"/>
      <c r="B19" s="213"/>
      <c r="C19" s="210"/>
      <c r="D19" s="210"/>
      <c r="E19" s="186" t="s">
        <v>224</v>
      </c>
      <c r="F19" s="186" t="s">
        <v>5108</v>
      </c>
      <c r="G19" s="186" t="s">
        <v>329</v>
      </c>
      <c r="H19" s="186" t="s">
        <v>243</v>
      </c>
      <c r="I19" s="186"/>
      <c r="J19" s="186">
        <v>18</v>
      </c>
      <c r="K19" s="186"/>
      <c r="L19" s="186"/>
      <c r="M19" s="186"/>
      <c r="N19" s="90"/>
      <c r="O19" s="90"/>
      <c r="P19" s="90"/>
      <c r="Q19" s="186"/>
      <c r="R19" s="186"/>
      <c r="S19" s="122"/>
      <c r="T19" s="186" t="s">
        <v>5396</v>
      </c>
      <c r="U19" s="186"/>
      <c r="V19" s="186"/>
      <c r="W19" s="186"/>
      <c r="X19" s="186"/>
    </row>
    <row r="20" spans="1:24" ht="18.75" customHeight="1">
      <c r="A20" s="213"/>
      <c r="B20" s="213"/>
      <c r="C20" s="210"/>
      <c r="D20" s="210"/>
      <c r="E20" s="186" t="s">
        <v>63</v>
      </c>
      <c r="F20" s="186" t="s">
        <v>1406</v>
      </c>
      <c r="G20" s="186" t="s">
        <v>535</v>
      </c>
      <c r="H20" s="186" t="s">
        <v>243</v>
      </c>
      <c r="I20" s="186"/>
      <c r="J20" s="186">
        <v>19</v>
      </c>
      <c r="K20" s="186"/>
      <c r="L20" s="186"/>
      <c r="M20" s="242"/>
      <c r="N20" s="90"/>
      <c r="O20" s="90"/>
      <c r="P20" s="90"/>
      <c r="Q20" s="186"/>
      <c r="R20" s="186"/>
      <c r="S20" s="122"/>
      <c r="T20" s="186" t="s">
        <v>1190</v>
      </c>
      <c r="U20" s="186"/>
      <c r="V20" s="186"/>
      <c r="W20" s="186"/>
      <c r="X20" s="186"/>
    </row>
    <row r="21" spans="1:24" ht="18.75" customHeight="1">
      <c r="A21" s="213"/>
      <c r="B21" s="213"/>
      <c r="C21" s="210"/>
      <c r="D21" s="210"/>
      <c r="E21" s="186" t="s">
        <v>224</v>
      </c>
      <c r="F21" s="186" t="s">
        <v>1868</v>
      </c>
      <c r="G21" s="186" t="s">
        <v>535</v>
      </c>
      <c r="H21" s="186" t="s">
        <v>903</v>
      </c>
      <c r="I21" s="186"/>
      <c r="J21" s="186">
        <v>20</v>
      </c>
      <c r="K21" s="186"/>
      <c r="L21" s="186"/>
      <c r="M21" s="186"/>
      <c r="N21" s="90"/>
      <c r="O21" s="90"/>
      <c r="P21" s="90"/>
      <c r="Q21" s="186"/>
      <c r="R21" s="186"/>
      <c r="S21" s="122"/>
      <c r="T21" s="90" t="s">
        <v>5397</v>
      </c>
      <c r="U21" s="186"/>
      <c r="V21" s="186"/>
      <c r="W21" s="186"/>
      <c r="X21" s="186"/>
    </row>
    <row r="22" spans="1:24" ht="18.75" customHeight="1">
      <c r="A22" s="213"/>
      <c r="B22" s="213"/>
      <c r="C22" s="210"/>
      <c r="D22" s="210"/>
      <c r="E22" s="186" t="s">
        <v>55</v>
      </c>
      <c r="F22" s="186" t="s">
        <v>2352</v>
      </c>
      <c r="G22" s="186" t="s">
        <v>535</v>
      </c>
      <c r="H22" s="186" t="s">
        <v>243</v>
      </c>
      <c r="I22" s="186"/>
      <c r="J22" s="186">
        <v>21</v>
      </c>
      <c r="K22" s="186"/>
      <c r="L22" s="186"/>
      <c r="M22" s="186"/>
      <c r="N22" s="90"/>
      <c r="O22" s="90"/>
      <c r="P22" s="90"/>
      <c r="Q22" s="186"/>
      <c r="R22" s="186"/>
      <c r="S22" s="122"/>
      <c r="T22" s="90" t="s">
        <v>5398</v>
      </c>
      <c r="U22" s="186"/>
      <c r="V22" s="186"/>
      <c r="W22" s="186"/>
      <c r="X22" s="186"/>
    </row>
    <row r="23" spans="1:24" ht="18.75" customHeight="1">
      <c r="A23" s="234"/>
      <c r="B23" s="234"/>
      <c r="C23" s="234"/>
      <c r="D23" s="234"/>
      <c r="E23" s="234" t="s">
        <v>55</v>
      </c>
      <c r="F23" s="234" t="s">
        <v>5399</v>
      </c>
      <c r="G23" s="234" t="s">
        <v>535</v>
      </c>
      <c r="H23" s="234" t="s">
        <v>243</v>
      </c>
      <c r="I23" s="234"/>
      <c r="J23" s="234">
        <v>22</v>
      </c>
      <c r="K23" s="234"/>
      <c r="L23" s="234"/>
      <c r="M23" s="234"/>
      <c r="N23" s="419"/>
      <c r="O23" s="419"/>
      <c r="P23" s="419"/>
      <c r="Q23" s="234"/>
      <c r="R23" s="234"/>
      <c r="S23" s="420"/>
      <c r="T23" s="419"/>
      <c r="U23" s="234"/>
      <c r="V23" s="234"/>
      <c r="W23" s="234"/>
      <c r="X23" s="234"/>
    </row>
    <row r="24" spans="1:24" ht="18.75" customHeight="1">
      <c r="A24" s="213"/>
      <c r="B24" s="213"/>
      <c r="C24" s="210"/>
      <c r="D24" s="210"/>
      <c r="E24" s="186" t="s">
        <v>63</v>
      </c>
      <c r="F24" s="186" t="s">
        <v>123</v>
      </c>
      <c r="G24" s="186" t="s">
        <v>535</v>
      </c>
      <c r="H24" s="186" t="s">
        <v>243</v>
      </c>
      <c r="I24" s="186"/>
      <c r="J24" s="186">
        <v>23</v>
      </c>
      <c r="K24" s="186"/>
      <c r="L24" s="186"/>
      <c r="M24" s="186"/>
      <c r="N24" s="186"/>
      <c r="O24" s="186"/>
      <c r="P24" s="186"/>
      <c r="Q24" s="186"/>
      <c r="R24" s="186"/>
      <c r="S24" s="186"/>
      <c r="T24" s="186" t="s">
        <v>1190</v>
      </c>
      <c r="U24" s="186"/>
      <c r="V24" s="186"/>
      <c r="W24" s="186"/>
      <c r="X24" s="186"/>
    </row>
    <row r="25" spans="1:24" ht="18.75" customHeight="1">
      <c r="A25" s="213"/>
      <c r="B25" s="213"/>
      <c r="C25" s="210"/>
      <c r="D25" s="210"/>
      <c r="E25" s="186" t="s">
        <v>63</v>
      </c>
      <c r="F25" s="186" t="s">
        <v>5400</v>
      </c>
      <c r="G25" s="186" t="s">
        <v>535</v>
      </c>
      <c r="H25" s="186" t="s">
        <v>243</v>
      </c>
      <c r="I25" s="186"/>
      <c r="J25" s="186">
        <v>24</v>
      </c>
      <c r="K25" s="186"/>
      <c r="L25" s="186"/>
      <c r="M25" s="186"/>
      <c r="N25" s="186"/>
      <c r="O25" s="186"/>
      <c r="P25" s="186"/>
      <c r="Q25" s="186"/>
      <c r="R25" s="186"/>
      <c r="S25" s="186"/>
      <c r="T25" s="186" t="s">
        <v>5346</v>
      </c>
      <c r="U25" s="186"/>
      <c r="V25" s="186"/>
      <c r="W25" s="186"/>
      <c r="X25" s="186"/>
    </row>
    <row r="26" spans="1:24" ht="18.75" customHeight="1">
      <c r="A26" s="213"/>
      <c r="B26" s="213"/>
      <c r="C26" s="210"/>
      <c r="D26" s="210"/>
      <c r="E26" s="186" t="s">
        <v>63</v>
      </c>
      <c r="F26" s="186" t="s">
        <v>5401</v>
      </c>
      <c r="G26" s="186" t="s">
        <v>535</v>
      </c>
      <c r="H26" s="186" t="s">
        <v>243</v>
      </c>
      <c r="I26" s="186"/>
      <c r="J26" s="186">
        <v>25</v>
      </c>
      <c r="K26" s="186"/>
      <c r="L26" s="186"/>
      <c r="M26" s="186"/>
      <c r="N26" s="90"/>
      <c r="O26" s="90"/>
      <c r="P26" s="90"/>
      <c r="Q26" s="186"/>
      <c r="R26" s="186"/>
      <c r="S26" s="122"/>
      <c r="T26" s="186" t="s">
        <v>5365</v>
      </c>
      <c r="U26" s="186"/>
      <c r="V26" s="186"/>
      <c r="W26" s="186"/>
      <c r="X26" s="186"/>
    </row>
    <row r="27" spans="1:24" ht="18.75" customHeight="1">
      <c r="A27" s="213"/>
      <c r="B27" s="213"/>
      <c r="C27" s="210"/>
      <c r="D27" s="210"/>
      <c r="E27" s="186" t="s">
        <v>55</v>
      </c>
      <c r="F27" s="186" t="s">
        <v>5402</v>
      </c>
      <c r="G27" s="186" t="s">
        <v>242</v>
      </c>
      <c r="H27" s="186" t="s">
        <v>243</v>
      </c>
      <c r="I27" s="186"/>
      <c r="J27" s="186">
        <v>26</v>
      </c>
      <c r="K27" s="186"/>
      <c r="L27" s="186"/>
      <c r="M27" s="186"/>
      <c r="N27" s="186"/>
      <c r="O27" s="186"/>
      <c r="P27" s="186"/>
      <c r="Q27" s="186"/>
      <c r="R27" s="186"/>
      <c r="S27" s="186"/>
      <c r="T27" s="186" t="s">
        <v>5403</v>
      </c>
      <c r="U27" s="186"/>
      <c r="V27" s="186"/>
      <c r="W27" s="186"/>
      <c r="X27" s="186"/>
    </row>
    <row r="28" spans="1:24" ht="18.75" customHeight="1">
      <c r="A28" s="213"/>
      <c r="B28" s="213"/>
      <c r="C28" s="210"/>
      <c r="D28" s="210"/>
      <c r="E28" s="186" t="s">
        <v>55</v>
      </c>
      <c r="F28" s="186" t="s">
        <v>5404</v>
      </c>
      <c r="G28" s="186" t="s">
        <v>264</v>
      </c>
      <c r="H28" s="186" t="s">
        <v>243</v>
      </c>
      <c r="I28" s="186"/>
      <c r="J28" s="186">
        <v>27</v>
      </c>
      <c r="K28" s="186"/>
      <c r="L28" s="186"/>
      <c r="M28" s="186"/>
      <c r="N28" s="186"/>
      <c r="O28" s="186"/>
      <c r="P28" s="186"/>
      <c r="Q28" s="186"/>
      <c r="R28" s="186"/>
      <c r="S28" s="122"/>
      <c r="T28" s="186" t="s">
        <v>5405</v>
      </c>
      <c r="U28" s="186"/>
      <c r="V28" s="186"/>
      <c r="W28" s="186"/>
      <c r="X28" s="186"/>
    </row>
    <row r="29" spans="1:24" ht="18.75" customHeight="1">
      <c r="A29" s="213"/>
      <c r="B29" s="213"/>
      <c r="C29" s="210"/>
      <c r="D29" s="210"/>
      <c r="E29" s="186" t="s">
        <v>224</v>
      </c>
      <c r="F29" s="186" t="s">
        <v>5406</v>
      </c>
      <c r="G29" s="186" t="s">
        <v>252</v>
      </c>
      <c r="H29" s="186" t="s">
        <v>243</v>
      </c>
      <c r="I29" s="186"/>
      <c r="J29" s="186">
        <v>28</v>
      </c>
      <c r="K29" s="186"/>
      <c r="L29" s="186"/>
      <c r="M29" s="186"/>
      <c r="N29" s="186"/>
      <c r="O29" s="186"/>
      <c r="P29" s="186"/>
      <c r="Q29" s="186"/>
      <c r="R29" s="186"/>
      <c r="S29" s="122"/>
      <c r="T29" s="186" t="s">
        <v>5407</v>
      </c>
      <c r="U29" s="186"/>
      <c r="V29" s="186"/>
      <c r="W29" s="186"/>
      <c r="X29" s="186"/>
    </row>
    <row r="30" spans="1:24" ht="18.75" customHeight="1">
      <c r="A30" s="213"/>
      <c r="B30" s="213"/>
      <c r="C30" s="210"/>
      <c r="D30" s="210"/>
      <c r="E30" s="186" t="s">
        <v>55</v>
      </c>
      <c r="F30" s="186" t="s">
        <v>5408</v>
      </c>
      <c r="G30" s="186" t="s">
        <v>535</v>
      </c>
      <c r="H30" s="186" t="s">
        <v>243</v>
      </c>
      <c r="I30" s="186"/>
      <c r="J30" s="186">
        <v>29</v>
      </c>
      <c r="K30" s="186"/>
      <c r="L30" s="186"/>
      <c r="M30" s="242"/>
      <c r="N30" s="90"/>
      <c r="O30" s="90"/>
      <c r="P30" s="90"/>
      <c r="Q30" s="186"/>
      <c r="R30" s="186"/>
      <c r="S30" s="122"/>
      <c r="T30" s="186" t="s">
        <v>5409</v>
      </c>
      <c r="U30" s="186"/>
      <c r="V30" s="186"/>
      <c r="W30" s="186"/>
      <c r="X30" s="186"/>
    </row>
    <row r="31" spans="1:24" ht="18.75" customHeight="1">
      <c r="A31" s="213"/>
      <c r="B31" s="213"/>
      <c r="C31" s="210"/>
      <c r="D31" s="210"/>
      <c r="E31" s="186" t="s">
        <v>55</v>
      </c>
      <c r="F31" s="186" t="s">
        <v>5410</v>
      </c>
      <c r="G31" s="186" t="s">
        <v>247</v>
      </c>
      <c r="H31" s="186" t="s">
        <v>243</v>
      </c>
      <c r="I31" s="186"/>
      <c r="J31" s="186">
        <v>30</v>
      </c>
      <c r="K31" s="186"/>
      <c r="L31" s="186"/>
      <c r="M31" s="186"/>
      <c r="N31" s="186"/>
      <c r="O31" s="186"/>
      <c r="P31" s="186"/>
      <c r="Q31" s="186"/>
      <c r="R31" s="186"/>
      <c r="S31" s="186"/>
      <c r="T31" s="186" t="s">
        <v>5411</v>
      </c>
      <c r="U31" s="186"/>
      <c r="V31" s="186"/>
      <c r="W31" s="186"/>
      <c r="X31" s="186"/>
    </row>
    <row r="32" spans="1:24" ht="18.75" customHeight="1">
      <c r="A32" s="213"/>
      <c r="B32" s="213"/>
      <c r="C32" s="210"/>
      <c r="D32" s="210"/>
      <c r="E32" s="186" t="s">
        <v>55</v>
      </c>
      <c r="F32" s="186" t="s">
        <v>5412</v>
      </c>
      <c r="G32" s="186" t="s">
        <v>247</v>
      </c>
      <c r="H32" s="186" t="s">
        <v>243</v>
      </c>
      <c r="I32" s="186"/>
      <c r="J32" s="186">
        <v>31</v>
      </c>
      <c r="K32" s="186"/>
      <c r="L32" s="186"/>
      <c r="M32" s="186"/>
      <c r="N32" s="186"/>
      <c r="O32" s="186"/>
      <c r="P32" s="186"/>
      <c r="Q32" s="186"/>
      <c r="R32" s="186"/>
      <c r="S32" s="186"/>
      <c r="T32" s="186" t="s">
        <v>5413</v>
      </c>
      <c r="U32" s="186"/>
      <c r="V32" s="186"/>
      <c r="W32" s="186"/>
      <c r="X32" s="186"/>
    </row>
    <row r="33" spans="1:24" ht="18.75" customHeight="1">
      <c r="A33" s="213"/>
      <c r="B33" s="213"/>
      <c r="C33" s="210"/>
      <c r="D33" s="210"/>
      <c r="E33" s="186" t="s">
        <v>55</v>
      </c>
      <c r="F33" s="186" t="s">
        <v>5414</v>
      </c>
      <c r="G33" s="186" t="s">
        <v>247</v>
      </c>
      <c r="H33" s="186" t="s">
        <v>243</v>
      </c>
      <c r="I33" s="186"/>
      <c r="J33" s="186">
        <v>32</v>
      </c>
      <c r="K33" s="186"/>
      <c r="L33" s="186"/>
      <c r="M33" s="186"/>
      <c r="N33" s="90"/>
      <c r="O33" s="90"/>
      <c r="P33" s="90"/>
      <c r="Q33" s="186"/>
      <c r="R33" s="186"/>
      <c r="S33" s="122"/>
      <c r="T33" s="186" t="s">
        <v>5415</v>
      </c>
      <c r="U33" s="186"/>
      <c r="V33" s="186"/>
      <c r="W33" s="186"/>
      <c r="X33" s="186"/>
    </row>
    <row r="34" spans="1:24" ht="18.75" customHeight="1">
      <c r="A34" s="213"/>
      <c r="B34" s="213"/>
      <c r="C34" s="210"/>
      <c r="D34" s="210"/>
      <c r="E34" s="186" t="s">
        <v>53</v>
      </c>
      <c r="F34" s="186" t="s">
        <v>5416</v>
      </c>
      <c r="G34" s="186" t="s">
        <v>432</v>
      </c>
      <c r="H34" s="186" t="s">
        <v>243</v>
      </c>
      <c r="I34" s="186"/>
      <c r="J34" s="186">
        <v>33</v>
      </c>
      <c r="K34" s="186"/>
      <c r="L34" s="186"/>
      <c r="M34" s="186"/>
      <c r="N34" s="186"/>
      <c r="O34" s="186"/>
      <c r="P34" s="186"/>
      <c r="Q34" s="186"/>
      <c r="R34" s="186"/>
      <c r="S34" s="186"/>
      <c r="T34" s="186" t="s">
        <v>1190</v>
      </c>
      <c r="U34" s="186"/>
      <c r="V34" s="186"/>
      <c r="W34" s="186"/>
      <c r="X34" s="186"/>
    </row>
  </sheetData>
  <autoFilter ref="A2:Z34" xr:uid="{00000000-0009-0000-0000-000041000000}"/>
  <pageMargins left="0.7" right="0.7" top="0.75" bottom="0.75" header="0" footer="0"/>
  <pageSetup orientation="landscape"/>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200-000000000000}">
  <sheetPr>
    <outlinePr summaryBelow="0" summaryRight="0"/>
  </sheetPr>
  <dimension ref="A1:P37"/>
  <sheetViews>
    <sheetView workbookViewId="0">
      <pane xSplit="2" ySplit="2" topLeftCell="C3" activePane="bottomRight" state="frozen"/>
      <selection pane="topRight" activeCell="C1" sqref="C1"/>
      <selection pane="bottomLeft" activeCell="A3" sqref="A3"/>
      <selection pane="bottomRight" activeCell="C3" sqref="C3"/>
    </sheetView>
  </sheetViews>
  <sheetFormatPr defaultColWidth="14.453125" defaultRowHeight="15" customHeight="1"/>
  <cols>
    <col min="1" max="1" width="21.7265625" customWidth="1"/>
    <col min="2" max="2" width="22.1796875" customWidth="1"/>
    <col min="3" max="3" width="21.26953125" customWidth="1"/>
    <col min="4" max="11" width="17.26953125" customWidth="1"/>
    <col min="12" max="12" width="27.7265625" customWidth="1"/>
    <col min="13" max="26" width="17.26953125" customWidth="1"/>
  </cols>
  <sheetData>
    <row r="1" spans="1:16" ht="15" customHeight="1">
      <c r="A1" s="289"/>
      <c r="B1" s="186"/>
      <c r="C1" s="186"/>
      <c r="D1" s="186"/>
      <c r="E1" s="186"/>
      <c r="F1" s="186"/>
      <c r="G1" s="381"/>
      <c r="H1" s="207" t="s">
        <v>1038</v>
      </c>
      <c r="I1" s="207"/>
      <c r="J1" s="207"/>
      <c r="K1" s="207"/>
      <c r="L1" s="207"/>
      <c r="M1" s="207"/>
      <c r="N1" s="186"/>
      <c r="O1" s="186"/>
      <c r="P1" s="186"/>
    </row>
    <row r="2" spans="1:16" ht="15" customHeight="1">
      <c r="A2" s="208" t="s">
        <v>224</v>
      </c>
      <c r="B2" s="208" t="s">
        <v>225</v>
      </c>
      <c r="C2" s="208" t="s">
        <v>226</v>
      </c>
      <c r="D2" s="208" t="s">
        <v>227</v>
      </c>
      <c r="E2" s="208" t="s">
        <v>1044</v>
      </c>
      <c r="F2" s="208" t="s">
        <v>1045</v>
      </c>
      <c r="G2" s="207" t="s">
        <v>1891</v>
      </c>
      <c r="H2" s="207" t="s">
        <v>100</v>
      </c>
      <c r="I2" s="207" t="s">
        <v>101</v>
      </c>
      <c r="J2" s="207" t="s">
        <v>102</v>
      </c>
      <c r="K2" s="207" t="s">
        <v>103</v>
      </c>
      <c r="L2" s="207" t="s">
        <v>104</v>
      </c>
      <c r="M2" s="207" t="s">
        <v>105</v>
      </c>
      <c r="N2" s="208" t="s">
        <v>111</v>
      </c>
      <c r="O2" s="208" t="s">
        <v>112</v>
      </c>
      <c r="P2" s="208" t="s">
        <v>113</v>
      </c>
    </row>
    <row r="3" spans="1:16" ht="15" customHeight="1">
      <c r="A3" s="441" t="s">
        <v>53</v>
      </c>
      <c r="B3" s="441" t="s">
        <v>124</v>
      </c>
      <c r="C3" s="186" t="s">
        <v>535</v>
      </c>
      <c r="D3" s="441" t="s">
        <v>903</v>
      </c>
      <c r="F3" s="441">
        <v>1</v>
      </c>
      <c r="P3" s="186" t="s">
        <v>1190</v>
      </c>
    </row>
    <row r="4" spans="1:16" ht="15" customHeight="1">
      <c r="A4" s="441" t="s">
        <v>224</v>
      </c>
      <c r="B4" s="441" t="s">
        <v>921</v>
      </c>
      <c r="C4" s="441" t="s">
        <v>247</v>
      </c>
      <c r="D4" s="441" t="s">
        <v>243</v>
      </c>
      <c r="F4" s="441">
        <v>2</v>
      </c>
      <c r="P4" s="439" t="s">
        <v>5417</v>
      </c>
    </row>
    <row r="5" spans="1:16" ht="15" customHeight="1">
      <c r="A5" s="441" t="s">
        <v>55</v>
      </c>
      <c r="B5" s="441" t="s">
        <v>971</v>
      </c>
      <c r="C5" s="441" t="s">
        <v>247</v>
      </c>
      <c r="D5" s="441" t="s">
        <v>243</v>
      </c>
      <c r="F5" s="441">
        <v>3</v>
      </c>
      <c r="P5" s="439" t="s">
        <v>5418</v>
      </c>
    </row>
    <row r="6" spans="1:16" ht="15" customHeight="1">
      <c r="A6" s="441" t="s">
        <v>55</v>
      </c>
      <c r="B6" s="441" t="s">
        <v>3349</v>
      </c>
      <c r="C6" s="441" t="s">
        <v>247</v>
      </c>
      <c r="D6" s="441" t="s">
        <v>243</v>
      </c>
      <c r="F6" s="441">
        <v>4</v>
      </c>
      <c r="P6" s="439" t="s">
        <v>5419</v>
      </c>
    </row>
    <row r="7" spans="1:16" ht="15" customHeight="1">
      <c r="A7" s="441" t="s">
        <v>55</v>
      </c>
      <c r="B7" s="441" t="s">
        <v>3351</v>
      </c>
      <c r="C7" s="441" t="s">
        <v>247</v>
      </c>
      <c r="D7" s="441" t="s">
        <v>243</v>
      </c>
      <c r="F7" s="441">
        <v>5</v>
      </c>
      <c r="P7" s="439" t="s">
        <v>5419</v>
      </c>
    </row>
    <row r="8" spans="1:16" ht="15" customHeight="1">
      <c r="A8" s="441" t="s">
        <v>55</v>
      </c>
      <c r="B8" s="441" t="s">
        <v>3726</v>
      </c>
      <c r="C8" s="441" t="s">
        <v>247</v>
      </c>
      <c r="D8" s="441" t="s">
        <v>243</v>
      </c>
      <c r="F8" s="441">
        <v>6</v>
      </c>
      <c r="P8" s="439" t="s">
        <v>5419</v>
      </c>
    </row>
    <row r="9" spans="1:16" ht="15" customHeight="1">
      <c r="A9" s="441" t="s">
        <v>59</v>
      </c>
      <c r="B9" s="441" t="s">
        <v>5420</v>
      </c>
      <c r="C9" s="441" t="s">
        <v>346</v>
      </c>
      <c r="D9" s="441" t="s">
        <v>243</v>
      </c>
      <c r="F9" s="441">
        <v>7</v>
      </c>
      <c r="P9" s="439" t="s">
        <v>5421</v>
      </c>
    </row>
    <row r="10" spans="1:16" ht="15" customHeight="1">
      <c r="A10" s="441" t="s">
        <v>55</v>
      </c>
      <c r="B10" s="441" t="s">
        <v>5422</v>
      </c>
      <c r="C10" s="441" t="s">
        <v>247</v>
      </c>
      <c r="D10" s="441" t="s">
        <v>243</v>
      </c>
      <c r="F10" s="441">
        <v>8</v>
      </c>
      <c r="P10" s="439" t="s">
        <v>5423</v>
      </c>
    </row>
    <row r="11" spans="1:16" ht="15" customHeight="1">
      <c r="A11" s="441" t="s">
        <v>55</v>
      </c>
      <c r="B11" s="441" t="s">
        <v>5424</v>
      </c>
      <c r="C11" s="441" t="s">
        <v>346</v>
      </c>
      <c r="D11" s="441" t="s">
        <v>243</v>
      </c>
      <c r="F11" s="441">
        <v>9</v>
      </c>
      <c r="P11" s="439" t="s">
        <v>5425</v>
      </c>
    </row>
    <row r="12" spans="1:16" ht="15" customHeight="1">
      <c r="A12" s="441" t="s">
        <v>53</v>
      </c>
      <c r="B12" s="441" t="s">
        <v>1189</v>
      </c>
      <c r="C12" s="441" t="s">
        <v>249</v>
      </c>
      <c r="D12" s="441" t="s">
        <v>243</v>
      </c>
      <c r="F12" s="441">
        <v>10</v>
      </c>
      <c r="P12" s="186" t="s">
        <v>1190</v>
      </c>
    </row>
    <row r="13" spans="1:16" ht="15" customHeight="1">
      <c r="A13" s="441" t="s">
        <v>53</v>
      </c>
      <c r="B13" s="441" t="s">
        <v>1191</v>
      </c>
      <c r="C13" s="186" t="s">
        <v>252</v>
      </c>
      <c r="D13" s="441" t="s">
        <v>243</v>
      </c>
      <c r="F13" s="441">
        <v>11</v>
      </c>
      <c r="P13" s="186" t="s">
        <v>1190</v>
      </c>
    </row>
    <row r="14" spans="1:16" ht="15" customHeight="1">
      <c r="A14" s="441" t="s">
        <v>224</v>
      </c>
      <c r="B14" s="441" t="s">
        <v>5416</v>
      </c>
      <c r="C14" s="441" t="s">
        <v>432</v>
      </c>
      <c r="D14" s="441" t="s">
        <v>243</v>
      </c>
      <c r="F14" s="441">
        <v>12</v>
      </c>
      <c r="P14" s="439" t="s">
        <v>5426</v>
      </c>
    </row>
    <row r="15" spans="1:16" ht="15" customHeight="1">
      <c r="A15" s="441" t="s">
        <v>53</v>
      </c>
      <c r="B15" s="441" t="s">
        <v>1192</v>
      </c>
      <c r="C15" s="441" t="s">
        <v>242</v>
      </c>
      <c r="D15" s="441" t="s">
        <v>243</v>
      </c>
      <c r="F15" s="441">
        <v>13</v>
      </c>
      <c r="P15" s="186" t="s">
        <v>1190</v>
      </c>
    </row>
    <row r="16" spans="1:16" ht="15" customHeight="1">
      <c r="A16" s="441" t="s">
        <v>53</v>
      </c>
      <c r="B16" s="441" t="s">
        <v>1193</v>
      </c>
      <c r="C16" s="441" t="s">
        <v>247</v>
      </c>
      <c r="D16" s="441" t="s">
        <v>243</v>
      </c>
      <c r="F16" s="441">
        <v>14</v>
      </c>
      <c r="P16" s="186" t="s">
        <v>1190</v>
      </c>
    </row>
    <row r="17" spans="1:16" ht="15" customHeight="1">
      <c r="A17" s="441" t="s">
        <v>53</v>
      </c>
      <c r="B17" s="441" t="s">
        <v>1194</v>
      </c>
      <c r="C17" s="186" t="s">
        <v>252</v>
      </c>
      <c r="D17" s="441" t="s">
        <v>243</v>
      </c>
      <c r="F17" s="441">
        <v>15</v>
      </c>
      <c r="P17" s="186" t="s">
        <v>1190</v>
      </c>
    </row>
    <row r="18" spans="1:16" ht="15" customHeight="1">
      <c r="A18" s="441" t="s">
        <v>53</v>
      </c>
      <c r="B18" s="441" t="s">
        <v>1195</v>
      </c>
      <c r="C18" s="441" t="s">
        <v>247</v>
      </c>
      <c r="D18" s="441" t="s">
        <v>243</v>
      </c>
      <c r="F18" s="441">
        <v>16</v>
      </c>
      <c r="P18" s="186" t="s">
        <v>1190</v>
      </c>
    </row>
    <row r="19" spans="1:16" ht="15" customHeight="1">
      <c r="A19" s="441" t="s">
        <v>224</v>
      </c>
      <c r="B19" s="441" t="s">
        <v>1956</v>
      </c>
      <c r="C19" s="186" t="s">
        <v>252</v>
      </c>
      <c r="D19" s="441" t="s">
        <v>243</v>
      </c>
      <c r="F19" s="441">
        <v>17</v>
      </c>
      <c r="P19" s="439" t="s">
        <v>5427</v>
      </c>
    </row>
    <row r="20" spans="1:16" ht="15" customHeight="1">
      <c r="A20" s="441" t="s">
        <v>224</v>
      </c>
      <c r="B20" s="441" t="s">
        <v>1957</v>
      </c>
      <c r="C20" s="186" t="s">
        <v>252</v>
      </c>
      <c r="D20" s="441" t="s">
        <v>243</v>
      </c>
      <c r="F20" s="441">
        <v>18</v>
      </c>
      <c r="P20" s="439" t="s">
        <v>5427</v>
      </c>
    </row>
    <row r="21" spans="1:16" ht="15" customHeight="1">
      <c r="A21" s="441" t="s">
        <v>53</v>
      </c>
      <c r="B21" s="441" t="s">
        <v>1196</v>
      </c>
      <c r="C21" s="186" t="s">
        <v>535</v>
      </c>
      <c r="D21" s="441" t="s">
        <v>903</v>
      </c>
      <c r="F21" s="441">
        <v>19</v>
      </c>
      <c r="P21" s="186" t="s">
        <v>1190</v>
      </c>
    </row>
    <row r="22" spans="1:16" ht="15" customHeight="1">
      <c r="A22" s="441" t="s">
        <v>59</v>
      </c>
      <c r="B22" s="441" t="s">
        <v>924</v>
      </c>
      <c r="C22" s="441" t="s">
        <v>247</v>
      </c>
      <c r="D22" s="441" t="s">
        <v>243</v>
      </c>
      <c r="F22" s="441">
        <v>20</v>
      </c>
      <c r="P22" s="439" t="s">
        <v>3354</v>
      </c>
    </row>
    <row r="23" spans="1:16" ht="15" customHeight="1">
      <c r="A23" s="441" t="s">
        <v>59</v>
      </c>
      <c r="B23" s="441" t="s">
        <v>2572</v>
      </c>
      <c r="C23" s="441" t="s">
        <v>324</v>
      </c>
      <c r="D23" s="441" t="s">
        <v>243</v>
      </c>
      <c r="F23" s="441">
        <v>21</v>
      </c>
      <c r="P23" s="439" t="s">
        <v>5428</v>
      </c>
    </row>
    <row r="24" spans="1:16" ht="15" customHeight="1">
      <c r="A24" s="441" t="s">
        <v>59</v>
      </c>
      <c r="B24" s="441" t="s">
        <v>5429</v>
      </c>
      <c r="C24" s="186" t="s">
        <v>535</v>
      </c>
      <c r="D24" s="441" t="s">
        <v>243</v>
      </c>
      <c r="F24" s="441">
        <v>22</v>
      </c>
      <c r="P24" s="439" t="s">
        <v>5430</v>
      </c>
    </row>
    <row r="25" spans="1:16" ht="15" customHeight="1">
      <c r="A25" s="441" t="s">
        <v>59</v>
      </c>
      <c r="B25" s="441" t="s">
        <v>5431</v>
      </c>
      <c r="C25" s="186" t="s">
        <v>535</v>
      </c>
      <c r="D25" s="441" t="s">
        <v>243</v>
      </c>
      <c r="F25" s="441">
        <v>23</v>
      </c>
      <c r="P25" s="439" t="s">
        <v>5432</v>
      </c>
    </row>
    <row r="26" spans="1:16" ht="15" customHeight="1">
      <c r="A26" s="441" t="s">
        <v>59</v>
      </c>
      <c r="B26" s="441" t="s">
        <v>947</v>
      </c>
      <c r="C26" s="441" t="s">
        <v>247</v>
      </c>
      <c r="D26" s="441" t="s">
        <v>243</v>
      </c>
      <c r="F26" s="441">
        <v>24</v>
      </c>
      <c r="P26" s="439" t="s">
        <v>3798</v>
      </c>
    </row>
    <row r="27" spans="1:16" ht="15" customHeight="1">
      <c r="A27" s="441" t="s">
        <v>59</v>
      </c>
      <c r="B27" s="441" t="s">
        <v>5433</v>
      </c>
      <c r="C27" s="186" t="s">
        <v>535</v>
      </c>
      <c r="D27" s="441" t="s">
        <v>243</v>
      </c>
      <c r="F27" s="441">
        <v>25</v>
      </c>
      <c r="P27" s="439" t="s">
        <v>5430</v>
      </c>
    </row>
    <row r="28" spans="1:16" ht="15" customHeight="1">
      <c r="A28" s="441" t="s">
        <v>224</v>
      </c>
      <c r="B28" s="441" t="s">
        <v>1010</v>
      </c>
      <c r="C28" s="186" t="s">
        <v>535</v>
      </c>
      <c r="D28" s="441" t="s">
        <v>243</v>
      </c>
      <c r="F28" s="441">
        <v>26</v>
      </c>
      <c r="P28" s="439" t="s">
        <v>5434</v>
      </c>
    </row>
    <row r="29" spans="1:16" ht="15" customHeight="1">
      <c r="A29" s="441" t="s">
        <v>59</v>
      </c>
      <c r="B29" s="441" t="s">
        <v>5435</v>
      </c>
      <c r="C29" s="186" t="s">
        <v>535</v>
      </c>
      <c r="D29" s="441" t="s">
        <v>243</v>
      </c>
      <c r="F29" s="441">
        <v>27</v>
      </c>
      <c r="P29" s="439"/>
    </row>
    <row r="30" spans="1:16" ht="15" customHeight="1">
      <c r="A30" s="441" t="s">
        <v>59</v>
      </c>
      <c r="B30" s="441" t="s">
        <v>5436</v>
      </c>
      <c r="C30" s="186" t="s">
        <v>535</v>
      </c>
      <c r="D30" s="441" t="s">
        <v>243</v>
      </c>
      <c r="F30" s="441">
        <v>28</v>
      </c>
      <c r="P30" s="439" t="s">
        <v>5437</v>
      </c>
    </row>
    <row r="31" spans="1:16" ht="15" customHeight="1">
      <c r="A31" s="441" t="s">
        <v>59</v>
      </c>
      <c r="B31" s="441" t="s">
        <v>5438</v>
      </c>
      <c r="C31" s="441" t="s">
        <v>247</v>
      </c>
      <c r="D31" s="441" t="s">
        <v>243</v>
      </c>
      <c r="F31" s="441">
        <v>29</v>
      </c>
      <c r="P31" s="439" t="s">
        <v>5439</v>
      </c>
    </row>
    <row r="32" spans="1:16" ht="15" customHeight="1">
      <c r="A32" s="441" t="s">
        <v>224</v>
      </c>
      <c r="B32" s="441" t="s">
        <v>1898</v>
      </c>
      <c r="C32" s="186" t="s">
        <v>535</v>
      </c>
      <c r="D32" s="441" t="s">
        <v>243</v>
      </c>
      <c r="F32" s="441">
        <v>30</v>
      </c>
      <c r="P32" s="439" t="s">
        <v>5440</v>
      </c>
    </row>
    <row r="33" spans="1:16" ht="15" customHeight="1">
      <c r="A33" s="441" t="s">
        <v>224</v>
      </c>
      <c r="B33" s="441" t="s">
        <v>4700</v>
      </c>
      <c r="C33" s="186" t="s">
        <v>535</v>
      </c>
      <c r="D33" s="441" t="s">
        <v>243</v>
      </c>
      <c r="F33" s="441">
        <v>31</v>
      </c>
      <c r="P33" s="439" t="s">
        <v>5441</v>
      </c>
    </row>
    <row r="34" spans="1:16" ht="15" customHeight="1">
      <c r="A34" s="441" t="s">
        <v>59</v>
      </c>
      <c r="B34" s="441" t="s">
        <v>5442</v>
      </c>
      <c r="C34" s="186" t="s">
        <v>535</v>
      </c>
      <c r="D34" s="441" t="s">
        <v>243</v>
      </c>
      <c r="F34" s="441">
        <v>32</v>
      </c>
      <c r="P34" s="439"/>
    </row>
    <row r="35" spans="1:16" ht="15" customHeight="1">
      <c r="A35" s="441" t="s">
        <v>59</v>
      </c>
      <c r="B35" s="441" t="s">
        <v>5443</v>
      </c>
      <c r="C35" s="186" t="s">
        <v>535</v>
      </c>
      <c r="D35" s="441" t="s">
        <v>243</v>
      </c>
      <c r="F35" s="441">
        <v>33</v>
      </c>
      <c r="P35" s="439"/>
    </row>
    <row r="36" spans="1:16" ht="15" customHeight="1">
      <c r="A36" s="186" t="s">
        <v>53</v>
      </c>
      <c r="B36" s="441" t="s">
        <v>123</v>
      </c>
      <c r="C36" s="186" t="s">
        <v>535</v>
      </c>
      <c r="D36" s="441" t="s">
        <v>243</v>
      </c>
      <c r="F36" s="441">
        <v>34</v>
      </c>
      <c r="P36" s="439"/>
    </row>
    <row r="37" spans="1:16" ht="15" customHeight="1">
      <c r="A37" s="441" t="s">
        <v>53</v>
      </c>
      <c r="B37" s="441" t="s">
        <v>1406</v>
      </c>
      <c r="C37" s="186" t="s">
        <v>535</v>
      </c>
      <c r="D37" s="441" t="s">
        <v>243</v>
      </c>
      <c r="F37" s="441">
        <v>35</v>
      </c>
      <c r="P37" s="186" t="s">
        <v>1190</v>
      </c>
    </row>
  </sheetData>
  <autoFilter ref="A1:P2" xr:uid="{00000000-0009-0000-0000-000042000000}"/>
  <conditionalFormatting sqref="G3:G37">
    <cfRule type="cellIs" dxfId="7" priority="1" operator="equal">
      <formula>1</formula>
    </cfRule>
    <cfRule type="cellIs" dxfId="6" priority="2" operator="equal">
      <formula>2</formula>
    </cfRule>
  </conditionalFormatting>
  <pageMargins left="0.7" right="0.7" top="0.75" bottom="0.75" header="0" footer="0"/>
  <pageSetup orientation="landscape"/>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300-000000000000}">
  <sheetPr filterMode="1">
    <outlinePr summaryBelow="0" summaryRight="0"/>
  </sheetPr>
  <dimension ref="A1:Z41"/>
  <sheetViews>
    <sheetView workbookViewId="0">
      <pane ySplit="7" topLeftCell="A33" activePane="bottomLeft" state="frozen"/>
      <selection pane="bottomLeft" activeCell="J34" sqref="J34"/>
    </sheetView>
  </sheetViews>
  <sheetFormatPr defaultColWidth="14.453125" defaultRowHeight="15" customHeight="1"/>
  <cols>
    <col min="1" max="1" width="11.1796875" customWidth="1"/>
    <col min="2" max="2" width="23.26953125" customWidth="1"/>
    <col min="3" max="3" width="17.1796875" customWidth="1"/>
    <col min="4" max="4" width="11.7265625" customWidth="1"/>
    <col min="5" max="6" width="10.7265625" customWidth="1"/>
    <col min="7" max="7" width="8.453125" customWidth="1"/>
    <col min="8" max="8" width="11.81640625" customWidth="1"/>
    <col min="9" max="9" width="34.1796875" customWidth="1"/>
    <col min="10" max="10" width="53" customWidth="1"/>
    <col min="11" max="11" width="22.1796875" customWidth="1"/>
    <col min="12" max="12" width="32" customWidth="1"/>
    <col min="13" max="13" width="22.1796875" customWidth="1"/>
    <col min="14" max="14" width="38" customWidth="1"/>
    <col min="15" max="15" width="21.7265625" customWidth="1"/>
    <col min="16" max="16" width="34.26953125" customWidth="1"/>
    <col min="17" max="25" width="10.7265625" customWidth="1"/>
  </cols>
  <sheetData>
    <row r="1" spans="1:25" ht="13">
      <c r="A1" s="185" t="s">
        <v>5444</v>
      </c>
      <c r="B1" s="186"/>
      <c r="C1" s="186"/>
      <c r="D1" s="186"/>
      <c r="E1" s="186"/>
      <c r="F1" s="186"/>
      <c r="G1" s="186"/>
      <c r="H1" s="177"/>
      <c r="I1" s="181"/>
      <c r="J1" s="181"/>
      <c r="K1" s="177"/>
      <c r="L1" s="177"/>
      <c r="M1" s="177"/>
      <c r="N1" s="186"/>
      <c r="O1" s="186"/>
      <c r="P1" s="123"/>
      <c r="Q1" s="459"/>
      <c r="R1" s="459"/>
      <c r="S1" s="459"/>
      <c r="T1" s="459"/>
      <c r="U1" s="459"/>
      <c r="V1" s="459"/>
      <c r="W1" s="459"/>
      <c r="X1" s="459"/>
      <c r="Y1" s="459"/>
    </row>
    <row r="2" spans="1:25" ht="12.5">
      <c r="A2" s="130" t="s">
        <v>5445</v>
      </c>
      <c r="B2" s="186"/>
      <c r="C2" s="186"/>
      <c r="D2" s="186"/>
      <c r="E2" s="186"/>
      <c r="F2" s="186"/>
      <c r="G2" s="186"/>
      <c r="H2" s="177"/>
      <c r="I2" s="181"/>
      <c r="J2" s="181"/>
      <c r="K2" s="177"/>
      <c r="L2" s="177"/>
      <c r="M2" s="177"/>
      <c r="N2" s="186"/>
      <c r="O2" s="186"/>
      <c r="P2" s="123"/>
      <c r="Q2" s="459"/>
      <c r="R2" s="459"/>
      <c r="S2" s="459"/>
      <c r="T2" s="459"/>
      <c r="U2" s="459"/>
      <c r="V2" s="459"/>
      <c r="W2" s="459"/>
      <c r="X2" s="459"/>
      <c r="Y2" s="459"/>
    </row>
    <row r="3" spans="1:25" ht="12.5">
      <c r="A3" s="130" t="s">
        <v>5446</v>
      </c>
      <c r="B3" s="186"/>
      <c r="C3" s="186"/>
      <c r="D3" s="186"/>
      <c r="E3" s="186"/>
      <c r="F3" s="186"/>
      <c r="G3" s="186"/>
      <c r="H3" s="177"/>
      <c r="I3" s="181"/>
      <c r="J3" s="181"/>
      <c r="K3" s="177"/>
      <c r="L3" s="177"/>
      <c r="M3" s="177"/>
      <c r="N3" s="186"/>
      <c r="O3" s="186"/>
      <c r="P3" s="123"/>
      <c r="Q3" s="459"/>
      <c r="R3" s="459"/>
      <c r="S3" s="459"/>
      <c r="T3" s="459"/>
      <c r="U3" s="459"/>
      <c r="V3" s="459"/>
      <c r="W3" s="459"/>
      <c r="X3" s="459"/>
      <c r="Y3" s="459"/>
    </row>
    <row r="4" spans="1:25" ht="12.5">
      <c r="A4" s="130" t="s">
        <v>5447</v>
      </c>
      <c r="B4" s="186"/>
      <c r="C4" s="186"/>
      <c r="D4" s="186"/>
      <c r="E4" s="186"/>
      <c r="F4" s="186"/>
      <c r="G4" s="186"/>
      <c r="H4" s="177"/>
      <c r="I4" s="181"/>
      <c r="J4" s="181"/>
      <c r="K4" s="177"/>
      <c r="L4" s="177"/>
      <c r="M4" s="177"/>
      <c r="N4" s="186"/>
      <c r="O4" s="186"/>
      <c r="P4" s="123"/>
      <c r="Q4" s="459"/>
      <c r="R4" s="459"/>
      <c r="S4" s="459"/>
      <c r="T4" s="459"/>
      <c r="U4" s="459"/>
      <c r="V4" s="459"/>
      <c r="W4" s="459"/>
      <c r="X4" s="459"/>
      <c r="Y4" s="459"/>
    </row>
    <row r="5" spans="1:25" ht="12.5">
      <c r="A5" s="130" t="s">
        <v>5448</v>
      </c>
      <c r="B5" s="186"/>
      <c r="C5" s="186"/>
      <c r="D5" s="186"/>
      <c r="E5" s="186"/>
      <c r="F5" s="186"/>
      <c r="G5" s="186"/>
      <c r="H5" s="177"/>
      <c r="I5" s="181"/>
      <c r="J5" s="181"/>
      <c r="K5" s="177"/>
      <c r="L5" s="177"/>
      <c r="M5" s="177"/>
      <c r="N5" s="186"/>
      <c r="O5" s="186"/>
      <c r="P5" s="123"/>
      <c r="Q5" s="459"/>
      <c r="R5" s="459"/>
      <c r="S5" s="459"/>
      <c r="T5" s="459"/>
      <c r="U5" s="459"/>
      <c r="V5" s="459"/>
      <c r="W5" s="459"/>
      <c r="X5" s="459"/>
      <c r="Y5" s="459"/>
    </row>
    <row r="6" spans="1:25" ht="12.5">
      <c r="A6" s="130"/>
      <c r="B6" s="186"/>
      <c r="C6" s="186"/>
      <c r="D6" s="186"/>
      <c r="E6" s="186"/>
      <c r="F6" s="186"/>
      <c r="G6" s="186"/>
      <c r="H6" s="177"/>
      <c r="I6" s="181"/>
      <c r="J6" s="181"/>
      <c r="K6" s="177"/>
      <c r="L6" s="177"/>
      <c r="M6" s="177"/>
      <c r="N6" s="186"/>
      <c r="O6" s="186"/>
      <c r="P6" s="123"/>
      <c r="Q6" s="459"/>
      <c r="R6" s="459"/>
      <c r="S6" s="459"/>
      <c r="T6" s="459"/>
      <c r="U6" s="459"/>
      <c r="V6" s="459"/>
      <c r="W6" s="459"/>
      <c r="X6" s="459"/>
      <c r="Y6" s="459"/>
    </row>
    <row r="7" spans="1:25" ht="12.5">
      <c r="A7" s="289" t="s">
        <v>1322</v>
      </c>
      <c r="B7" s="186"/>
      <c r="C7" s="186"/>
      <c r="D7" s="186"/>
      <c r="E7" s="186"/>
      <c r="F7" s="186"/>
      <c r="G7" s="186"/>
      <c r="H7" s="207" t="s">
        <v>1038</v>
      </c>
      <c r="I7" s="285"/>
      <c r="J7" s="285"/>
      <c r="K7" s="207"/>
      <c r="L7" s="207"/>
      <c r="M7" s="207"/>
      <c r="N7" s="186"/>
      <c r="O7" s="186"/>
      <c r="P7" s="123"/>
      <c r="Q7" s="459"/>
      <c r="R7" s="459"/>
      <c r="S7" s="459"/>
      <c r="T7" s="459"/>
      <c r="U7" s="459"/>
      <c r="V7" s="459"/>
      <c r="W7" s="459"/>
      <c r="X7" s="459"/>
      <c r="Y7" s="459"/>
    </row>
    <row r="8" spans="1:25" ht="12.5">
      <c r="A8" s="208" t="s">
        <v>224</v>
      </c>
      <c r="B8" s="208" t="s">
        <v>225</v>
      </c>
      <c r="C8" s="208" t="s">
        <v>226</v>
      </c>
      <c r="D8" s="208" t="s">
        <v>227</v>
      </c>
      <c r="E8" s="208" t="s">
        <v>227</v>
      </c>
      <c r="F8" s="208" t="s">
        <v>1044</v>
      </c>
      <c r="G8" s="208" t="s">
        <v>1045</v>
      </c>
      <c r="H8" s="207" t="s">
        <v>1891</v>
      </c>
      <c r="I8" s="285"/>
      <c r="J8" s="285" t="s">
        <v>109</v>
      </c>
      <c r="K8" s="207" t="s">
        <v>5449</v>
      </c>
      <c r="L8" s="207" t="s">
        <v>110</v>
      </c>
      <c r="M8" s="207" t="s">
        <v>112</v>
      </c>
      <c r="N8" s="208" t="s">
        <v>111</v>
      </c>
      <c r="O8" s="208" t="s">
        <v>113</v>
      </c>
      <c r="P8" s="123"/>
      <c r="Q8" s="459"/>
      <c r="R8" s="459"/>
      <c r="S8" s="459"/>
      <c r="T8" s="459"/>
      <c r="U8" s="459"/>
      <c r="V8" s="459"/>
      <c r="W8" s="459"/>
      <c r="X8" s="459"/>
      <c r="Y8" s="459"/>
    </row>
    <row r="9" spans="1:25" ht="12.5" hidden="1">
      <c r="A9" s="186" t="s">
        <v>53</v>
      </c>
      <c r="B9" s="186" t="s">
        <v>1406</v>
      </c>
      <c r="C9" s="186" t="s">
        <v>5450</v>
      </c>
      <c r="D9" s="186"/>
      <c r="E9" s="186" t="s">
        <v>243</v>
      </c>
      <c r="F9" s="186"/>
      <c r="G9" s="186"/>
      <c r="H9" s="186" t="s">
        <v>680</v>
      </c>
      <c r="I9" s="186"/>
      <c r="J9" s="186"/>
      <c r="K9" s="90"/>
      <c r="L9" s="90"/>
      <c r="M9" s="90"/>
      <c r="N9" s="186"/>
      <c r="O9" s="186"/>
      <c r="P9" s="123"/>
      <c r="Q9" s="459"/>
      <c r="R9" s="459"/>
      <c r="S9" s="459"/>
      <c r="T9" s="459"/>
      <c r="U9" s="459"/>
      <c r="V9" s="459"/>
      <c r="W9" s="459"/>
      <c r="X9" s="459"/>
      <c r="Y9" s="459"/>
    </row>
    <row r="10" spans="1:25" ht="12.5" hidden="1">
      <c r="A10" s="186" t="s">
        <v>53</v>
      </c>
      <c r="B10" s="186" t="s">
        <v>1189</v>
      </c>
      <c r="C10" s="186" t="s">
        <v>3362</v>
      </c>
      <c r="D10" s="186"/>
      <c r="E10" s="186" t="s">
        <v>243</v>
      </c>
      <c r="F10" s="186"/>
      <c r="G10" s="186"/>
      <c r="H10" s="186" t="s">
        <v>680</v>
      </c>
      <c r="I10" s="123"/>
      <c r="J10" s="123"/>
      <c r="K10" s="90"/>
      <c r="L10" s="90"/>
      <c r="M10" s="90"/>
      <c r="N10" s="186"/>
      <c r="O10" s="186"/>
      <c r="P10" s="123"/>
      <c r="Q10" s="459"/>
      <c r="R10" s="459"/>
      <c r="S10" s="459"/>
      <c r="T10" s="459"/>
      <c r="U10" s="459"/>
      <c r="V10" s="459"/>
      <c r="W10" s="459"/>
      <c r="X10" s="459"/>
      <c r="Y10" s="459"/>
    </row>
    <row r="11" spans="1:25" ht="12.5">
      <c r="A11" s="186" t="s">
        <v>61</v>
      </c>
      <c r="B11" s="186" t="s">
        <v>125</v>
      </c>
      <c r="C11" s="186" t="s">
        <v>3666</v>
      </c>
      <c r="D11" s="186"/>
      <c r="E11" s="186" t="s">
        <v>903</v>
      </c>
      <c r="F11" s="186"/>
      <c r="G11" s="186">
        <v>1</v>
      </c>
      <c r="H11" s="186" t="s">
        <v>682</v>
      </c>
      <c r="I11" s="123" t="s">
        <v>5451</v>
      </c>
      <c r="J11" s="123" t="s">
        <v>5452</v>
      </c>
      <c r="K11" s="90"/>
      <c r="L11" s="90"/>
      <c r="M11" s="90"/>
      <c r="N11" s="186"/>
      <c r="O11" s="186"/>
      <c r="P11" s="123"/>
      <c r="Q11" s="459"/>
      <c r="R11" s="459"/>
      <c r="S11" s="459"/>
      <c r="T11" s="459"/>
      <c r="U11" s="459"/>
      <c r="V11" s="459"/>
      <c r="W11" s="459"/>
      <c r="X11" s="459"/>
      <c r="Y11" s="459"/>
    </row>
    <row r="12" spans="1:25" ht="12.5" hidden="1">
      <c r="A12" s="186" t="s">
        <v>53</v>
      </c>
      <c r="B12" s="186" t="s">
        <v>1191</v>
      </c>
      <c r="C12" s="186" t="s">
        <v>3666</v>
      </c>
      <c r="D12" s="186"/>
      <c r="E12" s="186" t="s">
        <v>243</v>
      </c>
      <c r="F12" s="186"/>
      <c r="G12" s="186">
        <v>15</v>
      </c>
      <c r="H12" s="186" t="s">
        <v>680</v>
      </c>
      <c r="I12" s="186"/>
      <c r="J12" s="186"/>
      <c r="K12" s="90"/>
      <c r="L12" s="90"/>
      <c r="M12" s="90"/>
      <c r="N12" s="186"/>
      <c r="O12" s="186"/>
      <c r="P12" s="123"/>
      <c r="Q12" s="459"/>
      <c r="R12" s="459"/>
      <c r="S12" s="459"/>
      <c r="T12" s="459"/>
      <c r="U12" s="459"/>
      <c r="V12" s="459"/>
      <c r="W12" s="459"/>
      <c r="X12" s="459"/>
      <c r="Y12" s="459"/>
    </row>
    <row r="13" spans="1:25" ht="12.5" hidden="1">
      <c r="A13" s="186" t="s">
        <v>53</v>
      </c>
      <c r="B13" s="186" t="s">
        <v>1192</v>
      </c>
      <c r="C13" s="186" t="s">
        <v>860</v>
      </c>
      <c r="D13" s="186"/>
      <c r="E13" s="186" t="s">
        <v>243</v>
      </c>
      <c r="F13" s="186"/>
      <c r="G13" s="186"/>
      <c r="H13" s="186" t="s">
        <v>680</v>
      </c>
      <c r="I13" s="123"/>
      <c r="J13" s="123"/>
      <c r="K13" s="90"/>
      <c r="L13" s="90"/>
      <c r="M13" s="90"/>
      <c r="N13" s="186"/>
      <c r="O13" s="186"/>
      <c r="P13" s="123"/>
      <c r="Q13" s="459"/>
      <c r="R13" s="459"/>
      <c r="S13" s="459"/>
      <c r="T13" s="459"/>
      <c r="U13" s="459"/>
      <c r="V13" s="459"/>
      <c r="W13" s="459"/>
      <c r="X13" s="459"/>
      <c r="Y13" s="459"/>
    </row>
    <row r="14" spans="1:25" ht="12.5" hidden="1">
      <c r="A14" s="186" t="s">
        <v>53</v>
      </c>
      <c r="B14" s="186" t="s">
        <v>1193</v>
      </c>
      <c r="C14" s="186" t="s">
        <v>900</v>
      </c>
      <c r="D14" s="186"/>
      <c r="E14" s="186" t="s">
        <v>243</v>
      </c>
      <c r="F14" s="186"/>
      <c r="G14" s="186"/>
      <c r="H14" s="186" t="s">
        <v>680</v>
      </c>
      <c r="I14" s="123"/>
      <c r="J14" s="123"/>
      <c r="K14" s="90"/>
      <c r="L14" s="90"/>
      <c r="M14" s="90"/>
      <c r="N14" s="186"/>
      <c r="O14" s="186"/>
      <c r="P14" s="123"/>
      <c r="Q14" s="459"/>
      <c r="R14" s="459"/>
      <c r="S14" s="459"/>
      <c r="T14" s="459"/>
      <c r="U14" s="459"/>
      <c r="V14" s="459"/>
      <c r="W14" s="459"/>
      <c r="X14" s="459"/>
      <c r="Y14" s="459"/>
    </row>
    <row r="15" spans="1:25" ht="12.5" hidden="1">
      <c r="A15" s="186" t="s">
        <v>53</v>
      </c>
      <c r="B15" s="186" t="s">
        <v>1194</v>
      </c>
      <c r="C15" s="186" t="s">
        <v>3666</v>
      </c>
      <c r="D15" s="186"/>
      <c r="E15" s="186" t="s">
        <v>243</v>
      </c>
      <c r="F15" s="186"/>
      <c r="G15" s="186">
        <v>17</v>
      </c>
      <c r="H15" s="186" t="s">
        <v>680</v>
      </c>
      <c r="K15" s="90"/>
      <c r="L15" s="90"/>
      <c r="M15" s="90"/>
      <c r="N15" s="186"/>
      <c r="O15" s="186"/>
      <c r="P15" s="123"/>
      <c r="Q15" s="459"/>
      <c r="R15" s="459"/>
      <c r="S15" s="459"/>
      <c r="T15" s="459"/>
      <c r="U15" s="459"/>
      <c r="V15" s="459"/>
      <c r="W15" s="459"/>
      <c r="X15" s="459"/>
      <c r="Y15" s="459"/>
    </row>
    <row r="16" spans="1:25" ht="12.5">
      <c r="A16" s="186" t="s">
        <v>61</v>
      </c>
      <c r="B16" s="186" t="s">
        <v>1195</v>
      </c>
      <c r="C16" s="186" t="s">
        <v>900</v>
      </c>
      <c r="D16" s="186"/>
      <c r="E16" s="186" t="s">
        <v>243</v>
      </c>
      <c r="F16" s="186"/>
      <c r="G16" s="186">
        <v>16</v>
      </c>
      <c r="H16" s="186" t="s">
        <v>682</v>
      </c>
      <c r="I16" s="123" t="s">
        <v>5451</v>
      </c>
      <c r="J16" s="123" t="s">
        <v>3689</v>
      </c>
      <c r="K16" s="90"/>
      <c r="L16" s="90"/>
      <c r="M16" s="90"/>
      <c r="N16" s="186"/>
      <c r="O16" s="186"/>
      <c r="P16" s="123"/>
      <c r="Q16" s="459"/>
      <c r="R16" s="459"/>
      <c r="S16" s="459"/>
      <c r="T16" s="459"/>
      <c r="U16" s="459"/>
      <c r="V16" s="459"/>
      <c r="W16" s="459"/>
      <c r="X16" s="459"/>
      <c r="Y16" s="459"/>
    </row>
    <row r="17" spans="1:26" ht="12.5" hidden="1">
      <c r="A17" s="186" t="s">
        <v>55</v>
      </c>
      <c r="B17" s="186" t="s">
        <v>1956</v>
      </c>
      <c r="C17" s="186" t="s">
        <v>3666</v>
      </c>
      <c r="D17" s="186"/>
      <c r="E17" s="186" t="s">
        <v>243</v>
      </c>
      <c r="F17" s="186"/>
      <c r="G17" s="186">
        <v>17</v>
      </c>
      <c r="H17" s="186" t="s">
        <v>680</v>
      </c>
      <c r="I17" s="186"/>
      <c r="J17" s="186"/>
      <c r="K17" s="90"/>
      <c r="L17" s="90"/>
      <c r="M17" s="90"/>
      <c r="N17" s="186"/>
      <c r="O17" s="186"/>
      <c r="P17" s="123"/>
      <c r="Q17" s="459"/>
      <c r="R17" s="459"/>
      <c r="S17" s="459"/>
      <c r="T17" s="459"/>
      <c r="U17" s="459"/>
      <c r="V17" s="459"/>
      <c r="W17" s="459"/>
      <c r="X17" s="459"/>
      <c r="Y17" s="459"/>
    </row>
    <row r="18" spans="1:26" ht="12.5" hidden="1">
      <c r="A18" s="186" t="s">
        <v>55</v>
      </c>
      <c r="B18" s="186" t="s">
        <v>1957</v>
      </c>
      <c r="C18" s="186" t="s">
        <v>3666</v>
      </c>
      <c r="D18" s="186"/>
      <c r="E18" s="186" t="s">
        <v>243</v>
      </c>
      <c r="F18" s="186"/>
      <c r="G18" s="186">
        <v>18</v>
      </c>
      <c r="H18" s="186" t="s">
        <v>680</v>
      </c>
      <c r="I18" s="186"/>
      <c r="J18" s="186"/>
      <c r="K18" s="90"/>
      <c r="L18" s="90"/>
      <c r="M18" s="90"/>
      <c r="N18" s="186"/>
      <c r="O18" s="186"/>
      <c r="P18" s="123"/>
      <c r="Q18" s="459"/>
      <c r="R18" s="459"/>
      <c r="S18" s="459"/>
      <c r="T18" s="459"/>
      <c r="U18" s="459"/>
      <c r="V18" s="459"/>
      <c r="W18" s="459"/>
      <c r="X18" s="459"/>
      <c r="Y18" s="459"/>
    </row>
    <row r="19" spans="1:26" ht="12.5" hidden="1">
      <c r="A19" s="186" t="s">
        <v>53</v>
      </c>
      <c r="B19" s="186" t="s">
        <v>1196</v>
      </c>
      <c r="C19" s="186" t="s">
        <v>5450</v>
      </c>
      <c r="D19" s="186"/>
      <c r="E19" s="186" t="s">
        <v>243</v>
      </c>
      <c r="F19" s="186"/>
      <c r="G19" s="186"/>
      <c r="H19" s="186" t="s">
        <v>680</v>
      </c>
      <c r="I19" s="123"/>
      <c r="J19" s="123"/>
      <c r="K19" s="90"/>
      <c r="L19" s="90"/>
      <c r="M19" s="90"/>
      <c r="N19" s="186"/>
      <c r="O19" s="186"/>
      <c r="P19" s="123"/>
      <c r="Q19" s="459"/>
      <c r="R19" s="459"/>
      <c r="S19" s="459"/>
      <c r="T19" s="459"/>
      <c r="U19" s="459"/>
      <c r="V19" s="459"/>
      <c r="W19" s="459"/>
      <c r="X19" s="459"/>
      <c r="Y19" s="459"/>
    </row>
    <row r="20" spans="1:26" ht="12.5">
      <c r="A20" s="186" t="s">
        <v>61</v>
      </c>
      <c r="B20" s="186" t="s">
        <v>905</v>
      </c>
      <c r="C20" s="186" t="s">
        <v>860</v>
      </c>
      <c r="D20" s="186"/>
      <c r="E20" s="186" t="s">
        <v>243</v>
      </c>
      <c r="F20" s="186"/>
      <c r="G20" s="186">
        <v>19</v>
      </c>
      <c r="H20" s="186" t="s">
        <v>682</v>
      </c>
      <c r="I20" s="123" t="s">
        <v>5451</v>
      </c>
      <c r="J20" s="123" t="s">
        <v>5453</v>
      </c>
      <c r="K20" s="90"/>
      <c r="L20" s="90"/>
      <c r="M20" s="90"/>
      <c r="N20" s="186"/>
      <c r="O20" s="186"/>
      <c r="P20" s="123"/>
      <c r="Q20" s="459"/>
      <c r="R20" s="459"/>
      <c r="S20" s="459"/>
      <c r="T20" s="459"/>
      <c r="U20" s="459"/>
      <c r="V20" s="459"/>
      <c r="W20" s="459"/>
      <c r="X20" s="459"/>
      <c r="Y20" s="459"/>
      <c r="Z20" s="441"/>
    </row>
    <row r="21" spans="1:26" ht="12.5" hidden="1">
      <c r="A21" s="186" t="s">
        <v>53</v>
      </c>
      <c r="B21" s="186" t="s">
        <v>5454</v>
      </c>
      <c r="C21" s="186" t="s">
        <v>3347</v>
      </c>
      <c r="D21" s="186"/>
      <c r="E21" s="186" t="s">
        <v>243</v>
      </c>
      <c r="F21" s="186"/>
      <c r="G21" s="186">
        <v>20</v>
      </c>
      <c r="H21" s="186" t="s">
        <v>680</v>
      </c>
      <c r="I21" s="123"/>
      <c r="J21" s="186"/>
      <c r="K21" s="90"/>
      <c r="L21" s="90"/>
      <c r="M21" s="90"/>
      <c r="N21" s="186"/>
      <c r="O21" s="186"/>
      <c r="P21" s="123"/>
      <c r="Q21" s="459"/>
      <c r="R21" s="459"/>
      <c r="S21" s="459"/>
      <c r="T21" s="459"/>
      <c r="U21" s="459"/>
      <c r="V21" s="459"/>
      <c r="W21" s="459"/>
      <c r="X21" s="459"/>
      <c r="Y21" s="459"/>
    </row>
    <row r="22" spans="1:26" ht="12.5">
      <c r="A22" s="186" t="s">
        <v>55</v>
      </c>
      <c r="B22" s="186" t="s">
        <v>5455</v>
      </c>
      <c r="C22" s="186" t="s">
        <v>860</v>
      </c>
      <c r="D22" s="186"/>
      <c r="E22" s="186" t="s">
        <v>243</v>
      </c>
      <c r="F22" s="186"/>
      <c r="G22" s="186"/>
      <c r="H22" s="186" t="s">
        <v>682</v>
      </c>
      <c r="I22" s="123" t="s">
        <v>5451</v>
      </c>
      <c r="J22" s="186" t="s">
        <v>5456</v>
      </c>
      <c r="K22" s="90"/>
      <c r="L22" s="90"/>
      <c r="M22" s="90"/>
      <c r="N22" s="186"/>
      <c r="O22" s="186"/>
      <c r="P22" s="123"/>
      <c r="Q22" s="459"/>
      <c r="R22" s="459"/>
      <c r="S22" s="459"/>
      <c r="T22" s="459"/>
      <c r="U22" s="459"/>
      <c r="V22" s="459"/>
      <c r="W22" s="459"/>
      <c r="X22" s="459"/>
      <c r="Y22" s="459"/>
      <c r="Z22" s="441"/>
    </row>
    <row r="23" spans="1:26" ht="12.5" hidden="1">
      <c r="A23" s="186" t="s">
        <v>53</v>
      </c>
      <c r="B23" s="186" t="s">
        <v>124</v>
      </c>
      <c r="C23" s="186" t="s">
        <v>5450</v>
      </c>
      <c r="D23" s="186"/>
      <c r="E23" s="186" t="s">
        <v>903</v>
      </c>
      <c r="F23" s="186"/>
      <c r="G23" s="186">
        <v>22</v>
      </c>
      <c r="H23" s="186" t="s">
        <v>680</v>
      </c>
      <c r="I23" s="186"/>
      <c r="J23" s="186"/>
      <c r="K23" s="90"/>
      <c r="L23" s="90"/>
      <c r="M23" s="90"/>
      <c r="N23" s="186"/>
      <c r="O23" s="186" t="s">
        <v>1190</v>
      </c>
      <c r="P23" s="123"/>
      <c r="Q23" s="459"/>
      <c r="R23" s="459"/>
      <c r="S23" s="459"/>
      <c r="T23" s="459"/>
      <c r="U23" s="459"/>
      <c r="V23" s="459"/>
      <c r="W23" s="459"/>
      <c r="X23" s="459"/>
      <c r="Y23" s="459"/>
    </row>
    <row r="24" spans="1:26" ht="12.5">
      <c r="A24" s="186" t="s">
        <v>61</v>
      </c>
      <c r="B24" s="186" t="s">
        <v>5457</v>
      </c>
      <c r="C24" s="186" t="s">
        <v>3347</v>
      </c>
      <c r="D24" s="186"/>
      <c r="E24" s="186" t="s">
        <v>243</v>
      </c>
      <c r="F24" s="186"/>
      <c r="G24" s="186">
        <v>46</v>
      </c>
      <c r="H24" s="186" t="s">
        <v>682</v>
      </c>
      <c r="I24" s="123" t="s">
        <v>5451</v>
      </c>
      <c r="J24" s="123" t="s">
        <v>5458</v>
      </c>
      <c r="K24" s="121"/>
      <c r="L24" s="121"/>
      <c r="M24" s="90"/>
      <c r="N24" s="186"/>
      <c r="O24" s="186"/>
      <c r="P24" s="123"/>
      <c r="Q24" s="459"/>
      <c r="R24" s="459"/>
      <c r="S24" s="459"/>
      <c r="T24" s="459"/>
      <c r="U24" s="459"/>
      <c r="V24" s="459"/>
      <c r="W24" s="459"/>
      <c r="X24" s="459"/>
      <c r="Y24" s="459"/>
      <c r="Z24" s="441"/>
    </row>
    <row r="25" spans="1:26" ht="37.5">
      <c r="A25" s="186" t="s">
        <v>61</v>
      </c>
      <c r="B25" s="186" t="s">
        <v>3281</v>
      </c>
      <c r="C25" s="186" t="s">
        <v>5450</v>
      </c>
      <c r="D25" s="186"/>
      <c r="E25" s="186" t="s">
        <v>243</v>
      </c>
      <c r="F25" s="186"/>
      <c r="G25" s="186">
        <v>57</v>
      </c>
      <c r="H25" s="186" t="s">
        <v>682</v>
      </c>
      <c r="I25" s="123" t="s">
        <v>5451</v>
      </c>
      <c r="J25" s="193" t="s">
        <v>5459</v>
      </c>
      <c r="K25" s="90"/>
      <c r="L25" s="90"/>
      <c r="M25" s="90"/>
      <c r="N25" s="122"/>
      <c r="O25" s="186"/>
      <c r="P25" s="123"/>
      <c r="Q25" s="459"/>
      <c r="R25" s="459"/>
      <c r="S25" s="459"/>
      <c r="T25" s="459"/>
      <c r="U25" s="459"/>
      <c r="V25" s="459"/>
      <c r="W25" s="459"/>
      <c r="X25" s="459"/>
      <c r="Y25" s="459"/>
    </row>
    <row r="26" spans="1:26" ht="12.5">
      <c r="A26" s="186" t="s">
        <v>61</v>
      </c>
      <c r="B26" s="186" t="s">
        <v>5460</v>
      </c>
      <c r="C26" s="186" t="s">
        <v>860</v>
      </c>
      <c r="D26" s="186"/>
      <c r="E26" s="186" t="s">
        <v>243</v>
      </c>
      <c r="F26" s="186"/>
      <c r="G26" s="186">
        <v>58</v>
      </c>
      <c r="H26" s="186" t="s">
        <v>682</v>
      </c>
      <c r="I26" s="123" t="s">
        <v>1184</v>
      </c>
      <c r="J26" s="123" t="s">
        <v>5461</v>
      </c>
      <c r="K26" s="90"/>
      <c r="L26" s="90"/>
      <c r="M26" s="90"/>
      <c r="N26" s="122"/>
      <c r="O26" s="186"/>
      <c r="P26" s="123"/>
      <c r="Q26" s="459"/>
      <c r="R26" s="459"/>
      <c r="S26" s="459"/>
      <c r="T26" s="459"/>
      <c r="U26" s="459"/>
      <c r="V26" s="459"/>
      <c r="W26" s="459"/>
      <c r="X26" s="459"/>
      <c r="Y26" s="459"/>
    </row>
    <row r="27" spans="1:26" ht="12.5">
      <c r="A27" s="186" t="s">
        <v>55</v>
      </c>
      <c r="B27" s="186" t="s">
        <v>5073</v>
      </c>
      <c r="C27" s="186" t="s">
        <v>5450</v>
      </c>
      <c r="D27" s="186"/>
      <c r="E27" s="186" t="s">
        <v>243</v>
      </c>
      <c r="F27" s="186"/>
      <c r="G27" s="186">
        <v>49</v>
      </c>
      <c r="H27" s="186" t="s">
        <v>682</v>
      </c>
      <c r="I27" s="123" t="s">
        <v>5451</v>
      </c>
      <c r="J27" s="186" t="s">
        <v>5462</v>
      </c>
      <c r="K27" s="90"/>
      <c r="L27" s="90"/>
      <c r="M27" s="90"/>
      <c r="N27" s="186"/>
      <c r="O27" s="186"/>
      <c r="P27" s="123"/>
      <c r="Q27" s="459"/>
      <c r="R27" s="459"/>
      <c r="S27" s="459"/>
      <c r="T27" s="459"/>
      <c r="U27" s="459"/>
      <c r="V27" s="459"/>
      <c r="W27" s="459"/>
      <c r="X27" s="459"/>
      <c r="Y27" s="459"/>
      <c r="Z27" s="441"/>
    </row>
    <row r="28" spans="1:26" ht="12.5">
      <c r="A28" s="186" t="s">
        <v>61</v>
      </c>
      <c r="B28" s="186" t="s">
        <v>5463</v>
      </c>
      <c r="C28" s="186" t="s">
        <v>3347</v>
      </c>
      <c r="D28" s="186"/>
      <c r="E28" s="186" t="s">
        <v>243</v>
      </c>
      <c r="F28" s="186"/>
      <c r="G28" s="186">
        <v>53</v>
      </c>
      <c r="H28" s="186" t="s">
        <v>682</v>
      </c>
      <c r="I28" s="123" t="s">
        <v>5451</v>
      </c>
      <c r="J28" s="123" t="s">
        <v>5464</v>
      </c>
      <c r="K28" s="186"/>
      <c r="L28" s="186"/>
      <c r="M28" s="186"/>
      <c r="N28" s="186"/>
      <c r="O28" s="186"/>
      <c r="P28" s="123"/>
      <c r="Q28" s="459"/>
      <c r="R28" s="459"/>
      <c r="S28" s="459"/>
      <c r="T28" s="459"/>
      <c r="U28" s="459"/>
      <c r="V28" s="459"/>
      <c r="W28" s="459"/>
      <c r="X28" s="459"/>
      <c r="Y28" s="459"/>
    </row>
    <row r="29" spans="1:26" ht="12.5">
      <c r="A29" s="186" t="s">
        <v>61</v>
      </c>
      <c r="B29" s="459" t="s">
        <v>123</v>
      </c>
      <c r="C29" s="459" t="s">
        <v>5450</v>
      </c>
      <c r="D29" s="459"/>
      <c r="E29" s="186" t="s">
        <v>243</v>
      </c>
      <c r="F29" s="459"/>
      <c r="G29" s="459"/>
      <c r="H29" s="459" t="s">
        <v>682</v>
      </c>
      <c r="I29" s="459" t="s">
        <v>1184</v>
      </c>
      <c r="J29" s="459" t="s">
        <v>5465</v>
      </c>
      <c r="K29" s="459"/>
      <c r="L29" s="459"/>
      <c r="M29" s="459"/>
      <c r="N29" s="459"/>
      <c r="O29" s="459"/>
      <c r="P29" s="459"/>
      <c r="Q29" s="459"/>
      <c r="R29" s="459"/>
      <c r="S29" s="459"/>
      <c r="T29" s="459"/>
      <c r="U29" s="459"/>
      <c r="V29" s="459"/>
      <c r="W29" s="459"/>
      <c r="X29" s="459"/>
      <c r="Y29" s="459"/>
    </row>
    <row r="30" spans="1:26" ht="25">
      <c r="A30" s="186" t="s">
        <v>61</v>
      </c>
      <c r="B30" s="459" t="s">
        <v>5466</v>
      </c>
      <c r="C30" s="186" t="s">
        <v>5467</v>
      </c>
      <c r="D30" s="459"/>
      <c r="E30" s="186" t="s">
        <v>243</v>
      </c>
      <c r="F30" s="459"/>
      <c r="G30" s="459"/>
      <c r="H30" s="459" t="s">
        <v>682</v>
      </c>
      <c r="I30" s="123" t="s">
        <v>5451</v>
      </c>
      <c r="J30" s="459" t="s">
        <v>5468</v>
      </c>
      <c r="K30" s="459"/>
      <c r="L30" s="459"/>
      <c r="M30" s="459"/>
      <c r="N30" s="459"/>
      <c r="O30" s="459"/>
      <c r="P30" s="459"/>
      <c r="Q30" s="459"/>
      <c r="R30" s="459"/>
      <c r="S30" s="459"/>
      <c r="T30" s="459"/>
      <c r="U30" s="459"/>
      <c r="V30" s="459"/>
      <c r="W30" s="459"/>
      <c r="X30" s="459"/>
      <c r="Y30" s="459"/>
      <c r="Z30" s="441"/>
    </row>
    <row r="33" spans="1:9" ht="13">
      <c r="A33" s="185" t="s">
        <v>5469</v>
      </c>
      <c r="B33" s="459"/>
      <c r="C33" s="459"/>
      <c r="D33" s="459"/>
      <c r="E33" s="459"/>
      <c r="F33" s="459"/>
      <c r="G33" s="459"/>
      <c r="H33" s="459"/>
      <c r="I33" s="459"/>
    </row>
    <row r="34" spans="1:9" ht="80.25" customHeight="1">
      <c r="A34" s="459"/>
      <c r="B34" s="711" t="s">
        <v>5470</v>
      </c>
      <c r="C34" s="711"/>
      <c r="D34" s="711"/>
      <c r="E34" s="711"/>
      <c r="F34" s="711"/>
      <c r="G34" s="711"/>
      <c r="H34" s="711"/>
      <c r="I34" s="711"/>
    </row>
    <row r="35" spans="1:9" ht="12.5">
      <c r="A35" s="130"/>
      <c r="B35" s="459"/>
      <c r="C35" s="459"/>
      <c r="D35" s="459"/>
      <c r="E35" s="459"/>
      <c r="F35" s="459"/>
      <c r="G35" s="459"/>
      <c r="H35" s="459"/>
      <c r="I35" s="459"/>
    </row>
    <row r="36" spans="1:9" ht="13">
      <c r="A36" s="186" t="s">
        <v>5471</v>
      </c>
      <c r="B36" s="459"/>
      <c r="C36" s="459"/>
      <c r="D36" s="459"/>
      <c r="E36" s="459"/>
      <c r="F36" s="459"/>
      <c r="G36" s="459"/>
      <c r="H36" s="459"/>
      <c r="I36" s="459"/>
    </row>
    <row r="37" spans="1:9" ht="13">
      <c r="A37" s="130" t="s">
        <v>5472</v>
      </c>
      <c r="B37" s="459"/>
      <c r="C37" s="459"/>
      <c r="D37" s="459"/>
      <c r="E37" s="459"/>
      <c r="F37" s="459"/>
      <c r="G37" s="459"/>
      <c r="H37" s="459"/>
      <c r="I37" s="459"/>
    </row>
    <row r="38" spans="1:9" ht="13">
      <c r="A38" s="185" t="s">
        <v>5473</v>
      </c>
      <c r="B38" s="459"/>
      <c r="C38" s="459"/>
      <c r="D38" s="459"/>
      <c r="E38" s="459"/>
      <c r="F38" s="459"/>
      <c r="G38" s="459"/>
      <c r="H38" s="459"/>
      <c r="I38" s="459"/>
    </row>
    <row r="39" spans="1:9" ht="13">
      <c r="A39" s="130"/>
      <c r="B39" s="130" t="s">
        <v>5474</v>
      </c>
      <c r="C39" s="459"/>
      <c r="D39" s="459"/>
      <c r="E39" s="459"/>
      <c r="F39" s="459"/>
      <c r="G39" s="459"/>
      <c r="H39" s="459"/>
      <c r="I39" s="459"/>
    </row>
    <row r="40" spans="1:9" ht="13">
      <c r="A40" s="459"/>
      <c r="B40" s="130" t="s">
        <v>5475</v>
      </c>
      <c r="C40" s="459"/>
      <c r="D40" s="459"/>
      <c r="E40" s="459"/>
      <c r="F40" s="459"/>
      <c r="G40" s="459"/>
      <c r="H40" s="459"/>
      <c r="I40" s="459"/>
    </row>
    <row r="41" spans="1:9" ht="13">
      <c r="A41" s="459"/>
      <c r="B41" s="130" t="s">
        <v>5476</v>
      </c>
      <c r="C41" s="459"/>
      <c r="D41" s="459"/>
      <c r="E41" s="459"/>
      <c r="F41" s="459"/>
      <c r="G41" s="459"/>
      <c r="H41" s="459"/>
      <c r="I41" s="459"/>
    </row>
  </sheetData>
  <autoFilter ref="A8:Z30" xr:uid="{00000000-0009-0000-0000-000043000000}">
    <filterColumn colId="7">
      <filters>
        <filter val="Y"/>
      </filters>
    </filterColumn>
  </autoFilter>
  <mergeCells count="1">
    <mergeCell ref="B34:I34"/>
  </mergeCells>
  <pageMargins left="0" right="0" top="0" bottom="0" header="0" footer="0"/>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400-000000000000}">
  <sheetPr filterMode="1">
    <outlinePr summaryBelow="0" summaryRight="0"/>
  </sheetPr>
  <dimension ref="A1:AB125"/>
  <sheetViews>
    <sheetView workbookViewId="0">
      <pane ySplit="2" topLeftCell="A3" activePane="bottomLeft" state="frozen"/>
      <selection pane="bottomLeft" activeCell="L102" sqref="L102"/>
    </sheetView>
  </sheetViews>
  <sheetFormatPr defaultColWidth="14.453125" defaultRowHeight="15" customHeight="1"/>
  <cols>
    <col min="1" max="1" width="27.7265625" customWidth="1"/>
    <col min="2" max="2" width="39.26953125" customWidth="1"/>
    <col min="3" max="3" width="21.26953125" customWidth="1"/>
    <col min="4" max="4" width="12.453125" hidden="1" customWidth="1"/>
    <col min="5" max="5" width="16" hidden="1" customWidth="1"/>
    <col min="6" max="6" width="8.7265625" hidden="1" customWidth="1"/>
    <col min="7" max="7" width="12.453125" customWidth="1"/>
    <col min="8" max="8" width="38.1796875" customWidth="1"/>
    <col min="9" max="9" width="30.7265625" customWidth="1"/>
    <col min="10" max="10" width="13.1796875" customWidth="1"/>
    <col min="11" max="11" width="17.54296875" customWidth="1"/>
    <col min="12" max="12" width="30.453125" customWidth="1"/>
    <col min="13" max="13" width="12.81640625" customWidth="1"/>
    <col min="14" max="14" width="84.54296875" customWidth="1"/>
    <col min="15" max="15" width="15.54296875" customWidth="1"/>
    <col min="16" max="16" width="115.54296875" customWidth="1"/>
  </cols>
  <sheetData>
    <row r="1" spans="1:28" ht="13">
      <c r="A1" s="374"/>
      <c r="B1" s="421"/>
      <c r="C1" s="421"/>
      <c r="D1" s="421"/>
      <c r="E1" s="421"/>
      <c r="F1" s="421"/>
      <c r="G1" s="421"/>
      <c r="H1" s="422" t="s">
        <v>1038</v>
      </c>
      <c r="I1" s="423"/>
      <c r="J1" s="423"/>
      <c r="K1" s="353"/>
      <c r="L1" s="353"/>
      <c r="M1" s="353"/>
      <c r="N1" s="421"/>
      <c r="O1" s="421"/>
      <c r="P1" s="439"/>
      <c r="Q1" s="439"/>
      <c r="R1" s="439"/>
      <c r="S1" s="439"/>
      <c r="T1" s="439"/>
      <c r="U1" s="439"/>
      <c r="V1" s="439"/>
      <c r="W1" s="439"/>
      <c r="X1" s="439"/>
      <c r="Y1" s="439"/>
      <c r="Z1" s="439"/>
      <c r="AA1" s="187"/>
      <c r="AB1" s="187"/>
    </row>
    <row r="2" spans="1:28" ht="13">
      <c r="A2" s="155" t="s">
        <v>224</v>
      </c>
      <c r="B2" s="155" t="s">
        <v>225</v>
      </c>
      <c r="C2" s="155" t="s">
        <v>226</v>
      </c>
      <c r="D2" s="155" t="s">
        <v>227</v>
      </c>
      <c r="E2" s="155" t="s">
        <v>1044</v>
      </c>
      <c r="F2" s="155" t="s">
        <v>1045</v>
      </c>
      <c r="G2" s="155" t="s">
        <v>1046</v>
      </c>
      <c r="H2" s="156" t="s">
        <v>100</v>
      </c>
      <c r="I2" s="400" t="s">
        <v>101</v>
      </c>
      <c r="J2" s="156" t="s">
        <v>102</v>
      </c>
      <c r="K2" s="156" t="s">
        <v>103</v>
      </c>
      <c r="L2" s="156" t="s">
        <v>104</v>
      </c>
      <c r="M2" s="156" t="s">
        <v>105</v>
      </c>
      <c r="N2" s="155" t="s">
        <v>111</v>
      </c>
      <c r="O2" s="155" t="s">
        <v>112</v>
      </c>
      <c r="P2" s="439" t="s">
        <v>113</v>
      </c>
      <c r="Q2" s="439"/>
      <c r="R2" s="439"/>
      <c r="S2" s="439"/>
      <c r="T2" s="439"/>
      <c r="U2" s="439"/>
      <c r="V2" s="439"/>
      <c r="W2" s="439"/>
      <c r="X2" s="439"/>
      <c r="Y2" s="439"/>
      <c r="Z2" s="439"/>
      <c r="AA2" s="187"/>
      <c r="AB2" s="187"/>
    </row>
    <row r="3" spans="1:28" ht="12.5">
      <c r="A3" s="186" t="s">
        <v>55</v>
      </c>
      <c r="B3" s="439" t="s">
        <v>3402</v>
      </c>
      <c r="C3" s="439" t="s">
        <v>247</v>
      </c>
      <c r="D3" s="187"/>
      <c r="E3" s="187"/>
      <c r="F3" s="187"/>
      <c r="G3" s="439" t="s">
        <v>682</v>
      </c>
      <c r="H3" s="439" t="s">
        <v>5477</v>
      </c>
      <c r="I3" s="439" t="s">
        <v>5478</v>
      </c>
      <c r="J3" s="439"/>
      <c r="K3" s="439"/>
      <c r="L3" s="439"/>
      <c r="M3" s="439"/>
      <c r="N3" s="439" t="s">
        <v>5479</v>
      </c>
      <c r="O3" s="439"/>
      <c r="P3" s="439" t="s">
        <v>5480</v>
      </c>
      <c r="Q3" s="439"/>
      <c r="R3" s="439"/>
      <c r="S3" s="439"/>
      <c r="T3" s="439"/>
      <c r="U3" s="439"/>
      <c r="V3" s="439"/>
      <c r="W3" s="439"/>
      <c r="X3" s="439"/>
      <c r="Y3" s="439"/>
      <c r="Z3" s="439"/>
      <c r="AA3" s="439"/>
      <c r="AB3" s="439"/>
    </row>
    <row r="4" spans="1:28" ht="12.5">
      <c r="A4" s="186" t="s">
        <v>3681</v>
      </c>
      <c r="B4" s="186" t="s">
        <v>1010</v>
      </c>
      <c r="C4" s="186" t="s">
        <v>535</v>
      </c>
      <c r="D4" s="187"/>
      <c r="E4" s="186"/>
      <c r="F4" s="186"/>
      <c r="G4" s="186" t="s">
        <v>682</v>
      </c>
      <c r="H4" s="186" t="s">
        <v>5477</v>
      </c>
      <c r="I4" s="186" t="s">
        <v>302</v>
      </c>
      <c r="J4" s="186"/>
      <c r="K4" s="90"/>
      <c r="L4" s="90"/>
      <c r="M4" s="90"/>
      <c r="N4" s="604" t="s">
        <v>5481</v>
      </c>
      <c r="O4" s="186"/>
      <c r="P4" s="186" t="s">
        <v>5482</v>
      </c>
      <c r="Q4" s="130"/>
      <c r="R4" s="130"/>
      <c r="S4" s="130"/>
      <c r="T4" s="130"/>
      <c r="U4" s="130"/>
      <c r="V4" s="130"/>
      <c r="W4" s="130"/>
      <c r="X4" s="130"/>
      <c r="Y4" s="130"/>
      <c r="Z4" s="439"/>
      <c r="AA4" s="439"/>
      <c r="AB4" s="439"/>
    </row>
    <row r="5" spans="1:28" ht="12.5" hidden="1">
      <c r="A5" s="186" t="s">
        <v>55</v>
      </c>
      <c r="B5" s="461" t="s">
        <v>117</v>
      </c>
      <c r="C5" s="187" t="s">
        <v>247</v>
      </c>
      <c r="D5" s="187"/>
      <c r="E5" s="187"/>
      <c r="F5" s="187"/>
      <c r="G5" s="187"/>
      <c r="H5" s="187"/>
      <c r="I5" s="187"/>
      <c r="J5" s="187"/>
      <c r="K5" s="187"/>
      <c r="L5" s="187"/>
      <c r="M5" s="187"/>
      <c r="N5" s="187"/>
      <c r="O5" s="187"/>
      <c r="P5" s="187"/>
      <c r="Q5" s="187"/>
      <c r="R5" s="187"/>
      <c r="S5" s="187"/>
      <c r="T5" s="187"/>
      <c r="U5" s="187"/>
      <c r="V5" s="187"/>
      <c r="W5" s="187"/>
      <c r="X5" s="187"/>
      <c r="Y5" s="187"/>
      <c r="Z5" s="187"/>
      <c r="AA5" s="187"/>
      <c r="AB5" s="187"/>
    </row>
    <row r="6" spans="1:28" ht="12.5" hidden="1">
      <c r="A6" s="186" t="s">
        <v>55</v>
      </c>
      <c r="B6" s="461" t="s">
        <v>118</v>
      </c>
      <c r="C6" s="187" t="s">
        <v>246</v>
      </c>
      <c r="D6" s="187"/>
      <c r="E6" s="187"/>
      <c r="F6" s="187"/>
      <c r="G6" s="187"/>
      <c r="H6" s="187"/>
      <c r="I6" s="187"/>
      <c r="J6" s="187"/>
      <c r="K6" s="187"/>
      <c r="L6" s="187"/>
      <c r="M6" s="187"/>
      <c r="N6" s="187"/>
      <c r="O6" s="187"/>
      <c r="P6" s="187"/>
      <c r="Q6" s="187"/>
      <c r="R6" s="187"/>
      <c r="S6" s="187"/>
      <c r="T6" s="187"/>
      <c r="U6" s="187"/>
      <c r="V6" s="187"/>
      <c r="W6" s="187"/>
      <c r="X6" s="187"/>
      <c r="Y6" s="187"/>
      <c r="Z6" s="187"/>
      <c r="AA6" s="187"/>
      <c r="AB6" s="187"/>
    </row>
    <row r="7" spans="1:28" ht="12.5">
      <c r="A7" s="186" t="s">
        <v>5483</v>
      </c>
      <c r="B7" s="439" t="s">
        <v>921</v>
      </c>
      <c r="C7" s="439" t="s">
        <v>324</v>
      </c>
      <c r="D7" s="187"/>
      <c r="E7" s="187"/>
      <c r="F7" s="187"/>
      <c r="G7" s="186" t="s">
        <v>682</v>
      </c>
      <c r="H7" s="186" t="s">
        <v>5477</v>
      </c>
      <c r="I7" s="439" t="s">
        <v>5484</v>
      </c>
      <c r="J7" s="439"/>
      <c r="K7" s="439"/>
      <c r="L7" s="439"/>
      <c r="M7" s="439"/>
      <c r="N7" s="439" t="s">
        <v>5485</v>
      </c>
      <c r="O7" s="439"/>
      <c r="P7" s="439"/>
      <c r="Q7" s="439"/>
      <c r="R7" s="439"/>
      <c r="S7" s="439"/>
      <c r="T7" s="439"/>
      <c r="U7" s="439"/>
      <c r="V7" s="439"/>
      <c r="W7" s="439"/>
      <c r="X7" s="439"/>
      <c r="Y7" s="439"/>
      <c r="Z7" s="439"/>
      <c r="AA7" s="439"/>
      <c r="AB7" s="439"/>
    </row>
    <row r="8" spans="1:28" ht="12.5">
      <c r="A8" s="186" t="s">
        <v>5483</v>
      </c>
      <c r="B8" s="439" t="s">
        <v>971</v>
      </c>
      <c r="C8" s="439" t="s">
        <v>324</v>
      </c>
      <c r="D8" s="187"/>
      <c r="E8" s="187"/>
      <c r="F8" s="187"/>
      <c r="G8" s="186" t="s">
        <v>682</v>
      </c>
      <c r="H8" s="186" t="s">
        <v>5477</v>
      </c>
      <c r="I8" s="439" t="s">
        <v>5486</v>
      </c>
      <c r="J8" s="439"/>
      <c r="K8" s="439"/>
      <c r="L8" s="439"/>
      <c r="M8" s="439"/>
      <c r="N8" s="439" t="s">
        <v>5485</v>
      </c>
      <c r="O8" s="439"/>
      <c r="P8" s="439"/>
      <c r="Q8" s="439"/>
      <c r="R8" s="439"/>
      <c r="S8" s="439"/>
      <c r="T8" s="439"/>
      <c r="U8" s="439"/>
      <c r="V8" s="439"/>
      <c r="W8" s="439"/>
      <c r="X8" s="439"/>
      <c r="Y8" s="439"/>
      <c r="Z8" s="439"/>
      <c r="AA8" s="439"/>
      <c r="AB8" s="439"/>
    </row>
    <row r="9" spans="1:28" ht="12.5">
      <c r="A9" s="186" t="s">
        <v>5483</v>
      </c>
      <c r="B9" s="439" t="s">
        <v>3349</v>
      </c>
      <c r="C9" s="439" t="s">
        <v>324</v>
      </c>
      <c r="D9" s="187"/>
      <c r="E9" s="187"/>
      <c r="F9" s="187"/>
      <c r="G9" s="186" t="s">
        <v>682</v>
      </c>
      <c r="H9" s="186" t="s">
        <v>5477</v>
      </c>
      <c r="I9" s="439" t="s">
        <v>5487</v>
      </c>
      <c r="J9" s="439"/>
      <c r="K9" s="439"/>
      <c r="L9" s="439"/>
      <c r="M9" s="439"/>
      <c r="N9" s="439" t="s">
        <v>5485</v>
      </c>
      <c r="O9" s="439"/>
      <c r="P9" s="439"/>
      <c r="Q9" s="439"/>
      <c r="R9" s="439"/>
      <c r="S9" s="439"/>
      <c r="T9" s="439"/>
      <c r="U9" s="439"/>
      <c r="V9" s="439"/>
      <c r="W9" s="439"/>
      <c r="X9" s="439"/>
      <c r="Y9" s="439"/>
      <c r="Z9" s="439"/>
      <c r="AA9" s="439"/>
      <c r="AB9" s="439"/>
    </row>
    <row r="10" spans="1:28" ht="12.5">
      <c r="A10" s="186" t="s">
        <v>5483</v>
      </c>
      <c r="B10" s="439" t="s">
        <v>3351</v>
      </c>
      <c r="C10" s="439" t="s">
        <v>324</v>
      </c>
      <c r="D10" s="187"/>
      <c r="E10" s="187"/>
      <c r="F10" s="187"/>
      <c r="G10" s="186" t="s">
        <v>682</v>
      </c>
      <c r="H10" s="186" t="s">
        <v>5477</v>
      </c>
      <c r="I10" s="439" t="s">
        <v>5488</v>
      </c>
      <c r="J10" s="439"/>
      <c r="K10" s="439"/>
      <c r="L10" s="439"/>
      <c r="M10" s="439"/>
      <c r="N10" s="439" t="s">
        <v>5485</v>
      </c>
      <c r="O10" s="439"/>
      <c r="P10" s="439"/>
      <c r="Q10" s="439"/>
      <c r="R10" s="439"/>
      <c r="S10" s="439"/>
      <c r="T10" s="439"/>
      <c r="U10" s="439"/>
      <c r="V10" s="439"/>
      <c r="W10" s="439"/>
      <c r="X10" s="439"/>
      <c r="Y10" s="439"/>
      <c r="Z10" s="439"/>
      <c r="AA10" s="439"/>
      <c r="AB10" s="439"/>
    </row>
    <row r="11" spans="1:28" ht="12.5" hidden="1">
      <c r="A11" s="186" t="s">
        <v>3681</v>
      </c>
      <c r="B11" s="461" t="s">
        <v>936</v>
      </c>
      <c r="C11" s="187" t="s">
        <v>247</v>
      </c>
      <c r="D11" s="187"/>
      <c r="E11" s="187"/>
      <c r="F11" s="187"/>
      <c r="G11" s="186"/>
      <c r="H11" s="186"/>
      <c r="I11" s="187"/>
      <c r="J11" s="187"/>
      <c r="K11" s="187"/>
      <c r="L11" s="187"/>
      <c r="M11" s="187"/>
      <c r="N11" s="187"/>
      <c r="O11" s="187"/>
      <c r="P11" s="187"/>
      <c r="Q11" s="187"/>
      <c r="R11" s="187"/>
      <c r="S11" s="187"/>
      <c r="T11" s="187"/>
      <c r="U11" s="187"/>
      <c r="V11" s="187"/>
      <c r="W11" s="187"/>
      <c r="X11" s="187"/>
      <c r="Y11" s="187"/>
      <c r="Z11" s="187"/>
      <c r="AA11" s="187"/>
      <c r="AB11" s="187"/>
    </row>
    <row r="12" spans="1:28" ht="12.5" hidden="1">
      <c r="A12" s="186" t="s">
        <v>55</v>
      </c>
      <c r="B12" s="461" t="s">
        <v>987</v>
      </c>
      <c r="C12" s="187" t="s">
        <v>247</v>
      </c>
      <c r="D12" s="187"/>
      <c r="E12" s="187"/>
      <c r="F12" s="187"/>
      <c r="G12" s="187"/>
      <c r="H12" s="187"/>
      <c r="I12" s="187"/>
      <c r="J12" s="187"/>
      <c r="K12" s="187"/>
      <c r="L12" s="187"/>
      <c r="M12" s="187"/>
      <c r="N12" s="187"/>
      <c r="O12" s="187"/>
      <c r="P12" s="187"/>
      <c r="Q12" s="187"/>
      <c r="R12" s="187"/>
      <c r="S12" s="187"/>
      <c r="T12" s="187"/>
      <c r="U12" s="187"/>
      <c r="V12" s="187"/>
      <c r="W12" s="187"/>
      <c r="X12" s="187"/>
      <c r="Y12" s="187"/>
      <c r="Z12" s="187"/>
      <c r="AA12" s="187"/>
      <c r="AB12" s="187"/>
    </row>
    <row r="13" spans="1:28" ht="12.5" hidden="1">
      <c r="A13" s="186" t="s">
        <v>55</v>
      </c>
      <c r="B13" s="461" t="s">
        <v>989</v>
      </c>
      <c r="C13" s="187" t="s">
        <v>247</v>
      </c>
      <c r="D13" s="187"/>
      <c r="E13" s="187"/>
      <c r="F13" s="187"/>
      <c r="G13" s="187"/>
      <c r="H13" s="187"/>
      <c r="I13" s="187"/>
      <c r="J13" s="187"/>
      <c r="K13" s="187"/>
      <c r="L13" s="187"/>
      <c r="M13" s="187"/>
      <c r="N13" s="187"/>
      <c r="O13" s="187"/>
      <c r="P13" s="187"/>
      <c r="Q13" s="187"/>
      <c r="R13" s="187"/>
      <c r="S13" s="187"/>
      <c r="T13" s="187"/>
      <c r="U13" s="187"/>
      <c r="V13" s="187"/>
      <c r="W13" s="187"/>
      <c r="X13" s="187"/>
      <c r="Y13" s="187"/>
      <c r="Z13" s="187"/>
      <c r="AA13" s="187"/>
      <c r="AB13" s="187"/>
    </row>
    <row r="14" spans="1:28" ht="12.5" hidden="1">
      <c r="A14" s="186" t="s">
        <v>55</v>
      </c>
      <c r="B14" s="461" t="s">
        <v>420</v>
      </c>
      <c r="C14" s="187" t="s">
        <v>3863</v>
      </c>
      <c r="D14" s="187"/>
      <c r="E14" s="187"/>
      <c r="F14" s="187"/>
      <c r="G14" s="187"/>
      <c r="H14" s="187"/>
      <c r="I14" s="187"/>
      <c r="J14" s="187"/>
      <c r="K14" s="187"/>
      <c r="L14" s="187"/>
      <c r="M14" s="187"/>
      <c r="N14" s="187"/>
      <c r="O14" s="187"/>
      <c r="P14" s="187"/>
      <c r="Q14" s="187"/>
      <c r="R14" s="187"/>
      <c r="S14" s="187"/>
      <c r="T14" s="187"/>
      <c r="U14" s="187"/>
      <c r="V14" s="187"/>
      <c r="W14" s="187"/>
      <c r="X14" s="187"/>
      <c r="Y14" s="187"/>
      <c r="Z14" s="187"/>
      <c r="AA14" s="187"/>
      <c r="AB14" s="187"/>
    </row>
    <row r="15" spans="1:28" ht="12.5" hidden="1">
      <c r="A15" s="186" t="s">
        <v>55</v>
      </c>
      <c r="B15" s="186" t="s">
        <v>5489</v>
      </c>
      <c r="C15" s="186" t="s">
        <v>247</v>
      </c>
      <c r="D15" s="187"/>
      <c r="E15" s="186"/>
      <c r="F15" s="186"/>
      <c r="G15" s="186"/>
      <c r="H15" s="186"/>
      <c r="I15" s="186"/>
      <c r="J15" s="186"/>
      <c r="K15" s="90"/>
      <c r="L15" s="90"/>
      <c r="M15" s="90"/>
      <c r="N15" s="186"/>
      <c r="O15" s="186"/>
      <c r="P15" s="186" t="s">
        <v>5490</v>
      </c>
      <c r="Q15" s="130"/>
      <c r="R15" s="130"/>
      <c r="S15" s="130"/>
      <c r="T15" s="130"/>
      <c r="U15" s="130"/>
      <c r="V15" s="130"/>
      <c r="W15" s="130"/>
      <c r="X15" s="130"/>
      <c r="Y15" s="130"/>
      <c r="Z15" s="439"/>
      <c r="AA15" s="439"/>
      <c r="AB15" s="439"/>
    </row>
    <row r="16" spans="1:28" ht="12.5" hidden="1">
      <c r="A16" s="186" t="s">
        <v>55</v>
      </c>
      <c r="B16" s="186" t="s">
        <v>5491</v>
      </c>
      <c r="C16" s="186" t="s">
        <v>535</v>
      </c>
      <c r="D16" s="187"/>
      <c r="E16" s="186"/>
      <c r="F16" s="186"/>
      <c r="G16" s="186"/>
      <c r="H16" s="186"/>
      <c r="I16" s="186"/>
      <c r="J16" s="186"/>
      <c r="K16" s="90"/>
      <c r="L16" s="90"/>
      <c r="M16" s="90"/>
      <c r="N16" s="186"/>
      <c r="O16" s="186"/>
      <c r="P16" s="186" t="s">
        <v>5492</v>
      </c>
      <c r="Q16" s="130"/>
      <c r="R16" s="130"/>
      <c r="S16" s="130"/>
      <c r="T16" s="130"/>
      <c r="U16" s="130"/>
      <c r="V16" s="130"/>
      <c r="W16" s="130"/>
      <c r="X16" s="130"/>
      <c r="Y16" s="130"/>
      <c r="Z16" s="439"/>
      <c r="AA16" s="439"/>
      <c r="AB16" s="439"/>
    </row>
    <row r="17" spans="1:28" ht="12.5" hidden="1">
      <c r="A17" s="186" t="s">
        <v>55</v>
      </c>
      <c r="B17" s="186" t="s">
        <v>5493</v>
      </c>
      <c r="C17" s="186" t="s">
        <v>242</v>
      </c>
      <c r="D17" s="187"/>
      <c r="E17" s="186"/>
      <c r="F17" s="186"/>
      <c r="G17" s="186"/>
      <c r="H17" s="186"/>
      <c r="I17" s="186"/>
      <c r="J17" s="186"/>
      <c r="K17" s="90"/>
      <c r="L17" s="90"/>
      <c r="M17" s="90"/>
      <c r="N17" s="186"/>
      <c r="O17" s="186"/>
      <c r="P17" s="186" t="s">
        <v>5494</v>
      </c>
      <c r="Q17" s="130"/>
      <c r="R17" s="130"/>
      <c r="S17" s="130"/>
      <c r="T17" s="130"/>
      <c r="U17" s="130"/>
      <c r="V17" s="130"/>
      <c r="W17" s="130"/>
      <c r="X17" s="130"/>
      <c r="Y17" s="130"/>
      <c r="Z17" s="439"/>
      <c r="AA17" s="439"/>
      <c r="AB17" s="439"/>
    </row>
    <row r="18" spans="1:28" ht="12.5" hidden="1">
      <c r="A18" s="186" t="s">
        <v>55</v>
      </c>
      <c r="B18" s="186" t="s">
        <v>3414</v>
      </c>
      <c r="C18" s="186" t="s">
        <v>995</v>
      </c>
      <c r="D18" s="187"/>
      <c r="E18" s="186"/>
      <c r="F18" s="186"/>
      <c r="G18" s="186"/>
      <c r="H18" s="186"/>
      <c r="I18" s="186"/>
      <c r="J18" s="186"/>
      <c r="K18" s="90"/>
      <c r="L18" s="90"/>
      <c r="M18" s="90"/>
      <c r="N18" s="186"/>
      <c r="O18" s="186"/>
      <c r="P18" s="186" t="s">
        <v>5495</v>
      </c>
      <c r="Q18" s="130"/>
      <c r="R18" s="130"/>
      <c r="S18" s="130"/>
      <c r="T18" s="130"/>
      <c r="U18" s="130"/>
      <c r="V18" s="130"/>
      <c r="W18" s="130"/>
      <c r="X18" s="130"/>
      <c r="Y18" s="130"/>
      <c r="Z18" s="439"/>
      <c r="AA18" s="439"/>
      <c r="AB18" s="439"/>
    </row>
    <row r="19" spans="1:28" ht="12.5" hidden="1">
      <c r="A19" s="186" t="s">
        <v>55</v>
      </c>
      <c r="B19" s="186" t="s">
        <v>5496</v>
      </c>
      <c r="C19" s="186" t="s">
        <v>5161</v>
      </c>
      <c r="D19" s="187"/>
      <c r="E19" s="186"/>
      <c r="F19" s="186"/>
      <c r="G19" s="186"/>
      <c r="H19" s="186"/>
      <c r="I19" s="186"/>
      <c r="J19" s="186"/>
      <c r="K19" s="90"/>
      <c r="L19" s="90"/>
      <c r="M19" s="90"/>
      <c r="N19" s="186"/>
      <c r="O19" s="186"/>
      <c r="P19" s="186" t="s">
        <v>5497</v>
      </c>
      <c r="Q19" s="130"/>
      <c r="R19" s="130"/>
      <c r="S19" s="130"/>
      <c r="T19" s="130"/>
      <c r="U19" s="130"/>
      <c r="V19" s="130"/>
      <c r="W19" s="130"/>
      <c r="X19" s="130"/>
      <c r="Y19" s="130"/>
      <c r="Z19" s="439"/>
      <c r="AA19" s="439"/>
      <c r="AB19" s="439"/>
    </row>
    <row r="20" spans="1:28" ht="12.5" hidden="1">
      <c r="A20" s="186" t="s">
        <v>55</v>
      </c>
      <c r="B20" s="461" t="s">
        <v>3416</v>
      </c>
      <c r="C20" s="187" t="s">
        <v>324</v>
      </c>
      <c r="D20" s="187"/>
      <c r="E20" s="187"/>
      <c r="F20" s="187"/>
      <c r="G20" s="187"/>
      <c r="H20" s="187"/>
      <c r="I20" s="187"/>
      <c r="J20" s="187"/>
      <c r="K20" s="187"/>
      <c r="L20" s="187"/>
      <c r="M20" s="187"/>
      <c r="N20" s="187"/>
      <c r="O20" s="187"/>
      <c r="P20" s="187"/>
      <c r="Q20" s="187"/>
      <c r="R20" s="187"/>
      <c r="S20" s="187"/>
      <c r="T20" s="187"/>
      <c r="U20" s="187"/>
      <c r="V20" s="187"/>
      <c r="W20" s="187"/>
      <c r="X20" s="187"/>
      <c r="Y20" s="187"/>
      <c r="Z20" s="187"/>
      <c r="AA20" s="187"/>
      <c r="AB20" s="187"/>
    </row>
    <row r="21" spans="1:28" ht="12.5" hidden="1">
      <c r="A21" s="186" t="s">
        <v>55</v>
      </c>
      <c r="B21" s="187" t="s">
        <v>924</v>
      </c>
      <c r="C21" s="187" t="s">
        <v>925</v>
      </c>
      <c r="D21" s="187"/>
      <c r="E21" s="187"/>
      <c r="F21" s="187"/>
      <c r="G21" s="186"/>
      <c r="H21" s="186"/>
      <c r="I21" s="187"/>
      <c r="J21" s="187"/>
      <c r="K21" s="187"/>
      <c r="L21" s="187"/>
      <c r="M21" s="187"/>
      <c r="N21" s="187" t="s">
        <v>5485</v>
      </c>
      <c r="O21" s="187"/>
      <c r="P21" s="187"/>
      <c r="Q21" s="187"/>
      <c r="R21" s="187"/>
      <c r="S21" s="187"/>
      <c r="T21" s="187"/>
      <c r="U21" s="187"/>
      <c r="V21" s="187"/>
      <c r="W21" s="187"/>
      <c r="X21" s="187"/>
      <c r="Y21" s="187"/>
      <c r="Z21" s="187"/>
      <c r="AA21" s="187"/>
      <c r="AB21" s="187"/>
    </row>
    <row r="22" spans="1:28" ht="12.5" hidden="1">
      <c r="A22" s="186" t="s">
        <v>55</v>
      </c>
      <c r="B22" s="186" t="s">
        <v>5498</v>
      </c>
      <c r="C22" s="186" t="s">
        <v>535</v>
      </c>
      <c r="D22" s="187"/>
      <c r="E22" s="186"/>
      <c r="F22" s="186"/>
      <c r="G22" s="186"/>
      <c r="H22" s="186"/>
      <c r="I22" s="186"/>
      <c r="J22" s="186"/>
      <c r="K22" s="90"/>
      <c r="L22" s="90"/>
      <c r="M22" s="90"/>
      <c r="N22" s="186"/>
      <c r="O22" s="186"/>
      <c r="P22" s="186" t="s">
        <v>5499</v>
      </c>
      <c r="Q22" s="130"/>
      <c r="R22" s="130"/>
      <c r="S22" s="130"/>
      <c r="T22" s="130"/>
      <c r="U22" s="130"/>
      <c r="V22" s="130"/>
      <c r="W22" s="130"/>
      <c r="X22" s="130"/>
      <c r="Y22" s="130"/>
      <c r="Z22" s="439"/>
      <c r="AA22" s="439"/>
      <c r="AB22" s="439"/>
    </row>
    <row r="23" spans="1:28" ht="12.5" hidden="1">
      <c r="A23" s="186" t="s">
        <v>55</v>
      </c>
      <c r="B23" s="186" t="s">
        <v>5500</v>
      </c>
      <c r="C23" s="186" t="s">
        <v>242</v>
      </c>
      <c r="D23" s="187"/>
      <c r="E23" s="186"/>
      <c r="F23" s="186"/>
      <c r="G23" s="186"/>
      <c r="H23" s="186"/>
      <c r="I23" s="186"/>
      <c r="J23" s="186"/>
      <c r="K23" s="90"/>
      <c r="L23" s="90"/>
      <c r="M23" s="90"/>
      <c r="N23" s="186"/>
      <c r="O23" s="186"/>
      <c r="P23" s="186" t="s">
        <v>5501</v>
      </c>
      <c r="Q23" s="130"/>
      <c r="R23" s="130"/>
      <c r="S23" s="130"/>
      <c r="T23" s="130"/>
      <c r="U23" s="130"/>
      <c r="V23" s="130"/>
      <c r="W23" s="130"/>
      <c r="X23" s="130"/>
      <c r="Y23" s="130"/>
      <c r="Z23" s="439"/>
      <c r="AA23" s="439"/>
      <c r="AB23" s="439"/>
    </row>
    <row r="24" spans="1:28" ht="12.5">
      <c r="A24" s="186" t="s">
        <v>5483</v>
      </c>
      <c r="B24" s="186" t="s">
        <v>5502</v>
      </c>
      <c r="C24" s="186" t="s">
        <v>242</v>
      </c>
      <c r="D24" s="187"/>
      <c r="E24" s="186"/>
      <c r="F24" s="186"/>
      <c r="G24" s="186" t="s">
        <v>682</v>
      </c>
      <c r="H24" s="186" t="s">
        <v>5477</v>
      </c>
      <c r="I24" s="186" t="s">
        <v>5503</v>
      </c>
      <c r="J24" s="186"/>
      <c r="K24" s="90"/>
      <c r="L24" s="90"/>
      <c r="M24" s="90"/>
      <c r="N24" s="186" t="s">
        <v>5479</v>
      </c>
      <c r="O24" s="186"/>
      <c r="P24" s="186" t="s">
        <v>5504</v>
      </c>
      <c r="Q24" s="130"/>
      <c r="R24" s="130"/>
      <c r="S24" s="130"/>
      <c r="T24" s="130"/>
      <c r="U24" s="130"/>
      <c r="V24" s="130"/>
      <c r="W24" s="130"/>
      <c r="X24" s="130"/>
      <c r="Y24" s="130"/>
      <c r="Z24" s="439"/>
      <c r="AA24" s="439"/>
      <c r="AB24" s="439"/>
    </row>
    <row r="25" spans="1:28" ht="12.5">
      <c r="A25" s="186" t="s">
        <v>5483</v>
      </c>
      <c r="B25" s="186" t="s">
        <v>5505</v>
      </c>
      <c r="C25" s="186" t="s">
        <v>5506</v>
      </c>
      <c r="D25" s="187"/>
      <c r="E25" s="186"/>
      <c r="F25" s="186"/>
      <c r="G25" s="186" t="s">
        <v>682</v>
      </c>
      <c r="H25" s="186" t="s">
        <v>5477</v>
      </c>
      <c r="I25" s="186" t="s">
        <v>5507</v>
      </c>
      <c r="J25" s="186"/>
      <c r="K25" s="90"/>
      <c r="L25" s="90"/>
      <c r="M25" s="90"/>
      <c r="N25" s="186" t="s">
        <v>5508</v>
      </c>
      <c r="O25" s="186"/>
      <c r="P25" s="186" t="s">
        <v>5509</v>
      </c>
      <c r="Q25" s="130"/>
      <c r="R25" s="130"/>
      <c r="S25" s="130"/>
      <c r="T25" s="130"/>
      <c r="U25" s="130"/>
      <c r="V25" s="130"/>
      <c r="W25" s="130"/>
      <c r="X25" s="130"/>
      <c r="Y25" s="130"/>
      <c r="Z25" s="439"/>
      <c r="AA25" s="439"/>
      <c r="AB25" s="439"/>
    </row>
    <row r="26" spans="1:28" ht="12.5">
      <c r="A26" s="186" t="s">
        <v>55</v>
      </c>
      <c r="B26" s="186" t="s">
        <v>5510</v>
      </c>
      <c r="C26" s="186" t="s">
        <v>247</v>
      </c>
      <c r="D26" s="187"/>
      <c r="E26" s="186"/>
      <c r="F26" s="186"/>
      <c r="G26" s="186" t="s">
        <v>682</v>
      </c>
      <c r="H26" s="186" t="s">
        <v>5477</v>
      </c>
      <c r="I26" s="186" t="s">
        <v>5511</v>
      </c>
      <c r="J26" s="186"/>
      <c r="K26" s="90"/>
      <c r="L26" s="90"/>
      <c r="M26" s="90"/>
      <c r="N26" s="186" t="s">
        <v>5512</v>
      </c>
      <c r="O26" s="186"/>
      <c r="P26" s="186" t="s">
        <v>5513</v>
      </c>
      <c r="Q26" s="130"/>
      <c r="R26" s="130"/>
      <c r="S26" s="130"/>
      <c r="T26" s="130"/>
      <c r="U26" s="130"/>
      <c r="V26" s="130"/>
      <c r="W26" s="130"/>
      <c r="X26" s="130"/>
      <c r="Y26" s="130"/>
      <c r="Z26" s="439"/>
      <c r="AA26" s="439"/>
      <c r="AB26" s="439"/>
    </row>
    <row r="27" spans="1:28" ht="12.5" hidden="1">
      <c r="A27" s="186" t="s">
        <v>55</v>
      </c>
      <c r="B27" s="186" t="s">
        <v>5514</v>
      </c>
      <c r="C27" s="186" t="s">
        <v>249</v>
      </c>
      <c r="D27" s="187"/>
      <c r="E27" s="186"/>
      <c r="F27" s="186"/>
      <c r="G27" s="439"/>
      <c r="H27" s="439"/>
      <c r="I27" s="439"/>
      <c r="J27" s="186"/>
      <c r="K27" s="90"/>
      <c r="L27" s="90"/>
      <c r="M27" s="90"/>
      <c r="N27" s="186"/>
      <c r="O27" s="186"/>
      <c r="P27" s="186" t="s">
        <v>5515</v>
      </c>
      <c r="Q27" s="130"/>
      <c r="R27" s="130"/>
      <c r="S27" s="130"/>
      <c r="T27" s="130"/>
      <c r="U27" s="130"/>
      <c r="V27" s="130"/>
      <c r="W27" s="130"/>
      <c r="X27" s="130"/>
      <c r="Y27" s="130"/>
      <c r="Z27" s="439"/>
      <c r="AA27" s="439"/>
      <c r="AB27" s="439"/>
    </row>
    <row r="28" spans="1:28" ht="12.5">
      <c r="A28" s="186" t="s">
        <v>5483</v>
      </c>
      <c r="B28" s="186" t="s">
        <v>5516</v>
      </c>
      <c r="C28" s="186" t="s">
        <v>247</v>
      </c>
      <c r="D28" s="187"/>
      <c r="E28" s="186"/>
      <c r="F28" s="186"/>
      <c r="G28" s="186" t="s">
        <v>682</v>
      </c>
      <c r="H28" s="186" t="s">
        <v>5477</v>
      </c>
      <c r="I28" s="186" t="s">
        <v>5517</v>
      </c>
      <c r="J28" s="186"/>
      <c r="K28" s="90"/>
      <c r="L28" s="90"/>
      <c r="M28" s="90"/>
      <c r="N28" s="186" t="s">
        <v>5479</v>
      </c>
      <c r="O28" s="186"/>
      <c r="P28" s="186" t="s">
        <v>5518</v>
      </c>
      <c r="Q28" s="130"/>
      <c r="R28" s="130"/>
      <c r="S28" s="130"/>
      <c r="T28" s="130"/>
      <c r="U28" s="130"/>
      <c r="V28" s="130"/>
      <c r="W28" s="130"/>
      <c r="X28" s="130"/>
      <c r="Y28" s="130"/>
      <c r="Z28" s="439"/>
      <c r="AA28" s="439"/>
      <c r="AB28" s="439"/>
    </row>
    <row r="29" spans="1:28" ht="12.5" hidden="1">
      <c r="A29" s="186" t="s">
        <v>55</v>
      </c>
      <c r="B29" s="186" t="s">
        <v>5519</v>
      </c>
      <c r="C29" s="186" t="s">
        <v>919</v>
      </c>
      <c r="D29" s="187"/>
      <c r="E29" s="186"/>
      <c r="F29" s="186"/>
      <c r="G29" s="186"/>
      <c r="H29" s="186"/>
      <c r="I29" s="186"/>
      <c r="J29" s="186"/>
      <c r="K29" s="90"/>
      <c r="L29" s="90"/>
      <c r="M29" s="90"/>
      <c r="N29" s="186" t="s">
        <v>5520</v>
      </c>
      <c r="O29" s="186"/>
      <c r="P29" s="186" t="s">
        <v>5521</v>
      </c>
      <c r="Q29" s="130"/>
      <c r="R29" s="130"/>
      <c r="S29" s="130"/>
      <c r="T29" s="130"/>
      <c r="U29" s="130"/>
      <c r="V29" s="130"/>
      <c r="W29" s="130"/>
      <c r="X29" s="130"/>
      <c r="Y29" s="130"/>
      <c r="Z29" s="439"/>
      <c r="AA29" s="439"/>
      <c r="AB29" s="439"/>
    </row>
    <row r="30" spans="1:28" ht="12.5" hidden="1">
      <c r="A30" s="186" t="s">
        <v>5483</v>
      </c>
      <c r="B30" s="186" t="s">
        <v>5522</v>
      </c>
      <c r="C30" s="186" t="s">
        <v>242</v>
      </c>
      <c r="D30" s="187"/>
      <c r="E30" s="186"/>
      <c r="F30" s="186"/>
      <c r="G30" s="186"/>
      <c r="H30" s="186"/>
      <c r="I30" s="186"/>
      <c r="J30" s="186"/>
      <c r="K30" s="90"/>
      <c r="L30" s="90"/>
      <c r="M30" s="90"/>
      <c r="N30" s="186"/>
      <c r="O30" s="186"/>
      <c r="P30" s="186"/>
      <c r="Q30" s="130"/>
      <c r="R30" s="130"/>
      <c r="S30" s="130"/>
      <c r="T30" s="130"/>
      <c r="U30" s="130"/>
      <c r="V30" s="130"/>
      <c r="W30" s="130"/>
      <c r="X30" s="130"/>
      <c r="Y30" s="130"/>
      <c r="Z30" s="439"/>
      <c r="AA30" s="187"/>
      <c r="AB30" s="187"/>
    </row>
    <row r="31" spans="1:28" ht="12.5" hidden="1">
      <c r="A31" s="186" t="s">
        <v>55</v>
      </c>
      <c r="B31" s="461" t="s">
        <v>3864</v>
      </c>
      <c r="C31" s="187" t="s">
        <v>264</v>
      </c>
      <c r="D31" s="187"/>
      <c r="E31" s="187"/>
      <c r="F31" s="187"/>
      <c r="G31" s="187"/>
      <c r="H31" s="187"/>
      <c r="I31" s="187"/>
      <c r="J31" s="187"/>
      <c r="K31" s="187"/>
      <c r="L31" s="187"/>
      <c r="M31" s="187"/>
      <c r="N31" s="187"/>
      <c r="O31" s="187"/>
      <c r="P31" s="187"/>
      <c r="Q31" s="187"/>
      <c r="R31" s="187"/>
      <c r="S31" s="187"/>
      <c r="T31" s="187"/>
      <c r="U31" s="187"/>
      <c r="V31" s="187"/>
      <c r="W31" s="187"/>
      <c r="X31" s="187"/>
      <c r="Y31" s="187"/>
      <c r="Z31" s="187"/>
      <c r="AA31" s="187"/>
      <c r="AB31" s="187"/>
    </row>
    <row r="32" spans="1:28" ht="12.5" hidden="1">
      <c r="A32" s="186" t="s">
        <v>55</v>
      </c>
      <c r="B32" s="461" t="s">
        <v>3865</v>
      </c>
      <c r="C32" s="187" t="s">
        <v>246</v>
      </c>
      <c r="D32" s="187"/>
      <c r="E32" s="187"/>
      <c r="F32" s="187"/>
      <c r="G32" s="187"/>
      <c r="H32" s="187"/>
      <c r="I32" s="187"/>
      <c r="J32" s="187"/>
      <c r="K32" s="187"/>
      <c r="L32" s="187"/>
      <c r="M32" s="187"/>
      <c r="N32" s="187"/>
      <c r="O32" s="187"/>
      <c r="P32" s="187"/>
      <c r="Q32" s="187"/>
      <c r="R32" s="187"/>
      <c r="S32" s="187"/>
      <c r="T32" s="187"/>
      <c r="U32" s="187"/>
      <c r="V32" s="187"/>
      <c r="W32" s="187"/>
      <c r="X32" s="187"/>
      <c r="Y32" s="187"/>
      <c r="Z32" s="187"/>
      <c r="AA32" s="187"/>
      <c r="AB32" s="187"/>
    </row>
    <row r="33" spans="1:28" ht="12.5" hidden="1">
      <c r="A33" s="186" t="s">
        <v>55</v>
      </c>
      <c r="B33" s="461" t="s">
        <v>5438</v>
      </c>
      <c r="C33" s="187"/>
      <c r="D33" s="187"/>
      <c r="E33" s="187"/>
      <c r="F33" s="187"/>
      <c r="G33" s="186"/>
      <c r="H33" s="186"/>
      <c r="I33" s="187"/>
      <c r="J33" s="187"/>
      <c r="K33" s="187"/>
      <c r="L33" s="187"/>
      <c r="M33" s="187"/>
      <c r="N33" s="187"/>
      <c r="O33" s="187"/>
      <c r="P33" s="187"/>
      <c r="Q33" s="187"/>
      <c r="R33" s="187"/>
      <c r="S33" s="187"/>
      <c r="T33" s="187"/>
      <c r="U33" s="187"/>
      <c r="V33" s="187"/>
      <c r="W33" s="187"/>
      <c r="X33" s="187"/>
      <c r="Y33" s="187"/>
      <c r="Z33" s="187"/>
      <c r="AA33" s="187"/>
      <c r="AB33" s="187"/>
    </row>
    <row r="34" spans="1:28" ht="12.5" hidden="1">
      <c r="A34" s="186" t="s">
        <v>55</v>
      </c>
      <c r="B34" s="461" t="s">
        <v>3433</v>
      </c>
      <c r="C34" s="187" t="s">
        <v>324</v>
      </c>
      <c r="D34" s="187"/>
      <c r="E34" s="187"/>
      <c r="F34" s="187"/>
      <c r="G34" s="187"/>
      <c r="H34" s="187"/>
      <c r="I34" s="187"/>
      <c r="J34" s="187"/>
      <c r="K34" s="187"/>
      <c r="L34" s="187"/>
      <c r="M34" s="187"/>
      <c r="N34" s="187"/>
      <c r="O34" s="187"/>
      <c r="P34" s="187"/>
      <c r="Q34" s="187"/>
      <c r="R34" s="187"/>
      <c r="S34" s="187"/>
      <c r="T34" s="187"/>
      <c r="U34" s="187"/>
      <c r="V34" s="187"/>
      <c r="W34" s="187"/>
      <c r="X34" s="187"/>
      <c r="Y34" s="187"/>
      <c r="Z34" s="187"/>
      <c r="AA34" s="187"/>
      <c r="AB34" s="187"/>
    </row>
    <row r="35" spans="1:28" ht="12.5" hidden="1">
      <c r="A35" s="186" t="s">
        <v>55</v>
      </c>
      <c r="B35" s="186" t="s">
        <v>5523</v>
      </c>
      <c r="C35" s="186" t="s">
        <v>247</v>
      </c>
      <c r="D35" s="187"/>
      <c r="E35" s="186"/>
      <c r="F35" s="186"/>
      <c r="G35" s="186"/>
      <c r="H35" s="186"/>
      <c r="I35" s="186"/>
      <c r="J35" s="186"/>
      <c r="K35" s="90"/>
      <c r="L35" s="90"/>
      <c r="M35" s="90"/>
      <c r="N35" s="186"/>
      <c r="O35" s="186"/>
      <c r="P35" s="186" t="s">
        <v>5524</v>
      </c>
      <c r="Q35" s="130"/>
      <c r="R35" s="130"/>
      <c r="S35" s="130"/>
      <c r="T35" s="130"/>
      <c r="U35" s="130"/>
      <c r="V35" s="130"/>
      <c r="W35" s="130"/>
      <c r="X35" s="130"/>
      <c r="Y35" s="130"/>
      <c r="Z35" s="439"/>
      <c r="AA35" s="439"/>
      <c r="AB35" s="439"/>
    </row>
    <row r="36" spans="1:28" ht="12.5" hidden="1">
      <c r="A36" s="186" t="s">
        <v>55</v>
      </c>
      <c r="B36" s="461" t="s">
        <v>3435</v>
      </c>
      <c r="C36" s="187" t="s">
        <v>324</v>
      </c>
      <c r="D36" s="187"/>
      <c r="E36" s="187"/>
      <c r="F36" s="187"/>
      <c r="G36" s="187"/>
      <c r="H36" s="187"/>
      <c r="I36" s="187"/>
      <c r="J36" s="187"/>
      <c r="K36" s="187"/>
      <c r="L36" s="187"/>
      <c r="M36" s="187"/>
      <c r="N36" s="187"/>
      <c r="O36" s="187"/>
      <c r="P36" s="187"/>
      <c r="Q36" s="187"/>
      <c r="R36" s="187"/>
      <c r="S36" s="187"/>
      <c r="T36" s="187"/>
      <c r="U36" s="187"/>
      <c r="V36" s="187"/>
      <c r="W36" s="187"/>
      <c r="X36" s="187"/>
      <c r="Y36" s="187"/>
      <c r="Z36" s="187"/>
      <c r="AA36" s="187"/>
      <c r="AB36" s="187"/>
    </row>
    <row r="37" spans="1:28" ht="12.5" hidden="1">
      <c r="A37" s="186" t="s">
        <v>55</v>
      </c>
      <c r="B37" s="461" t="s">
        <v>950</v>
      </c>
      <c r="C37" s="187" t="s">
        <v>324</v>
      </c>
      <c r="D37" s="187"/>
      <c r="E37" s="187"/>
      <c r="F37" s="187"/>
      <c r="G37" s="187"/>
      <c r="H37" s="187"/>
      <c r="I37" s="187"/>
      <c r="J37" s="187"/>
      <c r="K37" s="187"/>
      <c r="L37" s="187"/>
      <c r="M37" s="187"/>
      <c r="N37" s="187"/>
      <c r="O37" s="187"/>
      <c r="P37" s="187"/>
      <c r="Q37" s="187"/>
      <c r="R37" s="187"/>
      <c r="S37" s="187"/>
      <c r="T37" s="187"/>
      <c r="U37" s="187"/>
      <c r="V37" s="187"/>
      <c r="W37" s="187"/>
      <c r="X37" s="187"/>
      <c r="Y37" s="187"/>
      <c r="Z37" s="187"/>
      <c r="AA37" s="187"/>
      <c r="AB37" s="187"/>
    </row>
    <row r="38" spans="1:28" ht="12.5" hidden="1">
      <c r="A38" s="186" t="s">
        <v>55</v>
      </c>
      <c r="B38" s="461" t="s">
        <v>3443</v>
      </c>
      <c r="C38" s="187" t="s">
        <v>324</v>
      </c>
      <c r="D38" s="187"/>
      <c r="E38" s="187"/>
      <c r="F38" s="187"/>
      <c r="G38" s="187"/>
      <c r="H38" s="187"/>
      <c r="I38" s="187"/>
      <c r="J38" s="187"/>
      <c r="K38" s="187"/>
      <c r="L38" s="187"/>
      <c r="M38" s="187"/>
      <c r="N38" s="187"/>
      <c r="O38" s="187"/>
      <c r="P38" s="187"/>
      <c r="Q38" s="187"/>
      <c r="R38" s="187"/>
      <c r="S38" s="187"/>
      <c r="T38" s="187"/>
      <c r="U38" s="187"/>
      <c r="V38" s="187"/>
      <c r="W38" s="187"/>
      <c r="X38" s="187"/>
      <c r="Y38" s="187"/>
      <c r="Z38" s="187"/>
      <c r="AA38" s="187"/>
      <c r="AB38" s="187"/>
    </row>
    <row r="39" spans="1:28" ht="12.5" hidden="1">
      <c r="A39" s="186" t="s">
        <v>55</v>
      </c>
      <c r="B39" s="461" t="s">
        <v>3445</v>
      </c>
      <c r="C39" s="187" t="s">
        <v>324</v>
      </c>
      <c r="D39" s="187"/>
      <c r="E39" s="187"/>
      <c r="F39" s="187"/>
      <c r="G39" s="187"/>
      <c r="H39" s="187"/>
      <c r="I39" s="187"/>
      <c r="J39" s="187"/>
      <c r="K39" s="187"/>
      <c r="L39" s="187"/>
      <c r="M39" s="187"/>
      <c r="N39" s="187"/>
      <c r="O39" s="187"/>
      <c r="P39" s="187"/>
      <c r="Q39" s="187"/>
      <c r="R39" s="187"/>
      <c r="S39" s="187"/>
      <c r="T39" s="187"/>
      <c r="U39" s="187"/>
      <c r="V39" s="187"/>
      <c r="W39" s="187"/>
      <c r="X39" s="187"/>
      <c r="Y39" s="187"/>
      <c r="Z39" s="187"/>
      <c r="AA39" s="187"/>
      <c r="AB39" s="187"/>
    </row>
    <row r="40" spans="1:28" ht="12.5" hidden="1">
      <c r="A40" s="186" t="s">
        <v>55</v>
      </c>
      <c r="B40" s="461" t="s">
        <v>3867</v>
      </c>
      <c r="C40" s="187" t="s">
        <v>249</v>
      </c>
      <c r="D40" s="187"/>
      <c r="E40" s="187"/>
      <c r="F40" s="187"/>
      <c r="G40" s="187"/>
      <c r="H40" s="187"/>
      <c r="I40" s="187"/>
      <c r="J40" s="187"/>
      <c r="K40" s="187"/>
      <c r="L40" s="187"/>
      <c r="M40" s="187"/>
      <c r="N40" s="187"/>
      <c r="O40" s="187"/>
      <c r="P40" s="187"/>
      <c r="Q40" s="187"/>
      <c r="R40" s="187"/>
      <c r="S40" s="187"/>
      <c r="T40" s="187"/>
      <c r="U40" s="187"/>
      <c r="V40" s="187"/>
      <c r="W40" s="187"/>
      <c r="X40" s="187"/>
      <c r="Y40" s="187"/>
      <c r="Z40" s="187"/>
      <c r="AA40" s="187"/>
      <c r="AB40" s="187"/>
    </row>
    <row r="41" spans="1:28" ht="12.5" hidden="1">
      <c r="A41" s="186" t="s">
        <v>55</v>
      </c>
      <c r="B41" s="461" t="s">
        <v>914</v>
      </c>
      <c r="C41" s="187" t="s">
        <v>247</v>
      </c>
      <c r="D41" s="187"/>
      <c r="E41" s="187"/>
      <c r="F41" s="187"/>
      <c r="G41" s="187"/>
      <c r="H41" s="187"/>
      <c r="I41" s="187"/>
      <c r="J41" s="187"/>
      <c r="K41" s="187"/>
      <c r="L41" s="187"/>
      <c r="M41" s="187"/>
      <c r="N41" s="187"/>
      <c r="O41" s="187"/>
      <c r="P41" s="187"/>
      <c r="Q41" s="187"/>
      <c r="R41" s="187"/>
      <c r="S41" s="187"/>
      <c r="T41" s="187"/>
      <c r="U41" s="187"/>
      <c r="V41" s="187"/>
      <c r="W41" s="187"/>
      <c r="X41" s="187"/>
      <c r="Y41" s="187"/>
      <c r="Z41" s="187"/>
      <c r="AA41" s="187"/>
      <c r="AB41" s="187"/>
    </row>
    <row r="42" spans="1:28" ht="12.5" hidden="1">
      <c r="A42" s="186" t="s">
        <v>55</v>
      </c>
      <c r="B42" s="461" t="s">
        <v>5525</v>
      </c>
      <c r="C42" s="187"/>
      <c r="D42" s="187"/>
      <c r="E42" s="187"/>
      <c r="F42" s="187"/>
      <c r="G42" s="187"/>
      <c r="H42" s="187"/>
      <c r="I42" s="187"/>
      <c r="J42" s="187"/>
      <c r="K42" s="187"/>
      <c r="L42" s="187"/>
      <c r="M42" s="187"/>
      <c r="N42" s="187"/>
      <c r="O42" s="187"/>
      <c r="P42" s="187"/>
      <c r="Q42" s="187"/>
      <c r="R42" s="187"/>
      <c r="S42" s="187"/>
      <c r="T42" s="187"/>
      <c r="U42" s="187"/>
      <c r="V42" s="187"/>
      <c r="W42" s="187"/>
      <c r="X42" s="187"/>
      <c r="Y42" s="187"/>
      <c r="Z42" s="187"/>
      <c r="AA42" s="187"/>
      <c r="AB42" s="187"/>
    </row>
    <row r="43" spans="1:28" ht="12.5">
      <c r="A43" s="186" t="s">
        <v>3681</v>
      </c>
      <c r="B43" s="439" t="s">
        <v>174</v>
      </c>
      <c r="C43" s="439" t="s">
        <v>909</v>
      </c>
      <c r="D43" s="187"/>
      <c r="E43" s="187"/>
      <c r="F43" s="187"/>
      <c r="G43" s="439" t="s">
        <v>682</v>
      </c>
      <c r="H43" s="186" t="s">
        <v>5477</v>
      </c>
      <c r="I43" s="186" t="s">
        <v>5526</v>
      </c>
      <c r="J43" s="439"/>
      <c r="K43" s="439"/>
      <c r="L43" s="439"/>
      <c r="M43" s="439"/>
      <c r="N43" s="439"/>
      <c r="O43" s="439"/>
      <c r="P43" s="439"/>
      <c r="Q43" s="439"/>
      <c r="R43" s="439"/>
      <c r="S43" s="439"/>
      <c r="T43" s="439"/>
      <c r="U43" s="439"/>
      <c r="V43" s="439"/>
      <c r="W43" s="439"/>
      <c r="X43" s="439"/>
      <c r="Y43" s="439"/>
      <c r="Z43" s="439"/>
      <c r="AA43" s="439"/>
      <c r="AB43" s="439"/>
    </row>
    <row r="44" spans="1:28" ht="12.5" hidden="1">
      <c r="A44" s="186" t="s">
        <v>55</v>
      </c>
      <c r="B44" s="461" t="s">
        <v>3761</v>
      </c>
      <c r="C44" s="187" t="s">
        <v>324</v>
      </c>
      <c r="D44" s="187"/>
      <c r="E44" s="187"/>
      <c r="F44" s="187"/>
      <c r="G44" s="187"/>
      <c r="H44" s="187"/>
      <c r="I44" s="187"/>
      <c r="J44" s="187"/>
      <c r="K44" s="187"/>
      <c r="L44" s="187"/>
      <c r="M44" s="187"/>
      <c r="N44" s="187"/>
      <c r="O44" s="187"/>
      <c r="P44" s="187"/>
      <c r="Q44" s="187"/>
      <c r="R44" s="187"/>
      <c r="S44" s="187"/>
      <c r="T44" s="187"/>
      <c r="U44" s="187"/>
      <c r="V44" s="187"/>
      <c r="W44" s="187"/>
      <c r="X44" s="187"/>
      <c r="Y44" s="187"/>
      <c r="Z44" s="187"/>
      <c r="AA44" s="187"/>
      <c r="AB44" s="187"/>
    </row>
    <row r="45" spans="1:28" ht="12.5" hidden="1">
      <c r="A45" s="186" t="s">
        <v>55</v>
      </c>
      <c r="B45" s="461" t="s">
        <v>3470</v>
      </c>
      <c r="C45" s="187" t="s">
        <v>324</v>
      </c>
      <c r="D45" s="187"/>
      <c r="E45" s="187"/>
      <c r="F45" s="187"/>
      <c r="G45" s="187"/>
      <c r="H45" s="187"/>
      <c r="I45" s="187"/>
      <c r="J45" s="187"/>
      <c r="K45" s="187"/>
      <c r="L45" s="187"/>
      <c r="M45" s="187"/>
      <c r="N45" s="187"/>
      <c r="O45" s="187"/>
      <c r="P45" s="187"/>
      <c r="Q45" s="187"/>
      <c r="R45" s="187"/>
      <c r="S45" s="187"/>
      <c r="T45" s="187"/>
      <c r="U45" s="187"/>
      <c r="V45" s="187"/>
      <c r="W45" s="187"/>
      <c r="X45" s="187"/>
      <c r="Y45" s="187"/>
      <c r="Z45" s="187"/>
      <c r="AA45" s="187"/>
      <c r="AB45" s="187"/>
    </row>
    <row r="46" spans="1:28" ht="12.5" hidden="1">
      <c r="A46" s="186" t="s">
        <v>55</v>
      </c>
      <c r="B46" s="461" t="s">
        <v>940</v>
      </c>
      <c r="C46" s="187" t="s">
        <v>941</v>
      </c>
      <c r="D46" s="187"/>
      <c r="E46" s="187"/>
      <c r="F46" s="187"/>
      <c r="G46" s="187"/>
      <c r="H46" s="187"/>
      <c r="I46" s="187"/>
      <c r="J46" s="187"/>
      <c r="K46" s="187"/>
      <c r="L46" s="187"/>
      <c r="M46" s="187"/>
      <c r="N46" s="187"/>
      <c r="O46" s="187"/>
      <c r="P46" s="187"/>
      <c r="Q46" s="187"/>
      <c r="R46" s="187"/>
      <c r="S46" s="187"/>
      <c r="T46" s="187"/>
      <c r="U46" s="187"/>
      <c r="V46" s="187"/>
      <c r="W46" s="187"/>
      <c r="X46" s="187"/>
      <c r="Y46" s="187"/>
      <c r="Z46" s="187"/>
      <c r="AA46" s="187"/>
      <c r="AB46" s="187"/>
    </row>
    <row r="47" spans="1:28" ht="12.5" hidden="1">
      <c r="A47" s="186" t="s">
        <v>55</v>
      </c>
      <c r="B47" s="186" t="s">
        <v>5527</v>
      </c>
      <c r="C47" s="186" t="s">
        <v>432</v>
      </c>
      <c r="D47" s="187"/>
      <c r="E47" s="186"/>
      <c r="F47" s="186"/>
      <c r="G47" s="186"/>
      <c r="H47" s="186"/>
      <c r="I47" s="186"/>
      <c r="J47" s="186"/>
      <c r="K47" s="90"/>
      <c r="L47" s="90"/>
      <c r="M47" s="90"/>
      <c r="N47" s="186"/>
      <c r="O47" s="186"/>
      <c r="P47" s="186" t="s">
        <v>5528</v>
      </c>
      <c r="Q47" s="130"/>
      <c r="R47" s="130"/>
      <c r="S47" s="130"/>
      <c r="T47" s="130"/>
      <c r="U47" s="130"/>
      <c r="V47" s="130"/>
      <c r="W47" s="130"/>
      <c r="X47" s="130"/>
      <c r="Y47" s="130"/>
      <c r="Z47" s="439"/>
      <c r="AA47" s="439"/>
      <c r="AB47" s="439"/>
    </row>
    <row r="48" spans="1:28" ht="12.5" hidden="1">
      <c r="A48" s="186" t="s">
        <v>55</v>
      </c>
      <c r="B48" s="186" t="s">
        <v>5157</v>
      </c>
      <c r="C48" s="186" t="s">
        <v>242</v>
      </c>
      <c r="D48" s="187"/>
      <c r="E48" s="186"/>
      <c r="F48" s="186"/>
      <c r="G48" s="186"/>
      <c r="H48" s="186"/>
      <c r="I48" s="186"/>
      <c r="J48" s="186"/>
      <c r="K48" s="90"/>
      <c r="L48" s="90"/>
      <c r="M48" s="90"/>
      <c r="N48" s="186"/>
      <c r="O48" s="186"/>
      <c r="P48" s="186" t="s">
        <v>5529</v>
      </c>
      <c r="Q48" s="130"/>
      <c r="R48" s="130"/>
      <c r="S48" s="130"/>
      <c r="T48" s="130"/>
      <c r="U48" s="130"/>
      <c r="V48" s="130"/>
      <c r="W48" s="130"/>
      <c r="X48" s="130"/>
      <c r="Y48" s="130"/>
      <c r="Z48" s="439"/>
      <c r="AA48" s="439"/>
      <c r="AB48" s="439"/>
    </row>
    <row r="49" spans="1:28" ht="12.5" hidden="1">
      <c r="A49" s="186" t="s">
        <v>55</v>
      </c>
      <c r="B49" s="186" t="s">
        <v>124</v>
      </c>
      <c r="C49" s="186" t="s">
        <v>535</v>
      </c>
      <c r="D49" s="187"/>
      <c r="E49" s="186"/>
      <c r="F49" s="186"/>
      <c r="G49" s="186"/>
      <c r="H49" s="186"/>
      <c r="I49" s="186"/>
      <c r="J49" s="186"/>
      <c r="K49" s="90"/>
      <c r="L49" s="90"/>
      <c r="M49" s="90"/>
      <c r="N49" s="186"/>
      <c r="O49" s="186"/>
      <c r="P49" s="186" t="s">
        <v>5530</v>
      </c>
      <c r="Q49" s="130"/>
      <c r="R49" s="130"/>
      <c r="S49" s="130"/>
      <c r="T49" s="130"/>
      <c r="U49" s="130"/>
      <c r="V49" s="130"/>
      <c r="W49" s="130"/>
      <c r="X49" s="130"/>
      <c r="Y49" s="130"/>
      <c r="Z49" s="439"/>
      <c r="AA49" s="439"/>
      <c r="AB49" s="439"/>
    </row>
    <row r="50" spans="1:28" ht="12.5">
      <c r="A50" s="186" t="s">
        <v>55</v>
      </c>
      <c r="B50" s="186" t="s">
        <v>5531</v>
      </c>
      <c r="C50" s="186" t="s">
        <v>242</v>
      </c>
      <c r="D50" s="187"/>
      <c r="E50" s="186"/>
      <c r="F50" s="186"/>
      <c r="G50" s="186" t="s">
        <v>682</v>
      </c>
      <c r="H50" s="186" t="s">
        <v>5477</v>
      </c>
      <c r="I50" s="186" t="s">
        <v>5532</v>
      </c>
      <c r="J50" s="186"/>
      <c r="K50" s="90"/>
      <c r="L50" s="90"/>
      <c r="M50" s="90"/>
      <c r="N50" s="186" t="s">
        <v>5533</v>
      </c>
      <c r="O50" s="186"/>
      <c r="P50" s="186" t="s">
        <v>5534</v>
      </c>
      <c r="Q50" s="130"/>
      <c r="R50" s="130"/>
      <c r="S50" s="130"/>
      <c r="T50" s="130"/>
      <c r="U50" s="130"/>
      <c r="V50" s="130"/>
      <c r="W50" s="130"/>
      <c r="X50" s="130"/>
      <c r="Y50" s="130"/>
      <c r="Z50" s="439"/>
      <c r="AA50" s="439"/>
      <c r="AB50" s="439"/>
    </row>
    <row r="51" spans="1:28" ht="12.5" hidden="1">
      <c r="A51" s="186" t="s">
        <v>55</v>
      </c>
      <c r="B51" s="186" t="s">
        <v>5535</v>
      </c>
      <c r="C51" s="186" t="s">
        <v>5161</v>
      </c>
      <c r="D51" s="187"/>
      <c r="E51" s="186"/>
      <c r="F51" s="186"/>
      <c r="G51" s="186"/>
      <c r="H51" s="186"/>
      <c r="I51" s="186"/>
      <c r="J51" s="186"/>
      <c r="K51" s="90"/>
      <c r="L51" s="90"/>
      <c r="M51" s="90"/>
      <c r="N51" s="186"/>
      <c r="O51" s="186"/>
      <c r="P51" s="186" t="s">
        <v>5536</v>
      </c>
      <c r="Q51" s="130"/>
      <c r="R51" s="130"/>
      <c r="S51" s="130"/>
      <c r="T51" s="130"/>
      <c r="U51" s="130"/>
      <c r="V51" s="130"/>
      <c r="W51" s="130"/>
      <c r="X51" s="130"/>
      <c r="Y51" s="130"/>
      <c r="Z51" s="439"/>
      <c r="AA51" s="439"/>
      <c r="AB51" s="439"/>
    </row>
    <row r="52" spans="1:28" ht="12.5" hidden="1">
      <c r="A52" s="186" t="s">
        <v>55</v>
      </c>
      <c r="B52" s="461" t="s">
        <v>5537</v>
      </c>
      <c r="C52" s="187"/>
      <c r="D52" s="187"/>
      <c r="E52" s="187"/>
      <c r="F52" s="187"/>
      <c r="G52" s="187"/>
      <c r="H52" s="187"/>
      <c r="I52" s="187"/>
      <c r="J52" s="187"/>
      <c r="K52" s="187"/>
      <c r="L52" s="187"/>
      <c r="M52" s="187"/>
      <c r="N52" s="187"/>
      <c r="O52" s="187"/>
      <c r="P52" s="187"/>
      <c r="Q52" s="187"/>
      <c r="R52" s="187"/>
      <c r="S52" s="187"/>
      <c r="T52" s="187"/>
      <c r="U52" s="187"/>
      <c r="V52" s="187"/>
      <c r="W52" s="187"/>
      <c r="X52" s="187"/>
      <c r="Y52" s="187"/>
      <c r="Z52" s="187"/>
      <c r="AA52" s="187"/>
      <c r="AB52" s="187"/>
    </row>
    <row r="53" spans="1:28" ht="12.5" hidden="1">
      <c r="A53" s="186" t="s">
        <v>55</v>
      </c>
      <c r="B53" s="461" t="s">
        <v>5538</v>
      </c>
      <c r="C53" s="187"/>
      <c r="D53" s="187"/>
      <c r="E53" s="187"/>
      <c r="F53" s="187"/>
      <c r="G53" s="187"/>
      <c r="H53" s="187"/>
      <c r="I53" s="187"/>
      <c r="J53" s="187"/>
      <c r="K53" s="187"/>
      <c r="L53" s="187"/>
      <c r="M53" s="187"/>
      <c r="N53" s="187"/>
      <c r="O53" s="187"/>
      <c r="P53" s="187"/>
      <c r="Q53" s="187"/>
      <c r="R53" s="187"/>
      <c r="S53" s="187"/>
      <c r="T53" s="187"/>
      <c r="U53" s="187"/>
      <c r="V53" s="187"/>
      <c r="W53" s="187"/>
      <c r="X53" s="187"/>
      <c r="Y53" s="187"/>
      <c r="Z53" s="187"/>
      <c r="AA53" s="187"/>
      <c r="AB53" s="187"/>
    </row>
    <row r="54" spans="1:28" ht="12.5" hidden="1">
      <c r="A54" s="186" t="s">
        <v>55</v>
      </c>
      <c r="B54" s="186" t="s">
        <v>5539</v>
      </c>
      <c r="C54" s="186" t="s">
        <v>5115</v>
      </c>
      <c r="D54" s="187"/>
      <c r="E54" s="186"/>
      <c r="F54" s="186"/>
      <c r="G54" s="186"/>
      <c r="H54" s="186"/>
      <c r="I54" s="186"/>
      <c r="J54" s="186"/>
      <c r="K54" s="90"/>
      <c r="L54" s="90"/>
      <c r="M54" s="90"/>
      <c r="N54" s="186"/>
      <c r="O54" s="186"/>
      <c r="P54" s="186" t="s">
        <v>5540</v>
      </c>
      <c r="Q54" s="130"/>
      <c r="R54" s="130"/>
      <c r="S54" s="130"/>
      <c r="T54" s="130"/>
      <c r="U54" s="130"/>
      <c r="V54" s="130"/>
      <c r="W54" s="130"/>
      <c r="X54" s="130"/>
      <c r="Y54" s="130"/>
      <c r="Z54" s="439"/>
      <c r="AA54" s="439"/>
      <c r="AB54" s="439"/>
    </row>
    <row r="55" spans="1:28" ht="12.5">
      <c r="A55" s="186" t="s">
        <v>55</v>
      </c>
      <c r="B55" s="186" t="s">
        <v>5541</v>
      </c>
      <c r="C55" s="186" t="s">
        <v>919</v>
      </c>
      <c r="D55" s="187"/>
      <c r="E55" s="186"/>
      <c r="F55" s="186"/>
      <c r="G55" s="186" t="s">
        <v>682</v>
      </c>
      <c r="H55" s="186" t="s">
        <v>5477</v>
      </c>
      <c r="I55" s="186" t="s">
        <v>5542</v>
      </c>
      <c r="J55" s="186"/>
      <c r="K55" s="90"/>
      <c r="L55" s="90"/>
      <c r="M55" s="90"/>
      <c r="N55" s="186" t="s">
        <v>5533</v>
      </c>
      <c r="O55" s="186"/>
      <c r="P55" s="186" t="s">
        <v>5543</v>
      </c>
      <c r="Q55" s="130"/>
      <c r="R55" s="130"/>
      <c r="S55" s="130"/>
      <c r="T55" s="130"/>
      <c r="U55" s="130"/>
      <c r="V55" s="130"/>
      <c r="W55" s="130"/>
      <c r="X55" s="130"/>
      <c r="Y55" s="130"/>
      <c r="Z55" s="439"/>
      <c r="AA55" s="439"/>
      <c r="AB55" s="439"/>
    </row>
    <row r="56" spans="1:28" ht="12.5" hidden="1">
      <c r="A56" s="186" t="s">
        <v>55</v>
      </c>
      <c r="B56" s="461" t="s">
        <v>3870</v>
      </c>
      <c r="C56" s="187" t="s">
        <v>249</v>
      </c>
      <c r="D56" s="187"/>
      <c r="E56" s="187"/>
      <c r="F56" s="187"/>
      <c r="G56" s="187"/>
      <c r="H56" s="187"/>
      <c r="I56" s="187"/>
      <c r="J56" s="187"/>
      <c r="K56" s="187"/>
      <c r="L56" s="187"/>
      <c r="M56" s="187"/>
      <c r="N56" s="187"/>
      <c r="O56" s="187"/>
      <c r="P56" s="187"/>
      <c r="Q56" s="187"/>
      <c r="R56" s="187"/>
      <c r="S56" s="187"/>
      <c r="T56" s="187"/>
      <c r="U56" s="187"/>
      <c r="V56" s="187"/>
      <c r="W56" s="187"/>
      <c r="X56" s="187"/>
      <c r="Y56" s="187"/>
      <c r="Z56" s="187"/>
      <c r="AA56" s="187"/>
      <c r="AB56" s="187"/>
    </row>
    <row r="57" spans="1:28" ht="12.5" hidden="1">
      <c r="A57" s="186" t="s">
        <v>55</v>
      </c>
      <c r="B57" s="461" t="s">
        <v>3771</v>
      </c>
      <c r="C57" s="187" t="s">
        <v>264</v>
      </c>
      <c r="D57" s="187"/>
      <c r="E57" s="187"/>
      <c r="F57" s="187"/>
      <c r="G57" s="187"/>
      <c r="H57" s="187"/>
      <c r="I57" s="187"/>
      <c r="J57" s="187"/>
      <c r="K57" s="187"/>
      <c r="L57" s="187"/>
      <c r="M57" s="187"/>
      <c r="N57" s="187"/>
      <c r="O57" s="187"/>
      <c r="P57" s="187"/>
      <c r="Q57" s="187"/>
      <c r="R57" s="187"/>
      <c r="S57" s="187"/>
      <c r="T57" s="187"/>
      <c r="U57" s="187"/>
      <c r="V57" s="187"/>
      <c r="W57" s="187"/>
      <c r="X57" s="187"/>
      <c r="Y57" s="187"/>
      <c r="Z57" s="187"/>
      <c r="AA57" s="187"/>
      <c r="AB57" s="187"/>
    </row>
    <row r="58" spans="1:28" ht="12.5">
      <c r="A58" s="186" t="s">
        <v>55</v>
      </c>
      <c r="B58" s="186" t="s">
        <v>5544</v>
      </c>
      <c r="C58" s="186" t="s">
        <v>242</v>
      </c>
      <c r="D58" s="187"/>
      <c r="E58" s="186"/>
      <c r="F58" s="186"/>
      <c r="G58" s="186" t="s">
        <v>682</v>
      </c>
      <c r="H58" s="186" t="s">
        <v>5477</v>
      </c>
      <c r="I58" s="186" t="s">
        <v>5545</v>
      </c>
      <c r="J58" s="186"/>
      <c r="K58" s="90"/>
      <c r="L58" s="90"/>
      <c r="M58" s="90"/>
      <c r="N58" s="186" t="s">
        <v>5520</v>
      </c>
      <c r="O58" s="186"/>
      <c r="P58" s="186" t="s">
        <v>5546</v>
      </c>
      <c r="Q58" s="130"/>
      <c r="R58" s="130"/>
      <c r="S58" s="130"/>
      <c r="T58" s="130"/>
      <c r="U58" s="130"/>
      <c r="V58" s="130"/>
      <c r="W58" s="130"/>
      <c r="X58" s="130"/>
      <c r="Y58" s="130"/>
      <c r="Z58" s="439"/>
      <c r="AA58" s="439"/>
      <c r="AB58" s="439"/>
    </row>
    <row r="59" spans="1:28" ht="12.5" hidden="1">
      <c r="A59" s="186" t="s">
        <v>55</v>
      </c>
      <c r="B59" s="186" t="s">
        <v>5547</v>
      </c>
      <c r="C59" s="186" t="s">
        <v>242</v>
      </c>
      <c r="D59" s="187"/>
      <c r="E59" s="186"/>
      <c r="F59" s="186"/>
      <c r="G59" s="186"/>
      <c r="H59" s="186"/>
      <c r="I59" s="186"/>
      <c r="J59" s="186"/>
      <c r="K59" s="90"/>
      <c r="L59" s="90"/>
      <c r="M59" s="90"/>
      <c r="N59" s="186"/>
      <c r="O59" s="186"/>
      <c r="P59" s="186" t="s">
        <v>5548</v>
      </c>
      <c r="Q59" s="130"/>
      <c r="R59" s="130"/>
      <c r="S59" s="130"/>
      <c r="T59" s="130"/>
      <c r="U59" s="130"/>
      <c r="V59" s="130"/>
      <c r="W59" s="130"/>
      <c r="X59" s="130"/>
      <c r="Y59" s="130"/>
      <c r="Z59" s="439"/>
      <c r="AA59" s="439"/>
      <c r="AB59" s="439"/>
    </row>
    <row r="60" spans="1:28" ht="12.5" hidden="1">
      <c r="A60" s="186" t="s">
        <v>55</v>
      </c>
      <c r="B60" s="461" t="s">
        <v>916</v>
      </c>
      <c r="C60" s="187" t="s">
        <v>247</v>
      </c>
      <c r="D60" s="187"/>
      <c r="E60" s="187"/>
      <c r="F60" s="187"/>
      <c r="G60" s="187"/>
      <c r="H60" s="187"/>
      <c r="I60" s="187"/>
      <c r="J60" s="187"/>
      <c r="K60" s="187"/>
      <c r="L60" s="187"/>
      <c r="M60" s="187"/>
      <c r="N60" s="187"/>
      <c r="O60" s="187"/>
      <c r="P60" s="187"/>
      <c r="Q60" s="187"/>
      <c r="R60" s="187"/>
      <c r="S60" s="187"/>
      <c r="T60" s="187"/>
      <c r="U60" s="187"/>
      <c r="V60" s="187"/>
      <c r="W60" s="187"/>
      <c r="X60" s="187"/>
      <c r="Y60" s="187"/>
      <c r="Z60" s="187"/>
      <c r="AA60" s="187"/>
      <c r="AB60" s="187"/>
    </row>
    <row r="61" spans="1:28" ht="12.5" hidden="1">
      <c r="A61" s="186" t="s">
        <v>55</v>
      </c>
      <c r="B61" s="461" t="s">
        <v>3483</v>
      </c>
      <c r="C61" s="187" t="s">
        <v>247</v>
      </c>
      <c r="D61" s="187"/>
      <c r="E61" s="187"/>
      <c r="F61" s="187"/>
      <c r="G61" s="187"/>
      <c r="H61" s="187"/>
      <c r="I61" s="187"/>
      <c r="J61" s="187"/>
      <c r="K61" s="187"/>
      <c r="L61" s="187"/>
      <c r="M61" s="187"/>
      <c r="N61" s="187"/>
      <c r="O61" s="187"/>
      <c r="P61" s="187"/>
      <c r="Q61" s="187"/>
      <c r="R61" s="187"/>
      <c r="S61" s="187"/>
      <c r="T61" s="187"/>
      <c r="U61" s="187"/>
      <c r="V61" s="187"/>
      <c r="W61" s="187"/>
      <c r="X61" s="187"/>
      <c r="Y61" s="187"/>
      <c r="Z61" s="187"/>
      <c r="AA61" s="187"/>
      <c r="AB61" s="187"/>
    </row>
    <row r="62" spans="1:28" ht="12.5" hidden="1">
      <c r="A62" s="186" t="s">
        <v>55</v>
      </c>
      <c r="B62" s="461" t="s">
        <v>3485</v>
      </c>
      <c r="C62" s="187" t="s">
        <v>247</v>
      </c>
      <c r="D62" s="187"/>
      <c r="E62" s="187"/>
      <c r="F62" s="187"/>
      <c r="G62" s="187"/>
      <c r="H62" s="187"/>
      <c r="I62" s="187"/>
      <c r="J62" s="187"/>
      <c r="K62" s="187"/>
      <c r="L62" s="187"/>
      <c r="M62" s="187"/>
      <c r="N62" s="187"/>
      <c r="O62" s="187"/>
      <c r="P62" s="187"/>
      <c r="Q62" s="187"/>
      <c r="R62" s="187"/>
      <c r="S62" s="187"/>
      <c r="T62" s="187"/>
      <c r="U62" s="187"/>
      <c r="V62" s="187"/>
      <c r="W62" s="187"/>
      <c r="X62" s="187"/>
      <c r="Y62" s="187"/>
      <c r="Z62" s="187"/>
      <c r="AA62" s="187"/>
      <c r="AB62" s="187"/>
    </row>
    <row r="63" spans="1:28" ht="12.5">
      <c r="A63" s="186" t="s">
        <v>55</v>
      </c>
      <c r="B63" s="439" t="s">
        <v>918</v>
      </c>
      <c r="C63" s="439" t="s">
        <v>919</v>
      </c>
      <c r="D63" s="187"/>
      <c r="E63" s="187"/>
      <c r="F63" s="187"/>
      <c r="G63" s="439" t="s">
        <v>682</v>
      </c>
      <c r="H63" s="186" t="s">
        <v>5477</v>
      </c>
      <c r="I63" s="186" t="s">
        <v>5549</v>
      </c>
      <c r="J63" s="439"/>
      <c r="K63" s="439"/>
      <c r="L63" s="439"/>
      <c r="M63" s="439"/>
      <c r="N63" s="439"/>
      <c r="O63" s="439"/>
      <c r="P63" s="439"/>
      <c r="Q63" s="439"/>
      <c r="R63" s="439"/>
      <c r="S63" s="439"/>
      <c r="T63" s="439"/>
      <c r="U63" s="439"/>
      <c r="V63" s="439"/>
      <c r="W63" s="439"/>
      <c r="X63" s="439"/>
      <c r="Y63" s="439"/>
      <c r="Z63" s="439"/>
      <c r="AA63" s="439"/>
      <c r="AB63" s="439"/>
    </row>
    <row r="64" spans="1:28" ht="12.5" hidden="1">
      <c r="A64" s="186" t="s">
        <v>55</v>
      </c>
      <c r="B64" s="461" t="s">
        <v>3491</v>
      </c>
      <c r="C64" s="187" t="s">
        <v>247</v>
      </c>
      <c r="D64" s="187"/>
      <c r="E64" s="187"/>
      <c r="F64" s="187"/>
      <c r="G64" s="187"/>
      <c r="H64" s="187"/>
      <c r="I64" s="187"/>
      <c r="J64" s="187"/>
      <c r="K64" s="187"/>
      <c r="L64" s="187"/>
      <c r="M64" s="187"/>
      <c r="N64" s="187"/>
      <c r="O64" s="187"/>
      <c r="P64" s="187"/>
      <c r="Q64" s="187"/>
      <c r="R64" s="187"/>
      <c r="S64" s="187"/>
      <c r="T64" s="187"/>
      <c r="U64" s="187"/>
      <c r="V64" s="187"/>
      <c r="W64" s="187"/>
      <c r="X64" s="187"/>
      <c r="Y64" s="187"/>
      <c r="Z64" s="187"/>
      <c r="AA64" s="187"/>
      <c r="AB64" s="187"/>
    </row>
    <row r="65" spans="1:28" ht="12.5" hidden="1">
      <c r="A65" s="186" t="s">
        <v>55</v>
      </c>
      <c r="B65" s="461" t="s">
        <v>3493</v>
      </c>
      <c r="C65" s="187" t="s">
        <v>247</v>
      </c>
      <c r="D65" s="187"/>
      <c r="E65" s="187"/>
      <c r="F65" s="187"/>
      <c r="G65" s="187"/>
      <c r="H65" s="187"/>
      <c r="I65" s="187"/>
      <c r="J65" s="187"/>
      <c r="K65" s="187"/>
      <c r="L65" s="187"/>
      <c r="M65" s="187"/>
      <c r="N65" s="187"/>
      <c r="O65" s="187"/>
      <c r="P65" s="187"/>
      <c r="Q65" s="187"/>
      <c r="R65" s="187"/>
      <c r="S65" s="187"/>
      <c r="T65" s="187"/>
      <c r="U65" s="187"/>
      <c r="V65" s="187"/>
      <c r="W65" s="187"/>
      <c r="X65" s="187"/>
      <c r="Y65" s="187"/>
      <c r="Z65" s="187"/>
      <c r="AA65" s="187"/>
      <c r="AB65" s="187"/>
    </row>
    <row r="66" spans="1:28" ht="12.5" hidden="1">
      <c r="A66" s="186" t="s">
        <v>55</v>
      </c>
      <c r="B66" s="461" t="s">
        <v>3494</v>
      </c>
      <c r="C66" s="187" t="s">
        <v>247</v>
      </c>
      <c r="D66" s="187"/>
      <c r="E66" s="187"/>
      <c r="F66" s="187"/>
      <c r="G66" s="187"/>
      <c r="H66" s="187"/>
      <c r="I66" s="187"/>
      <c r="J66" s="187"/>
      <c r="K66" s="187"/>
      <c r="L66" s="187"/>
      <c r="M66" s="187"/>
      <c r="N66" s="187"/>
      <c r="O66" s="187"/>
      <c r="P66" s="187"/>
      <c r="Q66" s="187"/>
      <c r="R66" s="187"/>
      <c r="S66" s="187"/>
      <c r="T66" s="187"/>
      <c r="U66" s="187"/>
      <c r="V66" s="187"/>
      <c r="W66" s="187"/>
      <c r="X66" s="187"/>
      <c r="Y66" s="187"/>
      <c r="Z66" s="187"/>
      <c r="AA66" s="187"/>
      <c r="AB66" s="187"/>
    </row>
    <row r="67" spans="1:28" ht="12.5" hidden="1">
      <c r="A67" s="186" t="s">
        <v>55</v>
      </c>
      <c r="B67" s="461" t="s">
        <v>943</v>
      </c>
      <c r="C67" s="187" t="s">
        <v>247</v>
      </c>
      <c r="D67" s="187"/>
      <c r="E67" s="187"/>
      <c r="F67" s="187"/>
      <c r="G67" s="187"/>
      <c r="H67" s="187"/>
      <c r="I67" s="187"/>
      <c r="J67" s="187"/>
      <c r="K67" s="187"/>
      <c r="L67" s="187"/>
      <c r="M67" s="187"/>
      <c r="N67" s="187"/>
      <c r="O67" s="187"/>
      <c r="P67" s="187"/>
      <c r="Q67" s="187"/>
      <c r="R67" s="187"/>
      <c r="S67" s="187"/>
      <c r="T67" s="187"/>
      <c r="U67" s="187"/>
      <c r="V67" s="187"/>
      <c r="W67" s="187"/>
      <c r="X67" s="187"/>
      <c r="Y67" s="187"/>
      <c r="Z67" s="187"/>
      <c r="AA67" s="187"/>
      <c r="AB67" s="187"/>
    </row>
    <row r="68" spans="1:28" ht="12.5" hidden="1">
      <c r="A68" s="186" t="s">
        <v>55</v>
      </c>
      <c r="B68" s="461" t="s">
        <v>1021</v>
      </c>
      <c r="C68" s="187" t="s">
        <v>324</v>
      </c>
      <c r="D68" s="187"/>
      <c r="E68" s="187"/>
      <c r="F68" s="187"/>
      <c r="G68" s="187"/>
      <c r="H68" s="187"/>
      <c r="I68" s="187"/>
      <c r="J68" s="187"/>
      <c r="K68" s="187"/>
      <c r="L68" s="187"/>
      <c r="M68" s="187"/>
      <c r="N68" s="187"/>
      <c r="O68" s="187"/>
      <c r="P68" s="187"/>
      <c r="Q68" s="187"/>
      <c r="R68" s="187"/>
      <c r="S68" s="187"/>
      <c r="T68" s="187"/>
      <c r="U68" s="187"/>
      <c r="V68" s="187"/>
      <c r="W68" s="187"/>
      <c r="X68" s="187"/>
      <c r="Y68" s="187"/>
      <c r="Z68" s="187"/>
      <c r="AA68" s="187"/>
      <c r="AB68" s="187"/>
    </row>
    <row r="69" spans="1:28" ht="12.5" hidden="1">
      <c r="A69" s="186" t="s">
        <v>55</v>
      </c>
      <c r="B69" s="461" t="s">
        <v>1028</v>
      </c>
      <c r="C69" s="187" t="s">
        <v>324</v>
      </c>
      <c r="D69" s="187"/>
      <c r="E69" s="187"/>
      <c r="F69" s="187"/>
      <c r="G69" s="187"/>
      <c r="H69" s="187"/>
      <c r="I69" s="187"/>
      <c r="J69" s="187"/>
      <c r="K69" s="187"/>
      <c r="L69" s="187"/>
      <c r="M69" s="187"/>
      <c r="N69" s="187"/>
      <c r="O69" s="187"/>
      <c r="P69" s="187"/>
      <c r="Q69" s="187"/>
      <c r="R69" s="187"/>
      <c r="S69" s="187"/>
      <c r="T69" s="187"/>
      <c r="U69" s="187"/>
      <c r="V69" s="187"/>
      <c r="W69" s="187"/>
      <c r="X69" s="187"/>
      <c r="Y69" s="187"/>
      <c r="Z69" s="187"/>
      <c r="AA69" s="187"/>
      <c r="AB69" s="187"/>
    </row>
    <row r="70" spans="1:28" ht="12.5" hidden="1">
      <c r="A70" s="186" t="s">
        <v>55</v>
      </c>
      <c r="B70" s="461" t="s">
        <v>934</v>
      </c>
      <c r="C70" s="187" t="s">
        <v>264</v>
      </c>
      <c r="D70" s="187"/>
      <c r="E70" s="187"/>
      <c r="F70" s="187"/>
      <c r="G70" s="187"/>
      <c r="H70" s="187"/>
      <c r="I70" s="187"/>
      <c r="J70" s="187"/>
      <c r="K70" s="187"/>
      <c r="L70" s="187"/>
      <c r="M70" s="187"/>
      <c r="N70" s="187"/>
      <c r="O70" s="187"/>
      <c r="P70" s="187"/>
      <c r="Q70" s="187"/>
      <c r="R70" s="187"/>
      <c r="S70" s="187"/>
      <c r="T70" s="187"/>
      <c r="U70" s="187"/>
      <c r="V70" s="187"/>
      <c r="W70" s="187"/>
      <c r="X70" s="187"/>
      <c r="Y70" s="187"/>
      <c r="Z70" s="187"/>
      <c r="AA70" s="187"/>
      <c r="AB70" s="187"/>
    </row>
    <row r="71" spans="1:28" ht="12.5" hidden="1">
      <c r="A71" s="186" t="s">
        <v>55</v>
      </c>
      <c r="B71" s="461" t="s">
        <v>3364</v>
      </c>
      <c r="C71" s="187" t="s">
        <v>995</v>
      </c>
      <c r="D71" s="187"/>
      <c r="E71" s="187"/>
      <c r="F71" s="187"/>
      <c r="G71" s="187"/>
      <c r="H71" s="187"/>
      <c r="I71" s="187"/>
      <c r="J71" s="187"/>
      <c r="K71" s="187"/>
      <c r="L71" s="187"/>
      <c r="M71" s="187"/>
      <c r="N71" s="187"/>
      <c r="O71" s="187"/>
      <c r="P71" s="187"/>
      <c r="Q71" s="187"/>
      <c r="R71" s="187"/>
      <c r="S71" s="187"/>
      <c r="T71" s="187"/>
      <c r="U71" s="187"/>
      <c r="V71" s="187"/>
      <c r="W71" s="187"/>
      <c r="X71" s="187"/>
      <c r="Y71" s="187"/>
      <c r="Z71" s="187"/>
      <c r="AA71" s="187"/>
      <c r="AB71" s="187"/>
    </row>
    <row r="72" spans="1:28" ht="12.5" hidden="1">
      <c r="A72" s="186" t="s">
        <v>55</v>
      </c>
      <c r="B72" s="461" t="s">
        <v>912</v>
      </c>
      <c r="C72" s="187" t="s">
        <v>324</v>
      </c>
      <c r="D72" s="187"/>
      <c r="E72" s="187"/>
      <c r="F72" s="187"/>
      <c r="G72" s="187"/>
      <c r="H72" s="187"/>
      <c r="I72" s="187"/>
      <c r="J72" s="187"/>
      <c r="K72" s="187"/>
      <c r="L72" s="187"/>
      <c r="M72" s="187"/>
      <c r="N72" s="187"/>
      <c r="O72" s="187"/>
      <c r="P72" s="187"/>
      <c r="Q72" s="187"/>
      <c r="R72" s="187"/>
      <c r="S72" s="187"/>
      <c r="T72" s="187"/>
      <c r="U72" s="187"/>
      <c r="V72" s="187"/>
      <c r="W72" s="187"/>
      <c r="X72" s="187"/>
      <c r="Y72" s="187"/>
      <c r="Z72" s="187"/>
      <c r="AA72" s="187"/>
      <c r="AB72" s="187"/>
    </row>
    <row r="73" spans="1:28" ht="12.5" hidden="1">
      <c r="A73" s="186" t="s">
        <v>55</v>
      </c>
      <c r="B73" s="461" t="s">
        <v>3874</v>
      </c>
      <c r="C73" s="187" t="s">
        <v>264</v>
      </c>
      <c r="D73" s="187"/>
      <c r="E73" s="187"/>
      <c r="F73" s="187"/>
      <c r="G73" s="187"/>
      <c r="H73" s="187"/>
      <c r="I73" s="187"/>
      <c r="J73" s="187"/>
      <c r="K73" s="187"/>
      <c r="L73" s="187"/>
      <c r="M73" s="187"/>
      <c r="N73" s="187"/>
      <c r="O73" s="187"/>
      <c r="P73" s="187"/>
      <c r="Q73" s="187"/>
      <c r="R73" s="187"/>
      <c r="S73" s="187"/>
      <c r="T73" s="187"/>
      <c r="U73" s="187"/>
      <c r="V73" s="187"/>
      <c r="W73" s="187"/>
      <c r="X73" s="187"/>
      <c r="Y73" s="187"/>
      <c r="Z73" s="187"/>
      <c r="AA73" s="187"/>
      <c r="AB73" s="187"/>
    </row>
    <row r="74" spans="1:28" ht="12.5" hidden="1">
      <c r="A74" s="186" t="s">
        <v>55</v>
      </c>
      <c r="B74" s="461" t="s">
        <v>3789</v>
      </c>
      <c r="C74" s="187" t="s">
        <v>432</v>
      </c>
      <c r="D74" s="187"/>
      <c r="E74" s="187"/>
      <c r="F74" s="187"/>
      <c r="G74" s="187"/>
      <c r="H74" s="187"/>
      <c r="I74" s="187"/>
      <c r="J74" s="187"/>
      <c r="K74" s="187"/>
      <c r="L74" s="187"/>
      <c r="M74" s="187"/>
      <c r="N74" s="187"/>
      <c r="O74" s="187"/>
      <c r="P74" s="187"/>
      <c r="Q74" s="187"/>
      <c r="R74" s="187"/>
      <c r="S74" s="187"/>
      <c r="T74" s="187"/>
      <c r="U74" s="187"/>
      <c r="V74" s="187"/>
      <c r="W74" s="187"/>
      <c r="X74" s="187"/>
      <c r="Y74" s="187"/>
      <c r="Z74" s="187"/>
      <c r="AA74" s="187"/>
      <c r="AB74" s="187"/>
    </row>
    <row r="75" spans="1:28" ht="12.5" hidden="1">
      <c r="A75" s="186" t="s">
        <v>55</v>
      </c>
      <c r="B75" s="461" t="s">
        <v>3875</v>
      </c>
      <c r="C75" s="187" t="s">
        <v>247</v>
      </c>
      <c r="D75" s="187"/>
      <c r="E75" s="187"/>
      <c r="F75" s="187"/>
      <c r="G75" s="187"/>
      <c r="H75" s="187"/>
      <c r="I75" s="187"/>
      <c r="J75" s="187"/>
      <c r="K75" s="187"/>
      <c r="L75" s="187"/>
      <c r="M75" s="187"/>
      <c r="N75" s="187"/>
      <c r="O75" s="187"/>
      <c r="P75" s="187"/>
      <c r="Q75" s="187"/>
      <c r="R75" s="187"/>
      <c r="S75" s="187"/>
      <c r="T75" s="187"/>
      <c r="U75" s="187"/>
      <c r="V75" s="187"/>
      <c r="W75" s="187"/>
      <c r="X75" s="187"/>
      <c r="Y75" s="187"/>
      <c r="Z75" s="187"/>
      <c r="AA75" s="187"/>
      <c r="AB75" s="187"/>
    </row>
    <row r="76" spans="1:28" ht="12.5" hidden="1">
      <c r="A76" s="186" t="s">
        <v>55</v>
      </c>
      <c r="B76" s="186" t="s">
        <v>5550</v>
      </c>
      <c r="C76" s="186" t="s">
        <v>252</v>
      </c>
      <c r="D76" s="187"/>
      <c r="E76" s="186"/>
      <c r="F76" s="186"/>
      <c r="G76" s="186"/>
      <c r="H76" s="186"/>
      <c r="I76" s="186"/>
      <c r="J76" s="186"/>
      <c r="K76" s="90"/>
      <c r="L76" s="90"/>
      <c r="M76" s="90"/>
      <c r="N76" s="186"/>
      <c r="O76" s="186"/>
      <c r="P76" s="186" t="s">
        <v>5551</v>
      </c>
      <c r="Q76" s="130"/>
      <c r="R76" s="130"/>
      <c r="S76" s="130"/>
      <c r="T76" s="130"/>
      <c r="U76" s="130"/>
      <c r="V76" s="130"/>
      <c r="W76" s="130"/>
      <c r="X76" s="130"/>
      <c r="Y76" s="130"/>
      <c r="Z76" s="439"/>
      <c r="AA76" s="439"/>
      <c r="AB76" s="439"/>
    </row>
    <row r="77" spans="1:28" ht="12.5" hidden="1">
      <c r="A77" s="186" t="s">
        <v>55</v>
      </c>
      <c r="B77" s="186" t="s">
        <v>5552</v>
      </c>
      <c r="C77" s="186" t="s">
        <v>252</v>
      </c>
      <c r="D77" s="187"/>
      <c r="E77" s="186"/>
      <c r="F77" s="186"/>
      <c r="G77" s="186"/>
      <c r="H77" s="186"/>
      <c r="I77" s="186"/>
      <c r="J77" s="186"/>
      <c r="K77" s="90"/>
      <c r="L77" s="90"/>
      <c r="M77" s="90"/>
      <c r="N77" s="186"/>
      <c r="O77" s="186"/>
      <c r="P77" s="186" t="s">
        <v>5553</v>
      </c>
      <c r="Q77" s="130"/>
      <c r="R77" s="130"/>
      <c r="S77" s="130"/>
      <c r="T77" s="130"/>
      <c r="U77" s="130"/>
      <c r="V77" s="130"/>
      <c r="W77" s="130"/>
      <c r="X77" s="130"/>
      <c r="Y77" s="130"/>
      <c r="Z77" s="439"/>
      <c r="AA77" s="439"/>
      <c r="AB77" s="439"/>
    </row>
    <row r="78" spans="1:28" ht="12.5" hidden="1">
      <c r="A78" s="186" t="s">
        <v>55</v>
      </c>
      <c r="B78" s="186" t="s">
        <v>3384</v>
      </c>
      <c r="C78" s="186" t="s">
        <v>252</v>
      </c>
      <c r="D78" s="187"/>
      <c r="E78" s="186"/>
      <c r="F78" s="186"/>
      <c r="G78" s="186"/>
      <c r="H78" s="186"/>
      <c r="I78" s="186"/>
      <c r="J78" s="186"/>
      <c r="K78" s="90"/>
      <c r="L78" s="90"/>
      <c r="M78" s="90"/>
      <c r="N78" s="186"/>
      <c r="O78" s="186"/>
      <c r="P78" s="186" t="s">
        <v>5554</v>
      </c>
      <c r="Q78" s="130"/>
      <c r="R78" s="130"/>
      <c r="S78" s="130"/>
      <c r="T78" s="130"/>
      <c r="U78" s="130"/>
      <c r="V78" s="130"/>
      <c r="W78" s="130"/>
      <c r="X78" s="130"/>
      <c r="Y78" s="130"/>
      <c r="Z78" s="439"/>
      <c r="AA78" s="439"/>
      <c r="AB78" s="439"/>
    </row>
    <row r="79" spans="1:28" ht="12.5" hidden="1">
      <c r="A79" s="186" t="s">
        <v>55</v>
      </c>
      <c r="B79" s="186" t="s">
        <v>5555</v>
      </c>
      <c r="C79" s="186" t="s">
        <v>242</v>
      </c>
      <c r="D79" s="187"/>
      <c r="E79" s="186"/>
      <c r="F79" s="186"/>
      <c r="G79" s="186"/>
      <c r="H79" s="186"/>
      <c r="I79" s="186"/>
      <c r="J79" s="186"/>
      <c r="K79" s="90"/>
      <c r="L79" s="90"/>
      <c r="M79" s="90"/>
      <c r="N79" s="186"/>
      <c r="O79" s="186"/>
      <c r="P79" s="186" t="s">
        <v>5556</v>
      </c>
      <c r="Q79" s="130"/>
      <c r="R79" s="130"/>
      <c r="S79" s="130"/>
      <c r="T79" s="130"/>
      <c r="U79" s="130"/>
      <c r="V79" s="130"/>
      <c r="W79" s="130"/>
      <c r="X79" s="130"/>
      <c r="Y79" s="130"/>
      <c r="Z79" s="439"/>
      <c r="AA79" s="439"/>
      <c r="AB79" s="439"/>
    </row>
    <row r="80" spans="1:28" ht="12.5" hidden="1">
      <c r="A80" s="186" t="s">
        <v>55</v>
      </c>
      <c r="B80" s="461" t="s">
        <v>3386</v>
      </c>
      <c r="C80" s="187"/>
      <c r="D80" s="187"/>
      <c r="E80" s="187"/>
      <c r="F80" s="187"/>
      <c r="G80" s="187"/>
      <c r="H80" s="187"/>
      <c r="I80" s="187"/>
      <c r="J80" s="187"/>
      <c r="K80" s="187"/>
      <c r="L80" s="187"/>
      <c r="M80" s="187"/>
      <c r="N80" s="187"/>
      <c r="O80" s="187"/>
      <c r="P80" s="187"/>
      <c r="Q80" s="187"/>
      <c r="R80" s="187"/>
      <c r="S80" s="187"/>
      <c r="T80" s="187"/>
      <c r="U80" s="187"/>
      <c r="V80" s="187"/>
      <c r="W80" s="187"/>
      <c r="X80" s="187"/>
      <c r="Y80" s="187"/>
      <c r="Z80" s="187"/>
      <c r="AA80" s="187"/>
      <c r="AB80" s="187"/>
    </row>
    <row r="81" spans="1:28" ht="12.5" hidden="1">
      <c r="A81" s="186" t="s">
        <v>55</v>
      </c>
      <c r="B81" s="186" t="s">
        <v>5557</v>
      </c>
      <c r="C81" s="186" t="s">
        <v>247</v>
      </c>
      <c r="D81" s="187"/>
      <c r="E81" s="186"/>
      <c r="F81" s="186"/>
      <c r="G81" s="186"/>
      <c r="H81" s="186"/>
      <c r="I81" s="186"/>
      <c r="J81" s="186"/>
      <c r="K81" s="90"/>
      <c r="L81" s="90"/>
      <c r="M81" s="90"/>
      <c r="N81" s="186"/>
      <c r="O81" s="186"/>
      <c r="P81" s="186" t="s">
        <v>5558</v>
      </c>
      <c r="Q81" s="130"/>
      <c r="R81" s="130"/>
      <c r="S81" s="130"/>
      <c r="T81" s="130"/>
      <c r="U81" s="130"/>
      <c r="V81" s="130"/>
      <c r="W81" s="130"/>
      <c r="X81" s="130"/>
      <c r="Y81" s="130"/>
      <c r="Z81" s="439"/>
      <c r="AA81" s="439"/>
      <c r="AB81" s="439"/>
    </row>
    <row r="82" spans="1:28" ht="12.5" hidden="1">
      <c r="A82" s="186" t="s">
        <v>55</v>
      </c>
      <c r="B82" s="461" t="s">
        <v>3876</v>
      </c>
      <c r="C82" s="187" t="s">
        <v>249</v>
      </c>
      <c r="D82" s="187"/>
      <c r="E82" s="187"/>
      <c r="F82" s="187"/>
      <c r="G82" s="187"/>
      <c r="H82" s="187"/>
      <c r="I82" s="187"/>
      <c r="J82" s="187"/>
      <c r="K82" s="187"/>
      <c r="L82" s="187"/>
      <c r="M82" s="187"/>
      <c r="N82" s="187"/>
      <c r="O82" s="187"/>
      <c r="P82" s="187"/>
      <c r="Q82" s="187"/>
      <c r="R82" s="187"/>
      <c r="S82" s="187"/>
      <c r="T82" s="187"/>
      <c r="U82" s="187"/>
      <c r="V82" s="187"/>
      <c r="W82" s="187"/>
      <c r="X82" s="187"/>
      <c r="Y82" s="187"/>
      <c r="Z82" s="187"/>
      <c r="AA82" s="187"/>
      <c r="AB82" s="187"/>
    </row>
    <row r="83" spans="1:28" ht="12.5" hidden="1">
      <c r="A83" s="186" t="s">
        <v>55</v>
      </c>
      <c r="B83" s="461" t="s">
        <v>947</v>
      </c>
      <c r="C83" s="187" t="s">
        <v>324</v>
      </c>
      <c r="D83" s="187"/>
      <c r="E83" s="187"/>
      <c r="F83" s="187"/>
      <c r="G83" s="187"/>
      <c r="H83" s="187"/>
      <c r="I83" s="187"/>
      <c r="J83" s="187"/>
      <c r="K83" s="187"/>
      <c r="L83" s="187"/>
      <c r="M83" s="187"/>
      <c r="N83" s="187"/>
      <c r="O83" s="187"/>
      <c r="P83" s="187"/>
      <c r="Q83" s="187"/>
      <c r="R83" s="187"/>
      <c r="S83" s="187"/>
      <c r="T83" s="187"/>
      <c r="U83" s="187"/>
      <c r="V83" s="187"/>
      <c r="W83" s="187"/>
      <c r="X83" s="187"/>
      <c r="Y83" s="187"/>
      <c r="Z83" s="187"/>
      <c r="AA83" s="187"/>
      <c r="AB83" s="187"/>
    </row>
    <row r="84" spans="1:28" ht="12.5">
      <c r="A84" s="186" t="s">
        <v>3681</v>
      </c>
      <c r="B84" s="439" t="s">
        <v>1023</v>
      </c>
      <c r="C84" s="439" t="s">
        <v>242</v>
      </c>
      <c r="D84" s="187"/>
      <c r="E84" s="187"/>
      <c r="F84" s="187"/>
      <c r="G84" s="439" t="s">
        <v>682</v>
      </c>
      <c r="H84" s="439" t="s">
        <v>5477</v>
      </c>
      <c r="I84" s="439" t="s">
        <v>5559</v>
      </c>
      <c r="J84" s="439"/>
      <c r="K84" s="439"/>
      <c r="L84" s="439"/>
      <c r="M84" s="439"/>
      <c r="N84" s="439"/>
      <c r="O84" s="439"/>
      <c r="P84" s="439"/>
      <c r="Q84" s="439"/>
      <c r="R84" s="439"/>
      <c r="S84" s="439"/>
      <c r="T84" s="439"/>
      <c r="U84" s="439"/>
      <c r="V84" s="439"/>
      <c r="W84" s="439"/>
      <c r="X84" s="439"/>
      <c r="Y84" s="439"/>
      <c r="Z84" s="439"/>
      <c r="AA84" s="439"/>
      <c r="AB84" s="439"/>
    </row>
    <row r="85" spans="1:28" ht="12.5" hidden="1">
      <c r="A85" s="186" t="s">
        <v>55</v>
      </c>
      <c r="B85" s="461" t="s">
        <v>3545</v>
      </c>
      <c r="C85" s="187" t="s">
        <v>324</v>
      </c>
      <c r="D85" s="187"/>
      <c r="E85" s="187"/>
      <c r="F85" s="187"/>
      <c r="G85" s="187"/>
      <c r="H85" s="187"/>
      <c r="I85" s="187"/>
      <c r="J85" s="187"/>
      <c r="K85" s="187"/>
      <c r="L85" s="187"/>
      <c r="M85" s="187"/>
      <c r="N85" s="187"/>
      <c r="O85" s="187"/>
      <c r="P85" s="187"/>
      <c r="Q85" s="187"/>
      <c r="R85" s="187"/>
      <c r="S85" s="187"/>
      <c r="T85" s="187"/>
      <c r="U85" s="187"/>
      <c r="V85" s="187"/>
      <c r="W85" s="187"/>
      <c r="X85" s="187"/>
      <c r="Y85" s="187"/>
      <c r="Z85" s="187"/>
      <c r="AA85" s="187"/>
      <c r="AB85" s="187"/>
    </row>
    <row r="86" spans="1:28" ht="12.5" hidden="1">
      <c r="A86" s="186" t="s">
        <v>55</v>
      </c>
      <c r="B86" s="461" t="s">
        <v>5195</v>
      </c>
      <c r="C86" s="187"/>
      <c r="D86" s="187"/>
      <c r="E86" s="187"/>
      <c r="F86" s="187"/>
      <c r="G86" s="187"/>
      <c r="H86" s="187"/>
      <c r="I86" s="187"/>
      <c r="J86" s="187"/>
      <c r="K86" s="187"/>
      <c r="L86" s="187"/>
      <c r="M86" s="187"/>
      <c r="N86" s="187"/>
      <c r="O86" s="187"/>
      <c r="P86" s="187"/>
      <c r="Q86" s="187"/>
      <c r="R86" s="187"/>
      <c r="S86" s="187"/>
      <c r="T86" s="187"/>
      <c r="U86" s="187"/>
      <c r="V86" s="187"/>
      <c r="W86" s="187"/>
      <c r="X86" s="187"/>
      <c r="Y86" s="187"/>
      <c r="Z86" s="187"/>
      <c r="AA86" s="187"/>
      <c r="AB86" s="187"/>
    </row>
    <row r="87" spans="1:28" ht="12.5" hidden="1">
      <c r="A87" s="186" t="s">
        <v>5483</v>
      </c>
      <c r="B87" s="186" t="s">
        <v>5560</v>
      </c>
      <c r="C87" s="186" t="s">
        <v>247</v>
      </c>
      <c r="D87" s="187"/>
      <c r="E87" s="186"/>
      <c r="F87" s="186"/>
      <c r="G87" s="186"/>
      <c r="H87" s="186"/>
      <c r="I87" s="186"/>
      <c r="J87" s="186"/>
      <c r="K87" s="90"/>
      <c r="L87" s="90"/>
      <c r="M87" s="90"/>
      <c r="N87" s="186"/>
      <c r="O87" s="186"/>
      <c r="P87" s="186" t="s">
        <v>5561</v>
      </c>
      <c r="Q87" s="130"/>
      <c r="R87" s="130"/>
      <c r="S87" s="130"/>
      <c r="T87" s="130"/>
      <c r="U87" s="130"/>
      <c r="V87" s="130"/>
      <c r="W87" s="130"/>
      <c r="X87" s="130"/>
      <c r="Y87" s="130"/>
      <c r="Z87" s="439"/>
      <c r="AA87" s="439"/>
      <c r="AB87" s="439"/>
    </row>
    <row r="88" spans="1:28" ht="12.5" hidden="1">
      <c r="A88" s="186" t="s">
        <v>55</v>
      </c>
      <c r="B88" s="461" t="s">
        <v>3802</v>
      </c>
      <c r="C88" s="187" t="s">
        <v>324</v>
      </c>
      <c r="D88" s="187"/>
      <c r="E88" s="187"/>
      <c r="F88" s="187"/>
      <c r="G88" s="187"/>
      <c r="H88" s="187"/>
      <c r="I88" s="187"/>
      <c r="J88" s="187"/>
      <c r="K88" s="187"/>
      <c r="L88" s="187"/>
      <c r="M88" s="187"/>
      <c r="N88" s="187"/>
      <c r="O88" s="187"/>
      <c r="P88" s="187"/>
      <c r="Q88" s="187"/>
      <c r="R88" s="187"/>
      <c r="S88" s="187"/>
      <c r="T88" s="187"/>
      <c r="U88" s="187"/>
      <c r="V88" s="187"/>
      <c r="W88" s="187"/>
      <c r="X88" s="187"/>
      <c r="Y88" s="187"/>
      <c r="Z88" s="187"/>
      <c r="AA88" s="187"/>
      <c r="AB88" s="187"/>
    </row>
    <row r="89" spans="1:28" ht="12.5" hidden="1">
      <c r="A89" s="186" t="s">
        <v>55</v>
      </c>
      <c r="B89" s="461" t="s">
        <v>927</v>
      </c>
      <c r="C89" s="187" t="s">
        <v>925</v>
      </c>
      <c r="D89" s="187"/>
      <c r="E89" s="187"/>
      <c r="F89" s="187"/>
      <c r="G89" s="186"/>
      <c r="H89" s="186"/>
      <c r="I89" s="187"/>
      <c r="J89" s="187"/>
      <c r="K89" s="187"/>
      <c r="L89" s="187"/>
      <c r="M89" s="187"/>
      <c r="N89" s="187" t="s">
        <v>5562</v>
      </c>
      <c r="O89" s="187"/>
      <c r="P89" s="187"/>
      <c r="Q89" s="187"/>
      <c r="R89" s="187"/>
      <c r="S89" s="187"/>
      <c r="T89" s="187"/>
      <c r="U89" s="187"/>
      <c r="V89" s="187"/>
      <c r="W89" s="187"/>
      <c r="X89" s="187"/>
      <c r="Y89" s="187"/>
      <c r="Z89" s="187"/>
      <c r="AA89" s="187"/>
      <c r="AB89" s="187"/>
    </row>
    <row r="90" spans="1:28" ht="12.5" hidden="1">
      <c r="A90" s="186" t="s">
        <v>55</v>
      </c>
      <c r="B90" s="461" t="s">
        <v>4010</v>
      </c>
      <c r="C90" s="187" t="s">
        <v>246</v>
      </c>
      <c r="D90" s="187"/>
      <c r="E90" s="187"/>
      <c r="F90" s="187"/>
      <c r="G90" s="187"/>
      <c r="H90" s="187"/>
      <c r="I90" s="187"/>
      <c r="J90" s="187"/>
      <c r="K90" s="187"/>
      <c r="L90" s="187"/>
      <c r="M90" s="187"/>
      <c r="N90" s="187"/>
      <c r="O90" s="187"/>
      <c r="P90" s="187"/>
      <c r="Q90" s="187"/>
      <c r="R90" s="187"/>
      <c r="S90" s="187"/>
      <c r="T90" s="187"/>
      <c r="U90" s="187"/>
      <c r="V90" s="187"/>
      <c r="W90" s="187"/>
      <c r="X90" s="187"/>
      <c r="Y90" s="187"/>
      <c r="Z90" s="187"/>
      <c r="AA90" s="187"/>
      <c r="AB90" s="187"/>
    </row>
    <row r="91" spans="1:28" ht="12.5" hidden="1">
      <c r="A91" s="186" t="s">
        <v>55</v>
      </c>
      <c r="B91" s="461" t="s">
        <v>3878</v>
      </c>
      <c r="C91" s="187" t="s">
        <v>249</v>
      </c>
      <c r="D91" s="187"/>
      <c r="E91" s="187"/>
      <c r="F91" s="187"/>
      <c r="G91" s="187"/>
      <c r="H91" s="187"/>
      <c r="I91" s="187"/>
      <c r="J91" s="187"/>
      <c r="K91" s="187"/>
      <c r="L91" s="187"/>
      <c r="M91" s="187"/>
      <c r="N91" s="187"/>
      <c r="O91" s="187"/>
      <c r="P91" s="187"/>
      <c r="Q91" s="187"/>
      <c r="R91" s="187"/>
      <c r="S91" s="187"/>
      <c r="T91" s="187"/>
      <c r="U91" s="187"/>
      <c r="V91" s="187"/>
      <c r="W91" s="187"/>
      <c r="X91" s="187"/>
      <c r="Y91" s="187"/>
      <c r="Z91" s="187"/>
      <c r="AA91" s="187"/>
      <c r="AB91" s="187"/>
    </row>
    <row r="92" spans="1:28" ht="12.5" hidden="1">
      <c r="A92" s="186" t="s">
        <v>55</v>
      </c>
      <c r="B92" s="186" t="s">
        <v>5160</v>
      </c>
      <c r="C92" s="186" t="s">
        <v>5161</v>
      </c>
      <c r="D92" s="187"/>
      <c r="E92" s="186"/>
      <c r="F92" s="186"/>
      <c r="G92" s="186"/>
      <c r="H92" s="186"/>
      <c r="I92" s="186"/>
      <c r="J92" s="186"/>
      <c r="K92" s="90"/>
      <c r="L92" s="90"/>
      <c r="M92" s="90"/>
      <c r="N92" s="186"/>
      <c r="O92" s="186"/>
      <c r="P92" s="186" t="s">
        <v>5563</v>
      </c>
      <c r="Q92" s="130"/>
      <c r="R92" s="130"/>
      <c r="S92" s="130"/>
      <c r="T92" s="130"/>
      <c r="U92" s="130"/>
      <c r="V92" s="130"/>
      <c r="W92" s="130"/>
      <c r="X92" s="130"/>
      <c r="Y92" s="130"/>
      <c r="Z92" s="439"/>
      <c r="AA92" s="439"/>
      <c r="AB92" s="439"/>
    </row>
    <row r="93" spans="1:28" ht="12.5" hidden="1">
      <c r="A93" s="186" t="s">
        <v>55</v>
      </c>
      <c r="B93" s="461" t="s">
        <v>3553</v>
      </c>
      <c r="C93" s="187" t="s">
        <v>247</v>
      </c>
      <c r="D93" s="187"/>
      <c r="E93" s="187"/>
      <c r="F93" s="187"/>
      <c r="G93" s="187"/>
      <c r="H93" s="187"/>
      <c r="I93" s="187"/>
      <c r="J93" s="187"/>
      <c r="K93" s="187"/>
      <c r="L93" s="187"/>
      <c r="M93" s="187"/>
      <c r="N93" s="187"/>
      <c r="O93" s="187"/>
      <c r="P93" s="187"/>
      <c r="Q93" s="187"/>
      <c r="R93" s="187"/>
      <c r="S93" s="187"/>
      <c r="T93" s="187"/>
      <c r="U93" s="187"/>
      <c r="V93" s="187"/>
      <c r="W93" s="187"/>
      <c r="X93" s="187"/>
      <c r="Y93" s="187"/>
      <c r="Z93" s="187"/>
      <c r="AA93" s="187"/>
      <c r="AB93" s="187"/>
    </row>
    <row r="94" spans="1:28" ht="12.5" hidden="1">
      <c r="A94" s="186" t="s">
        <v>55</v>
      </c>
      <c r="B94" s="461" t="s">
        <v>3879</v>
      </c>
      <c r="C94" s="187" t="s">
        <v>247</v>
      </c>
      <c r="D94" s="187"/>
      <c r="E94" s="187"/>
      <c r="F94" s="187"/>
      <c r="G94" s="187"/>
      <c r="H94" s="187"/>
      <c r="I94" s="187"/>
      <c r="J94" s="187"/>
      <c r="K94" s="187"/>
      <c r="L94" s="187"/>
      <c r="M94" s="187"/>
      <c r="N94" s="187"/>
      <c r="O94" s="187"/>
      <c r="P94" s="187"/>
      <c r="Q94" s="187"/>
      <c r="R94" s="187"/>
      <c r="S94" s="187"/>
      <c r="T94" s="187"/>
      <c r="U94" s="187"/>
      <c r="V94" s="187"/>
      <c r="W94" s="187"/>
      <c r="X94" s="187"/>
      <c r="Y94" s="187"/>
      <c r="Z94" s="187"/>
      <c r="AA94" s="187"/>
      <c r="AB94" s="187"/>
    </row>
    <row r="95" spans="1:28" ht="12.5" hidden="1">
      <c r="A95" s="186" t="s">
        <v>55</v>
      </c>
      <c r="B95" s="461" t="s">
        <v>3554</v>
      </c>
      <c r="C95" s="187" t="s">
        <v>247</v>
      </c>
      <c r="D95" s="187"/>
      <c r="E95" s="187"/>
      <c r="F95" s="187"/>
      <c r="G95" s="187"/>
      <c r="H95" s="187"/>
      <c r="I95" s="187"/>
      <c r="J95" s="187"/>
      <c r="K95" s="187"/>
      <c r="L95" s="187"/>
      <c r="M95" s="187"/>
      <c r="N95" s="187"/>
      <c r="O95" s="187"/>
      <c r="P95" s="187"/>
      <c r="Q95" s="187"/>
      <c r="R95" s="187"/>
      <c r="S95" s="187"/>
      <c r="T95" s="187"/>
      <c r="U95" s="187"/>
      <c r="V95" s="187"/>
      <c r="W95" s="187"/>
      <c r="X95" s="187"/>
      <c r="Y95" s="187"/>
      <c r="Z95" s="187"/>
      <c r="AA95" s="187"/>
      <c r="AB95" s="187"/>
    </row>
    <row r="96" spans="1:28" ht="12.5" hidden="1">
      <c r="A96" s="186" t="s">
        <v>55</v>
      </c>
      <c r="B96" s="461" t="s">
        <v>948</v>
      </c>
      <c r="C96" s="187" t="s">
        <v>324</v>
      </c>
      <c r="D96" s="187"/>
      <c r="E96" s="187"/>
      <c r="F96" s="187"/>
      <c r="G96" s="187"/>
      <c r="H96" s="187"/>
      <c r="I96" s="187"/>
      <c r="J96" s="187"/>
      <c r="K96" s="187"/>
      <c r="L96" s="187"/>
      <c r="M96" s="187"/>
      <c r="N96" s="187"/>
      <c r="O96" s="187"/>
      <c r="P96" s="187"/>
      <c r="Q96" s="187"/>
      <c r="R96" s="187"/>
      <c r="S96" s="187"/>
      <c r="T96" s="187"/>
      <c r="U96" s="187"/>
      <c r="V96" s="187"/>
      <c r="W96" s="187"/>
      <c r="X96" s="187"/>
      <c r="Y96" s="187"/>
      <c r="Z96" s="187"/>
      <c r="AA96" s="187"/>
      <c r="AB96" s="187"/>
    </row>
    <row r="97" spans="1:28" ht="12.5" hidden="1">
      <c r="A97" s="186" t="s">
        <v>55</v>
      </c>
      <c r="B97" s="461" t="s">
        <v>3881</v>
      </c>
      <c r="C97" s="187" t="s">
        <v>432</v>
      </c>
      <c r="D97" s="187"/>
      <c r="E97" s="187"/>
      <c r="F97" s="187"/>
      <c r="G97" s="187"/>
      <c r="H97" s="187"/>
      <c r="I97" s="187"/>
      <c r="J97" s="187"/>
      <c r="K97" s="187"/>
      <c r="L97" s="187"/>
      <c r="M97" s="187"/>
      <c r="N97" s="187"/>
      <c r="O97" s="187"/>
      <c r="P97" s="187"/>
      <c r="Q97" s="187"/>
      <c r="R97" s="187"/>
      <c r="S97" s="187"/>
      <c r="T97" s="187"/>
      <c r="U97" s="187"/>
      <c r="V97" s="187"/>
      <c r="W97" s="187"/>
      <c r="X97" s="187"/>
      <c r="Y97" s="187"/>
      <c r="Z97" s="187"/>
      <c r="AA97" s="187"/>
      <c r="AB97" s="187"/>
    </row>
    <row r="98" spans="1:28" ht="12.5" hidden="1">
      <c r="A98" s="186" t="s">
        <v>55</v>
      </c>
      <c r="B98" s="186" t="s">
        <v>5100</v>
      </c>
      <c r="C98" s="186" t="s">
        <v>535</v>
      </c>
      <c r="D98" s="187"/>
      <c r="E98" s="186"/>
      <c r="F98" s="186"/>
      <c r="G98" s="186"/>
      <c r="H98" s="186"/>
      <c r="I98" s="186"/>
      <c r="J98" s="186"/>
      <c r="K98" s="90"/>
      <c r="L98" s="90"/>
      <c r="M98" s="90"/>
      <c r="N98" s="186"/>
      <c r="O98" s="186"/>
      <c r="P98" s="186" t="s">
        <v>5564</v>
      </c>
      <c r="Q98" s="130"/>
      <c r="R98" s="130"/>
      <c r="S98" s="130"/>
      <c r="T98" s="130"/>
      <c r="U98" s="130"/>
      <c r="V98" s="130"/>
      <c r="W98" s="130"/>
      <c r="X98" s="130"/>
      <c r="Y98" s="130"/>
      <c r="Z98" s="439"/>
      <c r="AA98" s="439"/>
      <c r="AB98" s="439"/>
    </row>
    <row r="99" spans="1:28" ht="12.5" hidden="1">
      <c r="A99" s="186" t="s">
        <v>55</v>
      </c>
      <c r="B99" s="186" t="s">
        <v>5565</v>
      </c>
      <c r="C99" s="186" t="s">
        <v>5566</v>
      </c>
      <c r="D99" s="187"/>
      <c r="E99" s="186"/>
      <c r="F99" s="186"/>
      <c r="G99" s="186"/>
      <c r="H99" s="186"/>
      <c r="I99" s="186"/>
      <c r="J99" s="186"/>
      <c r="K99" s="90"/>
      <c r="L99" s="90"/>
      <c r="M99" s="90"/>
      <c r="N99" s="186"/>
      <c r="O99" s="186"/>
      <c r="P99" s="186" t="s">
        <v>5567</v>
      </c>
      <c r="Q99" s="130"/>
      <c r="R99" s="130"/>
      <c r="S99" s="130"/>
      <c r="T99" s="130"/>
      <c r="U99" s="130"/>
      <c r="V99" s="130"/>
      <c r="W99" s="130"/>
      <c r="X99" s="130"/>
      <c r="Y99" s="130"/>
      <c r="Z99" s="439"/>
      <c r="AA99" s="439"/>
      <c r="AB99" s="439"/>
    </row>
    <row r="100" spans="1:28" ht="12.5" hidden="1">
      <c r="A100" s="186" t="s">
        <v>55</v>
      </c>
      <c r="B100" s="461" t="s">
        <v>929</v>
      </c>
      <c r="C100" s="187" t="s">
        <v>930</v>
      </c>
      <c r="D100" s="187"/>
      <c r="E100" s="187"/>
      <c r="F100" s="187"/>
      <c r="G100" s="186"/>
      <c r="H100" s="186"/>
      <c r="I100" s="187"/>
      <c r="J100" s="187"/>
      <c r="K100" s="187"/>
      <c r="L100" s="187"/>
      <c r="M100" s="187"/>
      <c r="N100" s="187" t="s">
        <v>5562</v>
      </c>
      <c r="O100" s="187"/>
      <c r="P100" s="187"/>
      <c r="Q100" s="187"/>
      <c r="R100" s="187"/>
      <c r="S100" s="187"/>
      <c r="T100" s="187"/>
      <c r="U100" s="187"/>
      <c r="V100" s="187"/>
      <c r="W100" s="187"/>
      <c r="X100" s="187"/>
      <c r="Y100" s="187"/>
      <c r="Z100" s="187"/>
      <c r="AA100" s="187"/>
      <c r="AB100" s="187"/>
    </row>
    <row r="101" spans="1:28" ht="12.5">
      <c r="A101" s="461"/>
      <c r="B101" s="187"/>
      <c r="C101" s="187"/>
      <c r="D101" s="187"/>
      <c r="E101" s="187"/>
      <c r="F101" s="187"/>
      <c r="G101" s="187"/>
      <c r="H101" s="187"/>
      <c r="I101" s="187"/>
      <c r="J101" s="187"/>
      <c r="K101" s="187"/>
      <c r="L101" s="187"/>
      <c r="M101" s="187"/>
      <c r="N101" s="187"/>
      <c r="O101" s="187"/>
      <c r="P101" s="187"/>
      <c r="Q101" s="187"/>
      <c r="R101" s="187"/>
      <c r="S101" s="187"/>
      <c r="T101" s="187"/>
      <c r="U101" s="187"/>
      <c r="V101" s="187"/>
      <c r="W101" s="187"/>
      <c r="X101" s="187"/>
      <c r="Y101" s="187"/>
      <c r="Z101" s="187"/>
      <c r="AA101" s="187"/>
      <c r="AB101" s="187"/>
    </row>
    <row r="102" spans="1:28" ht="12.5">
      <c r="A102" s="461"/>
      <c r="B102" s="461"/>
      <c r="C102" s="187"/>
      <c r="D102" s="187"/>
      <c r="E102" s="187"/>
      <c r="F102" s="187"/>
      <c r="G102" s="187"/>
      <c r="H102" s="187"/>
      <c r="I102" s="187"/>
      <c r="J102" s="187"/>
      <c r="K102" s="187"/>
      <c r="L102" s="187"/>
      <c r="M102" s="187"/>
      <c r="N102" s="187"/>
      <c r="O102" s="187"/>
      <c r="P102" s="187"/>
      <c r="Q102" s="187"/>
      <c r="R102" s="187"/>
      <c r="S102" s="187"/>
      <c r="T102" s="187"/>
      <c r="U102" s="187"/>
      <c r="V102" s="187"/>
      <c r="W102" s="187"/>
      <c r="X102" s="187"/>
      <c r="Y102" s="187"/>
      <c r="Z102" s="187"/>
      <c r="AA102" s="187"/>
      <c r="AB102" s="187"/>
    </row>
    <row r="103" spans="1:28" ht="13">
      <c r="A103" s="424" t="s">
        <v>3893</v>
      </c>
      <c r="B103" s="461"/>
      <c r="C103" s="187"/>
      <c r="D103" s="187"/>
      <c r="E103" s="187"/>
      <c r="F103" s="187"/>
      <c r="G103" s="187"/>
      <c r="H103" s="187"/>
      <c r="I103" s="187"/>
      <c r="J103" s="187"/>
      <c r="K103" s="187"/>
      <c r="L103" s="187"/>
      <c r="M103" s="187"/>
      <c r="N103" s="187"/>
      <c r="O103" s="187"/>
      <c r="P103" s="187"/>
      <c r="Q103" s="187"/>
      <c r="R103" s="187"/>
      <c r="S103" s="187"/>
      <c r="T103" s="187"/>
      <c r="U103" s="187"/>
      <c r="V103" s="187"/>
      <c r="W103" s="187"/>
      <c r="X103" s="187"/>
      <c r="Y103" s="187"/>
      <c r="Z103" s="187"/>
      <c r="AA103" s="187"/>
      <c r="AB103" s="187"/>
    </row>
    <row r="104" spans="1:28" ht="12.5">
      <c r="A104" s="187" t="s">
        <v>5568</v>
      </c>
      <c r="B104" s="461"/>
      <c r="C104" s="187"/>
      <c r="D104" s="187"/>
      <c r="E104" s="187"/>
      <c r="F104" s="187"/>
      <c r="G104" s="187"/>
      <c r="H104" s="187"/>
      <c r="I104" s="187"/>
      <c r="J104" s="187"/>
      <c r="K104" s="187"/>
      <c r="L104" s="187"/>
      <c r="M104" s="187"/>
      <c r="N104" s="187"/>
      <c r="O104" s="187"/>
      <c r="P104" s="187"/>
      <c r="Q104" s="187"/>
      <c r="R104" s="187"/>
      <c r="S104" s="187"/>
      <c r="T104" s="187"/>
      <c r="U104" s="187"/>
      <c r="V104" s="187"/>
      <c r="W104" s="187"/>
      <c r="X104" s="187"/>
      <c r="Y104" s="187"/>
      <c r="Z104" s="187"/>
      <c r="AA104" s="187"/>
      <c r="AB104" s="187"/>
    </row>
    <row r="105" spans="1:28" ht="12.5">
      <c r="A105" s="187" t="s">
        <v>5569</v>
      </c>
      <c r="B105" s="461"/>
      <c r="C105" s="187"/>
      <c r="D105" s="187"/>
      <c r="E105" s="187"/>
      <c r="F105" s="187"/>
      <c r="G105" s="187"/>
      <c r="H105" s="187"/>
      <c r="I105" s="187"/>
      <c r="J105" s="187"/>
      <c r="K105" s="187"/>
      <c r="L105" s="187"/>
      <c r="M105" s="187"/>
      <c r="N105" s="187"/>
      <c r="O105" s="187"/>
      <c r="P105" s="187"/>
      <c r="Q105" s="187"/>
      <c r="R105" s="187"/>
      <c r="S105" s="187"/>
      <c r="T105" s="187"/>
      <c r="U105" s="187"/>
      <c r="V105" s="187"/>
      <c r="W105" s="187"/>
      <c r="X105" s="187"/>
      <c r="Y105" s="187"/>
      <c r="Z105" s="187"/>
      <c r="AA105" s="187"/>
      <c r="AB105" s="187"/>
    </row>
    <row r="106" spans="1:28" ht="12.5">
      <c r="A106" s="187" t="s">
        <v>5570</v>
      </c>
      <c r="B106" s="461"/>
      <c r="C106" s="187"/>
      <c r="D106" s="187"/>
      <c r="E106" s="187"/>
      <c r="F106" s="187"/>
      <c r="G106" s="187"/>
      <c r="H106" s="187"/>
      <c r="I106" s="187"/>
      <c r="J106" s="187"/>
      <c r="K106" s="187"/>
      <c r="L106" s="187"/>
      <c r="M106" s="187"/>
      <c r="N106" s="187"/>
      <c r="O106" s="187"/>
      <c r="P106" s="187"/>
      <c r="Q106" s="187"/>
      <c r="R106" s="187"/>
      <c r="S106" s="187"/>
      <c r="T106" s="187"/>
      <c r="U106" s="187"/>
      <c r="V106" s="187"/>
      <c r="W106" s="187"/>
      <c r="X106" s="187"/>
      <c r="Y106" s="187"/>
      <c r="Z106" s="187"/>
      <c r="AA106" s="187"/>
      <c r="AB106" s="187"/>
    </row>
    <row r="107" spans="1:28" ht="12.5">
      <c r="A107" s="187" t="s">
        <v>5571</v>
      </c>
      <c r="B107" s="461"/>
      <c r="C107" s="187"/>
      <c r="D107" s="187"/>
      <c r="E107" s="187"/>
      <c r="F107" s="187"/>
      <c r="G107" s="187"/>
      <c r="H107" s="187"/>
      <c r="I107" s="187"/>
      <c r="J107" s="187"/>
      <c r="K107" s="187"/>
      <c r="L107" s="187"/>
      <c r="M107" s="187"/>
      <c r="N107" s="187"/>
      <c r="O107" s="187"/>
      <c r="P107" s="187"/>
      <c r="Q107" s="187"/>
      <c r="R107" s="187"/>
      <c r="S107" s="187"/>
      <c r="T107" s="187"/>
      <c r="U107" s="187"/>
      <c r="V107" s="187"/>
      <c r="W107" s="187"/>
      <c r="X107" s="187"/>
      <c r="Y107" s="187"/>
      <c r="Z107" s="187"/>
      <c r="AA107" s="187"/>
      <c r="AB107" s="187"/>
    </row>
    <row r="108" spans="1:28" ht="13">
      <c r="A108" s="424"/>
      <c r="B108" s="461" t="s">
        <v>5572</v>
      </c>
      <c r="C108" s="187"/>
      <c r="D108" s="187"/>
      <c r="E108" s="187"/>
      <c r="F108" s="187"/>
      <c r="G108" s="187"/>
      <c r="H108" s="187"/>
      <c r="I108" s="187"/>
      <c r="J108" s="187"/>
      <c r="K108" s="187"/>
      <c r="L108" s="187"/>
      <c r="M108" s="187"/>
      <c r="N108" s="187"/>
      <c r="O108" s="187"/>
      <c r="P108" s="187"/>
      <c r="Q108" s="187"/>
      <c r="R108" s="187"/>
      <c r="S108" s="187"/>
      <c r="T108" s="187"/>
      <c r="U108" s="187"/>
      <c r="V108" s="187"/>
      <c r="W108" s="187"/>
      <c r="X108" s="187"/>
      <c r="Y108" s="187"/>
      <c r="Z108" s="187"/>
      <c r="AA108" s="187"/>
      <c r="AB108" s="187"/>
    </row>
    <row r="109" spans="1:28" ht="13">
      <c r="A109" s="424"/>
      <c r="B109" s="461" t="s">
        <v>5573</v>
      </c>
      <c r="C109" s="187"/>
      <c r="D109" s="187"/>
      <c r="E109" s="187"/>
      <c r="F109" s="187"/>
      <c r="G109" s="187"/>
      <c r="H109" s="187"/>
      <c r="I109" s="187"/>
      <c r="J109" s="187"/>
      <c r="K109" s="187"/>
      <c r="L109" s="187"/>
      <c r="M109" s="187"/>
      <c r="N109" s="187"/>
      <c r="O109" s="187"/>
      <c r="P109" s="187"/>
      <c r="Q109" s="187"/>
      <c r="R109" s="187"/>
      <c r="S109" s="187"/>
      <c r="T109" s="187"/>
      <c r="U109" s="187"/>
      <c r="V109" s="187"/>
      <c r="W109" s="187"/>
      <c r="X109" s="187"/>
      <c r="Y109" s="187"/>
      <c r="Z109" s="187"/>
      <c r="AA109" s="187"/>
      <c r="AB109" s="187"/>
    </row>
    <row r="110" spans="1:28" ht="13">
      <c r="A110" s="424"/>
      <c r="B110" s="461" t="s">
        <v>5574</v>
      </c>
      <c r="C110" s="187"/>
      <c r="D110" s="187"/>
      <c r="E110" s="188"/>
      <c r="F110" s="187"/>
      <c r="G110" s="187"/>
      <c r="H110" s="187"/>
      <c r="I110" s="187"/>
      <c r="J110" s="187"/>
      <c r="K110" s="187"/>
      <c r="L110" s="187"/>
      <c r="M110" s="187"/>
      <c r="N110" s="187"/>
      <c r="O110" s="187"/>
      <c r="P110" s="187"/>
      <c r="Q110" s="187"/>
      <c r="R110" s="187"/>
      <c r="S110" s="187"/>
      <c r="T110" s="187"/>
      <c r="U110" s="187"/>
      <c r="V110" s="187"/>
      <c r="W110" s="187"/>
      <c r="X110" s="187"/>
      <c r="Y110" s="187"/>
      <c r="Z110" s="187"/>
      <c r="AA110" s="187"/>
      <c r="AB110" s="187"/>
    </row>
    <row r="111" spans="1:28" ht="13">
      <c r="A111" s="424"/>
      <c r="B111" s="461" t="s">
        <v>5575</v>
      </c>
      <c r="C111" s="187"/>
      <c r="D111" s="187"/>
      <c r="E111" s="188"/>
      <c r="F111" s="187"/>
      <c r="G111" s="187"/>
      <c r="H111" s="187"/>
      <c r="I111" s="187"/>
      <c r="J111" s="187"/>
      <c r="K111" s="187"/>
      <c r="L111" s="187"/>
      <c r="M111" s="187"/>
      <c r="N111" s="187"/>
      <c r="O111" s="187"/>
      <c r="P111" s="187"/>
      <c r="Q111" s="187"/>
      <c r="R111" s="187"/>
      <c r="S111" s="187"/>
      <c r="T111" s="187"/>
      <c r="U111" s="187"/>
      <c r="V111" s="187"/>
      <c r="W111" s="187"/>
      <c r="X111" s="187"/>
      <c r="Y111" s="187"/>
      <c r="Z111" s="187"/>
      <c r="AA111" s="187"/>
      <c r="AB111" s="187"/>
    </row>
    <row r="112" spans="1:28" ht="13">
      <c r="A112" s="424"/>
      <c r="B112" s="439" t="s">
        <v>5576</v>
      </c>
      <c r="C112" s="187"/>
      <c r="D112" s="187"/>
      <c r="E112" s="188"/>
      <c r="F112" s="187"/>
      <c r="G112" s="187"/>
      <c r="H112" s="187"/>
      <c r="I112" s="187"/>
      <c r="J112" s="187"/>
      <c r="K112" s="187"/>
      <c r="L112" s="187"/>
      <c r="M112" s="187"/>
      <c r="N112" s="187"/>
      <c r="O112" s="187"/>
      <c r="P112" s="187"/>
      <c r="Q112" s="187"/>
      <c r="R112" s="187"/>
      <c r="S112" s="187"/>
      <c r="T112" s="187"/>
      <c r="U112" s="187"/>
      <c r="V112" s="187"/>
      <c r="W112" s="187"/>
      <c r="X112" s="187"/>
      <c r="Y112" s="187"/>
      <c r="Z112" s="187"/>
      <c r="AA112" s="187"/>
      <c r="AB112" s="187"/>
    </row>
    <row r="113" spans="1:8" ht="13">
      <c r="A113" s="424"/>
      <c r="B113" s="461" t="s">
        <v>5577</v>
      </c>
      <c r="C113" s="187"/>
      <c r="D113" s="187"/>
      <c r="E113" s="188"/>
      <c r="F113" s="187"/>
      <c r="G113" s="187"/>
      <c r="H113" s="187"/>
    </row>
    <row r="114" spans="1:8" ht="13">
      <c r="A114" s="424" t="s">
        <v>5578</v>
      </c>
      <c r="B114" s="461"/>
      <c r="C114" s="187"/>
      <c r="D114" s="187"/>
      <c r="E114" s="188"/>
      <c r="F114" s="187"/>
      <c r="G114" s="187"/>
      <c r="H114" s="187"/>
    </row>
    <row r="115" spans="1:8" ht="13">
      <c r="A115" s="424" t="s">
        <v>5579</v>
      </c>
      <c r="B115" s="461"/>
      <c r="C115" s="187"/>
      <c r="D115" s="187"/>
      <c r="E115" s="188"/>
      <c r="F115" s="187"/>
      <c r="G115" s="187"/>
      <c r="H115" s="187"/>
    </row>
    <row r="116" spans="1:8" ht="12.5">
      <c r="A116" s="461" t="s">
        <v>5580</v>
      </c>
      <c r="B116" s="461"/>
      <c r="C116" s="187"/>
      <c r="D116" s="187"/>
      <c r="E116" s="188"/>
      <c r="F116" s="187"/>
      <c r="G116" s="187"/>
      <c r="H116" s="187"/>
    </row>
    <row r="117" spans="1:8" ht="12.5">
      <c r="A117" s="712" t="s">
        <v>5581</v>
      </c>
      <c r="B117" s="692"/>
      <c r="C117" s="187"/>
      <c r="D117" s="187"/>
      <c r="E117" s="188"/>
      <c r="F117" s="187"/>
      <c r="G117" s="187"/>
      <c r="H117" s="187"/>
    </row>
    <row r="118" spans="1:8" ht="12.5">
      <c r="A118" s="461" t="s">
        <v>5582</v>
      </c>
      <c r="B118" s="461"/>
      <c r="C118" s="187"/>
      <c r="D118" s="187"/>
      <c r="E118" s="188"/>
      <c r="F118" s="187"/>
      <c r="G118" s="187"/>
      <c r="H118" s="187"/>
    </row>
    <row r="119" spans="1:8" ht="12.5">
      <c r="A119" s="438" t="s">
        <v>5583</v>
      </c>
      <c r="B119" s="436" t="s">
        <v>5584</v>
      </c>
      <c r="C119" s="187"/>
      <c r="D119" s="187"/>
      <c r="E119" s="188"/>
      <c r="F119" s="187"/>
      <c r="G119" s="187"/>
      <c r="H119" s="187"/>
    </row>
    <row r="120" spans="1:8" ht="12.5">
      <c r="A120" s="712" t="s">
        <v>5585</v>
      </c>
      <c r="B120" s="692"/>
      <c r="C120" s="692"/>
      <c r="D120" s="692"/>
      <c r="E120" s="692"/>
      <c r="F120" s="692"/>
      <c r="G120" s="692"/>
      <c r="H120" s="692"/>
    </row>
    <row r="121" spans="1:8" ht="12.5">
      <c r="A121" s="437" t="s">
        <v>5586</v>
      </c>
      <c r="B121" s="461" t="s">
        <v>5587</v>
      </c>
    </row>
    <row r="122" spans="1:8" ht="12.5">
      <c r="A122" s="461" t="s">
        <v>5588</v>
      </c>
      <c r="B122" s="461"/>
      <c r="C122" s="187"/>
      <c r="D122" s="187"/>
      <c r="E122" s="188"/>
      <c r="F122" s="187"/>
      <c r="G122" s="187"/>
      <c r="H122" s="187"/>
    </row>
    <row r="123" spans="1:8" ht="35.25" customHeight="1">
      <c r="A123" s="713" t="s">
        <v>5589</v>
      </c>
      <c r="B123" s="692"/>
      <c r="C123" s="187"/>
      <c r="D123" s="187"/>
      <c r="E123" s="188"/>
      <c r="F123" s="187"/>
      <c r="G123" s="187"/>
      <c r="H123" s="187"/>
    </row>
    <row r="124" spans="1:8" ht="12.5">
      <c r="A124" s="712" t="s">
        <v>5590</v>
      </c>
      <c r="B124" s="692"/>
      <c r="C124" s="187"/>
      <c r="D124" s="187"/>
      <c r="E124" s="188"/>
      <c r="F124" s="187"/>
      <c r="G124" s="187"/>
      <c r="H124" s="187"/>
    </row>
    <row r="125" spans="1:8" ht="12.5">
      <c r="A125" s="712"/>
      <c r="B125" s="692"/>
      <c r="C125" s="187"/>
      <c r="D125" s="187"/>
      <c r="E125" s="187"/>
      <c r="F125" s="187"/>
      <c r="G125" s="187"/>
      <c r="H125" s="187"/>
    </row>
  </sheetData>
  <autoFilter ref="A2:AB100" xr:uid="{00000000-0009-0000-0000-000044000000}">
    <filterColumn colId="6">
      <filters>
        <filter val="Y"/>
      </filters>
    </filterColumn>
  </autoFilter>
  <mergeCells count="5">
    <mergeCell ref="A125:B125"/>
    <mergeCell ref="A117:B117"/>
    <mergeCell ref="A120:H120"/>
    <mergeCell ref="A123:B123"/>
    <mergeCell ref="A124:B124"/>
  </mergeCells>
  <hyperlinks>
    <hyperlink ref="N4" r:id="rId1" xr:uid="{00000000-0004-0000-4400-000000000000}"/>
  </hyperlinks>
  <pageMargins left="0" right="0" top="0" bottom="0" header="0" footer="0"/>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500-000000000000}">
  <sheetPr filterMode="1">
    <outlinePr summaryBelow="0" summaryRight="0"/>
  </sheetPr>
  <dimension ref="A1:AB32"/>
  <sheetViews>
    <sheetView workbookViewId="0">
      <pane xSplit="2" ySplit="2" topLeftCell="C15" activePane="bottomRight" state="frozen"/>
      <selection pane="topRight" activeCell="C1" sqref="C1"/>
      <selection pane="bottomLeft" activeCell="A3" sqref="A3"/>
      <selection pane="bottomRight" activeCell="H12" sqref="H12"/>
    </sheetView>
  </sheetViews>
  <sheetFormatPr defaultColWidth="14.453125" defaultRowHeight="15" customHeight="1"/>
  <cols>
    <col min="1" max="1" width="16.54296875" customWidth="1"/>
    <col min="2" max="2" width="28.54296875" customWidth="1"/>
    <col min="3" max="3" width="21.26953125" customWidth="1"/>
    <col min="4" max="4" width="12.453125" customWidth="1"/>
    <col min="5" max="5" width="16" customWidth="1"/>
    <col min="6" max="6" width="8.7265625" customWidth="1"/>
    <col min="7" max="7" width="12.453125" customWidth="1"/>
    <col min="8" max="8" width="44.7265625" customWidth="1"/>
    <col min="9" max="9" width="58.81640625" customWidth="1"/>
    <col min="10" max="10" width="13.1796875" customWidth="1"/>
    <col min="11" max="11" width="17.54296875" customWidth="1"/>
    <col min="12" max="12" width="30.453125" hidden="1" customWidth="1"/>
    <col min="13" max="13" width="12.81640625" customWidth="1"/>
    <col min="14" max="14" width="84.54296875" customWidth="1"/>
    <col min="15" max="15" width="15.54296875" customWidth="1"/>
    <col min="16" max="16" width="115.54296875" customWidth="1"/>
  </cols>
  <sheetData>
    <row r="1" spans="1:28" ht="13">
      <c r="A1" s="377"/>
      <c r="B1" s="301"/>
      <c r="C1" s="301"/>
      <c r="D1" s="301"/>
      <c r="E1" s="301"/>
      <c r="F1" s="301"/>
      <c r="G1" s="301"/>
      <c r="H1" s="425" t="s">
        <v>1038</v>
      </c>
      <c r="I1" s="426"/>
      <c r="J1" s="426"/>
      <c r="K1" s="218"/>
      <c r="L1" s="218"/>
      <c r="M1" s="218"/>
      <c r="N1" s="427"/>
      <c r="O1" s="302"/>
      <c r="P1" s="187"/>
      <c r="Q1" s="187"/>
      <c r="R1" s="187"/>
      <c r="S1" s="187"/>
      <c r="T1" s="187"/>
      <c r="U1" s="187"/>
      <c r="V1" s="187"/>
      <c r="W1" s="187"/>
      <c r="X1" s="187"/>
      <c r="Y1" s="187"/>
      <c r="Z1" s="187"/>
      <c r="AA1" s="187"/>
      <c r="AB1" s="187"/>
    </row>
    <row r="2" spans="1:28" ht="13">
      <c r="A2" s="428" t="s">
        <v>224</v>
      </c>
      <c r="B2" s="428" t="s">
        <v>225</v>
      </c>
      <c r="C2" s="428" t="s">
        <v>226</v>
      </c>
      <c r="D2" s="428" t="s">
        <v>227</v>
      </c>
      <c r="E2" s="428" t="s">
        <v>1044</v>
      </c>
      <c r="F2" s="428" t="s">
        <v>1045</v>
      </c>
      <c r="G2" s="428" t="s">
        <v>1046</v>
      </c>
      <c r="H2" s="429" t="s">
        <v>100</v>
      </c>
      <c r="I2" s="430" t="s">
        <v>101</v>
      </c>
      <c r="J2" s="429" t="s">
        <v>102</v>
      </c>
      <c r="K2" s="429" t="s">
        <v>103</v>
      </c>
      <c r="L2" s="429" t="s">
        <v>104</v>
      </c>
      <c r="M2" s="429" t="s">
        <v>105</v>
      </c>
      <c r="N2" s="431" t="s">
        <v>111</v>
      </c>
      <c r="O2" s="432" t="s">
        <v>112</v>
      </c>
      <c r="P2" s="187" t="s">
        <v>113</v>
      </c>
      <c r="Q2" s="187"/>
      <c r="R2" s="187"/>
      <c r="S2" s="187"/>
      <c r="T2" s="187"/>
      <c r="U2" s="187"/>
      <c r="V2" s="187"/>
      <c r="W2" s="187"/>
      <c r="X2" s="187"/>
      <c r="Y2" s="187"/>
      <c r="Z2" s="187"/>
      <c r="AA2" s="187"/>
      <c r="AB2" s="187"/>
    </row>
    <row r="3" spans="1:28" ht="12.5" hidden="1">
      <c r="A3" s="56" t="s">
        <v>53</v>
      </c>
      <c r="B3" s="56" t="s">
        <v>124</v>
      </c>
      <c r="C3" s="56" t="s">
        <v>535</v>
      </c>
      <c r="D3" s="187" t="s">
        <v>903</v>
      </c>
      <c r="E3" s="187"/>
      <c r="F3" s="187">
        <v>1</v>
      </c>
      <c r="G3" s="187"/>
      <c r="H3" s="187"/>
      <c r="I3" s="187"/>
      <c r="J3" s="187"/>
      <c r="K3" s="187"/>
      <c r="L3" s="187"/>
      <c r="M3" s="187"/>
      <c r="N3" s="188"/>
      <c r="O3" s="189">
        <v>23423432</v>
      </c>
      <c r="P3" s="187" t="s">
        <v>5591</v>
      </c>
      <c r="Q3" s="187"/>
      <c r="R3" s="187"/>
      <c r="S3" s="187"/>
      <c r="T3" s="187"/>
      <c r="U3" s="187"/>
      <c r="V3" s="187"/>
      <c r="W3" s="187"/>
      <c r="X3" s="187"/>
      <c r="Y3" s="187"/>
      <c r="Z3" s="187"/>
      <c r="AA3" s="187"/>
      <c r="AB3" s="187"/>
    </row>
    <row r="4" spans="1:28" ht="35.25" customHeight="1">
      <c r="A4" s="186" t="s">
        <v>3681</v>
      </c>
      <c r="B4" s="439" t="s">
        <v>5123</v>
      </c>
      <c r="C4" s="439" t="s">
        <v>5115</v>
      </c>
      <c r="D4" s="439" t="s">
        <v>243</v>
      </c>
      <c r="E4" s="439"/>
      <c r="F4" s="439">
        <v>2</v>
      </c>
      <c r="G4" s="439" t="s">
        <v>682</v>
      </c>
      <c r="H4" s="186" t="s">
        <v>5592</v>
      </c>
      <c r="I4" s="441" t="s">
        <v>5593</v>
      </c>
      <c r="J4" s="439"/>
      <c r="K4" s="439"/>
      <c r="L4" s="439"/>
      <c r="M4" s="439"/>
      <c r="O4" s="376" t="s">
        <v>5512</v>
      </c>
      <c r="P4" s="439" t="s">
        <v>5594</v>
      </c>
      <c r="Q4" s="439"/>
      <c r="R4" s="439"/>
      <c r="S4" s="439"/>
      <c r="T4" s="439"/>
      <c r="U4" s="439"/>
      <c r="V4" s="439"/>
      <c r="W4" s="439"/>
      <c r="X4" s="439"/>
      <c r="Y4" s="439"/>
      <c r="Z4" s="439"/>
      <c r="AA4" s="439"/>
      <c r="AB4" s="439"/>
    </row>
    <row r="5" spans="1:28" ht="35.25" customHeight="1">
      <c r="A5" s="186" t="s">
        <v>3681</v>
      </c>
      <c r="B5" s="439" t="s">
        <v>5125</v>
      </c>
      <c r="C5" s="439" t="s">
        <v>5595</v>
      </c>
      <c r="D5" s="439" t="s">
        <v>243</v>
      </c>
      <c r="E5" s="439"/>
      <c r="F5" s="439">
        <v>3</v>
      </c>
      <c r="G5" s="439" t="s">
        <v>682</v>
      </c>
      <c r="H5" s="186" t="s">
        <v>5592</v>
      </c>
      <c r="I5" s="439" t="s">
        <v>5596</v>
      </c>
      <c r="J5" s="439"/>
      <c r="K5" s="439"/>
      <c r="L5" s="439"/>
      <c r="M5" s="439"/>
      <c r="N5" s="441"/>
      <c r="O5" s="376" t="s">
        <v>5597</v>
      </c>
      <c r="P5" s="439" t="s">
        <v>5598</v>
      </c>
      <c r="Q5" s="439"/>
      <c r="R5" s="439"/>
      <c r="S5" s="439"/>
      <c r="T5" s="439"/>
      <c r="U5" s="439"/>
      <c r="V5" s="439"/>
      <c r="W5" s="439"/>
      <c r="X5" s="439"/>
      <c r="Y5" s="439"/>
      <c r="Z5" s="439"/>
      <c r="AA5" s="439"/>
      <c r="AB5" s="439"/>
    </row>
    <row r="6" spans="1:28" ht="35.25" hidden="1" customHeight="1">
      <c r="A6" s="56" t="s">
        <v>55</v>
      </c>
      <c r="B6" s="461" t="s">
        <v>5127</v>
      </c>
      <c r="C6" s="187" t="s">
        <v>255</v>
      </c>
      <c r="D6" s="187" t="s">
        <v>243</v>
      </c>
      <c r="E6" s="187"/>
      <c r="F6" s="187">
        <v>4</v>
      </c>
      <c r="G6" s="187"/>
      <c r="H6" s="187"/>
      <c r="I6" s="187"/>
      <c r="J6" s="187"/>
      <c r="K6" s="187"/>
      <c r="L6" s="187"/>
      <c r="M6" s="187"/>
      <c r="N6" s="188"/>
      <c r="O6" s="433">
        <v>44197</v>
      </c>
      <c r="P6" s="187" t="s">
        <v>5599</v>
      </c>
      <c r="Q6" s="187"/>
      <c r="R6" s="187"/>
      <c r="S6" s="187"/>
      <c r="T6" s="187"/>
      <c r="U6" s="187"/>
      <c r="V6" s="187"/>
      <c r="W6" s="187"/>
      <c r="X6" s="187"/>
      <c r="Y6" s="187"/>
      <c r="Z6" s="187"/>
      <c r="AA6" s="187"/>
      <c r="AB6" s="187"/>
    </row>
    <row r="7" spans="1:28" ht="35.25" hidden="1" customHeight="1">
      <c r="A7" s="56" t="s">
        <v>55</v>
      </c>
      <c r="B7" s="461" t="s">
        <v>5129</v>
      </c>
      <c r="C7" s="187" t="s">
        <v>255</v>
      </c>
      <c r="D7" s="187" t="s">
        <v>243</v>
      </c>
      <c r="E7" s="187"/>
      <c r="F7" s="187">
        <v>5</v>
      </c>
      <c r="G7" s="187"/>
      <c r="H7" s="187"/>
      <c r="I7" s="187"/>
      <c r="J7" s="187"/>
      <c r="K7" s="187"/>
      <c r="L7" s="187"/>
      <c r="M7" s="187"/>
      <c r="N7" s="188"/>
      <c r="O7" s="433">
        <v>44227</v>
      </c>
      <c r="P7" s="187" t="s">
        <v>5600</v>
      </c>
      <c r="Q7" s="187"/>
      <c r="R7" s="187"/>
      <c r="S7" s="187"/>
      <c r="T7" s="187"/>
      <c r="U7" s="187"/>
      <c r="V7" s="187"/>
      <c r="W7" s="187"/>
      <c r="X7" s="187"/>
      <c r="Y7" s="187"/>
      <c r="Z7" s="187"/>
      <c r="AA7" s="187"/>
      <c r="AB7" s="187"/>
    </row>
    <row r="8" spans="1:28" ht="35.25" hidden="1" customHeight="1">
      <c r="A8" s="56" t="s">
        <v>55</v>
      </c>
      <c r="B8" s="461" t="s">
        <v>5131</v>
      </c>
      <c r="C8" s="187" t="s">
        <v>535</v>
      </c>
      <c r="D8" s="187" t="s">
        <v>243</v>
      </c>
      <c r="E8" s="187"/>
      <c r="F8" s="187">
        <v>6</v>
      </c>
      <c r="G8" s="187"/>
      <c r="H8" s="187"/>
      <c r="I8" s="187"/>
      <c r="J8" s="187"/>
      <c r="K8" s="187"/>
      <c r="L8" s="187"/>
      <c r="M8" s="187"/>
      <c r="N8" s="188"/>
      <c r="O8" s="189">
        <v>123</v>
      </c>
      <c r="P8" s="187" t="s">
        <v>5601</v>
      </c>
      <c r="Q8" s="187"/>
      <c r="R8" s="187"/>
      <c r="S8" s="187"/>
      <c r="T8" s="187"/>
      <c r="U8" s="187"/>
      <c r="V8" s="187"/>
      <c r="W8" s="187"/>
      <c r="X8" s="187"/>
      <c r="Y8" s="187"/>
      <c r="Z8" s="187"/>
      <c r="AA8" s="187"/>
      <c r="AB8" s="187"/>
    </row>
    <row r="9" spans="1:28" ht="35.25" hidden="1" customHeight="1">
      <c r="A9" s="56" t="s">
        <v>55</v>
      </c>
      <c r="B9" s="461" t="s">
        <v>5133</v>
      </c>
      <c r="C9" s="187" t="s">
        <v>535</v>
      </c>
      <c r="D9" s="187" t="s">
        <v>243</v>
      </c>
      <c r="E9" s="187"/>
      <c r="F9" s="187">
        <v>7</v>
      </c>
      <c r="G9" s="187"/>
      <c r="H9" s="187"/>
      <c r="I9" s="187"/>
      <c r="J9" s="187"/>
      <c r="K9" s="187"/>
      <c r="L9" s="187"/>
      <c r="M9" s="187"/>
      <c r="N9" s="188"/>
      <c r="O9" s="189">
        <v>456</v>
      </c>
      <c r="P9" s="187" t="s">
        <v>5602</v>
      </c>
      <c r="Q9" s="187"/>
      <c r="R9" s="187"/>
      <c r="S9" s="187"/>
      <c r="T9" s="187"/>
      <c r="U9" s="187"/>
      <c r="V9" s="187"/>
      <c r="W9" s="187"/>
      <c r="X9" s="187"/>
      <c r="Y9" s="187"/>
      <c r="Z9" s="187"/>
      <c r="AA9" s="187"/>
      <c r="AB9" s="187"/>
    </row>
    <row r="10" spans="1:28" ht="35.25" hidden="1" customHeight="1">
      <c r="A10" s="56" t="s">
        <v>55</v>
      </c>
      <c r="B10" s="461" t="s">
        <v>5603</v>
      </c>
      <c r="C10" s="187" t="s">
        <v>535</v>
      </c>
      <c r="D10" s="187" t="s">
        <v>243</v>
      </c>
      <c r="E10" s="187"/>
      <c r="F10" s="187">
        <v>8</v>
      </c>
      <c r="G10" s="187"/>
      <c r="H10" s="187"/>
      <c r="I10" s="187"/>
      <c r="J10" s="187"/>
      <c r="K10" s="187"/>
      <c r="L10" s="187"/>
      <c r="M10" s="187"/>
      <c r="N10" s="188"/>
      <c r="O10" s="189">
        <v>789</v>
      </c>
      <c r="P10" s="187" t="s">
        <v>5604</v>
      </c>
      <c r="Q10" s="187"/>
      <c r="R10" s="187"/>
      <c r="S10" s="187"/>
      <c r="T10" s="187"/>
      <c r="U10" s="187"/>
      <c r="V10" s="187"/>
      <c r="W10" s="187"/>
      <c r="X10" s="187"/>
      <c r="Y10" s="187"/>
      <c r="Z10" s="187"/>
      <c r="AA10" s="187"/>
      <c r="AB10" s="187"/>
    </row>
    <row r="11" spans="1:28" ht="35.25" hidden="1" customHeight="1">
      <c r="A11" s="56" t="s">
        <v>55</v>
      </c>
      <c r="B11" s="461" t="s">
        <v>5605</v>
      </c>
      <c r="C11" s="187" t="s">
        <v>262</v>
      </c>
      <c r="D11" s="187" t="s">
        <v>243</v>
      </c>
      <c r="E11" s="187"/>
      <c r="F11" s="187">
        <v>9</v>
      </c>
      <c r="G11" s="187"/>
      <c r="H11" s="187"/>
      <c r="I11" s="187"/>
      <c r="J11" s="187"/>
      <c r="K11" s="187"/>
      <c r="L11" s="187"/>
      <c r="M11" s="187"/>
      <c r="N11" s="188"/>
      <c r="O11" s="189" t="s">
        <v>5606</v>
      </c>
      <c r="P11" s="187" t="s">
        <v>5607</v>
      </c>
      <c r="Q11" s="187"/>
      <c r="R11" s="187"/>
      <c r="S11" s="187"/>
      <c r="T11" s="187"/>
      <c r="U11" s="187"/>
      <c r="V11" s="187"/>
      <c r="W11" s="187"/>
      <c r="X11" s="187"/>
      <c r="Y11" s="187"/>
      <c r="Z11" s="187"/>
      <c r="AA11" s="187"/>
      <c r="AB11" s="187"/>
    </row>
    <row r="12" spans="1:28" ht="46.5" customHeight="1">
      <c r="A12" s="186" t="s">
        <v>55</v>
      </c>
      <c r="B12" s="439" t="s">
        <v>5073</v>
      </c>
      <c r="C12" s="439" t="s">
        <v>324</v>
      </c>
      <c r="D12" s="439" t="s">
        <v>243</v>
      </c>
      <c r="E12" s="439"/>
      <c r="F12" s="439">
        <v>10</v>
      </c>
      <c r="G12" s="439" t="s">
        <v>682</v>
      </c>
      <c r="H12" s="186" t="s">
        <v>5592</v>
      </c>
      <c r="I12" s="441" t="s">
        <v>5608</v>
      </c>
      <c r="J12" s="439"/>
      <c r="K12" s="439"/>
      <c r="L12" s="439"/>
      <c r="M12" s="439"/>
      <c r="N12" s="441"/>
      <c r="O12" s="376">
        <v>1</v>
      </c>
      <c r="P12" s="439" t="s">
        <v>5607</v>
      </c>
      <c r="Q12" s="439"/>
      <c r="R12" s="439"/>
      <c r="S12" s="439"/>
      <c r="T12" s="439"/>
      <c r="U12" s="439"/>
      <c r="V12" s="439"/>
      <c r="W12" s="439"/>
      <c r="X12" s="439"/>
      <c r="Y12" s="439"/>
      <c r="Z12" s="439"/>
      <c r="AA12" s="439"/>
      <c r="AB12" s="439"/>
    </row>
    <row r="13" spans="1:28" ht="46.5" customHeight="1">
      <c r="A13" s="186" t="s">
        <v>3681</v>
      </c>
      <c r="B13" s="439" t="s">
        <v>5136</v>
      </c>
      <c r="C13" s="439" t="s">
        <v>324</v>
      </c>
      <c r="D13" s="439" t="s">
        <v>243</v>
      </c>
      <c r="E13" s="439"/>
      <c r="F13" s="439">
        <v>11</v>
      </c>
      <c r="G13" s="439" t="s">
        <v>682</v>
      </c>
      <c r="H13" s="186" t="s">
        <v>5592</v>
      </c>
      <c r="I13" s="441" t="s">
        <v>5609</v>
      </c>
      <c r="J13" s="439"/>
      <c r="K13" s="439"/>
      <c r="L13" s="439"/>
      <c r="M13" s="439"/>
      <c r="N13" s="441"/>
      <c r="O13" s="376" t="s">
        <v>5610</v>
      </c>
      <c r="P13" s="439" t="s">
        <v>5607</v>
      </c>
      <c r="Q13" s="439"/>
      <c r="R13" s="439"/>
      <c r="S13" s="439"/>
      <c r="T13" s="439"/>
      <c r="U13" s="439"/>
      <c r="V13" s="439"/>
      <c r="W13" s="439"/>
      <c r="X13" s="439"/>
      <c r="Y13" s="439"/>
      <c r="Z13" s="439"/>
      <c r="AA13" s="439"/>
      <c r="AB13" s="439"/>
    </row>
    <row r="14" spans="1:28" ht="35.25" hidden="1" customHeight="1">
      <c r="A14" s="56" t="s">
        <v>55</v>
      </c>
      <c r="B14" s="461" t="s">
        <v>5138</v>
      </c>
      <c r="C14" s="187" t="s">
        <v>324</v>
      </c>
      <c r="D14" s="187" t="s">
        <v>243</v>
      </c>
      <c r="E14" s="187"/>
      <c r="F14" s="187">
        <v>12</v>
      </c>
      <c r="G14" s="187"/>
      <c r="H14" s="187"/>
      <c r="I14" s="187"/>
      <c r="J14" s="187"/>
      <c r="K14" s="187"/>
      <c r="L14" s="187"/>
      <c r="M14" s="187"/>
      <c r="N14" s="188"/>
      <c r="O14" s="189" t="s">
        <v>5611</v>
      </c>
      <c r="P14" s="187" t="s">
        <v>5607</v>
      </c>
      <c r="Q14" s="187"/>
      <c r="R14" s="187"/>
      <c r="S14" s="187"/>
      <c r="T14" s="187"/>
      <c r="U14" s="187"/>
      <c r="V14" s="187"/>
      <c r="W14" s="187"/>
      <c r="X14" s="187"/>
      <c r="Y14" s="187"/>
      <c r="Z14" s="187"/>
      <c r="AA14" s="187"/>
      <c r="AB14" s="187"/>
    </row>
    <row r="15" spans="1:28" ht="35.25" customHeight="1">
      <c r="A15" s="186" t="s">
        <v>53</v>
      </c>
      <c r="B15" s="439" t="s">
        <v>1406</v>
      </c>
      <c r="C15" s="439" t="s">
        <v>535</v>
      </c>
      <c r="D15" s="439" t="s">
        <v>903</v>
      </c>
      <c r="E15" s="439"/>
      <c r="F15" s="439">
        <v>13</v>
      </c>
      <c r="G15" s="439" t="s">
        <v>682</v>
      </c>
      <c r="H15" s="439"/>
      <c r="I15" s="193" t="s">
        <v>5612</v>
      </c>
      <c r="J15" s="439"/>
      <c r="K15" s="439"/>
      <c r="L15" s="439"/>
      <c r="M15" s="439"/>
      <c r="N15" s="193"/>
      <c r="O15" s="376">
        <v>40223232</v>
      </c>
      <c r="P15" s="439" t="s">
        <v>5613</v>
      </c>
      <c r="Q15" s="439"/>
      <c r="R15" s="439"/>
      <c r="S15" s="439"/>
      <c r="T15" s="439"/>
      <c r="U15" s="439"/>
      <c r="V15" s="439"/>
      <c r="W15" s="439"/>
      <c r="X15" s="439"/>
      <c r="Y15" s="439"/>
      <c r="Z15" s="439"/>
      <c r="AA15" s="439"/>
      <c r="AB15" s="439"/>
    </row>
    <row r="16" spans="1:28" ht="35.25" customHeight="1">
      <c r="A16" s="186" t="s">
        <v>55</v>
      </c>
      <c r="B16" s="439" t="s">
        <v>4700</v>
      </c>
      <c r="C16" s="439" t="s">
        <v>535</v>
      </c>
      <c r="D16" s="439" t="s">
        <v>903</v>
      </c>
      <c r="E16" s="439"/>
      <c r="F16" s="439">
        <v>14</v>
      </c>
      <c r="G16" s="439" t="s">
        <v>682</v>
      </c>
      <c r="H16" s="186" t="s">
        <v>5592</v>
      </c>
      <c r="I16" s="441" t="s">
        <v>5614</v>
      </c>
      <c r="J16" s="439"/>
      <c r="K16" s="439"/>
      <c r="L16" s="439"/>
      <c r="M16" s="439"/>
      <c r="N16" s="441"/>
      <c r="O16" s="376">
        <v>2459233</v>
      </c>
      <c r="P16" s="439" t="s">
        <v>5615</v>
      </c>
      <c r="Q16" s="439"/>
      <c r="R16" s="439"/>
      <c r="S16" s="439"/>
      <c r="T16" s="439"/>
      <c r="U16" s="439"/>
      <c r="V16" s="439"/>
      <c r="W16" s="439"/>
      <c r="X16" s="439"/>
      <c r="Y16" s="439"/>
      <c r="Z16" s="439"/>
      <c r="AA16" s="439"/>
      <c r="AB16" s="439"/>
    </row>
    <row r="17" spans="1:28" ht="35.25" hidden="1" customHeight="1">
      <c r="A17" s="56" t="s">
        <v>53</v>
      </c>
      <c r="B17" s="461" t="s">
        <v>123</v>
      </c>
      <c r="C17" s="187" t="s">
        <v>535</v>
      </c>
      <c r="D17" s="187" t="s">
        <v>243</v>
      </c>
      <c r="E17" s="187"/>
      <c r="F17" s="187">
        <v>15</v>
      </c>
      <c r="G17" s="187"/>
      <c r="H17" s="187"/>
      <c r="I17" s="187"/>
      <c r="J17" s="187"/>
      <c r="K17" s="187"/>
      <c r="L17" s="187"/>
      <c r="M17" s="187"/>
      <c r="N17" s="188"/>
      <c r="O17" s="189">
        <v>873242343</v>
      </c>
      <c r="P17" s="187" t="s">
        <v>5616</v>
      </c>
      <c r="Q17" s="187"/>
      <c r="R17" s="187"/>
      <c r="S17" s="187"/>
      <c r="T17" s="187"/>
      <c r="U17" s="187"/>
      <c r="V17" s="187"/>
      <c r="W17" s="187"/>
      <c r="X17" s="187"/>
      <c r="Y17" s="187"/>
      <c r="Z17" s="187"/>
      <c r="AA17" s="187"/>
      <c r="AB17" s="187"/>
    </row>
    <row r="18" spans="1:28" ht="56.25" customHeight="1">
      <c r="A18" s="186" t="s">
        <v>55</v>
      </c>
      <c r="B18" s="439" t="s">
        <v>5617</v>
      </c>
      <c r="C18" s="439" t="s">
        <v>535</v>
      </c>
      <c r="D18" s="439" t="s">
        <v>243</v>
      </c>
      <c r="E18" s="439"/>
      <c r="F18" s="439">
        <v>16</v>
      </c>
      <c r="G18" s="439" t="s">
        <v>682</v>
      </c>
      <c r="H18" s="186" t="s">
        <v>5592</v>
      </c>
      <c r="I18" s="441" t="s">
        <v>5618</v>
      </c>
      <c r="J18" s="439"/>
      <c r="K18" s="439"/>
      <c r="L18" s="439"/>
      <c r="M18" s="439"/>
      <c r="N18" s="441"/>
      <c r="O18" s="376" t="s">
        <v>680</v>
      </c>
      <c r="P18" s="439" t="s">
        <v>5619</v>
      </c>
      <c r="Q18" s="439"/>
      <c r="R18" s="439"/>
      <c r="S18" s="439"/>
      <c r="T18" s="439"/>
      <c r="U18" s="439"/>
      <c r="V18" s="439"/>
      <c r="W18" s="439"/>
      <c r="X18" s="439"/>
      <c r="Y18" s="439"/>
      <c r="Z18" s="439"/>
      <c r="AA18" s="439"/>
      <c r="AB18" s="439"/>
    </row>
    <row r="19" spans="1:28" ht="12.5">
      <c r="A19" s="56"/>
      <c r="B19" s="461"/>
      <c r="C19" s="187"/>
      <c r="D19" s="187"/>
      <c r="E19" s="187"/>
      <c r="F19" s="187"/>
      <c r="G19" s="187"/>
      <c r="H19" s="187"/>
      <c r="I19" s="187"/>
      <c r="J19" s="187"/>
      <c r="K19" s="187"/>
      <c r="L19" s="187"/>
      <c r="M19" s="187"/>
      <c r="N19" s="188"/>
      <c r="O19" s="189"/>
      <c r="P19" s="187"/>
      <c r="Q19" s="187"/>
      <c r="R19" s="187"/>
      <c r="S19" s="187"/>
      <c r="T19" s="187"/>
      <c r="U19" s="187"/>
      <c r="V19" s="187"/>
      <c r="W19" s="187"/>
      <c r="X19" s="187"/>
      <c r="Y19" s="187"/>
      <c r="Z19" s="187"/>
      <c r="AA19" s="187"/>
      <c r="AB19" s="187"/>
    </row>
    <row r="20" spans="1:28" ht="12.5">
      <c r="A20" s="187"/>
      <c r="B20" s="187"/>
      <c r="C20" s="187"/>
      <c r="D20" s="187"/>
      <c r="E20" s="187"/>
      <c r="F20" s="187"/>
      <c r="G20" s="187"/>
      <c r="H20" s="187"/>
      <c r="I20" s="187"/>
      <c r="J20" s="187"/>
      <c r="K20" s="187"/>
      <c r="L20" s="187"/>
      <c r="M20" s="187"/>
      <c r="N20" s="188"/>
      <c r="O20" s="189"/>
      <c r="P20" s="187"/>
      <c r="Q20" s="187"/>
      <c r="R20" s="187"/>
      <c r="S20" s="187"/>
      <c r="T20" s="187"/>
      <c r="U20" s="187"/>
      <c r="V20" s="187"/>
      <c r="W20" s="187"/>
      <c r="X20" s="187"/>
      <c r="Y20" s="187"/>
      <c r="Z20" s="187"/>
      <c r="AA20" s="187"/>
      <c r="AB20" s="187"/>
    </row>
    <row r="21" spans="1:28" ht="13">
      <c r="A21" s="424" t="s">
        <v>3893</v>
      </c>
      <c r="B21" s="187"/>
      <c r="C21" s="187"/>
      <c r="D21" s="187"/>
      <c r="E21" s="187"/>
      <c r="F21" s="187"/>
      <c r="G21" s="187"/>
      <c r="H21" s="187"/>
      <c r="I21" s="187"/>
      <c r="J21" s="187"/>
      <c r="K21" s="187"/>
      <c r="L21" s="187"/>
      <c r="M21" s="187"/>
      <c r="N21" s="188"/>
      <c r="O21" s="189"/>
      <c r="P21" s="187"/>
      <c r="Q21" s="187"/>
      <c r="R21" s="187"/>
      <c r="S21" s="187"/>
      <c r="T21" s="187"/>
      <c r="U21" s="187"/>
      <c r="V21" s="187"/>
      <c r="W21" s="187"/>
      <c r="X21" s="187"/>
      <c r="Y21" s="187"/>
      <c r="Z21" s="187"/>
      <c r="AA21" s="187"/>
      <c r="AB21" s="187"/>
    </row>
    <row r="22" spans="1:28" ht="12.5">
      <c r="A22" s="17" t="s">
        <v>5620</v>
      </c>
      <c r="B22" s="187"/>
      <c r="C22" s="187"/>
      <c r="D22" s="187"/>
      <c r="E22" s="187"/>
      <c r="F22" s="187"/>
      <c r="G22" s="187"/>
      <c r="H22" s="187"/>
      <c r="I22" s="187"/>
      <c r="J22" s="187"/>
      <c r="K22" s="187"/>
      <c r="L22" s="187"/>
      <c r="M22" s="187"/>
      <c r="N22" s="188"/>
      <c r="O22" s="189"/>
      <c r="P22" s="187"/>
      <c r="Q22" s="187"/>
      <c r="R22" s="187"/>
      <c r="S22" s="187"/>
      <c r="T22" s="187"/>
      <c r="U22" s="187"/>
      <c r="V22" s="187"/>
      <c r="W22" s="187"/>
      <c r="X22" s="187"/>
      <c r="Y22" s="187"/>
      <c r="Z22" s="187"/>
      <c r="AA22" s="187"/>
      <c r="AB22" s="187"/>
    </row>
    <row r="23" spans="1:28" ht="12.5">
      <c r="A23" s="187" t="s">
        <v>5621</v>
      </c>
      <c r="B23" s="187"/>
      <c r="C23" s="187"/>
      <c r="D23" s="187"/>
      <c r="E23" s="187"/>
      <c r="F23" s="187"/>
      <c r="G23" s="187"/>
      <c r="H23" s="187"/>
      <c r="I23" s="187"/>
      <c r="J23" s="187"/>
      <c r="K23" s="187"/>
      <c r="L23" s="187"/>
      <c r="M23" s="187"/>
      <c r="N23" s="188"/>
      <c r="O23" s="189"/>
      <c r="P23" s="187"/>
      <c r="Q23" s="187"/>
      <c r="R23" s="187"/>
      <c r="S23" s="187"/>
      <c r="T23" s="187"/>
      <c r="U23" s="187"/>
      <c r="V23" s="187"/>
      <c r="W23" s="187"/>
      <c r="X23" s="187"/>
      <c r="Y23" s="187"/>
      <c r="Z23" s="187"/>
      <c r="AA23" s="187"/>
      <c r="AB23" s="187"/>
    </row>
    <row r="24" spans="1:28" ht="12.5">
      <c r="A24" s="187" t="s">
        <v>5570</v>
      </c>
      <c r="B24" s="187"/>
      <c r="C24" s="187"/>
      <c r="D24" s="187"/>
      <c r="E24" s="187"/>
      <c r="F24" s="187"/>
      <c r="G24" s="187"/>
      <c r="H24" s="187"/>
      <c r="I24" s="187"/>
      <c r="J24" s="187"/>
      <c r="K24" s="187"/>
      <c r="L24" s="187"/>
      <c r="M24" s="187"/>
      <c r="N24" s="188"/>
      <c r="O24" s="189"/>
      <c r="P24" s="187"/>
      <c r="Q24" s="187"/>
      <c r="R24" s="187"/>
      <c r="S24" s="187"/>
      <c r="T24" s="187"/>
      <c r="U24" s="187"/>
      <c r="V24" s="187"/>
      <c r="W24" s="187"/>
      <c r="X24" s="187"/>
      <c r="Y24" s="187"/>
      <c r="Z24" s="187"/>
      <c r="AA24" s="187"/>
      <c r="AB24" s="187"/>
    </row>
    <row r="25" spans="1:28" ht="13">
      <c r="A25" s="424"/>
      <c r="B25" s="187"/>
      <c r="C25" s="187"/>
      <c r="D25" s="187"/>
      <c r="E25" s="187"/>
      <c r="F25" s="187"/>
      <c r="G25" s="187"/>
      <c r="H25" s="187"/>
      <c r="I25" s="187"/>
      <c r="J25" s="187"/>
      <c r="K25" s="187"/>
      <c r="L25" s="187"/>
      <c r="M25" s="187"/>
      <c r="N25" s="188"/>
      <c r="O25" s="189"/>
      <c r="P25" s="187"/>
      <c r="Q25" s="187"/>
      <c r="R25" s="187"/>
      <c r="S25" s="187"/>
      <c r="T25" s="187"/>
      <c r="U25" s="187"/>
      <c r="V25" s="187"/>
      <c r="W25" s="187"/>
      <c r="X25" s="187"/>
      <c r="Y25" s="187"/>
      <c r="Z25" s="187"/>
      <c r="AA25" s="187"/>
      <c r="AB25" s="187"/>
    </row>
    <row r="26" spans="1:28" ht="13">
      <c r="A26" s="424" t="s">
        <v>5579</v>
      </c>
      <c r="B26" s="187"/>
      <c r="C26" s="187"/>
      <c r="D26" s="187"/>
      <c r="E26" s="187"/>
      <c r="F26" s="187"/>
      <c r="G26" s="187"/>
      <c r="H26" s="187"/>
      <c r="I26" s="187"/>
      <c r="J26" s="187"/>
      <c r="K26" s="187"/>
      <c r="L26" s="187"/>
      <c r="M26" s="187"/>
      <c r="N26" s="188"/>
      <c r="O26" s="189"/>
      <c r="P26" s="187"/>
      <c r="Q26" s="187"/>
      <c r="R26" s="187"/>
      <c r="S26" s="187"/>
      <c r="T26" s="187"/>
      <c r="U26" s="187"/>
      <c r="V26" s="187"/>
      <c r="W26" s="187"/>
      <c r="X26" s="187"/>
      <c r="Y26" s="187"/>
      <c r="Z26" s="187"/>
      <c r="AA26" s="187"/>
      <c r="AB26" s="187"/>
    </row>
    <row r="27" spans="1:28" ht="21" customHeight="1">
      <c r="A27" s="187" t="s">
        <v>5580</v>
      </c>
      <c r="B27" s="187"/>
      <c r="C27" s="187"/>
      <c r="D27" s="187"/>
      <c r="E27" s="187"/>
      <c r="F27" s="187"/>
      <c r="G27" s="187"/>
      <c r="H27" s="187"/>
      <c r="I27" s="187"/>
      <c r="J27" s="187"/>
      <c r="K27" s="187"/>
      <c r="L27" s="187"/>
      <c r="M27" s="187"/>
      <c r="N27" s="188"/>
      <c r="O27" s="189"/>
      <c r="P27" s="187"/>
      <c r="Q27" s="187"/>
      <c r="R27" s="187"/>
      <c r="S27" s="187"/>
      <c r="T27" s="187"/>
      <c r="U27" s="187"/>
      <c r="V27" s="187"/>
      <c r="W27" s="187"/>
      <c r="X27" s="187"/>
      <c r="Y27" s="187"/>
      <c r="Z27" s="187"/>
      <c r="AA27" s="187"/>
      <c r="AB27" s="187"/>
    </row>
    <row r="28" spans="1:28" s="5" customFormat="1" ht="36.75" customHeight="1">
      <c r="A28" s="714" t="s">
        <v>5622</v>
      </c>
      <c r="B28" s="715"/>
      <c r="C28" s="187"/>
      <c r="D28" s="187"/>
      <c r="E28" s="187"/>
      <c r="F28" s="187"/>
      <c r="G28" s="187"/>
      <c r="H28" s="187"/>
      <c r="I28" s="187"/>
      <c r="J28" s="187"/>
      <c r="K28" s="187"/>
      <c r="L28" s="187"/>
      <c r="M28" s="187"/>
      <c r="N28" s="188"/>
      <c r="O28" s="187"/>
      <c r="P28" s="187"/>
      <c r="Q28" s="187"/>
      <c r="R28" s="187"/>
      <c r="S28" s="187"/>
      <c r="T28" s="187"/>
      <c r="U28" s="187"/>
      <c r="V28" s="187"/>
      <c r="W28" s="187"/>
      <c r="X28" s="187"/>
      <c r="Y28" s="187"/>
      <c r="Z28" s="187"/>
      <c r="AA28" s="187"/>
      <c r="AB28" s="187"/>
    </row>
    <row r="29" spans="1:28" ht="12.5">
      <c r="A29" s="187"/>
      <c r="B29" s="187"/>
      <c r="C29" s="187"/>
      <c r="D29" s="187"/>
      <c r="E29" s="187"/>
      <c r="F29" s="187"/>
      <c r="G29" s="187"/>
      <c r="H29" s="187"/>
      <c r="I29" s="187"/>
      <c r="J29" s="187"/>
      <c r="K29" s="187"/>
      <c r="L29" s="187"/>
      <c r="M29" s="187"/>
      <c r="N29" s="188"/>
      <c r="O29" s="189"/>
      <c r="P29" s="187"/>
      <c r="Q29" s="187"/>
      <c r="R29" s="187"/>
      <c r="S29" s="187"/>
      <c r="T29" s="187"/>
      <c r="U29" s="187"/>
      <c r="V29" s="187"/>
      <c r="W29" s="187"/>
      <c r="X29" s="187"/>
      <c r="Y29" s="187"/>
      <c r="Z29" s="187"/>
      <c r="AA29" s="187"/>
      <c r="AB29" s="187"/>
    </row>
    <row r="30" spans="1:28" ht="12.5">
      <c r="A30" s="716"/>
      <c r="B30" s="692"/>
      <c r="C30" s="187"/>
      <c r="D30" s="187"/>
      <c r="E30" s="187"/>
      <c r="F30" s="187"/>
      <c r="G30" s="187"/>
      <c r="H30" s="187"/>
      <c r="I30" s="187"/>
      <c r="J30" s="187"/>
      <c r="K30" s="187"/>
      <c r="L30" s="187"/>
      <c r="M30" s="187"/>
      <c r="N30" s="188"/>
      <c r="O30" s="189"/>
      <c r="P30" s="187"/>
      <c r="Q30" s="187"/>
      <c r="R30" s="187"/>
      <c r="S30" s="187"/>
      <c r="T30" s="187"/>
      <c r="U30" s="187"/>
      <c r="V30" s="187"/>
      <c r="W30" s="187"/>
      <c r="X30" s="187"/>
      <c r="Y30" s="187"/>
      <c r="Z30" s="187"/>
      <c r="AA30" s="187"/>
      <c r="AB30" s="187"/>
    </row>
    <row r="31" spans="1:28" ht="12.5">
      <c r="A31" s="716"/>
      <c r="B31" s="692"/>
      <c r="C31" s="187"/>
      <c r="D31" s="187"/>
      <c r="E31" s="187"/>
      <c r="F31" s="187"/>
      <c r="G31" s="187"/>
      <c r="H31" s="187"/>
      <c r="I31" s="187"/>
      <c r="J31" s="187"/>
      <c r="K31" s="187"/>
      <c r="L31" s="187"/>
      <c r="M31" s="187"/>
      <c r="N31" s="188"/>
      <c r="O31" s="189"/>
      <c r="P31" s="187"/>
      <c r="Q31" s="187"/>
      <c r="R31" s="187"/>
      <c r="S31" s="187"/>
      <c r="T31" s="187"/>
      <c r="U31" s="187"/>
      <c r="V31" s="187"/>
      <c r="W31" s="187"/>
      <c r="X31" s="187"/>
      <c r="Y31" s="187"/>
      <c r="Z31" s="187"/>
      <c r="AA31" s="187"/>
      <c r="AB31" s="187"/>
    </row>
    <row r="32" spans="1:28" ht="12.5">
      <c r="A32" s="716"/>
      <c r="B32" s="692"/>
      <c r="C32" s="187"/>
      <c r="D32" s="187"/>
      <c r="E32" s="187"/>
      <c r="F32" s="187"/>
      <c r="G32" s="187"/>
      <c r="H32" s="187"/>
      <c r="I32" s="187"/>
      <c r="J32" s="187"/>
      <c r="K32" s="187"/>
      <c r="L32" s="187"/>
      <c r="M32" s="187"/>
      <c r="N32" s="188"/>
      <c r="O32" s="189"/>
      <c r="P32" s="187"/>
      <c r="Q32" s="187"/>
      <c r="R32" s="187"/>
      <c r="S32" s="187"/>
      <c r="T32" s="187"/>
      <c r="U32" s="187"/>
      <c r="V32" s="187"/>
      <c r="W32" s="187"/>
      <c r="X32" s="187"/>
      <c r="Y32" s="187"/>
      <c r="Z32" s="187"/>
      <c r="AA32" s="187"/>
      <c r="AB32" s="187"/>
    </row>
  </sheetData>
  <autoFilter ref="A2:AB18" xr:uid="{00000000-0009-0000-0000-000045000000}">
    <filterColumn colId="6">
      <filters>
        <filter val="Y"/>
      </filters>
    </filterColumn>
  </autoFilter>
  <mergeCells count="4">
    <mergeCell ref="A28:B28"/>
    <mergeCell ref="A30:B30"/>
    <mergeCell ref="A31:B31"/>
    <mergeCell ref="A32:B32"/>
  </mergeCells>
  <hyperlinks>
    <hyperlink ref="A22" r:id="rId1" xr:uid="{00000000-0004-0000-4500-000001000000}"/>
  </hyperlinks>
  <pageMargins left="0" right="0" top="0" bottom="0" header="0" footer="0"/>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4DFC46-1AAE-4980-B83D-70670E8CA86A}">
  <dimension ref="A1:AB27"/>
  <sheetViews>
    <sheetView workbookViewId="0">
      <pane ySplit="1" topLeftCell="A2" activePane="bottomLeft" state="frozen"/>
      <selection pane="bottomLeft" activeCell="B11" sqref="B11"/>
    </sheetView>
  </sheetViews>
  <sheetFormatPr defaultColWidth="14.453125" defaultRowHeight="15" customHeight="1"/>
  <cols>
    <col min="1" max="1" width="16.81640625" customWidth="1"/>
    <col min="2" max="2" width="27.1796875" customWidth="1"/>
    <col min="3" max="3" width="25.7265625" customWidth="1"/>
    <col min="4" max="4" width="8.7265625" customWidth="1"/>
    <col min="5" max="5" width="12" customWidth="1"/>
    <col min="6" max="6" width="5.453125" customWidth="1"/>
    <col min="7" max="7" width="9.1796875" customWidth="1"/>
    <col min="8" max="8" width="17.26953125" customWidth="1"/>
    <col min="9" max="9" width="35.1796875" customWidth="1"/>
    <col min="10" max="10" width="26.81640625" customWidth="1"/>
    <col min="11" max="11" width="10.453125" customWidth="1"/>
    <col min="12" max="12" width="17.7265625" customWidth="1"/>
    <col min="13" max="13" width="28.453125" customWidth="1"/>
    <col min="14" max="14" width="11.7265625" customWidth="1"/>
    <col min="15" max="28" width="17.26953125" customWidth="1"/>
  </cols>
  <sheetData>
    <row r="1" spans="1:28" ht="26.25" customHeight="1">
      <c r="A1" s="542"/>
      <c r="B1" s="130"/>
      <c r="C1" s="459"/>
      <c r="D1" s="459"/>
      <c r="E1" s="459"/>
      <c r="F1" s="459"/>
      <c r="G1" s="381"/>
      <c r="H1" s="381"/>
      <c r="I1" s="207" t="s">
        <v>1038</v>
      </c>
      <c r="J1" s="207"/>
      <c r="K1" s="207"/>
      <c r="L1" s="207"/>
      <c r="M1" s="207"/>
      <c r="N1" s="207"/>
      <c r="O1" s="207"/>
      <c r="P1" s="459"/>
      <c r="Q1" s="459"/>
      <c r="R1" s="459"/>
      <c r="S1" s="459"/>
      <c r="T1" s="459"/>
      <c r="U1" s="459"/>
      <c r="V1" s="459"/>
      <c r="W1" s="459"/>
      <c r="X1" s="459"/>
      <c r="Y1" s="459"/>
      <c r="Z1" s="459"/>
      <c r="AA1" s="459"/>
      <c r="AB1" s="459"/>
    </row>
    <row r="2" spans="1:28" ht="15" customHeight="1">
      <c r="A2" s="208" t="s">
        <v>224</v>
      </c>
      <c r="B2" s="208" t="s">
        <v>225</v>
      </c>
      <c r="C2" s="208" t="s">
        <v>226</v>
      </c>
      <c r="D2" s="208" t="s">
        <v>227</v>
      </c>
      <c r="E2" s="208" t="s">
        <v>1044</v>
      </c>
      <c r="F2" s="208" t="s">
        <v>1045</v>
      </c>
      <c r="G2" s="207" t="s">
        <v>1046</v>
      </c>
      <c r="H2" s="207" t="s">
        <v>3656</v>
      </c>
      <c r="I2" s="207" t="s">
        <v>100</v>
      </c>
      <c r="J2" s="207" t="s">
        <v>101</v>
      </c>
      <c r="K2" s="207" t="s">
        <v>102</v>
      </c>
      <c r="L2" s="285" t="s">
        <v>104</v>
      </c>
      <c r="M2" s="207" t="s">
        <v>105</v>
      </c>
      <c r="N2" s="207" t="s">
        <v>112</v>
      </c>
      <c r="O2" s="207" t="s">
        <v>103</v>
      </c>
      <c r="P2" s="459"/>
      <c r="Q2" s="459"/>
      <c r="R2" s="459"/>
      <c r="S2" s="459"/>
      <c r="T2" s="459"/>
      <c r="U2" s="459"/>
      <c r="V2" s="459"/>
      <c r="W2" s="459"/>
      <c r="X2" s="459"/>
      <c r="Y2" s="459"/>
      <c r="Z2" s="459"/>
      <c r="AA2" s="459"/>
      <c r="AB2" s="459"/>
    </row>
    <row r="3" spans="1:28" ht="36.75" customHeight="1">
      <c r="A3" s="459" t="s">
        <v>5623</v>
      </c>
      <c r="B3" s="459" t="s">
        <v>118</v>
      </c>
      <c r="C3" s="459" t="s">
        <v>249</v>
      </c>
      <c r="D3" s="459" t="s">
        <v>243</v>
      </c>
      <c r="E3" s="459"/>
      <c r="F3" s="459">
        <v>1</v>
      </c>
      <c r="G3" s="459" t="s">
        <v>682</v>
      </c>
      <c r="H3" s="459" t="s">
        <v>5624</v>
      </c>
      <c r="I3" s="459" t="s">
        <v>5625</v>
      </c>
      <c r="J3" s="459" t="s">
        <v>1296</v>
      </c>
      <c r="K3" s="459"/>
      <c r="L3" s="459"/>
      <c r="M3" s="459" t="s">
        <v>5626</v>
      </c>
      <c r="N3" s="459"/>
      <c r="O3" s="186" t="s">
        <v>1190</v>
      </c>
      <c r="P3" s="459"/>
      <c r="Q3" s="459"/>
      <c r="R3" s="459"/>
      <c r="S3" s="459"/>
      <c r="T3" s="459"/>
      <c r="U3" s="459"/>
      <c r="V3" s="459"/>
      <c r="W3" s="459"/>
      <c r="X3" s="459"/>
      <c r="Y3" s="459"/>
      <c r="Z3" s="459"/>
      <c r="AA3" s="459"/>
      <c r="AB3" s="459"/>
    </row>
    <row r="4" spans="1:28" ht="36.75" customHeight="1">
      <c r="A4" s="459" t="s">
        <v>5623</v>
      </c>
      <c r="B4" s="459" t="s">
        <v>1010</v>
      </c>
      <c r="C4" s="459" t="s">
        <v>535</v>
      </c>
      <c r="D4" s="459" t="s">
        <v>243</v>
      </c>
      <c r="E4" s="459"/>
      <c r="F4" s="459">
        <v>2</v>
      </c>
      <c r="G4" s="459" t="s">
        <v>682</v>
      </c>
      <c r="H4" s="459" t="s">
        <v>5624</v>
      </c>
      <c r="I4" s="459" t="s">
        <v>5625</v>
      </c>
      <c r="J4" s="459" t="s">
        <v>5627</v>
      </c>
      <c r="K4" s="459"/>
      <c r="L4" s="459"/>
      <c r="M4" s="459" t="s">
        <v>5626</v>
      </c>
      <c r="N4" s="459"/>
      <c r="O4" s="186" t="s">
        <v>1190</v>
      </c>
      <c r="P4" s="459"/>
      <c r="Q4" s="459"/>
      <c r="R4" s="459"/>
      <c r="S4" s="459"/>
      <c r="T4" s="459"/>
      <c r="U4" s="459"/>
      <c r="V4" s="459"/>
      <c r="W4" s="459"/>
      <c r="X4" s="459"/>
      <c r="Y4" s="459"/>
      <c r="Z4" s="459"/>
      <c r="AA4" s="459"/>
      <c r="AB4" s="459"/>
    </row>
    <row r="5" spans="1:28" ht="30" customHeight="1">
      <c r="A5" s="459" t="s">
        <v>5623</v>
      </c>
      <c r="B5" s="459" t="s">
        <v>122</v>
      </c>
      <c r="C5" s="459" t="s">
        <v>346</v>
      </c>
      <c r="D5" s="459" t="s">
        <v>243</v>
      </c>
      <c r="E5" s="459"/>
      <c r="F5" s="459">
        <v>3</v>
      </c>
      <c r="G5" s="459" t="s">
        <v>682</v>
      </c>
      <c r="H5" s="459" t="s">
        <v>5624</v>
      </c>
      <c r="I5" s="459" t="s">
        <v>5625</v>
      </c>
      <c r="J5" s="459" t="s">
        <v>5628</v>
      </c>
      <c r="K5" s="459"/>
      <c r="L5" s="459"/>
      <c r="M5" s="459" t="s">
        <v>5629</v>
      </c>
      <c r="N5" s="459"/>
      <c r="O5" s="186" t="s">
        <v>1190</v>
      </c>
      <c r="P5" s="459"/>
      <c r="Q5" s="459"/>
      <c r="R5" s="459"/>
      <c r="S5" s="459"/>
      <c r="T5" s="459"/>
      <c r="U5" s="459"/>
      <c r="V5" s="459"/>
      <c r="W5" s="459"/>
      <c r="X5" s="459"/>
      <c r="Y5" s="459"/>
      <c r="Z5" s="459"/>
      <c r="AA5" s="459"/>
      <c r="AB5" s="459"/>
    </row>
    <row r="6" spans="1:28" ht="30" customHeight="1">
      <c r="A6" s="459" t="s">
        <v>5623</v>
      </c>
      <c r="B6" t="s">
        <v>123</v>
      </c>
      <c r="C6" s="459" t="s">
        <v>535</v>
      </c>
      <c r="D6" t="s">
        <v>243</v>
      </c>
      <c r="F6">
        <v>4</v>
      </c>
      <c r="G6" t="s">
        <v>682</v>
      </c>
      <c r="H6" s="459" t="s">
        <v>5624</v>
      </c>
      <c r="I6" s="459" t="s">
        <v>5625</v>
      </c>
      <c r="J6" t="s">
        <v>5630</v>
      </c>
      <c r="K6" s="459"/>
      <c r="L6" s="459"/>
      <c r="M6" s="459" t="s">
        <v>5629</v>
      </c>
      <c r="N6" s="459"/>
      <c r="O6" s="186" t="s">
        <v>1190</v>
      </c>
      <c r="P6" s="459"/>
      <c r="Q6" s="459"/>
      <c r="R6" s="459"/>
      <c r="S6" s="459"/>
      <c r="T6" s="459"/>
      <c r="U6" s="459"/>
      <c r="V6" s="459"/>
      <c r="W6" s="459"/>
      <c r="X6" s="459"/>
      <c r="Y6" s="459"/>
      <c r="Z6" s="459"/>
      <c r="AA6" s="459"/>
      <c r="AB6" s="459"/>
    </row>
    <row r="7" spans="1:28" ht="15" customHeight="1">
      <c r="A7" s="459" t="s">
        <v>224</v>
      </c>
      <c r="B7" s="459" t="s">
        <v>5123</v>
      </c>
      <c r="C7" s="459" t="s">
        <v>346</v>
      </c>
      <c r="D7" s="459" t="s">
        <v>903</v>
      </c>
      <c r="E7" s="459"/>
      <c r="F7" s="459">
        <v>5</v>
      </c>
      <c r="G7" s="459" t="s">
        <v>682</v>
      </c>
      <c r="H7" s="459" t="s">
        <v>5624</v>
      </c>
      <c r="I7" s="459" t="s">
        <v>5625</v>
      </c>
      <c r="J7" s="459" t="s">
        <v>182</v>
      </c>
      <c r="K7" s="459"/>
      <c r="L7" s="459"/>
      <c r="M7" s="459"/>
      <c r="N7" s="459"/>
      <c r="O7" s="186" t="s">
        <v>1190</v>
      </c>
      <c r="P7" s="459"/>
      <c r="Q7" s="459"/>
      <c r="R7" s="459"/>
      <c r="S7" s="459"/>
      <c r="T7" s="459"/>
      <c r="U7" s="459"/>
      <c r="V7" s="459"/>
      <c r="W7" s="459"/>
      <c r="X7" s="459"/>
      <c r="Y7" s="459"/>
      <c r="Z7" s="459"/>
      <c r="AA7" s="459"/>
      <c r="AB7" s="459"/>
    </row>
    <row r="8" spans="1:28" ht="15" customHeight="1">
      <c r="A8" s="459" t="s">
        <v>224</v>
      </c>
      <c r="B8" s="459" t="s">
        <v>5136</v>
      </c>
      <c r="C8" s="459" t="s">
        <v>346</v>
      </c>
      <c r="D8" s="459" t="s">
        <v>903</v>
      </c>
      <c r="E8" s="459"/>
      <c r="F8" s="459">
        <v>6</v>
      </c>
      <c r="G8" s="459" t="s">
        <v>682</v>
      </c>
      <c r="H8" s="459" t="s">
        <v>5624</v>
      </c>
      <c r="I8" s="459" t="s">
        <v>5625</v>
      </c>
      <c r="J8" s="459" t="s">
        <v>5631</v>
      </c>
      <c r="K8" s="459"/>
      <c r="L8" s="459"/>
      <c r="M8" s="459" t="s">
        <v>5632</v>
      </c>
      <c r="N8" s="459"/>
      <c r="O8" s="186" t="s">
        <v>1190</v>
      </c>
      <c r="P8" s="459"/>
      <c r="Q8" s="459"/>
      <c r="R8" s="459"/>
      <c r="S8" s="459"/>
      <c r="T8" s="459"/>
      <c r="U8" s="459"/>
      <c r="V8" s="459"/>
      <c r="W8" s="459"/>
      <c r="X8" s="459"/>
      <c r="Y8" s="459"/>
      <c r="Z8" s="459"/>
      <c r="AA8" s="459"/>
      <c r="AB8" s="459"/>
    </row>
    <row r="9" spans="1:28" ht="15" customHeight="1">
      <c r="A9" s="459" t="s">
        <v>2938</v>
      </c>
      <c r="B9" s="459" t="s">
        <v>5125</v>
      </c>
      <c r="C9" s="459" t="s">
        <v>2938</v>
      </c>
      <c r="D9" s="459" t="s">
        <v>903</v>
      </c>
      <c r="E9" s="459"/>
      <c r="F9" s="459">
        <v>7</v>
      </c>
      <c r="G9" s="459" t="s">
        <v>682</v>
      </c>
      <c r="H9" s="459" t="s">
        <v>5624</v>
      </c>
      <c r="I9" s="459" t="s">
        <v>5625</v>
      </c>
      <c r="J9" s="459" t="s">
        <v>5633</v>
      </c>
      <c r="K9" s="459"/>
      <c r="L9" s="459"/>
      <c r="M9" s="130" t="s">
        <v>5634</v>
      </c>
      <c r="N9" s="459"/>
      <c r="O9" s="186" t="s">
        <v>1190</v>
      </c>
      <c r="P9" s="459"/>
      <c r="Q9" s="459"/>
      <c r="R9" s="459"/>
      <c r="S9" s="459"/>
      <c r="T9" s="459"/>
      <c r="U9" s="459"/>
      <c r="V9" s="459"/>
      <c r="W9" s="459"/>
      <c r="X9" s="459"/>
      <c r="Y9" s="459"/>
      <c r="Z9" s="459"/>
      <c r="AA9" s="459"/>
      <c r="AB9" s="459"/>
    </row>
    <row r="10" spans="1:28" ht="15" customHeight="1">
      <c r="A10" s="459"/>
      <c r="B10" s="459"/>
      <c r="C10" s="459"/>
      <c r="D10" s="459"/>
      <c r="E10" s="459"/>
      <c r="F10" s="459"/>
      <c r="G10" s="459"/>
      <c r="H10" s="459"/>
      <c r="I10" s="459"/>
      <c r="J10" s="459"/>
      <c r="K10" s="459"/>
      <c r="L10" s="459"/>
      <c r="M10" s="459"/>
      <c r="N10" s="459"/>
      <c r="O10" s="186"/>
      <c r="P10" s="459"/>
      <c r="Q10" s="459"/>
      <c r="R10" s="459"/>
      <c r="S10" s="459"/>
      <c r="T10" s="459"/>
      <c r="U10" s="459"/>
      <c r="V10" s="459"/>
      <c r="W10" s="459"/>
      <c r="X10" s="459"/>
      <c r="Y10" s="459"/>
      <c r="Z10" s="459"/>
      <c r="AA10" s="459"/>
      <c r="AB10" s="459"/>
    </row>
    <row r="11" spans="1:28" ht="15" customHeight="1">
      <c r="A11" s="459"/>
      <c r="B11" s="459"/>
      <c r="C11" s="459"/>
      <c r="D11" s="459"/>
      <c r="E11" s="459"/>
      <c r="F11" s="459"/>
      <c r="G11" s="459"/>
      <c r="H11" s="459"/>
      <c r="I11" s="459"/>
      <c r="J11" s="459"/>
      <c r="K11" s="459"/>
      <c r="L11" s="459"/>
      <c r="M11" s="459"/>
      <c r="N11" s="459"/>
      <c r="O11" s="186"/>
      <c r="P11" s="459"/>
      <c r="Q11" s="459"/>
      <c r="R11" s="459"/>
      <c r="S11" s="459"/>
      <c r="T11" s="459"/>
      <c r="U11" s="459"/>
      <c r="V11" s="459"/>
      <c r="W11" s="459"/>
      <c r="X11" s="459"/>
      <c r="Y11" s="459"/>
      <c r="Z11" s="459"/>
      <c r="AA11" s="459"/>
      <c r="AB11" s="459"/>
    </row>
    <row r="12" spans="1:28" ht="15" customHeight="1">
      <c r="A12" s="459"/>
      <c r="B12" s="459"/>
      <c r="C12" s="459"/>
      <c r="D12" s="459"/>
      <c r="E12" s="459"/>
      <c r="F12" s="459"/>
      <c r="G12" s="459"/>
      <c r="H12" s="459"/>
      <c r="I12" s="459"/>
      <c r="J12" s="459"/>
      <c r="K12" s="459"/>
      <c r="L12" s="459"/>
      <c r="M12" s="459"/>
      <c r="N12" s="459"/>
      <c r="O12" s="186"/>
      <c r="P12" s="459"/>
      <c r="Q12" s="459"/>
      <c r="R12" s="459"/>
      <c r="S12" s="459"/>
      <c r="T12" s="459"/>
      <c r="U12" s="459"/>
      <c r="V12" s="459"/>
      <c r="W12" s="459"/>
      <c r="X12" s="459"/>
      <c r="Y12" s="459"/>
      <c r="Z12" s="459"/>
      <c r="AA12" s="459"/>
      <c r="AB12" s="459"/>
    </row>
    <row r="13" spans="1:28" ht="15" customHeight="1">
      <c r="A13" s="459"/>
      <c r="B13" s="459"/>
      <c r="C13" s="459"/>
      <c r="D13" s="459"/>
      <c r="E13" s="459"/>
      <c r="F13" s="459"/>
      <c r="G13" s="459"/>
      <c r="H13" s="459"/>
      <c r="I13" s="459"/>
      <c r="J13" s="459"/>
      <c r="K13" s="459"/>
      <c r="L13" s="459"/>
      <c r="M13" s="459"/>
      <c r="N13" s="459"/>
      <c r="O13" s="459"/>
      <c r="P13" s="459"/>
      <c r="Q13" s="459"/>
      <c r="R13" s="459"/>
      <c r="S13" s="459"/>
      <c r="T13" s="459"/>
      <c r="U13" s="459"/>
      <c r="V13" s="459"/>
      <c r="W13" s="459"/>
      <c r="X13" s="459"/>
      <c r="Y13" s="459"/>
      <c r="Z13" s="459"/>
      <c r="AA13" s="459"/>
      <c r="AB13" s="459"/>
    </row>
    <row r="14" spans="1:28" ht="15" customHeight="1">
      <c r="A14" s="459"/>
      <c r="B14" s="459"/>
      <c r="C14" s="459"/>
      <c r="D14" s="459"/>
      <c r="E14" s="459"/>
      <c r="F14" s="459"/>
      <c r="G14" s="459"/>
      <c r="H14" s="459"/>
      <c r="I14" s="459"/>
      <c r="J14" s="459"/>
      <c r="K14" s="459"/>
      <c r="L14" s="459"/>
      <c r="M14" s="459"/>
      <c r="N14" s="459"/>
      <c r="O14" s="459"/>
      <c r="P14" s="459"/>
      <c r="Q14" s="459"/>
      <c r="R14" s="459"/>
      <c r="S14" s="459"/>
      <c r="T14" s="459"/>
      <c r="U14" s="459"/>
      <c r="V14" s="459"/>
      <c r="W14" s="459"/>
      <c r="X14" s="459"/>
      <c r="Y14" s="459"/>
      <c r="Z14" s="459"/>
      <c r="AA14" s="459"/>
      <c r="AB14" s="459"/>
    </row>
    <row r="15" spans="1:28" ht="15" customHeight="1">
      <c r="A15" s="459"/>
      <c r="B15" s="459"/>
      <c r="C15" s="459"/>
      <c r="D15" s="459"/>
      <c r="E15" s="459"/>
      <c r="F15" s="459"/>
      <c r="G15" s="459"/>
      <c r="H15" s="459"/>
      <c r="I15" s="459"/>
      <c r="J15" s="459"/>
      <c r="K15" s="459"/>
      <c r="L15" s="459"/>
      <c r="M15" s="459"/>
      <c r="N15" s="459"/>
      <c r="O15" s="459"/>
      <c r="P15" s="459"/>
      <c r="Q15" s="459"/>
      <c r="R15" s="459"/>
      <c r="S15" s="459"/>
      <c r="T15" s="459"/>
      <c r="U15" s="459"/>
      <c r="V15" s="459"/>
      <c r="W15" s="459"/>
      <c r="X15" s="459"/>
      <c r="Y15" s="459"/>
      <c r="Z15" s="459"/>
      <c r="AA15" s="459"/>
      <c r="AB15" s="459"/>
    </row>
    <row r="16" spans="1:28" ht="15" customHeight="1">
      <c r="A16" s="459"/>
      <c r="B16" s="459"/>
      <c r="C16" s="459"/>
      <c r="D16" s="459"/>
      <c r="E16" s="459"/>
      <c r="F16" s="459"/>
      <c r="G16" s="459"/>
      <c r="H16" s="459"/>
      <c r="I16" s="459"/>
      <c r="J16" s="459"/>
      <c r="K16" s="459"/>
      <c r="L16" s="459"/>
      <c r="M16" s="459"/>
      <c r="N16" s="459"/>
      <c r="O16" s="459"/>
      <c r="P16" s="459"/>
      <c r="Q16" s="459"/>
      <c r="R16" s="459"/>
      <c r="S16" s="459"/>
      <c r="T16" s="459"/>
      <c r="U16" s="459"/>
      <c r="V16" s="459"/>
      <c r="W16" s="459"/>
      <c r="X16" s="459"/>
      <c r="Y16" s="459"/>
      <c r="Z16" s="459"/>
      <c r="AA16" s="459"/>
      <c r="AB16" s="459"/>
    </row>
    <row r="17" spans="1:28" ht="15" customHeight="1">
      <c r="A17" s="459"/>
      <c r="B17" s="459"/>
      <c r="C17" s="459"/>
      <c r="D17" s="459"/>
      <c r="E17" s="459"/>
      <c r="F17" s="459"/>
      <c r="G17" s="459"/>
      <c r="H17" s="459"/>
      <c r="I17" s="459"/>
      <c r="J17" s="459"/>
      <c r="K17" s="459"/>
      <c r="L17" s="459"/>
      <c r="M17" s="459"/>
      <c r="N17" s="459"/>
      <c r="O17" s="459"/>
      <c r="P17" s="459"/>
      <c r="Q17" s="459"/>
      <c r="R17" s="459"/>
      <c r="S17" s="459"/>
      <c r="T17" s="459"/>
      <c r="U17" s="459"/>
      <c r="V17" s="459"/>
      <c r="W17" s="459"/>
      <c r="X17" s="459"/>
      <c r="Y17" s="459"/>
      <c r="Z17" s="459"/>
      <c r="AA17" s="459"/>
      <c r="AB17" s="459"/>
    </row>
    <row r="18" spans="1:28" ht="15" customHeight="1">
      <c r="A18" s="459"/>
      <c r="B18" s="459"/>
      <c r="C18" s="459"/>
      <c r="D18" s="459"/>
      <c r="E18" s="459"/>
      <c r="F18" s="459"/>
      <c r="G18" s="459"/>
      <c r="H18" s="459"/>
      <c r="I18" s="459"/>
      <c r="J18" s="459"/>
      <c r="K18" s="459"/>
      <c r="L18" s="459"/>
      <c r="M18" s="459"/>
      <c r="N18" s="459"/>
      <c r="O18" s="459"/>
      <c r="P18" s="459"/>
      <c r="Q18" s="459"/>
      <c r="R18" s="459"/>
      <c r="S18" s="459"/>
      <c r="T18" s="459"/>
      <c r="U18" s="459"/>
      <c r="V18" s="459"/>
      <c r="W18" s="459"/>
      <c r="X18" s="459"/>
      <c r="Y18" s="459"/>
      <c r="Z18" s="459"/>
      <c r="AA18" s="459"/>
      <c r="AB18" s="459"/>
    </row>
    <row r="19" spans="1:28" ht="15" customHeight="1">
      <c r="A19" s="459"/>
      <c r="B19" s="459"/>
      <c r="C19" s="459"/>
      <c r="D19" s="459"/>
      <c r="E19" s="459"/>
      <c r="F19" s="459"/>
      <c r="G19" s="459"/>
      <c r="H19" s="459"/>
      <c r="I19" s="459"/>
      <c r="J19" s="459"/>
      <c r="K19" s="459"/>
      <c r="L19" s="459"/>
      <c r="M19" s="459"/>
      <c r="N19" s="459"/>
      <c r="O19" s="186"/>
      <c r="P19" s="459"/>
      <c r="Q19" s="459"/>
      <c r="R19" s="459"/>
      <c r="S19" s="459"/>
      <c r="T19" s="459"/>
      <c r="U19" s="459"/>
      <c r="V19" s="459"/>
      <c r="W19" s="459"/>
      <c r="X19" s="459"/>
      <c r="Y19" s="459"/>
      <c r="Z19" s="459"/>
      <c r="AA19" s="459"/>
      <c r="AB19" s="459"/>
    </row>
    <row r="20" spans="1:28" ht="15" customHeight="1">
      <c r="A20" s="459"/>
      <c r="B20" s="459"/>
      <c r="C20" s="459"/>
      <c r="D20" s="459"/>
      <c r="E20" s="459"/>
      <c r="F20" s="459"/>
      <c r="G20" s="459"/>
      <c r="H20" s="459"/>
      <c r="I20" s="459"/>
      <c r="J20" s="459"/>
      <c r="K20" s="459"/>
      <c r="L20" s="459"/>
      <c r="M20" s="459"/>
      <c r="N20" s="459"/>
      <c r="O20" s="186"/>
      <c r="P20" s="459"/>
      <c r="Q20" s="459"/>
      <c r="R20" s="459"/>
      <c r="S20" s="459"/>
      <c r="T20" s="459"/>
      <c r="U20" s="459"/>
      <c r="V20" s="459"/>
      <c r="W20" s="459"/>
      <c r="X20" s="459"/>
      <c r="Y20" s="459"/>
      <c r="Z20" s="459"/>
      <c r="AA20" s="459"/>
      <c r="AB20" s="459"/>
    </row>
    <row r="21" spans="1:28" ht="15" customHeight="1">
      <c r="A21" s="459"/>
      <c r="B21" s="459"/>
      <c r="C21" s="459"/>
      <c r="D21" s="459"/>
      <c r="E21" s="459"/>
      <c r="F21" s="459"/>
      <c r="G21" s="459"/>
      <c r="H21" s="459"/>
      <c r="I21" s="459"/>
      <c r="J21" s="459"/>
      <c r="K21" s="459"/>
      <c r="L21" s="459"/>
      <c r="M21" s="459"/>
      <c r="N21" s="459"/>
      <c r="O21" s="186"/>
      <c r="P21" s="459"/>
      <c r="Q21" s="459"/>
      <c r="R21" s="459"/>
      <c r="S21" s="459"/>
      <c r="T21" s="459"/>
      <c r="U21" s="459"/>
      <c r="V21" s="459"/>
      <c r="W21" s="459"/>
      <c r="X21" s="459"/>
      <c r="Y21" s="459"/>
      <c r="Z21" s="459"/>
      <c r="AA21" s="459"/>
      <c r="AB21" s="459"/>
    </row>
    <row r="22" spans="1:28" ht="15" customHeight="1">
      <c r="A22" s="459"/>
      <c r="B22" s="459"/>
      <c r="C22" s="459"/>
      <c r="D22" s="459"/>
      <c r="E22" s="459"/>
      <c r="F22" s="459"/>
      <c r="G22" s="459"/>
      <c r="H22" s="459"/>
      <c r="I22" s="459"/>
      <c r="J22" s="459"/>
      <c r="K22" s="459"/>
      <c r="L22" s="459"/>
      <c r="M22" s="459"/>
      <c r="N22" s="459"/>
      <c r="O22" s="186"/>
      <c r="P22" s="459"/>
      <c r="Q22" s="459"/>
      <c r="R22" s="459"/>
      <c r="S22" s="459"/>
      <c r="T22" s="459"/>
      <c r="U22" s="459"/>
      <c r="V22" s="459"/>
      <c r="W22" s="459"/>
      <c r="X22" s="459"/>
      <c r="Y22" s="459"/>
      <c r="Z22" s="459"/>
      <c r="AA22" s="459"/>
      <c r="AB22" s="459"/>
    </row>
    <row r="23" spans="1:28" ht="15" customHeight="1">
      <c r="A23" s="459"/>
      <c r="B23" s="459"/>
      <c r="C23" s="459"/>
      <c r="D23" s="459"/>
      <c r="E23" s="459"/>
      <c r="F23" s="459"/>
      <c r="G23" s="459"/>
      <c r="H23" s="459"/>
      <c r="I23" s="459"/>
      <c r="J23" s="459"/>
      <c r="K23" s="459"/>
      <c r="L23" s="459"/>
      <c r="M23" s="459"/>
      <c r="N23" s="459"/>
      <c r="O23" s="186"/>
      <c r="P23" s="459"/>
      <c r="Q23" s="459"/>
      <c r="R23" s="459"/>
      <c r="S23" s="459"/>
      <c r="T23" s="459"/>
      <c r="U23" s="459"/>
      <c r="V23" s="459"/>
      <c r="W23" s="459"/>
      <c r="X23" s="459"/>
      <c r="Y23" s="459"/>
      <c r="Z23" s="459"/>
      <c r="AA23" s="459"/>
      <c r="AB23" s="459"/>
    </row>
    <row r="24" spans="1:28" ht="15" customHeight="1">
      <c r="A24" s="459"/>
      <c r="B24" s="459"/>
      <c r="C24" s="459"/>
      <c r="D24" s="459"/>
      <c r="E24" s="459"/>
      <c r="F24" s="459"/>
      <c r="G24" s="459"/>
      <c r="H24" s="459"/>
      <c r="I24" s="459"/>
      <c r="J24" s="459"/>
      <c r="K24" s="459"/>
      <c r="L24" s="459"/>
      <c r="M24" s="459"/>
      <c r="N24" s="459"/>
      <c r="O24" s="459"/>
      <c r="P24" s="459"/>
      <c r="Q24" s="459"/>
      <c r="R24" s="459"/>
      <c r="S24" s="459"/>
      <c r="T24" s="459"/>
      <c r="U24" s="459"/>
      <c r="V24" s="459"/>
      <c r="W24" s="459"/>
      <c r="X24" s="459"/>
      <c r="Y24" s="459"/>
      <c r="Z24" s="459"/>
      <c r="AA24" s="459"/>
      <c r="AB24" s="459"/>
    </row>
    <row r="25" spans="1:28" ht="15" customHeight="1">
      <c r="A25" s="459"/>
      <c r="B25" s="459"/>
      <c r="C25" s="459"/>
      <c r="D25" s="459"/>
      <c r="E25" s="459"/>
      <c r="F25" s="459"/>
      <c r="G25" s="459"/>
      <c r="H25" s="459"/>
      <c r="I25" s="459"/>
      <c r="J25" s="459"/>
      <c r="K25" s="459"/>
      <c r="L25" s="459"/>
      <c r="M25" s="459"/>
      <c r="N25" s="459"/>
      <c r="O25" s="459"/>
      <c r="P25" s="459"/>
      <c r="Q25" s="459"/>
      <c r="R25" s="459"/>
      <c r="S25" s="459"/>
      <c r="T25" s="459"/>
      <c r="U25" s="459"/>
      <c r="V25" s="459"/>
      <c r="W25" s="459"/>
      <c r="X25" s="459"/>
      <c r="Y25" s="459"/>
      <c r="Z25" s="459"/>
      <c r="AA25" s="459"/>
      <c r="AB25" s="459"/>
    </row>
    <row r="26" spans="1:28" ht="15" customHeight="1">
      <c r="A26" s="459"/>
      <c r="B26" s="459"/>
      <c r="C26" s="459"/>
      <c r="D26" s="459"/>
      <c r="E26" s="459"/>
      <c r="F26" s="459"/>
      <c r="G26" s="459"/>
      <c r="H26" s="459"/>
      <c r="I26" s="459"/>
      <c r="J26" s="459"/>
      <c r="K26" s="459"/>
      <c r="L26" s="459"/>
      <c r="M26" s="459"/>
      <c r="N26" s="459"/>
      <c r="O26" s="186"/>
      <c r="P26" s="459"/>
      <c r="Q26" s="459"/>
      <c r="R26" s="459"/>
      <c r="S26" s="459"/>
      <c r="T26" s="459"/>
      <c r="U26" s="459"/>
      <c r="V26" s="459"/>
      <c r="W26" s="459"/>
      <c r="X26" s="459"/>
      <c r="Y26" s="459"/>
      <c r="Z26" s="459"/>
      <c r="AA26" s="459"/>
      <c r="AB26" s="459"/>
    </row>
    <row r="27" spans="1:28" ht="15" customHeight="1">
      <c r="A27" s="459"/>
      <c r="B27" s="459"/>
      <c r="C27" s="459"/>
      <c r="D27" s="459"/>
      <c r="E27" s="459"/>
      <c r="F27" s="459"/>
      <c r="G27" s="459"/>
      <c r="H27" s="459"/>
      <c r="I27" s="459"/>
      <c r="J27" s="459"/>
      <c r="K27" s="459"/>
      <c r="L27" s="459"/>
      <c r="M27" s="459"/>
      <c r="N27" s="459"/>
      <c r="O27" s="459"/>
      <c r="P27" s="459"/>
      <c r="Q27" s="459"/>
      <c r="R27" s="459"/>
      <c r="S27" s="459"/>
      <c r="T27" s="459"/>
      <c r="U27" s="459"/>
      <c r="V27" s="459"/>
      <c r="W27" s="459"/>
      <c r="X27" s="459"/>
      <c r="Y27" s="459"/>
      <c r="Z27" s="459"/>
      <c r="AA27" s="459"/>
      <c r="AB27" s="459"/>
    </row>
  </sheetData>
  <conditionalFormatting sqref="G3:H3 G4:G5 H4:H9 G7:G8">
    <cfRule type="cellIs" dxfId="5" priority="1" operator="equal">
      <formula>1</formula>
    </cfRule>
    <cfRule type="cellIs" dxfId="4" priority="2" operator="equal">
      <formula>0</formula>
    </cfRule>
  </conditionalFormatting>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F75DCC-049E-47E5-A298-C31E41C0E58E}">
  <dimension ref="A1:AB6"/>
  <sheetViews>
    <sheetView topLeftCell="D1" workbookViewId="0">
      <selection activeCell="J4" sqref="J4"/>
    </sheetView>
  </sheetViews>
  <sheetFormatPr defaultRowHeight="12.5"/>
  <cols>
    <col min="2" max="2" width="16.26953125" customWidth="1"/>
    <col min="8" max="8" width="22.54296875" customWidth="1"/>
    <col min="10" max="10" width="31.26953125" customWidth="1"/>
  </cols>
  <sheetData>
    <row r="1" spans="1:28">
      <c r="A1" s="542"/>
      <c r="B1" s="130"/>
      <c r="C1" s="459"/>
      <c r="D1" s="459"/>
      <c r="E1" s="459"/>
      <c r="F1" s="459"/>
      <c r="G1" s="381"/>
      <c r="H1" s="381"/>
      <c r="I1" s="207" t="s">
        <v>1038</v>
      </c>
      <c r="J1" s="207"/>
      <c r="K1" s="207"/>
      <c r="L1" s="207"/>
      <c r="M1" s="207"/>
      <c r="N1" s="207"/>
      <c r="O1" s="207"/>
      <c r="P1" s="459"/>
      <c r="Q1" s="459"/>
      <c r="R1" s="459"/>
      <c r="S1" s="459"/>
      <c r="T1" s="459"/>
      <c r="U1" s="459"/>
      <c r="V1" s="459"/>
      <c r="W1" s="459"/>
      <c r="X1" s="459"/>
      <c r="Y1" s="459"/>
      <c r="Z1" s="459"/>
      <c r="AA1" s="459"/>
      <c r="AB1" s="459"/>
    </row>
    <row r="2" spans="1:28" ht="50">
      <c r="A2" s="208" t="s">
        <v>224</v>
      </c>
      <c r="B2" s="208" t="s">
        <v>225</v>
      </c>
      <c r="C2" s="208" t="s">
        <v>226</v>
      </c>
      <c r="D2" s="208" t="s">
        <v>227</v>
      </c>
      <c r="E2" s="208" t="s">
        <v>1044</v>
      </c>
      <c r="F2" s="208" t="s">
        <v>1045</v>
      </c>
      <c r="G2" s="207" t="s">
        <v>1046</v>
      </c>
      <c r="H2" s="207" t="s">
        <v>3656</v>
      </c>
      <c r="I2" s="207" t="s">
        <v>100</v>
      </c>
      <c r="J2" s="207" t="s">
        <v>101</v>
      </c>
      <c r="K2" s="207" t="s">
        <v>102</v>
      </c>
      <c r="L2" s="285" t="s">
        <v>104</v>
      </c>
      <c r="M2" s="207" t="s">
        <v>105</v>
      </c>
      <c r="N2" s="207" t="s">
        <v>112</v>
      </c>
      <c r="O2" s="207" t="s">
        <v>103</v>
      </c>
      <c r="P2" s="459"/>
      <c r="Q2" s="459"/>
      <c r="R2" s="459"/>
      <c r="S2" s="459"/>
      <c r="T2" s="459"/>
      <c r="U2" s="459"/>
      <c r="V2" s="459"/>
      <c r="W2" s="459"/>
      <c r="X2" s="459"/>
      <c r="Y2" s="459"/>
      <c r="Z2" s="459"/>
      <c r="AA2" s="459"/>
      <c r="AB2" s="459"/>
    </row>
    <row r="3" spans="1:28" ht="50">
      <c r="A3" s="459"/>
      <c r="B3" s="459" t="s">
        <v>5635</v>
      </c>
      <c r="C3" s="459"/>
      <c r="D3" s="459" t="s">
        <v>243</v>
      </c>
      <c r="E3" s="459"/>
      <c r="F3" s="459">
        <v>1</v>
      </c>
      <c r="G3" s="459" t="s">
        <v>682</v>
      </c>
      <c r="H3" s="459" t="s">
        <v>5636</v>
      </c>
      <c r="I3" s="459"/>
      <c r="J3" s="459" t="s">
        <v>5637</v>
      </c>
      <c r="K3" s="459"/>
      <c r="L3" s="459"/>
      <c r="M3" s="459"/>
      <c r="N3" s="459"/>
      <c r="O3" s="186"/>
      <c r="P3" s="459"/>
      <c r="Q3" s="459"/>
      <c r="R3" s="459"/>
      <c r="S3" s="459"/>
      <c r="T3" s="459"/>
      <c r="U3" s="459"/>
      <c r="V3" s="459"/>
      <c r="W3" s="459"/>
      <c r="X3" s="459"/>
      <c r="Y3" s="459"/>
      <c r="Z3" s="459"/>
      <c r="AA3" s="459"/>
      <c r="AB3" s="459"/>
    </row>
    <row r="4" spans="1:28">
      <c r="B4" t="s">
        <v>5638</v>
      </c>
      <c r="G4" t="s">
        <v>682</v>
      </c>
      <c r="H4" s="459" t="s">
        <v>5636</v>
      </c>
      <c r="J4" t="s">
        <v>5638</v>
      </c>
    </row>
    <row r="5" spans="1:28">
      <c r="B5" t="s">
        <v>5639</v>
      </c>
      <c r="G5" t="s">
        <v>682</v>
      </c>
      <c r="H5" s="459" t="s">
        <v>5636</v>
      </c>
      <c r="J5" t="s">
        <v>5639</v>
      </c>
    </row>
    <row r="6" spans="1:28" ht="37.5">
      <c r="B6" t="s">
        <v>5640</v>
      </c>
      <c r="G6" t="s">
        <v>682</v>
      </c>
      <c r="H6" s="459" t="s">
        <v>5636</v>
      </c>
      <c r="J6" t="s">
        <v>5641</v>
      </c>
    </row>
  </sheetData>
  <conditionalFormatting sqref="G3:H3 H4:H6">
    <cfRule type="cellIs" dxfId="3" priority="1" operator="equal">
      <formula>1</formula>
    </cfRule>
    <cfRule type="cellIs" dxfId="2" priority="2" operator="equal">
      <formula>0</formula>
    </cfRule>
  </conditionalFormatting>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1B76AB-C780-409A-B7E2-8091DF09C874}">
  <dimension ref="A1:O97"/>
  <sheetViews>
    <sheetView workbookViewId="0">
      <pane ySplit="1" topLeftCell="A22" activePane="bottomLeft" state="frozen"/>
      <selection pane="bottomLeft" activeCell="A22" sqref="A22:B22"/>
    </sheetView>
  </sheetViews>
  <sheetFormatPr defaultRowHeight="12.5"/>
  <cols>
    <col min="1" max="1" width="20.1796875" customWidth="1"/>
    <col min="2" max="2" width="21.453125" customWidth="1"/>
    <col min="3" max="3" width="21.81640625" customWidth="1"/>
    <col min="4" max="4" width="13.54296875" customWidth="1"/>
    <col min="5" max="5" width="33.54296875" customWidth="1"/>
    <col min="6" max="6" width="37" customWidth="1"/>
    <col min="7" max="7" width="26.453125" customWidth="1"/>
    <col min="8" max="8" width="19.453125" customWidth="1"/>
    <col min="9" max="9" width="57.1796875" customWidth="1"/>
    <col min="10" max="10" width="40" customWidth="1"/>
  </cols>
  <sheetData>
    <row r="1" spans="1:15" s="562" customFormat="1" ht="13">
      <c r="A1" s="626" t="s">
        <v>2595</v>
      </c>
      <c r="B1" s="626" t="s">
        <v>225</v>
      </c>
      <c r="C1" s="626" t="s">
        <v>226</v>
      </c>
      <c r="D1" s="626" t="s">
        <v>2596</v>
      </c>
      <c r="E1" s="626" t="s">
        <v>2597</v>
      </c>
      <c r="F1" s="626" t="s">
        <v>100</v>
      </c>
      <c r="G1" s="626" t="s">
        <v>101</v>
      </c>
      <c r="H1" s="626" t="s">
        <v>112</v>
      </c>
      <c r="I1" s="626" t="s">
        <v>2598</v>
      </c>
      <c r="J1" s="626" t="s">
        <v>2963</v>
      </c>
      <c r="K1" s="666"/>
      <c r="L1" s="666"/>
      <c r="M1" s="666"/>
      <c r="N1" s="666"/>
      <c r="O1" s="627"/>
    </row>
    <row r="2" spans="1:15" s="193" customFormat="1">
      <c r="A2" s="325" t="s">
        <v>5642</v>
      </c>
      <c r="B2" s="662" t="s">
        <v>124</v>
      </c>
      <c r="C2" s="622" t="s">
        <v>5643</v>
      </c>
      <c r="D2" s="622" t="s">
        <v>680</v>
      </c>
      <c r="E2" s="662"/>
      <c r="F2" s="622" t="s">
        <v>5644</v>
      </c>
      <c r="G2" s="622" t="s">
        <v>954</v>
      </c>
      <c r="H2" s="622" t="s">
        <v>954</v>
      </c>
      <c r="I2" s="622"/>
      <c r="J2" s="662"/>
      <c r="K2" s="662"/>
      <c r="L2" s="662"/>
      <c r="M2" s="662"/>
      <c r="N2" s="662"/>
      <c r="O2" s="628" t="s">
        <v>3648</v>
      </c>
    </row>
    <row r="3" spans="1:15" ht="16">
      <c r="A3" s="325" t="s">
        <v>5642</v>
      </c>
      <c r="B3" s="662" t="s">
        <v>1189</v>
      </c>
      <c r="C3" s="662" t="s">
        <v>2618</v>
      </c>
      <c r="D3" s="622" t="s">
        <v>682</v>
      </c>
      <c r="E3" s="624"/>
      <c r="F3" s="622" t="s">
        <v>5644</v>
      </c>
      <c r="G3" s="622" t="s">
        <v>954</v>
      </c>
      <c r="H3" s="622" t="s">
        <v>954</v>
      </c>
      <c r="I3" s="623"/>
      <c r="J3" s="662"/>
      <c r="K3" s="662"/>
      <c r="L3" s="662"/>
      <c r="M3" s="662"/>
      <c r="N3" s="662"/>
      <c r="O3" s="622"/>
    </row>
    <row r="4" spans="1:15" ht="16">
      <c r="A4" s="325" t="s">
        <v>5642</v>
      </c>
      <c r="B4" s="624" t="s">
        <v>1191</v>
      </c>
      <c r="C4" s="624" t="s">
        <v>3666</v>
      </c>
      <c r="D4" s="622" t="s">
        <v>682</v>
      </c>
      <c r="E4" s="624"/>
      <c r="F4" s="622" t="s">
        <v>5644</v>
      </c>
      <c r="G4" s="622" t="s">
        <v>954</v>
      </c>
      <c r="H4" s="622" t="s">
        <v>954</v>
      </c>
      <c r="I4" s="325"/>
      <c r="J4" s="662"/>
      <c r="K4" s="662"/>
      <c r="L4" s="662"/>
      <c r="M4" s="662"/>
      <c r="N4" s="662"/>
      <c r="O4" s="622"/>
    </row>
    <row r="5" spans="1:15" ht="16">
      <c r="A5" s="325" t="s">
        <v>5642</v>
      </c>
      <c r="B5" s="624" t="s">
        <v>1192</v>
      </c>
      <c r="C5" s="662" t="s">
        <v>2613</v>
      </c>
      <c r="D5" s="622" t="s">
        <v>682</v>
      </c>
      <c r="E5" s="624"/>
      <c r="F5" s="622" t="s">
        <v>5644</v>
      </c>
      <c r="G5" s="622" t="s">
        <v>954</v>
      </c>
      <c r="H5" s="622" t="s">
        <v>954</v>
      </c>
      <c r="I5" s="622"/>
      <c r="J5" s="662"/>
      <c r="K5" s="662"/>
      <c r="L5" s="662"/>
      <c r="M5" s="662"/>
      <c r="N5" s="662"/>
      <c r="O5" s="622"/>
    </row>
    <row r="6" spans="1:15" ht="16">
      <c r="A6" s="325" t="s">
        <v>5642</v>
      </c>
      <c r="B6" s="624" t="s">
        <v>1193</v>
      </c>
      <c r="C6" s="662" t="s">
        <v>2623</v>
      </c>
      <c r="D6" s="622" t="s">
        <v>682</v>
      </c>
      <c r="E6" s="624"/>
      <c r="F6" s="622" t="s">
        <v>5644</v>
      </c>
      <c r="G6" s="622" t="s">
        <v>954</v>
      </c>
      <c r="H6" s="622" t="s">
        <v>954</v>
      </c>
      <c r="I6" s="662"/>
      <c r="J6" s="662"/>
      <c r="K6" s="662"/>
      <c r="L6" s="662"/>
      <c r="M6" s="662"/>
      <c r="N6" s="662"/>
      <c r="O6" s="622"/>
    </row>
    <row r="7" spans="1:15" ht="16">
      <c r="A7" s="325" t="s">
        <v>5642</v>
      </c>
      <c r="B7" s="662" t="s">
        <v>5645</v>
      </c>
      <c r="C7" s="624" t="s">
        <v>3666</v>
      </c>
      <c r="D7" s="622" t="s">
        <v>682</v>
      </c>
      <c r="E7" s="622"/>
      <c r="F7" s="622" t="s">
        <v>5644</v>
      </c>
      <c r="G7" s="622" t="s">
        <v>954</v>
      </c>
      <c r="H7" s="622" t="s">
        <v>954</v>
      </c>
      <c r="I7" s="622"/>
      <c r="J7" s="622"/>
      <c r="K7" s="622"/>
      <c r="L7" s="622"/>
      <c r="M7" s="622"/>
      <c r="N7" s="622"/>
      <c r="O7" s="622"/>
    </row>
    <row r="8" spans="1:15">
      <c r="A8" s="325" t="s">
        <v>5642</v>
      </c>
      <c r="B8" s="662" t="s">
        <v>1195</v>
      </c>
      <c r="C8" s="662" t="s">
        <v>2623</v>
      </c>
      <c r="D8" s="622" t="s">
        <v>682</v>
      </c>
      <c r="E8" s="622"/>
      <c r="F8" s="622" t="s">
        <v>5644</v>
      </c>
      <c r="G8" s="622" t="s">
        <v>954</v>
      </c>
      <c r="H8" s="622" t="s">
        <v>954</v>
      </c>
      <c r="I8" s="622"/>
      <c r="J8" s="622"/>
      <c r="K8" s="622"/>
      <c r="L8" s="622"/>
      <c r="M8" s="622"/>
      <c r="N8" s="622"/>
      <c r="O8" s="622"/>
    </row>
    <row r="9" spans="1:15">
      <c r="A9" s="325" t="s">
        <v>5642</v>
      </c>
      <c r="B9" s="662" t="s">
        <v>1196</v>
      </c>
      <c r="C9" s="622" t="s">
        <v>535</v>
      </c>
      <c r="D9" s="622" t="s">
        <v>680</v>
      </c>
      <c r="E9" s="622"/>
      <c r="F9" s="622" t="s">
        <v>5644</v>
      </c>
      <c r="G9" s="622" t="s">
        <v>954</v>
      </c>
      <c r="H9" s="622" t="s">
        <v>954</v>
      </c>
      <c r="I9" s="622"/>
      <c r="J9" s="622"/>
      <c r="K9" s="622"/>
      <c r="L9" s="622"/>
      <c r="M9" s="622"/>
      <c r="N9" s="622"/>
      <c r="O9" s="622"/>
    </row>
    <row r="10" spans="1:15" ht="37.5">
      <c r="A10" s="325" t="s">
        <v>5642</v>
      </c>
      <c r="B10" s="662" t="s">
        <v>1406</v>
      </c>
      <c r="C10" s="622" t="s">
        <v>535</v>
      </c>
      <c r="D10" s="622" t="s">
        <v>680</v>
      </c>
      <c r="E10" s="622" t="s">
        <v>5646</v>
      </c>
      <c r="F10" s="622" t="s">
        <v>5644</v>
      </c>
      <c r="G10" s="622" t="s">
        <v>954</v>
      </c>
      <c r="H10" s="622" t="s">
        <v>954</v>
      </c>
      <c r="I10" s="622" t="s">
        <v>5647</v>
      </c>
      <c r="J10" s="622"/>
      <c r="K10" s="622"/>
      <c r="L10" s="622"/>
      <c r="M10" s="622"/>
      <c r="N10" s="622"/>
      <c r="O10" s="622"/>
    </row>
    <row r="11" spans="1:15" ht="25">
      <c r="A11" s="325" t="s">
        <v>224</v>
      </c>
      <c r="B11" s="662" t="s">
        <v>123</v>
      </c>
      <c r="C11" s="622" t="s">
        <v>535</v>
      </c>
      <c r="D11" s="622" t="s">
        <v>682</v>
      </c>
      <c r="E11" s="622" t="s">
        <v>5648</v>
      </c>
      <c r="F11" s="622" t="s">
        <v>5644</v>
      </c>
      <c r="G11" s="662" t="s">
        <v>954</v>
      </c>
      <c r="H11" s="622" t="s">
        <v>954</v>
      </c>
      <c r="I11" s="622" t="s">
        <v>5649</v>
      </c>
      <c r="J11" s="623"/>
      <c r="K11" s="623"/>
      <c r="L11" s="623"/>
      <c r="M11" s="623"/>
      <c r="N11" s="623"/>
      <c r="O11" s="623"/>
    </row>
    <row r="12" spans="1:15" ht="68.25" customHeight="1">
      <c r="A12" s="325" t="s">
        <v>224</v>
      </c>
      <c r="B12" s="667" t="s">
        <v>5650</v>
      </c>
      <c r="C12" s="662" t="s">
        <v>5651</v>
      </c>
      <c r="D12" s="622" t="s">
        <v>680</v>
      </c>
      <c r="E12" s="622" t="s">
        <v>5652</v>
      </c>
      <c r="F12" s="622" t="s">
        <v>5644</v>
      </c>
      <c r="G12" s="662" t="s">
        <v>954</v>
      </c>
      <c r="H12" s="622" t="s">
        <v>954</v>
      </c>
      <c r="I12" s="622" t="s">
        <v>5653</v>
      </c>
      <c r="J12" s="622" t="s">
        <v>5654</v>
      </c>
      <c r="K12" s="623"/>
      <c r="L12" s="623"/>
      <c r="M12" s="623"/>
      <c r="N12" s="623"/>
      <c r="O12" s="623"/>
    </row>
    <row r="13" spans="1:15" ht="25">
      <c r="A13" s="325" t="s">
        <v>224</v>
      </c>
      <c r="B13" s="657" t="s">
        <v>5655</v>
      </c>
      <c r="C13" s="662" t="s">
        <v>2613</v>
      </c>
      <c r="D13" s="622" t="s">
        <v>680</v>
      </c>
      <c r="E13" s="622" t="s">
        <v>5656</v>
      </c>
      <c r="F13" s="622" t="s">
        <v>5644</v>
      </c>
      <c r="G13" s="622" t="s">
        <v>5657</v>
      </c>
      <c r="H13" s="622" t="s">
        <v>5658</v>
      </c>
      <c r="I13" s="662" t="s">
        <v>954</v>
      </c>
      <c r="J13" s="623"/>
      <c r="K13" s="623"/>
      <c r="L13" s="623"/>
      <c r="M13" s="623"/>
      <c r="N13" s="623"/>
      <c r="O13" s="623"/>
    </row>
    <row r="14" spans="1:15" ht="25">
      <c r="A14" s="325" t="s">
        <v>224</v>
      </c>
      <c r="B14" s="667" t="s">
        <v>5100</v>
      </c>
      <c r="C14" s="622" t="s">
        <v>535</v>
      </c>
      <c r="D14" s="622" t="s">
        <v>682</v>
      </c>
      <c r="E14" s="662" t="s">
        <v>5659</v>
      </c>
      <c r="F14" s="622" t="s">
        <v>5644</v>
      </c>
      <c r="G14" s="662" t="s">
        <v>968</v>
      </c>
      <c r="H14" s="662" t="s">
        <v>5660</v>
      </c>
      <c r="I14" s="662" t="s">
        <v>5661</v>
      </c>
      <c r="J14" s="662"/>
      <c r="K14" s="662"/>
      <c r="L14" s="662"/>
      <c r="M14" s="662"/>
      <c r="N14" s="662"/>
      <c r="O14" s="662"/>
    </row>
    <row r="15" spans="1:15" ht="25">
      <c r="A15" s="325" t="s">
        <v>224</v>
      </c>
      <c r="B15" s="662" t="s">
        <v>2572</v>
      </c>
      <c r="C15" s="662" t="s">
        <v>5662</v>
      </c>
      <c r="D15" s="622" t="s">
        <v>682</v>
      </c>
      <c r="E15" s="622" t="s">
        <v>5663</v>
      </c>
      <c r="F15" s="622" t="s">
        <v>5644</v>
      </c>
      <c r="G15" s="662" t="s">
        <v>5664</v>
      </c>
      <c r="H15" s="662" t="s">
        <v>5665</v>
      </c>
      <c r="I15" s="662" t="s">
        <v>954</v>
      </c>
      <c r="J15" s="662"/>
      <c r="K15" s="662"/>
      <c r="L15" s="662"/>
      <c r="M15" s="662"/>
      <c r="N15" s="662"/>
      <c r="O15" s="662"/>
    </row>
    <row r="16" spans="1:15">
      <c r="A16" s="325" t="s">
        <v>224</v>
      </c>
      <c r="B16" s="662" t="s">
        <v>5547</v>
      </c>
      <c r="C16" s="662" t="s">
        <v>5666</v>
      </c>
      <c r="D16" s="622" t="s">
        <v>682</v>
      </c>
      <c r="E16" s="662" t="s">
        <v>5667</v>
      </c>
      <c r="F16" s="622" t="s">
        <v>5644</v>
      </c>
      <c r="G16" s="662" t="s">
        <v>5547</v>
      </c>
      <c r="H16" s="662" t="s">
        <v>680</v>
      </c>
      <c r="I16" s="662" t="s">
        <v>5668</v>
      </c>
      <c r="J16" s="662"/>
      <c r="K16" s="662"/>
      <c r="L16" s="662"/>
      <c r="M16" s="662"/>
      <c r="N16" s="662"/>
      <c r="O16" s="662"/>
    </row>
    <row r="17" spans="1:15">
      <c r="A17" s="325" t="s">
        <v>224</v>
      </c>
      <c r="B17" s="662" t="s">
        <v>5669</v>
      </c>
      <c r="C17" s="662" t="s">
        <v>5666</v>
      </c>
      <c r="D17" s="622" t="s">
        <v>682</v>
      </c>
      <c r="E17" s="662" t="s">
        <v>5670</v>
      </c>
      <c r="F17" s="622" t="s">
        <v>5644</v>
      </c>
      <c r="G17" s="662" t="s">
        <v>5669</v>
      </c>
      <c r="H17" s="662" t="s">
        <v>680</v>
      </c>
      <c r="I17" s="662" t="s">
        <v>5668</v>
      </c>
      <c r="J17" s="662"/>
      <c r="K17" s="662"/>
      <c r="L17" s="662"/>
      <c r="M17" s="662"/>
      <c r="N17" s="662"/>
      <c r="O17" s="662"/>
    </row>
    <row r="18" spans="1:15" ht="50">
      <c r="A18" s="668" t="s">
        <v>5623</v>
      </c>
      <c r="B18" s="669" t="s">
        <v>1290</v>
      </c>
      <c r="C18" s="669" t="s">
        <v>5666</v>
      </c>
      <c r="D18" s="669" t="s">
        <v>682</v>
      </c>
      <c r="E18" s="625" t="s">
        <v>5671</v>
      </c>
      <c r="F18" s="625" t="s">
        <v>5644</v>
      </c>
      <c r="G18" s="669" t="s">
        <v>1290</v>
      </c>
      <c r="H18" s="669" t="s">
        <v>5672</v>
      </c>
      <c r="I18" s="669" t="s">
        <v>5673</v>
      </c>
      <c r="J18" s="622"/>
      <c r="K18" s="662"/>
      <c r="L18" s="662"/>
      <c r="M18" s="662"/>
      <c r="N18" s="662"/>
      <c r="O18" s="662"/>
    </row>
    <row r="19" spans="1:15">
      <c r="A19" s="623"/>
      <c r="B19" s="662"/>
      <c r="C19" s="662"/>
      <c r="D19" s="662"/>
      <c r="E19" s="662"/>
      <c r="F19" s="662"/>
      <c r="G19" s="662"/>
      <c r="H19" s="662"/>
      <c r="I19" s="662"/>
      <c r="J19" s="622"/>
      <c r="K19" s="662"/>
      <c r="L19" s="662"/>
      <c r="M19" s="662"/>
      <c r="N19" s="662"/>
      <c r="O19" s="662"/>
    </row>
    <row r="20" spans="1:15">
      <c r="A20" s="623"/>
      <c r="B20" s="662"/>
      <c r="C20" s="662"/>
      <c r="D20" s="662"/>
      <c r="E20" s="662"/>
      <c r="F20" s="662"/>
      <c r="G20" s="662"/>
      <c r="H20" s="662"/>
      <c r="I20" s="662"/>
      <c r="J20" s="662"/>
      <c r="K20" s="662"/>
      <c r="L20" s="662"/>
      <c r="M20" s="662"/>
      <c r="N20" s="662"/>
      <c r="O20" s="662"/>
    </row>
    <row r="21" spans="1:15" ht="18" customHeight="1">
      <c r="A21" s="624" t="s">
        <v>5674</v>
      </c>
      <c r="B21" s="624"/>
      <c r="C21" s="624"/>
      <c r="D21" s="624"/>
      <c r="E21" s="624"/>
      <c r="F21" s="662"/>
      <c r="G21" s="622"/>
      <c r="H21" s="662"/>
      <c r="I21" s="662"/>
      <c r="J21" s="662"/>
      <c r="K21" s="662"/>
      <c r="L21" s="662"/>
      <c r="M21" s="662"/>
      <c r="N21" s="662"/>
      <c r="O21" s="662"/>
    </row>
    <row r="22" spans="1:15">
      <c r="A22" s="670" t="s">
        <v>5675</v>
      </c>
      <c r="B22" s="670"/>
      <c r="C22" s="662"/>
      <c r="D22" s="662"/>
      <c r="E22" s="662"/>
      <c r="F22" s="662"/>
      <c r="G22" s="662"/>
      <c r="H22" s="662"/>
      <c r="I22" s="662"/>
      <c r="J22" s="662"/>
      <c r="K22" s="662"/>
      <c r="L22" s="662"/>
      <c r="M22" s="662"/>
      <c r="N22" s="662"/>
      <c r="O22" s="662"/>
    </row>
    <row r="23" spans="1:15">
      <c r="A23" s="662"/>
      <c r="B23" s="662"/>
      <c r="C23" s="662"/>
      <c r="D23" s="662"/>
      <c r="E23" s="662"/>
      <c r="F23" s="662"/>
      <c r="G23" s="662"/>
      <c r="H23" s="662"/>
      <c r="I23" s="662"/>
      <c r="J23" s="662"/>
      <c r="K23" s="662"/>
      <c r="L23" s="662"/>
      <c r="M23" s="662"/>
      <c r="N23" s="662"/>
      <c r="O23" s="662"/>
    </row>
    <row r="24" spans="1:15">
      <c r="A24" s="662"/>
      <c r="B24" s="662"/>
      <c r="C24" s="662"/>
      <c r="D24" s="662"/>
      <c r="E24" s="662"/>
      <c r="F24" s="662"/>
      <c r="G24" s="662"/>
      <c r="H24" s="662"/>
      <c r="I24" s="662"/>
      <c r="J24" s="662"/>
      <c r="K24" s="662"/>
      <c r="L24" s="662"/>
      <c r="M24" s="662"/>
      <c r="N24" s="662"/>
      <c r="O24" s="662"/>
    </row>
    <row r="25" spans="1:15">
      <c r="A25" s="662"/>
      <c r="B25" s="662"/>
      <c r="C25" s="662"/>
      <c r="D25" s="662"/>
      <c r="E25" s="662"/>
      <c r="F25" s="662"/>
      <c r="G25" s="662"/>
      <c r="H25" s="662"/>
      <c r="I25" s="662"/>
      <c r="J25" s="662"/>
      <c r="K25" s="662"/>
      <c r="L25" s="662"/>
      <c r="M25" s="662"/>
      <c r="N25" s="662"/>
      <c r="O25" s="662"/>
    </row>
    <row r="26" spans="1:15">
      <c r="A26" s="662"/>
      <c r="B26" s="662"/>
      <c r="C26" s="662"/>
      <c r="D26" s="662"/>
      <c r="E26" s="662"/>
      <c r="F26" s="662"/>
      <c r="G26" s="662"/>
      <c r="H26" s="662"/>
      <c r="I26" s="662"/>
      <c r="J26" s="662"/>
      <c r="K26" s="662"/>
      <c r="L26" s="662"/>
      <c r="M26" s="662"/>
      <c r="N26" s="662"/>
      <c r="O26" s="662"/>
    </row>
    <row r="27" spans="1:15">
      <c r="A27" s="662"/>
      <c r="B27" s="662"/>
      <c r="C27" s="662"/>
      <c r="D27" s="662"/>
      <c r="E27" s="662"/>
      <c r="F27" s="662"/>
      <c r="G27" s="662"/>
      <c r="H27" s="662"/>
      <c r="I27" s="662"/>
      <c r="J27" s="662"/>
      <c r="K27" s="662"/>
      <c r="L27" s="662"/>
      <c r="M27" s="662"/>
      <c r="N27" s="662"/>
      <c r="O27" s="662"/>
    </row>
    <row r="28" spans="1:15">
      <c r="A28" s="662"/>
      <c r="B28" s="662"/>
      <c r="C28" s="662"/>
      <c r="D28" s="662"/>
      <c r="E28" s="662"/>
      <c r="F28" s="662"/>
      <c r="G28" s="662"/>
      <c r="H28" s="662"/>
      <c r="I28" s="662"/>
      <c r="J28" s="662"/>
      <c r="K28" s="662"/>
      <c r="L28" s="662"/>
      <c r="M28" s="662"/>
      <c r="N28" s="662"/>
      <c r="O28" s="662"/>
    </row>
    <row r="29" spans="1:15">
      <c r="A29" s="662"/>
      <c r="B29" s="662"/>
      <c r="C29" s="662"/>
      <c r="D29" s="662"/>
      <c r="E29" s="662"/>
      <c r="F29" s="662"/>
      <c r="G29" s="662"/>
      <c r="H29" s="662"/>
      <c r="I29" s="662"/>
      <c r="J29" s="662"/>
      <c r="K29" s="662"/>
      <c r="L29" s="662"/>
      <c r="M29" s="662"/>
      <c r="N29" s="662"/>
      <c r="O29" s="662"/>
    </row>
    <row r="30" spans="1:15">
      <c r="A30" s="662"/>
      <c r="B30" s="662"/>
      <c r="C30" s="662"/>
      <c r="D30" s="662"/>
      <c r="E30" s="662"/>
      <c r="F30" s="662"/>
      <c r="G30" s="662"/>
      <c r="H30" s="662"/>
      <c r="I30" s="662"/>
      <c r="J30" s="662"/>
      <c r="K30" s="662"/>
      <c r="L30" s="662"/>
      <c r="M30" s="662"/>
      <c r="N30" s="662"/>
      <c r="O30" s="662"/>
    </row>
    <row r="31" spans="1:15">
      <c r="A31" s="662"/>
      <c r="B31" s="662"/>
      <c r="C31" s="662"/>
      <c r="D31" s="662"/>
      <c r="E31" s="662"/>
      <c r="F31" s="662"/>
      <c r="G31" s="662"/>
      <c r="H31" s="662"/>
      <c r="I31" s="662"/>
      <c r="J31" s="662"/>
      <c r="K31" s="662"/>
      <c r="L31" s="662"/>
      <c r="M31" s="662"/>
      <c r="N31" s="662"/>
      <c r="O31" s="662"/>
    </row>
    <row r="32" spans="1:15">
      <c r="A32" s="662"/>
      <c r="B32" s="662"/>
      <c r="C32" s="662"/>
      <c r="D32" s="662"/>
      <c r="E32" s="662"/>
      <c r="F32" s="662"/>
      <c r="G32" s="662"/>
      <c r="H32" s="662"/>
      <c r="I32" s="662"/>
      <c r="J32" s="662"/>
      <c r="K32" s="662"/>
      <c r="L32" s="662"/>
      <c r="M32" s="662"/>
      <c r="N32" s="662"/>
      <c r="O32" s="662"/>
    </row>
    <row r="33" spans="1:15">
      <c r="A33" s="662"/>
      <c r="B33" s="662"/>
      <c r="C33" s="662"/>
      <c r="D33" s="662"/>
      <c r="E33" s="662"/>
      <c r="F33" s="662"/>
      <c r="G33" s="662"/>
      <c r="H33" s="662"/>
      <c r="I33" s="662"/>
      <c r="J33" s="662"/>
      <c r="K33" s="662"/>
      <c r="L33" s="662"/>
      <c r="M33" s="662"/>
      <c r="N33" s="662"/>
      <c r="O33" s="662"/>
    </row>
    <row r="34" spans="1:15">
      <c r="A34" s="662"/>
      <c r="B34" s="662"/>
      <c r="C34" s="662"/>
      <c r="D34" s="662"/>
      <c r="E34" s="662"/>
      <c r="F34" s="662"/>
      <c r="G34" s="662"/>
      <c r="H34" s="662"/>
      <c r="I34" s="662"/>
      <c r="J34" s="662"/>
      <c r="K34" s="662"/>
      <c r="L34" s="662"/>
      <c r="M34" s="662"/>
      <c r="N34" s="662"/>
      <c r="O34" s="662"/>
    </row>
    <row r="35" spans="1:15">
      <c r="A35" s="662"/>
      <c r="B35" s="662"/>
      <c r="C35" s="662"/>
      <c r="D35" s="662"/>
      <c r="E35" s="662"/>
      <c r="F35" s="662"/>
      <c r="G35" s="662"/>
      <c r="H35" s="662"/>
      <c r="I35" s="662"/>
      <c r="J35" s="662"/>
      <c r="K35" s="662"/>
      <c r="L35" s="662"/>
      <c r="M35" s="662"/>
      <c r="N35" s="662"/>
      <c r="O35" s="662"/>
    </row>
    <row r="36" spans="1:15">
      <c r="A36" s="662"/>
      <c r="B36" s="662"/>
      <c r="C36" s="662"/>
      <c r="D36" s="662"/>
      <c r="E36" s="662"/>
      <c r="F36" s="662"/>
      <c r="G36" s="662"/>
      <c r="H36" s="662"/>
      <c r="I36" s="662"/>
      <c r="J36" s="662"/>
      <c r="K36" s="662"/>
      <c r="L36" s="662"/>
      <c r="M36" s="662"/>
      <c r="N36" s="662"/>
      <c r="O36" s="662"/>
    </row>
    <row r="37" spans="1:15">
      <c r="A37" s="662"/>
      <c r="B37" s="662"/>
      <c r="C37" s="662"/>
      <c r="D37" s="662"/>
      <c r="E37" s="662"/>
      <c r="F37" s="662"/>
      <c r="G37" s="662"/>
      <c r="H37" s="662"/>
      <c r="I37" s="662"/>
      <c r="J37" s="662"/>
      <c r="K37" s="662"/>
      <c r="L37" s="662"/>
      <c r="M37" s="662"/>
      <c r="N37" s="662"/>
      <c r="O37" s="662"/>
    </row>
    <row r="38" spans="1:15">
      <c r="A38" s="662"/>
      <c r="B38" s="662"/>
      <c r="C38" s="662"/>
      <c r="D38" s="662"/>
      <c r="E38" s="662"/>
      <c r="F38" s="662"/>
      <c r="G38" s="662"/>
      <c r="H38" s="662"/>
      <c r="I38" s="662"/>
      <c r="J38" s="662"/>
      <c r="K38" s="662"/>
      <c r="L38" s="662"/>
      <c r="M38" s="662"/>
      <c r="N38" s="662"/>
      <c r="O38" s="662"/>
    </row>
    <row r="39" spans="1:15">
      <c r="A39" s="662"/>
      <c r="B39" s="662"/>
      <c r="C39" s="662"/>
      <c r="D39" s="662"/>
      <c r="E39" s="662"/>
      <c r="F39" s="662"/>
      <c r="G39" s="662"/>
      <c r="H39" s="662"/>
      <c r="I39" s="662"/>
      <c r="J39" s="662"/>
      <c r="K39" s="662"/>
      <c r="L39" s="662"/>
      <c r="M39" s="662"/>
      <c r="N39" s="662"/>
      <c r="O39" s="662"/>
    </row>
    <row r="40" spans="1:15">
      <c r="A40" s="662"/>
      <c r="B40" s="662"/>
      <c r="C40" s="662"/>
      <c r="D40" s="662"/>
      <c r="E40" s="662"/>
      <c r="F40" s="662"/>
      <c r="G40" s="662"/>
      <c r="H40" s="662"/>
      <c r="I40" s="662"/>
      <c r="J40" s="662"/>
      <c r="K40" s="662"/>
      <c r="L40" s="662"/>
      <c r="M40" s="662"/>
      <c r="N40" s="662"/>
      <c r="O40" s="662"/>
    </row>
    <row r="41" spans="1:15">
      <c r="A41" s="662"/>
      <c r="B41" s="662"/>
      <c r="C41" s="662"/>
      <c r="D41" s="662"/>
      <c r="E41" s="662"/>
      <c r="F41" s="662"/>
      <c r="G41" s="662"/>
      <c r="H41" s="662"/>
      <c r="I41" s="662"/>
      <c r="J41" s="662"/>
      <c r="K41" s="662"/>
      <c r="L41" s="662"/>
      <c r="M41" s="662"/>
      <c r="N41" s="662"/>
      <c r="O41" s="662"/>
    </row>
    <row r="42" spans="1:15">
      <c r="A42" s="662"/>
      <c r="B42" s="662"/>
      <c r="C42" s="662"/>
      <c r="D42" s="662"/>
      <c r="E42" s="662"/>
      <c r="F42" s="662"/>
      <c r="G42" s="662"/>
      <c r="H42" s="662"/>
      <c r="I42" s="662"/>
      <c r="J42" s="662"/>
      <c r="K42" s="662"/>
      <c r="L42" s="662"/>
      <c r="M42" s="662"/>
      <c r="N42" s="662"/>
      <c r="O42" s="662"/>
    </row>
    <row r="43" spans="1:15">
      <c r="A43" s="662"/>
      <c r="B43" s="662"/>
      <c r="C43" s="662"/>
      <c r="D43" s="662"/>
      <c r="E43" s="662"/>
      <c r="F43" s="662"/>
      <c r="G43" s="662"/>
      <c r="H43" s="662"/>
      <c r="I43" s="662"/>
      <c r="J43" s="662"/>
      <c r="K43" s="662"/>
      <c r="L43" s="662"/>
      <c r="M43" s="662"/>
      <c r="N43" s="662"/>
      <c r="O43" s="662"/>
    </row>
    <row r="44" spans="1:15">
      <c r="A44" s="662"/>
      <c r="B44" s="662"/>
      <c r="C44" s="662"/>
      <c r="D44" s="662"/>
      <c r="E44" s="662"/>
      <c r="F44" s="662"/>
      <c r="G44" s="662"/>
      <c r="H44" s="662"/>
      <c r="I44" s="662"/>
      <c r="J44" s="662"/>
      <c r="K44" s="662"/>
      <c r="L44" s="662"/>
      <c r="M44" s="662"/>
      <c r="N44" s="662"/>
      <c r="O44" s="662"/>
    </row>
    <row r="45" spans="1:15">
      <c r="A45" s="662"/>
      <c r="B45" s="662"/>
      <c r="C45" s="662"/>
      <c r="D45" s="662"/>
      <c r="E45" s="662"/>
      <c r="F45" s="662"/>
      <c r="G45" s="662"/>
      <c r="H45" s="662"/>
      <c r="I45" s="662"/>
      <c r="J45" s="662"/>
      <c r="K45" s="662"/>
      <c r="L45" s="662"/>
      <c r="M45" s="662"/>
      <c r="N45" s="662"/>
      <c r="O45" s="662"/>
    </row>
    <row r="46" spans="1:15">
      <c r="A46" s="662"/>
      <c r="B46" s="662"/>
      <c r="C46" s="662"/>
      <c r="D46" s="662"/>
      <c r="E46" s="662"/>
      <c r="F46" s="662"/>
      <c r="G46" s="662"/>
      <c r="H46" s="662"/>
      <c r="I46" s="662"/>
      <c r="J46" s="662"/>
      <c r="K46" s="662"/>
      <c r="L46" s="662"/>
      <c r="M46" s="662"/>
      <c r="N46" s="662"/>
      <c r="O46" s="662"/>
    </row>
    <row r="47" spans="1:15">
      <c r="A47" s="662"/>
      <c r="B47" s="662"/>
      <c r="C47" s="662"/>
      <c r="D47" s="662"/>
      <c r="E47" s="662"/>
      <c r="F47" s="662"/>
      <c r="G47" s="662"/>
      <c r="H47" s="662"/>
      <c r="I47" s="662"/>
      <c r="J47" s="662"/>
      <c r="K47" s="662"/>
      <c r="L47" s="662"/>
      <c r="M47" s="662"/>
      <c r="N47" s="662"/>
      <c r="O47" s="662"/>
    </row>
    <row r="48" spans="1:15">
      <c r="A48" s="662"/>
      <c r="B48" s="662"/>
      <c r="C48" s="662"/>
      <c r="D48" s="662"/>
      <c r="E48" s="662"/>
      <c r="F48" s="662"/>
      <c r="G48" s="662"/>
      <c r="H48" s="662"/>
      <c r="I48" s="662"/>
      <c r="J48" s="662"/>
      <c r="K48" s="662"/>
      <c r="L48" s="662"/>
      <c r="M48" s="662"/>
      <c r="N48" s="662"/>
      <c r="O48" s="662"/>
    </row>
    <row r="49" spans="1:15">
      <c r="A49" s="662"/>
      <c r="B49" s="662"/>
      <c r="C49" s="662"/>
      <c r="D49" s="662"/>
      <c r="E49" s="662"/>
      <c r="F49" s="662"/>
      <c r="G49" s="662"/>
      <c r="H49" s="662"/>
      <c r="I49" s="662"/>
      <c r="J49" s="662"/>
      <c r="K49" s="662"/>
      <c r="L49" s="662"/>
      <c r="M49" s="662"/>
      <c r="N49" s="662"/>
      <c r="O49" s="662"/>
    </row>
    <row r="50" spans="1:15">
      <c r="A50" s="662"/>
      <c r="B50" s="662"/>
      <c r="C50" s="662"/>
      <c r="D50" s="662"/>
      <c r="E50" s="662"/>
      <c r="F50" s="662"/>
      <c r="G50" s="662"/>
      <c r="H50" s="662"/>
      <c r="I50" s="662"/>
      <c r="J50" s="662"/>
      <c r="K50" s="662"/>
      <c r="L50" s="662"/>
      <c r="M50" s="662"/>
      <c r="N50" s="662"/>
      <c r="O50" s="662"/>
    </row>
    <row r="51" spans="1:15">
      <c r="A51" s="662"/>
      <c r="B51" s="662"/>
      <c r="C51" s="662"/>
      <c r="D51" s="662"/>
      <c r="E51" s="662"/>
      <c r="F51" s="662"/>
      <c r="G51" s="662"/>
      <c r="H51" s="662"/>
      <c r="I51" s="662"/>
      <c r="J51" s="662"/>
      <c r="K51" s="662"/>
      <c r="L51" s="662"/>
      <c r="M51" s="662"/>
      <c r="N51" s="662"/>
      <c r="O51" s="662"/>
    </row>
    <row r="52" spans="1:15">
      <c r="A52" s="662"/>
      <c r="B52" s="662"/>
      <c r="C52" s="662"/>
      <c r="D52" s="662"/>
      <c r="E52" s="662"/>
      <c r="F52" s="662"/>
      <c r="G52" s="662"/>
      <c r="H52" s="662"/>
      <c r="I52" s="662"/>
      <c r="J52" s="662"/>
      <c r="K52" s="662"/>
      <c r="L52" s="662"/>
      <c r="M52" s="662"/>
      <c r="N52" s="662"/>
      <c r="O52" s="662"/>
    </row>
    <row r="53" spans="1:15">
      <c r="A53" s="662"/>
      <c r="B53" s="662"/>
      <c r="C53" s="662"/>
      <c r="D53" s="662"/>
      <c r="E53" s="662"/>
      <c r="F53" s="662"/>
      <c r="G53" s="662"/>
      <c r="H53" s="662"/>
      <c r="I53" s="662"/>
      <c r="J53" s="662"/>
      <c r="K53" s="662"/>
      <c r="L53" s="662"/>
      <c r="M53" s="662"/>
      <c r="N53" s="662"/>
      <c r="O53" s="662"/>
    </row>
    <row r="54" spans="1:15">
      <c r="A54" s="662"/>
      <c r="B54" s="662"/>
      <c r="C54" s="662"/>
      <c r="D54" s="662"/>
      <c r="E54" s="662"/>
      <c r="F54" s="662"/>
      <c r="G54" s="662"/>
      <c r="H54" s="662"/>
      <c r="I54" s="662"/>
      <c r="J54" s="662"/>
      <c r="K54" s="662"/>
      <c r="L54" s="662"/>
      <c r="M54" s="662"/>
      <c r="N54" s="662"/>
      <c r="O54" s="662"/>
    </row>
    <row r="55" spans="1:15">
      <c r="A55" s="662"/>
      <c r="B55" s="662"/>
      <c r="C55" s="662"/>
      <c r="D55" s="662"/>
      <c r="E55" s="662"/>
      <c r="F55" s="662"/>
      <c r="G55" s="662"/>
      <c r="H55" s="662"/>
      <c r="I55" s="662"/>
      <c r="J55" s="662"/>
      <c r="K55" s="662"/>
      <c r="L55" s="662"/>
      <c r="M55" s="662"/>
      <c r="N55" s="662"/>
      <c r="O55" s="662"/>
    </row>
    <row r="56" spans="1:15">
      <c r="A56" s="662"/>
      <c r="B56" s="662"/>
      <c r="C56" s="662"/>
      <c r="D56" s="662"/>
      <c r="E56" s="662"/>
      <c r="F56" s="662"/>
      <c r="G56" s="662"/>
      <c r="H56" s="662"/>
      <c r="I56" s="662"/>
      <c r="J56" s="662"/>
      <c r="K56" s="662"/>
      <c r="L56" s="662"/>
      <c r="M56" s="662"/>
      <c r="N56" s="662"/>
      <c r="O56" s="662"/>
    </row>
    <row r="57" spans="1:15">
      <c r="A57" s="662"/>
      <c r="B57" s="662"/>
      <c r="C57" s="662"/>
      <c r="D57" s="662"/>
      <c r="E57" s="662"/>
      <c r="F57" s="662"/>
      <c r="G57" s="662"/>
      <c r="H57" s="662"/>
      <c r="I57" s="662"/>
      <c r="J57" s="662"/>
      <c r="K57" s="662"/>
      <c r="L57" s="662"/>
      <c r="M57" s="662"/>
      <c r="N57" s="662"/>
      <c r="O57" s="662"/>
    </row>
    <row r="58" spans="1:15">
      <c r="A58" s="662"/>
      <c r="B58" s="662"/>
      <c r="C58" s="662"/>
      <c r="D58" s="662"/>
      <c r="E58" s="662"/>
      <c r="F58" s="662"/>
      <c r="G58" s="662"/>
      <c r="H58" s="662"/>
      <c r="I58" s="662"/>
      <c r="J58" s="662"/>
      <c r="K58" s="662"/>
      <c r="L58" s="662"/>
      <c r="M58" s="662"/>
      <c r="N58" s="662"/>
      <c r="O58" s="662"/>
    </row>
    <row r="59" spans="1:15">
      <c r="A59" s="662"/>
      <c r="B59" s="662"/>
      <c r="C59" s="662"/>
      <c r="D59" s="662"/>
      <c r="E59" s="662"/>
      <c r="F59" s="662"/>
      <c r="G59" s="662"/>
      <c r="H59" s="662"/>
      <c r="I59" s="662"/>
      <c r="J59" s="662"/>
      <c r="K59" s="662"/>
      <c r="L59" s="662"/>
      <c r="M59" s="662"/>
      <c r="N59" s="662"/>
      <c r="O59" s="662"/>
    </row>
    <row r="60" spans="1:15">
      <c r="A60" s="662"/>
      <c r="B60" s="662"/>
      <c r="C60" s="662"/>
      <c r="D60" s="662"/>
      <c r="E60" s="662"/>
      <c r="F60" s="662"/>
      <c r="G60" s="662"/>
      <c r="H60" s="662"/>
      <c r="I60" s="662"/>
      <c r="J60" s="662"/>
      <c r="K60" s="662"/>
      <c r="L60" s="662"/>
      <c r="M60" s="662"/>
      <c r="N60" s="662"/>
      <c r="O60" s="662"/>
    </row>
    <row r="61" spans="1:15">
      <c r="A61" s="662"/>
      <c r="B61" s="662"/>
      <c r="C61" s="662"/>
      <c r="D61" s="662"/>
      <c r="E61" s="662"/>
      <c r="F61" s="662"/>
      <c r="G61" s="662"/>
      <c r="H61" s="662"/>
      <c r="I61" s="662"/>
      <c r="J61" s="662"/>
      <c r="K61" s="662"/>
      <c r="L61" s="662"/>
      <c r="M61" s="662"/>
      <c r="N61" s="662"/>
      <c r="O61" s="662"/>
    </row>
    <row r="62" spans="1:15">
      <c r="A62" s="662"/>
      <c r="B62" s="662"/>
      <c r="C62" s="662"/>
      <c r="D62" s="662"/>
      <c r="E62" s="662"/>
      <c r="F62" s="662"/>
      <c r="G62" s="662"/>
      <c r="H62" s="662"/>
      <c r="I62" s="662"/>
      <c r="J62" s="662"/>
      <c r="K62" s="662"/>
      <c r="L62" s="662"/>
      <c r="M62" s="662"/>
      <c r="N62" s="662"/>
      <c r="O62" s="662"/>
    </row>
    <row r="63" spans="1:15">
      <c r="A63" s="662"/>
      <c r="B63" s="662"/>
      <c r="C63" s="662"/>
      <c r="D63" s="662"/>
      <c r="E63" s="662"/>
      <c r="F63" s="662"/>
      <c r="G63" s="662"/>
      <c r="H63" s="662"/>
      <c r="I63" s="662"/>
      <c r="J63" s="662"/>
      <c r="K63" s="662"/>
      <c r="L63" s="662"/>
      <c r="M63" s="662"/>
      <c r="N63" s="662"/>
      <c r="O63" s="662"/>
    </row>
    <row r="64" spans="1:15">
      <c r="A64" s="662"/>
      <c r="B64" s="662"/>
      <c r="C64" s="662"/>
      <c r="D64" s="662"/>
      <c r="E64" s="662"/>
      <c r="F64" s="662"/>
      <c r="G64" s="662"/>
      <c r="H64" s="662"/>
      <c r="I64" s="662"/>
      <c r="J64" s="662"/>
      <c r="K64" s="662"/>
      <c r="L64" s="662"/>
      <c r="M64" s="662"/>
      <c r="N64" s="662"/>
      <c r="O64" s="662"/>
    </row>
    <row r="65" spans="1:15">
      <c r="A65" s="662"/>
      <c r="B65" s="662"/>
      <c r="C65" s="662"/>
      <c r="D65" s="662"/>
      <c r="E65" s="662"/>
      <c r="F65" s="662"/>
      <c r="G65" s="662"/>
      <c r="H65" s="662"/>
      <c r="I65" s="662"/>
      <c r="J65" s="662"/>
      <c r="K65" s="662"/>
      <c r="L65" s="662"/>
      <c r="M65" s="662"/>
      <c r="N65" s="662"/>
      <c r="O65" s="662"/>
    </row>
    <row r="66" spans="1:15">
      <c r="A66" s="662"/>
      <c r="B66" s="662"/>
      <c r="C66" s="662"/>
      <c r="D66" s="662"/>
      <c r="E66" s="662"/>
      <c r="F66" s="662"/>
      <c r="G66" s="662"/>
      <c r="H66" s="662"/>
      <c r="I66" s="662"/>
      <c r="J66" s="662"/>
      <c r="K66" s="662"/>
      <c r="L66" s="662"/>
      <c r="M66" s="662"/>
      <c r="N66" s="662"/>
      <c r="O66" s="662"/>
    </row>
    <row r="67" spans="1:15">
      <c r="A67" s="662"/>
      <c r="B67" s="662"/>
      <c r="C67" s="662"/>
      <c r="D67" s="662"/>
      <c r="E67" s="662"/>
      <c r="F67" s="662"/>
      <c r="G67" s="662"/>
      <c r="H67" s="662"/>
      <c r="I67" s="662"/>
      <c r="J67" s="662"/>
      <c r="K67" s="662"/>
      <c r="L67" s="662"/>
      <c r="M67" s="662"/>
      <c r="N67" s="662"/>
      <c r="O67" s="662"/>
    </row>
    <row r="68" spans="1:15">
      <c r="A68" s="662"/>
      <c r="B68" s="662"/>
      <c r="C68" s="662"/>
      <c r="D68" s="662"/>
      <c r="E68" s="662"/>
      <c r="F68" s="662"/>
      <c r="G68" s="662"/>
      <c r="H68" s="662"/>
      <c r="I68" s="662"/>
      <c r="J68" s="662"/>
      <c r="K68" s="662"/>
      <c r="L68" s="662"/>
      <c r="M68" s="662"/>
      <c r="N68" s="662"/>
      <c r="O68" s="662"/>
    </row>
    <row r="69" spans="1:15">
      <c r="A69" s="662"/>
      <c r="B69" s="662"/>
      <c r="C69" s="662"/>
      <c r="D69" s="662"/>
      <c r="E69" s="662"/>
      <c r="F69" s="662"/>
      <c r="G69" s="662"/>
      <c r="H69" s="662"/>
      <c r="I69" s="662"/>
      <c r="J69" s="662"/>
      <c r="K69" s="662"/>
      <c r="L69" s="662"/>
      <c r="M69" s="662"/>
      <c r="N69" s="662"/>
      <c r="O69" s="662"/>
    </row>
    <row r="70" spans="1:15">
      <c r="A70" s="662"/>
      <c r="B70" s="662"/>
      <c r="C70" s="662"/>
      <c r="D70" s="662"/>
      <c r="E70" s="662"/>
      <c r="F70" s="662"/>
      <c r="G70" s="662"/>
      <c r="H70" s="662"/>
      <c r="I70" s="662"/>
      <c r="J70" s="662"/>
      <c r="K70" s="662"/>
      <c r="L70" s="662"/>
      <c r="M70" s="662"/>
      <c r="N70" s="662"/>
      <c r="O70" s="662"/>
    </row>
    <row r="71" spans="1:15">
      <c r="A71" s="662"/>
      <c r="B71" s="662"/>
      <c r="C71" s="662"/>
      <c r="D71" s="662"/>
      <c r="E71" s="662"/>
      <c r="F71" s="662"/>
      <c r="G71" s="662"/>
      <c r="H71" s="662"/>
      <c r="I71" s="662"/>
      <c r="J71" s="662"/>
      <c r="K71" s="662"/>
      <c r="L71" s="662"/>
      <c r="M71" s="662"/>
      <c r="N71" s="662"/>
      <c r="O71" s="662"/>
    </row>
    <row r="72" spans="1:15">
      <c r="A72" s="662"/>
      <c r="B72" s="662"/>
      <c r="C72" s="662"/>
      <c r="D72" s="662"/>
      <c r="E72" s="662"/>
      <c r="F72" s="662"/>
      <c r="G72" s="662"/>
      <c r="H72" s="662"/>
      <c r="I72" s="662"/>
      <c r="J72" s="662"/>
      <c r="K72" s="662"/>
      <c r="L72" s="662"/>
      <c r="M72" s="662"/>
      <c r="N72" s="662"/>
      <c r="O72" s="662"/>
    </row>
    <row r="73" spans="1:15">
      <c r="A73" s="662"/>
      <c r="B73" s="662"/>
      <c r="C73" s="662"/>
      <c r="D73" s="662"/>
      <c r="E73" s="662"/>
      <c r="F73" s="662"/>
      <c r="G73" s="662"/>
      <c r="H73" s="662"/>
      <c r="I73" s="662"/>
      <c r="J73" s="662"/>
      <c r="K73" s="662"/>
      <c r="L73" s="662"/>
      <c r="M73" s="662"/>
      <c r="N73" s="662"/>
      <c r="O73" s="662"/>
    </row>
    <row r="74" spans="1:15">
      <c r="A74" s="662"/>
      <c r="B74" s="662"/>
      <c r="C74" s="662"/>
      <c r="D74" s="662"/>
      <c r="E74" s="662"/>
      <c r="F74" s="662"/>
      <c r="G74" s="662"/>
      <c r="H74" s="662"/>
      <c r="I74" s="662"/>
      <c r="J74" s="662"/>
      <c r="K74" s="662"/>
      <c r="L74" s="662"/>
      <c r="M74" s="662"/>
      <c r="N74" s="662"/>
      <c r="O74" s="662"/>
    </row>
    <row r="75" spans="1:15">
      <c r="A75" s="662"/>
      <c r="B75" s="662"/>
      <c r="C75" s="662"/>
      <c r="D75" s="662"/>
      <c r="E75" s="662"/>
      <c r="F75" s="662"/>
      <c r="G75" s="662"/>
      <c r="H75" s="662"/>
      <c r="I75" s="662"/>
      <c r="J75" s="662"/>
      <c r="K75" s="662"/>
      <c r="L75" s="662"/>
      <c r="M75" s="662"/>
      <c r="N75" s="662"/>
      <c r="O75" s="662"/>
    </row>
    <row r="76" spans="1:15">
      <c r="A76" s="662"/>
      <c r="B76" s="662"/>
      <c r="C76" s="662"/>
      <c r="D76" s="662"/>
      <c r="E76" s="662"/>
      <c r="F76" s="662"/>
      <c r="G76" s="662"/>
      <c r="H76" s="662"/>
      <c r="I76" s="662"/>
      <c r="J76" s="662"/>
      <c r="K76" s="662"/>
      <c r="L76" s="662"/>
      <c r="M76" s="662"/>
      <c r="N76" s="662"/>
      <c r="O76" s="662"/>
    </row>
    <row r="77" spans="1:15">
      <c r="A77" s="662"/>
      <c r="B77" s="662"/>
      <c r="C77" s="662"/>
      <c r="D77" s="662"/>
      <c r="E77" s="662"/>
      <c r="F77" s="662"/>
      <c r="G77" s="662"/>
      <c r="H77" s="662"/>
      <c r="I77" s="662"/>
      <c r="J77" s="662"/>
      <c r="K77" s="662"/>
      <c r="L77" s="662"/>
      <c r="M77" s="662"/>
      <c r="N77" s="662"/>
      <c r="O77" s="662"/>
    </row>
    <row r="78" spans="1:15">
      <c r="A78" s="662"/>
      <c r="B78" s="662"/>
      <c r="C78" s="662"/>
      <c r="D78" s="662"/>
      <c r="E78" s="662"/>
      <c r="F78" s="662"/>
      <c r="G78" s="662"/>
      <c r="H78" s="662"/>
      <c r="I78" s="662"/>
      <c r="J78" s="662"/>
      <c r="K78" s="662"/>
      <c r="L78" s="662"/>
      <c r="M78" s="662"/>
      <c r="N78" s="662"/>
      <c r="O78" s="662"/>
    </row>
    <row r="79" spans="1:15">
      <c r="A79" s="662"/>
      <c r="B79" s="662"/>
      <c r="C79" s="662"/>
      <c r="D79" s="662"/>
      <c r="E79" s="662"/>
      <c r="F79" s="662"/>
      <c r="G79" s="662"/>
      <c r="H79" s="662"/>
      <c r="I79" s="662"/>
      <c r="J79" s="662"/>
      <c r="K79" s="662"/>
      <c r="L79" s="662"/>
      <c r="M79" s="662"/>
      <c r="N79" s="662"/>
      <c r="O79" s="662"/>
    </row>
    <row r="80" spans="1:15">
      <c r="A80" s="662"/>
      <c r="B80" s="662"/>
      <c r="C80" s="662"/>
      <c r="D80" s="662"/>
      <c r="E80" s="662"/>
      <c r="F80" s="662"/>
      <c r="G80" s="662"/>
      <c r="H80" s="662"/>
      <c r="I80" s="662"/>
      <c r="J80" s="662"/>
      <c r="K80" s="662"/>
      <c r="L80" s="662"/>
      <c r="M80" s="662"/>
      <c r="N80" s="662"/>
      <c r="O80" s="662"/>
    </row>
    <row r="81" spans="1:15">
      <c r="A81" s="662"/>
      <c r="B81" s="662"/>
      <c r="C81" s="662"/>
      <c r="D81" s="662"/>
      <c r="E81" s="662"/>
      <c r="F81" s="662"/>
      <c r="G81" s="662"/>
      <c r="H81" s="662"/>
      <c r="I81" s="662"/>
      <c r="J81" s="662"/>
      <c r="K81" s="662"/>
      <c r="L81" s="662"/>
      <c r="M81" s="662"/>
      <c r="N81" s="662"/>
      <c r="O81" s="662"/>
    </row>
    <row r="82" spans="1:15">
      <c r="A82" s="662"/>
      <c r="B82" s="662"/>
      <c r="C82" s="662"/>
      <c r="D82" s="662"/>
      <c r="E82" s="662"/>
      <c r="F82" s="662"/>
      <c r="G82" s="662"/>
      <c r="H82" s="662"/>
      <c r="I82" s="662"/>
      <c r="J82" s="662"/>
      <c r="K82" s="662"/>
      <c r="L82" s="662"/>
      <c r="M82" s="662"/>
      <c r="N82" s="662"/>
      <c r="O82" s="662"/>
    </row>
    <row r="83" spans="1:15">
      <c r="A83" s="662"/>
      <c r="B83" s="662"/>
      <c r="C83" s="662"/>
      <c r="D83" s="662"/>
      <c r="E83" s="662"/>
      <c r="F83" s="662"/>
      <c r="G83" s="662"/>
      <c r="H83" s="662"/>
      <c r="I83" s="662"/>
      <c r="J83" s="662"/>
      <c r="K83" s="662"/>
      <c r="L83" s="662"/>
      <c r="M83" s="662"/>
      <c r="N83" s="662"/>
      <c r="O83" s="662"/>
    </row>
    <row r="84" spans="1:15">
      <c r="A84" s="662"/>
      <c r="B84" s="662"/>
      <c r="C84" s="662"/>
      <c r="D84" s="662"/>
      <c r="E84" s="662"/>
      <c r="F84" s="662"/>
      <c r="G84" s="662"/>
      <c r="H84" s="662"/>
      <c r="I84" s="662"/>
      <c r="J84" s="662"/>
      <c r="K84" s="662"/>
      <c r="L84" s="662"/>
      <c r="M84" s="662"/>
      <c r="N84" s="662"/>
      <c r="O84" s="662"/>
    </row>
    <row r="85" spans="1:15">
      <c r="A85" s="662"/>
      <c r="B85" s="662"/>
      <c r="C85" s="662"/>
      <c r="D85" s="662"/>
      <c r="E85" s="662"/>
      <c r="F85" s="662"/>
      <c r="G85" s="662"/>
      <c r="H85" s="662"/>
      <c r="I85" s="662"/>
      <c r="J85" s="662"/>
      <c r="K85" s="662"/>
      <c r="L85" s="662"/>
      <c r="M85" s="662"/>
      <c r="N85" s="662"/>
      <c r="O85" s="662"/>
    </row>
    <row r="86" spans="1:15">
      <c r="A86" s="662"/>
      <c r="B86" s="662"/>
      <c r="C86" s="662"/>
      <c r="D86" s="662"/>
      <c r="E86" s="662"/>
      <c r="F86" s="662"/>
      <c r="G86" s="662"/>
      <c r="H86" s="662"/>
      <c r="I86" s="662"/>
      <c r="J86" s="662"/>
      <c r="K86" s="662"/>
      <c r="L86" s="662"/>
      <c r="M86" s="662"/>
      <c r="N86" s="662"/>
      <c r="O86" s="662"/>
    </row>
    <row r="87" spans="1:15">
      <c r="A87" s="662"/>
      <c r="B87" s="662"/>
      <c r="C87" s="662"/>
      <c r="D87" s="662"/>
      <c r="E87" s="662"/>
      <c r="F87" s="662"/>
      <c r="G87" s="662"/>
      <c r="H87" s="662"/>
      <c r="I87" s="662"/>
      <c r="J87" s="662"/>
      <c r="K87" s="662"/>
      <c r="L87" s="662"/>
      <c r="M87" s="662"/>
      <c r="N87" s="662"/>
      <c r="O87" s="662"/>
    </row>
    <row r="88" spans="1:15">
      <c r="A88" s="662"/>
      <c r="B88" s="662"/>
      <c r="C88" s="662"/>
      <c r="D88" s="662"/>
      <c r="E88" s="662"/>
      <c r="F88" s="662"/>
      <c r="G88" s="662"/>
      <c r="H88" s="662"/>
      <c r="I88" s="662"/>
      <c r="J88" s="662"/>
      <c r="K88" s="662"/>
      <c r="L88" s="662"/>
      <c r="M88" s="662"/>
      <c r="N88" s="662"/>
      <c r="O88" s="662"/>
    </row>
    <row r="89" spans="1:15">
      <c r="A89" s="662"/>
      <c r="B89" s="662"/>
      <c r="C89" s="662"/>
      <c r="D89" s="662"/>
      <c r="E89" s="662"/>
      <c r="F89" s="662"/>
      <c r="G89" s="662"/>
      <c r="H89" s="662"/>
      <c r="I89" s="662"/>
      <c r="J89" s="662"/>
      <c r="K89" s="662"/>
      <c r="L89" s="662"/>
      <c r="M89" s="662"/>
      <c r="N89" s="662"/>
      <c r="O89" s="662"/>
    </row>
    <row r="90" spans="1:15">
      <c r="A90" s="662"/>
      <c r="B90" s="662"/>
      <c r="C90" s="662"/>
      <c r="D90" s="662"/>
      <c r="E90" s="662"/>
      <c r="F90" s="662"/>
      <c r="G90" s="662"/>
      <c r="H90" s="662"/>
      <c r="I90" s="662"/>
      <c r="J90" s="662"/>
      <c r="K90" s="662"/>
      <c r="L90" s="662"/>
      <c r="M90" s="662"/>
      <c r="N90" s="662"/>
      <c r="O90" s="662"/>
    </row>
    <row r="91" spans="1:15">
      <c r="A91" s="662"/>
      <c r="B91" s="662"/>
      <c r="C91" s="662"/>
      <c r="D91" s="662"/>
      <c r="E91" s="662"/>
      <c r="F91" s="662"/>
      <c r="G91" s="662"/>
      <c r="H91" s="662"/>
      <c r="I91" s="662"/>
      <c r="J91" s="662"/>
      <c r="K91" s="662"/>
      <c r="L91" s="662"/>
      <c r="M91" s="662"/>
      <c r="N91" s="662"/>
      <c r="O91" s="662"/>
    </row>
    <row r="92" spans="1:15">
      <c r="A92" s="662"/>
      <c r="B92" s="662"/>
      <c r="C92" s="662"/>
      <c r="D92" s="662"/>
      <c r="E92" s="662"/>
      <c r="F92" s="662"/>
      <c r="G92" s="662"/>
      <c r="H92" s="662"/>
      <c r="I92" s="662"/>
      <c r="J92" s="662"/>
      <c r="K92" s="662"/>
      <c r="L92" s="662"/>
      <c r="M92" s="662"/>
      <c r="N92" s="662"/>
      <c r="O92" s="662"/>
    </row>
    <row r="93" spans="1:15">
      <c r="A93" s="662"/>
      <c r="B93" s="662"/>
      <c r="C93" s="662"/>
      <c r="D93" s="662"/>
      <c r="E93" s="662"/>
      <c r="F93" s="662"/>
      <c r="G93" s="662"/>
      <c r="H93" s="662"/>
      <c r="I93" s="662"/>
      <c r="J93" s="662"/>
      <c r="K93" s="662"/>
      <c r="L93" s="662"/>
      <c r="M93" s="662"/>
      <c r="N93" s="662"/>
      <c r="O93" s="662"/>
    </row>
    <row r="94" spans="1:15">
      <c r="A94" s="662"/>
      <c r="B94" s="662"/>
      <c r="C94" s="662"/>
      <c r="D94" s="662"/>
      <c r="E94" s="662"/>
      <c r="F94" s="662"/>
      <c r="G94" s="662"/>
      <c r="H94" s="662"/>
      <c r="I94" s="662"/>
      <c r="J94" s="662"/>
      <c r="K94" s="662"/>
      <c r="L94" s="662"/>
      <c r="M94" s="662"/>
      <c r="N94" s="662"/>
      <c r="O94" s="662"/>
    </row>
    <row r="95" spans="1:15">
      <c r="A95" s="662"/>
      <c r="B95" s="662"/>
      <c r="C95" s="662"/>
      <c r="D95" s="662"/>
      <c r="E95" s="662"/>
      <c r="F95" s="662"/>
      <c r="G95" s="662"/>
      <c r="H95" s="662"/>
      <c r="I95" s="662"/>
      <c r="J95" s="662"/>
      <c r="K95" s="662"/>
      <c r="L95" s="662"/>
      <c r="M95" s="662"/>
      <c r="N95" s="662"/>
      <c r="O95" s="662"/>
    </row>
    <row r="96" spans="1:15">
      <c r="A96" s="662"/>
      <c r="B96" s="662"/>
      <c r="C96" s="662"/>
      <c r="D96" s="662"/>
      <c r="E96" s="662"/>
      <c r="F96" s="662"/>
      <c r="G96" s="662"/>
      <c r="H96" s="662"/>
      <c r="I96" s="662"/>
      <c r="J96" s="662"/>
      <c r="K96" s="662"/>
      <c r="L96" s="662"/>
      <c r="M96" s="662"/>
      <c r="N96" s="662"/>
      <c r="O96" s="662"/>
    </row>
    <row r="97" spans="1:15">
      <c r="A97" s="662"/>
      <c r="B97" s="662"/>
      <c r="C97" s="662"/>
      <c r="D97" s="662"/>
      <c r="E97" s="662"/>
      <c r="F97" s="662"/>
      <c r="G97" s="662"/>
      <c r="H97" s="662"/>
      <c r="I97" s="662"/>
      <c r="J97" s="662"/>
      <c r="K97" s="662"/>
      <c r="L97" s="662"/>
      <c r="M97" s="662"/>
      <c r="N97" s="662"/>
      <c r="O97" s="662"/>
    </row>
  </sheetData>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D905BB-26BC-4CDD-9ED6-EB31C27FFF0C}">
  <dimension ref="A1:O98"/>
  <sheetViews>
    <sheetView workbookViewId="0">
      <pane ySplit="1" topLeftCell="A11" activePane="bottomLeft" state="frozen"/>
      <selection pane="bottomLeft" activeCell="E11" sqref="E11"/>
    </sheetView>
  </sheetViews>
  <sheetFormatPr defaultRowHeight="12.5"/>
  <cols>
    <col min="1" max="1" width="19.1796875" customWidth="1"/>
    <col min="2" max="2" width="17.54296875" customWidth="1"/>
    <col min="3" max="3" width="16.26953125" customWidth="1"/>
    <col min="4" max="4" width="13.453125" customWidth="1"/>
    <col min="5" max="5" width="25" customWidth="1"/>
    <col min="6" max="6" width="34.26953125" customWidth="1"/>
    <col min="7" max="7" width="24.453125" customWidth="1"/>
    <col min="8" max="8" width="13.26953125" customWidth="1"/>
    <col min="9" max="9" width="46.81640625" customWidth="1"/>
  </cols>
  <sheetData>
    <row r="1" spans="1:15" ht="13">
      <c r="A1" s="614" t="s">
        <v>2595</v>
      </c>
      <c r="B1" s="614" t="s">
        <v>225</v>
      </c>
      <c r="C1" s="614" t="s">
        <v>226</v>
      </c>
      <c r="D1" s="614" t="s">
        <v>2596</v>
      </c>
      <c r="E1" s="614" t="s">
        <v>2597</v>
      </c>
      <c r="F1" s="653" t="s">
        <v>100</v>
      </c>
      <c r="G1" s="654" t="s">
        <v>101</v>
      </c>
      <c r="H1" s="614" t="s">
        <v>112</v>
      </c>
      <c r="I1" s="654" t="s">
        <v>2598</v>
      </c>
      <c r="J1" s="662"/>
      <c r="K1" s="662"/>
      <c r="L1" s="662"/>
      <c r="M1" s="662"/>
      <c r="N1" s="662"/>
      <c r="O1" s="623"/>
    </row>
    <row r="2" spans="1:15">
      <c r="A2" s="325" t="s">
        <v>5642</v>
      </c>
      <c r="B2" s="662" t="s">
        <v>124</v>
      </c>
      <c r="C2" s="622" t="s">
        <v>5643</v>
      </c>
      <c r="D2" s="622" t="s">
        <v>680</v>
      </c>
      <c r="E2" s="622" t="s">
        <v>954</v>
      </c>
      <c r="F2" s="622" t="s">
        <v>5644</v>
      </c>
      <c r="G2" s="622" t="s">
        <v>954</v>
      </c>
      <c r="H2" s="622" t="s">
        <v>954</v>
      </c>
      <c r="I2" s="622"/>
      <c r="J2" s="662"/>
      <c r="K2" s="662"/>
      <c r="L2" s="662"/>
      <c r="M2" s="662"/>
      <c r="N2" s="662"/>
      <c r="O2" s="655" t="s">
        <v>3648</v>
      </c>
    </row>
    <row r="3" spans="1:15">
      <c r="A3" s="325" t="s">
        <v>5642</v>
      </c>
      <c r="B3" s="662" t="s">
        <v>1189</v>
      </c>
      <c r="C3" s="662" t="s">
        <v>2618</v>
      </c>
      <c r="D3" s="622" t="s">
        <v>682</v>
      </c>
      <c r="E3" s="622" t="s">
        <v>954</v>
      </c>
      <c r="F3" s="622" t="s">
        <v>5644</v>
      </c>
      <c r="G3" s="622" t="s">
        <v>954</v>
      </c>
      <c r="H3" s="622" t="s">
        <v>954</v>
      </c>
      <c r="I3" s="623"/>
      <c r="J3" s="662"/>
      <c r="K3" s="662"/>
      <c r="L3" s="662"/>
      <c r="M3" s="662"/>
      <c r="N3" s="662"/>
      <c r="O3" s="622"/>
    </row>
    <row r="4" spans="1:15" ht="16">
      <c r="A4" s="325" t="s">
        <v>5642</v>
      </c>
      <c r="B4" s="624" t="s">
        <v>1191</v>
      </c>
      <c r="C4" s="624" t="s">
        <v>3666</v>
      </c>
      <c r="D4" s="622" t="s">
        <v>682</v>
      </c>
      <c r="E4" s="622" t="s">
        <v>954</v>
      </c>
      <c r="F4" s="622" t="s">
        <v>5644</v>
      </c>
      <c r="G4" s="622" t="s">
        <v>954</v>
      </c>
      <c r="H4" s="622" t="s">
        <v>954</v>
      </c>
      <c r="I4" s="325"/>
      <c r="J4" s="662"/>
      <c r="K4" s="662"/>
      <c r="L4" s="662"/>
      <c r="M4" s="662"/>
      <c r="N4" s="662"/>
      <c r="O4" s="622"/>
    </row>
    <row r="5" spans="1:15" ht="16">
      <c r="A5" s="325" t="s">
        <v>5642</v>
      </c>
      <c r="B5" s="624" t="s">
        <v>1192</v>
      </c>
      <c r="C5" s="662" t="s">
        <v>2613</v>
      </c>
      <c r="D5" s="622" t="s">
        <v>682</v>
      </c>
      <c r="E5" s="622" t="s">
        <v>954</v>
      </c>
      <c r="F5" s="622" t="s">
        <v>5644</v>
      </c>
      <c r="G5" s="622" t="s">
        <v>954</v>
      </c>
      <c r="H5" s="622" t="s">
        <v>954</v>
      </c>
      <c r="I5" s="622"/>
      <c r="J5" s="662"/>
      <c r="K5" s="662"/>
      <c r="L5" s="662"/>
      <c r="M5" s="662"/>
      <c r="N5" s="662"/>
      <c r="O5" s="622"/>
    </row>
    <row r="6" spans="1:15" ht="16">
      <c r="A6" s="325" t="s">
        <v>5642</v>
      </c>
      <c r="B6" s="624" t="s">
        <v>1193</v>
      </c>
      <c r="C6" s="662" t="s">
        <v>2623</v>
      </c>
      <c r="D6" s="622" t="s">
        <v>682</v>
      </c>
      <c r="E6" s="622" t="s">
        <v>954</v>
      </c>
      <c r="F6" s="622" t="s">
        <v>5644</v>
      </c>
      <c r="G6" s="622" t="s">
        <v>954</v>
      </c>
      <c r="H6" s="622" t="s">
        <v>954</v>
      </c>
      <c r="I6" s="662"/>
      <c r="J6" s="662"/>
      <c r="K6" s="662"/>
      <c r="L6" s="662"/>
      <c r="M6" s="662"/>
      <c r="N6" s="662"/>
      <c r="O6" s="622"/>
    </row>
    <row r="7" spans="1:15" ht="16">
      <c r="A7" s="325" t="s">
        <v>5642</v>
      </c>
      <c r="B7" s="662" t="s">
        <v>5645</v>
      </c>
      <c r="C7" s="624" t="s">
        <v>3666</v>
      </c>
      <c r="D7" s="622" t="s">
        <v>682</v>
      </c>
      <c r="E7" s="622" t="s">
        <v>954</v>
      </c>
      <c r="F7" s="622" t="s">
        <v>5644</v>
      </c>
      <c r="G7" s="622" t="s">
        <v>954</v>
      </c>
      <c r="H7" s="622" t="s">
        <v>954</v>
      </c>
      <c r="I7" s="622"/>
      <c r="J7" s="622"/>
      <c r="K7" s="622"/>
      <c r="L7" s="622"/>
      <c r="M7" s="622"/>
      <c r="N7" s="622"/>
      <c r="O7" s="622"/>
    </row>
    <row r="8" spans="1:15">
      <c r="A8" s="325" t="s">
        <v>5642</v>
      </c>
      <c r="B8" s="662" t="s">
        <v>1195</v>
      </c>
      <c r="C8" s="662" t="s">
        <v>2623</v>
      </c>
      <c r="D8" s="622" t="s">
        <v>682</v>
      </c>
      <c r="E8" s="622" t="s">
        <v>954</v>
      </c>
      <c r="F8" s="622" t="s">
        <v>5644</v>
      </c>
      <c r="G8" s="622" t="s">
        <v>954</v>
      </c>
      <c r="H8" s="622" t="s">
        <v>954</v>
      </c>
      <c r="I8" s="622"/>
      <c r="J8" s="622"/>
      <c r="K8" s="622"/>
      <c r="L8" s="622"/>
      <c r="M8" s="622"/>
      <c r="N8" s="622"/>
      <c r="O8" s="622"/>
    </row>
    <row r="9" spans="1:15">
      <c r="A9" s="325" t="s">
        <v>5642</v>
      </c>
      <c r="B9" s="662" t="s">
        <v>1196</v>
      </c>
      <c r="C9" s="622" t="s">
        <v>535</v>
      </c>
      <c r="D9" s="622" t="s">
        <v>680</v>
      </c>
      <c r="E9" s="622" t="s">
        <v>954</v>
      </c>
      <c r="F9" s="622" t="s">
        <v>5644</v>
      </c>
      <c r="G9" s="622" t="s">
        <v>954</v>
      </c>
      <c r="H9" s="622" t="s">
        <v>954</v>
      </c>
      <c r="I9" s="622"/>
      <c r="J9" s="622"/>
      <c r="K9" s="622"/>
      <c r="L9" s="622"/>
      <c r="M9" s="622"/>
      <c r="N9" s="622"/>
      <c r="O9" s="622"/>
    </row>
    <row r="10" spans="1:15">
      <c r="A10" s="325" t="s">
        <v>5642</v>
      </c>
      <c r="B10" s="662" t="s">
        <v>1406</v>
      </c>
      <c r="C10" s="622" t="s">
        <v>535</v>
      </c>
      <c r="D10" s="622" t="s">
        <v>680</v>
      </c>
      <c r="E10" s="622" t="s">
        <v>954</v>
      </c>
      <c r="F10" s="622" t="s">
        <v>5644</v>
      </c>
      <c r="G10" s="622" t="s">
        <v>954</v>
      </c>
      <c r="H10" s="622" t="s">
        <v>954</v>
      </c>
      <c r="I10" s="622" t="s">
        <v>5676</v>
      </c>
      <c r="J10" s="622"/>
      <c r="K10" s="622"/>
      <c r="L10" s="622"/>
      <c r="M10" s="622"/>
      <c r="N10" s="622"/>
      <c r="O10" s="622"/>
    </row>
    <row r="11" spans="1:15" ht="37.5">
      <c r="A11" s="325" t="s">
        <v>5642</v>
      </c>
      <c r="B11" s="662" t="s">
        <v>5677</v>
      </c>
      <c r="C11" s="622" t="s">
        <v>535</v>
      </c>
      <c r="D11" s="622" t="s">
        <v>682</v>
      </c>
      <c r="E11" s="622" t="s">
        <v>5678</v>
      </c>
      <c r="F11" s="622" t="s">
        <v>5644</v>
      </c>
      <c r="G11" s="622" t="s">
        <v>954</v>
      </c>
      <c r="H11" s="622" t="s">
        <v>954</v>
      </c>
      <c r="I11" s="622" t="s">
        <v>5679</v>
      </c>
      <c r="J11" s="622"/>
      <c r="K11" s="622"/>
      <c r="L11" s="622"/>
      <c r="M11" s="622"/>
      <c r="N11" s="622"/>
      <c r="O11" s="622"/>
    </row>
    <row r="12" spans="1:15" ht="32">
      <c r="A12" s="325" t="s">
        <v>224</v>
      </c>
      <c r="B12" s="667" t="s">
        <v>5680</v>
      </c>
      <c r="C12" s="662" t="s">
        <v>5681</v>
      </c>
      <c r="D12" s="622" t="s">
        <v>680</v>
      </c>
      <c r="E12" s="624" t="s">
        <v>5682</v>
      </c>
      <c r="F12" s="622" t="s">
        <v>5644</v>
      </c>
      <c r="G12" s="662" t="s">
        <v>954</v>
      </c>
      <c r="H12" s="662" t="s">
        <v>954</v>
      </c>
      <c r="I12" s="622" t="s">
        <v>5683</v>
      </c>
      <c r="J12" s="623"/>
      <c r="K12" s="623"/>
      <c r="L12" s="623"/>
      <c r="M12" s="623"/>
      <c r="N12" s="623"/>
      <c r="O12" s="623"/>
    </row>
    <row r="13" spans="1:15" ht="25">
      <c r="A13" s="325" t="s">
        <v>224</v>
      </c>
      <c r="B13" s="667" t="s">
        <v>3281</v>
      </c>
      <c r="C13" s="622" t="s">
        <v>5643</v>
      </c>
      <c r="D13" s="622" t="s">
        <v>680</v>
      </c>
      <c r="E13" s="622" t="s">
        <v>5684</v>
      </c>
      <c r="F13" s="622" t="s">
        <v>5644</v>
      </c>
      <c r="G13" s="622" t="s">
        <v>118</v>
      </c>
      <c r="H13" s="622">
        <v>9555532</v>
      </c>
      <c r="I13" s="622" t="s">
        <v>5685</v>
      </c>
      <c r="J13" s="623"/>
      <c r="K13" s="623"/>
      <c r="L13" s="623"/>
      <c r="M13" s="623"/>
      <c r="N13" s="623"/>
      <c r="O13" s="623"/>
    </row>
    <row r="14" spans="1:15" ht="39">
      <c r="A14" s="325" t="s">
        <v>224</v>
      </c>
      <c r="B14" s="662" t="s">
        <v>123</v>
      </c>
      <c r="C14" s="622" t="s">
        <v>535</v>
      </c>
      <c r="D14" s="622" t="s">
        <v>682</v>
      </c>
      <c r="E14" s="622" t="s">
        <v>5648</v>
      </c>
      <c r="F14" s="622" t="s">
        <v>5644</v>
      </c>
      <c r="G14" s="624" t="s">
        <v>954</v>
      </c>
      <c r="H14" s="662" t="s">
        <v>954</v>
      </c>
      <c r="I14" s="622" t="s">
        <v>5649</v>
      </c>
      <c r="J14" s="623"/>
      <c r="K14" s="623"/>
      <c r="L14" s="623"/>
      <c r="M14" s="623"/>
      <c r="N14" s="623"/>
      <c r="O14" s="623"/>
    </row>
    <row r="15" spans="1:15" ht="25">
      <c r="A15" s="325" t="s">
        <v>224</v>
      </c>
      <c r="B15" s="662" t="s">
        <v>5100</v>
      </c>
      <c r="C15" s="622" t="s">
        <v>535</v>
      </c>
      <c r="D15" s="622" t="s">
        <v>680</v>
      </c>
      <c r="E15" s="662" t="s">
        <v>5659</v>
      </c>
      <c r="F15" s="622" t="s">
        <v>5644</v>
      </c>
      <c r="G15" s="662" t="s">
        <v>968</v>
      </c>
      <c r="H15" s="662" t="s">
        <v>5660</v>
      </c>
      <c r="I15" s="622" t="s">
        <v>5686</v>
      </c>
      <c r="J15" s="662"/>
      <c r="K15" s="662"/>
      <c r="L15" s="662"/>
      <c r="M15" s="662"/>
      <c r="N15" s="662"/>
      <c r="O15" s="662"/>
    </row>
    <row r="16" spans="1:15" ht="37.5">
      <c r="A16" s="325" t="s">
        <v>224</v>
      </c>
      <c r="B16" s="667" t="s">
        <v>5687</v>
      </c>
      <c r="C16" s="622" t="s">
        <v>5643</v>
      </c>
      <c r="D16" s="622" t="s">
        <v>680</v>
      </c>
      <c r="E16" s="662" t="s">
        <v>5688</v>
      </c>
      <c r="F16" s="622" t="s">
        <v>5644</v>
      </c>
      <c r="G16" s="662" t="s">
        <v>954</v>
      </c>
      <c r="H16" s="662" t="s">
        <v>954</v>
      </c>
      <c r="I16" s="662" t="s">
        <v>5689</v>
      </c>
      <c r="J16" s="662"/>
      <c r="K16" s="662"/>
      <c r="L16" s="662"/>
      <c r="M16" s="662"/>
      <c r="N16" s="662"/>
      <c r="O16" s="662"/>
    </row>
    <row r="17" spans="1:15" ht="25">
      <c r="A17" s="671" t="s">
        <v>5623</v>
      </c>
      <c r="B17" s="672" t="s">
        <v>1290</v>
      </c>
      <c r="C17" s="672" t="s">
        <v>5666</v>
      </c>
      <c r="D17" s="672" t="s">
        <v>682</v>
      </c>
      <c r="E17" s="656" t="s">
        <v>5671</v>
      </c>
      <c r="F17" s="656" t="s">
        <v>5644</v>
      </c>
      <c r="G17" s="672" t="s">
        <v>1290</v>
      </c>
      <c r="H17" s="672" t="s">
        <v>5672</v>
      </c>
      <c r="I17" s="672" t="s">
        <v>1154</v>
      </c>
      <c r="J17" s="656" t="s">
        <v>3648</v>
      </c>
      <c r="K17" s="672" t="s">
        <v>3648</v>
      </c>
      <c r="L17" s="672" t="s">
        <v>3648</v>
      </c>
      <c r="M17" s="672" t="s">
        <v>3648</v>
      </c>
      <c r="N17" s="672" t="s">
        <v>3648</v>
      </c>
      <c r="O17" s="672" t="s">
        <v>3648</v>
      </c>
    </row>
    <row r="18" spans="1:15">
      <c r="A18" s="325"/>
      <c r="B18" s="662"/>
      <c r="C18" s="662"/>
      <c r="D18" s="622"/>
      <c r="E18" s="662"/>
      <c r="F18" s="622"/>
      <c r="G18" s="662"/>
      <c r="H18" s="662"/>
      <c r="I18" s="662"/>
      <c r="J18" s="662"/>
      <c r="K18" s="662"/>
      <c r="L18" s="662"/>
      <c r="M18" s="662"/>
      <c r="N18" s="662"/>
      <c r="O18" s="662"/>
    </row>
    <row r="19" spans="1:15">
      <c r="A19" s="623"/>
      <c r="B19" s="662"/>
      <c r="C19" s="662"/>
      <c r="D19" s="662"/>
      <c r="E19" s="662"/>
      <c r="F19" s="662"/>
      <c r="G19" s="662"/>
      <c r="H19" s="662"/>
      <c r="I19" s="662"/>
      <c r="J19" s="662"/>
      <c r="K19" s="662"/>
      <c r="L19" s="662"/>
      <c r="M19" s="662"/>
      <c r="N19" s="662"/>
      <c r="O19" s="662"/>
    </row>
    <row r="20" spans="1:15">
      <c r="A20" s="623"/>
      <c r="B20" s="662"/>
      <c r="C20" s="662"/>
      <c r="D20" s="662"/>
      <c r="E20" s="662"/>
      <c r="F20" s="662"/>
      <c r="G20" s="662"/>
      <c r="H20" s="662"/>
      <c r="I20" s="662"/>
      <c r="J20" s="662"/>
      <c r="K20" s="662"/>
      <c r="L20" s="662"/>
      <c r="M20" s="662"/>
      <c r="N20" s="662"/>
      <c r="O20" s="662"/>
    </row>
    <row r="21" spans="1:15">
      <c r="A21" s="623"/>
      <c r="B21" s="662"/>
      <c r="C21" s="662"/>
      <c r="D21" s="662"/>
      <c r="E21" s="662"/>
      <c r="F21" s="662"/>
      <c r="G21" s="662"/>
      <c r="H21" s="662"/>
      <c r="I21" s="662"/>
      <c r="J21" s="662"/>
      <c r="K21" s="662"/>
      <c r="L21" s="662"/>
      <c r="M21" s="662"/>
      <c r="N21" s="662"/>
      <c r="O21" s="662"/>
    </row>
    <row r="22" spans="1:15">
      <c r="A22" s="662"/>
      <c r="B22" s="662"/>
      <c r="C22" s="662"/>
      <c r="D22" s="662"/>
      <c r="E22" s="662"/>
      <c r="F22" s="662"/>
      <c r="G22" s="662"/>
      <c r="H22" s="662"/>
      <c r="I22" s="662"/>
      <c r="J22" s="662"/>
      <c r="K22" s="662"/>
      <c r="L22" s="662"/>
      <c r="M22" s="662"/>
      <c r="N22" s="662"/>
      <c r="O22" s="662"/>
    </row>
    <row r="23" spans="1:15">
      <c r="A23" s="662"/>
      <c r="B23" s="662"/>
      <c r="C23" s="662"/>
      <c r="D23" s="662"/>
      <c r="E23" s="662"/>
      <c r="F23" s="662"/>
      <c r="G23" s="662"/>
      <c r="H23" s="662"/>
      <c r="I23" s="662"/>
      <c r="J23" s="662"/>
      <c r="K23" s="662"/>
      <c r="L23" s="662"/>
      <c r="M23" s="662"/>
      <c r="N23" s="662"/>
      <c r="O23" s="662"/>
    </row>
    <row r="24" spans="1:15">
      <c r="A24" s="662"/>
      <c r="B24" s="662"/>
      <c r="C24" s="662"/>
      <c r="D24" s="662"/>
      <c r="E24" s="662"/>
      <c r="F24" s="662"/>
      <c r="G24" s="662"/>
      <c r="H24" s="662"/>
      <c r="I24" s="662"/>
      <c r="J24" s="662"/>
      <c r="K24" s="662"/>
      <c r="L24" s="662"/>
      <c r="M24" s="662"/>
      <c r="N24" s="662"/>
      <c r="O24" s="662"/>
    </row>
    <row r="25" spans="1:15">
      <c r="A25" s="662"/>
      <c r="B25" s="662"/>
      <c r="C25" s="662"/>
      <c r="D25" s="662"/>
      <c r="E25" s="662"/>
      <c r="F25" s="662"/>
      <c r="G25" s="662"/>
      <c r="H25" s="662"/>
      <c r="I25" s="662"/>
      <c r="J25" s="662"/>
      <c r="K25" s="662"/>
      <c r="L25" s="662"/>
      <c r="M25" s="662"/>
      <c r="N25" s="662"/>
      <c r="O25" s="662"/>
    </row>
    <row r="26" spans="1:15">
      <c r="A26" s="662"/>
      <c r="B26" s="662"/>
      <c r="C26" s="662"/>
      <c r="D26" s="662"/>
      <c r="E26" s="662"/>
      <c r="F26" s="662"/>
      <c r="G26" s="662"/>
      <c r="H26" s="662"/>
      <c r="I26" s="662"/>
      <c r="J26" s="662"/>
      <c r="K26" s="662"/>
      <c r="L26" s="662"/>
      <c r="M26" s="662"/>
      <c r="N26" s="662"/>
      <c r="O26" s="662"/>
    </row>
    <row r="27" spans="1:15">
      <c r="A27" s="662"/>
      <c r="B27" s="662"/>
      <c r="C27" s="662"/>
      <c r="D27" s="662"/>
      <c r="E27" s="662"/>
      <c r="F27" s="662"/>
      <c r="G27" s="662"/>
      <c r="H27" s="662"/>
      <c r="I27" s="662"/>
      <c r="J27" s="662"/>
      <c r="K27" s="662"/>
      <c r="L27" s="662"/>
      <c r="M27" s="662"/>
      <c r="N27" s="662"/>
      <c r="O27" s="662"/>
    </row>
    <row r="28" spans="1:15">
      <c r="A28" s="662"/>
      <c r="B28" s="662"/>
      <c r="C28" s="662"/>
      <c r="D28" s="662"/>
      <c r="E28" s="662"/>
      <c r="F28" s="662"/>
      <c r="G28" s="662"/>
      <c r="H28" s="662"/>
      <c r="I28" s="662"/>
      <c r="J28" s="662"/>
      <c r="K28" s="662"/>
      <c r="L28" s="662"/>
      <c r="M28" s="662"/>
      <c r="N28" s="662"/>
      <c r="O28" s="662"/>
    </row>
    <row r="29" spans="1:15">
      <c r="A29" s="662"/>
      <c r="B29" s="662"/>
      <c r="C29" s="662"/>
      <c r="D29" s="662"/>
      <c r="E29" s="662"/>
      <c r="F29" s="662"/>
      <c r="G29" s="662"/>
      <c r="H29" s="662"/>
      <c r="I29" s="662"/>
      <c r="J29" s="662"/>
      <c r="K29" s="662"/>
      <c r="L29" s="662"/>
      <c r="M29" s="662"/>
      <c r="N29" s="662"/>
      <c r="O29" s="662"/>
    </row>
    <row r="30" spans="1:15">
      <c r="A30" s="662"/>
      <c r="B30" s="662"/>
      <c r="C30" s="662"/>
      <c r="D30" s="662"/>
      <c r="E30" s="662"/>
      <c r="F30" s="662"/>
      <c r="G30" s="662"/>
      <c r="H30" s="662"/>
      <c r="I30" s="662"/>
      <c r="J30" s="662"/>
      <c r="K30" s="662"/>
      <c r="L30" s="662"/>
      <c r="M30" s="662"/>
      <c r="N30" s="662"/>
      <c r="O30" s="662"/>
    </row>
    <row r="31" spans="1:15">
      <c r="A31" s="662"/>
      <c r="B31" s="662"/>
      <c r="C31" s="662"/>
      <c r="D31" s="662"/>
      <c r="E31" s="662"/>
      <c r="F31" s="662"/>
      <c r="G31" s="662"/>
      <c r="H31" s="662"/>
      <c r="I31" s="662"/>
      <c r="J31" s="662"/>
      <c r="K31" s="662"/>
      <c r="L31" s="662"/>
      <c r="M31" s="662"/>
      <c r="N31" s="662"/>
      <c r="O31" s="662"/>
    </row>
    <row r="32" spans="1:15">
      <c r="A32" s="662"/>
      <c r="B32" s="662"/>
      <c r="C32" s="662"/>
      <c r="D32" s="662"/>
      <c r="E32" s="662"/>
      <c r="F32" s="662"/>
      <c r="G32" s="662"/>
      <c r="H32" s="662"/>
      <c r="I32" s="662"/>
      <c r="J32" s="662"/>
      <c r="K32" s="662"/>
      <c r="L32" s="662"/>
      <c r="M32" s="662"/>
      <c r="N32" s="662"/>
      <c r="O32" s="662"/>
    </row>
    <row r="33" spans="1:15">
      <c r="A33" s="662"/>
      <c r="B33" s="662"/>
      <c r="C33" s="662"/>
      <c r="D33" s="662"/>
      <c r="E33" s="662"/>
      <c r="F33" s="662"/>
      <c r="G33" s="662"/>
      <c r="H33" s="662"/>
      <c r="I33" s="662"/>
      <c r="J33" s="662"/>
      <c r="K33" s="662"/>
      <c r="L33" s="662"/>
      <c r="M33" s="662"/>
      <c r="N33" s="662"/>
      <c r="O33" s="662"/>
    </row>
    <row r="34" spans="1:15">
      <c r="A34" s="662"/>
      <c r="B34" s="662"/>
      <c r="C34" s="662"/>
      <c r="D34" s="662"/>
      <c r="E34" s="662"/>
      <c r="F34" s="662"/>
      <c r="G34" s="662"/>
      <c r="H34" s="662"/>
      <c r="I34" s="662"/>
      <c r="J34" s="662"/>
      <c r="K34" s="662"/>
      <c r="L34" s="662"/>
      <c r="M34" s="662"/>
      <c r="N34" s="662"/>
      <c r="O34" s="662"/>
    </row>
    <row r="35" spans="1:15">
      <c r="A35" s="662"/>
      <c r="B35" s="662"/>
      <c r="C35" s="662"/>
      <c r="D35" s="662"/>
      <c r="E35" s="662"/>
      <c r="F35" s="662"/>
      <c r="G35" s="662"/>
      <c r="H35" s="662"/>
      <c r="I35" s="662"/>
      <c r="J35" s="662"/>
      <c r="K35" s="662"/>
      <c r="L35" s="662"/>
      <c r="M35" s="662"/>
      <c r="N35" s="662"/>
      <c r="O35" s="662"/>
    </row>
    <row r="36" spans="1:15">
      <c r="A36" s="662"/>
      <c r="B36" s="662"/>
      <c r="C36" s="662"/>
      <c r="D36" s="662"/>
      <c r="E36" s="662"/>
      <c r="F36" s="662"/>
      <c r="G36" s="662"/>
      <c r="H36" s="662"/>
      <c r="I36" s="662"/>
      <c r="J36" s="662"/>
      <c r="K36" s="662"/>
      <c r="L36" s="662"/>
      <c r="M36" s="662"/>
      <c r="N36" s="662"/>
      <c r="O36" s="662"/>
    </row>
    <row r="37" spans="1:15">
      <c r="A37" s="662"/>
      <c r="B37" s="662"/>
      <c r="C37" s="662"/>
      <c r="D37" s="662"/>
      <c r="E37" s="662"/>
      <c r="F37" s="662"/>
      <c r="G37" s="662"/>
      <c r="H37" s="662"/>
      <c r="I37" s="662"/>
      <c r="J37" s="662"/>
      <c r="K37" s="662"/>
      <c r="L37" s="662"/>
      <c r="M37" s="662"/>
      <c r="N37" s="662"/>
      <c r="O37" s="662"/>
    </row>
    <row r="38" spans="1:15">
      <c r="A38" s="662"/>
      <c r="B38" s="662"/>
      <c r="C38" s="662"/>
      <c r="D38" s="662"/>
      <c r="E38" s="662"/>
      <c r="F38" s="662"/>
      <c r="G38" s="662"/>
      <c r="H38" s="662"/>
      <c r="I38" s="662"/>
      <c r="J38" s="662"/>
      <c r="K38" s="662"/>
      <c r="L38" s="662"/>
      <c r="M38" s="662"/>
      <c r="N38" s="662"/>
      <c r="O38" s="662"/>
    </row>
    <row r="39" spans="1:15">
      <c r="A39" s="662"/>
      <c r="B39" s="662"/>
      <c r="C39" s="662"/>
      <c r="D39" s="662"/>
      <c r="E39" s="662"/>
      <c r="F39" s="662"/>
      <c r="G39" s="662"/>
      <c r="H39" s="662"/>
      <c r="I39" s="662"/>
      <c r="J39" s="662"/>
      <c r="K39" s="662"/>
      <c r="L39" s="662"/>
      <c r="M39" s="662"/>
      <c r="N39" s="662"/>
      <c r="O39" s="662"/>
    </row>
    <row r="40" spans="1:15">
      <c r="A40" s="662"/>
      <c r="B40" s="662"/>
      <c r="C40" s="662"/>
      <c r="D40" s="662"/>
      <c r="E40" s="662"/>
      <c r="F40" s="662"/>
      <c r="G40" s="662"/>
      <c r="H40" s="662"/>
      <c r="I40" s="662"/>
      <c r="J40" s="662"/>
      <c r="K40" s="662"/>
      <c r="L40" s="662"/>
      <c r="M40" s="662"/>
      <c r="N40" s="662"/>
      <c r="O40" s="662"/>
    </row>
    <row r="41" spans="1:15">
      <c r="A41" s="662"/>
      <c r="B41" s="662"/>
      <c r="C41" s="662"/>
      <c r="D41" s="662"/>
      <c r="E41" s="662"/>
      <c r="F41" s="662"/>
      <c r="G41" s="662"/>
      <c r="H41" s="662"/>
      <c r="I41" s="662"/>
      <c r="J41" s="662"/>
      <c r="K41" s="662"/>
      <c r="L41" s="662"/>
      <c r="M41" s="662"/>
      <c r="N41" s="662"/>
      <c r="O41" s="662"/>
    </row>
    <row r="42" spans="1:15">
      <c r="A42" s="662"/>
      <c r="B42" s="662"/>
      <c r="C42" s="662"/>
      <c r="D42" s="662"/>
      <c r="E42" s="662"/>
      <c r="F42" s="662"/>
      <c r="G42" s="662"/>
      <c r="H42" s="662"/>
      <c r="I42" s="662"/>
      <c r="J42" s="662"/>
      <c r="K42" s="662"/>
      <c r="L42" s="662"/>
      <c r="M42" s="662"/>
      <c r="N42" s="662"/>
      <c r="O42" s="662"/>
    </row>
    <row r="43" spans="1:15">
      <c r="A43" s="662"/>
      <c r="B43" s="662"/>
      <c r="C43" s="662"/>
      <c r="D43" s="662"/>
      <c r="E43" s="662"/>
      <c r="F43" s="662"/>
      <c r="G43" s="662"/>
      <c r="H43" s="662"/>
      <c r="I43" s="662"/>
      <c r="J43" s="662"/>
      <c r="K43" s="662"/>
      <c r="L43" s="662"/>
      <c r="M43" s="662"/>
      <c r="N43" s="662"/>
      <c r="O43" s="662"/>
    </row>
    <row r="44" spans="1:15">
      <c r="A44" s="662"/>
      <c r="B44" s="662"/>
      <c r="C44" s="662"/>
      <c r="D44" s="662"/>
      <c r="E44" s="662"/>
      <c r="F44" s="662"/>
      <c r="G44" s="662"/>
      <c r="H44" s="662"/>
      <c r="I44" s="662"/>
      <c r="J44" s="662"/>
      <c r="K44" s="662"/>
      <c r="L44" s="662"/>
      <c r="M44" s="662"/>
      <c r="N44" s="662"/>
      <c r="O44" s="662"/>
    </row>
    <row r="45" spans="1:15">
      <c r="A45" s="662"/>
      <c r="B45" s="662"/>
      <c r="C45" s="662"/>
      <c r="D45" s="662"/>
      <c r="E45" s="662"/>
      <c r="F45" s="662"/>
      <c r="G45" s="662"/>
      <c r="H45" s="662"/>
      <c r="I45" s="662"/>
      <c r="J45" s="662"/>
      <c r="K45" s="662"/>
      <c r="L45" s="662"/>
      <c r="M45" s="662"/>
      <c r="N45" s="662"/>
      <c r="O45" s="662"/>
    </row>
    <row r="46" spans="1:15">
      <c r="A46" s="662"/>
      <c r="B46" s="662"/>
      <c r="C46" s="662"/>
      <c r="D46" s="662"/>
      <c r="E46" s="662"/>
      <c r="F46" s="662"/>
      <c r="G46" s="662"/>
      <c r="H46" s="662"/>
      <c r="I46" s="662"/>
      <c r="J46" s="662"/>
      <c r="K46" s="662"/>
      <c r="L46" s="662"/>
      <c r="M46" s="662"/>
      <c r="N46" s="662"/>
      <c r="O46" s="662"/>
    </row>
    <row r="47" spans="1:15">
      <c r="A47" s="662"/>
      <c r="B47" s="662"/>
      <c r="C47" s="662"/>
      <c r="D47" s="662"/>
      <c r="E47" s="662"/>
      <c r="F47" s="662"/>
      <c r="G47" s="662"/>
      <c r="H47" s="662"/>
      <c r="I47" s="662"/>
      <c r="J47" s="662"/>
      <c r="K47" s="662"/>
      <c r="L47" s="662"/>
      <c r="M47" s="662"/>
      <c r="N47" s="662"/>
      <c r="O47" s="662"/>
    </row>
    <row r="48" spans="1:15">
      <c r="A48" s="662"/>
      <c r="B48" s="662"/>
      <c r="C48" s="662"/>
      <c r="D48" s="662"/>
      <c r="E48" s="662"/>
      <c r="F48" s="662"/>
      <c r="G48" s="662"/>
      <c r="H48" s="662"/>
      <c r="I48" s="662"/>
      <c r="J48" s="662"/>
      <c r="K48" s="662"/>
      <c r="L48" s="662"/>
      <c r="M48" s="662"/>
      <c r="N48" s="662"/>
      <c r="O48" s="662"/>
    </row>
    <row r="49" spans="1:15">
      <c r="A49" s="662"/>
      <c r="B49" s="662"/>
      <c r="C49" s="662"/>
      <c r="D49" s="662"/>
      <c r="E49" s="662"/>
      <c r="F49" s="662"/>
      <c r="G49" s="662"/>
      <c r="H49" s="662"/>
      <c r="I49" s="662"/>
      <c r="J49" s="662"/>
      <c r="K49" s="662"/>
      <c r="L49" s="662"/>
      <c r="M49" s="662"/>
      <c r="N49" s="662"/>
      <c r="O49" s="662"/>
    </row>
    <row r="50" spans="1:15">
      <c r="A50" s="662"/>
      <c r="B50" s="662"/>
      <c r="C50" s="662"/>
      <c r="D50" s="662"/>
      <c r="E50" s="662"/>
      <c r="F50" s="662"/>
      <c r="G50" s="662"/>
      <c r="H50" s="662"/>
      <c r="I50" s="662"/>
      <c r="J50" s="662"/>
      <c r="K50" s="662"/>
      <c r="L50" s="662"/>
      <c r="M50" s="662"/>
      <c r="N50" s="662"/>
      <c r="O50" s="662"/>
    </row>
    <row r="51" spans="1:15">
      <c r="A51" s="662"/>
      <c r="B51" s="662"/>
      <c r="C51" s="662"/>
      <c r="D51" s="662"/>
      <c r="E51" s="662"/>
      <c r="F51" s="662"/>
      <c r="G51" s="662"/>
      <c r="H51" s="662"/>
      <c r="I51" s="662"/>
      <c r="J51" s="662"/>
      <c r="K51" s="662"/>
      <c r="L51" s="662"/>
      <c r="M51" s="662"/>
      <c r="N51" s="662"/>
      <c r="O51" s="662"/>
    </row>
    <row r="52" spans="1:15">
      <c r="A52" s="662"/>
      <c r="B52" s="662"/>
      <c r="C52" s="662"/>
      <c r="D52" s="662"/>
      <c r="E52" s="662"/>
      <c r="F52" s="662"/>
      <c r="G52" s="662"/>
      <c r="H52" s="662"/>
      <c r="I52" s="662"/>
      <c r="J52" s="662"/>
      <c r="K52" s="662"/>
      <c r="L52" s="662"/>
      <c r="M52" s="662"/>
      <c r="N52" s="662"/>
      <c r="O52" s="662"/>
    </row>
    <row r="53" spans="1:15">
      <c r="A53" s="662"/>
      <c r="B53" s="662"/>
      <c r="C53" s="662"/>
      <c r="D53" s="662"/>
      <c r="E53" s="662"/>
      <c r="F53" s="662"/>
      <c r="G53" s="662"/>
      <c r="H53" s="662"/>
      <c r="I53" s="662"/>
      <c r="J53" s="662"/>
      <c r="K53" s="662"/>
      <c r="L53" s="662"/>
      <c r="M53" s="662"/>
      <c r="N53" s="662"/>
      <c r="O53" s="662"/>
    </row>
    <row r="54" spans="1:15">
      <c r="A54" s="662"/>
      <c r="B54" s="662"/>
      <c r="C54" s="662"/>
      <c r="D54" s="662"/>
      <c r="E54" s="662"/>
      <c r="F54" s="662"/>
      <c r="G54" s="662"/>
      <c r="H54" s="662"/>
      <c r="I54" s="662"/>
      <c r="J54" s="662"/>
      <c r="K54" s="662"/>
      <c r="L54" s="662"/>
      <c r="M54" s="662"/>
      <c r="N54" s="662"/>
      <c r="O54" s="662"/>
    </row>
    <row r="55" spans="1:15">
      <c r="A55" s="662"/>
      <c r="B55" s="662"/>
      <c r="C55" s="662"/>
      <c r="D55" s="662"/>
      <c r="E55" s="662"/>
      <c r="F55" s="662"/>
      <c r="G55" s="662"/>
      <c r="H55" s="662"/>
      <c r="I55" s="662"/>
      <c r="J55" s="662"/>
      <c r="K55" s="662"/>
      <c r="L55" s="662"/>
      <c r="M55" s="662"/>
      <c r="N55" s="662"/>
      <c r="O55" s="662"/>
    </row>
    <row r="56" spans="1:15">
      <c r="A56" s="662"/>
      <c r="B56" s="662"/>
      <c r="C56" s="662"/>
      <c r="D56" s="662"/>
      <c r="E56" s="662"/>
      <c r="F56" s="662"/>
      <c r="G56" s="662"/>
      <c r="H56" s="662"/>
      <c r="I56" s="662"/>
      <c r="J56" s="662"/>
      <c r="K56" s="662"/>
      <c r="L56" s="662"/>
      <c r="M56" s="662"/>
      <c r="N56" s="662"/>
      <c r="O56" s="662"/>
    </row>
    <row r="57" spans="1:15">
      <c r="A57" s="662"/>
      <c r="B57" s="662"/>
      <c r="C57" s="662"/>
      <c r="D57" s="662"/>
      <c r="E57" s="662"/>
      <c r="F57" s="662"/>
      <c r="G57" s="662"/>
      <c r="H57" s="662"/>
      <c r="I57" s="662"/>
      <c r="J57" s="662"/>
      <c r="K57" s="662"/>
      <c r="L57" s="662"/>
      <c r="M57" s="662"/>
      <c r="N57" s="662"/>
      <c r="O57" s="662"/>
    </row>
    <row r="58" spans="1:15">
      <c r="A58" s="662"/>
      <c r="B58" s="662"/>
      <c r="C58" s="662"/>
      <c r="D58" s="662"/>
      <c r="E58" s="662"/>
      <c r="F58" s="662"/>
      <c r="G58" s="662"/>
      <c r="H58" s="662"/>
      <c r="I58" s="662"/>
      <c r="J58" s="662"/>
      <c r="K58" s="662"/>
      <c r="L58" s="662"/>
      <c r="M58" s="662"/>
      <c r="N58" s="662"/>
      <c r="O58" s="662"/>
    </row>
    <row r="59" spans="1:15">
      <c r="A59" s="662"/>
      <c r="B59" s="662"/>
      <c r="C59" s="662"/>
      <c r="D59" s="662"/>
      <c r="E59" s="662"/>
      <c r="F59" s="662"/>
      <c r="G59" s="662"/>
      <c r="H59" s="662"/>
      <c r="I59" s="662"/>
      <c r="J59" s="662"/>
      <c r="K59" s="662"/>
      <c r="L59" s="662"/>
      <c r="M59" s="662"/>
      <c r="N59" s="662"/>
      <c r="O59" s="662"/>
    </row>
    <row r="60" spans="1:15">
      <c r="A60" s="662"/>
      <c r="B60" s="662"/>
      <c r="C60" s="662"/>
      <c r="D60" s="662"/>
      <c r="E60" s="662"/>
      <c r="F60" s="662"/>
      <c r="G60" s="662"/>
      <c r="H60" s="662"/>
      <c r="I60" s="662"/>
      <c r="J60" s="662"/>
      <c r="K60" s="662"/>
      <c r="L60" s="662"/>
      <c r="M60" s="662"/>
      <c r="N60" s="662"/>
      <c r="O60" s="662"/>
    </row>
    <row r="61" spans="1:15">
      <c r="A61" s="662"/>
      <c r="B61" s="662"/>
      <c r="C61" s="662"/>
      <c r="D61" s="662"/>
      <c r="E61" s="662"/>
      <c r="F61" s="662"/>
      <c r="G61" s="662"/>
      <c r="H61" s="662"/>
      <c r="I61" s="662"/>
      <c r="J61" s="662"/>
      <c r="K61" s="662"/>
      <c r="L61" s="662"/>
      <c r="M61" s="662"/>
      <c r="N61" s="662"/>
      <c r="O61" s="662"/>
    </row>
    <row r="62" spans="1:15">
      <c r="A62" s="662"/>
      <c r="B62" s="662"/>
      <c r="C62" s="662"/>
      <c r="D62" s="662"/>
      <c r="E62" s="662"/>
      <c r="F62" s="662"/>
      <c r="G62" s="662"/>
      <c r="H62" s="662"/>
      <c r="I62" s="662"/>
      <c r="J62" s="662"/>
      <c r="K62" s="662"/>
      <c r="L62" s="662"/>
      <c r="M62" s="662"/>
      <c r="N62" s="662"/>
      <c r="O62" s="662"/>
    </row>
    <row r="63" spans="1:15">
      <c r="A63" s="662"/>
      <c r="B63" s="662"/>
      <c r="C63" s="662"/>
      <c r="D63" s="662"/>
      <c r="E63" s="662"/>
      <c r="F63" s="662"/>
      <c r="G63" s="662"/>
      <c r="H63" s="662"/>
      <c r="I63" s="662"/>
      <c r="J63" s="662"/>
      <c r="K63" s="662"/>
      <c r="L63" s="662"/>
      <c r="M63" s="662"/>
      <c r="N63" s="662"/>
      <c r="O63" s="662"/>
    </row>
    <row r="64" spans="1:15">
      <c r="A64" s="662"/>
      <c r="B64" s="662"/>
      <c r="C64" s="662"/>
      <c r="D64" s="662"/>
      <c r="E64" s="662"/>
      <c r="F64" s="662"/>
      <c r="G64" s="662"/>
      <c r="H64" s="662"/>
      <c r="I64" s="662"/>
      <c r="J64" s="662"/>
      <c r="K64" s="662"/>
      <c r="L64" s="662"/>
      <c r="M64" s="662"/>
      <c r="N64" s="662"/>
      <c r="O64" s="662"/>
    </row>
    <row r="65" spans="1:15">
      <c r="A65" s="662"/>
      <c r="B65" s="662"/>
      <c r="C65" s="662"/>
      <c r="D65" s="662"/>
      <c r="E65" s="662"/>
      <c r="F65" s="662"/>
      <c r="G65" s="662"/>
      <c r="H65" s="662"/>
      <c r="I65" s="662"/>
      <c r="J65" s="662"/>
      <c r="K65" s="662"/>
      <c r="L65" s="662"/>
      <c r="M65" s="662"/>
      <c r="N65" s="662"/>
      <c r="O65" s="662"/>
    </row>
    <row r="66" spans="1:15">
      <c r="A66" s="662"/>
      <c r="B66" s="662"/>
      <c r="C66" s="662"/>
      <c r="D66" s="662"/>
      <c r="E66" s="662"/>
      <c r="F66" s="662"/>
      <c r="G66" s="662"/>
      <c r="H66" s="662"/>
      <c r="I66" s="662"/>
      <c r="J66" s="662"/>
      <c r="K66" s="662"/>
      <c r="L66" s="662"/>
      <c r="M66" s="662"/>
      <c r="N66" s="662"/>
      <c r="O66" s="662"/>
    </row>
    <row r="67" spans="1:15">
      <c r="A67" s="662"/>
      <c r="B67" s="662"/>
      <c r="C67" s="662"/>
      <c r="D67" s="662"/>
      <c r="E67" s="662"/>
      <c r="F67" s="662"/>
      <c r="G67" s="662"/>
      <c r="H67" s="662"/>
      <c r="I67" s="662"/>
      <c r="J67" s="662"/>
      <c r="K67" s="662"/>
      <c r="L67" s="662"/>
      <c r="M67" s="662"/>
      <c r="N67" s="662"/>
      <c r="O67" s="662"/>
    </row>
    <row r="68" spans="1:15">
      <c r="A68" s="662"/>
      <c r="B68" s="662"/>
      <c r="C68" s="662"/>
      <c r="D68" s="662"/>
      <c r="E68" s="662"/>
      <c r="F68" s="662"/>
      <c r="G68" s="662"/>
      <c r="H68" s="662"/>
      <c r="I68" s="662"/>
      <c r="J68" s="662"/>
      <c r="K68" s="662"/>
      <c r="L68" s="662"/>
      <c r="M68" s="662"/>
      <c r="N68" s="662"/>
      <c r="O68" s="662"/>
    </row>
    <row r="69" spans="1:15">
      <c r="A69" s="662"/>
      <c r="B69" s="662"/>
      <c r="C69" s="662"/>
      <c r="D69" s="662"/>
      <c r="E69" s="662"/>
      <c r="F69" s="662"/>
      <c r="G69" s="662"/>
      <c r="H69" s="662"/>
      <c r="I69" s="662"/>
      <c r="J69" s="662"/>
      <c r="K69" s="662"/>
      <c r="L69" s="662"/>
      <c r="M69" s="662"/>
      <c r="N69" s="662"/>
      <c r="O69" s="662"/>
    </row>
    <row r="70" spans="1:15">
      <c r="A70" s="662"/>
      <c r="B70" s="662"/>
      <c r="C70" s="662"/>
      <c r="D70" s="662"/>
      <c r="E70" s="662"/>
      <c r="F70" s="662"/>
      <c r="G70" s="662"/>
      <c r="H70" s="662"/>
      <c r="I70" s="662"/>
      <c r="J70" s="662"/>
      <c r="K70" s="662"/>
      <c r="L70" s="662"/>
      <c r="M70" s="662"/>
      <c r="N70" s="662"/>
      <c r="O70" s="662"/>
    </row>
    <row r="71" spans="1:15">
      <c r="A71" s="662"/>
      <c r="B71" s="662"/>
      <c r="C71" s="662"/>
      <c r="D71" s="662"/>
      <c r="E71" s="662"/>
      <c r="F71" s="662"/>
      <c r="G71" s="662"/>
      <c r="H71" s="662"/>
      <c r="I71" s="662"/>
      <c r="J71" s="662"/>
      <c r="K71" s="662"/>
      <c r="L71" s="662"/>
      <c r="M71" s="662"/>
      <c r="N71" s="662"/>
      <c r="O71" s="662"/>
    </row>
    <row r="72" spans="1:15">
      <c r="A72" s="662"/>
      <c r="B72" s="662"/>
      <c r="C72" s="662"/>
      <c r="D72" s="662"/>
      <c r="E72" s="662"/>
      <c r="F72" s="662"/>
      <c r="G72" s="662"/>
      <c r="H72" s="662"/>
      <c r="I72" s="662"/>
      <c r="J72" s="662"/>
      <c r="K72" s="662"/>
      <c r="L72" s="662"/>
      <c r="M72" s="662"/>
      <c r="N72" s="662"/>
      <c r="O72" s="662"/>
    </row>
    <row r="73" spans="1:15">
      <c r="A73" s="662"/>
      <c r="B73" s="662"/>
      <c r="C73" s="662"/>
      <c r="D73" s="662"/>
      <c r="E73" s="662"/>
      <c r="F73" s="662"/>
      <c r="G73" s="662"/>
      <c r="H73" s="662"/>
      <c r="I73" s="662"/>
      <c r="J73" s="662"/>
      <c r="K73" s="662"/>
      <c r="L73" s="662"/>
      <c r="M73" s="662"/>
      <c r="N73" s="662"/>
      <c r="O73" s="662"/>
    </row>
    <row r="74" spans="1:15">
      <c r="A74" s="662"/>
      <c r="B74" s="662"/>
      <c r="C74" s="662"/>
      <c r="D74" s="662"/>
      <c r="E74" s="662"/>
      <c r="F74" s="662"/>
      <c r="G74" s="662"/>
      <c r="H74" s="662"/>
      <c r="I74" s="662"/>
      <c r="J74" s="662"/>
      <c r="K74" s="662"/>
      <c r="L74" s="662"/>
      <c r="M74" s="662"/>
      <c r="N74" s="662"/>
      <c r="O74" s="662"/>
    </row>
    <row r="75" spans="1:15">
      <c r="A75" s="662"/>
      <c r="B75" s="662"/>
      <c r="C75" s="662"/>
      <c r="D75" s="662"/>
      <c r="E75" s="662"/>
      <c r="F75" s="662"/>
      <c r="G75" s="662"/>
      <c r="H75" s="662"/>
      <c r="I75" s="662"/>
      <c r="J75" s="662"/>
      <c r="K75" s="662"/>
      <c r="L75" s="662"/>
      <c r="M75" s="662"/>
      <c r="N75" s="662"/>
      <c r="O75" s="662"/>
    </row>
    <row r="76" spans="1:15">
      <c r="A76" s="662"/>
      <c r="B76" s="662"/>
      <c r="C76" s="662"/>
      <c r="D76" s="662"/>
      <c r="E76" s="662"/>
      <c r="F76" s="662"/>
      <c r="G76" s="662"/>
      <c r="H76" s="662"/>
      <c r="I76" s="662"/>
      <c r="J76" s="662"/>
      <c r="K76" s="662"/>
      <c r="L76" s="662"/>
      <c r="M76" s="662"/>
      <c r="N76" s="662"/>
      <c r="O76" s="662"/>
    </row>
    <row r="77" spans="1:15">
      <c r="A77" s="662"/>
      <c r="B77" s="662"/>
      <c r="C77" s="662"/>
      <c r="D77" s="662"/>
      <c r="E77" s="662"/>
      <c r="F77" s="662"/>
      <c r="G77" s="662"/>
      <c r="H77" s="662"/>
      <c r="I77" s="662"/>
      <c r="J77" s="662"/>
      <c r="K77" s="662"/>
      <c r="L77" s="662"/>
      <c r="M77" s="662"/>
      <c r="N77" s="662"/>
      <c r="O77" s="662"/>
    </row>
    <row r="78" spans="1:15">
      <c r="A78" s="662"/>
      <c r="B78" s="662"/>
      <c r="C78" s="662"/>
      <c r="D78" s="662"/>
      <c r="E78" s="662"/>
      <c r="F78" s="662"/>
      <c r="G78" s="662"/>
      <c r="H78" s="662"/>
      <c r="I78" s="662"/>
      <c r="J78" s="662"/>
      <c r="K78" s="662"/>
      <c r="L78" s="662"/>
      <c r="M78" s="662"/>
      <c r="N78" s="662"/>
      <c r="O78" s="662"/>
    </row>
    <row r="79" spans="1:15">
      <c r="A79" s="662"/>
      <c r="B79" s="662"/>
      <c r="C79" s="662"/>
      <c r="D79" s="662"/>
      <c r="E79" s="662"/>
      <c r="F79" s="662"/>
      <c r="G79" s="662"/>
      <c r="H79" s="662"/>
      <c r="I79" s="662"/>
      <c r="J79" s="662"/>
      <c r="K79" s="662"/>
      <c r="L79" s="662"/>
      <c r="M79" s="662"/>
      <c r="N79" s="662"/>
      <c r="O79" s="662"/>
    </row>
    <row r="80" spans="1:15">
      <c r="A80" s="662"/>
      <c r="B80" s="662"/>
      <c r="C80" s="662"/>
      <c r="D80" s="662"/>
      <c r="E80" s="662"/>
      <c r="F80" s="662"/>
      <c r="G80" s="662"/>
      <c r="H80" s="662"/>
      <c r="I80" s="662"/>
      <c r="J80" s="662"/>
      <c r="K80" s="662"/>
      <c r="L80" s="662"/>
      <c r="M80" s="662"/>
      <c r="N80" s="662"/>
      <c r="O80" s="662"/>
    </row>
    <row r="81" spans="1:15">
      <c r="A81" s="662"/>
      <c r="B81" s="662"/>
      <c r="C81" s="662"/>
      <c r="D81" s="662"/>
      <c r="E81" s="662"/>
      <c r="F81" s="662"/>
      <c r="G81" s="662"/>
      <c r="H81" s="662"/>
      <c r="I81" s="662"/>
      <c r="J81" s="662"/>
      <c r="K81" s="662"/>
      <c r="L81" s="662"/>
      <c r="M81" s="662"/>
      <c r="N81" s="662"/>
      <c r="O81" s="662"/>
    </row>
    <row r="82" spans="1:15">
      <c r="A82" s="662"/>
      <c r="B82" s="662"/>
      <c r="C82" s="662"/>
      <c r="D82" s="662"/>
      <c r="E82" s="662"/>
      <c r="F82" s="662"/>
      <c r="G82" s="662"/>
      <c r="H82" s="662"/>
      <c r="I82" s="662"/>
      <c r="J82" s="662"/>
      <c r="K82" s="662"/>
      <c r="L82" s="662"/>
      <c r="M82" s="662"/>
      <c r="N82" s="662"/>
      <c r="O82" s="662"/>
    </row>
    <row r="83" spans="1:15">
      <c r="A83" s="662"/>
      <c r="B83" s="662"/>
      <c r="C83" s="662"/>
      <c r="D83" s="662"/>
      <c r="E83" s="662"/>
      <c r="F83" s="662"/>
      <c r="G83" s="662"/>
      <c r="H83" s="662"/>
      <c r="I83" s="662"/>
      <c r="J83" s="662"/>
      <c r="K83" s="662"/>
      <c r="L83" s="662"/>
      <c r="M83" s="662"/>
      <c r="N83" s="662"/>
      <c r="O83" s="662"/>
    </row>
    <row r="84" spans="1:15">
      <c r="A84" s="662"/>
      <c r="B84" s="662"/>
      <c r="C84" s="662"/>
      <c r="D84" s="662"/>
      <c r="E84" s="662"/>
      <c r="F84" s="662"/>
      <c r="G84" s="662"/>
      <c r="H84" s="662"/>
      <c r="I84" s="662"/>
      <c r="J84" s="662"/>
      <c r="K84" s="662"/>
      <c r="L84" s="662"/>
      <c r="M84" s="662"/>
      <c r="N84" s="662"/>
      <c r="O84" s="662"/>
    </row>
    <row r="85" spans="1:15">
      <c r="A85" s="662"/>
      <c r="B85" s="662"/>
      <c r="C85" s="662"/>
      <c r="D85" s="662"/>
      <c r="E85" s="662"/>
      <c r="F85" s="662"/>
      <c r="G85" s="662"/>
      <c r="H85" s="662"/>
      <c r="I85" s="662"/>
      <c r="J85" s="662"/>
      <c r="K85" s="662"/>
      <c r="L85" s="662"/>
      <c r="M85" s="662"/>
      <c r="N85" s="662"/>
      <c r="O85" s="662"/>
    </row>
    <row r="86" spans="1:15">
      <c r="A86" s="662"/>
      <c r="B86" s="662"/>
      <c r="C86" s="662"/>
      <c r="D86" s="662"/>
      <c r="E86" s="662"/>
      <c r="F86" s="662"/>
      <c r="G86" s="662"/>
      <c r="H86" s="662"/>
      <c r="I86" s="662"/>
      <c r="J86" s="662"/>
      <c r="K86" s="662"/>
      <c r="L86" s="662"/>
      <c r="M86" s="662"/>
      <c r="N86" s="662"/>
      <c r="O86" s="662"/>
    </row>
    <row r="87" spans="1:15">
      <c r="A87" s="662"/>
      <c r="B87" s="662"/>
      <c r="C87" s="662"/>
      <c r="D87" s="662"/>
      <c r="E87" s="662"/>
      <c r="F87" s="662"/>
      <c r="G87" s="662"/>
      <c r="H87" s="662"/>
      <c r="I87" s="662"/>
      <c r="J87" s="662"/>
      <c r="K87" s="662"/>
      <c r="L87" s="662"/>
      <c r="M87" s="662"/>
      <c r="N87" s="662"/>
      <c r="O87" s="662"/>
    </row>
    <row r="88" spans="1:15">
      <c r="A88" s="662"/>
      <c r="B88" s="662"/>
      <c r="C88" s="662"/>
      <c r="D88" s="662"/>
      <c r="E88" s="662"/>
      <c r="F88" s="662"/>
      <c r="G88" s="662"/>
      <c r="H88" s="662"/>
      <c r="I88" s="662"/>
      <c r="J88" s="662"/>
      <c r="K88" s="662"/>
      <c r="L88" s="662"/>
      <c r="M88" s="662"/>
      <c r="N88" s="662"/>
      <c r="O88" s="662"/>
    </row>
    <row r="89" spans="1:15">
      <c r="A89" s="662"/>
      <c r="B89" s="662"/>
      <c r="C89" s="662"/>
      <c r="D89" s="662"/>
      <c r="E89" s="662"/>
      <c r="F89" s="662"/>
      <c r="G89" s="662"/>
      <c r="H89" s="662"/>
      <c r="I89" s="662"/>
      <c r="J89" s="662"/>
      <c r="K89" s="662"/>
      <c r="L89" s="662"/>
      <c r="M89" s="662"/>
      <c r="N89" s="662"/>
      <c r="O89" s="662"/>
    </row>
    <row r="90" spans="1:15">
      <c r="A90" s="662"/>
      <c r="B90" s="662"/>
      <c r="C90" s="662"/>
      <c r="D90" s="662"/>
      <c r="E90" s="662"/>
      <c r="F90" s="662"/>
      <c r="G90" s="662"/>
      <c r="H90" s="662"/>
      <c r="I90" s="662"/>
      <c r="J90" s="662"/>
      <c r="K90" s="662"/>
      <c r="L90" s="662"/>
      <c r="M90" s="662"/>
      <c r="N90" s="662"/>
      <c r="O90" s="662"/>
    </row>
    <row r="91" spans="1:15">
      <c r="A91" s="662"/>
      <c r="B91" s="662"/>
      <c r="C91" s="662"/>
      <c r="D91" s="662"/>
      <c r="E91" s="662"/>
      <c r="F91" s="662"/>
      <c r="G91" s="662"/>
      <c r="H91" s="662"/>
      <c r="I91" s="662"/>
      <c r="J91" s="662"/>
      <c r="K91" s="662"/>
      <c r="L91" s="662"/>
      <c r="M91" s="662"/>
      <c r="N91" s="662"/>
      <c r="O91" s="662"/>
    </row>
    <row r="92" spans="1:15">
      <c r="A92" s="662"/>
      <c r="B92" s="662"/>
      <c r="C92" s="662"/>
      <c r="D92" s="662"/>
      <c r="E92" s="662"/>
      <c r="F92" s="662"/>
      <c r="G92" s="662"/>
      <c r="H92" s="662"/>
      <c r="I92" s="662"/>
      <c r="J92" s="662"/>
      <c r="K92" s="662"/>
      <c r="L92" s="662"/>
      <c r="M92" s="662"/>
      <c r="N92" s="662"/>
      <c r="O92" s="662"/>
    </row>
    <row r="93" spans="1:15">
      <c r="A93" s="662"/>
      <c r="B93" s="662"/>
      <c r="C93" s="662"/>
      <c r="D93" s="662"/>
      <c r="E93" s="662"/>
      <c r="F93" s="662"/>
      <c r="G93" s="662"/>
      <c r="H93" s="662"/>
      <c r="I93" s="662"/>
      <c r="J93" s="662"/>
      <c r="K93" s="662"/>
      <c r="L93" s="662"/>
      <c r="M93" s="662"/>
      <c r="N93" s="662"/>
      <c r="O93" s="662"/>
    </row>
    <row r="94" spans="1:15">
      <c r="A94" s="662"/>
      <c r="B94" s="662"/>
      <c r="C94" s="662"/>
      <c r="D94" s="662"/>
      <c r="E94" s="662"/>
      <c r="F94" s="662"/>
      <c r="G94" s="662"/>
      <c r="H94" s="662"/>
      <c r="I94" s="662"/>
      <c r="J94" s="662"/>
      <c r="K94" s="662"/>
      <c r="L94" s="662"/>
      <c r="M94" s="662"/>
      <c r="N94" s="662"/>
      <c r="O94" s="662"/>
    </row>
    <row r="95" spans="1:15">
      <c r="A95" s="662"/>
      <c r="B95" s="662"/>
      <c r="C95" s="662"/>
      <c r="D95" s="662"/>
      <c r="E95" s="662"/>
      <c r="F95" s="662"/>
      <c r="G95" s="662"/>
      <c r="H95" s="662"/>
      <c r="I95" s="662"/>
      <c r="J95" s="662"/>
      <c r="K95" s="662"/>
      <c r="L95" s="662"/>
      <c r="M95" s="662"/>
      <c r="N95" s="662"/>
      <c r="O95" s="662"/>
    </row>
    <row r="96" spans="1:15">
      <c r="A96" s="662"/>
      <c r="B96" s="662"/>
      <c r="C96" s="662"/>
      <c r="D96" s="662"/>
      <c r="E96" s="662"/>
      <c r="F96" s="662"/>
      <c r="G96" s="662"/>
      <c r="H96" s="662"/>
      <c r="I96" s="662"/>
      <c r="J96" s="662"/>
      <c r="K96" s="662"/>
      <c r="L96" s="662"/>
      <c r="M96" s="662"/>
      <c r="N96" s="662"/>
      <c r="O96" s="662"/>
    </row>
    <row r="97" spans="1:15">
      <c r="A97" s="662"/>
      <c r="B97" s="662"/>
      <c r="C97" s="662"/>
      <c r="D97" s="662"/>
      <c r="E97" s="662"/>
      <c r="F97" s="662"/>
      <c r="G97" s="662"/>
      <c r="H97" s="662"/>
      <c r="I97" s="662"/>
      <c r="J97" s="662"/>
      <c r="K97" s="662"/>
      <c r="L97" s="662"/>
      <c r="M97" s="662"/>
      <c r="N97" s="662"/>
      <c r="O97" s="662"/>
    </row>
    <row r="98" spans="1:15">
      <c r="A98" s="662"/>
      <c r="B98" s="662"/>
      <c r="C98" s="662"/>
      <c r="D98" s="662"/>
      <c r="E98" s="662"/>
      <c r="F98" s="662"/>
      <c r="G98" s="662"/>
      <c r="H98" s="662"/>
      <c r="I98" s="662"/>
      <c r="J98" s="662"/>
      <c r="K98" s="662"/>
      <c r="L98" s="662"/>
      <c r="M98" s="662"/>
      <c r="N98" s="662"/>
      <c r="O98" s="662"/>
    </row>
  </sheetData>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tabColor rgb="FFFFFFFF"/>
    <outlinePr summaryBelow="0" summaryRight="0"/>
  </sheetPr>
  <dimension ref="A1:AB183"/>
  <sheetViews>
    <sheetView workbookViewId="0">
      <pane xSplit="6" ySplit="2" topLeftCell="G3" activePane="bottomRight" state="frozen"/>
      <selection pane="topRight" activeCell="G1" sqref="G1"/>
      <selection pane="bottomLeft" activeCell="A3" sqref="A3"/>
      <selection pane="bottomRight" activeCell="G3" sqref="G3"/>
    </sheetView>
  </sheetViews>
  <sheetFormatPr defaultColWidth="14.453125" defaultRowHeight="15" customHeight="1"/>
  <cols>
    <col min="1" max="2" width="12.7265625" hidden="1" customWidth="1"/>
    <col min="3" max="3" width="13" hidden="1" customWidth="1"/>
    <col min="4" max="4" width="6.7265625" hidden="1" customWidth="1"/>
    <col min="5" max="5" width="24.453125" customWidth="1"/>
    <col min="6" max="6" width="39.26953125" customWidth="1"/>
    <col min="7" max="7" width="20.1796875" customWidth="1"/>
    <col min="8" max="8" width="10.7265625" customWidth="1"/>
    <col min="9" max="9" width="17.7265625" customWidth="1"/>
    <col min="10" max="10" width="16.26953125" customWidth="1"/>
    <col min="11" max="11" width="11.453125" customWidth="1"/>
    <col min="12" max="12" width="28.26953125" customWidth="1"/>
    <col min="13" max="15" width="22.1796875" customWidth="1"/>
    <col min="16" max="16" width="53.81640625" customWidth="1"/>
    <col min="17" max="17" width="23.7265625" customWidth="1"/>
    <col min="18" max="18" width="34.453125" customWidth="1"/>
    <col min="19" max="19" width="26.453125" customWidth="1"/>
    <col min="20" max="20" width="36.26953125" customWidth="1"/>
    <col min="21" max="23" width="6.26953125" customWidth="1"/>
    <col min="24" max="24" width="10.7265625" customWidth="1"/>
    <col min="25" max="25" width="17.1796875" customWidth="1"/>
    <col min="26" max="26" width="25.7265625" customWidth="1"/>
    <col min="27" max="27" width="10.7265625" customWidth="1"/>
    <col min="28" max="28" width="79.7265625" customWidth="1"/>
    <col min="29" max="33" width="10.7265625" customWidth="1"/>
  </cols>
  <sheetData>
    <row r="1" spans="1:28" ht="14.25" customHeight="1">
      <c r="A1" s="186"/>
      <c r="B1" s="186"/>
      <c r="C1" s="186"/>
      <c r="D1" s="186"/>
      <c r="E1" s="249" t="s">
        <v>1322</v>
      </c>
      <c r="F1" s="56"/>
      <c r="G1" s="56"/>
      <c r="H1" s="56"/>
      <c r="I1" s="56"/>
      <c r="J1" s="56"/>
      <c r="K1" s="250"/>
      <c r="L1" s="218" t="s">
        <v>1038</v>
      </c>
      <c r="M1" s="218"/>
      <c r="N1" s="218"/>
      <c r="O1" s="218"/>
      <c r="P1" s="218"/>
      <c r="Q1" s="218"/>
      <c r="R1" s="56"/>
      <c r="S1" s="56"/>
      <c r="T1" s="56"/>
      <c r="U1" s="56"/>
      <c r="V1" s="56"/>
      <c r="W1" s="56"/>
      <c r="X1" s="56"/>
      <c r="Y1" s="56"/>
      <c r="Z1" s="252" t="s">
        <v>1039</v>
      </c>
      <c r="AA1" s="253"/>
      <c r="AB1" s="252"/>
    </row>
    <row r="2" spans="1:28" ht="14.25" customHeight="1">
      <c r="A2" s="130" t="s">
        <v>1325</v>
      </c>
      <c r="B2" s="208" t="s">
        <v>1041</v>
      </c>
      <c r="C2" s="208" t="s">
        <v>1042</v>
      </c>
      <c r="D2" s="208" t="s">
        <v>1043</v>
      </c>
      <c r="E2" s="206" t="s">
        <v>224</v>
      </c>
      <c r="F2" s="206" t="s">
        <v>225</v>
      </c>
      <c r="G2" s="206" t="s">
        <v>226</v>
      </c>
      <c r="H2" s="206" t="s">
        <v>227</v>
      </c>
      <c r="I2" s="206" t="s">
        <v>1044</v>
      </c>
      <c r="J2" s="206" t="s">
        <v>1045</v>
      </c>
      <c r="K2" s="218" t="s">
        <v>1046</v>
      </c>
      <c r="L2" s="218" t="s">
        <v>100</v>
      </c>
      <c r="M2" s="218" t="s">
        <v>101</v>
      </c>
      <c r="N2" s="218" t="s">
        <v>102</v>
      </c>
      <c r="O2" s="218" t="s">
        <v>103</v>
      </c>
      <c r="P2" s="218" t="s">
        <v>104</v>
      </c>
      <c r="Q2" s="218" t="s">
        <v>105</v>
      </c>
      <c r="R2" s="206" t="s">
        <v>111</v>
      </c>
      <c r="S2" s="206" t="s">
        <v>112</v>
      </c>
      <c r="T2" s="206" t="s">
        <v>113</v>
      </c>
      <c r="U2" s="206" t="s">
        <v>1326</v>
      </c>
      <c r="V2" s="383"/>
      <c r="W2" s="383"/>
      <c r="X2" s="226" t="s">
        <v>1049</v>
      </c>
      <c r="Y2" s="226" t="s">
        <v>1050</v>
      </c>
      <c r="Z2" s="226" t="s">
        <v>237</v>
      </c>
      <c r="AA2" s="227" t="s">
        <v>1</v>
      </c>
      <c r="AB2" s="226" t="s">
        <v>238</v>
      </c>
    </row>
    <row r="3" spans="1:28" ht="14.25" customHeight="1">
      <c r="A3" s="213"/>
      <c r="B3" s="213"/>
      <c r="C3" s="210"/>
      <c r="D3" s="210"/>
      <c r="E3" s="56" t="s">
        <v>61</v>
      </c>
      <c r="F3" s="56" t="s">
        <v>125</v>
      </c>
      <c r="G3" s="56" t="s">
        <v>255</v>
      </c>
      <c r="H3" s="56" t="s">
        <v>243</v>
      </c>
      <c r="I3" s="56"/>
      <c r="J3" s="56">
        <v>15</v>
      </c>
      <c r="K3" s="56" t="s">
        <v>682</v>
      </c>
      <c r="L3" s="56" t="s">
        <v>5690</v>
      </c>
      <c r="M3" s="56" t="s">
        <v>294</v>
      </c>
      <c r="N3" s="56" t="s">
        <v>1333</v>
      </c>
      <c r="O3" s="56"/>
      <c r="P3" s="56" t="s">
        <v>5691</v>
      </c>
      <c r="Q3" s="56">
        <v>0</v>
      </c>
      <c r="R3" s="54"/>
      <c r="S3" s="25">
        <v>43535</v>
      </c>
      <c r="T3" s="56" t="s">
        <v>1408</v>
      </c>
      <c r="U3" s="56">
        <v>1</v>
      </c>
      <c r="V3" s="56"/>
      <c r="W3" s="56"/>
      <c r="X3" s="70">
        <v>1</v>
      </c>
      <c r="Y3" s="56"/>
      <c r="Z3" s="56" t="s">
        <v>1331</v>
      </c>
      <c r="AA3" s="55">
        <v>43475</v>
      </c>
      <c r="AB3" s="56"/>
    </row>
    <row r="4" spans="1:28" ht="14.25" customHeight="1">
      <c r="A4" s="213"/>
      <c r="B4" s="213"/>
      <c r="C4" s="210"/>
      <c r="D4" s="210"/>
      <c r="E4" s="56" t="s">
        <v>61</v>
      </c>
      <c r="F4" s="56" t="s">
        <v>120</v>
      </c>
      <c r="G4" s="56" t="s">
        <v>250</v>
      </c>
      <c r="H4" s="56" t="s">
        <v>243</v>
      </c>
      <c r="I4" s="56"/>
      <c r="J4" s="56">
        <v>25</v>
      </c>
      <c r="K4" s="56" t="s">
        <v>682</v>
      </c>
      <c r="L4" s="56" t="s">
        <v>5690</v>
      </c>
      <c r="M4" s="56" t="s">
        <v>295</v>
      </c>
      <c r="N4" s="56" t="s">
        <v>1456</v>
      </c>
      <c r="O4" s="56" t="s">
        <v>1457</v>
      </c>
      <c r="P4" s="56" t="s">
        <v>5692</v>
      </c>
      <c r="Q4" s="56" t="s">
        <v>1459</v>
      </c>
      <c r="R4" s="54"/>
      <c r="S4" s="25" t="s">
        <v>1201</v>
      </c>
      <c r="T4" s="56" t="s">
        <v>1460</v>
      </c>
      <c r="U4" s="56">
        <v>1</v>
      </c>
      <c r="V4" s="56"/>
      <c r="W4" s="56"/>
      <c r="X4" s="70">
        <v>2</v>
      </c>
      <c r="Y4" s="56"/>
      <c r="Z4" s="56" t="s">
        <v>1331</v>
      </c>
      <c r="AA4" s="55">
        <v>43475</v>
      </c>
      <c r="AB4" s="56"/>
    </row>
    <row r="5" spans="1:28" ht="14.25" customHeight="1">
      <c r="A5" s="213"/>
      <c r="B5" s="213"/>
      <c r="C5" s="210"/>
      <c r="D5" s="210"/>
      <c r="E5" s="56" t="s">
        <v>59</v>
      </c>
      <c r="F5" s="56" t="s">
        <v>296</v>
      </c>
      <c r="G5" s="56" t="s">
        <v>242</v>
      </c>
      <c r="H5" s="56" t="s">
        <v>243</v>
      </c>
      <c r="I5" s="56"/>
      <c r="J5" s="56">
        <v>73</v>
      </c>
      <c r="K5" s="56" t="s">
        <v>682</v>
      </c>
      <c r="L5" s="56" t="s">
        <v>5690</v>
      </c>
      <c r="M5" s="56" t="s">
        <v>297</v>
      </c>
      <c r="N5" s="56" t="s">
        <v>1390</v>
      </c>
      <c r="O5" s="56" t="s">
        <v>1461</v>
      </c>
      <c r="P5" s="56" t="s">
        <v>5692</v>
      </c>
      <c r="Q5" s="56">
        <v>0</v>
      </c>
      <c r="R5" s="54"/>
      <c r="S5" s="25" t="s">
        <v>1463</v>
      </c>
      <c r="T5" s="56" t="s">
        <v>1464</v>
      </c>
      <c r="U5" s="56"/>
      <c r="V5" s="56"/>
      <c r="W5" s="56"/>
      <c r="X5" s="70">
        <v>3</v>
      </c>
      <c r="Y5" s="56"/>
      <c r="Z5" s="56" t="s">
        <v>1331</v>
      </c>
      <c r="AA5" s="55">
        <v>43475</v>
      </c>
      <c r="AB5" s="56"/>
    </row>
    <row r="6" spans="1:28" ht="14.25" customHeight="1">
      <c r="A6" s="213"/>
      <c r="B6" s="213"/>
      <c r="C6" s="210"/>
      <c r="D6" s="210"/>
      <c r="E6" s="56" t="s">
        <v>55</v>
      </c>
      <c r="F6" s="56" t="s">
        <v>298</v>
      </c>
      <c r="G6" s="56" t="s">
        <v>242</v>
      </c>
      <c r="H6" s="56" t="s">
        <v>243</v>
      </c>
      <c r="I6" s="56"/>
      <c r="J6" s="56">
        <v>85</v>
      </c>
      <c r="K6" s="56" t="s">
        <v>682</v>
      </c>
      <c r="L6" s="56" t="s">
        <v>5690</v>
      </c>
      <c r="M6" s="56" t="s">
        <v>299</v>
      </c>
      <c r="N6" s="56" t="s">
        <v>1668</v>
      </c>
      <c r="O6" s="56"/>
      <c r="P6" s="56" t="s">
        <v>5693</v>
      </c>
      <c r="Q6" s="56">
        <v>0</v>
      </c>
      <c r="R6" s="54"/>
      <c r="S6" s="25" t="s">
        <v>1670</v>
      </c>
      <c r="T6" s="56" t="s">
        <v>1671</v>
      </c>
      <c r="U6" s="56">
        <v>1</v>
      </c>
      <c r="V6" s="56"/>
      <c r="W6" s="56"/>
      <c r="X6" s="70">
        <v>4</v>
      </c>
      <c r="Y6" s="56"/>
      <c r="Z6" s="56" t="s">
        <v>1331</v>
      </c>
      <c r="AA6" s="55">
        <v>43475</v>
      </c>
      <c r="AB6" s="56"/>
    </row>
    <row r="7" spans="1:28" ht="14.25" customHeight="1">
      <c r="A7" s="213"/>
      <c r="B7" s="213"/>
      <c r="C7" s="210"/>
      <c r="D7" s="210"/>
      <c r="E7" s="56" t="s">
        <v>55</v>
      </c>
      <c r="F7" s="56" t="s">
        <v>300</v>
      </c>
      <c r="G7" s="56" t="s">
        <v>242</v>
      </c>
      <c r="H7" s="56" t="s">
        <v>243</v>
      </c>
      <c r="I7" s="56"/>
      <c r="J7" s="56">
        <v>86</v>
      </c>
      <c r="K7" s="56" t="s">
        <v>682</v>
      </c>
      <c r="L7" s="56" t="s">
        <v>5690</v>
      </c>
      <c r="M7" s="56" t="s">
        <v>301</v>
      </c>
      <c r="N7" s="56" t="s">
        <v>1668</v>
      </c>
      <c r="O7" s="56"/>
      <c r="P7" s="56" t="s">
        <v>5694</v>
      </c>
      <c r="Q7" s="56">
        <v>0</v>
      </c>
      <c r="R7" s="54"/>
      <c r="S7" s="25" t="s">
        <v>1673</v>
      </c>
      <c r="T7" s="56" t="s">
        <v>1674</v>
      </c>
      <c r="U7" s="56">
        <v>1</v>
      </c>
      <c r="V7" s="56"/>
      <c r="W7" s="56"/>
      <c r="X7" s="70">
        <v>5</v>
      </c>
      <c r="Y7" s="56"/>
      <c r="Z7" s="56" t="s">
        <v>1331</v>
      </c>
      <c r="AA7" s="55">
        <v>43475</v>
      </c>
      <c r="AB7" s="56"/>
    </row>
    <row r="8" spans="1:28" ht="14.25" customHeight="1">
      <c r="A8" s="213"/>
      <c r="B8" s="213"/>
      <c r="C8" s="210"/>
      <c r="D8" s="297"/>
      <c r="E8" s="56" t="s">
        <v>61</v>
      </c>
      <c r="F8" s="56" t="s">
        <v>118</v>
      </c>
      <c r="G8" s="56" t="s">
        <v>247</v>
      </c>
      <c r="H8" s="56" t="s">
        <v>243</v>
      </c>
      <c r="I8" s="56"/>
      <c r="J8" s="56">
        <v>4</v>
      </c>
      <c r="K8" s="56" t="s">
        <v>682</v>
      </c>
      <c r="L8" s="56" t="s">
        <v>5690</v>
      </c>
      <c r="M8" s="56" t="s">
        <v>302</v>
      </c>
      <c r="N8" s="56" t="s">
        <v>1328</v>
      </c>
      <c r="O8" s="56" t="s">
        <v>1088</v>
      </c>
      <c r="P8" s="56" t="s">
        <v>5695</v>
      </c>
      <c r="Q8" s="56">
        <v>0</v>
      </c>
      <c r="R8" s="54"/>
      <c r="S8" s="25">
        <v>59302865</v>
      </c>
      <c r="T8" s="56" t="s">
        <v>1330</v>
      </c>
      <c r="U8" s="56"/>
      <c r="V8" s="56"/>
      <c r="W8" s="56"/>
      <c r="X8" s="70">
        <v>6</v>
      </c>
      <c r="Y8" s="70"/>
      <c r="Z8" s="56" t="s">
        <v>1331</v>
      </c>
      <c r="AA8" s="55">
        <v>43475</v>
      </c>
      <c r="AB8" s="56"/>
    </row>
    <row r="9" spans="1:28" ht="14.25" customHeight="1">
      <c r="A9" s="213"/>
      <c r="B9" s="213"/>
      <c r="C9" s="210"/>
      <c r="D9" s="210"/>
      <c r="E9" s="70" t="s">
        <v>55</v>
      </c>
      <c r="F9" s="56" t="s">
        <v>303</v>
      </c>
      <c r="G9" s="56" t="s">
        <v>250</v>
      </c>
      <c r="H9" s="70" t="s">
        <v>243</v>
      </c>
      <c r="I9" s="56"/>
      <c r="J9" s="70">
        <v>100</v>
      </c>
      <c r="K9" s="56" t="s">
        <v>682</v>
      </c>
      <c r="L9" s="56" t="s">
        <v>5690</v>
      </c>
      <c r="M9" s="56" t="s">
        <v>304</v>
      </c>
      <c r="N9" s="56" t="s">
        <v>1709</v>
      </c>
      <c r="O9" s="56" t="s">
        <v>1710</v>
      </c>
      <c r="P9" s="56" t="s">
        <v>5692</v>
      </c>
      <c r="Q9" s="56">
        <v>0</v>
      </c>
      <c r="R9" s="54"/>
      <c r="S9" s="25" t="s">
        <v>1201</v>
      </c>
      <c r="T9" s="56" t="s">
        <v>1712</v>
      </c>
      <c r="U9" s="56"/>
      <c r="V9" s="56"/>
      <c r="W9" s="56"/>
      <c r="X9" s="70">
        <v>7</v>
      </c>
      <c r="Y9" s="56"/>
      <c r="Z9" s="56" t="s">
        <v>1331</v>
      </c>
      <c r="AA9" s="55">
        <v>43475</v>
      </c>
      <c r="AB9" s="56"/>
    </row>
    <row r="10" spans="1:28" ht="14.25" customHeight="1">
      <c r="A10" s="213"/>
      <c r="B10" s="213"/>
      <c r="C10" s="210"/>
      <c r="D10" s="210"/>
      <c r="E10" s="70" t="s">
        <v>55</v>
      </c>
      <c r="F10" s="56" t="s">
        <v>305</v>
      </c>
      <c r="G10" s="56" t="s">
        <v>242</v>
      </c>
      <c r="H10" s="70" t="s">
        <v>243</v>
      </c>
      <c r="I10" s="56"/>
      <c r="J10" s="70">
        <v>105</v>
      </c>
      <c r="K10" s="56" t="s">
        <v>682</v>
      </c>
      <c r="L10" s="56" t="s">
        <v>5690</v>
      </c>
      <c r="M10" s="56" t="s">
        <v>306</v>
      </c>
      <c r="N10" s="56" t="s">
        <v>1390</v>
      </c>
      <c r="O10" s="56" t="s">
        <v>1713</v>
      </c>
      <c r="P10" s="56" t="s">
        <v>5696</v>
      </c>
      <c r="Q10" s="56">
        <v>0</v>
      </c>
      <c r="R10" s="54"/>
      <c r="S10" s="25" t="s">
        <v>1463</v>
      </c>
      <c r="T10" s="56" t="s">
        <v>1714</v>
      </c>
      <c r="U10" s="56"/>
      <c r="V10" s="56"/>
      <c r="W10" s="56"/>
      <c r="X10" s="70">
        <v>8</v>
      </c>
      <c r="Y10" s="56"/>
      <c r="Z10" s="56" t="s">
        <v>1331</v>
      </c>
      <c r="AA10" s="55">
        <v>43475</v>
      </c>
      <c r="AB10" s="56"/>
    </row>
    <row r="11" spans="1:28" ht="14.25" customHeight="1">
      <c r="A11" s="213"/>
      <c r="B11" s="213"/>
      <c r="C11" s="210"/>
      <c r="D11" s="210"/>
      <c r="E11" s="56" t="s">
        <v>61</v>
      </c>
      <c r="F11" s="56" t="s">
        <v>150</v>
      </c>
      <c r="G11" s="56" t="s">
        <v>247</v>
      </c>
      <c r="H11" s="56" t="s">
        <v>243</v>
      </c>
      <c r="I11" s="56"/>
      <c r="J11" s="56">
        <v>9</v>
      </c>
      <c r="K11" s="56" t="s">
        <v>682</v>
      </c>
      <c r="L11" s="56" t="s">
        <v>5690</v>
      </c>
      <c r="M11" s="56" t="s">
        <v>307</v>
      </c>
      <c r="N11" s="56" t="s">
        <v>1378</v>
      </c>
      <c r="O11" s="56" t="s">
        <v>1379</v>
      </c>
      <c r="P11" s="56" t="s">
        <v>5697</v>
      </c>
      <c r="Q11" s="56">
        <v>0</v>
      </c>
      <c r="R11" s="249" t="s">
        <v>1346</v>
      </c>
      <c r="S11" s="25" t="s">
        <v>1382</v>
      </c>
      <c r="T11" s="56" t="s">
        <v>1383</v>
      </c>
      <c r="U11" s="56">
        <v>1</v>
      </c>
      <c r="V11" s="56"/>
      <c r="W11" s="56"/>
      <c r="X11" s="70">
        <v>9</v>
      </c>
      <c r="Y11" s="56"/>
      <c r="Z11" s="56" t="s">
        <v>1384</v>
      </c>
      <c r="AA11" s="55">
        <v>43497</v>
      </c>
      <c r="AB11" s="56" t="s">
        <v>1385</v>
      </c>
    </row>
    <row r="12" spans="1:28" ht="14.25" customHeight="1">
      <c r="A12" s="213"/>
      <c r="B12" s="213"/>
      <c r="C12" s="210"/>
      <c r="D12" s="210"/>
      <c r="E12" s="56" t="s">
        <v>59</v>
      </c>
      <c r="F12" s="56" t="s">
        <v>308</v>
      </c>
      <c r="G12" s="56" t="s">
        <v>247</v>
      </c>
      <c r="H12" s="56" t="s">
        <v>243</v>
      </c>
      <c r="I12" s="56"/>
      <c r="J12" s="56">
        <v>10</v>
      </c>
      <c r="K12" s="56" t="s">
        <v>682</v>
      </c>
      <c r="L12" s="56" t="s">
        <v>5690</v>
      </c>
      <c r="M12" s="56" t="s">
        <v>309</v>
      </c>
      <c r="N12" s="56" t="s">
        <v>1378</v>
      </c>
      <c r="O12" s="56" t="s">
        <v>1386</v>
      </c>
      <c r="P12" s="56" t="s">
        <v>5698</v>
      </c>
      <c r="Q12" s="56">
        <v>0</v>
      </c>
      <c r="R12" s="249" t="s">
        <v>1346</v>
      </c>
      <c r="S12" s="25" t="s">
        <v>1388</v>
      </c>
      <c r="T12" s="56" t="s">
        <v>1389</v>
      </c>
      <c r="U12" s="56">
        <v>1</v>
      </c>
      <c r="V12" s="56"/>
      <c r="W12" s="56"/>
      <c r="X12" s="70">
        <v>10</v>
      </c>
      <c r="Y12" s="56"/>
      <c r="Z12" s="56" t="s">
        <v>1384</v>
      </c>
      <c r="AA12" s="55">
        <v>43497</v>
      </c>
      <c r="AB12" s="56" t="s">
        <v>1385</v>
      </c>
    </row>
    <row r="13" spans="1:28" ht="14.25" customHeight="1">
      <c r="A13" s="213"/>
      <c r="B13" s="213"/>
      <c r="C13" s="210"/>
      <c r="D13" s="210"/>
      <c r="E13" s="56" t="s">
        <v>55</v>
      </c>
      <c r="F13" s="56" t="s">
        <v>310</v>
      </c>
      <c r="G13" s="56" t="s">
        <v>247</v>
      </c>
      <c r="H13" s="56" t="s">
        <v>243</v>
      </c>
      <c r="I13" s="56"/>
      <c r="J13" s="56">
        <v>11</v>
      </c>
      <c r="K13" s="56" t="s">
        <v>682</v>
      </c>
      <c r="L13" s="56" t="s">
        <v>5690</v>
      </c>
      <c r="M13" s="56" t="s">
        <v>311</v>
      </c>
      <c r="N13" s="56" t="s">
        <v>1390</v>
      </c>
      <c r="O13" s="56" t="s">
        <v>1391</v>
      </c>
      <c r="P13" s="56" t="s">
        <v>5699</v>
      </c>
      <c r="Q13" s="56">
        <v>0</v>
      </c>
      <c r="R13" s="249" t="s">
        <v>1346</v>
      </c>
      <c r="S13" s="25" t="s">
        <v>1393</v>
      </c>
      <c r="T13" s="56" t="s">
        <v>1394</v>
      </c>
      <c r="U13" s="56">
        <v>1</v>
      </c>
      <c r="V13" s="56"/>
      <c r="W13" s="56"/>
      <c r="X13" s="70">
        <v>11</v>
      </c>
      <c r="Y13" s="56"/>
      <c r="Z13" s="229" t="s">
        <v>1384</v>
      </c>
      <c r="AA13" s="55">
        <v>43497</v>
      </c>
      <c r="AB13" s="56" t="s">
        <v>1385</v>
      </c>
    </row>
    <row r="14" spans="1:28" ht="14.25" customHeight="1">
      <c r="A14" s="213"/>
      <c r="B14" s="213"/>
      <c r="C14" s="210"/>
      <c r="D14" s="210"/>
      <c r="E14" s="56" t="s">
        <v>55</v>
      </c>
      <c r="F14" s="56" t="s">
        <v>312</v>
      </c>
      <c r="G14" s="56" t="s">
        <v>249</v>
      </c>
      <c r="H14" s="56" t="s">
        <v>243</v>
      </c>
      <c r="I14" s="56"/>
      <c r="J14" s="22"/>
      <c r="K14" s="56" t="s">
        <v>682</v>
      </c>
      <c r="L14" s="56" t="s">
        <v>5690</v>
      </c>
      <c r="M14" s="56" t="s">
        <v>313</v>
      </c>
      <c r="N14" s="56" t="s">
        <v>1736</v>
      </c>
      <c r="O14" s="56" t="s">
        <v>1786</v>
      </c>
      <c r="P14" s="56" t="s">
        <v>5700</v>
      </c>
      <c r="Q14" s="56">
        <v>0</v>
      </c>
      <c r="R14" s="54"/>
      <c r="S14" s="25"/>
      <c r="T14" s="21" t="s">
        <v>1789</v>
      </c>
      <c r="U14" s="56"/>
      <c r="V14" s="56"/>
      <c r="W14" s="56"/>
      <c r="X14" s="70">
        <v>12</v>
      </c>
      <c r="Y14" s="56"/>
      <c r="Z14" s="56" t="s">
        <v>1331</v>
      </c>
      <c r="AA14" s="55">
        <v>43475</v>
      </c>
      <c r="AB14" s="56"/>
    </row>
    <row r="15" spans="1:28" ht="14.25" customHeight="1">
      <c r="A15" s="213"/>
      <c r="B15" s="213"/>
      <c r="C15" s="210"/>
      <c r="D15" s="210"/>
      <c r="E15" s="56" t="s">
        <v>61</v>
      </c>
      <c r="F15" s="56" t="s">
        <v>126</v>
      </c>
      <c r="G15" s="56" t="s">
        <v>242</v>
      </c>
      <c r="H15" s="56" t="s">
        <v>243</v>
      </c>
      <c r="I15" s="56"/>
      <c r="J15" s="56">
        <v>37</v>
      </c>
      <c r="K15" s="56" t="s">
        <v>682</v>
      </c>
      <c r="L15" s="56" t="s">
        <v>5690</v>
      </c>
      <c r="M15" s="56" t="s">
        <v>314</v>
      </c>
      <c r="N15" s="56" t="s">
        <v>1580</v>
      </c>
      <c r="O15" s="56" t="s">
        <v>1581</v>
      </c>
      <c r="P15" s="56" t="s">
        <v>5701</v>
      </c>
      <c r="Q15" s="56">
        <v>0</v>
      </c>
      <c r="R15" s="54"/>
      <c r="S15" s="25" t="s">
        <v>1583</v>
      </c>
      <c r="T15" s="56" t="s">
        <v>1584</v>
      </c>
      <c r="U15" s="56"/>
      <c r="V15" s="56"/>
      <c r="W15" s="56"/>
      <c r="X15" s="70">
        <v>13</v>
      </c>
      <c r="Y15" s="56"/>
      <c r="Z15" s="56" t="s">
        <v>1331</v>
      </c>
      <c r="AA15" s="55">
        <v>43475</v>
      </c>
      <c r="AB15" s="56"/>
    </row>
    <row r="16" spans="1:28" ht="14.25" customHeight="1">
      <c r="A16" s="213"/>
      <c r="B16" s="213"/>
      <c r="C16" s="210"/>
      <c r="D16" s="210"/>
      <c r="E16" s="56" t="s">
        <v>61</v>
      </c>
      <c r="F16" s="56" t="s">
        <v>152</v>
      </c>
      <c r="G16" s="56" t="s">
        <v>247</v>
      </c>
      <c r="H16" s="56" t="s">
        <v>243</v>
      </c>
      <c r="I16" s="56"/>
      <c r="J16" s="56">
        <v>50</v>
      </c>
      <c r="K16" s="56" t="s">
        <v>682</v>
      </c>
      <c r="L16" s="56" t="s">
        <v>5690</v>
      </c>
      <c r="M16" s="56" t="s">
        <v>315</v>
      </c>
      <c r="N16" s="56" t="s">
        <v>1683</v>
      </c>
      <c r="O16" s="56" t="s">
        <v>1684</v>
      </c>
      <c r="P16" s="56" t="s">
        <v>5702</v>
      </c>
      <c r="Q16" s="56">
        <v>0</v>
      </c>
      <c r="R16" s="249" t="s">
        <v>1346</v>
      </c>
      <c r="S16" s="25" t="s">
        <v>1568</v>
      </c>
      <c r="T16" s="56" t="s">
        <v>1686</v>
      </c>
      <c r="U16" s="56"/>
      <c r="V16" s="56"/>
      <c r="W16" s="56"/>
      <c r="X16" s="70">
        <v>14</v>
      </c>
      <c r="Y16" s="56"/>
      <c r="Z16" s="56" t="s">
        <v>1331</v>
      </c>
      <c r="AA16" s="55">
        <v>43475</v>
      </c>
      <c r="AB16" s="56"/>
    </row>
    <row r="17" spans="1:28" ht="14.25" customHeight="1">
      <c r="A17" s="213"/>
      <c r="B17" s="213"/>
      <c r="C17" s="210"/>
      <c r="D17" s="210"/>
      <c r="E17" s="56" t="s">
        <v>59</v>
      </c>
      <c r="F17" s="56" t="s">
        <v>316</v>
      </c>
      <c r="G17" s="56" t="s">
        <v>264</v>
      </c>
      <c r="H17" s="56" t="s">
        <v>243</v>
      </c>
      <c r="I17" s="56"/>
      <c r="J17" s="56">
        <v>65</v>
      </c>
      <c r="K17" s="56" t="s">
        <v>682</v>
      </c>
      <c r="L17" s="56" t="s">
        <v>5690</v>
      </c>
      <c r="M17" s="56" t="s">
        <v>317</v>
      </c>
      <c r="N17" s="56" t="s">
        <v>1604</v>
      </c>
      <c r="O17" s="56" t="s">
        <v>1805</v>
      </c>
      <c r="P17" s="56" t="s">
        <v>5702</v>
      </c>
      <c r="Q17" s="56">
        <v>0</v>
      </c>
      <c r="R17" s="249" t="s">
        <v>1346</v>
      </c>
      <c r="S17" s="25"/>
      <c r="T17" s="56" t="s">
        <v>1589</v>
      </c>
      <c r="U17" s="56"/>
      <c r="V17" s="56"/>
      <c r="W17" s="56"/>
      <c r="X17" s="70">
        <v>15</v>
      </c>
      <c r="Y17" s="56"/>
      <c r="Z17" s="56" t="s">
        <v>1331</v>
      </c>
      <c r="AA17" s="55">
        <v>43475</v>
      </c>
      <c r="AB17" s="56"/>
    </row>
    <row r="18" spans="1:28" ht="14.25" customHeight="1">
      <c r="A18" s="213"/>
      <c r="B18" s="213"/>
      <c r="C18" s="210"/>
      <c r="D18" s="210"/>
      <c r="E18" s="56" t="s">
        <v>59</v>
      </c>
      <c r="F18" s="56" t="s">
        <v>318</v>
      </c>
      <c r="G18" s="56" t="s">
        <v>264</v>
      </c>
      <c r="H18" s="56" t="s">
        <v>243</v>
      </c>
      <c r="I18" s="56"/>
      <c r="J18" s="56">
        <v>35</v>
      </c>
      <c r="K18" s="56" t="s">
        <v>682</v>
      </c>
      <c r="L18" s="56" t="s">
        <v>5690</v>
      </c>
      <c r="M18" s="56" t="s">
        <v>319</v>
      </c>
      <c r="N18" s="56" t="s">
        <v>1565</v>
      </c>
      <c r="O18" s="56" t="s">
        <v>1566</v>
      </c>
      <c r="P18" s="56" t="s">
        <v>5703</v>
      </c>
      <c r="Q18" s="56">
        <v>0</v>
      </c>
      <c r="R18" s="249" t="s">
        <v>1346</v>
      </c>
      <c r="S18" s="25" t="s">
        <v>1568</v>
      </c>
      <c r="T18" s="56" t="s">
        <v>318</v>
      </c>
      <c r="U18" s="56"/>
      <c r="V18" s="56"/>
      <c r="W18" s="56"/>
      <c r="X18" s="70">
        <v>16</v>
      </c>
      <c r="Y18" s="56"/>
      <c r="Z18" s="56" t="s">
        <v>1331</v>
      </c>
      <c r="AA18" s="55">
        <v>43475</v>
      </c>
      <c r="AB18" s="56"/>
    </row>
    <row r="19" spans="1:28" ht="14.25" customHeight="1">
      <c r="A19" s="213"/>
      <c r="B19" s="213"/>
      <c r="C19" s="210"/>
      <c r="D19" s="210"/>
      <c r="E19" s="56" t="s">
        <v>59</v>
      </c>
      <c r="F19" s="56" t="s">
        <v>320</v>
      </c>
      <c r="G19" s="56" t="s">
        <v>264</v>
      </c>
      <c r="H19" s="56" t="s">
        <v>243</v>
      </c>
      <c r="I19" s="56"/>
      <c r="J19" s="56">
        <v>59</v>
      </c>
      <c r="K19" s="56" t="s">
        <v>682</v>
      </c>
      <c r="L19" s="56" t="s">
        <v>5690</v>
      </c>
      <c r="M19" s="56" t="s">
        <v>321</v>
      </c>
      <c r="N19" s="56" t="s">
        <v>1604</v>
      </c>
      <c r="O19" s="56" t="s">
        <v>1762</v>
      </c>
      <c r="P19" s="56" t="s">
        <v>5704</v>
      </c>
      <c r="Q19" s="56">
        <v>0</v>
      </c>
      <c r="R19" s="249" t="s">
        <v>1346</v>
      </c>
      <c r="S19" s="25"/>
      <c r="T19" s="56" t="s">
        <v>320</v>
      </c>
      <c r="U19" s="56"/>
      <c r="V19" s="56"/>
      <c r="W19" s="56"/>
      <c r="X19" s="70">
        <v>17</v>
      </c>
      <c r="Y19" s="56"/>
      <c r="Z19" s="56" t="s">
        <v>1331</v>
      </c>
      <c r="AA19" s="55">
        <v>43475</v>
      </c>
      <c r="AB19" s="56"/>
    </row>
    <row r="20" spans="1:28" ht="14.25" customHeight="1">
      <c r="A20" s="213"/>
      <c r="B20" s="213"/>
      <c r="C20" s="210"/>
      <c r="D20" s="210"/>
      <c r="E20" s="56" t="s">
        <v>59</v>
      </c>
      <c r="F20" s="56" t="s">
        <v>322</v>
      </c>
      <c r="G20" s="56" t="s">
        <v>264</v>
      </c>
      <c r="H20" s="56" t="s">
        <v>243</v>
      </c>
      <c r="I20" s="56"/>
      <c r="J20" s="56">
        <v>41</v>
      </c>
      <c r="K20" s="56" t="s">
        <v>682</v>
      </c>
      <c r="L20" s="56" t="s">
        <v>5690</v>
      </c>
      <c r="M20" s="56" t="s">
        <v>323</v>
      </c>
      <c r="N20" s="56" t="s">
        <v>1604</v>
      </c>
      <c r="O20" s="56" t="s">
        <v>1605</v>
      </c>
      <c r="P20" s="56" t="s">
        <v>5705</v>
      </c>
      <c r="Q20" s="56">
        <v>0</v>
      </c>
      <c r="R20" s="249" t="s">
        <v>1346</v>
      </c>
      <c r="S20" s="25"/>
      <c r="T20" s="56" t="s">
        <v>322</v>
      </c>
      <c r="U20" s="56"/>
      <c r="V20" s="56"/>
      <c r="W20" s="56"/>
      <c r="X20" s="70">
        <v>18</v>
      </c>
      <c r="Y20" s="56"/>
      <c r="Z20" s="56" t="s">
        <v>1331</v>
      </c>
      <c r="AA20" s="55">
        <v>43475</v>
      </c>
      <c r="AB20" s="56"/>
    </row>
    <row r="21" spans="1:28" ht="14.25" customHeight="1">
      <c r="A21" s="213"/>
      <c r="B21" s="213"/>
      <c r="C21" s="210"/>
      <c r="D21" s="210"/>
      <c r="E21" s="56" t="s">
        <v>61</v>
      </c>
      <c r="F21" s="56" t="s">
        <v>153</v>
      </c>
      <c r="G21" s="56" t="s">
        <v>324</v>
      </c>
      <c r="H21" s="56" t="s">
        <v>243</v>
      </c>
      <c r="I21" s="56"/>
      <c r="J21" s="56">
        <v>55</v>
      </c>
      <c r="K21" s="56" t="s">
        <v>682</v>
      </c>
      <c r="L21" s="56" t="s">
        <v>5690</v>
      </c>
      <c r="M21" s="56" t="s">
        <v>325</v>
      </c>
      <c r="N21" s="56" t="s">
        <v>1736</v>
      </c>
      <c r="O21" s="56" t="s">
        <v>1737</v>
      </c>
      <c r="P21" s="56" t="s">
        <v>5706</v>
      </c>
      <c r="Q21" s="56">
        <v>0</v>
      </c>
      <c r="R21" s="249" t="s">
        <v>1346</v>
      </c>
      <c r="S21" s="25" t="s">
        <v>1739</v>
      </c>
      <c r="T21" s="56" t="s">
        <v>1740</v>
      </c>
      <c r="U21" s="56">
        <v>1</v>
      </c>
      <c r="V21" s="56"/>
      <c r="W21" s="56"/>
      <c r="X21" s="70">
        <v>19</v>
      </c>
      <c r="Y21" s="56"/>
      <c r="Z21" s="56" t="s">
        <v>1331</v>
      </c>
      <c r="AA21" s="55">
        <v>43475</v>
      </c>
      <c r="AB21" s="56"/>
    </row>
    <row r="22" spans="1:28" ht="14.25" customHeight="1">
      <c r="A22" s="213"/>
      <c r="B22" s="213"/>
      <c r="C22" s="210"/>
      <c r="D22" s="210"/>
      <c r="E22" s="56" t="s">
        <v>55</v>
      </c>
      <c r="F22" s="56" t="s">
        <v>326</v>
      </c>
      <c r="G22" s="56" t="s">
        <v>242</v>
      </c>
      <c r="H22" s="56" t="s">
        <v>243</v>
      </c>
      <c r="I22" s="56"/>
      <c r="J22" s="22"/>
      <c r="K22" s="56" t="s">
        <v>682</v>
      </c>
      <c r="L22" s="56" t="s">
        <v>5690</v>
      </c>
      <c r="M22" s="56" t="s">
        <v>327</v>
      </c>
      <c r="N22" s="56" t="s">
        <v>1390</v>
      </c>
      <c r="O22" s="56" t="s">
        <v>1725</v>
      </c>
      <c r="P22" s="56" t="s">
        <v>5707</v>
      </c>
      <c r="Q22" s="56">
        <v>0</v>
      </c>
      <c r="R22" s="54"/>
      <c r="S22" s="25" t="s">
        <v>1726</v>
      </c>
      <c r="T22" s="21" t="s">
        <v>1727</v>
      </c>
      <c r="U22" s="56"/>
      <c r="V22" s="56"/>
      <c r="W22" s="56"/>
      <c r="X22" s="70">
        <v>20</v>
      </c>
      <c r="Y22" s="56"/>
      <c r="Z22" s="56" t="s">
        <v>1331</v>
      </c>
      <c r="AA22" s="55">
        <v>43475</v>
      </c>
      <c r="AB22" s="56"/>
    </row>
    <row r="23" spans="1:28" ht="14.25" customHeight="1">
      <c r="A23" s="213"/>
      <c r="B23" s="213"/>
      <c r="C23" s="210"/>
      <c r="D23" s="210"/>
      <c r="E23" s="56" t="s">
        <v>59</v>
      </c>
      <c r="F23" s="56" t="s">
        <v>328</v>
      </c>
      <c r="G23" s="56" t="s">
        <v>329</v>
      </c>
      <c r="H23" s="56" t="s">
        <v>243</v>
      </c>
      <c r="I23" s="56"/>
      <c r="J23" s="56">
        <v>45</v>
      </c>
      <c r="K23" s="56" t="s">
        <v>682</v>
      </c>
      <c r="L23" s="56" t="s">
        <v>5690</v>
      </c>
      <c r="M23" s="56" t="s">
        <v>330</v>
      </c>
      <c r="N23" s="56" t="s">
        <v>1636</v>
      </c>
      <c r="O23" s="56" t="s">
        <v>1637</v>
      </c>
      <c r="P23" s="56" t="s">
        <v>5708</v>
      </c>
      <c r="Q23" s="56">
        <v>0</v>
      </c>
      <c r="R23" s="54"/>
      <c r="S23" s="25">
        <v>1</v>
      </c>
      <c r="T23" s="56" t="s">
        <v>1639</v>
      </c>
      <c r="U23" s="56"/>
      <c r="V23" s="56"/>
      <c r="W23" s="56"/>
      <c r="X23" s="70">
        <v>21</v>
      </c>
      <c r="Y23" s="56"/>
      <c r="Z23" s="56" t="s">
        <v>1331</v>
      </c>
      <c r="AA23" s="55">
        <v>43475</v>
      </c>
      <c r="AB23" s="56"/>
    </row>
    <row r="24" spans="1:28" ht="14.25" customHeight="1">
      <c r="A24" s="213"/>
      <c r="B24" s="213"/>
      <c r="C24" s="210"/>
      <c r="D24" s="210"/>
      <c r="E24" s="56" t="s">
        <v>59</v>
      </c>
      <c r="F24" s="56" t="s">
        <v>331</v>
      </c>
      <c r="G24" s="56" t="s">
        <v>329</v>
      </c>
      <c r="H24" s="56" t="s">
        <v>243</v>
      </c>
      <c r="I24" s="56"/>
      <c r="J24" s="56">
        <v>39</v>
      </c>
      <c r="K24" s="56" t="s">
        <v>682</v>
      </c>
      <c r="L24" s="56" t="s">
        <v>5690</v>
      </c>
      <c r="M24" s="56" t="s">
        <v>332</v>
      </c>
      <c r="N24" s="56" t="s">
        <v>1597</v>
      </c>
      <c r="O24" s="56" t="s">
        <v>1598</v>
      </c>
      <c r="P24" s="56" t="s">
        <v>5709</v>
      </c>
      <c r="Q24" s="56">
        <v>0</v>
      </c>
      <c r="R24" s="54"/>
      <c r="S24" s="25">
        <v>1</v>
      </c>
      <c r="T24" s="56" t="s">
        <v>1599</v>
      </c>
      <c r="U24" s="56"/>
      <c r="V24" s="56"/>
      <c r="W24" s="56"/>
      <c r="X24" s="70">
        <v>22</v>
      </c>
      <c r="Y24" s="56"/>
      <c r="Z24" s="56" t="s">
        <v>1331</v>
      </c>
      <c r="AA24" s="55">
        <v>43475</v>
      </c>
      <c r="AB24" s="56"/>
    </row>
    <row r="25" spans="1:28" ht="14.25" customHeight="1">
      <c r="A25" s="213"/>
      <c r="B25" s="213"/>
      <c r="C25" s="210"/>
      <c r="D25" s="210"/>
      <c r="E25" s="56" t="s">
        <v>61</v>
      </c>
      <c r="F25" s="56" t="s">
        <v>333</v>
      </c>
      <c r="G25" s="56" t="s">
        <v>329</v>
      </c>
      <c r="H25" s="56" t="s">
        <v>243</v>
      </c>
      <c r="I25" s="56"/>
      <c r="J25" s="56">
        <v>28</v>
      </c>
      <c r="K25" s="56" t="s">
        <v>682</v>
      </c>
      <c r="L25" s="56" t="s">
        <v>5690</v>
      </c>
      <c r="M25" s="56" t="s">
        <v>334</v>
      </c>
      <c r="N25" s="56" t="s">
        <v>1395</v>
      </c>
      <c r="O25" s="56" t="s">
        <v>1530</v>
      </c>
      <c r="P25" s="56" t="s">
        <v>5708</v>
      </c>
      <c r="Q25" s="56">
        <v>0</v>
      </c>
      <c r="R25" s="54"/>
      <c r="S25" s="25">
        <v>1</v>
      </c>
      <c r="T25" s="56" t="s">
        <v>1532</v>
      </c>
      <c r="U25" s="56"/>
      <c r="V25" s="56"/>
      <c r="W25" s="56"/>
      <c r="X25" s="70">
        <v>23</v>
      </c>
      <c r="Y25" s="56"/>
      <c r="Z25" s="56" t="s">
        <v>1331</v>
      </c>
      <c r="AA25" s="55">
        <v>43475</v>
      </c>
      <c r="AB25" s="56"/>
    </row>
    <row r="26" spans="1:28" ht="14.25" customHeight="1">
      <c r="A26" s="213"/>
      <c r="B26" s="213"/>
      <c r="C26" s="210"/>
      <c r="D26" s="210"/>
      <c r="E26" s="70" t="s">
        <v>55</v>
      </c>
      <c r="F26" s="56" t="s">
        <v>335</v>
      </c>
      <c r="G26" s="56" t="s">
        <v>329</v>
      </c>
      <c r="H26" s="70" t="s">
        <v>243</v>
      </c>
      <c r="I26" s="56"/>
      <c r="J26" s="70">
        <v>102</v>
      </c>
      <c r="K26" s="56" t="s">
        <v>682</v>
      </c>
      <c r="L26" s="56" t="s">
        <v>5690</v>
      </c>
      <c r="M26" s="56" t="s">
        <v>336</v>
      </c>
      <c r="N26" s="56" t="s">
        <v>1395</v>
      </c>
      <c r="O26" s="56" t="s">
        <v>1720</v>
      </c>
      <c r="P26" s="56" t="s">
        <v>5708</v>
      </c>
      <c r="Q26" s="56">
        <v>0</v>
      </c>
      <c r="R26" s="54"/>
      <c r="S26" s="25">
        <v>1</v>
      </c>
      <c r="T26" s="56" t="s">
        <v>1721</v>
      </c>
      <c r="U26" s="56"/>
      <c r="V26" s="56"/>
      <c r="W26" s="56"/>
      <c r="X26" s="70">
        <v>24</v>
      </c>
      <c r="Y26" s="56"/>
      <c r="Z26" s="56" t="s">
        <v>1331</v>
      </c>
      <c r="AA26" s="55">
        <v>43475</v>
      </c>
      <c r="AB26" s="56"/>
    </row>
    <row r="27" spans="1:28" ht="14.25" customHeight="1">
      <c r="A27" s="213"/>
      <c r="B27" s="213"/>
      <c r="C27" s="210"/>
      <c r="D27" s="210"/>
      <c r="E27" s="56" t="s">
        <v>59</v>
      </c>
      <c r="F27" s="56" t="s">
        <v>129</v>
      </c>
      <c r="G27" s="56" t="s">
        <v>250</v>
      </c>
      <c r="H27" s="56" t="s">
        <v>243</v>
      </c>
      <c r="I27" s="56"/>
      <c r="J27" s="56">
        <v>43</v>
      </c>
      <c r="K27" s="56" t="s">
        <v>682</v>
      </c>
      <c r="L27" s="56" t="s">
        <v>5690</v>
      </c>
      <c r="M27" s="56" t="s">
        <v>337</v>
      </c>
      <c r="N27" s="56" t="s">
        <v>1456</v>
      </c>
      <c r="O27" s="56" t="s">
        <v>1616</v>
      </c>
      <c r="P27" s="56" t="s">
        <v>5692</v>
      </c>
      <c r="Q27" s="56">
        <v>0</v>
      </c>
      <c r="R27" s="54"/>
      <c r="S27" s="25" t="s">
        <v>1201</v>
      </c>
      <c r="T27" s="56" t="s">
        <v>1617</v>
      </c>
      <c r="U27" s="56">
        <v>1</v>
      </c>
      <c r="V27" s="56"/>
      <c r="W27" s="56"/>
      <c r="X27" s="70">
        <v>25</v>
      </c>
      <c r="Y27" s="56"/>
      <c r="Z27" s="56" t="s">
        <v>1331</v>
      </c>
      <c r="AA27" s="55">
        <v>43475</v>
      </c>
      <c r="AB27" s="56" t="s">
        <v>1618</v>
      </c>
    </row>
    <row r="28" spans="1:28" ht="14.25" customHeight="1">
      <c r="A28" s="213"/>
      <c r="B28" s="213"/>
      <c r="C28" s="210"/>
      <c r="D28" s="210"/>
      <c r="E28" s="56" t="s">
        <v>59</v>
      </c>
      <c r="F28" s="56" t="s">
        <v>339</v>
      </c>
      <c r="G28" s="56" t="s">
        <v>242</v>
      </c>
      <c r="H28" s="56" t="s">
        <v>243</v>
      </c>
      <c r="I28" s="56"/>
      <c r="J28" s="56">
        <v>72</v>
      </c>
      <c r="K28" s="56" t="s">
        <v>682</v>
      </c>
      <c r="L28" s="56" t="s">
        <v>5690</v>
      </c>
      <c r="M28" s="56" t="s">
        <v>340</v>
      </c>
      <c r="N28" s="56" t="s">
        <v>1390</v>
      </c>
      <c r="O28" s="56" t="s">
        <v>1619</v>
      </c>
      <c r="P28" s="56" t="s">
        <v>5710</v>
      </c>
      <c r="Q28" s="56">
        <v>0</v>
      </c>
      <c r="R28" s="54"/>
      <c r="S28" s="25" t="s">
        <v>1463</v>
      </c>
      <c r="T28" s="56" t="s">
        <v>1620</v>
      </c>
      <c r="U28" s="56"/>
      <c r="V28" s="56"/>
      <c r="W28" s="56"/>
      <c r="X28" s="70">
        <v>26</v>
      </c>
      <c r="Y28" s="56"/>
      <c r="Z28" s="56" t="s">
        <v>1331</v>
      </c>
      <c r="AA28" s="55">
        <v>43475</v>
      </c>
      <c r="AB28" s="56" t="s">
        <v>1603</v>
      </c>
    </row>
    <row r="29" spans="1:28" ht="14.25" customHeight="1">
      <c r="A29" s="213"/>
      <c r="B29" s="213"/>
      <c r="C29" s="210"/>
      <c r="D29" s="210"/>
      <c r="E29" s="56" t="s">
        <v>59</v>
      </c>
      <c r="F29" s="56" t="s">
        <v>341</v>
      </c>
      <c r="G29" s="56" t="s">
        <v>247</v>
      </c>
      <c r="H29" s="56" t="s">
        <v>243</v>
      </c>
      <c r="I29" s="56"/>
      <c r="J29" s="56">
        <v>32</v>
      </c>
      <c r="K29" s="56" t="s">
        <v>682</v>
      </c>
      <c r="L29" s="56" t="s">
        <v>5690</v>
      </c>
      <c r="M29" s="56" t="s">
        <v>342</v>
      </c>
      <c r="N29" s="56" t="s">
        <v>1554</v>
      </c>
      <c r="O29" s="56" t="s">
        <v>1555</v>
      </c>
      <c r="P29" s="56" t="s">
        <v>5711</v>
      </c>
      <c r="Q29" s="56">
        <v>0</v>
      </c>
      <c r="R29" s="249" t="s">
        <v>1346</v>
      </c>
      <c r="S29" s="25" t="s">
        <v>1252</v>
      </c>
      <c r="T29" s="56" t="s">
        <v>1557</v>
      </c>
      <c r="U29" s="56">
        <v>1</v>
      </c>
      <c r="V29" s="56"/>
      <c r="W29" s="56"/>
      <c r="X29" s="70">
        <v>27</v>
      </c>
      <c r="Y29" s="56"/>
      <c r="Z29" s="56" t="s">
        <v>1331</v>
      </c>
      <c r="AA29" s="55">
        <v>43475</v>
      </c>
      <c r="AB29" s="56"/>
    </row>
    <row r="30" spans="1:28" ht="14.25" customHeight="1">
      <c r="A30" s="213"/>
      <c r="B30" s="213"/>
      <c r="C30" s="210"/>
      <c r="D30" s="210"/>
      <c r="E30" s="56" t="s">
        <v>59</v>
      </c>
      <c r="F30" s="56" t="s">
        <v>343</v>
      </c>
      <c r="G30" s="56" t="s">
        <v>247</v>
      </c>
      <c r="H30" s="56" t="s">
        <v>243</v>
      </c>
      <c r="I30" s="56"/>
      <c r="J30" s="56">
        <v>33</v>
      </c>
      <c r="K30" s="56" t="s">
        <v>682</v>
      </c>
      <c r="L30" s="56" t="s">
        <v>5690</v>
      </c>
      <c r="M30" s="56" t="s">
        <v>344</v>
      </c>
      <c r="N30" s="56" t="s">
        <v>1554</v>
      </c>
      <c r="O30" s="56" t="s">
        <v>1558</v>
      </c>
      <c r="P30" s="56" t="s">
        <v>5712</v>
      </c>
      <c r="Q30" s="56">
        <v>0</v>
      </c>
      <c r="R30" s="249" t="s">
        <v>1346</v>
      </c>
      <c r="S30" s="25" t="s">
        <v>1252</v>
      </c>
      <c r="T30" s="56" t="s">
        <v>1560</v>
      </c>
      <c r="U30" s="56">
        <v>1</v>
      </c>
      <c r="V30" s="56"/>
      <c r="W30" s="56"/>
      <c r="X30" s="70">
        <v>28</v>
      </c>
      <c r="Y30" s="56"/>
      <c r="Z30" s="56" t="s">
        <v>1331</v>
      </c>
      <c r="AA30" s="55">
        <v>43475</v>
      </c>
      <c r="AB30" s="56"/>
    </row>
    <row r="31" spans="1:28" ht="14.25" customHeight="1">
      <c r="A31" s="213"/>
      <c r="B31" s="213"/>
      <c r="C31" s="210"/>
      <c r="D31" s="210"/>
      <c r="E31" s="56" t="s">
        <v>55</v>
      </c>
      <c r="F31" s="56" t="s">
        <v>345</v>
      </c>
      <c r="G31" s="56" t="s">
        <v>346</v>
      </c>
      <c r="H31" s="56" t="s">
        <v>243</v>
      </c>
      <c r="I31" s="56"/>
      <c r="J31" s="56">
        <v>49</v>
      </c>
      <c r="K31" s="56" t="s">
        <v>682</v>
      </c>
      <c r="L31" s="56" t="s">
        <v>5690</v>
      </c>
      <c r="M31" s="56" t="s">
        <v>347</v>
      </c>
      <c r="N31" s="56" t="s">
        <v>1390</v>
      </c>
      <c r="O31" s="56"/>
      <c r="P31" s="56" t="s">
        <v>5713</v>
      </c>
      <c r="Q31" s="56">
        <v>0</v>
      </c>
      <c r="R31" s="54"/>
      <c r="S31" s="25" t="s">
        <v>1676</v>
      </c>
      <c r="T31" s="56" t="s">
        <v>1677</v>
      </c>
      <c r="U31" s="56">
        <v>1</v>
      </c>
      <c r="V31" s="56"/>
      <c r="W31" s="56"/>
      <c r="X31" s="70">
        <v>29</v>
      </c>
      <c r="Y31" s="56"/>
      <c r="Z31" s="56" t="s">
        <v>1331</v>
      </c>
      <c r="AA31" s="55">
        <v>43475</v>
      </c>
      <c r="AB31" s="56"/>
    </row>
    <row r="32" spans="1:28" ht="14.25" customHeight="1">
      <c r="A32" s="213"/>
      <c r="B32" s="213"/>
      <c r="C32" s="210"/>
      <c r="D32" s="210"/>
      <c r="E32" s="56" t="s">
        <v>59</v>
      </c>
      <c r="F32" s="56" t="s">
        <v>151</v>
      </c>
      <c r="G32" s="56" t="s">
        <v>247</v>
      </c>
      <c r="H32" s="56" t="s">
        <v>243</v>
      </c>
      <c r="I32" s="56"/>
      <c r="J32" s="56">
        <v>56</v>
      </c>
      <c r="K32" s="56" t="s">
        <v>682</v>
      </c>
      <c r="L32" s="56" t="s">
        <v>5690</v>
      </c>
      <c r="M32" s="56" t="s">
        <v>348</v>
      </c>
      <c r="N32" s="56" t="s">
        <v>1390</v>
      </c>
      <c r="O32" s="56" t="s">
        <v>1749</v>
      </c>
      <c r="P32" s="56" t="s">
        <v>5714</v>
      </c>
      <c r="Q32" s="56">
        <v>0</v>
      </c>
      <c r="R32" s="249" t="s">
        <v>1346</v>
      </c>
      <c r="S32" s="25" t="s">
        <v>1751</v>
      </c>
      <c r="T32" s="56" t="s">
        <v>1752</v>
      </c>
      <c r="U32" s="56">
        <v>1</v>
      </c>
      <c r="V32" s="56"/>
      <c r="W32" s="56"/>
      <c r="X32" s="70">
        <v>30</v>
      </c>
      <c r="Y32" s="56"/>
      <c r="Z32" s="56" t="s">
        <v>1331</v>
      </c>
      <c r="AA32" s="55">
        <v>43475</v>
      </c>
      <c r="AB32" s="56"/>
    </row>
    <row r="33" spans="1:28" ht="14.25" customHeight="1">
      <c r="A33" s="213"/>
      <c r="B33" s="213"/>
      <c r="C33" s="210"/>
      <c r="D33" s="210"/>
      <c r="E33" s="56" t="s">
        <v>59</v>
      </c>
      <c r="F33" s="56" t="s">
        <v>349</v>
      </c>
      <c r="G33" s="56" t="s">
        <v>247</v>
      </c>
      <c r="H33" s="56" t="s">
        <v>243</v>
      </c>
      <c r="I33" s="56"/>
      <c r="J33" s="56">
        <v>57</v>
      </c>
      <c r="K33" s="56" t="s">
        <v>682</v>
      </c>
      <c r="L33" s="56" t="s">
        <v>5690</v>
      </c>
      <c r="M33" s="56" t="s">
        <v>350</v>
      </c>
      <c r="N33" s="56" t="s">
        <v>1390</v>
      </c>
      <c r="O33" s="56" t="s">
        <v>1753</v>
      </c>
      <c r="P33" s="56" t="s">
        <v>5715</v>
      </c>
      <c r="Q33" s="56">
        <v>0</v>
      </c>
      <c r="R33" s="249" t="s">
        <v>1346</v>
      </c>
      <c r="S33" s="25" t="s">
        <v>1755</v>
      </c>
      <c r="T33" s="56" t="s">
        <v>1756</v>
      </c>
      <c r="U33" s="56">
        <v>1</v>
      </c>
      <c r="V33" s="56"/>
      <c r="W33" s="56"/>
      <c r="X33" s="70">
        <v>31</v>
      </c>
      <c r="Y33" s="56"/>
      <c r="Z33" s="56" t="s">
        <v>1331</v>
      </c>
      <c r="AA33" s="55">
        <v>43475</v>
      </c>
      <c r="AB33" s="56"/>
    </row>
    <row r="34" spans="1:28" ht="14.25" customHeight="1">
      <c r="A34" s="213"/>
      <c r="B34" s="213"/>
      <c r="C34" s="210"/>
      <c r="D34" s="210"/>
      <c r="E34" s="56" t="s">
        <v>55</v>
      </c>
      <c r="F34" s="56" t="s">
        <v>351</v>
      </c>
      <c r="G34" s="56" t="s">
        <v>247</v>
      </c>
      <c r="H34" s="56" t="s">
        <v>243</v>
      </c>
      <c r="I34" s="56"/>
      <c r="J34" s="56">
        <v>58</v>
      </c>
      <c r="K34" s="56" t="s">
        <v>682</v>
      </c>
      <c r="L34" s="56" t="s">
        <v>5690</v>
      </c>
      <c r="M34" s="56" t="s">
        <v>352</v>
      </c>
      <c r="N34" s="56" t="s">
        <v>1390</v>
      </c>
      <c r="O34" s="56" t="s">
        <v>1391</v>
      </c>
      <c r="P34" s="56" t="s">
        <v>5716</v>
      </c>
      <c r="Q34" s="56">
        <v>0</v>
      </c>
      <c r="R34" s="249" t="s">
        <v>1346</v>
      </c>
      <c r="S34" s="25" t="s">
        <v>1758</v>
      </c>
      <c r="T34" s="56" t="s">
        <v>1759</v>
      </c>
      <c r="U34" s="56">
        <v>1</v>
      </c>
      <c r="V34" s="56"/>
      <c r="W34" s="56"/>
      <c r="X34" s="70">
        <v>32</v>
      </c>
      <c r="Y34" s="56"/>
      <c r="Z34" s="56" t="s">
        <v>1331</v>
      </c>
      <c r="AA34" s="55">
        <v>43475</v>
      </c>
      <c r="AB34" s="56"/>
    </row>
    <row r="35" spans="1:28" ht="14.25" customHeight="1">
      <c r="A35" s="213"/>
      <c r="B35" s="213"/>
      <c r="C35" s="210"/>
      <c r="D35" s="210"/>
      <c r="E35" s="56" t="s">
        <v>59</v>
      </c>
      <c r="F35" s="56" t="s">
        <v>353</v>
      </c>
      <c r="G35" s="56" t="s">
        <v>346</v>
      </c>
      <c r="H35" s="56" t="s">
        <v>243</v>
      </c>
      <c r="I35" s="56"/>
      <c r="J35" s="56">
        <v>46</v>
      </c>
      <c r="K35" s="56" t="s">
        <v>682</v>
      </c>
      <c r="L35" s="56" t="s">
        <v>5690</v>
      </c>
      <c r="M35" s="56" t="s">
        <v>354</v>
      </c>
      <c r="N35" s="56" t="s">
        <v>1663</v>
      </c>
      <c r="O35" s="56" t="s">
        <v>1664</v>
      </c>
      <c r="P35" s="56" t="s">
        <v>5717</v>
      </c>
      <c r="Q35" s="56">
        <v>0</v>
      </c>
      <c r="R35" s="249" t="s">
        <v>1346</v>
      </c>
      <c r="S35" s="25"/>
      <c r="T35" s="56" t="s">
        <v>1665</v>
      </c>
      <c r="U35" s="56"/>
      <c r="V35" s="56"/>
      <c r="W35" s="56"/>
      <c r="X35" s="70">
        <v>33</v>
      </c>
      <c r="Y35" s="56"/>
      <c r="Z35" s="56" t="s">
        <v>1331</v>
      </c>
      <c r="AA35" s="55">
        <v>43475</v>
      </c>
      <c r="AB35" s="56"/>
    </row>
    <row r="36" spans="1:28" ht="14.25" customHeight="1">
      <c r="A36" s="213"/>
      <c r="B36" s="213"/>
      <c r="C36" s="210"/>
      <c r="D36" s="210"/>
      <c r="E36" s="56" t="s">
        <v>59</v>
      </c>
      <c r="F36" s="56" t="s">
        <v>355</v>
      </c>
      <c r="G36" s="56" t="s">
        <v>346</v>
      </c>
      <c r="H36" s="56" t="s">
        <v>243</v>
      </c>
      <c r="I36" s="56"/>
      <c r="J36" s="56">
        <v>3</v>
      </c>
      <c r="K36" s="56" t="s">
        <v>682</v>
      </c>
      <c r="L36" s="56" t="s">
        <v>5690</v>
      </c>
      <c r="M36" s="56" t="s">
        <v>356</v>
      </c>
      <c r="N36" s="56" t="s">
        <v>1663</v>
      </c>
      <c r="O36" s="56" t="s">
        <v>1764</v>
      </c>
      <c r="P36" s="56" t="s">
        <v>5718</v>
      </c>
      <c r="Q36" s="56">
        <v>0</v>
      </c>
      <c r="R36" s="249" t="s">
        <v>1346</v>
      </c>
      <c r="S36" s="25"/>
      <c r="T36" s="56" t="s">
        <v>1765</v>
      </c>
      <c r="U36" s="56">
        <v>1</v>
      </c>
      <c r="V36" s="56"/>
      <c r="W36" s="56"/>
      <c r="X36" s="70">
        <v>34</v>
      </c>
      <c r="Y36" s="56"/>
      <c r="Z36" s="56" t="s">
        <v>1331</v>
      </c>
      <c r="AA36" s="55">
        <v>43475</v>
      </c>
      <c r="AB36" s="56"/>
    </row>
    <row r="37" spans="1:28" ht="14.25" customHeight="1">
      <c r="A37" s="213"/>
      <c r="B37" s="213"/>
      <c r="C37" s="210"/>
      <c r="D37" s="210"/>
      <c r="E37" s="56" t="s">
        <v>55</v>
      </c>
      <c r="F37" s="56" t="s">
        <v>357</v>
      </c>
      <c r="G37" s="56" t="s">
        <v>329</v>
      </c>
      <c r="H37" s="56" t="s">
        <v>243</v>
      </c>
      <c r="I37" s="56"/>
      <c r="J37" s="22"/>
      <c r="K37" s="56" t="s">
        <v>682</v>
      </c>
      <c r="L37" s="56" t="s">
        <v>5690</v>
      </c>
      <c r="M37" s="56" t="s">
        <v>358</v>
      </c>
      <c r="N37" s="56" t="s">
        <v>1374</v>
      </c>
      <c r="O37" s="56" t="s">
        <v>1375</v>
      </c>
      <c r="P37" s="56" t="s">
        <v>5700</v>
      </c>
      <c r="Q37" s="56">
        <v>0</v>
      </c>
      <c r="R37" s="54"/>
      <c r="S37" s="25"/>
      <c r="T37" s="21" t="s">
        <v>1377</v>
      </c>
      <c r="U37" s="56"/>
      <c r="V37" s="56"/>
      <c r="W37" s="56"/>
      <c r="X37" s="70">
        <v>35</v>
      </c>
      <c r="Y37" s="56"/>
      <c r="Z37" s="56" t="s">
        <v>1331</v>
      </c>
      <c r="AA37" s="55">
        <v>43475</v>
      </c>
      <c r="AB37" s="56"/>
    </row>
    <row r="38" spans="1:28" ht="14.25" customHeight="1">
      <c r="A38" s="213"/>
      <c r="B38" s="213"/>
      <c r="C38" s="210"/>
      <c r="D38" s="210"/>
      <c r="E38" s="56" t="s">
        <v>55</v>
      </c>
      <c r="F38" s="56" t="s">
        <v>359</v>
      </c>
      <c r="G38" s="56" t="s">
        <v>329</v>
      </c>
      <c r="H38" s="56" t="s">
        <v>243</v>
      </c>
      <c r="I38" s="56"/>
      <c r="J38" s="56">
        <v>93</v>
      </c>
      <c r="K38" s="56" t="s">
        <v>682</v>
      </c>
      <c r="L38" s="56" t="s">
        <v>5690</v>
      </c>
      <c r="M38" s="56" t="s">
        <v>360</v>
      </c>
      <c r="N38" s="56" t="s">
        <v>1395</v>
      </c>
      <c r="O38" s="56" t="s">
        <v>1660</v>
      </c>
      <c r="P38" s="56" t="s">
        <v>5700</v>
      </c>
      <c r="Q38" s="56">
        <v>0</v>
      </c>
      <c r="R38" s="54"/>
      <c r="S38" s="25"/>
      <c r="T38" s="56" t="s">
        <v>1662</v>
      </c>
      <c r="U38" s="56"/>
      <c r="V38" s="56"/>
      <c r="W38" s="56"/>
      <c r="X38" s="70">
        <v>36</v>
      </c>
      <c r="Y38" s="56"/>
      <c r="Z38" s="56" t="s">
        <v>1331</v>
      </c>
      <c r="AA38" s="55">
        <v>43475</v>
      </c>
      <c r="AB38" s="56"/>
    </row>
    <row r="39" spans="1:28" ht="14.25" customHeight="1">
      <c r="A39" s="213"/>
      <c r="B39" s="213"/>
      <c r="C39" s="210"/>
      <c r="D39" s="210"/>
      <c r="E39" s="56" t="s">
        <v>55</v>
      </c>
      <c r="F39" s="56" t="s">
        <v>361</v>
      </c>
      <c r="G39" s="56" t="s">
        <v>255</v>
      </c>
      <c r="H39" s="56" t="s">
        <v>243</v>
      </c>
      <c r="I39" s="56"/>
      <c r="J39" s="56">
        <v>40</v>
      </c>
      <c r="K39" s="56" t="s">
        <v>682</v>
      </c>
      <c r="L39" s="56" t="s">
        <v>5690</v>
      </c>
      <c r="M39" s="56" t="s">
        <v>362</v>
      </c>
      <c r="N39" s="56" t="s">
        <v>1600</v>
      </c>
      <c r="O39" s="56"/>
      <c r="P39" s="56" t="s">
        <v>5700</v>
      </c>
      <c r="Q39" s="56">
        <v>0</v>
      </c>
      <c r="R39" s="249"/>
      <c r="S39" s="25"/>
      <c r="T39" s="56" t="s">
        <v>1602</v>
      </c>
      <c r="U39" s="56">
        <v>1</v>
      </c>
      <c r="V39" s="56"/>
      <c r="W39" s="56"/>
      <c r="X39" s="70">
        <v>37</v>
      </c>
      <c r="Y39" s="56"/>
      <c r="Z39" s="56" t="s">
        <v>1331</v>
      </c>
      <c r="AA39" s="55">
        <v>43475</v>
      </c>
      <c r="AB39" s="56" t="s">
        <v>1603</v>
      </c>
    </row>
    <row r="40" spans="1:28" ht="14.25" customHeight="1">
      <c r="A40" s="213"/>
      <c r="B40" s="213"/>
      <c r="C40" s="210"/>
      <c r="D40" s="210"/>
      <c r="E40" s="56" t="s">
        <v>59</v>
      </c>
      <c r="F40" s="56" t="s">
        <v>363</v>
      </c>
      <c r="G40" s="56" t="s">
        <v>364</v>
      </c>
      <c r="H40" s="56" t="s">
        <v>243</v>
      </c>
      <c r="I40" s="56"/>
      <c r="J40" s="56">
        <v>34</v>
      </c>
      <c r="K40" s="56" t="s">
        <v>682</v>
      </c>
      <c r="L40" s="56" t="s">
        <v>5690</v>
      </c>
      <c r="M40" s="56" t="s">
        <v>365</v>
      </c>
      <c r="N40" s="56" t="s">
        <v>1561</v>
      </c>
      <c r="O40" s="56" t="s">
        <v>1562</v>
      </c>
      <c r="P40" s="56" t="s">
        <v>5700</v>
      </c>
      <c r="Q40" s="56">
        <v>0</v>
      </c>
      <c r="R40" s="249" t="s">
        <v>1346</v>
      </c>
      <c r="S40" s="25"/>
      <c r="T40" s="56" t="s">
        <v>1564</v>
      </c>
      <c r="U40" s="56">
        <v>1</v>
      </c>
      <c r="V40" s="56"/>
      <c r="W40" s="56"/>
      <c r="X40" s="70">
        <v>38</v>
      </c>
      <c r="Y40" s="56"/>
      <c r="Z40" s="56" t="s">
        <v>1331</v>
      </c>
      <c r="AA40" s="55">
        <v>43475</v>
      </c>
      <c r="AB40" s="56"/>
    </row>
    <row r="41" spans="1:28" ht="14.25" customHeight="1">
      <c r="A41" s="213"/>
      <c r="B41" s="213"/>
      <c r="C41" s="210"/>
      <c r="D41" s="210"/>
      <c r="E41" s="56" t="s">
        <v>55</v>
      </c>
      <c r="F41" s="56" t="s">
        <v>366</v>
      </c>
      <c r="G41" s="56" t="s">
        <v>329</v>
      </c>
      <c r="H41" s="56" t="s">
        <v>243</v>
      </c>
      <c r="I41" s="56"/>
      <c r="J41" s="56">
        <v>90</v>
      </c>
      <c r="K41" s="56" t="s">
        <v>682</v>
      </c>
      <c r="L41" s="56" t="s">
        <v>5690</v>
      </c>
      <c r="M41" s="56" t="s">
        <v>367</v>
      </c>
      <c r="N41" s="56" t="s">
        <v>1395</v>
      </c>
      <c r="O41" s="56"/>
      <c r="P41" s="56" t="s">
        <v>5700</v>
      </c>
      <c r="Q41" s="56">
        <v>0</v>
      </c>
      <c r="R41" s="54"/>
      <c r="S41" s="25"/>
      <c r="T41" s="56" t="s">
        <v>1822</v>
      </c>
      <c r="U41" s="56">
        <v>1</v>
      </c>
      <c r="V41" s="56"/>
      <c r="W41" s="56"/>
      <c r="X41" s="70">
        <v>39</v>
      </c>
      <c r="Y41" s="56"/>
      <c r="Z41" s="56" t="s">
        <v>1331</v>
      </c>
      <c r="AA41" s="55">
        <v>43475</v>
      </c>
      <c r="AB41" s="56" t="s">
        <v>1603</v>
      </c>
    </row>
    <row r="42" spans="1:28" ht="14.25" customHeight="1">
      <c r="A42" s="213"/>
      <c r="B42" s="213"/>
      <c r="C42" s="210"/>
      <c r="D42" s="210"/>
      <c r="E42" s="56" t="s">
        <v>55</v>
      </c>
      <c r="F42" s="56" t="s">
        <v>368</v>
      </c>
      <c r="G42" s="56" t="s">
        <v>329</v>
      </c>
      <c r="H42" s="56" t="s">
        <v>243</v>
      </c>
      <c r="I42" s="56"/>
      <c r="J42" s="56">
        <v>89</v>
      </c>
      <c r="K42" s="56" t="s">
        <v>682</v>
      </c>
      <c r="L42" s="56" t="s">
        <v>5690</v>
      </c>
      <c r="M42" s="56" t="s">
        <v>369</v>
      </c>
      <c r="N42" s="56" t="s">
        <v>1395</v>
      </c>
      <c r="O42" s="56"/>
      <c r="P42" s="56" t="s">
        <v>5700</v>
      </c>
      <c r="Q42" s="56">
        <v>0</v>
      </c>
      <c r="R42" s="54"/>
      <c r="S42" s="25"/>
      <c r="T42" s="56" t="s">
        <v>1823</v>
      </c>
      <c r="U42" s="56">
        <v>1</v>
      </c>
      <c r="V42" s="56"/>
      <c r="W42" s="56"/>
      <c r="X42" s="70">
        <v>40</v>
      </c>
      <c r="Y42" s="56"/>
      <c r="Z42" s="56" t="s">
        <v>1331</v>
      </c>
      <c r="AA42" s="55">
        <v>43475</v>
      </c>
      <c r="AB42" s="56"/>
    </row>
    <row r="43" spans="1:28" ht="14.25" customHeight="1">
      <c r="A43" s="213"/>
      <c r="B43" s="213"/>
      <c r="C43" s="210"/>
      <c r="D43" s="210"/>
      <c r="E43" s="56" t="s">
        <v>55</v>
      </c>
      <c r="F43" s="56" t="s">
        <v>370</v>
      </c>
      <c r="G43" s="56" t="s">
        <v>329</v>
      </c>
      <c r="H43" s="56" t="s">
        <v>243</v>
      </c>
      <c r="I43" s="56"/>
      <c r="J43" s="22"/>
      <c r="K43" s="56" t="s">
        <v>682</v>
      </c>
      <c r="L43" s="56" t="s">
        <v>5690</v>
      </c>
      <c r="M43" s="56" t="s">
        <v>371</v>
      </c>
      <c r="N43" s="56" t="s">
        <v>1370</v>
      </c>
      <c r="O43" s="56"/>
      <c r="P43" s="56" t="s">
        <v>5700</v>
      </c>
      <c r="Q43" s="56">
        <v>0</v>
      </c>
      <c r="R43" s="54"/>
      <c r="S43" s="25"/>
      <c r="T43" s="61" t="s">
        <v>1821</v>
      </c>
      <c r="U43" s="56"/>
      <c r="V43" s="56"/>
      <c r="W43" s="56"/>
      <c r="X43" s="70">
        <v>41</v>
      </c>
      <c r="Y43" s="56"/>
      <c r="Z43" s="56" t="s">
        <v>1331</v>
      </c>
      <c r="AA43" s="55">
        <v>43475</v>
      </c>
      <c r="AB43" s="56"/>
    </row>
    <row r="44" spans="1:28" ht="14.25" customHeight="1">
      <c r="A44" s="213"/>
      <c r="B44" s="213"/>
      <c r="C44" s="210" t="s">
        <v>1589</v>
      </c>
      <c r="D44" s="210">
        <v>1</v>
      </c>
      <c r="E44" s="56" t="s">
        <v>55</v>
      </c>
      <c r="F44" s="56" t="s">
        <v>372</v>
      </c>
      <c r="G44" s="56" t="s">
        <v>329</v>
      </c>
      <c r="H44" s="56" t="s">
        <v>243</v>
      </c>
      <c r="I44" s="56"/>
      <c r="J44" s="56">
        <v>38</v>
      </c>
      <c r="K44" s="56" t="s">
        <v>682</v>
      </c>
      <c r="L44" s="56" t="s">
        <v>5690</v>
      </c>
      <c r="M44" s="56" t="s">
        <v>373</v>
      </c>
      <c r="N44" s="56" t="s">
        <v>1395</v>
      </c>
      <c r="O44" s="56" t="s">
        <v>1590</v>
      </c>
      <c r="P44" s="56" t="s">
        <v>5700</v>
      </c>
      <c r="Q44" s="56">
        <v>0</v>
      </c>
      <c r="R44" s="54"/>
      <c r="S44" s="25"/>
      <c r="T44" s="56" t="s">
        <v>1591</v>
      </c>
      <c r="U44" s="56"/>
      <c r="V44" s="56"/>
      <c r="W44" s="56"/>
      <c r="X44" s="70">
        <v>42</v>
      </c>
      <c r="Y44" s="56"/>
      <c r="Z44" s="56" t="s">
        <v>1331</v>
      </c>
      <c r="AA44" s="55">
        <v>43475</v>
      </c>
      <c r="AB44" s="56"/>
    </row>
    <row r="45" spans="1:28" ht="14.25" customHeight="1">
      <c r="A45" s="213"/>
      <c r="B45" s="213"/>
      <c r="C45" s="210"/>
      <c r="D45" s="210"/>
      <c r="E45" s="56" t="s">
        <v>55</v>
      </c>
      <c r="F45" s="56" t="s">
        <v>374</v>
      </c>
      <c r="G45" s="56" t="s">
        <v>329</v>
      </c>
      <c r="H45" s="56" t="s">
        <v>243</v>
      </c>
      <c r="I45" s="56"/>
      <c r="J45" s="56">
        <v>95</v>
      </c>
      <c r="K45" s="56" t="s">
        <v>682</v>
      </c>
      <c r="L45" s="56" t="s">
        <v>5690</v>
      </c>
      <c r="M45" s="56" t="s">
        <v>375</v>
      </c>
      <c r="N45" s="56" t="s">
        <v>1395</v>
      </c>
      <c r="O45" s="56" t="s">
        <v>1655</v>
      </c>
      <c r="P45" s="56" t="s">
        <v>5700</v>
      </c>
      <c r="Q45" s="56">
        <v>0</v>
      </c>
      <c r="R45" s="54"/>
      <c r="S45" s="25"/>
      <c r="T45" s="56" t="s">
        <v>1657</v>
      </c>
      <c r="U45" s="56"/>
      <c r="V45" s="56"/>
      <c r="W45" s="56"/>
      <c r="X45" s="70">
        <v>43</v>
      </c>
      <c r="Y45" s="56"/>
      <c r="Z45" s="56" t="s">
        <v>1331</v>
      </c>
      <c r="AA45" s="55">
        <v>43475</v>
      </c>
      <c r="AB45" s="56"/>
    </row>
    <row r="46" spans="1:28" ht="14.25" customHeight="1">
      <c r="A46" s="213"/>
      <c r="B46" s="213"/>
      <c r="C46" s="210"/>
      <c r="D46" s="210"/>
      <c r="E46" s="56" t="s">
        <v>55</v>
      </c>
      <c r="F46" s="56" t="s">
        <v>376</v>
      </c>
      <c r="G46" s="56" t="s">
        <v>247</v>
      </c>
      <c r="H46" s="56" t="s">
        <v>243</v>
      </c>
      <c r="I46" s="56"/>
      <c r="J46" s="56">
        <v>22</v>
      </c>
      <c r="K46" s="56" t="s">
        <v>682</v>
      </c>
      <c r="L46" s="56" t="s">
        <v>5690</v>
      </c>
      <c r="M46" s="56" t="s">
        <v>377</v>
      </c>
      <c r="N46" s="56" t="s">
        <v>1390</v>
      </c>
      <c r="O46" s="56" t="s">
        <v>1410</v>
      </c>
      <c r="P46" s="56" t="s">
        <v>5700</v>
      </c>
      <c r="Q46" s="56">
        <v>0</v>
      </c>
      <c r="R46" s="54"/>
      <c r="S46" s="25"/>
      <c r="T46" s="56" t="s">
        <v>1412</v>
      </c>
      <c r="U46" s="56">
        <v>1</v>
      </c>
      <c r="V46" s="56"/>
      <c r="W46" s="56"/>
      <c r="X46" s="70">
        <v>44</v>
      </c>
      <c r="Y46" s="56"/>
      <c r="Z46" s="56" t="s">
        <v>1331</v>
      </c>
      <c r="AA46" s="55">
        <v>43475</v>
      </c>
      <c r="AB46" s="56"/>
    </row>
    <row r="47" spans="1:28" ht="14.25" customHeight="1">
      <c r="A47" s="213"/>
      <c r="B47" s="213"/>
      <c r="C47" s="210"/>
      <c r="D47" s="210"/>
      <c r="E47" s="56" t="s">
        <v>55</v>
      </c>
      <c r="F47" s="56" t="s">
        <v>378</v>
      </c>
      <c r="G47" s="56" t="s">
        <v>247</v>
      </c>
      <c r="H47" s="56" t="s">
        <v>243</v>
      </c>
      <c r="I47" s="56"/>
      <c r="J47" s="56">
        <v>66</v>
      </c>
      <c r="K47" s="56" t="s">
        <v>682</v>
      </c>
      <c r="L47" s="56" t="s">
        <v>5690</v>
      </c>
      <c r="M47" s="56" t="s">
        <v>379</v>
      </c>
      <c r="N47" s="56" t="s">
        <v>1604</v>
      </c>
      <c r="O47" s="56" t="s">
        <v>1807</v>
      </c>
      <c r="P47" s="56" t="s">
        <v>5700</v>
      </c>
      <c r="Q47" s="56">
        <v>0</v>
      </c>
      <c r="R47" s="54"/>
      <c r="S47" s="25"/>
      <c r="T47" s="56" t="s">
        <v>1809</v>
      </c>
      <c r="U47" s="56">
        <v>1</v>
      </c>
      <c r="V47" s="56"/>
      <c r="W47" s="56"/>
      <c r="X47" s="70">
        <v>45</v>
      </c>
      <c r="Y47" s="56"/>
      <c r="Z47" s="56" t="s">
        <v>1331</v>
      </c>
      <c r="AA47" s="55">
        <v>43475</v>
      </c>
      <c r="AB47" s="56"/>
    </row>
    <row r="48" spans="1:28" ht="14.25" customHeight="1">
      <c r="A48" s="213"/>
      <c r="B48" s="213"/>
      <c r="C48" s="210"/>
      <c r="D48" s="210"/>
      <c r="E48" s="56" t="s">
        <v>55</v>
      </c>
      <c r="F48" s="56" t="s">
        <v>380</v>
      </c>
      <c r="G48" s="56" t="s">
        <v>324</v>
      </c>
      <c r="H48" s="56" t="s">
        <v>243</v>
      </c>
      <c r="I48" s="56"/>
      <c r="J48" s="56">
        <v>67</v>
      </c>
      <c r="K48" s="56" t="s">
        <v>682</v>
      </c>
      <c r="L48" s="56" t="s">
        <v>5690</v>
      </c>
      <c r="M48" s="56" t="s">
        <v>381</v>
      </c>
      <c r="N48" s="56" t="s">
        <v>1736</v>
      </c>
      <c r="O48" s="56" t="s">
        <v>1810</v>
      </c>
      <c r="P48" s="56" t="s">
        <v>5700</v>
      </c>
      <c r="Q48" s="56">
        <v>0</v>
      </c>
      <c r="R48" s="54"/>
      <c r="S48" s="25"/>
      <c r="T48" s="56" t="s">
        <v>1811</v>
      </c>
      <c r="U48" s="56"/>
      <c r="V48" s="56"/>
      <c r="W48" s="56"/>
      <c r="X48" s="70">
        <v>46</v>
      </c>
      <c r="Y48" s="56"/>
      <c r="Z48" s="56" t="s">
        <v>1331</v>
      </c>
      <c r="AA48" s="55">
        <v>43475</v>
      </c>
      <c r="AB48" s="56"/>
    </row>
    <row r="49" spans="1:28" ht="14.25" customHeight="1">
      <c r="A49" s="213"/>
      <c r="B49" s="213"/>
      <c r="C49" s="210"/>
      <c r="D49" s="210"/>
      <c r="E49" s="56" t="s">
        <v>59</v>
      </c>
      <c r="F49" s="56" t="s">
        <v>147</v>
      </c>
      <c r="G49" s="56" t="s">
        <v>247</v>
      </c>
      <c r="H49" s="56" t="s">
        <v>243</v>
      </c>
      <c r="I49" s="56"/>
      <c r="J49" s="56">
        <v>64</v>
      </c>
      <c r="K49" s="56" t="s">
        <v>682</v>
      </c>
      <c r="L49" s="56" t="s">
        <v>5690</v>
      </c>
      <c r="M49" s="56" t="s">
        <v>382</v>
      </c>
      <c r="N49" s="56" t="s">
        <v>1798</v>
      </c>
      <c r="O49" s="56" t="s">
        <v>1799</v>
      </c>
      <c r="P49" s="56" t="s">
        <v>5719</v>
      </c>
      <c r="Q49" s="56">
        <v>0</v>
      </c>
      <c r="R49" s="54"/>
      <c r="S49" s="25" t="s">
        <v>1801</v>
      </c>
      <c r="T49" s="56" t="s">
        <v>1802</v>
      </c>
      <c r="U49" s="56"/>
      <c r="V49" s="56"/>
      <c r="W49" s="56"/>
      <c r="X49" s="70">
        <v>47</v>
      </c>
      <c r="Y49" s="56"/>
      <c r="Z49" s="56" t="s">
        <v>1331</v>
      </c>
      <c r="AA49" s="55">
        <v>43475</v>
      </c>
      <c r="AB49" s="56"/>
    </row>
    <row r="50" spans="1:28" ht="14.25" customHeight="1">
      <c r="A50" s="213"/>
      <c r="B50" s="213"/>
      <c r="C50" s="210"/>
      <c r="D50" s="210"/>
      <c r="E50" s="56" t="s">
        <v>59</v>
      </c>
      <c r="F50" s="56" t="s">
        <v>383</v>
      </c>
      <c r="G50" s="56" t="s">
        <v>255</v>
      </c>
      <c r="H50" s="56" t="s">
        <v>243</v>
      </c>
      <c r="I50" s="56"/>
      <c r="J50" s="56">
        <v>63</v>
      </c>
      <c r="K50" s="56" t="s">
        <v>682</v>
      </c>
      <c r="L50" s="56" t="s">
        <v>5690</v>
      </c>
      <c r="M50" s="56" t="s">
        <v>384</v>
      </c>
      <c r="N50" s="56" t="s">
        <v>1333</v>
      </c>
      <c r="O50" s="56" t="s">
        <v>1792</v>
      </c>
      <c r="P50" s="56" t="s">
        <v>5700</v>
      </c>
      <c r="Q50" s="56">
        <v>0</v>
      </c>
      <c r="R50" s="54"/>
      <c r="S50" s="25"/>
      <c r="T50" s="56" t="s">
        <v>1793</v>
      </c>
      <c r="U50" s="56"/>
      <c r="V50" s="56"/>
      <c r="W50" s="56"/>
      <c r="X50" s="70">
        <v>48</v>
      </c>
      <c r="Y50" s="56"/>
      <c r="Z50" s="56" t="s">
        <v>1331</v>
      </c>
      <c r="AA50" s="55">
        <v>43475</v>
      </c>
      <c r="AB50" s="56"/>
    </row>
    <row r="51" spans="1:28" ht="14.25" customHeight="1">
      <c r="A51" s="213"/>
      <c r="B51" s="213"/>
      <c r="C51" s="210"/>
      <c r="D51" s="210"/>
      <c r="E51" s="56" t="s">
        <v>61</v>
      </c>
      <c r="F51" s="56" t="s">
        <v>144</v>
      </c>
      <c r="G51" s="56" t="s">
        <v>329</v>
      </c>
      <c r="H51" s="56" t="s">
        <v>243</v>
      </c>
      <c r="I51" s="56"/>
      <c r="J51" s="56">
        <v>51</v>
      </c>
      <c r="K51" s="56" t="s">
        <v>682</v>
      </c>
      <c r="L51" s="56" t="s">
        <v>5690</v>
      </c>
      <c r="M51" s="56" t="s">
        <v>385</v>
      </c>
      <c r="N51" s="56" t="s">
        <v>1689</v>
      </c>
      <c r="O51" s="56" t="s">
        <v>1690</v>
      </c>
      <c r="P51" s="56" t="s">
        <v>5720</v>
      </c>
      <c r="Q51" s="56">
        <v>0</v>
      </c>
      <c r="R51" s="54"/>
      <c r="S51" s="25">
        <v>698.95</v>
      </c>
      <c r="T51" s="56" t="s">
        <v>1691</v>
      </c>
      <c r="U51" s="56"/>
      <c r="V51" s="56"/>
      <c r="W51" s="56"/>
      <c r="X51" s="70">
        <v>49</v>
      </c>
      <c r="Y51" s="56"/>
      <c r="Z51" s="56" t="s">
        <v>1331</v>
      </c>
      <c r="AA51" s="55">
        <v>43475</v>
      </c>
      <c r="AB51" s="56"/>
    </row>
    <row r="52" spans="1:28" ht="14.25" customHeight="1">
      <c r="A52" s="213"/>
      <c r="B52" s="213"/>
      <c r="C52" s="210"/>
      <c r="D52" s="210"/>
      <c r="E52" s="56" t="s">
        <v>55</v>
      </c>
      <c r="F52" s="56" t="s">
        <v>386</v>
      </c>
      <c r="G52" s="56" t="s">
        <v>329</v>
      </c>
      <c r="H52" s="56" t="s">
        <v>243</v>
      </c>
      <c r="I52" s="56"/>
      <c r="J52" s="56">
        <v>47</v>
      </c>
      <c r="K52" s="56" t="s">
        <v>682</v>
      </c>
      <c r="L52" s="56" t="s">
        <v>5690</v>
      </c>
      <c r="M52" s="56" t="s">
        <v>387</v>
      </c>
      <c r="N52" s="56" t="s">
        <v>1395</v>
      </c>
      <c r="O52" s="56"/>
      <c r="P52" s="56" t="s">
        <v>5700</v>
      </c>
      <c r="Q52" s="56">
        <v>0</v>
      </c>
      <c r="R52" s="54"/>
      <c r="S52" s="25"/>
      <c r="T52" s="56" t="s">
        <v>1667</v>
      </c>
      <c r="U52" s="56"/>
      <c r="V52" s="56"/>
      <c r="W52" s="56"/>
      <c r="X52" s="70">
        <v>50</v>
      </c>
      <c r="Y52" s="56"/>
      <c r="Z52" s="56" t="s">
        <v>1331</v>
      </c>
      <c r="AA52" s="55">
        <v>43475</v>
      </c>
      <c r="AB52" s="56"/>
    </row>
    <row r="53" spans="1:28" ht="14.25" customHeight="1">
      <c r="A53" s="213"/>
      <c r="B53" s="213"/>
      <c r="C53" s="210"/>
      <c r="D53" s="210"/>
      <c r="E53" s="56" t="s">
        <v>55</v>
      </c>
      <c r="F53" s="56" t="s">
        <v>388</v>
      </c>
      <c r="G53" s="56" t="s">
        <v>329</v>
      </c>
      <c r="H53" s="56" t="s">
        <v>243</v>
      </c>
      <c r="I53" s="56"/>
      <c r="J53" s="56">
        <v>13</v>
      </c>
      <c r="K53" s="56" t="s">
        <v>682</v>
      </c>
      <c r="L53" s="56" t="s">
        <v>5690</v>
      </c>
      <c r="M53" s="56" t="s">
        <v>389</v>
      </c>
      <c r="N53" s="56" t="s">
        <v>1395</v>
      </c>
      <c r="O53" s="56" t="s">
        <v>1400</v>
      </c>
      <c r="P53" s="56" t="s">
        <v>5721</v>
      </c>
      <c r="Q53" s="56">
        <v>0</v>
      </c>
      <c r="R53" s="54"/>
      <c r="S53" s="25">
        <v>-10.97</v>
      </c>
      <c r="T53" s="56" t="s">
        <v>1402</v>
      </c>
      <c r="U53" s="56"/>
      <c r="V53" s="56"/>
      <c r="W53" s="56"/>
      <c r="X53" s="70">
        <v>51</v>
      </c>
      <c r="Y53" s="56"/>
      <c r="Z53" s="56" t="s">
        <v>1331</v>
      </c>
      <c r="AA53" s="55">
        <v>43475</v>
      </c>
      <c r="AB53" s="56"/>
    </row>
    <row r="54" spans="1:28" ht="14.25" customHeight="1">
      <c r="A54" s="213"/>
      <c r="B54" s="213"/>
      <c r="C54" s="210"/>
      <c r="D54" s="210"/>
      <c r="E54" s="56" t="s">
        <v>59</v>
      </c>
      <c r="F54" s="56" t="s">
        <v>390</v>
      </c>
      <c r="G54" s="56" t="s">
        <v>329</v>
      </c>
      <c r="H54" s="56" t="s">
        <v>243</v>
      </c>
      <c r="I54" s="56"/>
      <c r="J54" s="56">
        <v>12</v>
      </c>
      <c r="K54" s="56" t="s">
        <v>682</v>
      </c>
      <c r="L54" s="56" t="s">
        <v>5690</v>
      </c>
      <c r="M54" s="56" t="s">
        <v>391</v>
      </c>
      <c r="N54" s="56" t="s">
        <v>1395</v>
      </c>
      <c r="O54" s="56" t="s">
        <v>1396</v>
      </c>
      <c r="P54" s="56" t="s">
        <v>5721</v>
      </c>
      <c r="Q54" s="56">
        <v>0</v>
      </c>
      <c r="R54" s="54"/>
      <c r="S54" s="25">
        <v>-10.97</v>
      </c>
      <c r="T54" s="56" t="s">
        <v>1399</v>
      </c>
      <c r="U54" s="56"/>
      <c r="V54" s="56"/>
      <c r="W54" s="56"/>
      <c r="X54" s="70">
        <v>52</v>
      </c>
      <c r="Y54" s="56"/>
      <c r="Z54" s="56" t="s">
        <v>1331</v>
      </c>
      <c r="AA54" s="55">
        <v>43475</v>
      </c>
      <c r="AB54" s="56"/>
    </row>
    <row r="55" spans="1:28" ht="14.25" customHeight="1">
      <c r="A55" s="213"/>
      <c r="B55" s="213"/>
      <c r="C55" s="210"/>
      <c r="D55" s="210"/>
      <c r="E55" s="70" t="s">
        <v>55</v>
      </c>
      <c r="F55" s="56" t="s">
        <v>392</v>
      </c>
      <c r="G55" s="56" t="s">
        <v>329</v>
      </c>
      <c r="H55" s="70" t="s">
        <v>243</v>
      </c>
      <c r="I55" s="56"/>
      <c r="J55" s="70">
        <v>97</v>
      </c>
      <c r="K55" s="56" t="s">
        <v>682</v>
      </c>
      <c r="L55" s="56" t="s">
        <v>5690</v>
      </c>
      <c r="M55" s="56" t="s">
        <v>393</v>
      </c>
      <c r="N55" s="56" t="s">
        <v>1395</v>
      </c>
      <c r="O55" s="56" t="s">
        <v>1403</v>
      </c>
      <c r="P55" s="56" t="s">
        <v>5721</v>
      </c>
      <c r="Q55" s="56">
        <v>0</v>
      </c>
      <c r="R55" s="54"/>
      <c r="S55" s="25">
        <v>-10.97</v>
      </c>
      <c r="T55" s="56" t="s">
        <v>1405</v>
      </c>
      <c r="U55" s="56"/>
      <c r="V55" s="56"/>
      <c r="W55" s="56"/>
      <c r="X55" s="70">
        <v>53</v>
      </c>
      <c r="Y55" s="56"/>
      <c r="Z55" s="56" t="s">
        <v>1331</v>
      </c>
      <c r="AA55" s="55">
        <v>43475</v>
      </c>
      <c r="AB55" s="56"/>
    </row>
    <row r="56" spans="1:28" ht="14.25" customHeight="1">
      <c r="A56" s="213"/>
      <c r="B56" s="213"/>
      <c r="C56" s="210"/>
      <c r="D56" s="210"/>
      <c r="E56" s="56" t="s">
        <v>55</v>
      </c>
      <c r="F56" s="56" t="s">
        <v>394</v>
      </c>
      <c r="G56" s="56" t="s">
        <v>329</v>
      </c>
      <c r="H56" s="56" t="s">
        <v>243</v>
      </c>
      <c r="I56" s="56"/>
      <c r="J56" s="56">
        <v>92</v>
      </c>
      <c r="K56" s="56" t="s">
        <v>682</v>
      </c>
      <c r="L56" s="56" t="s">
        <v>5690</v>
      </c>
      <c r="M56" s="56" t="s">
        <v>395</v>
      </c>
      <c r="N56" s="56" t="s">
        <v>1395</v>
      </c>
      <c r="O56" s="56"/>
      <c r="P56" s="56" t="s">
        <v>5722</v>
      </c>
      <c r="Q56" s="56">
        <v>0</v>
      </c>
      <c r="R56" s="54"/>
      <c r="S56" s="25">
        <v>0</v>
      </c>
      <c r="T56" s="56" t="s">
        <v>1666</v>
      </c>
      <c r="U56" s="56"/>
      <c r="V56" s="56"/>
      <c r="W56" s="56"/>
      <c r="X56" s="70">
        <v>54</v>
      </c>
      <c r="Y56" s="56"/>
      <c r="Z56" s="56" t="s">
        <v>1331</v>
      </c>
      <c r="AA56" s="55">
        <v>43475</v>
      </c>
      <c r="AB56" s="56"/>
    </row>
    <row r="57" spans="1:28" ht="14.25" customHeight="1">
      <c r="A57" s="213"/>
      <c r="B57" s="213"/>
      <c r="C57" s="210"/>
      <c r="D57" s="210"/>
      <c r="E57" s="56" t="s">
        <v>55</v>
      </c>
      <c r="F57" s="56" t="s">
        <v>396</v>
      </c>
      <c r="G57" s="56" t="s">
        <v>329</v>
      </c>
      <c r="H57" s="56" t="s">
        <v>243</v>
      </c>
      <c r="I57" s="56"/>
      <c r="J57" s="56">
        <v>94</v>
      </c>
      <c r="K57" s="56" t="s">
        <v>682</v>
      </c>
      <c r="L57" s="56" t="s">
        <v>5690</v>
      </c>
      <c r="M57" s="56" t="s">
        <v>397</v>
      </c>
      <c r="N57" s="56" t="s">
        <v>1395</v>
      </c>
      <c r="O57" s="56" t="s">
        <v>1687</v>
      </c>
      <c r="P57" s="56" t="s">
        <v>5722</v>
      </c>
      <c r="Q57" s="56">
        <v>0</v>
      </c>
      <c r="R57" s="54"/>
      <c r="S57" s="25">
        <v>0</v>
      </c>
      <c r="T57" s="56" t="s">
        <v>1688</v>
      </c>
      <c r="U57" s="56"/>
      <c r="V57" s="56"/>
      <c r="W57" s="56"/>
      <c r="X57" s="70">
        <v>55</v>
      </c>
      <c r="Y57" s="56"/>
      <c r="Z57" s="56" t="s">
        <v>1331</v>
      </c>
      <c r="AA57" s="55">
        <v>43475</v>
      </c>
      <c r="AB57" s="56"/>
    </row>
    <row r="58" spans="1:28" ht="14.25" customHeight="1">
      <c r="A58" s="213"/>
      <c r="B58" s="213"/>
      <c r="C58" s="210"/>
      <c r="D58" s="210"/>
      <c r="E58" s="56" t="s">
        <v>55</v>
      </c>
      <c r="F58" s="56" t="s">
        <v>398</v>
      </c>
      <c r="G58" s="56" t="s">
        <v>329</v>
      </c>
      <c r="H58" s="56" t="s">
        <v>243</v>
      </c>
      <c r="I58" s="56"/>
      <c r="J58" s="56">
        <v>42</v>
      </c>
      <c r="K58" s="56" t="s">
        <v>682</v>
      </c>
      <c r="L58" s="56" t="s">
        <v>5690</v>
      </c>
      <c r="M58" s="56" t="s">
        <v>399</v>
      </c>
      <c r="N58" s="56" t="s">
        <v>1370</v>
      </c>
      <c r="O58" s="56" t="s">
        <v>1610</v>
      </c>
      <c r="P58" s="56" t="s">
        <v>5723</v>
      </c>
      <c r="Q58" s="56">
        <v>0</v>
      </c>
      <c r="R58" s="54"/>
      <c r="S58" s="25">
        <v>-7665.62</v>
      </c>
      <c r="T58" s="56" t="s">
        <v>1611</v>
      </c>
      <c r="U58" s="56"/>
      <c r="V58" s="56"/>
      <c r="W58" s="56"/>
      <c r="X58" s="70">
        <v>56</v>
      </c>
      <c r="Y58" s="56"/>
      <c r="Z58" s="56" t="s">
        <v>1331</v>
      </c>
      <c r="AA58" s="55">
        <v>43475</v>
      </c>
      <c r="AB58" s="56"/>
    </row>
    <row r="59" spans="1:28" ht="14.25" customHeight="1">
      <c r="A59" s="213"/>
      <c r="B59" s="213"/>
      <c r="C59" s="210"/>
      <c r="D59" s="210"/>
      <c r="E59" s="56" t="s">
        <v>61</v>
      </c>
      <c r="F59" s="56" t="s">
        <v>400</v>
      </c>
      <c r="G59" s="56" t="s">
        <v>329</v>
      </c>
      <c r="H59" s="56" t="s">
        <v>243</v>
      </c>
      <c r="I59" s="56"/>
      <c r="J59" s="56">
        <v>24</v>
      </c>
      <c r="K59" s="56" t="s">
        <v>682</v>
      </c>
      <c r="L59" s="56" t="s">
        <v>5690</v>
      </c>
      <c r="M59" s="56" t="s">
        <v>401</v>
      </c>
      <c r="N59" s="56" t="s">
        <v>1447</v>
      </c>
      <c r="O59" s="56" t="s">
        <v>1448</v>
      </c>
      <c r="P59" s="56" t="s">
        <v>5723</v>
      </c>
      <c r="Q59" s="56">
        <v>0</v>
      </c>
      <c r="R59" s="54"/>
      <c r="S59" s="25">
        <v>-7665.62</v>
      </c>
      <c r="T59" s="56" t="s">
        <v>1450</v>
      </c>
      <c r="U59" s="56"/>
      <c r="V59" s="56"/>
      <c r="W59" s="56"/>
      <c r="X59" s="70">
        <v>57</v>
      </c>
      <c r="Y59" s="56"/>
      <c r="Z59" s="56" t="s">
        <v>1331</v>
      </c>
      <c r="AA59" s="55">
        <v>43475</v>
      </c>
      <c r="AB59" s="56"/>
    </row>
    <row r="60" spans="1:28" ht="14.25" customHeight="1">
      <c r="A60" s="213"/>
      <c r="B60" s="213"/>
      <c r="C60" s="210"/>
      <c r="D60" s="210"/>
      <c r="E60" s="70" t="s">
        <v>55</v>
      </c>
      <c r="F60" s="56" t="s">
        <v>402</v>
      </c>
      <c r="G60" s="56" t="s">
        <v>329</v>
      </c>
      <c r="H60" s="70" t="s">
        <v>243</v>
      </c>
      <c r="I60" s="56"/>
      <c r="J60" s="70">
        <v>99</v>
      </c>
      <c r="K60" s="56" t="s">
        <v>682</v>
      </c>
      <c r="L60" s="56" t="s">
        <v>5690</v>
      </c>
      <c r="M60" s="56" t="s">
        <v>403</v>
      </c>
      <c r="N60" s="56" t="s">
        <v>1370</v>
      </c>
      <c r="O60" s="56" t="s">
        <v>1703</v>
      </c>
      <c r="P60" s="56" t="s">
        <v>5723</v>
      </c>
      <c r="Q60" s="56">
        <v>0</v>
      </c>
      <c r="R60" s="54"/>
      <c r="S60" s="25">
        <v>-7665.62</v>
      </c>
      <c r="T60" s="56" t="s">
        <v>1705</v>
      </c>
      <c r="U60" s="56"/>
      <c r="V60" s="56"/>
      <c r="W60" s="56"/>
      <c r="X60" s="70">
        <v>58</v>
      </c>
      <c r="Y60" s="56"/>
      <c r="Z60" s="56" t="s">
        <v>1331</v>
      </c>
      <c r="AA60" s="55">
        <v>43475</v>
      </c>
      <c r="AB60" s="56"/>
    </row>
    <row r="61" spans="1:28" ht="14.25" customHeight="1">
      <c r="A61" s="213"/>
      <c r="B61" s="213"/>
      <c r="C61" s="210"/>
      <c r="D61" s="210"/>
      <c r="E61" s="56" t="s">
        <v>59</v>
      </c>
      <c r="F61" s="56" t="s">
        <v>404</v>
      </c>
      <c r="G61" s="56" t="s">
        <v>329</v>
      </c>
      <c r="H61" s="56" t="s">
        <v>243</v>
      </c>
      <c r="I61" s="56"/>
      <c r="J61" s="56">
        <v>44</v>
      </c>
      <c r="K61" s="56" t="s">
        <v>682</v>
      </c>
      <c r="L61" s="56" t="s">
        <v>5690</v>
      </c>
      <c r="M61" s="56" t="s">
        <v>405</v>
      </c>
      <c r="N61" s="56" t="s">
        <v>1370</v>
      </c>
      <c r="O61" s="56" t="s">
        <v>1629</v>
      </c>
      <c r="P61" s="56" t="s">
        <v>5724</v>
      </c>
      <c r="Q61" s="56">
        <v>0</v>
      </c>
      <c r="R61" s="54"/>
      <c r="S61" s="25">
        <v>698.95</v>
      </c>
      <c r="T61" s="229" t="s">
        <v>1630</v>
      </c>
      <c r="U61" s="229"/>
      <c r="V61" s="229"/>
      <c r="W61" s="229"/>
      <c r="X61" s="219">
        <v>59</v>
      </c>
      <c r="Y61" s="229"/>
      <c r="Z61" s="229" t="s">
        <v>1521</v>
      </c>
      <c r="AA61" s="384" t="s">
        <v>5725</v>
      </c>
      <c r="AB61" s="229" t="s">
        <v>1631</v>
      </c>
    </row>
    <row r="62" spans="1:28" ht="14.25" customHeight="1">
      <c r="A62" s="213"/>
      <c r="B62" s="213"/>
      <c r="C62" s="210"/>
      <c r="D62" s="210"/>
      <c r="E62" s="56" t="s">
        <v>61</v>
      </c>
      <c r="F62" s="56" t="s">
        <v>407</v>
      </c>
      <c r="G62" s="56" t="s">
        <v>329</v>
      </c>
      <c r="H62" s="56" t="s">
        <v>243</v>
      </c>
      <c r="I62" s="56"/>
      <c r="J62" s="56">
        <v>27</v>
      </c>
      <c r="K62" s="56" t="s">
        <v>682</v>
      </c>
      <c r="L62" s="56" t="s">
        <v>5690</v>
      </c>
      <c r="M62" s="56" t="s">
        <v>408</v>
      </c>
      <c r="N62" s="56" t="s">
        <v>1447</v>
      </c>
      <c r="O62" s="56" t="s">
        <v>1518</v>
      </c>
      <c r="P62" s="56" t="s">
        <v>5720</v>
      </c>
      <c r="Q62" s="56">
        <v>0</v>
      </c>
      <c r="R62" s="54"/>
      <c r="S62" s="25">
        <v>698.95</v>
      </c>
      <c r="T62" s="56" t="s">
        <v>1520</v>
      </c>
      <c r="U62" s="56"/>
      <c r="V62" s="56"/>
      <c r="W62" s="56"/>
      <c r="X62" s="70">
        <v>60</v>
      </c>
      <c r="Y62" s="56"/>
      <c r="Z62" s="229" t="s">
        <v>1521</v>
      </c>
      <c r="AA62" s="384" t="s">
        <v>5725</v>
      </c>
      <c r="AB62" s="229" t="s">
        <v>1631</v>
      </c>
    </row>
    <row r="63" spans="1:28" ht="14.25" customHeight="1">
      <c r="A63" s="213"/>
      <c r="B63" s="213"/>
      <c r="C63" s="210"/>
      <c r="D63" s="210"/>
      <c r="E63" s="70" t="s">
        <v>55</v>
      </c>
      <c r="F63" s="56" t="s">
        <v>409</v>
      </c>
      <c r="G63" s="56" t="s">
        <v>329</v>
      </c>
      <c r="H63" s="70" t="s">
        <v>243</v>
      </c>
      <c r="I63" s="56"/>
      <c r="J63" s="70">
        <v>101</v>
      </c>
      <c r="K63" s="56" t="s">
        <v>682</v>
      </c>
      <c r="L63" s="56" t="s">
        <v>5690</v>
      </c>
      <c r="M63" s="56" t="s">
        <v>410</v>
      </c>
      <c r="N63" s="56" t="s">
        <v>1370</v>
      </c>
      <c r="O63" s="56" t="s">
        <v>1715</v>
      </c>
      <c r="P63" s="56" t="s">
        <v>5720</v>
      </c>
      <c r="Q63" s="56">
        <v>0</v>
      </c>
      <c r="R63" s="54"/>
      <c r="S63" s="25">
        <v>698.95</v>
      </c>
      <c r="T63" s="56" t="s">
        <v>1717</v>
      </c>
      <c r="U63" s="56"/>
      <c r="V63" s="56"/>
      <c r="W63" s="56"/>
      <c r="X63" s="70">
        <v>61</v>
      </c>
      <c r="Y63" s="56"/>
      <c r="Z63" s="56" t="s">
        <v>1331</v>
      </c>
      <c r="AA63" s="55">
        <v>43475</v>
      </c>
      <c r="AB63" s="56"/>
    </row>
    <row r="64" spans="1:28" ht="14.25" customHeight="1">
      <c r="A64" s="213"/>
      <c r="B64" s="213"/>
      <c r="C64" s="210"/>
      <c r="D64" s="210"/>
      <c r="E64" s="56" t="s">
        <v>55</v>
      </c>
      <c r="F64" s="56" t="s">
        <v>411</v>
      </c>
      <c r="G64" s="56" t="s">
        <v>329</v>
      </c>
      <c r="H64" s="56" t="s">
        <v>243</v>
      </c>
      <c r="I64" s="56"/>
      <c r="J64" s="22"/>
      <c r="K64" s="56" t="s">
        <v>682</v>
      </c>
      <c r="L64" s="56" t="s">
        <v>5690</v>
      </c>
      <c r="M64" s="56" t="s">
        <v>412</v>
      </c>
      <c r="N64" s="56" t="s">
        <v>1370</v>
      </c>
      <c r="O64" s="56" t="s">
        <v>1607</v>
      </c>
      <c r="P64" s="56" t="s">
        <v>5722</v>
      </c>
      <c r="Q64" s="56">
        <v>0</v>
      </c>
      <c r="R64" s="54"/>
      <c r="S64" s="25">
        <v>0</v>
      </c>
      <c r="T64" s="21" t="s">
        <v>1609</v>
      </c>
      <c r="U64" s="56"/>
      <c r="V64" s="56"/>
      <c r="W64" s="56"/>
      <c r="X64" s="70">
        <v>62</v>
      </c>
      <c r="Y64" s="56"/>
      <c r="Z64" s="56" t="s">
        <v>1331</v>
      </c>
      <c r="AA64" s="55">
        <v>43475</v>
      </c>
      <c r="AB64" s="56"/>
    </row>
    <row r="65" spans="1:28" ht="14.25" customHeight="1">
      <c r="A65" s="213"/>
      <c r="B65" s="213"/>
      <c r="C65" s="210"/>
      <c r="D65" s="210"/>
      <c r="E65" s="56" t="s">
        <v>59</v>
      </c>
      <c r="F65" s="56" t="s">
        <v>413</v>
      </c>
      <c r="G65" s="56" t="s">
        <v>329</v>
      </c>
      <c r="H65" s="56" t="s">
        <v>243</v>
      </c>
      <c r="I65" s="56"/>
      <c r="J65" s="56">
        <v>23</v>
      </c>
      <c r="K65" s="56" t="s">
        <v>682</v>
      </c>
      <c r="L65" s="56" t="s">
        <v>5690</v>
      </c>
      <c r="M65" s="56" t="s">
        <v>414</v>
      </c>
      <c r="N65" s="56" t="s">
        <v>1370</v>
      </c>
      <c r="O65" s="56" t="s">
        <v>1413</v>
      </c>
      <c r="P65" s="56" t="s">
        <v>5722</v>
      </c>
      <c r="Q65" s="56">
        <v>0</v>
      </c>
      <c r="R65" s="54"/>
      <c r="S65" s="25">
        <v>0</v>
      </c>
      <c r="T65" s="56" t="s">
        <v>1415</v>
      </c>
      <c r="U65" s="56"/>
      <c r="V65" s="56"/>
      <c r="W65" s="56"/>
      <c r="X65" s="70">
        <v>63</v>
      </c>
      <c r="Y65" s="56"/>
      <c r="Z65" s="56" t="s">
        <v>1331</v>
      </c>
      <c r="AA65" s="55">
        <v>43475</v>
      </c>
      <c r="AB65" s="56"/>
    </row>
    <row r="66" spans="1:28" ht="14.25" customHeight="1">
      <c r="A66" s="213"/>
      <c r="B66" s="213"/>
      <c r="C66" s="210"/>
      <c r="D66" s="210"/>
      <c r="E66" s="70" t="s">
        <v>55</v>
      </c>
      <c r="F66" s="56" t="s">
        <v>415</v>
      </c>
      <c r="G66" s="56" t="s">
        <v>329</v>
      </c>
      <c r="H66" s="70" t="s">
        <v>243</v>
      </c>
      <c r="I66" s="56"/>
      <c r="J66" s="70">
        <v>98</v>
      </c>
      <c r="K66" s="56" t="s">
        <v>682</v>
      </c>
      <c r="L66" s="56" t="s">
        <v>5690</v>
      </c>
      <c r="M66" s="385" t="s">
        <v>417</v>
      </c>
      <c r="N66" s="56" t="s">
        <v>1370</v>
      </c>
      <c r="O66" s="56" t="s">
        <v>1697</v>
      </c>
      <c r="P66" s="56" t="s">
        <v>5726</v>
      </c>
      <c r="Q66" s="56">
        <v>0</v>
      </c>
      <c r="R66" s="54"/>
      <c r="S66" s="25">
        <v>0</v>
      </c>
      <c r="T66" s="219" t="s">
        <v>1699</v>
      </c>
      <c r="U66" s="229"/>
      <c r="V66" s="229"/>
      <c r="W66" s="229"/>
      <c r="X66" s="219">
        <v>64</v>
      </c>
      <c r="Y66" s="229"/>
      <c r="Z66" s="229" t="s">
        <v>1587</v>
      </c>
      <c r="AA66" s="384" t="s">
        <v>5725</v>
      </c>
      <c r="AB66" s="229" t="s">
        <v>1700</v>
      </c>
    </row>
    <row r="67" spans="1:28" ht="14.25" customHeight="1">
      <c r="A67" s="213"/>
      <c r="B67" s="213"/>
      <c r="C67" s="210"/>
      <c r="D67" s="210" t="s">
        <v>1612</v>
      </c>
      <c r="E67" s="56" t="s">
        <v>55</v>
      </c>
      <c r="F67" s="56" t="s">
        <v>418</v>
      </c>
      <c r="G67" s="56" t="s">
        <v>329</v>
      </c>
      <c r="H67" s="56" t="s">
        <v>243</v>
      </c>
      <c r="I67" s="56"/>
      <c r="J67" s="22"/>
      <c r="K67" s="56" t="s">
        <v>682</v>
      </c>
      <c r="L67" s="56" t="s">
        <v>5690</v>
      </c>
      <c r="M67" s="385" t="s">
        <v>419</v>
      </c>
      <c r="N67" s="56" t="s">
        <v>1370</v>
      </c>
      <c r="O67" s="56" t="s">
        <v>1613</v>
      </c>
      <c r="P67" s="56" t="s">
        <v>5722</v>
      </c>
      <c r="Q67" s="56">
        <v>0</v>
      </c>
      <c r="R67" s="54"/>
      <c r="S67" s="25">
        <v>0</v>
      </c>
      <c r="T67" s="229" t="s">
        <v>1614</v>
      </c>
      <c r="U67" s="229"/>
      <c r="V67" s="229"/>
      <c r="W67" s="229"/>
      <c r="X67" s="219">
        <v>65</v>
      </c>
      <c r="Y67" s="229"/>
      <c r="Z67" s="229" t="s">
        <v>1587</v>
      </c>
      <c r="AA67" s="384" t="s">
        <v>5725</v>
      </c>
      <c r="AB67" s="229" t="s">
        <v>1615</v>
      </c>
    </row>
    <row r="68" spans="1:28" ht="14.25" customHeight="1">
      <c r="A68" s="213"/>
      <c r="B68" s="213"/>
      <c r="C68" s="210"/>
      <c r="D68" s="210"/>
      <c r="E68" s="56" t="s">
        <v>59</v>
      </c>
      <c r="F68" s="56" t="s">
        <v>420</v>
      </c>
      <c r="G68" s="56" t="s">
        <v>329</v>
      </c>
      <c r="H68" s="56" t="s">
        <v>243</v>
      </c>
      <c r="I68" s="56"/>
      <c r="J68" s="56">
        <v>8</v>
      </c>
      <c r="K68" s="56" t="s">
        <v>682</v>
      </c>
      <c r="L68" s="56" t="s">
        <v>5690</v>
      </c>
      <c r="M68" s="56" t="s">
        <v>421</v>
      </c>
      <c r="N68" s="56" t="s">
        <v>1370</v>
      </c>
      <c r="O68" s="56" t="s">
        <v>1371</v>
      </c>
      <c r="P68" s="56" t="s">
        <v>5722</v>
      </c>
      <c r="Q68" s="56">
        <v>0</v>
      </c>
      <c r="R68" s="54"/>
      <c r="S68" s="25">
        <v>0</v>
      </c>
      <c r="T68" s="56" t="s">
        <v>1373</v>
      </c>
      <c r="U68" s="56"/>
      <c r="V68" s="56"/>
      <c r="W68" s="56"/>
      <c r="X68" s="70">
        <v>66</v>
      </c>
      <c r="Y68" s="56"/>
      <c r="Z68" s="56" t="s">
        <v>1331</v>
      </c>
      <c r="AA68" s="55">
        <v>43475</v>
      </c>
      <c r="AB68" s="56"/>
    </row>
    <row r="69" spans="1:28" ht="14.25" customHeight="1">
      <c r="A69" s="213"/>
      <c r="B69" s="213"/>
      <c r="C69" s="210"/>
      <c r="D69" s="210"/>
      <c r="E69" s="70" t="s">
        <v>55</v>
      </c>
      <c r="F69" s="56" t="s">
        <v>422</v>
      </c>
      <c r="G69" s="56" t="s">
        <v>329</v>
      </c>
      <c r="H69" s="70" t="s">
        <v>243</v>
      </c>
      <c r="I69" s="56"/>
      <c r="J69" s="70">
        <v>104</v>
      </c>
      <c r="K69" s="56" t="s">
        <v>682</v>
      </c>
      <c r="L69" s="56" t="s">
        <v>5690</v>
      </c>
      <c r="M69" s="56" t="s">
        <v>423</v>
      </c>
      <c r="N69" s="56" t="s">
        <v>1370</v>
      </c>
      <c r="O69" s="56" t="s">
        <v>1706</v>
      </c>
      <c r="P69" s="56" t="s">
        <v>5722</v>
      </c>
      <c r="Q69" s="56">
        <v>0</v>
      </c>
      <c r="R69" s="54"/>
      <c r="S69" s="25">
        <v>0</v>
      </c>
      <c r="T69" s="56" t="s">
        <v>1708</v>
      </c>
      <c r="U69" s="56"/>
      <c r="V69" s="56"/>
      <c r="W69" s="56"/>
      <c r="X69" s="70">
        <v>67</v>
      </c>
      <c r="Y69" s="56"/>
      <c r="Z69" s="56" t="s">
        <v>1331</v>
      </c>
      <c r="AA69" s="55">
        <v>43475</v>
      </c>
      <c r="AB69" s="56"/>
    </row>
    <row r="70" spans="1:28" ht="14.25" customHeight="1">
      <c r="A70" s="213"/>
      <c r="B70" s="213"/>
      <c r="C70" s="210"/>
      <c r="D70" s="210"/>
      <c r="E70" s="56" t="s">
        <v>59</v>
      </c>
      <c r="F70" s="56" t="s">
        <v>424</v>
      </c>
      <c r="G70" s="56" t="s">
        <v>329</v>
      </c>
      <c r="H70" s="56" t="s">
        <v>243</v>
      </c>
      <c r="I70" s="56"/>
      <c r="J70" s="56">
        <v>29</v>
      </c>
      <c r="K70" s="56" t="s">
        <v>682</v>
      </c>
      <c r="L70" s="56" t="s">
        <v>5690</v>
      </c>
      <c r="M70" s="56" t="s">
        <v>425</v>
      </c>
      <c r="N70" s="56" t="s">
        <v>1370</v>
      </c>
      <c r="O70" s="56" t="s">
        <v>1544</v>
      </c>
      <c r="P70" s="56" t="s">
        <v>5727</v>
      </c>
      <c r="Q70" s="56">
        <v>0</v>
      </c>
      <c r="R70" s="54"/>
      <c r="S70" s="25">
        <v>8364.57</v>
      </c>
      <c r="T70" s="56" t="s">
        <v>1546</v>
      </c>
      <c r="U70" s="56"/>
      <c r="V70" s="56"/>
      <c r="W70" s="56"/>
      <c r="X70" s="70">
        <v>68</v>
      </c>
      <c r="Y70" s="56"/>
      <c r="Z70" s="56" t="s">
        <v>1331</v>
      </c>
      <c r="AA70" s="55">
        <v>43475</v>
      </c>
      <c r="AB70" s="56"/>
    </row>
    <row r="71" spans="1:28" ht="14.25" customHeight="1">
      <c r="A71" s="213"/>
      <c r="B71" s="213"/>
      <c r="C71" s="210"/>
      <c r="D71" s="210"/>
      <c r="E71" s="70" t="s">
        <v>55</v>
      </c>
      <c r="F71" s="56" t="s">
        <v>426</v>
      </c>
      <c r="G71" s="56" t="s">
        <v>329</v>
      </c>
      <c r="H71" s="70" t="s">
        <v>243</v>
      </c>
      <c r="I71" s="56"/>
      <c r="J71" s="70">
        <v>103</v>
      </c>
      <c r="K71" s="56" t="s">
        <v>682</v>
      </c>
      <c r="L71" s="56" t="s">
        <v>5690</v>
      </c>
      <c r="M71" s="56" t="s">
        <v>427</v>
      </c>
      <c r="N71" s="56" t="s">
        <v>1395</v>
      </c>
      <c r="O71" s="56" t="s">
        <v>1722</v>
      </c>
      <c r="P71" s="56" t="s">
        <v>5728</v>
      </c>
      <c r="Q71" s="56">
        <v>0</v>
      </c>
      <c r="R71" s="54"/>
      <c r="S71" s="25">
        <v>8364.57</v>
      </c>
      <c r="T71" s="56" t="s">
        <v>1724</v>
      </c>
      <c r="U71" s="56"/>
      <c r="V71" s="56"/>
      <c r="W71" s="56"/>
      <c r="X71" s="70">
        <v>69</v>
      </c>
      <c r="Y71" s="56"/>
      <c r="Z71" s="56" t="s">
        <v>1331</v>
      </c>
      <c r="AA71" s="55">
        <v>43475</v>
      </c>
      <c r="AB71" s="56"/>
    </row>
    <row r="72" spans="1:28" ht="14.25" customHeight="1">
      <c r="A72" s="213"/>
      <c r="B72" s="213"/>
      <c r="C72" s="210" t="s">
        <v>1592</v>
      </c>
      <c r="D72" s="210">
        <v>1</v>
      </c>
      <c r="E72" s="56" t="s">
        <v>55</v>
      </c>
      <c r="F72" s="56" t="s">
        <v>428</v>
      </c>
      <c r="G72" s="56" t="s">
        <v>429</v>
      </c>
      <c r="H72" s="56" t="s">
        <v>243</v>
      </c>
      <c r="I72" s="56"/>
      <c r="J72" s="22"/>
      <c r="K72" s="56" t="s">
        <v>682</v>
      </c>
      <c r="L72" s="56" t="s">
        <v>5690</v>
      </c>
      <c r="M72" s="56" t="s">
        <v>430</v>
      </c>
      <c r="N72" s="56" t="s">
        <v>1593</v>
      </c>
      <c r="O72" s="56" t="s">
        <v>1594</v>
      </c>
      <c r="P72" s="56" t="s">
        <v>5700</v>
      </c>
      <c r="Q72" s="56">
        <v>0</v>
      </c>
      <c r="R72" s="54"/>
      <c r="S72" s="25"/>
      <c r="T72" s="61" t="s">
        <v>1596</v>
      </c>
      <c r="U72" s="56"/>
      <c r="V72" s="56"/>
      <c r="W72" s="56"/>
      <c r="X72" s="70">
        <v>70</v>
      </c>
      <c r="Y72" s="56"/>
      <c r="Z72" s="56" t="s">
        <v>1331</v>
      </c>
      <c r="AA72" s="55">
        <v>43475</v>
      </c>
      <c r="AB72" s="56"/>
    </row>
    <row r="73" spans="1:28" ht="14.25" customHeight="1">
      <c r="A73" s="213"/>
      <c r="B73" s="213"/>
      <c r="C73" s="210"/>
      <c r="D73" s="210"/>
      <c r="E73" s="56" t="s">
        <v>55</v>
      </c>
      <c r="F73" s="56" t="s">
        <v>431</v>
      </c>
      <c r="G73" s="56" t="s">
        <v>432</v>
      </c>
      <c r="H73" s="56" t="s">
        <v>243</v>
      </c>
      <c r="I73" s="56"/>
      <c r="J73" s="56">
        <v>80</v>
      </c>
      <c r="K73" s="56" t="s">
        <v>682</v>
      </c>
      <c r="L73" s="56" t="s">
        <v>5690</v>
      </c>
      <c r="M73" s="56" t="s">
        <v>433</v>
      </c>
      <c r="N73" s="56" t="s">
        <v>1593</v>
      </c>
      <c r="O73" s="56" t="s">
        <v>1650</v>
      </c>
      <c r="P73" s="56" t="s">
        <v>5729</v>
      </c>
      <c r="Q73" s="56">
        <v>0</v>
      </c>
      <c r="R73" s="54"/>
      <c r="S73" s="25" t="s">
        <v>680</v>
      </c>
      <c r="T73" s="56" t="s">
        <v>1652</v>
      </c>
      <c r="U73" s="56">
        <v>1</v>
      </c>
      <c r="V73" s="56"/>
      <c r="W73" s="56"/>
      <c r="X73" s="70">
        <v>71</v>
      </c>
      <c r="Y73" s="56"/>
      <c r="Z73" s="56" t="s">
        <v>1331</v>
      </c>
      <c r="AA73" s="55">
        <v>43475</v>
      </c>
      <c r="AB73" s="56"/>
    </row>
    <row r="74" spans="1:28" ht="14.25" customHeight="1">
      <c r="A74" s="213"/>
      <c r="B74" s="213"/>
      <c r="C74" s="210"/>
      <c r="D74" s="210"/>
      <c r="E74" s="56" t="s">
        <v>55</v>
      </c>
      <c r="F74" s="56" t="s">
        <v>434</v>
      </c>
      <c r="G74" s="56" t="s">
        <v>324</v>
      </c>
      <c r="H74" s="56" t="s">
        <v>243</v>
      </c>
      <c r="I74" s="56"/>
      <c r="J74" s="56"/>
      <c r="K74" s="56" t="s">
        <v>682</v>
      </c>
      <c r="L74" s="56" t="s">
        <v>5690</v>
      </c>
      <c r="M74" s="56" t="s">
        <v>435</v>
      </c>
      <c r="N74" s="56" t="s">
        <v>1593</v>
      </c>
      <c r="O74" s="56" t="s">
        <v>1766</v>
      </c>
      <c r="P74" s="56" t="s">
        <v>5700</v>
      </c>
      <c r="Q74" s="56">
        <v>0</v>
      </c>
      <c r="R74" s="54"/>
      <c r="S74" s="25"/>
      <c r="T74" s="21" t="s">
        <v>1767</v>
      </c>
      <c r="U74" s="56"/>
      <c r="V74" s="56"/>
      <c r="W74" s="56"/>
      <c r="X74" s="70">
        <v>72</v>
      </c>
      <c r="Y74" s="56"/>
      <c r="Z74" s="56" t="s">
        <v>1331</v>
      </c>
      <c r="AA74" s="55">
        <v>43475</v>
      </c>
      <c r="AB74" s="56"/>
    </row>
    <row r="75" spans="1:28" ht="14.25" customHeight="1">
      <c r="A75" s="213"/>
      <c r="B75" s="213"/>
      <c r="C75" s="210"/>
      <c r="D75" s="210"/>
      <c r="E75" s="56" t="s">
        <v>55</v>
      </c>
      <c r="F75" s="56" t="s">
        <v>436</v>
      </c>
      <c r="G75" s="56" t="s">
        <v>429</v>
      </c>
      <c r="H75" s="56" t="s">
        <v>243</v>
      </c>
      <c r="I75" s="56"/>
      <c r="J75" s="22"/>
      <c r="K75" s="56" t="s">
        <v>682</v>
      </c>
      <c r="L75" s="56" t="s">
        <v>5690</v>
      </c>
      <c r="M75" s="56" t="s">
        <v>437</v>
      </c>
      <c r="N75" s="56" t="s">
        <v>1593</v>
      </c>
      <c r="O75" s="56" t="s">
        <v>1790</v>
      </c>
      <c r="P75" s="56" t="s">
        <v>5730</v>
      </c>
      <c r="Q75" s="56">
        <v>0</v>
      </c>
      <c r="R75" s="54"/>
      <c r="S75" s="25" t="s">
        <v>682</v>
      </c>
      <c r="T75" s="61" t="s">
        <v>1791</v>
      </c>
      <c r="U75" s="56"/>
      <c r="V75" s="56"/>
      <c r="W75" s="56"/>
      <c r="X75" s="70">
        <v>73</v>
      </c>
      <c r="Y75" s="56"/>
      <c r="Z75" s="56" t="s">
        <v>1331</v>
      </c>
      <c r="AA75" s="55">
        <v>43475</v>
      </c>
      <c r="AB75" s="56"/>
    </row>
    <row r="76" spans="1:28" ht="14.25" customHeight="1">
      <c r="A76" s="213"/>
      <c r="B76" s="213"/>
      <c r="C76" s="210"/>
      <c r="D76" s="210"/>
      <c r="E76" s="229" t="s">
        <v>438</v>
      </c>
      <c r="F76" s="229" t="s">
        <v>439</v>
      </c>
      <c r="G76" s="229"/>
      <c r="H76" s="229"/>
      <c r="I76" s="229"/>
      <c r="J76" s="229"/>
      <c r="K76" s="56" t="s">
        <v>682</v>
      </c>
      <c r="L76" s="56" t="s">
        <v>5690</v>
      </c>
      <c r="M76" s="229" t="s">
        <v>441</v>
      </c>
      <c r="N76" s="386" t="s">
        <v>1395</v>
      </c>
      <c r="O76" s="232" t="s">
        <v>5731</v>
      </c>
      <c r="P76" s="56" t="s">
        <v>5732</v>
      </c>
      <c r="Q76" s="56" t="s">
        <v>5733</v>
      </c>
      <c r="R76" s="54"/>
      <c r="S76" s="70"/>
      <c r="T76" s="56"/>
      <c r="U76" s="56"/>
      <c r="V76" s="56"/>
      <c r="W76" s="56"/>
      <c r="X76" s="56">
        <v>74</v>
      </c>
      <c r="Y76" s="56"/>
      <c r="Z76" s="229" t="s">
        <v>1587</v>
      </c>
      <c r="AA76" s="384" t="s">
        <v>5725</v>
      </c>
      <c r="AB76" s="229" t="s">
        <v>1588</v>
      </c>
    </row>
    <row r="77" spans="1:28" ht="14.25" customHeight="1">
      <c r="A77" s="213"/>
      <c r="B77" s="213"/>
      <c r="C77" s="210"/>
      <c r="D77" s="210"/>
      <c r="E77" s="229" t="s">
        <v>438</v>
      </c>
      <c r="F77" s="229" t="s">
        <v>495</v>
      </c>
      <c r="G77" s="229"/>
      <c r="H77" s="229"/>
      <c r="I77" s="229"/>
      <c r="J77" s="229"/>
      <c r="K77" s="56" t="s">
        <v>682</v>
      </c>
      <c r="L77" s="56" t="s">
        <v>5690</v>
      </c>
      <c r="M77" s="229" t="s">
        <v>5734</v>
      </c>
      <c r="N77" s="386" t="s">
        <v>1395</v>
      </c>
      <c r="O77" s="232" t="s">
        <v>1435</v>
      </c>
      <c r="P77" s="56" t="s">
        <v>1436</v>
      </c>
      <c r="Q77" s="56" t="s">
        <v>495</v>
      </c>
      <c r="R77" s="54"/>
      <c r="S77" s="70"/>
      <c r="T77" s="56"/>
      <c r="U77" s="56"/>
      <c r="V77" s="56"/>
      <c r="W77" s="56"/>
      <c r="X77" s="56">
        <v>75</v>
      </c>
      <c r="Y77" s="56"/>
      <c r="Z77" s="229" t="s">
        <v>1587</v>
      </c>
      <c r="AA77" s="384" t="s">
        <v>5725</v>
      </c>
      <c r="AB77" s="229" t="s">
        <v>1588</v>
      </c>
    </row>
    <row r="78" spans="1:28" ht="14.25" customHeight="1">
      <c r="A78" s="213"/>
      <c r="B78" s="213"/>
      <c r="C78" s="210"/>
      <c r="D78" s="210"/>
      <c r="E78" s="229" t="s">
        <v>438</v>
      </c>
      <c r="F78" s="229" t="s">
        <v>496</v>
      </c>
      <c r="G78" s="229"/>
      <c r="H78" s="229"/>
      <c r="I78" s="229"/>
      <c r="J78" s="229"/>
      <c r="K78" s="56" t="s">
        <v>682</v>
      </c>
      <c r="L78" s="56" t="s">
        <v>5690</v>
      </c>
      <c r="M78" s="229" t="s">
        <v>5735</v>
      </c>
      <c r="N78" s="386" t="s">
        <v>1333</v>
      </c>
      <c r="O78" s="232" t="s">
        <v>1366</v>
      </c>
      <c r="P78" s="56" t="s">
        <v>1367</v>
      </c>
      <c r="Q78" s="56" t="s">
        <v>5736</v>
      </c>
      <c r="R78" s="54"/>
      <c r="S78" s="70"/>
      <c r="T78" s="56"/>
      <c r="U78" s="56"/>
      <c r="V78" s="56"/>
      <c r="W78" s="56"/>
      <c r="X78" s="56">
        <v>76</v>
      </c>
      <c r="Y78" s="56"/>
      <c r="Z78" s="229" t="s">
        <v>1587</v>
      </c>
      <c r="AA78" s="384" t="s">
        <v>5725</v>
      </c>
      <c r="AB78" s="229" t="s">
        <v>1588</v>
      </c>
    </row>
    <row r="79" spans="1:28" ht="14.25" customHeight="1">
      <c r="A79" s="213"/>
      <c r="B79" s="213"/>
      <c r="C79" s="210"/>
      <c r="D79" s="210"/>
      <c r="E79" s="229" t="s">
        <v>438</v>
      </c>
      <c r="F79" s="229" t="s">
        <v>450</v>
      </c>
      <c r="G79" s="229"/>
      <c r="H79" s="229"/>
      <c r="I79" s="229"/>
      <c r="J79" s="229"/>
      <c r="K79" s="56" t="s">
        <v>682</v>
      </c>
      <c r="L79" s="56" t="s">
        <v>5690</v>
      </c>
      <c r="M79" s="229" t="s">
        <v>451</v>
      </c>
      <c r="N79" s="386" t="s">
        <v>1395</v>
      </c>
      <c r="O79" s="232" t="s">
        <v>1422</v>
      </c>
      <c r="P79" s="56" t="s">
        <v>1423</v>
      </c>
      <c r="Q79" s="56" t="s">
        <v>5737</v>
      </c>
      <c r="R79" s="54"/>
      <c r="S79" s="70"/>
      <c r="T79" s="56"/>
      <c r="U79" s="56"/>
      <c r="V79" s="56"/>
      <c r="W79" s="56"/>
      <c r="X79" s="56">
        <v>77</v>
      </c>
      <c r="Y79" s="56"/>
      <c r="Z79" s="229" t="s">
        <v>1587</v>
      </c>
      <c r="AA79" s="384" t="s">
        <v>5725</v>
      </c>
      <c r="AB79" s="229" t="s">
        <v>1588</v>
      </c>
    </row>
    <row r="80" spans="1:28" ht="14.25" customHeight="1">
      <c r="A80" s="213"/>
      <c r="B80" s="213"/>
      <c r="C80" s="210"/>
      <c r="D80" s="210"/>
      <c r="E80" s="229" t="s">
        <v>438</v>
      </c>
      <c r="F80" s="229" t="s">
        <v>452</v>
      </c>
      <c r="G80" s="229"/>
      <c r="H80" s="229"/>
      <c r="I80" s="229"/>
      <c r="J80" s="229"/>
      <c r="K80" s="56" t="s">
        <v>682</v>
      </c>
      <c r="L80" s="56" t="s">
        <v>5690</v>
      </c>
      <c r="M80" s="229" t="s">
        <v>453</v>
      </c>
      <c r="N80" s="386" t="s">
        <v>1395</v>
      </c>
      <c r="O80" s="232" t="s">
        <v>1428</v>
      </c>
      <c r="P80" s="56" t="s">
        <v>1429</v>
      </c>
      <c r="Q80" s="56" t="s">
        <v>5738</v>
      </c>
      <c r="R80" s="54"/>
      <c r="S80" s="70"/>
      <c r="T80" s="56"/>
      <c r="U80" s="56"/>
      <c r="V80" s="56"/>
      <c r="W80" s="56"/>
      <c r="X80" s="56">
        <v>78</v>
      </c>
      <c r="Y80" s="56"/>
      <c r="Z80" s="229" t="s">
        <v>1587</v>
      </c>
      <c r="AA80" s="384" t="s">
        <v>5725</v>
      </c>
      <c r="AB80" s="229" t="s">
        <v>1588</v>
      </c>
    </row>
    <row r="81" spans="1:28" ht="14.25" customHeight="1">
      <c r="A81" s="213"/>
      <c r="B81" s="213"/>
      <c r="C81" s="210"/>
      <c r="D81" s="210"/>
      <c r="E81" s="229" t="s">
        <v>438</v>
      </c>
      <c r="F81" s="229" t="s">
        <v>454</v>
      </c>
      <c r="G81" s="229"/>
      <c r="H81" s="229"/>
      <c r="I81" s="229"/>
      <c r="J81" s="229"/>
      <c r="K81" s="56" t="s">
        <v>682</v>
      </c>
      <c r="L81" s="56" t="s">
        <v>5690</v>
      </c>
      <c r="M81" s="229" t="s">
        <v>455</v>
      </c>
      <c r="N81" s="386" t="s">
        <v>1395</v>
      </c>
      <c r="O81" s="232" t="s">
        <v>1432</v>
      </c>
      <c r="P81" s="56" t="s">
        <v>1433</v>
      </c>
      <c r="Q81" s="56" t="s">
        <v>5739</v>
      </c>
      <c r="R81" s="54"/>
      <c r="S81" s="70"/>
      <c r="T81" s="56"/>
      <c r="U81" s="56"/>
      <c r="V81" s="56"/>
      <c r="W81" s="56"/>
      <c r="X81" s="56">
        <v>79</v>
      </c>
      <c r="Y81" s="56"/>
      <c r="Z81" s="229" t="s">
        <v>1587</v>
      </c>
      <c r="AA81" s="384" t="s">
        <v>5725</v>
      </c>
      <c r="AB81" s="229" t="s">
        <v>1588</v>
      </c>
    </row>
    <row r="82" spans="1:28" ht="14.25" customHeight="1">
      <c r="A82" s="213"/>
      <c r="B82" s="213"/>
      <c r="C82" s="210"/>
      <c r="D82" s="210"/>
      <c r="E82" s="229" t="s">
        <v>438</v>
      </c>
      <c r="F82" s="229" t="s">
        <v>456</v>
      </c>
      <c r="G82" s="229"/>
      <c r="H82" s="229"/>
      <c r="I82" s="229"/>
      <c r="J82" s="229"/>
      <c r="K82" s="56" t="s">
        <v>682</v>
      </c>
      <c r="L82" s="56" t="s">
        <v>5690</v>
      </c>
      <c r="M82" s="229" t="s">
        <v>457</v>
      </c>
      <c r="N82" s="386" t="s">
        <v>1333</v>
      </c>
      <c r="O82" s="232" t="s">
        <v>1334</v>
      </c>
      <c r="P82" s="56" t="s">
        <v>1335</v>
      </c>
      <c r="Q82" s="56" t="s">
        <v>5740</v>
      </c>
      <c r="R82" s="54"/>
      <c r="S82" s="70"/>
      <c r="T82" s="56"/>
      <c r="U82" s="56"/>
      <c r="V82" s="56"/>
      <c r="W82" s="56"/>
      <c r="X82" s="56">
        <v>80</v>
      </c>
      <c r="Y82" s="56"/>
      <c r="Z82" s="229" t="s">
        <v>1587</v>
      </c>
      <c r="AA82" s="384" t="s">
        <v>5725</v>
      </c>
      <c r="AB82" s="229" t="s">
        <v>1588</v>
      </c>
    </row>
    <row r="83" spans="1:28" ht="14.25" customHeight="1">
      <c r="A83" s="213"/>
      <c r="B83" s="213"/>
      <c r="C83" s="210"/>
      <c r="D83" s="210"/>
      <c r="E83" s="229" t="s">
        <v>438</v>
      </c>
      <c r="F83" s="229" t="s">
        <v>458</v>
      </c>
      <c r="G83" s="229"/>
      <c r="H83" s="229"/>
      <c r="I83" s="229"/>
      <c r="J83" s="229"/>
      <c r="K83" s="56" t="s">
        <v>682</v>
      </c>
      <c r="L83" s="56" t="s">
        <v>5690</v>
      </c>
      <c r="M83" s="229" t="s">
        <v>459</v>
      </c>
      <c r="N83" s="386" t="s">
        <v>1395</v>
      </c>
      <c r="O83" s="232" t="s">
        <v>1419</v>
      </c>
      <c r="P83" s="56" t="s">
        <v>1420</v>
      </c>
      <c r="Q83" s="56" t="s">
        <v>5741</v>
      </c>
      <c r="R83" s="54"/>
      <c r="S83" s="70"/>
      <c r="T83" s="56"/>
      <c r="U83" s="56"/>
      <c r="V83" s="56"/>
      <c r="W83" s="56"/>
      <c r="X83" s="56">
        <v>81</v>
      </c>
      <c r="Y83" s="56"/>
      <c r="Z83" s="229" t="s">
        <v>1587</v>
      </c>
      <c r="AA83" s="384" t="s">
        <v>5725</v>
      </c>
      <c r="AB83" s="229" t="s">
        <v>1588</v>
      </c>
    </row>
    <row r="84" spans="1:28" ht="14.25" customHeight="1">
      <c r="A84" s="213"/>
      <c r="B84" s="213"/>
      <c r="C84" s="210"/>
      <c r="D84" s="210"/>
      <c r="E84" s="229" t="s">
        <v>438</v>
      </c>
      <c r="F84" s="229" t="s">
        <v>460</v>
      </c>
      <c r="G84" s="229"/>
      <c r="H84" s="229"/>
      <c r="I84" s="229"/>
      <c r="J84" s="229"/>
      <c r="K84" s="56" t="s">
        <v>682</v>
      </c>
      <c r="L84" s="56" t="s">
        <v>5690</v>
      </c>
      <c r="M84" s="229" t="s">
        <v>461</v>
      </c>
      <c r="N84" s="386" t="s">
        <v>1395</v>
      </c>
      <c r="O84" s="232" t="s">
        <v>1425</v>
      </c>
      <c r="P84" s="56" t="s">
        <v>1426</v>
      </c>
      <c r="Q84" s="56" t="s">
        <v>5742</v>
      </c>
      <c r="R84" s="54"/>
      <c r="S84" s="70"/>
      <c r="T84" s="56"/>
      <c r="U84" s="56"/>
      <c r="V84" s="56"/>
      <c r="W84" s="56"/>
      <c r="X84" s="56">
        <v>82</v>
      </c>
      <c r="Y84" s="56"/>
      <c r="Z84" s="229" t="s">
        <v>1587</v>
      </c>
      <c r="AA84" s="384" t="s">
        <v>5725</v>
      </c>
      <c r="AB84" s="229" t="s">
        <v>1588</v>
      </c>
    </row>
    <row r="85" spans="1:28" ht="14.25" customHeight="1">
      <c r="A85" s="213"/>
      <c r="B85" s="213"/>
      <c r="C85" s="210"/>
      <c r="D85" s="210"/>
      <c r="E85" s="229" t="s">
        <v>438</v>
      </c>
      <c r="F85" s="229" t="s">
        <v>462</v>
      </c>
      <c r="G85" s="229"/>
      <c r="H85" s="229"/>
      <c r="I85" s="229"/>
      <c r="J85" s="229"/>
      <c r="K85" s="56" t="s">
        <v>682</v>
      </c>
      <c r="L85" s="56" t="s">
        <v>5690</v>
      </c>
      <c r="M85" s="229" t="s">
        <v>463</v>
      </c>
      <c r="N85" s="386" t="s">
        <v>1395</v>
      </c>
      <c r="O85" s="232" t="s">
        <v>1442</v>
      </c>
      <c r="P85" s="56" t="s">
        <v>1443</v>
      </c>
      <c r="Q85" s="56" t="s">
        <v>5743</v>
      </c>
      <c r="R85" s="54"/>
      <c r="S85" s="70"/>
      <c r="T85" s="56"/>
      <c r="U85" s="56"/>
      <c r="V85" s="56"/>
      <c r="W85" s="56"/>
      <c r="X85" s="56">
        <v>83</v>
      </c>
      <c r="Y85" s="56"/>
      <c r="Z85" s="229" t="s">
        <v>1587</v>
      </c>
      <c r="AA85" s="384" t="s">
        <v>5725</v>
      </c>
      <c r="AB85" s="229" t="s">
        <v>1588</v>
      </c>
    </row>
    <row r="86" spans="1:28" ht="14.25" customHeight="1">
      <c r="A86" s="213"/>
      <c r="B86" s="213"/>
      <c r="C86" s="210"/>
      <c r="D86" s="210"/>
      <c r="E86" s="229" t="s">
        <v>438</v>
      </c>
      <c r="F86" s="229" t="s">
        <v>464</v>
      </c>
      <c r="G86" s="229"/>
      <c r="H86" s="229"/>
      <c r="I86" s="229"/>
      <c r="J86" s="229"/>
      <c r="K86" s="56" t="s">
        <v>682</v>
      </c>
      <c r="L86" s="56" t="s">
        <v>5690</v>
      </c>
      <c r="M86" s="229" t="s">
        <v>465</v>
      </c>
      <c r="N86" s="386" t="s">
        <v>1395</v>
      </c>
      <c r="O86" s="232" t="s">
        <v>5744</v>
      </c>
      <c r="P86" s="56" t="s">
        <v>5745</v>
      </c>
      <c r="Q86" s="56" t="s">
        <v>5746</v>
      </c>
      <c r="R86" s="54"/>
      <c r="S86" s="70"/>
      <c r="T86" s="56"/>
      <c r="U86" s="56"/>
      <c r="V86" s="56"/>
      <c r="W86" s="56"/>
      <c r="X86" s="56">
        <v>84</v>
      </c>
      <c r="Y86" s="56"/>
      <c r="Z86" s="229" t="s">
        <v>1587</v>
      </c>
      <c r="AA86" s="384" t="s">
        <v>5725</v>
      </c>
      <c r="AB86" s="229" t="s">
        <v>1588</v>
      </c>
    </row>
    <row r="87" spans="1:28" ht="14.25" customHeight="1">
      <c r="A87" s="213"/>
      <c r="B87" s="213"/>
      <c r="C87" s="210"/>
      <c r="D87" s="210"/>
      <c r="E87" s="229" t="s">
        <v>438</v>
      </c>
      <c r="F87" s="229" t="s">
        <v>466</v>
      </c>
      <c r="G87" s="229"/>
      <c r="H87" s="229"/>
      <c r="I87" s="229"/>
      <c r="J87" s="229"/>
      <c r="K87" s="56" t="s">
        <v>682</v>
      </c>
      <c r="L87" s="56" t="s">
        <v>5690</v>
      </c>
      <c r="M87" s="229" t="s">
        <v>467</v>
      </c>
      <c r="N87" s="386" t="s">
        <v>1395</v>
      </c>
      <c r="O87" s="232" t="s">
        <v>1585</v>
      </c>
      <c r="P87" s="56" t="s">
        <v>1586</v>
      </c>
      <c r="Q87" s="56" t="s">
        <v>5747</v>
      </c>
      <c r="R87" s="54"/>
      <c r="S87" s="70"/>
      <c r="T87" s="56"/>
      <c r="U87" s="56"/>
      <c r="V87" s="56"/>
      <c r="W87" s="56"/>
      <c r="X87" s="56">
        <v>85</v>
      </c>
      <c r="Y87" s="56"/>
      <c r="Z87" s="229" t="s">
        <v>1587</v>
      </c>
      <c r="AA87" s="384" t="s">
        <v>5725</v>
      </c>
      <c r="AB87" s="229" t="s">
        <v>1588</v>
      </c>
    </row>
    <row r="88" spans="1:28" ht="14.25" customHeight="1">
      <c r="A88" s="213"/>
      <c r="B88" s="213"/>
      <c r="C88" s="210"/>
      <c r="D88" s="210"/>
      <c r="E88" s="229" t="s">
        <v>438</v>
      </c>
      <c r="F88" s="229" t="s">
        <v>468</v>
      </c>
      <c r="G88" s="229"/>
      <c r="H88" s="229"/>
      <c r="I88" s="229"/>
      <c r="J88" s="229"/>
      <c r="K88" s="56" t="s">
        <v>682</v>
      </c>
      <c r="L88" s="56" t="s">
        <v>5690</v>
      </c>
      <c r="M88" s="229" t="s">
        <v>469</v>
      </c>
      <c r="N88" s="386" t="s">
        <v>1333</v>
      </c>
      <c r="O88" s="232" t="s">
        <v>1679</v>
      </c>
      <c r="P88" s="56" t="s">
        <v>1680</v>
      </c>
      <c r="Q88" s="56" t="s">
        <v>5748</v>
      </c>
      <c r="R88" s="54"/>
      <c r="S88" s="70"/>
      <c r="T88" s="56"/>
      <c r="U88" s="56"/>
      <c r="V88" s="56"/>
      <c r="W88" s="56"/>
      <c r="X88" s="56">
        <v>86</v>
      </c>
      <c r="Y88" s="56"/>
      <c r="Z88" s="229" t="s">
        <v>1587</v>
      </c>
      <c r="AA88" s="384" t="s">
        <v>5725</v>
      </c>
      <c r="AB88" s="229" t="s">
        <v>1588</v>
      </c>
    </row>
    <row r="89" spans="1:28" ht="14.25" customHeight="1">
      <c r="A89" s="213"/>
      <c r="B89" s="213"/>
      <c r="C89" s="210"/>
      <c r="D89" s="210"/>
      <c r="E89" s="229" t="s">
        <v>438</v>
      </c>
      <c r="F89" s="229" t="s">
        <v>470</v>
      </c>
      <c r="G89" s="229"/>
      <c r="H89" s="229"/>
      <c r="I89" s="229"/>
      <c r="J89" s="229"/>
      <c r="K89" s="56" t="s">
        <v>682</v>
      </c>
      <c r="L89" s="56" t="s">
        <v>5690</v>
      </c>
      <c r="M89" s="229" t="s">
        <v>471</v>
      </c>
      <c r="N89" s="386" t="s">
        <v>1333</v>
      </c>
      <c r="O89" s="232" t="s">
        <v>5749</v>
      </c>
      <c r="P89" s="56" t="s">
        <v>5750</v>
      </c>
      <c r="Q89" s="56" t="s">
        <v>5751</v>
      </c>
      <c r="R89" s="54"/>
      <c r="S89" s="70"/>
      <c r="T89" s="56"/>
      <c r="U89" s="56"/>
      <c r="V89" s="56"/>
      <c r="W89" s="56"/>
      <c r="X89" s="56">
        <v>87</v>
      </c>
      <c r="Y89" s="56"/>
      <c r="Z89" s="229" t="s">
        <v>1587</v>
      </c>
      <c r="AA89" s="384" t="s">
        <v>5725</v>
      </c>
      <c r="AB89" s="229" t="s">
        <v>1588</v>
      </c>
    </row>
    <row r="90" spans="1:28" ht="14.25" customHeight="1">
      <c r="A90" s="213"/>
      <c r="B90" s="213"/>
      <c r="C90" s="210"/>
      <c r="D90" s="210"/>
      <c r="E90" s="229" t="s">
        <v>438</v>
      </c>
      <c r="F90" s="229" t="s">
        <v>472</v>
      </c>
      <c r="G90" s="229"/>
      <c r="H90" s="229"/>
      <c r="I90" s="229"/>
      <c r="J90" s="229"/>
      <c r="K90" s="56" t="s">
        <v>682</v>
      </c>
      <c r="L90" s="56" t="s">
        <v>5690</v>
      </c>
      <c r="M90" s="229" t="s">
        <v>473</v>
      </c>
      <c r="N90" s="386" t="s">
        <v>1395</v>
      </c>
      <c r="O90" s="232" t="s">
        <v>1445</v>
      </c>
      <c r="P90" s="56" t="s">
        <v>1446</v>
      </c>
      <c r="Q90" s="56" t="s">
        <v>5752</v>
      </c>
      <c r="R90" s="54"/>
      <c r="S90" s="70"/>
      <c r="T90" s="56"/>
      <c r="U90" s="56"/>
      <c r="V90" s="56"/>
      <c r="W90" s="56"/>
      <c r="X90" s="56">
        <v>88</v>
      </c>
      <c r="Y90" s="56"/>
      <c r="Z90" s="229" t="s">
        <v>1587</v>
      </c>
      <c r="AA90" s="384" t="s">
        <v>5725</v>
      </c>
      <c r="AB90" s="229" t="s">
        <v>1588</v>
      </c>
    </row>
    <row r="91" spans="1:28" ht="14.25" customHeight="1">
      <c r="A91" s="213"/>
      <c r="B91" s="213"/>
      <c r="C91" s="210"/>
      <c r="D91" s="210"/>
      <c r="E91" s="229" t="s">
        <v>438</v>
      </c>
      <c r="F91" s="219" t="s">
        <v>474</v>
      </c>
      <c r="G91" s="219"/>
      <c r="H91" s="219"/>
      <c r="I91" s="219"/>
      <c r="J91" s="219"/>
      <c r="K91" s="56" t="s">
        <v>682</v>
      </c>
      <c r="L91" s="56" t="s">
        <v>5690</v>
      </c>
      <c r="M91" s="219" t="s">
        <v>475</v>
      </c>
      <c r="N91" s="219" t="s">
        <v>1362</v>
      </c>
      <c r="O91" s="219" t="s">
        <v>5753</v>
      </c>
      <c r="P91" s="56" t="s">
        <v>5754</v>
      </c>
      <c r="Q91" s="56" t="s">
        <v>5755</v>
      </c>
      <c r="R91" s="54"/>
      <c r="S91" s="70"/>
      <c r="T91" s="56"/>
      <c r="U91" s="56"/>
      <c r="V91" s="56"/>
      <c r="W91" s="56"/>
      <c r="X91" s="56">
        <v>89</v>
      </c>
      <c r="Y91" s="56"/>
      <c r="Z91" s="229" t="s">
        <v>1587</v>
      </c>
      <c r="AA91" s="384" t="s">
        <v>5725</v>
      </c>
      <c r="AB91" s="229" t="s">
        <v>1588</v>
      </c>
    </row>
    <row r="92" spans="1:28" ht="14.25" customHeight="1">
      <c r="A92" s="213"/>
      <c r="B92" s="213"/>
      <c r="C92" s="210"/>
      <c r="D92" s="210"/>
      <c r="E92" s="229" t="s">
        <v>438</v>
      </c>
      <c r="F92" s="219" t="s">
        <v>497</v>
      </c>
      <c r="G92" s="219"/>
      <c r="H92" s="219"/>
      <c r="I92" s="219"/>
      <c r="J92" s="219"/>
      <c r="K92" s="56" t="s">
        <v>682</v>
      </c>
      <c r="L92" s="56" t="s">
        <v>5690</v>
      </c>
      <c r="M92" s="219" t="s">
        <v>477</v>
      </c>
      <c r="N92" s="219" t="s">
        <v>1573</v>
      </c>
      <c r="O92" s="219" t="s">
        <v>5756</v>
      </c>
      <c r="P92" s="56" t="s">
        <v>1574</v>
      </c>
      <c r="Q92" s="56" t="s">
        <v>5757</v>
      </c>
      <c r="R92" s="54"/>
      <c r="S92" s="70"/>
      <c r="T92" s="56"/>
      <c r="U92" s="56"/>
      <c r="V92" s="56"/>
      <c r="W92" s="56"/>
      <c r="X92" s="56">
        <v>90</v>
      </c>
      <c r="Y92" s="56"/>
      <c r="Z92" s="229" t="s">
        <v>1587</v>
      </c>
      <c r="AA92" s="384" t="s">
        <v>5725</v>
      </c>
      <c r="AB92" s="229" t="s">
        <v>1588</v>
      </c>
    </row>
    <row r="93" spans="1:28" ht="14.25" customHeight="1">
      <c r="A93" s="213"/>
      <c r="B93" s="213"/>
      <c r="C93" s="210"/>
      <c r="D93" s="210"/>
      <c r="E93" s="186" t="s">
        <v>55</v>
      </c>
      <c r="F93" s="186" t="s">
        <v>1343</v>
      </c>
      <c r="G93" s="186" t="s">
        <v>346</v>
      </c>
      <c r="H93" s="186" t="s">
        <v>243</v>
      </c>
      <c r="I93" s="186"/>
      <c r="J93" s="186">
        <v>5</v>
      </c>
      <c r="K93" s="186" t="s">
        <v>680</v>
      </c>
      <c r="L93" s="186"/>
      <c r="M93" s="186"/>
      <c r="N93" s="186"/>
      <c r="O93" s="186"/>
      <c r="P93" s="186"/>
      <c r="Q93" s="186" t="s">
        <v>5758</v>
      </c>
      <c r="R93" s="289" t="s">
        <v>1346</v>
      </c>
      <c r="S93" s="79" t="e">
        <v>#N/A</v>
      </c>
      <c r="T93" s="186" t="s">
        <v>1347</v>
      </c>
      <c r="U93" s="186"/>
      <c r="V93" s="186"/>
      <c r="W93" s="186"/>
      <c r="X93" s="129"/>
      <c r="Y93" s="186" t="s">
        <v>1060</v>
      </c>
      <c r="Z93" s="186"/>
      <c r="AA93" s="33"/>
      <c r="AB93" s="186"/>
    </row>
    <row r="94" spans="1:28" ht="14.25" customHeight="1">
      <c r="A94" s="213"/>
      <c r="B94" s="213"/>
      <c r="C94" s="210"/>
      <c r="D94" s="210"/>
      <c r="E94" s="186" t="s">
        <v>55</v>
      </c>
      <c r="F94" s="186" t="s">
        <v>489</v>
      </c>
      <c r="G94" s="186" t="s">
        <v>346</v>
      </c>
      <c r="H94" s="186" t="s">
        <v>243</v>
      </c>
      <c r="I94" s="186"/>
      <c r="J94" s="186">
        <v>7</v>
      </c>
      <c r="K94" s="186" t="s">
        <v>680</v>
      </c>
      <c r="L94" s="186"/>
      <c r="M94" s="186"/>
      <c r="N94" s="186"/>
      <c r="O94" s="186"/>
      <c r="P94" s="186"/>
      <c r="Q94" s="186"/>
      <c r="R94" s="289" t="s">
        <v>1346</v>
      </c>
      <c r="S94" s="79" t="e">
        <v>#N/A</v>
      </c>
      <c r="T94" s="186" t="s">
        <v>1352</v>
      </c>
      <c r="U94" s="186">
        <v>1</v>
      </c>
      <c r="V94" s="186"/>
      <c r="W94" s="186"/>
      <c r="X94" s="129"/>
      <c r="Y94" s="186" t="s">
        <v>1060</v>
      </c>
      <c r="Z94" s="186"/>
      <c r="AA94" s="33"/>
      <c r="AB94" s="186"/>
    </row>
    <row r="95" spans="1:28" ht="14.25" customHeight="1">
      <c r="A95" s="213"/>
      <c r="B95" s="213"/>
      <c r="C95" s="210"/>
      <c r="D95" s="210"/>
      <c r="E95" s="186" t="s">
        <v>55</v>
      </c>
      <c r="F95" s="186" t="s">
        <v>486</v>
      </c>
      <c r="G95" s="186" t="s">
        <v>346</v>
      </c>
      <c r="H95" s="186" t="s">
        <v>243</v>
      </c>
      <c r="I95" s="186"/>
      <c r="J95" s="186">
        <v>6</v>
      </c>
      <c r="K95" s="186" t="s">
        <v>680</v>
      </c>
      <c r="L95" s="186"/>
      <c r="M95" s="186"/>
      <c r="N95" s="186"/>
      <c r="O95" s="186"/>
      <c r="P95" s="186"/>
      <c r="Q95" s="186"/>
      <c r="R95" s="289" t="s">
        <v>1346</v>
      </c>
      <c r="S95" s="79" t="e">
        <v>#N/A</v>
      </c>
      <c r="T95" s="186" t="s">
        <v>1359</v>
      </c>
      <c r="U95" s="186"/>
      <c r="V95" s="186"/>
      <c r="W95" s="186"/>
      <c r="X95" s="129"/>
      <c r="Y95" s="186" t="s">
        <v>1060</v>
      </c>
      <c r="Z95" s="186"/>
      <c r="AA95" s="33"/>
      <c r="AB95" s="186"/>
    </row>
    <row r="96" spans="1:28" ht="14.25" customHeight="1">
      <c r="A96" s="213"/>
      <c r="B96" s="213"/>
      <c r="C96" s="210"/>
      <c r="D96" s="210"/>
      <c r="E96" s="186" t="s">
        <v>55</v>
      </c>
      <c r="F96" s="186" t="s">
        <v>1416</v>
      </c>
      <c r="G96" s="186" t="s">
        <v>329</v>
      </c>
      <c r="H96" s="186" t="s">
        <v>243</v>
      </c>
      <c r="I96" s="186"/>
      <c r="J96" s="186"/>
      <c r="K96" s="186" t="s">
        <v>680</v>
      </c>
      <c r="L96" s="186"/>
      <c r="M96" s="186"/>
      <c r="N96" s="186"/>
      <c r="O96" s="186"/>
      <c r="P96" s="186"/>
      <c r="Q96" s="186"/>
      <c r="R96" s="122"/>
      <c r="S96" s="79" t="e">
        <v>#N/A</v>
      </c>
      <c r="T96" s="186" t="s">
        <v>1417</v>
      </c>
      <c r="U96" s="186"/>
      <c r="V96" s="186"/>
      <c r="W96" s="186"/>
      <c r="X96" s="129"/>
      <c r="Y96" s="186" t="s">
        <v>1060</v>
      </c>
      <c r="Z96" s="186"/>
      <c r="AA96" s="33"/>
      <c r="AB96" s="186"/>
    </row>
    <row r="97" spans="1:28" ht="14.25" customHeight="1">
      <c r="A97" s="213"/>
      <c r="B97" s="213"/>
      <c r="C97" s="210"/>
      <c r="D97" s="210"/>
      <c r="E97" s="186" t="s">
        <v>55</v>
      </c>
      <c r="F97" s="186" t="s">
        <v>1451</v>
      </c>
      <c r="G97" s="186" t="s">
        <v>329</v>
      </c>
      <c r="H97" s="186" t="s">
        <v>243</v>
      </c>
      <c r="I97" s="186"/>
      <c r="J97" s="72"/>
      <c r="K97" s="186" t="s">
        <v>680</v>
      </c>
      <c r="L97" s="186"/>
      <c r="M97" s="186"/>
      <c r="N97" s="186"/>
      <c r="O97" s="186"/>
      <c r="P97" s="186"/>
      <c r="Q97" s="186"/>
      <c r="R97" s="122"/>
      <c r="S97" s="79" t="e">
        <v>#N/A</v>
      </c>
      <c r="T97" s="90" t="s">
        <v>1452</v>
      </c>
      <c r="U97" s="186"/>
      <c r="V97" s="186"/>
      <c r="W97" s="186"/>
      <c r="X97" s="129"/>
      <c r="Y97" s="186" t="s">
        <v>1060</v>
      </c>
      <c r="Z97" s="186"/>
      <c r="AA97" s="33"/>
      <c r="AB97" s="186"/>
    </row>
    <row r="98" spans="1:28" ht="14.25" customHeight="1">
      <c r="A98" s="213"/>
      <c r="B98" s="213"/>
      <c r="C98" s="210"/>
      <c r="D98" s="210"/>
      <c r="E98" s="129" t="s">
        <v>55</v>
      </c>
      <c r="F98" s="129" t="s">
        <v>1465</v>
      </c>
      <c r="G98" s="129" t="s">
        <v>329</v>
      </c>
      <c r="H98" s="186" t="s">
        <v>243</v>
      </c>
      <c r="I98" s="129"/>
      <c r="J98" s="129"/>
      <c r="K98" s="186" t="s">
        <v>680</v>
      </c>
      <c r="L98" s="186"/>
      <c r="M98" s="186"/>
      <c r="N98" s="186"/>
      <c r="O98" s="186"/>
      <c r="P98" s="186"/>
      <c r="Q98" s="186"/>
      <c r="R98" s="362"/>
      <c r="S98" s="79" t="e">
        <v>#N/A</v>
      </c>
      <c r="T98" s="129" t="s">
        <v>1466</v>
      </c>
      <c r="U98" s="129"/>
      <c r="V98" s="129"/>
      <c r="W98" s="129"/>
      <c r="X98" s="129"/>
      <c r="Y98" s="186" t="s">
        <v>1060</v>
      </c>
      <c r="Z98" s="186"/>
      <c r="AA98" s="33"/>
      <c r="AB98" s="186"/>
    </row>
    <row r="99" spans="1:28" ht="14.25" customHeight="1">
      <c r="A99" s="213"/>
      <c r="B99" s="213"/>
      <c r="C99" s="210"/>
      <c r="D99" s="210"/>
      <c r="E99" s="129" t="s">
        <v>55</v>
      </c>
      <c r="F99" s="129" t="s">
        <v>1467</v>
      </c>
      <c r="G99" s="129" t="s">
        <v>329</v>
      </c>
      <c r="H99" s="186" t="s">
        <v>243</v>
      </c>
      <c r="I99" s="129"/>
      <c r="J99" s="129"/>
      <c r="K99" s="186" t="s">
        <v>680</v>
      </c>
      <c r="L99" s="186"/>
      <c r="M99" s="186"/>
      <c r="N99" s="186"/>
      <c r="O99" s="186"/>
      <c r="P99" s="186"/>
      <c r="Q99" s="186"/>
      <c r="R99" s="362"/>
      <c r="S99" s="79" t="e">
        <v>#N/A</v>
      </c>
      <c r="T99" s="129" t="s">
        <v>1468</v>
      </c>
      <c r="U99" s="129"/>
      <c r="V99" s="129"/>
      <c r="W99" s="129"/>
      <c r="X99" s="129"/>
      <c r="Y99" s="186" t="s">
        <v>1060</v>
      </c>
      <c r="Z99" s="186"/>
      <c r="AA99" s="33"/>
      <c r="AB99" s="186"/>
    </row>
    <row r="100" spans="1:28" ht="14.25" customHeight="1">
      <c r="A100" s="213"/>
      <c r="B100" s="213"/>
      <c r="C100" s="210"/>
      <c r="D100" s="210"/>
      <c r="E100" s="129" t="s">
        <v>55</v>
      </c>
      <c r="F100" s="129" t="s">
        <v>1469</v>
      </c>
      <c r="G100" s="129" t="s">
        <v>329</v>
      </c>
      <c r="H100" s="186" t="s">
        <v>243</v>
      </c>
      <c r="I100" s="129"/>
      <c r="J100" s="129"/>
      <c r="K100" s="186" t="s">
        <v>680</v>
      </c>
      <c r="L100" s="186"/>
      <c r="M100" s="186"/>
      <c r="N100" s="186"/>
      <c r="O100" s="186"/>
      <c r="P100" s="186"/>
      <c r="Q100" s="186"/>
      <c r="R100" s="362"/>
      <c r="S100" s="79" t="e">
        <v>#N/A</v>
      </c>
      <c r="T100" s="129" t="s">
        <v>1470</v>
      </c>
      <c r="U100" s="129"/>
      <c r="V100" s="129"/>
      <c r="W100" s="129"/>
      <c r="X100" s="129"/>
      <c r="Y100" s="186" t="s">
        <v>1060</v>
      </c>
      <c r="Z100" s="186"/>
      <c r="AA100" s="33"/>
      <c r="AB100" s="186"/>
    </row>
    <row r="101" spans="1:28" ht="14.25" customHeight="1">
      <c r="A101" s="213"/>
      <c r="B101" s="213"/>
      <c r="C101" s="210"/>
      <c r="D101" s="210"/>
      <c r="E101" s="129" t="s">
        <v>55</v>
      </c>
      <c r="F101" s="129" t="s">
        <v>1471</v>
      </c>
      <c r="G101" s="129" t="s">
        <v>329</v>
      </c>
      <c r="H101" s="186" t="s">
        <v>243</v>
      </c>
      <c r="I101" s="129"/>
      <c r="J101" s="129"/>
      <c r="K101" s="186" t="s">
        <v>680</v>
      </c>
      <c r="L101" s="186"/>
      <c r="M101" s="186"/>
      <c r="N101" s="186"/>
      <c r="O101" s="186"/>
      <c r="P101" s="186"/>
      <c r="Q101" s="186"/>
      <c r="R101" s="362"/>
      <c r="S101" s="79" t="e">
        <v>#N/A</v>
      </c>
      <c r="T101" s="129" t="s">
        <v>1472</v>
      </c>
      <c r="U101" s="129"/>
      <c r="V101" s="129"/>
      <c r="W101" s="129"/>
      <c r="X101" s="129"/>
      <c r="Y101" s="186" t="s">
        <v>1060</v>
      </c>
      <c r="Z101" s="186"/>
      <c r="AA101" s="33"/>
      <c r="AB101" s="186"/>
    </row>
    <row r="102" spans="1:28" ht="14.25" customHeight="1">
      <c r="A102" s="213"/>
      <c r="B102" s="213"/>
      <c r="C102" s="210"/>
      <c r="D102" s="210"/>
      <c r="E102" s="129" t="s">
        <v>55</v>
      </c>
      <c r="F102" s="129" t="s">
        <v>1473</v>
      </c>
      <c r="G102" s="129" t="s">
        <v>329</v>
      </c>
      <c r="H102" s="186" t="s">
        <v>243</v>
      </c>
      <c r="I102" s="129"/>
      <c r="J102" s="129"/>
      <c r="K102" s="186" t="s">
        <v>680</v>
      </c>
      <c r="L102" s="186"/>
      <c r="M102" s="186"/>
      <c r="N102" s="186"/>
      <c r="O102" s="186"/>
      <c r="P102" s="186"/>
      <c r="Q102" s="186"/>
      <c r="R102" s="362"/>
      <c r="S102" s="79" t="e">
        <v>#N/A</v>
      </c>
      <c r="T102" s="129" t="s">
        <v>1474</v>
      </c>
      <c r="U102" s="129"/>
      <c r="V102" s="129"/>
      <c r="W102" s="129"/>
      <c r="X102" s="129"/>
      <c r="Y102" s="186" t="s">
        <v>1060</v>
      </c>
      <c r="Z102" s="186"/>
      <c r="AA102" s="33"/>
      <c r="AB102" s="186"/>
    </row>
    <row r="103" spans="1:28" ht="14.25" customHeight="1">
      <c r="A103" s="213"/>
      <c r="B103" s="213"/>
      <c r="C103" s="210"/>
      <c r="D103" s="210"/>
      <c r="E103" s="129" t="s">
        <v>55</v>
      </c>
      <c r="F103" s="129" t="s">
        <v>1475</v>
      </c>
      <c r="G103" s="129" t="s">
        <v>329</v>
      </c>
      <c r="H103" s="186" t="s">
        <v>243</v>
      </c>
      <c r="I103" s="129"/>
      <c r="J103" s="129"/>
      <c r="K103" s="186" t="s">
        <v>680</v>
      </c>
      <c r="L103" s="186"/>
      <c r="M103" s="186"/>
      <c r="N103" s="186"/>
      <c r="O103" s="186"/>
      <c r="P103" s="186"/>
      <c r="Q103" s="186"/>
      <c r="R103" s="362"/>
      <c r="S103" s="79" t="e">
        <v>#N/A</v>
      </c>
      <c r="T103" s="129" t="s">
        <v>1476</v>
      </c>
      <c r="U103" s="129"/>
      <c r="V103" s="129"/>
      <c r="W103" s="129"/>
      <c r="X103" s="129"/>
      <c r="Y103" s="186" t="s">
        <v>1060</v>
      </c>
      <c r="Z103" s="186"/>
      <c r="AA103" s="33"/>
      <c r="AB103" s="186"/>
    </row>
    <row r="104" spans="1:28" ht="14.25" customHeight="1">
      <c r="A104" s="213"/>
      <c r="B104" s="213"/>
      <c r="C104" s="210"/>
      <c r="D104" s="210"/>
      <c r="E104" s="129" t="s">
        <v>55</v>
      </c>
      <c r="F104" s="129" t="s">
        <v>1477</v>
      </c>
      <c r="G104" s="129" t="s">
        <v>329</v>
      </c>
      <c r="H104" s="186" t="s">
        <v>243</v>
      </c>
      <c r="I104" s="129"/>
      <c r="J104" s="129"/>
      <c r="K104" s="186" t="s">
        <v>680</v>
      </c>
      <c r="L104" s="186"/>
      <c r="M104" s="186"/>
      <c r="N104" s="186"/>
      <c r="O104" s="186"/>
      <c r="P104" s="186"/>
      <c r="Q104" s="186"/>
      <c r="R104" s="362"/>
      <c r="S104" s="79" t="e">
        <v>#N/A</v>
      </c>
      <c r="T104" s="129" t="s">
        <v>1478</v>
      </c>
      <c r="U104" s="129"/>
      <c r="V104" s="129"/>
      <c r="W104" s="129"/>
      <c r="X104" s="129"/>
      <c r="Y104" s="186" t="s">
        <v>1060</v>
      </c>
      <c r="Z104" s="186"/>
      <c r="AA104" s="33"/>
      <c r="AB104" s="186"/>
    </row>
    <row r="105" spans="1:28" ht="14.25" customHeight="1">
      <c r="A105" s="213"/>
      <c r="B105" s="213"/>
      <c r="C105" s="210" t="s">
        <v>1479</v>
      </c>
      <c r="D105" s="210">
        <v>1</v>
      </c>
      <c r="E105" s="129" t="s">
        <v>55</v>
      </c>
      <c r="F105" s="129" t="s">
        <v>1480</v>
      </c>
      <c r="G105" s="129" t="s">
        <v>329</v>
      </c>
      <c r="H105" s="186" t="s">
        <v>243</v>
      </c>
      <c r="I105" s="129"/>
      <c r="J105" s="129"/>
      <c r="K105" s="186" t="s">
        <v>680</v>
      </c>
      <c r="L105" s="186"/>
      <c r="M105" s="186"/>
      <c r="N105" s="186"/>
      <c r="O105" s="186"/>
      <c r="P105" s="186"/>
      <c r="Q105" s="186"/>
      <c r="R105" s="362"/>
      <c r="S105" s="79" t="e">
        <v>#N/A</v>
      </c>
      <c r="T105" s="129" t="s">
        <v>1481</v>
      </c>
      <c r="U105" s="129"/>
      <c r="V105" s="129"/>
      <c r="W105" s="129"/>
      <c r="X105" s="129"/>
      <c r="Y105" s="186" t="s">
        <v>1060</v>
      </c>
      <c r="Z105" s="186"/>
      <c r="AA105" s="33"/>
      <c r="AB105" s="186"/>
    </row>
    <row r="106" spans="1:28" ht="14.25" customHeight="1">
      <c r="A106" s="213"/>
      <c r="B106" s="213"/>
      <c r="C106" s="210" t="s">
        <v>1093</v>
      </c>
      <c r="D106" s="210">
        <v>1</v>
      </c>
      <c r="E106" s="129" t="s">
        <v>55</v>
      </c>
      <c r="F106" s="129" t="s">
        <v>1488</v>
      </c>
      <c r="G106" s="129" t="s">
        <v>329</v>
      </c>
      <c r="H106" s="186" t="s">
        <v>243</v>
      </c>
      <c r="I106" s="129"/>
      <c r="J106" s="129"/>
      <c r="K106" s="186" t="s">
        <v>680</v>
      </c>
      <c r="L106" s="186"/>
      <c r="M106" s="186"/>
      <c r="N106" s="186"/>
      <c r="O106" s="186"/>
      <c r="P106" s="186"/>
      <c r="Q106" s="186"/>
      <c r="R106" s="362"/>
      <c r="S106" s="79" t="e">
        <v>#N/A</v>
      </c>
      <c r="T106" s="129" t="s">
        <v>1489</v>
      </c>
      <c r="U106" s="129"/>
      <c r="V106" s="129"/>
      <c r="W106" s="129"/>
      <c r="X106" s="129"/>
      <c r="Y106" s="186" t="s">
        <v>1060</v>
      </c>
      <c r="Z106" s="186"/>
      <c r="AA106" s="33"/>
      <c r="AB106" s="186"/>
    </row>
    <row r="107" spans="1:28" ht="14.25" customHeight="1">
      <c r="A107" s="213"/>
      <c r="B107" s="213"/>
      <c r="C107" s="210"/>
      <c r="D107" s="210"/>
      <c r="E107" s="129" t="s">
        <v>55</v>
      </c>
      <c r="F107" s="129" t="s">
        <v>1490</v>
      </c>
      <c r="G107" s="129" t="s">
        <v>329</v>
      </c>
      <c r="H107" s="186" t="s">
        <v>243</v>
      </c>
      <c r="I107" s="129"/>
      <c r="J107" s="129"/>
      <c r="K107" s="186" t="s">
        <v>680</v>
      </c>
      <c r="L107" s="186"/>
      <c r="M107" s="186"/>
      <c r="N107" s="186"/>
      <c r="O107" s="186"/>
      <c r="P107" s="186"/>
      <c r="Q107" s="186"/>
      <c r="R107" s="362"/>
      <c r="S107" s="79" t="e">
        <v>#N/A</v>
      </c>
      <c r="T107" s="129" t="s">
        <v>1491</v>
      </c>
      <c r="U107" s="129"/>
      <c r="V107" s="129"/>
      <c r="W107" s="129"/>
      <c r="X107" s="129"/>
      <c r="Y107" s="186" t="s">
        <v>1060</v>
      </c>
      <c r="Z107" s="186"/>
      <c r="AA107" s="33"/>
      <c r="AB107" s="186"/>
    </row>
    <row r="108" spans="1:28" ht="14.25" customHeight="1">
      <c r="A108" s="213"/>
      <c r="B108" s="213"/>
      <c r="C108" s="210" t="s">
        <v>1492</v>
      </c>
      <c r="D108" s="210">
        <v>1</v>
      </c>
      <c r="E108" s="129" t="s">
        <v>55</v>
      </c>
      <c r="F108" s="129" t="s">
        <v>1493</v>
      </c>
      <c r="G108" s="129" t="s">
        <v>329</v>
      </c>
      <c r="H108" s="186" t="s">
        <v>243</v>
      </c>
      <c r="I108" s="129"/>
      <c r="J108" s="129"/>
      <c r="K108" s="186" t="s">
        <v>680</v>
      </c>
      <c r="L108" s="186"/>
      <c r="M108" s="186"/>
      <c r="N108" s="186"/>
      <c r="O108" s="186"/>
      <c r="P108" s="186"/>
      <c r="Q108" s="186"/>
      <c r="R108" s="362"/>
      <c r="S108" s="79" t="e">
        <v>#N/A</v>
      </c>
      <c r="T108" s="129" t="s">
        <v>1494</v>
      </c>
      <c r="U108" s="129"/>
      <c r="V108" s="129"/>
      <c r="W108" s="129"/>
      <c r="X108" s="129"/>
      <c r="Y108" s="186" t="s">
        <v>1060</v>
      </c>
      <c r="Z108" s="186"/>
      <c r="AA108" s="33"/>
      <c r="AB108" s="186"/>
    </row>
    <row r="109" spans="1:28" ht="14.25" customHeight="1">
      <c r="A109" s="213"/>
      <c r="B109" s="213"/>
      <c r="C109" s="210" t="s">
        <v>1495</v>
      </c>
      <c r="D109" s="210">
        <v>1</v>
      </c>
      <c r="E109" s="129" t="s">
        <v>55</v>
      </c>
      <c r="F109" s="129" t="s">
        <v>1496</v>
      </c>
      <c r="G109" s="129" t="s">
        <v>329</v>
      </c>
      <c r="H109" s="186" t="s">
        <v>243</v>
      </c>
      <c r="I109" s="129"/>
      <c r="J109" s="129"/>
      <c r="K109" s="186" t="s">
        <v>680</v>
      </c>
      <c r="L109" s="186"/>
      <c r="M109" s="186"/>
      <c r="N109" s="186"/>
      <c r="O109" s="186"/>
      <c r="P109" s="186"/>
      <c r="Q109" s="186"/>
      <c r="R109" s="362"/>
      <c r="S109" s="79" t="e">
        <v>#N/A</v>
      </c>
      <c r="T109" s="129" t="s">
        <v>1497</v>
      </c>
      <c r="U109" s="129"/>
      <c r="V109" s="129"/>
      <c r="W109" s="129"/>
      <c r="X109" s="129"/>
      <c r="Y109" s="186" t="s">
        <v>1060</v>
      </c>
      <c r="Z109" s="186"/>
      <c r="AA109" s="33"/>
      <c r="AB109" s="186"/>
    </row>
    <row r="110" spans="1:28" ht="14.25" customHeight="1">
      <c r="A110" s="186"/>
      <c r="B110" s="186"/>
      <c r="C110" s="186" t="s">
        <v>1502</v>
      </c>
      <c r="D110" s="186">
        <v>1</v>
      </c>
      <c r="E110" s="186" t="s">
        <v>55</v>
      </c>
      <c r="F110" s="186" t="s">
        <v>1503</v>
      </c>
      <c r="G110" s="186" t="s">
        <v>329</v>
      </c>
      <c r="H110" s="186" t="s">
        <v>243</v>
      </c>
      <c r="I110" s="186"/>
      <c r="J110" s="72"/>
      <c r="K110" s="186" t="s">
        <v>680</v>
      </c>
      <c r="L110" s="186"/>
      <c r="M110" s="186"/>
      <c r="N110" s="186"/>
      <c r="O110" s="186"/>
      <c r="P110" s="186"/>
      <c r="Q110" s="186"/>
      <c r="R110" s="122"/>
      <c r="S110" s="79" t="e">
        <v>#N/A</v>
      </c>
      <c r="T110" s="90" t="s">
        <v>1504</v>
      </c>
      <c r="U110" s="186"/>
      <c r="V110" s="186"/>
      <c r="W110" s="186"/>
      <c r="X110" s="129"/>
      <c r="Y110" s="186" t="s">
        <v>1060</v>
      </c>
      <c r="Z110" s="186"/>
      <c r="AA110" s="33"/>
      <c r="AB110" s="186"/>
    </row>
    <row r="111" spans="1:28" ht="14.25" customHeight="1">
      <c r="A111" s="213"/>
      <c r="B111" s="213"/>
      <c r="C111" s="210"/>
      <c r="D111" s="210"/>
      <c r="E111" s="186" t="s">
        <v>55</v>
      </c>
      <c r="F111" s="186" t="s">
        <v>1505</v>
      </c>
      <c r="G111" s="186" t="s">
        <v>329</v>
      </c>
      <c r="H111" s="186" t="s">
        <v>243</v>
      </c>
      <c r="I111" s="186"/>
      <c r="J111" s="72"/>
      <c r="K111" s="186" t="s">
        <v>680</v>
      </c>
      <c r="L111" s="186"/>
      <c r="M111" s="186"/>
      <c r="N111" s="186"/>
      <c r="O111" s="186"/>
      <c r="P111" s="186"/>
      <c r="Q111" s="186"/>
      <c r="R111" s="122"/>
      <c r="S111" s="79" t="e">
        <v>#N/A</v>
      </c>
      <c r="T111" s="90" t="s">
        <v>1506</v>
      </c>
      <c r="U111" s="186"/>
      <c r="V111" s="186"/>
      <c r="W111" s="186"/>
      <c r="X111" s="129"/>
      <c r="Y111" s="186" t="s">
        <v>1060</v>
      </c>
      <c r="Z111" s="186"/>
      <c r="AA111" s="33"/>
      <c r="AB111" s="186"/>
    </row>
    <row r="112" spans="1:28" ht="14.25" customHeight="1">
      <c r="A112" s="213"/>
      <c r="B112" s="213"/>
      <c r="C112" s="210" t="s">
        <v>1507</v>
      </c>
      <c r="D112" s="210">
        <v>1</v>
      </c>
      <c r="E112" s="129" t="s">
        <v>55</v>
      </c>
      <c r="F112" s="186" t="s">
        <v>1508</v>
      </c>
      <c r="G112" s="186" t="s">
        <v>329</v>
      </c>
      <c r="H112" s="129" t="s">
        <v>243</v>
      </c>
      <c r="I112" s="186"/>
      <c r="J112" s="129"/>
      <c r="K112" s="186" t="s">
        <v>680</v>
      </c>
      <c r="L112" s="186"/>
      <c r="M112" s="186"/>
      <c r="N112" s="186"/>
      <c r="O112" s="186"/>
      <c r="P112" s="186"/>
      <c r="Q112" s="186"/>
      <c r="R112" s="122"/>
      <c r="S112" s="79" t="e">
        <v>#N/A</v>
      </c>
      <c r="T112" s="186" t="s">
        <v>1509</v>
      </c>
      <c r="U112" s="186"/>
      <c r="V112" s="186"/>
      <c r="W112" s="186"/>
      <c r="X112" s="129"/>
      <c r="Y112" s="186" t="s">
        <v>1060</v>
      </c>
      <c r="Z112" s="186"/>
      <c r="AA112" s="33"/>
      <c r="AB112" s="186"/>
    </row>
    <row r="113" spans="1:28" ht="14.25" customHeight="1">
      <c r="A113" s="213"/>
      <c r="B113" s="213"/>
      <c r="C113" s="210" t="s">
        <v>1510</v>
      </c>
      <c r="D113" s="210">
        <v>1</v>
      </c>
      <c r="E113" s="129" t="s">
        <v>55</v>
      </c>
      <c r="F113" s="186" t="s">
        <v>1511</v>
      </c>
      <c r="G113" s="186" t="s">
        <v>329</v>
      </c>
      <c r="H113" s="129" t="s">
        <v>243</v>
      </c>
      <c r="I113" s="186"/>
      <c r="J113" s="129"/>
      <c r="K113" s="186" t="s">
        <v>680</v>
      </c>
      <c r="L113" s="186"/>
      <c r="M113" s="186"/>
      <c r="N113" s="186"/>
      <c r="O113" s="186"/>
      <c r="P113" s="186"/>
      <c r="Q113" s="186"/>
      <c r="R113" s="122"/>
      <c r="S113" s="79" t="e">
        <v>#N/A</v>
      </c>
      <c r="T113" s="186" t="s">
        <v>1512</v>
      </c>
      <c r="U113" s="186"/>
      <c r="V113" s="186"/>
      <c r="W113" s="186"/>
      <c r="X113" s="129"/>
      <c r="Y113" s="186" t="s">
        <v>1060</v>
      </c>
      <c r="Z113" s="186"/>
      <c r="AA113" s="33"/>
      <c r="AB113" s="186"/>
    </row>
    <row r="114" spans="1:28" ht="14.25" customHeight="1">
      <c r="A114" s="213"/>
      <c r="B114" s="213"/>
      <c r="C114" s="210" t="s">
        <v>1513</v>
      </c>
      <c r="D114" s="210">
        <v>1</v>
      </c>
      <c r="E114" s="129" t="s">
        <v>55</v>
      </c>
      <c r="F114" s="186" t="s">
        <v>1514</v>
      </c>
      <c r="G114" s="186" t="s">
        <v>329</v>
      </c>
      <c r="H114" s="129" t="s">
        <v>243</v>
      </c>
      <c r="I114" s="186"/>
      <c r="J114" s="129"/>
      <c r="K114" s="186" t="s">
        <v>680</v>
      </c>
      <c r="L114" s="186"/>
      <c r="M114" s="186"/>
      <c r="N114" s="186"/>
      <c r="O114" s="186"/>
      <c r="P114" s="186"/>
      <c r="Q114" s="186"/>
      <c r="R114" s="122"/>
      <c r="S114" s="79" t="e">
        <v>#N/A</v>
      </c>
      <c r="T114" s="186" t="s">
        <v>1515</v>
      </c>
      <c r="U114" s="186"/>
      <c r="V114" s="186"/>
      <c r="W114" s="186"/>
      <c r="X114" s="129"/>
      <c r="Y114" s="186" t="s">
        <v>1060</v>
      </c>
      <c r="Z114" s="186"/>
      <c r="AA114" s="33"/>
      <c r="AB114" s="186"/>
    </row>
    <row r="115" spans="1:28" ht="14.25" customHeight="1">
      <c r="A115" s="213"/>
      <c r="B115" s="213"/>
      <c r="C115" s="210"/>
      <c r="D115" s="210"/>
      <c r="E115" s="129" t="s">
        <v>55</v>
      </c>
      <c r="F115" s="186" t="s">
        <v>1516</v>
      </c>
      <c r="G115" s="186" t="s">
        <v>329</v>
      </c>
      <c r="H115" s="129" t="s">
        <v>243</v>
      </c>
      <c r="I115" s="186"/>
      <c r="J115" s="129"/>
      <c r="K115" s="186" t="s">
        <v>680</v>
      </c>
      <c r="L115" s="186"/>
      <c r="M115" s="186"/>
      <c r="N115" s="186"/>
      <c r="O115" s="186"/>
      <c r="P115" s="186"/>
      <c r="Q115" s="186"/>
      <c r="R115" s="122"/>
      <c r="S115" s="79" t="e">
        <v>#N/A</v>
      </c>
      <c r="T115" s="186" t="s">
        <v>1517</v>
      </c>
      <c r="U115" s="186"/>
      <c r="V115" s="186"/>
      <c r="W115" s="186"/>
      <c r="X115" s="129"/>
      <c r="Y115" s="186" t="s">
        <v>1060</v>
      </c>
      <c r="Z115" s="186"/>
      <c r="AA115" s="33"/>
      <c r="AB115" s="186"/>
    </row>
    <row r="116" spans="1:28" ht="14.25" customHeight="1">
      <c r="A116" s="213"/>
      <c r="B116" s="213"/>
      <c r="C116" s="210"/>
      <c r="D116" s="210"/>
      <c r="E116" s="186" t="s">
        <v>55</v>
      </c>
      <c r="F116" s="186" t="s">
        <v>1523</v>
      </c>
      <c r="G116" s="186" t="s">
        <v>329</v>
      </c>
      <c r="H116" s="186" t="s">
        <v>243</v>
      </c>
      <c r="I116" s="186"/>
      <c r="J116" s="72"/>
      <c r="K116" s="186" t="s">
        <v>680</v>
      </c>
      <c r="L116" s="186"/>
      <c r="M116" s="186"/>
      <c r="N116" s="186"/>
      <c r="O116" s="186"/>
      <c r="P116" s="186"/>
      <c r="Q116" s="186"/>
      <c r="R116" s="122"/>
      <c r="S116" s="79" t="e">
        <v>#N/A</v>
      </c>
      <c r="T116" s="186" t="s">
        <v>5759</v>
      </c>
      <c r="U116" s="186"/>
      <c r="V116" s="186"/>
      <c r="W116" s="186"/>
      <c r="X116" s="129"/>
      <c r="Y116" s="186" t="s">
        <v>1060</v>
      </c>
      <c r="Z116" s="186"/>
      <c r="AA116" s="33"/>
      <c r="AB116" s="186"/>
    </row>
    <row r="117" spans="1:28" ht="14.25" customHeight="1">
      <c r="A117" s="213"/>
      <c r="B117" s="213"/>
      <c r="C117" s="210"/>
      <c r="D117" s="210"/>
      <c r="E117" s="129" t="s">
        <v>55</v>
      </c>
      <c r="F117" s="129" t="s">
        <v>1523</v>
      </c>
      <c r="G117" s="129" t="s">
        <v>329</v>
      </c>
      <c r="H117" s="186" t="s">
        <v>243</v>
      </c>
      <c r="I117" s="129"/>
      <c r="J117" s="129"/>
      <c r="K117" s="186" t="s">
        <v>680</v>
      </c>
      <c r="L117" s="186"/>
      <c r="M117" s="186"/>
      <c r="N117" s="186"/>
      <c r="O117" s="186"/>
      <c r="P117" s="186"/>
      <c r="Q117" s="186"/>
      <c r="R117" s="362"/>
      <c r="S117" s="79" t="e">
        <v>#N/A</v>
      </c>
      <c r="T117" s="129" t="s">
        <v>5759</v>
      </c>
      <c r="U117" s="129"/>
      <c r="V117" s="129"/>
      <c r="W117" s="129"/>
      <c r="X117" s="129"/>
      <c r="Y117" s="186" t="s">
        <v>1060</v>
      </c>
      <c r="Z117" s="186"/>
      <c r="AA117" s="33"/>
      <c r="AB117" s="186"/>
    </row>
    <row r="118" spans="1:28" ht="14.25" customHeight="1">
      <c r="A118" s="213"/>
      <c r="B118" s="213"/>
      <c r="C118" s="210" t="s">
        <v>1525</v>
      </c>
      <c r="D118" s="210">
        <v>1</v>
      </c>
      <c r="E118" s="129" t="s">
        <v>55</v>
      </c>
      <c r="F118" s="186" t="s">
        <v>1526</v>
      </c>
      <c r="G118" s="186" t="s">
        <v>329</v>
      </c>
      <c r="H118" s="129" t="s">
        <v>243</v>
      </c>
      <c r="I118" s="186"/>
      <c r="J118" s="129"/>
      <c r="K118" s="186" t="s">
        <v>680</v>
      </c>
      <c r="L118" s="186"/>
      <c r="M118" s="186"/>
      <c r="N118" s="186"/>
      <c r="O118" s="186"/>
      <c r="P118" s="186"/>
      <c r="Q118" s="186"/>
      <c r="R118" s="122"/>
      <c r="S118" s="79" t="e">
        <v>#N/A</v>
      </c>
      <c r="T118" s="186" t="s">
        <v>1527</v>
      </c>
      <c r="U118" s="186"/>
      <c r="V118" s="186"/>
      <c r="W118" s="186"/>
      <c r="X118" s="129"/>
      <c r="Y118" s="186" t="s">
        <v>1060</v>
      </c>
      <c r="Z118" s="186"/>
      <c r="AA118" s="33"/>
      <c r="AB118" s="186"/>
    </row>
    <row r="119" spans="1:28" ht="14.25" customHeight="1">
      <c r="A119" s="213"/>
      <c r="B119" s="213"/>
      <c r="C119" s="210"/>
      <c r="D119" s="210"/>
      <c r="E119" s="129" t="s">
        <v>55</v>
      </c>
      <c r="F119" s="186" t="s">
        <v>1528</v>
      </c>
      <c r="G119" s="186" t="s">
        <v>329</v>
      </c>
      <c r="H119" s="129" t="s">
        <v>243</v>
      </c>
      <c r="I119" s="186"/>
      <c r="J119" s="129"/>
      <c r="K119" s="186" t="s">
        <v>680</v>
      </c>
      <c r="L119" s="186"/>
      <c r="M119" s="186"/>
      <c r="N119" s="186"/>
      <c r="O119" s="186"/>
      <c r="P119" s="186"/>
      <c r="Q119" s="186"/>
      <c r="R119" s="122"/>
      <c r="S119" s="79" t="e">
        <v>#N/A</v>
      </c>
      <c r="T119" s="186" t="s">
        <v>1529</v>
      </c>
      <c r="U119" s="186"/>
      <c r="V119" s="186"/>
      <c r="W119" s="186"/>
      <c r="X119" s="129"/>
      <c r="Y119" s="186" t="s">
        <v>1060</v>
      </c>
      <c r="Z119" s="186"/>
      <c r="AA119" s="33"/>
      <c r="AB119" s="186"/>
    </row>
    <row r="120" spans="1:28" ht="14.25" customHeight="1">
      <c r="A120" s="213"/>
      <c r="B120" s="213"/>
      <c r="C120" s="210"/>
      <c r="D120" s="210"/>
      <c r="E120" s="129" t="s">
        <v>55</v>
      </c>
      <c r="F120" s="186" t="s">
        <v>1533</v>
      </c>
      <c r="G120" s="186" t="s">
        <v>329</v>
      </c>
      <c r="H120" s="129" t="s">
        <v>243</v>
      </c>
      <c r="I120" s="186"/>
      <c r="J120" s="129"/>
      <c r="K120" s="186" t="s">
        <v>680</v>
      </c>
      <c r="L120" s="186"/>
      <c r="M120" s="186"/>
      <c r="N120" s="186"/>
      <c r="O120" s="186"/>
      <c r="P120" s="186"/>
      <c r="Q120" s="186"/>
      <c r="R120" s="122"/>
      <c r="S120" s="79" t="e">
        <v>#N/A</v>
      </c>
      <c r="T120" s="186" t="s">
        <v>5760</v>
      </c>
      <c r="U120" s="186"/>
      <c r="V120" s="186"/>
      <c r="W120" s="186"/>
      <c r="X120" s="129"/>
      <c r="Y120" s="186" t="s">
        <v>1060</v>
      </c>
      <c r="Z120" s="186"/>
      <c r="AA120" s="33"/>
      <c r="AB120" s="186"/>
    </row>
    <row r="121" spans="1:28" ht="14.25" customHeight="1">
      <c r="A121" s="213"/>
      <c r="B121" s="213"/>
      <c r="C121" s="210" t="s">
        <v>1534</v>
      </c>
      <c r="D121" s="210">
        <v>1</v>
      </c>
      <c r="E121" s="129" t="s">
        <v>55</v>
      </c>
      <c r="F121" s="186" t="s">
        <v>1535</v>
      </c>
      <c r="G121" s="186" t="s">
        <v>329</v>
      </c>
      <c r="H121" s="129" t="s">
        <v>243</v>
      </c>
      <c r="I121" s="186"/>
      <c r="J121" s="129"/>
      <c r="K121" s="186" t="s">
        <v>680</v>
      </c>
      <c r="L121" s="186"/>
      <c r="M121" s="186"/>
      <c r="N121" s="186"/>
      <c r="O121" s="186"/>
      <c r="P121" s="186"/>
      <c r="Q121" s="186"/>
      <c r="R121" s="122"/>
      <c r="S121" s="79" t="e">
        <v>#N/A</v>
      </c>
      <c r="T121" s="186" t="s">
        <v>1536</v>
      </c>
      <c r="U121" s="186"/>
      <c r="V121" s="186"/>
      <c r="W121" s="186"/>
      <c r="X121" s="129"/>
      <c r="Y121" s="186" t="s">
        <v>1060</v>
      </c>
      <c r="Z121" s="186"/>
      <c r="AA121" s="33"/>
      <c r="AB121" s="186"/>
    </row>
    <row r="122" spans="1:28" ht="14.25" customHeight="1">
      <c r="A122" s="213"/>
      <c r="B122" s="213"/>
      <c r="C122" s="210" t="s">
        <v>1537</v>
      </c>
      <c r="D122" s="210">
        <v>1</v>
      </c>
      <c r="E122" s="129" t="s">
        <v>55</v>
      </c>
      <c r="F122" s="186" t="s">
        <v>1538</v>
      </c>
      <c r="G122" s="186" t="s">
        <v>329</v>
      </c>
      <c r="H122" s="129" t="s">
        <v>243</v>
      </c>
      <c r="I122" s="186"/>
      <c r="J122" s="129"/>
      <c r="K122" s="186" t="s">
        <v>680</v>
      </c>
      <c r="L122" s="186"/>
      <c r="M122" s="186"/>
      <c r="N122" s="186"/>
      <c r="O122" s="186"/>
      <c r="P122" s="186"/>
      <c r="Q122" s="186"/>
      <c r="R122" s="122"/>
      <c r="S122" s="79" t="e">
        <v>#N/A</v>
      </c>
      <c r="T122" s="186" t="s">
        <v>1539</v>
      </c>
      <c r="U122" s="186"/>
      <c r="V122" s="186"/>
      <c r="W122" s="186"/>
      <c r="X122" s="129"/>
      <c r="Y122" s="186" t="s">
        <v>1060</v>
      </c>
      <c r="Z122" s="186"/>
      <c r="AA122" s="33"/>
      <c r="AB122" s="186"/>
    </row>
    <row r="123" spans="1:28" ht="14.25" customHeight="1">
      <c r="A123" s="213"/>
      <c r="B123" s="213"/>
      <c r="C123" s="210" t="s">
        <v>1540</v>
      </c>
      <c r="D123" s="210">
        <v>1</v>
      </c>
      <c r="E123" s="129" t="s">
        <v>55</v>
      </c>
      <c r="F123" s="186" t="s">
        <v>1541</v>
      </c>
      <c r="G123" s="186" t="s">
        <v>329</v>
      </c>
      <c r="H123" s="129" t="s">
        <v>243</v>
      </c>
      <c r="I123" s="186"/>
      <c r="J123" s="129"/>
      <c r="K123" s="186" t="s">
        <v>680</v>
      </c>
      <c r="L123" s="186"/>
      <c r="M123" s="186"/>
      <c r="N123" s="186"/>
      <c r="O123" s="186"/>
      <c r="P123" s="186"/>
      <c r="Q123" s="186"/>
      <c r="R123" s="122"/>
      <c r="S123" s="79" t="e">
        <v>#N/A</v>
      </c>
      <c r="T123" s="186" t="s">
        <v>1542</v>
      </c>
      <c r="U123" s="186"/>
      <c r="V123" s="186"/>
      <c r="W123" s="186"/>
      <c r="X123" s="129"/>
      <c r="Y123" s="186" t="s">
        <v>1060</v>
      </c>
      <c r="Z123" s="186"/>
      <c r="AA123" s="33"/>
      <c r="AB123" s="186"/>
    </row>
    <row r="124" spans="1:28" ht="14.25" customHeight="1">
      <c r="A124" s="213"/>
      <c r="B124" s="213"/>
      <c r="C124" s="210"/>
      <c r="D124" s="210"/>
      <c r="E124" s="186" t="s">
        <v>55</v>
      </c>
      <c r="F124" s="186" t="s">
        <v>520</v>
      </c>
      <c r="G124" s="186" t="s">
        <v>255</v>
      </c>
      <c r="H124" s="186" t="s">
        <v>243</v>
      </c>
      <c r="I124" s="186"/>
      <c r="J124" s="186">
        <v>30</v>
      </c>
      <c r="K124" s="186" t="s">
        <v>680</v>
      </c>
      <c r="L124" s="186"/>
      <c r="M124" s="186"/>
      <c r="N124" s="186"/>
      <c r="O124" s="186"/>
      <c r="P124" s="186"/>
      <c r="Q124" s="186"/>
      <c r="R124" s="122"/>
      <c r="S124" s="79" t="e">
        <v>#N/A</v>
      </c>
      <c r="T124" s="186" t="s">
        <v>1547</v>
      </c>
      <c r="U124" s="186"/>
      <c r="V124" s="186"/>
      <c r="W124" s="186"/>
      <c r="X124" s="129"/>
      <c r="Y124" s="186" t="s">
        <v>1060</v>
      </c>
      <c r="Z124" s="186"/>
      <c r="AA124" s="33"/>
      <c r="AB124" s="186"/>
    </row>
    <row r="125" spans="1:28" ht="14.25" customHeight="1">
      <c r="A125" s="213"/>
      <c r="B125" s="213"/>
      <c r="C125" s="210" t="s">
        <v>1548</v>
      </c>
      <c r="D125" s="210">
        <v>1</v>
      </c>
      <c r="E125" s="186" t="s">
        <v>55</v>
      </c>
      <c r="F125" s="186" t="s">
        <v>522</v>
      </c>
      <c r="G125" s="186" t="s">
        <v>329</v>
      </c>
      <c r="H125" s="186" t="s">
        <v>243</v>
      </c>
      <c r="I125" s="186"/>
      <c r="J125" s="186">
        <v>31</v>
      </c>
      <c r="K125" s="186" t="s">
        <v>680</v>
      </c>
      <c r="L125" s="186"/>
      <c r="M125" s="186"/>
      <c r="N125" s="186"/>
      <c r="O125" s="186"/>
      <c r="P125" s="186"/>
      <c r="Q125" s="186"/>
      <c r="R125" s="122"/>
      <c r="S125" s="79" t="e">
        <v>#N/A</v>
      </c>
      <c r="T125" s="186" t="s">
        <v>1549</v>
      </c>
      <c r="U125" s="186"/>
      <c r="V125" s="186"/>
      <c r="W125" s="186"/>
      <c r="X125" s="129"/>
      <c r="Y125" s="186" t="s">
        <v>1060</v>
      </c>
      <c r="Z125" s="186"/>
      <c r="AA125" s="33"/>
      <c r="AB125" s="186"/>
    </row>
    <row r="126" spans="1:28" ht="14.25" customHeight="1">
      <c r="A126" s="213"/>
      <c r="B126" s="213"/>
      <c r="C126" s="210" t="s">
        <v>1550</v>
      </c>
      <c r="D126" s="210">
        <v>1</v>
      </c>
      <c r="E126" s="186" t="s">
        <v>55</v>
      </c>
      <c r="F126" s="186" t="s">
        <v>260</v>
      </c>
      <c r="G126" s="186" t="s">
        <v>242</v>
      </c>
      <c r="H126" s="186" t="s">
        <v>243</v>
      </c>
      <c r="I126" s="186"/>
      <c r="J126" s="72">
        <v>81</v>
      </c>
      <c r="K126" s="186" t="s">
        <v>680</v>
      </c>
      <c r="L126" s="186"/>
      <c r="M126" s="186"/>
      <c r="N126" s="186"/>
      <c r="O126" s="186"/>
      <c r="P126" s="186"/>
      <c r="Q126" s="186"/>
      <c r="R126" s="387"/>
      <c r="S126" s="79" t="e">
        <v>#N/A</v>
      </c>
      <c r="T126" s="186" t="s">
        <v>1551</v>
      </c>
      <c r="U126" s="186">
        <v>1</v>
      </c>
      <c r="V126" s="186"/>
      <c r="W126" s="186"/>
      <c r="X126" s="129"/>
      <c r="Y126" s="186" t="s">
        <v>1060</v>
      </c>
      <c r="Z126" s="186"/>
      <c r="AA126" s="33"/>
      <c r="AB126" s="186"/>
    </row>
    <row r="127" spans="1:28" ht="14.25" customHeight="1">
      <c r="A127" s="213"/>
      <c r="B127" s="213"/>
      <c r="C127" s="210" t="s">
        <v>225</v>
      </c>
      <c r="D127" s="210">
        <v>1</v>
      </c>
      <c r="E127" s="186" t="s">
        <v>55</v>
      </c>
      <c r="F127" s="186" t="s">
        <v>270</v>
      </c>
      <c r="G127" s="186" t="s">
        <v>242</v>
      </c>
      <c r="H127" s="186" t="s">
        <v>243</v>
      </c>
      <c r="I127" s="186"/>
      <c r="J127" s="72">
        <v>82</v>
      </c>
      <c r="K127" s="186" t="s">
        <v>680</v>
      </c>
      <c r="L127" s="186"/>
      <c r="M127" s="186"/>
      <c r="N127" s="186"/>
      <c r="O127" s="186"/>
      <c r="P127" s="186"/>
      <c r="Q127" s="186"/>
      <c r="R127" s="387"/>
      <c r="S127" s="79" t="e">
        <v>#N/A</v>
      </c>
      <c r="T127" s="186" t="s">
        <v>1551</v>
      </c>
      <c r="U127" s="186">
        <v>1</v>
      </c>
      <c r="V127" s="186"/>
      <c r="W127" s="186"/>
      <c r="X127" s="129"/>
      <c r="Y127" s="186" t="s">
        <v>1060</v>
      </c>
      <c r="Z127" s="186"/>
      <c r="AA127" s="33"/>
      <c r="AB127" s="186"/>
    </row>
    <row r="128" spans="1:28" ht="14.25" customHeight="1">
      <c r="A128" s="213"/>
      <c r="B128" s="213"/>
      <c r="C128" s="210" t="s">
        <v>1552</v>
      </c>
      <c r="D128" s="210">
        <v>1</v>
      </c>
      <c r="E128" s="186" t="s">
        <v>55</v>
      </c>
      <c r="F128" s="186" t="s">
        <v>1223</v>
      </c>
      <c r="G128" s="186" t="s">
        <v>242</v>
      </c>
      <c r="H128" s="186" t="s">
        <v>243</v>
      </c>
      <c r="I128" s="186"/>
      <c r="J128" s="72">
        <v>83</v>
      </c>
      <c r="K128" s="186" t="s">
        <v>680</v>
      </c>
      <c r="L128" s="186"/>
      <c r="M128" s="186"/>
      <c r="N128" s="186"/>
      <c r="O128" s="186"/>
      <c r="P128" s="186"/>
      <c r="Q128" s="186"/>
      <c r="R128" s="387"/>
      <c r="S128" s="79" t="e">
        <v>#N/A</v>
      </c>
      <c r="T128" s="186" t="s">
        <v>1551</v>
      </c>
      <c r="U128" s="186">
        <v>1</v>
      </c>
      <c r="V128" s="186"/>
      <c r="W128" s="186"/>
      <c r="X128" s="129"/>
      <c r="Y128" s="186" t="s">
        <v>1060</v>
      </c>
      <c r="Z128" s="186"/>
      <c r="AA128" s="33"/>
      <c r="AB128" s="186"/>
    </row>
    <row r="129" spans="1:28" ht="14.25" customHeight="1">
      <c r="A129" s="213"/>
      <c r="B129" s="213"/>
      <c r="C129" s="210" t="s">
        <v>1553</v>
      </c>
      <c r="D129" s="210">
        <v>1</v>
      </c>
      <c r="E129" s="186" t="s">
        <v>55</v>
      </c>
      <c r="F129" s="186" t="s">
        <v>1228</v>
      </c>
      <c r="G129" s="186" t="s">
        <v>242</v>
      </c>
      <c r="H129" s="186" t="s">
        <v>243</v>
      </c>
      <c r="I129" s="186"/>
      <c r="J129" s="72">
        <v>84</v>
      </c>
      <c r="K129" s="186" t="s">
        <v>680</v>
      </c>
      <c r="L129" s="186"/>
      <c r="M129" s="186"/>
      <c r="N129" s="186"/>
      <c r="O129" s="186"/>
      <c r="P129" s="186"/>
      <c r="Q129" s="186"/>
      <c r="R129" s="387"/>
      <c r="S129" s="79" t="e">
        <v>#N/A</v>
      </c>
      <c r="T129" s="186" t="s">
        <v>1551</v>
      </c>
      <c r="U129" s="186">
        <v>1</v>
      </c>
      <c r="V129" s="186"/>
      <c r="W129" s="186"/>
      <c r="X129" s="129"/>
      <c r="Y129" s="186" t="s">
        <v>1060</v>
      </c>
      <c r="Z129" s="186"/>
      <c r="AA129" s="33"/>
      <c r="AB129" s="186"/>
    </row>
    <row r="130" spans="1:28" ht="14.25" customHeight="1">
      <c r="A130" s="213"/>
      <c r="B130" s="213"/>
      <c r="C130" s="210" t="s">
        <v>1569</v>
      </c>
      <c r="D130" s="210">
        <v>1</v>
      </c>
      <c r="E130" s="186" t="s">
        <v>55</v>
      </c>
      <c r="F130" s="186" t="s">
        <v>1570</v>
      </c>
      <c r="G130" s="186" t="s">
        <v>249</v>
      </c>
      <c r="H130" s="186" t="s">
        <v>243</v>
      </c>
      <c r="I130" s="186"/>
      <c r="J130" s="72"/>
      <c r="K130" s="186" t="s">
        <v>680</v>
      </c>
      <c r="L130" s="186"/>
      <c r="M130" s="186"/>
      <c r="N130" s="186"/>
      <c r="O130" s="186"/>
      <c r="P130" s="186"/>
      <c r="Q130" s="186"/>
      <c r="R130" s="122"/>
      <c r="S130" s="79" t="e">
        <v>#N/A</v>
      </c>
      <c r="T130" s="90" t="s">
        <v>1571</v>
      </c>
      <c r="U130" s="186">
        <v>1</v>
      </c>
      <c r="V130" s="186"/>
      <c r="W130" s="186"/>
      <c r="X130" s="129"/>
      <c r="Y130" s="186" t="s">
        <v>1060</v>
      </c>
      <c r="Z130" s="186"/>
      <c r="AA130" s="33"/>
      <c r="AB130" s="186"/>
    </row>
    <row r="131" spans="1:28" ht="14.25" customHeight="1">
      <c r="A131" s="213"/>
      <c r="B131" s="213"/>
      <c r="C131" s="210"/>
      <c r="D131" s="210"/>
      <c r="E131" s="186" t="s">
        <v>55</v>
      </c>
      <c r="F131" s="186" t="s">
        <v>476</v>
      </c>
      <c r="G131" s="186" t="s">
        <v>242</v>
      </c>
      <c r="H131" s="186" t="s">
        <v>243</v>
      </c>
      <c r="I131" s="186"/>
      <c r="J131" s="186">
        <v>36</v>
      </c>
      <c r="K131" s="186" t="s">
        <v>680</v>
      </c>
      <c r="L131" s="186"/>
      <c r="M131" s="186"/>
      <c r="N131" s="186"/>
      <c r="O131" s="186"/>
      <c r="P131" s="186"/>
      <c r="Q131" s="186"/>
      <c r="R131" s="122"/>
      <c r="S131" s="79" t="e">
        <v>#N/A</v>
      </c>
      <c r="T131" s="186" t="s">
        <v>1576</v>
      </c>
      <c r="U131" s="186">
        <v>1</v>
      </c>
      <c r="V131" s="186"/>
      <c r="W131" s="186"/>
      <c r="X131" s="129"/>
      <c r="Y131" s="186" t="s">
        <v>1060</v>
      </c>
      <c r="Z131" s="186"/>
      <c r="AA131" s="33"/>
      <c r="AB131" s="186"/>
    </row>
    <row r="132" spans="1:28" ht="14.25" customHeight="1">
      <c r="A132" s="213"/>
      <c r="B132" s="213"/>
      <c r="C132" s="210"/>
      <c r="D132" s="210"/>
      <c r="E132" s="186" t="s">
        <v>55</v>
      </c>
      <c r="F132" s="186" t="s">
        <v>1578</v>
      </c>
      <c r="G132" s="186" t="s">
        <v>329</v>
      </c>
      <c r="H132" s="186" t="s">
        <v>243</v>
      </c>
      <c r="I132" s="186"/>
      <c r="J132" s="186">
        <v>91</v>
      </c>
      <c r="K132" s="186" t="s">
        <v>680</v>
      </c>
      <c r="L132" s="186"/>
      <c r="M132" s="186"/>
      <c r="N132" s="186"/>
      <c r="O132" s="186"/>
      <c r="P132" s="186"/>
      <c r="Q132" s="186"/>
      <c r="R132" s="122"/>
      <c r="S132" s="79" t="e">
        <v>#N/A</v>
      </c>
      <c r="T132" s="186" t="s">
        <v>1579</v>
      </c>
      <c r="U132" s="186">
        <v>1</v>
      </c>
      <c r="V132" s="186"/>
      <c r="W132" s="186"/>
      <c r="X132" s="129"/>
      <c r="Y132" s="186" t="s">
        <v>1060</v>
      </c>
      <c r="Z132" s="186"/>
      <c r="AA132" s="33"/>
      <c r="AB132" s="186"/>
    </row>
    <row r="133" spans="1:28" ht="14.25" customHeight="1">
      <c r="A133" s="213"/>
      <c r="B133" s="213"/>
      <c r="C133" s="210"/>
      <c r="D133" s="210"/>
      <c r="E133" s="129" t="s">
        <v>55</v>
      </c>
      <c r="F133" s="186" t="s">
        <v>1621</v>
      </c>
      <c r="G133" s="186" t="s">
        <v>329</v>
      </c>
      <c r="H133" s="129" t="s">
        <v>243</v>
      </c>
      <c r="I133" s="186"/>
      <c r="J133" s="129"/>
      <c r="K133" s="186" t="s">
        <v>680</v>
      </c>
      <c r="L133" s="186"/>
      <c r="M133" s="186"/>
      <c r="N133" s="186"/>
      <c r="O133" s="186"/>
      <c r="P133" s="186"/>
      <c r="Q133" s="186"/>
      <c r="R133" s="122"/>
      <c r="S133" s="79" t="e">
        <v>#N/A</v>
      </c>
      <c r="T133" s="186" t="s">
        <v>1622</v>
      </c>
      <c r="U133" s="186"/>
      <c r="V133" s="186"/>
      <c r="W133" s="186"/>
      <c r="X133" s="129"/>
      <c r="Y133" s="186" t="s">
        <v>1060</v>
      </c>
      <c r="Z133" s="186"/>
      <c r="AA133" s="33"/>
      <c r="AB133" s="186"/>
    </row>
    <row r="134" spans="1:28" ht="14.25" customHeight="1">
      <c r="A134" s="213"/>
      <c r="B134" s="213"/>
      <c r="C134" s="210"/>
      <c r="D134" s="210"/>
      <c r="E134" s="129" t="s">
        <v>55</v>
      </c>
      <c r="F134" s="186" t="s">
        <v>1623</v>
      </c>
      <c r="G134" s="186" t="s">
        <v>329</v>
      </c>
      <c r="H134" s="129" t="s">
        <v>243</v>
      </c>
      <c r="I134" s="186"/>
      <c r="J134" s="129"/>
      <c r="K134" s="186" t="s">
        <v>680</v>
      </c>
      <c r="L134" s="186"/>
      <c r="M134" s="186"/>
      <c r="N134" s="186"/>
      <c r="O134" s="186"/>
      <c r="P134" s="186"/>
      <c r="Q134" s="186"/>
      <c r="R134" s="122"/>
      <c r="S134" s="79" t="e">
        <v>#N/A</v>
      </c>
      <c r="T134" s="186" t="s">
        <v>1624</v>
      </c>
      <c r="U134" s="186"/>
      <c r="V134" s="186"/>
      <c r="W134" s="186"/>
      <c r="X134" s="129"/>
      <c r="Y134" s="186" t="s">
        <v>1060</v>
      </c>
      <c r="Z134" s="186"/>
      <c r="AA134" s="33"/>
      <c r="AB134" s="186"/>
    </row>
    <row r="135" spans="1:28" ht="14.25" customHeight="1">
      <c r="A135" s="213"/>
      <c r="B135" s="213"/>
      <c r="C135" s="210"/>
      <c r="D135" s="210"/>
      <c r="E135" s="129" t="s">
        <v>55</v>
      </c>
      <c r="F135" s="186" t="s">
        <v>1625</v>
      </c>
      <c r="G135" s="186" t="s">
        <v>329</v>
      </c>
      <c r="H135" s="129" t="s">
        <v>243</v>
      </c>
      <c r="I135" s="186"/>
      <c r="J135" s="129"/>
      <c r="K135" s="186" t="s">
        <v>680</v>
      </c>
      <c r="L135" s="186"/>
      <c r="M135" s="186"/>
      <c r="N135" s="186"/>
      <c r="O135" s="186"/>
      <c r="P135" s="186"/>
      <c r="Q135" s="186"/>
      <c r="R135" s="122"/>
      <c r="S135" s="79" t="e">
        <v>#N/A</v>
      </c>
      <c r="T135" s="186" t="s">
        <v>1626</v>
      </c>
      <c r="U135" s="186"/>
      <c r="V135" s="186"/>
      <c r="W135" s="186"/>
      <c r="X135" s="129"/>
      <c r="Y135" s="186" t="s">
        <v>1060</v>
      </c>
      <c r="Z135" s="186"/>
      <c r="AA135" s="33"/>
      <c r="AB135" s="186"/>
    </row>
    <row r="136" spans="1:28" ht="14.25" customHeight="1">
      <c r="A136" s="213"/>
      <c r="B136" s="213"/>
      <c r="C136" s="210"/>
      <c r="D136" s="210"/>
      <c r="E136" s="129" t="s">
        <v>55</v>
      </c>
      <c r="F136" s="186" t="s">
        <v>1627</v>
      </c>
      <c r="G136" s="186" t="s">
        <v>329</v>
      </c>
      <c r="H136" s="129" t="s">
        <v>243</v>
      </c>
      <c r="I136" s="186"/>
      <c r="J136" s="129"/>
      <c r="K136" s="186" t="s">
        <v>680</v>
      </c>
      <c r="L136" s="186"/>
      <c r="M136" s="186"/>
      <c r="N136" s="186"/>
      <c r="O136" s="186"/>
      <c r="P136" s="186"/>
      <c r="Q136" s="186"/>
      <c r="R136" s="122"/>
      <c r="S136" s="79" t="e">
        <v>#N/A</v>
      </c>
      <c r="T136" s="186" t="s">
        <v>1628</v>
      </c>
      <c r="U136" s="186"/>
      <c r="V136" s="186"/>
      <c r="W136" s="186"/>
      <c r="X136" s="129"/>
      <c r="Y136" s="186" t="s">
        <v>1060</v>
      </c>
      <c r="Z136" s="186"/>
      <c r="AA136" s="33"/>
      <c r="AB136" s="186"/>
    </row>
    <row r="137" spans="1:28" ht="14.25" customHeight="1">
      <c r="A137" s="213"/>
      <c r="B137" s="213"/>
      <c r="C137" s="210"/>
      <c r="D137" s="210"/>
      <c r="E137" s="129" t="s">
        <v>55</v>
      </c>
      <c r="F137" s="186" t="s">
        <v>1632</v>
      </c>
      <c r="G137" s="186" t="s">
        <v>329</v>
      </c>
      <c r="H137" s="129" t="s">
        <v>243</v>
      </c>
      <c r="I137" s="186"/>
      <c r="J137" s="129"/>
      <c r="K137" s="186" t="s">
        <v>680</v>
      </c>
      <c r="L137" s="186"/>
      <c r="M137" s="186"/>
      <c r="N137" s="186"/>
      <c r="O137" s="186"/>
      <c r="P137" s="186"/>
      <c r="Q137" s="186"/>
      <c r="R137" s="122"/>
      <c r="S137" s="79" t="e">
        <v>#N/A</v>
      </c>
      <c r="T137" s="186" t="s">
        <v>1633</v>
      </c>
      <c r="U137" s="186"/>
      <c r="V137" s="186"/>
      <c r="W137" s="186"/>
      <c r="X137" s="129"/>
      <c r="Y137" s="186" t="s">
        <v>1060</v>
      </c>
      <c r="Z137" s="186"/>
      <c r="AA137" s="33"/>
      <c r="AB137" s="186"/>
    </row>
    <row r="138" spans="1:28" ht="14.25" customHeight="1">
      <c r="A138" s="213"/>
      <c r="B138" s="213"/>
      <c r="C138" s="210"/>
      <c r="D138" s="210"/>
      <c r="E138" s="129" t="s">
        <v>55</v>
      </c>
      <c r="F138" s="186" t="s">
        <v>1634</v>
      </c>
      <c r="G138" s="186" t="s">
        <v>329</v>
      </c>
      <c r="H138" s="129" t="s">
        <v>243</v>
      </c>
      <c r="I138" s="186"/>
      <c r="J138" s="129"/>
      <c r="K138" s="186" t="s">
        <v>680</v>
      </c>
      <c r="L138" s="186"/>
      <c r="M138" s="186"/>
      <c r="N138" s="186"/>
      <c r="O138" s="186"/>
      <c r="P138" s="186"/>
      <c r="Q138" s="186"/>
      <c r="R138" s="122"/>
      <c r="S138" s="79" t="e">
        <v>#N/A</v>
      </c>
      <c r="T138" s="186" t="s">
        <v>1635</v>
      </c>
      <c r="U138" s="186"/>
      <c r="V138" s="186"/>
      <c r="W138" s="186"/>
      <c r="X138" s="129"/>
      <c r="Y138" s="186" t="s">
        <v>1060</v>
      </c>
      <c r="Z138" s="186"/>
      <c r="AA138" s="33"/>
      <c r="AB138" s="186"/>
    </row>
    <row r="139" spans="1:28" ht="14.25" customHeight="1">
      <c r="A139" s="213"/>
      <c r="B139" s="213"/>
      <c r="C139" s="210"/>
      <c r="D139" s="210"/>
      <c r="E139" s="129" t="s">
        <v>55</v>
      </c>
      <c r="F139" s="186" t="s">
        <v>1640</v>
      </c>
      <c r="G139" s="186" t="s">
        <v>329</v>
      </c>
      <c r="H139" s="129" t="s">
        <v>243</v>
      </c>
      <c r="I139" s="186"/>
      <c r="J139" s="129"/>
      <c r="K139" s="186" t="s">
        <v>680</v>
      </c>
      <c r="L139" s="186"/>
      <c r="M139" s="186"/>
      <c r="N139" s="186"/>
      <c r="O139" s="186"/>
      <c r="P139" s="186"/>
      <c r="Q139" s="186"/>
      <c r="R139" s="122"/>
      <c r="S139" s="79" t="e">
        <v>#N/A</v>
      </c>
      <c r="T139" s="186" t="s">
        <v>1641</v>
      </c>
      <c r="U139" s="186"/>
      <c r="V139" s="186"/>
      <c r="W139" s="186"/>
      <c r="X139" s="129"/>
      <c r="Y139" s="186" t="s">
        <v>1060</v>
      </c>
      <c r="Z139" s="186"/>
      <c r="AA139" s="33"/>
      <c r="AB139" s="186"/>
    </row>
    <row r="140" spans="1:28" ht="14.25" customHeight="1">
      <c r="A140" s="213"/>
      <c r="B140" s="213"/>
      <c r="C140" s="210"/>
      <c r="D140" s="210"/>
      <c r="E140" s="129" t="s">
        <v>55</v>
      </c>
      <c r="F140" s="186" t="s">
        <v>1642</v>
      </c>
      <c r="G140" s="186" t="s">
        <v>329</v>
      </c>
      <c r="H140" s="129" t="s">
        <v>243</v>
      </c>
      <c r="I140" s="186"/>
      <c r="J140" s="129"/>
      <c r="K140" s="186" t="s">
        <v>680</v>
      </c>
      <c r="L140" s="186"/>
      <c r="M140" s="186"/>
      <c r="N140" s="186"/>
      <c r="O140" s="186"/>
      <c r="P140" s="186"/>
      <c r="Q140" s="186"/>
      <c r="R140" s="122"/>
      <c r="S140" s="79" t="e">
        <v>#N/A</v>
      </c>
      <c r="T140" s="186" t="s">
        <v>1643</v>
      </c>
      <c r="U140" s="186"/>
      <c r="V140" s="186"/>
      <c r="W140" s="186"/>
      <c r="X140" s="129"/>
      <c r="Y140" s="186" t="s">
        <v>1060</v>
      </c>
      <c r="Z140" s="186"/>
      <c r="AA140" s="33"/>
      <c r="AB140" s="186"/>
    </row>
    <row r="141" spans="1:28" ht="14.25" customHeight="1">
      <c r="A141" s="213"/>
      <c r="B141" s="213"/>
      <c r="C141" s="210"/>
      <c r="D141" s="210"/>
      <c r="E141" s="129" t="s">
        <v>55</v>
      </c>
      <c r="F141" s="186" t="s">
        <v>1644</v>
      </c>
      <c r="G141" s="186" t="s">
        <v>329</v>
      </c>
      <c r="H141" s="129" t="s">
        <v>243</v>
      </c>
      <c r="I141" s="186"/>
      <c r="J141" s="129"/>
      <c r="K141" s="186" t="s">
        <v>680</v>
      </c>
      <c r="L141" s="186"/>
      <c r="M141" s="186"/>
      <c r="N141" s="186"/>
      <c r="O141" s="186"/>
      <c r="P141" s="186"/>
      <c r="Q141" s="186"/>
      <c r="R141" s="122"/>
      <c r="S141" s="79" t="e">
        <v>#N/A</v>
      </c>
      <c r="T141" s="186" t="s">
        <v>1645</v>
      </c>
      <c r="U141" s="186"/>
      <c r="V141" s="186"/>
      <c r="W141" s="186"/>
      <c r="X141" s="129"/>
      <c r="Y141" s="186" t="s">
        <v>1060</v>
      </c>
      <c r="Z141" s="186"/>
      <c r="AA141" s="33"/>
      <c r="AB141" s="186"/>
    </row>
    <row r="142" spans="1:28" ht="14.25" customHeight="1">
      <c r="A142" s="213"/>
      <c r="B142" s="213"/>
      <c r="C142" s="210"/>
      <c r="D142" s="210"/>
      <c r="E142" s="129" t="s">
        <v>55</v>
      </c>
      <c r="F142" s="186" t="s">
        <v>1646</v>
      </c>
      <c r="G142" s="186" t="s">
        <v>329</v>
      </c>
      <c r="H142" s="129" t="s">
        <v>243</v>
      </c>
      <c r="I142" s="186"/>
      <c r="J142" s="129"/>
      <c r="K142" s="186" t="s">
        <v>680</v>
      </c>
      <c r="L142" s="186"/>
      <c r="M142" s="186"/>
      <c r="N142" s="186"/>
      <c r="O142" s="186"/>
      <c r="P142" s="186"/>
      <c r="Q142" s="186"/>
      <c r="R142" s="122"/>
      <c r="S142" s="79" t="e">
        <v>#N/A</v>
      </c>
      <c r="T142" s="186" t="s">
        <v>1647</v>
      </c>
      <c r="U142" s="186"/>
      <c r="V142" s="186"/>
      <c r="W142" s="186"/>
      <c r="X142" s="129"/>
      <c r="Y142" s="186" t="s">
        <v>1060</v>
      </c>
      <c r="Z142" s="186"/>
      <c r="AA142" s="33"/>
      <c r="AB142" s="186"/>
    </row>
    <row r="143" spans="1:28" ht="14.25" customHeight="1">
      <c r="A143" s="213"/>
      <c r="B143" s="213"/>
      <c r="C143" s="210"/>
      <c r="D143" s="210"/>
      <c r="E143" s="186" t="s">
        <v>55</v>
      </c>
      <c r="F143" s="186" t="s">
        <v>1648</v>
      </c>
      <c r="G143" s="186" t="s">
        <v>329</v>
      </c>
      <c r="H143" s="186" t="s">
        <v>243</v>
      </c>
      <c r="I143" s="186"/>
      <c r="J143" s="72"/>
      <c r="K143" s="186" t="s">
        <v>680</v>
      </c>
      <c r="L143" s="186"/>
      <c r="M143" s="186"/>
      <c r="N143" s="186"/>
      <c r="O143" s="186"/>
      <c r="P143" s="186"/>
      <c r="Q143" s="186"/>
      <c r="R143" s="122"/>
      <c r="S143" s="79" t="e">
        <v>#N/A</v>
      </c>
      <c r="T143" s="186" t="s">
        <v>1649</v>
      </c>
      <c r="U143" s="186"/>
      <c r="V143" s="186"/>
      <c r="W143" s="186"/>
      <c r="X143" s="129"/>
      <c r="Y143" s="186" t="s">
        <v>1060</v>
      </c>
      <c r="Z143" s="186"/>
      <c r="AA143" s="33"/>
      <c r="AB143" s="186"/>
    </row>
    <row r="144" spans="1:28" ht="14.25" customHeight="1">
      <c r="A144" s="213"/>
      <c r="B144" s="213"/>
      <c r="C144" s="210"/>
      <c r="D144" s="210"/>
      <c r="E144" s="186" t="s">
        <v>55</v>
      </c>
      <c r="F144" s="186" t="s">
        <v>1653</v>
      </c>
      <c r="G144" s="186" t="s">
        <v>329</v>
      </c>
      <c r="H144" s="186" t="s">
        <v>243</v>
      </c>
      <c r="I144" s="186"/>
      <c r="J144" s="72"/>
      <c r="K144" s="186" t="s">
        <v>680</v>
      </c>
      <c r="L144" s="186"/>
      <c r="M144" s="186"/>
      <c r="N144" s="186"/>
      <c r="O144" s="186"/>
      <c r="P144" s="186"/>
      <c r="Q144" s="186"/>
      <c r="R144" s="122"/>
      <c r="S144" s="79" t="e">
        <v>#N/A</v>
      </c>
      <c r="T144" s="78" t="s">
        <v>1654</v>
      </c>
      <c r="U144" s="186"/>
      <c r="V144" s="186"/>
      <c r="W144" s="186"/>
      <c r="X144" s="129"/>
      <c r="Y144" s="186" t="s">
        <v>1060</v>
      </c>
      <c r="Z144" s="186"/>
      <c r="AA144" s="33"/>
      <c r="AB144" s="186"/>
    </row>
    <row r="145" spans="1:28" ht="14.25" customHeight="1">
      <c r="A145" s="213"/>
      <c r="B145" s="213"/>
      <c r="C145" s="210"/>
      <c r="D145" s="210"/>
      <c r="E145" s="186" t="s">
        <v>55</v>
      </c>
      <c r="F145" s="186" t="s">
        <v>1658</v>
      </c>
      <c r="G145" s="186" t="s">
        <v>329</v>
      </c>
      <c r="H145" s="186" t="s">
        <v>243</v>
      </c>
      <c r="I145" s="186"/>
      <c r="J145" s="186">
        <v>96</v>
      </c>
      <c r="K145" s="186" t="s">
        <v>680</v>
      </c>
      <c r="L145" s="186"/>
      <c r="M145" s="186"/>
      <c r="N145" s="186"/>
      <c r="O145" s="186"/>
      <c r="P145" s="186"/>
      <c r="Q145" s="186"/>
      <c r="R145" s="122"/>
      <c r="S145" s="79" t="e">
        <v>#N/A</v>
      </c>
      <c r="T145" s="186" t="s">
        <v>1659</v>
      </c>
      <c r="U145" s="186"/>
      <c r="V145" s="186"/>
      <c r="W145" s="186"/>
      <c r="X145" s="129"/>
      <c r="Y145" s="186" t="s">
        <v>1060</v>
      </c>
      <c r="Z145" s="186"/>
      <c r="AA145" s="33"/>
      <c r="AB145" s="186"/>
    </row>
    <row r="146" spans="1:28" ht="14.25" customHeight="1">
      <c r="A146" s="213"/>
      <c r="B146" s="213"/>
      <c r="C146" s="210"/>
      <c r="D146" s="210"/>
      <c r="E146" s="186" t="s">
        <v>55</v>
      </c>
      <c r="F146" s="186" t="s">
        <v>1681</v>
      </c>
      <c r="G146" s="186" t="s">
        <v>247</v>
      </c>
      <c r="H146" s="186" t="s">
        <v>243</v>
      </c>
      <c r="I146" s="186"/>
      <c r="J146" s="72"/>
      <c r="K146" s="186" t="s">
        <v>680</v>
      </c>
      <c r="L146" s="186"/>
      <c r="M146" s="186"/>
      <c r="N146" s="186"/>
      <c r="O146" s="186"/>
      <c r="P146" s="186"/>
      <c r="Q146" s="186"/>
      <c r="R146" s="122"/>
      <c r="S146" s="79" t="e">
        <v>#N/A</v>
      </c>
      <c r="T146" s="90" t="s">
        <v>1682</v>
      </c>
      <c r="U146" s="186"/>
      <c r="V146" s="186"/>
      <c r="W146" s="186"/>
      <c r="X146" s="129"/>
      <c r="Y146" s="186" t="s">
        <v>1060</v>
      </c>
      <c r="Z146" s="186"/>
      <c r="AA146" s="33"/>
      <c r="AB146" s="186"/>
    </row>
    <row r="147" spans="1:28" ht="14.25" customHeight="1">
      <c r="A147" s="213"/>
      <c r="B147" s="213"/>
      <c r="C147" s="210"/>
      <c r="D147" s="210"/>
      <c r="E147" s="186" t="s">
        <v>55</v>
      </c>
      <c r="F147" s="186" t="s">
        <v>1692</v>
      </c>
      <c r="G147" s="186" t="s">
        <v>329</v>
      </c>
      <c r="H147" s="186" t="s">
        <v>243</v>
      </c>
      <c r="I147" s="186"/>
      <c r="J147" s="72"/>
      <c r="K147" s="186" t="s">
        <v>680</v>
      </c>
      <c r="L147" s="186"/>
      <c r="M147" s="186"/>
      <c r="N147" s="186"/>
      <c r="O147" s="186"/>
      <c r="P147" s="186"/>
      <c r="Q147" s="186"/>
      <c r="R147" s="122"/>
      <c r="S147" s="79" t="e">
        <v>#N/A</v>
      </c>
      <c r="T147" s="90" t="s">
        <v>1693</v>
      </c>
      <c r="U147" s="186"/>
      <c r="V147" s="186"/>
      <c r="W147" s="186"/>
      <c r="X147" s="129"/>
      <c r="Y147" s="186" t="s">
        <v>1060</v>
      </c>
      <c r="Z147" s="186"/>
      <c r="AA147" s="33"/>
      <c r="AB147" s="186"/>
    </row>
    <row r="148" spans="1:28" ht="14.25" customHeight="1">
      <c r="A148" s="213"/>
      <c r="B148" s="213"/>
      <c r="C148" s="210"/>
      <c r="D148" s="210"/>
      <c r="E148" s="186" t="s">
        <v>55</v>
      </c>
      <c r="F148" s="186" t="s">
        <v>906</v>
      </c>
      <c r="G148" s="186" t="s">
        <v>242</v>
      </c>
      <c r="H148" s="186" t="s">
        <v>243</v>
      </c>
      <c r="I148" s="186"/>
      <c r="J148" s="186">
        <v>87</v>
      </c>
      <c r="K148" s="186" t="s">
        <v>680</v>
      </c>
      <c r="L148" s="186"/>
      <c r="M148" s="186"/>
      <c r="N148" s="186"/>
      <c r="O148" s="186"/>
      <c r="P148" s="186"/>
      <c r="Q148" s="186"/>
      <c r="R148" s="122"/>
      <c r="S148" s="79" t="e">
        <v>#N/A</v>
      </c>
      <c r="T148" s="186" t="s">
        <v>1694</v>
      </c>
      <c r="U148" s="186">
        <v>1</v>
      </c>
      <c r="V148" s="186"/>
      <c r="W148" s="186"/>
      <c r="X148" s="129"/>
      <c r="Y148" s="186" t="s">
        <v>1060</v>
      </c>
      <c r="Z148" s="186"/>
      <c r="AA148" s="33"/>
      <c r="AB148" s="186"/>
    </row>
    <row r="149" spans="1:28" ht="14.25" customHeight="1">
      <c r="A149" s="213"/>
      <c r="B149" s="213"/>
      <c r="C149" s="210"/>
      <c r="D149" s="210"/>
      <c r="E149" s="186" t="s">
        <v>55</v>
      </c>
      <c r="F149" s="186" t="s">
        <v>1695</v>
      </c>
      <c r="G149" s="186" t="s">
        <v>247</v>
      </c>
      <c r="H149" s="186" t="s">
        <v>243</v>
      </c>
      <c r="I149" s="186"/>
      <c r="J149" s="186">
        <v>54</v>
      </c>
      <c r="K149" s="186" t="s">
        <v>680</v>
      </c>
      <c r="L149" s="186"/>
      <c r="M149" s="186"/>
      <c r="N149" s="186"/>
      <c r="O149" s="186"/>
      <c r="P149" s="186"/>
      <c r="Q149" s="186"/>
      <c r="R149" s="122"/>
      <c r="S149" s="79" t="e">
        <v>#N/A</v>
      </c>
      <c r="T149" s="186" t="s">
        <v>1696</v>
      </c>
      <c r="U149" s="186"/>
      <c r="V149" s="186"/>
      <c r="W149" s="186"/>
      <c r="X149" s="129"/>
      <c r="Y149" s="186" t="s">
        <v>1060</v>
      </c>
      <c r="Z149" s="186"/>
      <c r="AA149" s="33"/>
      <c r="AB149" s="186"/>
    </row>
    <row r="150" spans="1:28" ht="14.25" customHeight="1">
      <c r="A150" s="213"/>
      <c r="B150" s="213"/>
      <c r="C150" s="210"/>
      <c r="D150" s="210"/>
      <c r="E150" s="129" t="s">
        <v>55</v>
      </c>
      <c r="F150" s="186" t="s">
        <v>1701</v>
      </c>
      <c r="G150" s="186" t="s">
        <v>329</v>
      </c>
      <c r="H150" s="129" t="s">
        <v>243</v>
      </c>
      <c r="I150" s="186"/>
      <c r="J150" s="129">
        <v>106</v>
      </c>
      <c r="K150" s="186" t="s">
        <v>680</v>
      </c>
      <c r="L150" s="186"/>
      <c r="M150" s="186"/>
      <c r="N150" s="186"/>
      <c r="O150" s="186"/>
      <c r="P150" s="186"/>
      <c r="Q150" s="186"/>
      <c r="R150" s="122"/>
      <c r="S150" s="79" t="e">
        <v>#N/A</v>
      </c>
      <c r="T150" s="186" t="s">
        <v>1702</v>
      </c>
      <c r="U150" s="186"/>
      <c r="V150" s="186"/>
      <c r="W150" s="186"/>
      <c r="X150" s="129"/>
      <c r="Y150" s="186" t="s">
        <v>1060</v>
      </c>
      <c r="Z150" s="186"/>
      <c r="AA150" s="33"/>
      <c r="AB150" s="186"/>
    </row>
    <row r="151" spans="1:28" ht="14.25" customHeight="1">
      <c r="A151" s="213"/>
      <c r="B151" s="213"/>
      <c r="C151" s="210"/>
      <c r="D151" s="210"/>
      <c r="E151" s="129" t="s">
        <v>55</v>
      </c>
      <c r="F151" s="186" t="s">
        <v>1718</v>
      </c>
      <c r="G151" s="186" t="s">
        <v>329</v>
      </c>
      <c r="H151" s="129" t="s">
        <v>243</v>
      </c>
      <c r="I151" s="186"/>
      <c r="J151" s="129">
        <v>107</v>
      </c>
      <c r="K151" s="186" t="s">
        <v>680</v>
      </c>
      <c r="L151" s="186"/>
      <c r="M151" s="186"/>
      <c r="N151" s="186"/>
      <c r="O151" s="186"/>
      <c r="P151" s="186"/>
      <c r="Q151" s="186"/>
      <c r="R151" s="122"/>
      <c r="S151" s="79" t="e">
        <v>#N/A</v>
      </c>
      <c r="T151" s="186" t="s">
        <v>1719</v>
      </c>
      <c r="U151" s="186"/>
      <c r="V151" s="186"/>
      <c r="W151" s="186"/>
      <c r="X151" s="129"/>
      <c r="Y151" s="186" t="s">
        <v>1060</v>
      </c>
      <c r="Z151" s="186"/>
      <c r="AA151" s="33"/>
      <c r="AB151" s="186"/>
    </row>
    <row r="152" spans="1:28" ht="14.25" customHeight="1">
      <c r="A152" s="213"/>
      <c r="B152" s="213"/>
      <c r="C152" s="210"/>
      <c r="D152" s="210"/>
      <c r="E152" s="186" t="s">
        <v>55</v>
      </c>
      <c r="F152" s="186" t="s">
        <v>1728</v>
      </c>
      <c r="G152" s="186" t="s">
        <v>329</v>
      </c>
      <c r="H152" s="186" t="s">
        <v>243</v>
      </c>
      <c r="I152" s="186"/>
      <c r="J152" s="72"/>
      <c r="K152" s="186" t="s">
        <v>680</v>
      </c>
      <c r="L152" s="186"/>
      <c r="M152" s="186"/>
      <c r="N152" s="186"/>
      <c r="O152" s="186"/>
      <c r="P152" s="186"/>
      <c r="Q152" s="186"/>
      <c r="R152" s="122"/>
      <c r="S152" s="79" t="e">
        <v>#N/A</v>
      </c>
      <c r="T152" s="90" t="s">
        <v>1729</v>
      </c>
      <c r="U152" s="186"/>
      <c r="V152" s="186"/>
      <c r="W152" s="186"/>
      <c r="X152" s="129"/>
      <c r="Y152" s="186" t="s">
        <v>1060</v>
      </c>
      <c r="Z152" s="186"/>
      <c r="AA152" s="33"/>
      <c r="AB152" s="186"/>
    </row>
    <row r="153" spans="1:28" ht="14.25" customHeight="1">
      <c r="A153" s="213"/>
      <c r="B153" s="213"/>
      <c r="C153" s="210"/>
      <c r="D153" s="210"/>
      <c r="E153" s="186" t="s">
        <v>55</v>
      </c>
      <c r="F153" s="186" t="s">
        <v>1730</v>
      </c>
      <c r="G153" s="186" t="s">
        <v>329</v>
      </c>
      <c r="H153" s="186" t="s">
        <v>243</v>
      </c>
      <c r="I153" s="186"/>
      <c r="J153" s="72"/>
      <c r="K153" s="186" t="s">
        <v>680</v>
      </c>
      <c r="L153" s="186"/>
      <c r="M153" s="186"/>
      <c r="N153" s="186"/>
      <c r="O153" s="186"/>
      <c r="P153" s="186"/>
      <c r="Q153" s="186"/>
      <c r="R153" s="122"/>
      <c r="S153" s="79" t="e">
        <v>#N/A</v>
      </c>
      <c r="T153" s="90" t="s">
        <v>1731</v>
      </c>
      <c r="U153" s="186"/>
      <c r="V153" s="186"/>
      <c r="W153" s="186"/>
      <c r="X153" s="129"/>
      <c r="Y153" s="186" t="s">
        <v>1060</v>
      </c>
      <c r="Z153" s="186"/>
      <c r="AA153" s="33"/>
      <c r="AB153" s="186"/>
    </row>
    <row r="154" spans="1:28" ht="14.25" customHeight="1">
      <c r="A154" s="213"/>
      <c r="B154" s="213"/>
      <c r="C154" s="210"/>
      <c r="D154" s="210"/>
      <c r="E154" s="186" t="s">
        <v>55</v>
      </c>
      <c r="F154" s="186" t="s">
        <v>1732</v>
      </c>
      <c r="G154" s="186" t="s">
        <v>329</v>
      </c>
      <c r="H154" s="186" t="s">
        <v>243</v>
      </c>
      <c r="I154" s="186"/>
      <c r="J154" s="72"/>
      <c r="K154" s="186" t="s">
        <v>680</v>
      </c>
      <c r="L154" s="186"/>
      <c r="M154" s="186"/>
      <c r="N154" s="186"/>
      <c r="O154" s="186"/>
      <c r="P154" s="186"/>
      <c r="Q154" s="186"/>
      <c r="R154" s="122"/>
      <c r="S154" s="79" t="e">
        <v>#N/A</v>
      </c>
      <c r="T154" s="90" t="s">
        <v>1733</v>
      </c>
      <c r="U154" s="186"/>
      <c r="V154" s="186"/>
      <c r="W154" s="186"/>
      <c r="X154" s="129"/>
      <c r="Y154" s="186" t="s">
        <v>1060</v>
      </c>
      <c r="Z154" s="186"/>
      <c r="AA154" s="33"/>
      <c r="AB154" s="186"/>
    </row>
    <row r="155" spans="1:28" ht="14.25" customHeight="1">
      <c r="A155" s="213"/>
      <c r="B155" s="213"/>
      <c r="C155" s="210"/>
      <c r="D155" s="210"/>
      <c r="E155" s="186" t="s">
        <v>55</v>
      </c>
      <c r="F155" s="186" t="s">
        <v>1734</v>
      </c>
      <c r="G155" s="186" t="s">
        <v>250</v>
      </c>
      <c r="H155" s="186" t="s">
        <v>243</v>
      </c>
      <c r="I155" s="186"/>
      <c r="J155" s="72"/>
      <c r="K155" s="186" t="s">
        <v>680</v>
      </c>
      <c r="L155" s="186"/>
      <c r="M155" s="186"/>
      <c r="N155" s="186"/>
      <c r="O155" s="186"/>
      <c r="P155" s="186"/>
      <c r="Q155" s="186"/>
      <c r="R155" s="122"/>
      <c r="S155" s="79" t="e">
        <v>#N/A</v>
      </c>
      <c r="T155" s="90" t="s">
        <v>1735</v>
      </c>
      <c r="U155" s="186"/>
      <c r="V155" s="186"/>
      <c r="W155" s="186"/>
      <c r="X155" s="129"/>
      <c r="Y155" s="186" t="s">
        <v>1060</v>
      </c>
      <c r="Z155" s="186"/>
      <c r="AA155" s="33"/>
      <c r="AB155" s="186"/>
    </row>
    <row r="156" spans="1:28" ht="14.25" customHeight="1">
      <c r="A156" s="213"/>
      <c r="B156" s="213"/>
      <c r="C156" s="210"/>
      <c r="D156" s="210"/>
      <c r="E156" s="186" t="s">
        <v>55</v>
      </c>
      <c r="F156" s="186" t="s">
        <v>1741</v>
      </c>
      <c r="G156" s="186" t="s">
        <v>324</v>
      </c>
      <c r="H156" s="186" t="s">
        <v>243</v>
      </c>
      <c r="I156" s="186"/>
      <c r="J156" s="72"/>
      <c r="K156" s="186" t="s">
        <v>680</v>
      </c>
      <c r="L156" s="186"/>
      <c r="M156" s="186"/>
      <c r="N156" s="186"/>
      <c r="O156" s="186"/>
      <c r="P156" s="186"/>
      <c r="Q156" s="186"/>
      <c r="R156" s="122"/>
      <c r="S156" s="79" t="e">
        <v>#N/A</v>
      </c>
      <c r="T156" s="90" t="s">
        <v>1743</v>
      </c>
      <c r="U156" s="186"/>
      <c r="V156" s="186"/>
      <c r="W156" s="186"/>
      <c r="X156" s="129"/>
      <c r="Y156" s="186" t="s">
        <v>1060</v>
      </c>
      <c r="Z156" s="186"/>
      <c r="AA156" s="33"/>
      <c r="AB156" s="186"/>
    </row>
    <row r="157" spans="1:28" ht="14.25" customHeight="1">
      <c r="A157" s="213"/>
      <c r="B157" s="213"/>
      <c r="C157" s="210"/>
      <c r="D157" s="210"/>
      <c r="E157" s="186" t="s">
        <v>55</v>
      </c>
      <c r="F157" s="186" t="s">
        <v>1744</v>
      </c>
      <c r="G157" s="186" t="s">
        <v>329</v>
      </c>
      <c r="H157" s="186" t="s">
        <v>243</v>
      </c>
      <c r="I157" s="186"/>
      <c r="J157" s="72"/>
      <c r="K157" s="186" t="s">
        <v>680</v>
      </c>
      <c r="L157" s="186"/>
      <c r="M157" s="186"/>
      <c r="N157" s="186"/>
      <c r="O157" s="186"/>
      <c r="P157" s="186"/>
      <c r="Q157" s="186"/>
      <c r="R157" s="122"/>
      <c r="S157" s="79" t="e">
        <v>#N/A</v>
      </c>
      <c r="T157" s="90" t="s">
        <v>1745</v>
      </c>
      <c r="U157" s="186"/>
      <c r="V157" s="186"/>
      <c r="W157" s="186"/>
      <c r="X157" s="129"/>
      <c r="Y157" s="186" t="s">
        <v>1060</v>
      </c>
      <c r="Z157" s="186"/>
      <c r="AA157" s="33"/>
      <c r="AB157" s="186"/>
    </row>
    <row r="158" spans="1:28" ht="14.25" customHeight="1">
      <c r="A158" s="213"/>
      <c r="B158" s="213"/>
      <c r="C158" s="210"/>
      <c r="D158" s="210"/>
      <c r="E158" s="186" t="s">
        <v>55</v>
      </c>
      <c r="F158" s="186" t="s">
        <v>1746</v>
      </c>
      <c r="G158" s="186" t="s">
        <v>247</v>
      </c>
      <c r="H158" s="186" t="s">
        <v>243</v>
      </c>
      <c r="I158" s="186"/>
      <c r="J158" s="72"/>
      <c r="K158" s="186" t="s">
        <v>680</v>
      </c>
      <c r="L158" s="186"/>
      <c r="M158" s="186"/>
      <c r="N158" s="186"/>
      <c r="O158" s="186"/>
      <c r="P158" s="186"/>
      <c r="Q158" s="186"/>
      <c r="R158" s="122"/>
      <c r="S158" s="79" t="e">
        <v>#N/A</v>
      </c>
      <c r="T158" s="90" t="s">
        <v>1748</v>
      </c>
      <c r="U158" s="186"/>
      <c r="V158" s="186"/>
      <c r="W158" s="186"/>
      <c r="X158" s="129"/>
      <c r="Y158" s="186" t="s">
        <v>1060</v>
      </c>
      <c r="Z158" s="186"/>
      <c r="AA158" s="33"/>
      <c r="AB158" s="186"/>
    </row>
    <row r="159" spans="1:28" ht="14.25" customHeight="1">
      <c r="A159" s="213"/>
      <c r="B159" s="213"/>
      <c r="C159" s="210"/>
      <c r="D159" s="210"/>
      <c r="E159" s="186" t="s">
        <v>55</v>
      </c>
      <c r="F159" s="186" t="s">
        <v>1760</v>
      </c>
      <c r="G159" s="186" t="s">
        <v>247</v>
      </c>
      <c r="H159" s="186" t="s">
        <v>243</v>
      </c>
      <c r="I159" s="186"/>
      <c r="J159" s="72"/>
      <c r="K159" s="186" t="s">
        <v>680</v>
      </c>
      <c r="L159" s="186"/>
      <c r="M159" s="186"/>
      <c r="N159" s="186"/>
      <c r="O159" s="186"/>
      <c r="P159" s="186"/>
      <c r="Q159" s="186"/>
      <c r="R159" s="122"/>
      <c r="S159" s="79" t="e">
        <v>#N/A</v>
      </c>
      <c r="T159" s="90" t="s">
        <v>1761</v>
      </c>
      <c r="U159" s="186"/>
      <c r="V159" s="186"/>
      <c r="W159" s="186"/>
      <c r="X159" s="129"/>
      <c r="Y159" s="186" t="s">
        <v>1060</v>
      </c>
      <c r="Z159" s="186"/>
      <c r="AA159" s="33"/>
      <c r="AB159" s="186"/>
    </row>
    <row r="160" spans="1:28" ht="14.25" customHeight="1">
      <c r="A160" s="213"/>
      <c r="B160" s="213"/>
      <c r="C160" s="210"/>
      <c r="D160" s="210"/>
      <c r="E160" s="186" t="s">
        <v>55</v>
      </c>
      <c r="F160" s="186" t="s">
        <v>491</v>
      </c>
      <c r="G160" s="186" t="s">
        <v>249</v>
      </c>
      <c r="H160" s="186" t="s">
        <v>243</v>
      </c>
      <c r="I160" s="186"/>
      <c r="J160" s="72"/>
      <c r="K160" s="186" t="s">
        <v>680</v>
      </c>
      <c r="L160" s="186"/>
      <c r="M160" s="186"/>
      <c r="N160" s="186"/>
      <c r="O160" s="186"/>
      <c r="P160" s="186"/>
      <c r="Q160" s="186" t="s">
        <v>5761</v>
      </c>
      <c r="R160" s="122"/>
      <c r="S160" s="79" t="e">
        <v>#N/A</v>
      </c>
      <c r="T160" s="90" t="s">
        <v>1771</v>
      </c>
      <c r="U160" s="186">
        <v>1</v>
      </c>
      <c r="V160" s="186"/>
      <c r="W160" s="186"/>
      <c r="X160" s="129"/>
      <c r="Y160" s="186" t="s">
        <v>1060</v>
      </c>
      <c r="Z160" s="186"/>
      <c r="AA160" s="33"/>
      <c r="AB160" s="186"/>
    </row>
    <row r="161" spans="1:28" ht="14.25" customHeight="1">
      <c r="A161" s="213"/>
      <c r="B161" s="213"/>
      <c r="C161" s="210"/>
      <c r="D161" s="210"/>
      <c r="E161" s="186" t="s">
        <v>55</v>
      </c>
      <c r="F161" s="186" t="s">
        <v>1773</v>
      </c>
      <c r="G161" s="186" t="s">
        <v>247</v>
      </c>
      <c r="H161" s="186" t="s">
        <v>243</v>
      </c>
      <c r="I161" s="186"/>
      <c r="J161" s="72"/>
      <c r="K161" s="186" t="s">
        <v>680</v>
      </c>
      <c r="L161" s="186"/>
      <c r="M161" s="186"/>
      <c r="N161" s="186"/>
      <c r="O161" s="186"/>
      <c r="P161" s="186"/>
      <c r="Q161" s="186"/>
      <c r="R161" s="122"/>
      <c r="S161" s="79" t="e">
        <v>#N/A</v>
      </c>
      <c r="T161" s="90" t="s">
        <v>1776</v>
      </c>
      <c r="U161" s="186">
        <v>1</v>
      </c>
      <c r="V161" s="186"/>
      <c r="W161" s="186"/>
      <c r="X161" s="129"/>
      <c r="Y161" s="186" t="s">
        <v>1060</v>
      </c>
      <c r="Z161" s="186"/>
      <c r="AA161" s="33"/>
      <c r="AB161" s="186"/>
    </row>
    <row r="162" spans="1:28" ht="14.25" customHeight="1">
      <c r="A162" s="213"/>
      <c r="B162" s="213"/>
      <c r="C162" s="210"/>
      <c r="D162" s="210"/>
      <c r="E162" s="186" t="s">
        <v>55</v>
      </c>
      <c r="F162" s="186" t="s">
        <v>493</v>
      </c>
      <c r="G162" s="186" t="s">
        <v>242</v>
      </c>
      <c r="H162" s="186" t="s">
        <v>243</v>
      </c>
      <c r="I162" s="186"/>
      <c r="J162" s="186">
        <v>74</v>
      </c>
      <c r="K162" s="186" t="s">
        <v>680</v>
      </c>
      <c r="L162" s="186"/>
      <c r="M162" s="186"/>
      <c r="N162" s="186"/>
      <c r="O162" s="186"/>
      <c r="P162" s="186"/>
      <c r="Q162" s="186" t="s">
        <v>5762</v>
      </c>
      <c r="R162" s="122"/>
      <c r="S162" s="79" t="e">
        <v>#N/A</v>
      </c>
      <c r="T162" s="186" t="s">
        <v>1782</v>
      </c>
      <c r="U162" s="186">
        <v>1</v>
      </c>
      <c r="V162" s="186"/>
      <c r="W162" s="186"/>
      <c r="X162" s="129"/>
      <c r="Y162" s="186" t="s">
        <v>1060</v>
      </c>
      <c r="Z162" s="186"/>
      <c r="AA162" s="33"/>
      <c r="AB162" s="186"/>
    </row>
    <row r="163" spans="1:28" ht="14.25" customHeight="1">
      <c r="A163" s="213"/>
      <c r="B163" s="213"/>
      <c r="C163" s="210"/>
      <c r="D163" s="210"/>
      <c r="E163" s="186" t="s">
        <v>55</v>
      </c>
      <c r="F163" s="186" t="s">
        <v>1784</v>
      </c>
      <c r="G163" s="186" t="s">
        <v>329</v>
      </c>
      <c r="H163" s="186" t="s">
        <v>243</v>
      </c>
      <c r="I163" s="186"/>
      <c r="J163" s="72"/>
      <c r="K163" s="186" t="s">
        <v>680</v>
      </c>
      <c r="L163" s="186"/>
      <c r="M163" s="186"/>
      <c r="N163" s="186"/>
      <c r="O163" s="186"/>
      <c r="P163" s="186"/>
      <c r="Q163" s="186"/>
      <c r="R163" s="122"/>
      <c r="S163" s="79" t="e">
        <v>#N/A</v>
      </c>
      <c r="T163" s="78" t="s">
        <v>1785</v>
      </c>
      <c r="U163" s="186"/>
      <c r="V163" s="186"/>
      <c r="W163" s="186"/>
      <c r="X163" s="129"/>
      <c r="Y163" s="186" t="s">
        <v>1060</v>
      </c>
      <c r="Z163" s="186"/>
      <c r="AA163" s="33"/>
      <c r="AB163" s="186"/>
    </row>
    <row r="164" spans="1:28" ht="14.25" customHeight="1">
      <c r="A164" s="213"/>
      <c r="B164" s="213"/>
      <c r="C164" s="210"/>
      <c r="D164" s="210"/>
      <c r="E164" s="186" t="s">
        <v>55</v>
      </c>
      <c r="F164" s="186" t="s">
        <v>1796</v>
      </c>
      <c r="G164" s="186" t="s">
        <v>429</v>
      </c>
      <c r="H164" s="186" t="s">
        <v>243</v>
      </c>
      <c r="I164" s="186"/>
      <c r="J164" s="72"/>
      <c r="K164" s="186" t="s">
        <v>680</v>
      </c>
      <c r="L164" s="186"/>
      <c r="M164" s="186"/>
      <c r="N164" s="186"/>
      <c r="O164" s="186"/>
      <c r="P164" s="186"/>
      <c r="Q164" s="186"/>
      <c r="R164" s="122"/>
      <c r="S164" s="79" t="e">
        <v>#N/A</v>
      </c>
      <c r="T164" s="78" t="s">
        <v>1797</v>
      </c>
      <c r="U164" s="186"/>
      <c r="V164" s="186"/>
      <c r="W164" s="186"/>
      <c r="X164" s="129"/>
      <c r="Y164" s="186" t="s">
        <v>1060</v>
      </c>
      <c r="Z164" s="186"/>
      <c r="AA164" s="33"/>
      <c r="AB164" s="186"/>
    </row>
    <row r="165" spans="1:28" ht="14.25" customHeight="1">
      <c r="A165" s="213"/>
      <c r="B165" s="213"/>
      <c r="C165" s="210"/>
      <c r="D165" s="210"/>
      <c r="E165" s="186" t="s">
        <v>55</v>
      </c>
      <c r="F165" s="186" t="s">
        <v>1812</v>
      </c>
      <c r="G165" s="186" t="s">
        <v>247</v>
      </c>
      <c r="H165" s="186" t="s">
        <v>243</v>
      </c>
      <c r="I165" s="186"/>
      <c r="J165" s="186">
        <v>75</v>
      </c>
      <c r="K165" s="186" t="s">
        <v>680</v>
      </c>
      <c r="L165" s="186"/>
      <c r="M165" s="186"/>
      <c r="N165" s="186"/>
      <c r="O165" s="186"/>
      <c r="P165" s="186"/>
      <c r="Q165" s="186"/>
      <c r="R165" s="122"/>
      <c r="S165" s="79" t="e">
        <v>#N/A</v>
      </c>
      <c r="T165" s="186" t="s">
        <v>1814</v>
      </c>
      <c r="U165" s="186">
        <v>1</v>
      </c>
      <c r="V165" s="186"/>
      <c r="W165" s="186"/>
      <c r="X165" s="129"/>
      <c r="Y165" s="186" t="s">
        <v>1060</v>
      </c>
      <c r="Z165" s="186"/>
      <c r="AA165" s="33"/>
      <c r="AB165" s="186"/>
    </row>
    <row r="166" spans="1:28" ht="14.25" customHeight="1">
      <c r="A166" s="213"/>
      <c r="B166" s="213"/>
      <c r="C166" s="210"/>
      <c r="D166" s="210"/>
      <c r="E166" s="186" t="s">
        <v>55</v>
      </c>
      <c r="F166" s="186" t="s">
        <v>1815</v>
      </c>
      <c r="G166" s="186" t="s">
        <v>247</v>
      </c>
      <c r="H166" s="186" t="s">
        <v>243</v>
      </c>
      <c r="I166" s="186"/>
      <c r="J166" s="186">
        <v>76</v>
      </c>
      <c r="K166" s="186" t="s">
        <v>680</v>
      </c>
      <c r="L166" s="186"/>
      <c r="M166" s="186"/>
      <c r="N166" s="186"/>
      <c r="O166" s="186"/>
      <c r="P166" s="186"/>
      <c r="Q166" s="186"/>
      <c r="R166" s="122"/>
      <c r="S166" s="79" t="e">
        <v>#N/A</v>
      </c>
      <c r="T166" s="186" t="s">
        <v>1814</v>
      </c>
      <c r="U166" s="186">
        <v>1</v>
      </c>
      <c r="V166" s="186"/>
      <c r="W166" s="186"/>
      <c r="X166" s="129"/>
      <c r="Y166" s="186" t="s">
        <v>1060</v>
      </c>
      <c r="Z166" s="186"/>
      <c r="AA166" s="33"/>
      <c r="AB166" s="186"/>
    </row>
    <row r="167" spans="1:28" ht="14.25" customHeight="1">
      <c r="A167" s="213"/>
      <c r="B167" s="213"/>
      <c r="C167" s="210"/>
      <c r="D167" s="210"/>
      <c r="E167" s="186" t="s">
        <v>55</v>
      </c>
      <c r="F167" s="186" t="s">
        <v>1816</v>
      </c>
      <c r="G167" s="186" t="s">
        <v>247</v>
      </c>
      <c r="H167" s="186" t="s">
        <v>243</v>
      </c>
      <c r="I167" s="186"/>
      <c r="J167" s="186">
        <v>77</v>
      </c>
      <c r="K167" s="186" t="s">
        <v>680</v>
      </c>
      <c r="L167" s="186"/>
      <c r="M167" s="186"/>
      <c r="N167" s="186"/>
      <c r="O167" s="186"/>
      <c r="P167" s="186"/>
      <c r="Q167" s="186"/>
      <c r="R167" s="122"/>
      <c r="S167" s="79" t="e">
        <v>#N/A</v>
      </c>
      <c r="T167" s="186" t="s">
        <v>1814</v>
      </c>
      <c r="U167" s="186">
        <v>1</v>
      </c>
      <c r="V167" s="186"/>
      <c r="W167" s="186"/>
      <c r="X167" s="129"/>
      <c r="Y167" s="186" t="s">
        <v>1060</v>
      </c>
      <c r="Z167" s="186"/>
      <c r="AA167" s="33"/>
      <c r="AB167" s="186"/>
    </row>
    <row r="168" spans="1:28" ht="14.25" customHeight="1">
      <c r="A168" s="213"/>
      <c r="B168" s="213"/>
      <c r="C168" s="210"/>
      <c r="D168" s="210"/>
      <c r="E168" s="186" t="s">
        <v>55</v>
      </c>
      <c r="F168" s="186" t="s">
        <v>1817</v>
      </c>
      <c r="G168" s="186" t="s">
        <v>247</v>
      </c>
      <c r="H168" s="186" t="s">
        <v>243</v>
      </c>
      <c r="I168" s="186"/>
      <c r="J168" s="186">
        <v>77</v>
      </c>
      <c r="K168" s="186" t="s">
        <v>680</v>
      </c>
      <c r="L168" s="186"/>
      <c r="M168" s="186"/>
      <c r="N168" s="186"/>
      <c r="O168" s="186"/>
      <c r="P168" s="186"/>
      <c r="Q168" s="186"/>
      <c r="R168" s="122"/>
      <c r="S168" s="79" t="e">
        <v>#N/A</v>
      </c>
      <c r="T168" s="186" t="s">
        <v>1814</v>
      </c>
      <c r="U168" s="186">
        <v>1</v>
      </c>
      <c r="V168" s="186"/>
      <c r="W168" s="186"/>
      <c r="X168" s="129"/>
      <c r="Y168" s="186" t="s">
        <v>1060</v>
      </c>
      <c r="Z168" s="186"/>
      <c r="AA168" s="33"/>
      <c r="AB168" s="186"/>
    </row>
    <row r="169" spans="1:28" ht="14.25" customHeight="1">
      <c r="A169" s="213"/>
      <c r="B169" s="213"/>
      <c r="C169" s="210"/>
      <c r="D169" s="210"/>
      <c r="E169" s="186" t="s">
        <v>55</v>
      </c>
      <c r="F169" s="186" t="s">
        <v>1818</v>
      </c>
      <c r="G169" s="186" t="s">
        <v>247</v>
      </c>
      <c r="H169" s="186" t="s">
        <v>243</v>
      </c>
      <c r="I169" s="186"/>
      <c r="J169" s="186">
        <v>78</v>
      </c>
      <c r="K169" s="186" t="s">
        <v>680</v>
      </c>
      <c r="L169" s="186"/>
      <c r="M169" s="186"/>
      <c r="N169" s="186"/>
      <c r="O169" s="186"/>
      <c r="P169" s="186"/>
      <c r="Q169" s="186"/>
      <c r="R169" s="122"/>
      <c r="S169" s="79" t="e">
        <v>#N/A</v>
      </c>
      <c r="T169" s="186" t="s">
        <v>1814</v>
      </c>
      <c r="U169" s="186">
        <v>1</v>
      </c>
      <c r="V169" s="186"/>
      <c r="W169" s="186"/>
      <c r="X169" s="129"/>
      <c r="Y169" s="186" t="s">
        <v>1060</v>
      </c>
      <c r="Z169" s="186"/>
      <c r="AA169" s="33"/>
      <c r="AB169" s="186"/>
    </row>
    <row r="170" spans="1:28" ht="14.25" customHeight="1">
      <c r="A170" s="213"/>
      <c r="B170" s="213"/>
      <c r="C170" s="210"/>
      <c r="D170" s="210"/>
      <c r="E170" s="186" t="s">
        <v>55</v>
      </c>
      <c r="F170" s="186" t="s">
        <v>1819</v>
      </c>
      <c r="G170" s="186" t="s">
        <v>329</v>
      </c>
      <c r="H170" s="186" t="s">
        <v>243</v>
      </c>
      <c r="I170" s="186"/>
      <c r="J170" s="186">
        <v>88</v>
      </c>
      <c r="K170" s="186" t="s">
        <v>680</v>
      </c>
      <c r="L170" s="186"/>
      <c r="M170" s="186"/>
      <c r="N170" s="186"/>
      <c r="O170" s="186"/>
      <c r="P170" s="186"/>
      <c r="Q170" s="186"/>
      <c r="R170" s="122"/>
      <c r="S170" s="79" t="e">
        <v>#N/A</v>
      </c>
      <c r="T170" s="186" t="s">
        <v>1820</v>
      </c>
      <c r="U170" s="186">
        <v>1</v>
      </c>
      <c r="V170" s="186"/>
      <c r="W170" s="186"/>
      <c r="X170" s="129"/>
      <c r="Y170" s="186" t="s">
        <v>1060</v>
      </c>
      <c r="Z170" s="186"/>
      <c r="AA170" s="33"/>
      <c r="AB170" s="186"/>
    </row>
    <row r="171" spans="1:28" ht="14.25" customHeight="1">
      <c r="A171" s="213"/>
      <c r="B171" s="213"/>
      <c r="C171" s="210"/>
      <c r="D171" s="210"/>
      <c r="E171" s="186" t="s">
        <v>53</v>
      </c>
      <c r="F171" s="186" t="s">
        <v>1010</v>
      </c>
      <c r="G171" s="186" t="s">
        <v>535</v>
      </c>
      <c r="H171" s="186" t="s">
        <v>243</v>
      </c>
      <c r="I171" s="186"/>
      <c r="J171" s="186">
        <v>2</v>
      </c>
      <c r="K171" s="186" t="s">
        <v>680</v>
      </c>
      <c r="L171" s="186"/>
      <c r="M171" s="186"/>
      <c r="N171" s="186"/>
      <c r="O171" s="186"/>
      <c r="P171" s="186"/>
      <c r="Q171" s="186"/>
      <c r="R171" s="122"/>
      <c r="S171" s="79" t="e">
        <v>#N/A</v>
      </c>
      <c r="T171" s="186" t="s">
        <v>1190</v>
      </c>
      <c r="U171" s="186">
        <v>1</v>
      </c>
      <c r="V171" s="186"/>
      <c r="W171" s="186"/>
      <c r="X171" s="129"/>
      <c r="Y171" s="186" t="s">
        <v>1060</v>
      </c>
      <c r="Z171" s="186"/>
      <c r="AA171" s="33"/>
      <c r="AB171" s="186"/>
    </row>
    <row r="172" spans="1:28" ht="14.25" customHeight="1">
      <c r="A172" s="213"/>
      <c r="B172" s="213"/>
      <c r="C172" s="210"/>
      <c r="D172" s="210"/>
      <c r="E172" s="186" t="s">
        <v>53</v>
      </c>
      <c r="F172" s="186" t="s">
        <v>1406</v>
      </c>
      <c r="G172" s="186" t="s">
        <v>535</v>
      </c>
      <c r="H172" s="186" t="s">
        <v>243</v>
      </c>
      <c r="I172" s="186"/>
      <c r="J172" s="186">
        <v>68</v>
      </c>
      <c r="K172" s="186" t="s">
        <v>680</v>
      </c>
      <c r="L172" s="186"/>
      <c r="M172" s="186"/>
      <c r="N172" s="186"/>
      <c r="O172" s="186"/>
      <c r="P172" s="186"/>
      <c r="Q172" s="186"/>
      <c r="R172" s="122"/>
      <c r="S172" s="79" t="e">
        <v>#N/A</v>
      </c>
      <c r="T172" s="186" t="s">
        <v>1190</v>
      </c>
      <c r="U172" s="186"/>
      <c r="V172" s="186"/>
      <c r="W172" s="186"/>
      <c r="X172" s="129"/>
      <c r="Y172" s="186" t="s">
        <v>1060</v>
      </c>
      <c r="Z172" s="186"/>
      <c r="AA172" s="33"/>
      <c r="AB172" s="186"/>
    </row>
    <row r="173" spans="1:28" ht="14.25" customHeight="1">
      <c r="A173" s="213"/>
      <c r="B173" s="213"/>
      <c r="C173" s="210"/>
      <c r="D173" s="210"/>
      <c r="E173" s="186" t="s">
        <v>53</v>
      </c>
      <c r="F173" s="186" t="s">
        <v>1189</v>
      </c>
      <c r="G173" s="186" t="s">
        <v>249</v>
      </c>
      <c r="H173" s="186" t="s">
        <v>243</v>
      </c>
      <c r="I173" s="186"/>
      <c r="J173" s="186">
        <v>14</v>
      </c>
      <c r="K173" s="186" t="s">
        <v>680</v>
      </c>
      <c r="L173" s="186"/>
      <c r="M173" s="186"/>
      <c r="N173" s="186"/>
      <c r="O173" s="186"/>
      <c r="P173" s="186"/>
      <c r="Q173" s="186"/>
      <c r="R173" s="122"/>
      <c r="S173" s="79" t="e">
        <v>#N/A</v>
      </c>
      <c r="T173" s="186" t="s">
        <v>1190</v>
      </c>
      <c r="U173" s="186"/>
      <c r="V173" s="186"/>
      <c r="W173" s="186"/>
      <c r="X173" s="129"/>
      <c r="Y173" s="186" t="s">
        <v>1060</v>
      </c>
      <c r="Z173" s="186"/>
      <c r="AA173" s="33"/>
      <c r="AB173" s="186"/>
    </row>
    <row r="174" spans="1:28" ht="14.25" customHeight="1">
      <c r="A174" s="213"/>
      <c r="B174" s="213"/>
      <c r="C174" s="210"/>
      <c r="D174" s="210"/>
      <c r="E174" s="186" t="s">
        <v>53</v>
      </c>
      <c r="F174" s="186" t="s">
        <v>1191</v>
      </c>
      <c r="G174" s="186" t="s">
        <v>252</v>
      </c>
      <c r="H174" s="186" t="s">
        <v>243</v>
      </c>
      <c r="I174" s="186"/>
      <c r="J174" s="186">
        <v>16</v>
      </c>
      <c r="K174" s="186" t="s">
        <v>680</v>
      </c>
      <c r="L174" s="186"/>
      <c r="M174" s="186"/>
      <c r="N174" s="186"/>
      <c r="O174" s="186"/>
      <c r="P174" s="186"/>
      <c r="Q174" s="186"/>
      <c r="R174" s="122"/>
      <c r="S174" s="79" t="e">
        <v>#N/A</v>
      </c>
      <c r="T174" s="186" t="s">
        <v>1190</v>
      </c>
      <c r="U174" s="186"/>
      <c r="V174" s="186"/>
      <c r="W174" s="186"/>
      <c r="X174" s="129"/>
      <c r="Y174" s="186" t="s">
        <v>1060</v>
      </c>
      <c r="Z174" s="186"/>
      <c r="AA174" s="33"/>
      <c r="AB174" s="186"/>
    </row>
    <row r="175" spans="1:28" ht="14.25" customHeight="1">
      <c r="A175" s="213"/>
      <c r="B175" s="213"/>
      <c r="C175" s="210"/>
      <c r="D175" s="210"/>
      <c r="E175" s="186" t="s">
        <v>53</v>
      </c>
      <c r="F175" s="186" t="s">
        <v>1192</v>
      </c>
      <c r="G175" s="186" t="s">
        <v>242</v>
      </c>
      <c r="H175" s="186" t="s">
        <v>243</v>
      </c>
      <c r="I175" s="186"/>
      <c r="J175" s="186">
        <v>17</v>
      </c>
      <c r="K175" s="186" t="s">
        <v>680</v>
      </c>
      <c r="L175" s="186"/>
      <c r="M175" s="186"/>
      <c r="N175" s="186"/>
      <c r="O175" s="186"/>
      <c r="P175" s="186"/>
      <c r="Q175" s="186"/>
      <c r="R175" s="122"/>
      <c r="S175" s="79" t="e">
        <v>#N/A</v>
      </c>
      <c r="T175" s="186" t="s">
        <v>1190</v>
      </c>
      <c r="U175" s="186"/>
      <c r="V175" s="186"/>
      <c r="W175" s="186"/>
      <c r="X175" s="129"/>
      <c r="Y175" s="186" t="s">
        <v>1060</v>
      </c>
      <c r="Z175" s="186"/>
      <c r="AA175" s="33"/>
      <c r="AB175" s="186"/>
    </row>
    <row r="176" spans="1:28" ht="14.25" customHeight="1">
      <c r="A176" s="213"/>
      <c r="B176" s="213"/>
      <c r="C176" s="210"/>
      <c r="D176" s="210"/>
      <c r="E176" s="186" t="s">
        <v>53</v>
      </c>
      <c r="F176" s="186" t="s">
        <v>1409</v>
      </c>
      <c r="G176" s="186" t="s">
        <v>535</v>
      </c>
      <c r="H176" s="186" t="s">
        <v>243</v>
      </c>
      <c r="I176" s="186"/>
      <c r="J176" s="186">
        <v>69</v>
      </c>
      <c r="K176" s="186" t="s">
        <v>680</v>
      </c>
      <c r="L176" s="186"/>
      <c r="M176" s="186"/>
      <c r="N176" s="186"/>
      <c r="O176" s="186"/>
      <c r="P176" s="186"/>
      <c r="Q176" s="186"/>
      <c r="R176" s="122"/>
      <c r="S176" s="79" t="e">
        <v>#N/A</v>
      </c>
      <c r="T176" s="186" t="s">
        <v>1190</v>
      </c>
      <c r="U176" s="186"/>
      <c r="V176" s="186"/>
      <c r="W176" s="186"/>
      <c r="X176" s="129"/>
      <c r="Y176" s="186" t="s">
        <v>1060</v>
      </c>
      <c r="Z176" s="186"/>
      <c r="AA176" s="33"/>
      <c r="AB176" s="186"/>
    </row>
    <row r="177" spans="1:28" ht="14.25" customHeight="1">
      <c r="A177" s="213"/>
      <c r="B177" s="213"/>
      <c r="C177" s="210"/>
      <c r="D177" s="210"/>
      <c r="E177" s="186" t="s">
        <v>53</v>
      </c>
      <c r="F177" s="186" t="s">
        <v>1193</v>
      </c>
      <c r="G177" s="186" t="s">
        <v>247</v>
      </c>
      <c r="H177" s="186" t="s">
        <v>243</v>
      </c>
      <c r="I177" s="186"/>
      <c r="J177" s="186">
        <v>18</v>
      </c>
      <c r="K177" s="186" t="s">
        <v>680</v>
      </c>
      <c r="L177" s="186"/>
      <c r="M177" s="186"/>
      <c r="N177" s="186"/>
      <c r="O177" s="186"/>
      <c r="P177" s="186"/>
      <c r="Q177" s="186"/>
      <c r="R177" s="122"/>
      <c r="S177" s="79" t="e">
        <v>#N/A</v>
      </c>
      <c r="T177" s="186" t="s">
        <v>1190</v>
      </c>
      <c r="U177" s="186"/>
      <c r="V177" s="186"/>
      <c r="W177" s="186"/>
      <c r="X177" s="129"/>
      <c r="Y177" s="186" t="s">
        <v>1060</v>
      </c>
      <c r="Z177" s="186"/>
      <c r="AA177" s="33"/>
      <c r="AB177" s="186"/>
    </row>
    <row r="178" spans="1:28" ht="14.25" customHeight="1">
      <c r="A178" s="213"/>
      <c r="B178" s="213"/>
      <c r="C178" s="210"/>
      <c r="D178" s="210"/>
      <c r="E178" s="186" t="s">
        <v>53</v>
      </c>
      <c r="F178" s="186" t="s">
        <v>1194</v>
      </c>
      <c r="G178" s="186" t="s">
        <v>252</v>
      </c>
      <c r="H178" s="186" t="s">
        <v>243</v>
      </c>
      <c r="I178" s="186"/>
      <c r="J178" s="186">
        <v>19</v>
      </c>
      <c r="K178" s="186" t="s">
        <v>680</v>
      </c>
      <c r="L178" s="186"/>
      <c r="M178" s="186"/>
      <c r="N178" s="186"/>
      <c r="O178" s="186"/>
      <c r="P178" s="186"/>
      <c r="Q178" s="186"/>
      <c r="R178" s="122"/>
      <c r="S178" s="79" t="e">
        <v>#N/A</v>
      </c>
      <c r="T178" s="186" t="s">
        <v>1190</v>
      </c>
      <c r="U178" s="186"/>
      <c r="V178" s="186"/>
      <c r="W178" s="186"/>
      <c r="X178" s="129"/>
      <c r="Y178" s="186" t="s">
        <v>1060</v>
      </c>
      <c r="Z178" s="186"/>
      <c r="AA178" s="33"/>
      <c r="AB178" s="186"/>
    </row>
    <row r="179" spans="1:28" ht="14.25" customHeight="1">
      <c r="A179" s="213"/>
      <c r="B179" s="213"/>
      <c r="C179" s="210"/>
      <c r="D179" s="210"/>
      <c r="E179" s="186" t="s">
        <v>53</v>
      </c>
      <c r="F179" s="186" t="s">
        <v>1195</v>
      </c>
      <c r="G179" s="186" t="s">
        <v>247</v>
      </c>
      <c r="H179" s="186" t="s">
        <v>243</v>
      </c>
      <c r="I179" s="186"/>
      <c r="J179" s="186">
        <v>20</v>
      </c>
      <c r="K179" s="186" t="s">
        <v>680</v>
      </c>
      <c r="L179" s="186"/>
      <c r="M179" s="186"/>
      <c r="N179" s="186"/>
      <c r="O179" s="186"/>
      <c r="P179" s="186"/>
      <c r="Q179" s="186"/>
      <c r="R179" s="122"/>
      <c r="S179" s="79" t="e">
        <v>#N/A</v>
      </c>
      <c r="T179" s="186" t="s">
        <v>1190</v>
      </c>
      <c r="U179" s="186"/>
      <c r="V179" s="186"/>
      <c r="W179" s="186"/>
      <c r="X179" s="129"/>
      <c r="Y179" s="186" t="s">
        <v>1060</v>
      </c>
      <c r="Z179" s="186"/>
      <c r="AA179" s="33"/>
      <c r="AB179" s="186"/>
    </row>
    <row r="180" spans="1:28" ht="14.25" customHeight="1">
      <c r="A180" s="213"/>
      <c r="B180" s="213"/>
      <c r="C180" s="210"/>
      <c r="D180" s="210"/>
      <c r="E180" s="186" t="s">
        <v>53</v>
      </c>
      <c r="F180" s="186" t="s">
        <v>1196</v>
      </c>
      <c r="G180" s="186" t="s">
        <v>535</v>
      </c>
      <c r="H180" s="186" t="s">
        <v>243</v>
      </c>
      <c r="I180" s="186"/>
      <c r="J180" s="186">
        <v>21</v>
      </c>
      <c r="K180" s="186" t="s">
        <v>680</v>
      </c>
      <c r="L180" s="186"/>
      <c r="M180" s="186"/>
      <c r="N180" s="186"/>
      <c r="O180" s="186"/>
      <c r="P180" s="186"/>
      <c r="Q180" s="186"/>
      <c r="R180" s="122"/>
      <c r="S180" s="79" t="e">
        <v>#N/A</v>
      </c>
      <c r="T180" s="186" t="s">
        <v>1190</v>
      </c>
      <c r="U180" s="186"/>
      <c r="V180" s="186"/>
      <c r="W180" s="186"/>
      <c r="X180" s="129"/>
      <c r="Y180" s="186" t="s">
        <v>1060</v>
      </c>
      <c r="Z180" s="186"/>
      <c r="AA180" s="33"/>
      <c r="AB180" s="186"/>
    </row>
    <row r="181" spans="1:28" ht="14.25" customHeight="1">
      <c r="A181" s="213"/>
      <c r="B181" s="213"/>
      <c r="C181" s="210"/>
      <c r="D181" s="210"/>
      <c r="E181" s="186" t="s">
        <v>53</v>
      </c>
      <c r="F181" s="186" t="s">
        <v>124</v>
      </c>
      <c r="G181" s="186" t="s">
        <v>535</v>
      </c>
      <c r="H181" s="186" t="s">
        <v>903</v>
      </c>
      <c r="I181" s="186"/>
      <c r="J181" s="186">
        <v>1</v>
      </c>
      <c r="K181" s="186" t="s">
        <v>680</v>
      </c>
      <c r="L181" s="186"/>
      <c r="M181" s="186"/>
      <c r="N181" s="186"/>
      <c r="O181" s="186"/>
      <c r="P181" s="186"/>
      <c r="Q181" s="186"/>
      <c r="R181" s="122"/>
      <c r="S181" s="79" t="e">
        <v>#N/A</v>
      </c>
      <c r="T181" s="186" t="s">
        <v>1190</v>
      </c>
      <c r="U181" s="186"/>
      <c r="V181" s="186"/>
      <c r="W181" s="186"/>
      <c r="X181" s="129"/>
      <c r="Y181" s="186" t="s">
        <v>1060</v>
      </c>
      <c r="Z181" s="186"/>
      <c r="AA181" s="33"/>
      <c r="AB181" s="186"/>
    </row>
    <row r="182" spans="1:28" ht="14.25" customHeight="1">
      <c r="A182" s="213"/>
      <c r="B182" s="213"/>
      <c r="C182" s="210"/>
      <c r="D182" s="210"/>
      <c r="E182" s="186" t="s">
        <v>53</v>
      </c>
      <c r="F182" s="186" t="s">
        <v>123</v>
      </c>
      <c r="G182" s="186" t="s">
        <v>535</v>
      </c>
      <c r="H182" s="186" t="s">
        <v>243</v>
      </c>
      <c r="I182" s="186"/>
      <c r="J182" s="186">
        <v>71</v>
      </c>
      <c r="K182" s="186" t="s">
        <v>680</v>
      </c>
      <c r="L182" s="186"/>
      <c r="M182" s="186"/>
      <c r="N182" s="186"/>
      <c r="O182" s="186"/>
      <c r="P182" s="186"/>
      <c r="Q182" s="186"/>
      <c r="R182" s="122"/>
      <c r="S182" s="79" t="e">
        <v>#N/A</v>
      </c>
      <c r="T182" s="186" t="s">
        <v>1190</v>
      </c>
      <c r="U182" s="186"/>
      <c r="V182" s="186"/>
      <c r="W182" s="186"/>
      <c r="X182" s="129"/>
      <c r="Y182" s="186" t="s">
        <v>1060</v>
      </c>
      <c r="Z182" s="186"/>
      <c r="AA182" s="33"/>
      <c r="AB182" s="186"/>
    </row>
    <row r="183" spans="1:28" ht="14.25" customHeight="1">
      <c r="A183" s="213"/>
      <c r="B183" s="213"/>
      <c r="C183" s="210"/>
      <c r="D183" s="210"/>
      <c r="E183" s="186" t="s">
        <v>63</v>
      </c>
      <c r="F183" s="186" t="s">
        <v>122</v>
      </c>
      <c r="G183" s="186" t="s">
        <v>1803</v>
      </c>
      <c r="H183" s="186"/>
      <c r="I183" s="186"/>
      <c r="J183" s="186">
        <v>35</v>
      </c>
      <c r="K183" s="186" t="s">
        <v>680</v>
      </c>
      <c r="L183" s="186"/>
      <c r="M183" s="186"/>
      <c r="N183" s="186"/>
      <c r="O183" s="186"/>
      <c r="P183" s="186"/>
      <c r="Q183" s="186"/>
      <c r="R183" s="122"/>
      <c r="S183" s="79" t="e">
        <v>#N/A</v>
      </c>
      <c r="T183" s="186" t="s">
        <v>1804</v>
      </c>
      <c r="U183" s="186"/>
      <c r="V183" s="186"/>
      <c r="W183" s="186"/>
      <c r="X183" s="129"/>
      <c r="Y183" s="186" t="s">
        <v>1060</v>
      </c>
      <c r="Z183" s="186"/>
      <c r="AA183" s="33"/>
      <c r="AB183" s="186"/>
    </row>
  </sheetData>
  <autoFilter ref="A2:AB183" xr:uid="{00000000-0009-0000-0000-000021000000}"/>
  <conditionalFormatting sqref="K3:K139">
    <cfRule type="cellIs" dxfId="1" priority="1" operator="equal">
      <formula>1</formula>
    </cfRule>
  </conditionalFormatting>
  <conditionalFormatting sqref="K143:K149 K151 K153:K156 K159 K162:K167 K171:K183">
    <cfRule type="cellIs" dxfId="0" priority="2" operator="equal">
      <formula>1</formula>
    </cfRule>
  </conditionalFormatting>
  <pageMargins left="0.7" right="0.7" top="0.75" bottom="0.75" header="0" footer="0"/>
  <pageSetup orientation="landscape"/>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5E0B19-4D5C-4B5D-9125-66F9D9D1401C}">
  <dimension ref="A1:Z1003"/>
  <sheetViews>
    <sheetView workbookViewId="0">
      <pane ySplit="1" topLeftCell="A2" activePane="bottomLeft" state="frozen"/>
      <selection pane="bottomLeft" activeCell="B49" sqref="B49"/>
    </sheetView>
  </sheetViews>
  <sheetFormatPr defaultColWidth="9.1796875" defaultRowHeight="12.5"/>
  <cols>
    <col min="1" max="1" width="24.26953125" customWidth="1"/>
    <col min="2" max="2" width="38" customWidth="1"/>
    <col min="3" max="3" width="23.1796875" customWidth="1"/>
    <col min="5" max="5" width="9.1796875" bestFit="1" customWidth="1"/>
    <col min="6" max="6" width="19.453125" customWidth="1"/>
    <col min="8" max="8" width="41.7265625" style="120" customWidth="1"/>
    <col min="9" max="9" width="29.26953125" customWidth="1"/>
    <col min="10" max="10" width="47.81640625" customWidth="1"/>
    <col min="11" max="11" width="48.453125" customWidth="1"/>
    <col min="12" max="12" width="47" customWidth="1"/>
    <col min="13" max="13" width="43.81640625" customWidth="1"/>
    <col min="14" max="14" width="56.26953125" customWidth="1"/>
    <col min="15" max="15" width="9.1796875" bestFit="1" customWidth="1"/>
  </cols>
  <sheetData>
    <row r="1" spans="1:26">
      <c r="A1" s="673" t="s">
        <v>3648</v>
      </c>
      <c r="B1" s="674" t="s">
        <v>3648</v>
      </c>
      <c r="C1" s="717" t="s">
        <v>3649</v>
      </c>
      <c r="D1" s="717"/>
      <c r="E1" s="717"/>
      <c r="F1" s="718"/>
      <c r="G1" s="719" t="s">
        <v>3650</v>
      </c>
      <c r="H1" s="719"/>
      <c r="I1" s="719"/>
      <c r="J1" s="719"/>
      <c r="K1" s="719"/>
      <c r="L1" s="719"/>
      <c r="M1" s="719"/>
      <c r="N1" s="720"/>
      <c r="O1" s="631"/>
      <c r="P1" s="631"/>
      <c r="Q1" s="631"/>
      <c r="R1" s="631"/>
      <c r="S1" s="631"/>
      <c r="T1" s="631"/>
      <c r="U1" s="631"/>
      <c r="V1" s="631"/>
      <c r="W1" s="631"/>
      <c r="X1" s="631"/>
      <c r="Y1" s="631"/>
      <c r="Z1" s="631"/>
    </row>
    <row r="2" spans="1:26">
      <c r="A2" s="629" t="s">
        <v>3652</v>
      </c>
      <c r="B2" s="629" t="s">
        <v>225</v>
      </c>
      <c r="C2" s="629" t="s">
        <v>226</v>
      </c>
      <c r="D2" s="629" t="s">
        <v>227</v>
      </c>
      <c r="E2" s="629" t="s">
        <v>1045</v>
      </c>
      <c r="F2" s="629" t="s">
        <v>3656</v>
      </c>
      <c r="G2" s="629" t="s">
        <v>1046</v>
      </c>
      <c r="H2" s="649" t="s">
        <v>100</v>
      </c>
      <c r="I2" s="637" t="s">
        <v>3657</v>
      </c>
      <c r="J2" s="637" t="s">
        <v>5763</v>
      </c>
      <c r="K2" s="629" t="s">
        <v>105</v>
      </c>
      <c r="L2" s="629" t="s">
        <v>2597</v>
      </c>
      <c r="M2" s="630" t="s">
        <v>5764</v>
      </c>
      <c r="P2" s="631"/>
      <c r="Q2" s="631"/>
      <c r="R2" s="631"/>
      <c r="S2" s="631"/>
      <c r="T2" s="631"/>
      <c r="U2" s="631"/>
      <c r="V2" s="631"/>
      <c r="W2" s="631"/>
      <c r="X2" s="631"/>
      <c r="Y2" s="631"/>
      <c r="Z2" s="631"/>
    </row>
    <row r="3" spans="1:26" ht="25">
      <c r="A3" s="662" t="s">
        <v>59</v>
      </c>
      <c r="B3" s="662" t="s">
        <v>5345</v>
      </c>
      <c r="C3" s="662" t="s">
        <v>5765</v>
      </c>
      <c r="D3" s="662" t="s">
        <v>243</v>
      </c>
      <c r="E3" s="662">
        <v>24</v>
      </c>
      <c r="F3" s="325" t="s">
        <v>5766</v>
      </c>
      <c r="G3" s="662"/>
      <c r="H3" s="650" t="s">
        <v>5767</v>
      </c>
      <c r="I3" s="634"/>
      <c r="J3" s="634"/>
      <c r="K3" s="662"/>
      <c r="L3" s="662" t="s">
        <v>5346</v>
      </c>
      <c r="M3" s="662"/>
      <c r="P3" s="662"/>
      <c r="Q3" s="662"/>
      <c r="R3" s="662"/>
      <c r="S3" s="662"/>
      <c r="T3" s="662"/>
      <c r="U3" s="662"/>
      <c r="V3" s="662"/>
      <c r="W3" s="662"/>
      <c r="X3" s="662"/>
      <c r="Y3" s="662"/>
      <c r="Z3" s="662"/>
    </row>
    <row r="4" spans="1:26">
      <c r="A4" s="662" t="s">
        <v>63</v>
      </c>
      <c r="B4" s="662" t="s">
        <v>1956</v>
      </c>
      <c r="C4" s="662" t="s">
        <v>252</v>
      </c>
      <c r="D4" s="662" t="s">
        <v>243</v>
      </c>
      <c r="E4" s="662">
        <v>9</v>
      </c>
      <c r="F4" s="662" t="s">
        <v>5766</v>
      </c>
      <c r="G4" s="662"/>
      <c r="H4" s="650" t="s">
        <v>5767</v>
      </c>
      <c r="I4" s="662" t="s">
        <v>3648</v>
      </c>
      <c r="J4" s="662"/>
      <c r="K4" s="662"/>
      <c r="L4" s="662"/>
      <c r="M4" s="662"/>
      <c r="P4" s="662"/>
      <c r="Q4" s="662"/>
      <c r="R4" s="662"/>
      <c r="S4" s="662"/>
      <c r="T4" s="662"/>
      <c r="U4" s="662"/>
      <c r="V4" s="662"/>
      <c r="W4" s="662"/>
      <c r="X4" s="662"/>
      <c r="Y4" s="662"/>
      <c r="Z4" s="662"/>
    </row>
    <row r="5" spans="1:26">
      <c r="A5" s="662" t="s">
        <v>63</v>
      </c>
      <c r="B5" s="662" t="s">
        <v>1957</v>
      </c>
      <c r="C5" s="662" t="s">
        <v>252</v>
      </c>
      <c r="D5" s="662" t="s">
        <v>243</v>
      </c>
      <c r="E5" s="662">
        <v>10</v>
      </c>
      <c r="F5" s="662" t="s">
        <v>5766</v>
      </c>
      <c r="G5" s="662"/>
      <c r="H5" s="650" t="s">
        <v>5767</v>
      </c>
      <c r="I5" s="662" t="s">
        <v>3648</v>
      </c>
      <c r="J5" s="662"/>
      <c r="K5" s="662"/>
      <c r="L5" s="662"/>
      <c r="M5" s="662"/>
      <c r="P5" s="662"/>
      <c r="Q5" s="662"/>
      <c r="R5" s="662"/>
      <c r="S5" s="662"/>
      <c r="T5" s="662"/>
      <c r="U5" s="662"/>
      <c r="V5" s="662"/>
      <c r="W5" s="662"/>
      <c r="X5" s="662"/>
      <c r="Y5" s="662"/>
      <c r="Z5" s="662"/>
    </row>
    <row r="6" spans="1:26">
      <c r="A6" s="662" t="s">
        <v>55</v>
      </c>
      <c r="B6" s="662" t="s">
        <v>5768</v>
      </c>
      <c r="C6" s="662" t="s">
        <v>5765</v>
      </c>
      <c r="D6" s="662" t="s">
        <v>243</v>
      </c>
      <c r="E6" s="662">
        <v>50</v>
      </c>
      <c r="F6" s="662" t="s">
        <v>5766</v>
      </c>
      <c r="G6" s="662"/>
      <c r="H6" s="650" t="s">
        <v>5767</v>
      </c>
      <c r="I6" s="662" t="s">
        <v>3648</v>
      </c>
      <c r="J6" s="662"/>
      <c r="K6" s="662"/>
      <c r="L6" s="662"/>
      <c r="M6" s="662"/>
      <c r="P6" s="662"/>
      <c r="Q6" s="662"/>
      <c r="R6" s="662"/>
      <c r="S6" s="662"/>
      <c r="T6" s="662"/>
      <c r="U6" s="662"/>
      <c r="V6" s="662"/>
      <c r="W6" s="662"/>
      <c r="X6" s="662"/>
      <c r="Y6" s="662"/>
      <c r="Z6" s="662"/>
    </row>
    <row r="7" spans="1:26">
      <c r="A7" s="662" t="s">
        <v>55</v>
      </c>
      <c r="B7" s="662" t="s">
        <v>5769</v>
      </c>
      <c r="C7" s="662" t="s">
        <v>249</v>
      </c>
      <c r="D7" s="662" t="s">
        <v>243</v>
      </c>
      <c r="E7" s="662">
        <v>51</v>
      </c>
      <c r="F7" s="662" t="s">
        <v>5766</v>
      </c>
      <c r="G7" s="662"/>
      <c r="H7" s="650" t="s">
        <v>5767</v>
      </c>
      <c r="I7" s="662" t="s">
        <v>3648</v>
      </c>
      <c r="J7" s="662"/>
      <c r="K7" s="662"/>
      <c r="L7" s="662"/>
      <c r="M7" s="662"/>
      <c r="P7" s="662"/>
      <c r="Q7" s="662"/>
      <c r="R7" s="662"/>
      <c r="S7" s="662"/>
      <c r="T7" s="662"/>
      <c r="U7" s="662"/>
      <c r="V7" s="662"/>
      <c r="W7" s="662"/>
      <c r="X7" s="662"/>
      <c r="Y7" s="662"/>
      <c r="Z7" s="662"/>
    </row>
    <row r="8" spans="1:26">
      <c r="A8" s="662" t="s">
        <v>55</v>
      </c>
      <c r="B8" s="662" t="s">
        <v>5770</v>
      </c>
      <c r="C8" s="662" t="s">
        <v>5765</v>
      </c>
      <c r="D8" s="662" t="s">
        <v>243</v>
      </c>
      <c r="E8" s="662">
        <v>49</v>
      </c>
      <c r="F8" s="662" t="s">
        <v>5766</v>
      </c>
      <c r="G8" s="662"/>
      <c r="H8" s="650" t="s">
        <v>5767</v>
      </c>
      <c r="I8" s="662" t="s">
        <v>3648</v>
      </c>
      <c r="J8" s="662"/>
      <c r="K8" s="662"/>
      <c r="L8" s="662"/>
      <c r="M8" s="662"/>
      <c r="P8" s="662"/>
      <c r="Q8" s="662"/>
      <c r="R8" s="662"/>
      <c r="S8" s="662"/>
      <c r="T8" s="662"/>
      <c r="U8" s="662"/>
      <c r="V8" s="662"/>
      <c r="W8" s="662"/>
      <c r="X8" s="662"/>
      <c r="Y8" s="662"/>
      <c r="Z8" s="662"/>
    </row>
    <row r="9" spans="1:26" ht="25">
      <c r="A9" s="662" t="s">
        <v>59</v>
      </c>
      <c r="B9" s="662" t="s">
        <v>5347</v>
      </c>
      <c r="C9" s="662" t="s">
        <v>324</v>
      </c>
      <c r="D9" s="662" t="s">
        <v>243</v>
      </c>
      <c r="E9" s="662">
        <v>12</v>
      </c>
      <c r="F9" s="325" t="s">
        <v>5766</v>
      </c>
      <c r="G9" s="662" t="s">
        <v>682</v>
      </c>
      <c r="H9" s="651" t="s">
        <v>5767</v>
      </c>
      <c r="I9" s="675" t="s">
        <v>954</v>
      </c>
      <c r="J9" s="675" t="s">
        <v>5771</v>
      </c>
      <c r="K9" s="662" t="s">
        <v>5772</v>
      </c>
      <c r="L9" s="662" t="s">
        <v>5348</v>
      </c>
      <c r="M9" s="662"/>
      <c r="P9" s="662"/>
      <c r="Q9" s="662"/>
      <c r="R9" s="662"/>
      <c r="S9" s="662"/>
      <c r="T9" s="662"/>
      <c r="U9" s="662"/>
      <c r="V9" s="662"/>
      <c r="W9" s="662"/>
      <c r="X9" s="662"/>
      <c r="Y9" s="662"/>
      <c r="Z9" s="662"/>
    </row>
    <row r="10" spans="1:26" ht="25.5">
      <c r="A10" s="662" t="s">
        <v>59</v>
      </c>
      <c r="B10" s="662" t="s">
        <v>5168</v>
      </c>
      <c r="C10" s="662" t="s">
        <v>324</v>
      </c>
      <c r="D10" s="662" t="s">
        <v>243</v>
      </c>
      <c r="E10" s="662">
        <v>13</v>
      </c>
      <c r="F10" s="325" t="s">
        <v>5766</v>
      </c>
      <c r="G10" s="662" t="s">
        <v>682</v>
      </c>
      <c r="H10" s="651" t="s">
        <v>5767</v>
      </c>
      <c r="I10" s="675" t="s">
        <v>5368</v>
      </c>
      <c r="J10" s="675" t="s">
        <v>954</v>
      </c>
      <c r="K10" s="662" t="s">
        <v>5773</v>
      </c>
      <c r="L10" s="325" t="s">
        <v>5349</v>
      </c>
      <c r="M10" s="662" t="s">
        <v>5774</v>
      </c>
      <c r="P10" s="662"/>
      <c r="Q10" s="662"/>
      <c r="R10" s="662"/>
      <c r="S10" s="662"/>
      <c r="T10" s="662"/>
      <c r="U10" s="662"/>
      <c r="V10" s="662"/>
      <c r="W10" s="662"/>
      <c r="X10" s="662"/>
      <c r="Y10" s="662"/>
      <c r="Z10" s="662"/>
    </row>
    <row r="11" spans="1:26">
      <c r="A11" s="662" t="s">
        <v>59</v>
      </c>
      <c r="B11" s="662" t="s">
        <v>5350</v>
      </c>
      <c r="C11" s="662" t="s">
        <v>5765</v>
      </c>
      <c r="D11" s="662" t="s">
        <v>243</v>
      </c>
      <c r="E11" s="662">
        <v>14</v>
      </c>
      <c r="F11" s="325" t="s">
        <v>5766</v>
      </c>
      <c r="G11" s="662" t="s">
        <v>682</v>
      </c>
      <c r="H11" s="651" t="s">
        <v>5767</v>
      </c>
      <c r="I11" s="675" t="s">
        <v>954</v>
      </c>
      <c r="J11" s="675" t="s">
        <v>5775</v>
      </c>
      <c r="K11" s="662" t="s">
        <v>5776</v>
      </c>
      <c r="L11" s="662" t="s">
        <v>5351</v>
      </c>
      <c r="M11" s="662"/>
      <c r="P11" s="662"/>
      <c r="Q11" s="662"/>
      <c r="R11" s="662"/>
      <c r="S11" s="662"/>
      <c r="T11" s="662"/>
      <c r="U11" s="662"/>
      <c r="V11" s="662"/>
      <c r="W11" s="662"/>
      <c r="X11" s="662"/>
      <c r="Y11" s="662"/>
      <c r="Z11" s="662"/>
    </row>
    <row r="12" spans="1:26">
      <c r="A12" s="662" t="s">
        <v>53</v>
      </c>
      <c r="B12" s="662" t="s">
        <v>2572</v>
      </c>
      <c r="C12" s="662" t="s">
        <v>5352</v>
      </c>
      <c r="D12" s="662" t="s">
        <v>243</v>
      </c>
      <c r="E12" s="662">
        <v>15</v>
      </c>
      <c r="F12" s="325" t="s">
        <v>5766</v>
      </c>
      <c r="G12" s="662"/>
      <c r="H12" s="650" t="s">
        <v>5767</v>
      </c>
      <c r="I12" s="662" t="s">
        <v>3648</v>
      </c>
      <c r="J12" s="662"/>
      <c r="K12" s="662"/>
      <c r="L12" s="662" t="s">
        <v>5353</v>
      </c>
      <c r="M12" s="662"/>
      <c r="P12" s="662"/>
      <c r="Q12" s="662"/>
      <c r="R12" s="662"/>
      <c r="S12" s="662"/>
      <c r="T12" s="662"/>
      <c r="U12" s="662"/>
      <c r="V12" s="662"/>
      <c r="W12" s="662"/>
      <c r="X12" s="662"/>
      <c r="Y12" s="662"/>
      <c r="Z12" s="662"/>
    </row>
    <row r="13" spans="1:26">
      <c r="A13" s="662" t="s">
        <v>224</v>
      </c>
      <c r="B13" s="662" t="s">
        <v>5354</v>
      </c>
      <c r="C13" s="662" t="s">
        <v>242</v>
      </c>
      <c r="D13" s="662" t="s">
        <v>243</v>
      </c>
      <c r="E13" s="662">
        <v>32</v>
      </c>
      <c r="F13" s="325" t="s">
        <v>5766</v>
      </c>
      <c r="G13" s="662"/>
      <c r="H13" s="650" t="s">
        <v>5767</v>
      </c>
      <c r="I13" s="662" t="s">
        <v>3648</v>
      </c>
      <c r="J13" s="662"/>
      <c r="K13" s="662"/>
      <c r="L13" s="662" t="s">
        <v>5355</v>
      </c>
      <c r="M13" s="662"/>
      <c r="P13" s="662"/>
      <c r="Q13" s="662"/>
      <c r="R13" s="662"/>
      <c r="S13" s="662"/>
      <c r="T13" s="662"/>
      <c r="U13" s="662"/>
      <c r="V13" s="662"/>
      <c r="W13" s="662"/>
      <c r="X13" s="662"/>
      <c r="Y13" s="662"/>
      <c r="Z13" s="662"/>
    </row>
    <row r="14" spans="1:26">
      <c r="A14" s="662" t="s">
        <v>55</v>
      </c>
      <c r="B14" s="325" t="s">
        <v>5777</v>
      </c>
      <c r="C14" s="662" t="s">
        <v>264</v>
      </c>
      <c r="D14" s="662" t="s">
        <v>243</v>
      </c>
      <c r="E14" s="662">
        <v>38</v>
      </c>
      <c r="F14" s="325" t="s">
        <v>5766</v>
      </c>
      <c r="G14" s="662"/>
      <c r="H14" s="650" t="s">
        <v>5767</v>
      </c>
      <c r="I14" s="662" t="s">
        <v>3648</v>
      </c>
      <c r="J14" s="662"/>
      <c r="K14" s="662"/>
      <c r="L14" s="662" t="s">
        <v>5778</v>
      </c>
      <c r="M14" s="662"/>
      <c r="P14" s="662"/>
      <c r="Q14" s="662"/>
      <c r="R14" s="662"/>
      <c r="S14" s="662"/>
      <c r="T14" s="662"/>
      <c r="U14" s="662"/>
      <c r="V14" s="662"/>
      <c r="W14" s="662"/>
      <c r="X14" s="662"/>
      <c r="Y14" s="662"/>
      <c r="Z14" s="662"/>
    </row>
    <row r="15" spans="1:26">
      <c r="A15" s="662" t="s">
        <v>55</v>
      </c>
      <c r="B15" s="662" t="s">
        <v>5356</v>
      </c>
      <c r="C15" s="662" t="s">
        <v>1853</v>
      </c>
      <c r="D15" s="662" t="s">
        <v>243</v>
      </c>
      <c r="E15" s="662">
        <v>36</v>
      </c>
      <c r="F15" s="325" t="s">
        <v>5766</v>
      </c>
      <c r="G15" s="662"/>
      <c r="H15" s="650" t="s">
        <v>5767</v>
      </c>
      <c r="I15" s="662" t="s">
        <v>3648</v>
      </c>
      <c r="J15" s="662"/>
      <c r="K15" s="662"/>
      <c r="L15" s="662" t="s">
        <v>5357</v>
      </c>
      <c r="M15" s="662"/>
      <c r="P15" s="662"/>
      <c r="Q15" s="662"/>
      <c r="R15" s="662"/>
      <c r="S15" s="662"/>
      <c r="T15" s="662"/>
      <c r="U15" s="662"/>
      <c r="V15" s="662"/>
      <c r="W15" s="662"/>
      <c r="X15" s="662"/>
      <c r="Y15" s="662"/>
      <c r="Z15" s="662"/>
    </row>
    <row r="16" spans="1:26">
      <c r="A16" s="662" t="s">
        <v>55</v>
      </c>
      <c r="B16" s="325" t="s">
        <v>5779</v>
      </c>
      <c r="C16" s="662" t="s">
        <v>1853</v>
      </c>
      <c r="D16" s="662" t="s">
        <v>243</v>
      </c>
      <c r="E16" s="662">
        <v>33</v>
      </c>
      <c r="F16" s="325" t="s">
        <v>5766</v>
      </c>
      <c r="G16" s="662"/>
      <c r="H16" s="650" t="s">
        <v>5767</v>
      </c>
      <c r="I16" s="662" t="s">
        <v>3648</v>
      </c>
      <c r="J16" s="662"/>
      <c r="K16" s="662"/>
      <c r="L16" s="662" t="s">
        <v>5780</v>
      </c>
      <c r="M16" s="662"/>
      <c r="P16" s="662"/>
      <c r="Q16" s="662"/>
      <c r="R16" s="662"/>
      <c r="S16" s="662"/>
      <c r="T16" s="662"/>
      <c r="U16" s="662"/>
      <c r="V16" s="662"/>
      <c r="W16" s="662"/>
      <c r="X16" s="662"/>
      <c r="Y16" s="662"/>
      <c r="Z16" s="662"/>
    </row>
    <row r="17" spans="1:26">
      <c r="A17" s="662" t="s">
        <v>55</v>
      </c>
      <c r="B17" s="662" t="s">
        <v>5781</v>
      </c>
      <c r="C17" s="662" t="s">
        <v>5765</v>
      </c>
      <c r="D17" s="662" t="s">
        <v>243</v>
      </c>
      <c r="E17" s="662">
        <v>46</v>
      </c>
      <c r="F17" s="662" t="s">
        <v>5766</v>
      </c>
      <c r="G17" s="662"/>
      <c r="H17" s="650" t="s">
        <v>5767</v>
      </c>
      <c r="I17" s="662" t="s">
        <v>3648</v>
      </c>
      <c r="J17" s="662"/>
      <c r="K17" s="662"/>
      <c r="L17" s="662"/>
      <c r="M17" s="662"/>
      <c r="P17" s="662"/>
      <c r="Q17" s="662"/>
      <c r="R17" s="662"/>
      <c r="S17" s="662"/>
      <c r="T17" s="662"/>
      <c r="U17" s="662"/>
      <c r="V17" s="662"/>
      <c r="W17" s="662"/>
      <c r="X17" s="662"/>
      <c r="Y17" s="662"/>
      <c r="Z17" s="662"/>
    </row>
    <row r="18" spans="1:26">
      <c r="A18" s="662" t="s">
        <v>59</v>
      </c>
      <c r="B18" s="662" t="s">
        <v>498</v>
      </c>
      <c r="C18" s="662" t="s">
        <v>242</v>
      </c>
      <c r="D18" s="662" t="s">
        <v>243</v>
      </c>
      <c r="E18" s="662">
        <v>20</v>
      </c>
      <c r="F18" s="325" t="s">
        <v>5766</v>
      </c>
      <c r="G18" s="662"/>
      <c r="H18" s="650" t="s">
        <v>5767</v>
      </c>
      <c r="I18" s="662" t="s">
        <v>3648</v>
      </c>
      <c r="J18" s="662"/>
      <c r="K18" s="662"/>
      <c r="L18" s="662" t="s">
        <v>5358</v>
      </c>
      <c r="M18" s="662"/>
      <c r="P18" s="662"/>
      <c r="Q18" s="662"/>
      <c r="R18" s="662"/>
      <c r="S18" s="662"/>
      <c r="T18" s="662"/>
      <c r="U18" s="662"/>
      <c r="V18" s="662"/>
      <c r="W18" s="662"/>
      <c r="X18" s="662"/>
      <c r="Y18" s="662"/>
      <c r="Z18" s="662"/>
    </row>
    <row r="19" spans="1:26">
      <c r="A19" s="662" t="s">
        <v>55</v>
      </c>
      <c r="B19" s="662" t="s">
        <v>5782</v>
      </c>
      <c r="C19" s="662" t="s">
        <v>5765</v>
      </c>
      <c r="D19" s="662" t="s">
        <v>243</v>
      </c>
      <c r="E19" s="662">
        <v>44</v>
      </c>
      <c r="F19" s="662" t="s">
        <v>5766</v>
      </c>
      <c r="G19" s="662"/>
      <c r="H19" s="650" t="s">
        <v>5767</v>
      </c>
      <c r="I19" s="662" t="s">
        <v>3648</v>
      </c>
      <c r="J19" s="662"/>
      <c r="K19" s="662"/>
      <c r="L19" s="662"/>
      <c r="M19" s="662"/>
      <c r="P19" s="662"/>
      <c r="Q19" s="662"/>
      <c r="R19" s="662"/>
      <c r="S19" s="662"/>
      <c r="T19" s="662"/>
      <c r="U19" s="662"/>
      <c r="V19" s="662"/>
      <c r="W19" s="662"/>
      <c r="X19" s="662"/>
      <c r="Y19" s="662"/>
      <c r="Z19" s="662"/>
    </row>
    <row r="20" spans="1:26">
      <c r="A20" s="662" t="s">
        <v>55</v>
      </c>
      <c r="B20" s="662" t="s">
        <v>5783</v>
      </c>
      <c r="C20" s="662" t="s">
        <v>432</v>
      </c>
      <c r="D20" s="662" t="s">
        <v>243</v>
      </c>
      <c r="E20" s="662">
        <v>42</v>
      </c>
      <c r="F20" s="662" t="s">
        <v>5766</v>
      </c>
      <c r="G20" s="662"/>
      <c r="H20" s="650" t="s">
        <v>5767</v>
      </c>
      <c r="I20" s="662" t="s">
        <v>3648</v>
      </c>
      <c r="J20" s="662"/>
      <c r="K20" s="662"/>
      <c r="L20" s="662"/>
      <c r="M20" s="662"/>
      <c r="P20" s="662"/>
      <c r="Q20" s="662"/>
      <c r="R20" s="662"/>
      <c r="S20" s="662"/>
      <c r="T20" s="662"/>
      <c r="U20" s="662"/>
      <c r="V20" s="662"/>
      <c r="W20" s="662"/>
      <c r="X20" s="662"/>
      <c r="Y20" s="662"/>
      <c r="Z20" s="662"/>
    </row>
    <row r="21" spans="1:26">
      <c r="A21" s="662" t="s">
        <v>55</v>
      </c>
      <c r="B21" s="662" t="s">
        <v>5784</v>
      </c>
      <c r="C21" s="662" t="s">
        <v>5765</v>
      </c>
      <c r="D21" s="662" t="s">
        <v>243</v>
      </c>
      <c r="E21" s="662">
        <v>43</v>
      </c>
      <c r="F21" s="662" t="s">
        <v>5766</v>
      </c>
      <c r="G21" s="662"/>
      <c r="H21" s="650" t="s">
        <v>5767</v>
      </c>
      <c r="I21" s="662" t="s">
        <v>3648</v>
      </c>
      <c r="J21" s="662"/>
      <c r="K21" s="662"/>
      <c r="L21" s="662"/>
      <c r="M21" s="662"/>
      <c r="P21" s="662"/>
      <c r="Q21" s="662"/>
      <c r="R21" s="662"/>
      <c r="S21" s="662"/>
      <c r="T21" s="662"/>
      <c r="U21" s="662"/>
      <c r="V21" s="662"/>
      <c r="W21" s="662"/>
      <c r="X21" s="662"/>
      <c r="Y21" s="662"/>
      <c r="Z21" s="662"/>
    </row>
    <row r="22" spans="1:26" ht="25.5">
      <c r="A22" s="662" t="s">
        <v>59</v>
      </c>
      <c r="B22" s="662" t="s">
        <v>5359</v>
      </c>
      <c r="C22" s="662" t="s">
        <v>5360</v>
      </c>
      <c r="D22" s="662" t="s">
        <v>243</v>
      </c>
      <c r="E22" s="662">
        <v>27</v>
      </c>
      <c r="F22" s="325" t="s">
        <v>5766</v>
      </c>
      <c r="G22" s="662" t="s">
        <v>682</v>
      </c>
      <c r="H22" s="651" t="s">
        <v>5767</v>
      </c>
      <c r="I22" s="675" t="s">
        <v>5785</v>
      </c>
      <c r="J22" s="675" t="s">
        <v>954</v>
      </c>
      <c r="K22" s="662" t="s">
        <v>5786</v>
      </c>
      <c r="L22" s="662" t="s">
        <v>5361</v>
      </c>
      <c r="M22" s="662" t="s">
        <v>5787</v>
      </c>
      <c r="P22" s="662"/>
      <c r="Q22" s="662"/>
      <c r="R22" s="662"/>
      <c r="S22" s="662"/>
      <c r="T22" s="662"/>
      <c r="U22" s="662"/>
      <c r="V22" s="662"/>
      <c r="W22" s="662"/>
      <c r="X22" s="662"/>
      <c r="Y22" s="662"/>
      <c r="Z22" s="662"/>
    </row>
    <row r="23" spans="1:26" ht="87.5">
      <c r="A23" s="662" t="s">
        <v>55</v>
      </c>
      <c r="B23" s="325" t="s">
        <v>5788</v>
      </c>
      <c r="C23" s="662" t="s">
        <v>247</v>
      </c>
      <c r="D23" s="662" t="s">
        <v>243</v>
      </c>
      <c r="E23" s="662">
        <v>39</v>
      </c>
      <c r="F23" s="662" t="s">
        <v>5766</v>
      </c>
      <c r="G23" s="662" t="s">
        <v>682</v>
      </c>
      <c r="H23" s="651" t="s">
        <v>5767</v>
      </c>
      <c r="I23" s="675" t="s">
        <v>5789</v>
      </c>
      <c r="J23" s="675" t="s">
        <v>954</v>
      </c>
      <c r="K23" s="662" t="s">
        <v>5790</v>
      </c>
      <c r="L23" s="662" t="s">
        <v>5791</v>
      </c>
      <c r="M23" s="662" t="s">
        <v>5792</v>
      </c>
      <c r="P23" s="662"/>
      <c r="Q23" s="662"/>
      <c r="R23" s="662"/>
      <c r="S23" s="662"/>
      <c r="T23" s="662"/>
      <c r="U23" s="662"/>
      <c r="V23" s="662"/>
      <c r="W23" s="662"/>
      <c r="X23" s="662"/>
      <c r="Y23" s="662"/>
      <c r="Z23" s="662"/>
    </row>
    <row r="24" spans="1:26" ht="37.5">
      <c r="A24" s="662" t="s">
        <v>59</v>
      </c>
      <c r="B24" s="662" t="s">
        <v>5362</v>
      </c>
      <c r="C24" s="662" t="s">
        <v>5360</v>
      </c>
      <c r="D24" s="662" t="s">
        <v>243</v>
      </c>
      <c r="E24" s="662">
        <v>26</v>
      </c>
      <c r="F24" s="325" t="s">
        <v>5766</v>
      </c>
      <c r="G24" s="662"/>
      <c r="H24" s="650" t="s">
        <v>5767</v>
      </c>
      <c r="I24" s="662" t="s">
        <v>3648</v>
      </c>
      <c r="J24" s="662"/>
      <c r="K24" s="662"/>
      <c r="L24" s="662" t="s">
        <v>5363</v>
      </c>
      <c r="M24" s="662"/>
      <c r="P24" s="662"/>
      <c r="Q24" s="662"/>
      <c r="R24" s="662"/>
      <c r="S24" s="662"/>
      <c r="T24" s="662"/>
      <c r="U24" s="662"/>
      <c r="V24" s="662"/>
      <c r="W24" s="662"/>
      <c r="X24" s="662"/>
      <c r="Y24" s="662"/>
      <c r="Z24" s="662"/>
    </row>
    <row r="25" spans="1:26">
      <c r="A25" s="662" t="s">
        <v>55</v>
      </c>
      <c r="B25" s="662" t="s">
        <v>5793</v>
      </c>
      <c r="C25" s="662" t="s">
        <v>247</v>
      </c>
      <c r="D25" s="662" t="s">
        <v>243</v>
      </c>
      <c r="E25" s="662">
        <v>40</v>
      </c>
      <c r="F25" s="662" t="s">
        <v>5766</v>
      </c>
      <c r="G25" s="662"/>
      <c r="H25" s="650" t="s">
        <v>5767</v>
      </c>
      <c r="I25" s="662" t="s">
        <v>3648</v>
      </c>
      <c r="J25" s="662"/>
      <c r="K25" s="662"/>
      <c r="L25" s="662"/>
      <c r="M25" s="662"/>
      <c r="P25" s="662"/>
      <c r="Q25" s="662"/>
      <c r="R25" s="662"/>
      <c r="S25" s="662"/>
      <c r="T25" s="662"/>
      <c r="U25" s="662"/>
      <c r="V25" s="662"/>
      <c r="W25" s="662"/>
      <c r="X25" s="662"/>
      <c r="Y25" s="662"/>
      <c r="Z25" s="662"/>
    </row>
    <row r="26" spans="1:26" ht="37.5">
      <c r="A26" s="662" t="s">
        <v>59</v>
      </c>
      <c r="B26" s="662" t="s">
        <v>5364</v>
      </c>
      <c r="C26" s="662" t="s">
        <v>5360</v>
      </c>
      <c r="D26" s="662" t="s">
        <v>243</v>
      </c>
      <c r="E26" s="662">
        <v>25</v>
      </c>
      <c r="F26" s="325" t="s">
        <v>5766</v>
      </c>
      <c r="G26" s="662"/>
      <c r="H26" s="650" t="s">
        <v>5767</v>
      </c>
      <c r="I26" s="662" t="s">
        <v>3648</v>
      </c>
      <c r="J26" s="662"/>
      <c r="K26" s="662"/>
      <c r="L26" s="662" t="s">
        <v>5365</v>
      </c>
      <c r="M26" s="662"/>
      <c r="P26" s="662"/>
      <c r="Q26" s="662"/>
      <c r="R26" s="662"/>
      <c r="S26" s="662"/>
      <c r="T26" s="662"/>
      <c r="U26" s="662"/>
      <c r="V26" s="662"/>
      <c r="W26" s="662"/>
      <c r="X26" s="662"/>
      <c r="Y26" s="662"/>
      <c r="Z26" s="662"/>
    </row>
    <row r="27" spans="1:26">
      <c r="A27" s="662" t="s">
        <v>55</v>
      </c>
      <c r="B27" s="662" t="s">
        <v>5794</v>
      </c>
      <c r="C27" s="662" t="s">
        <v>250</v>
      </c>
      <c r="D27" s="662" t="s">
        <v>243</v>
      </c>
      <c r="E27" s="662">
        <v>55</v>
      </c>
      <c r="F27" s="662" t="s">
        <v>5766</v>
      </c>
      <c r="G27" s="662"/>
      <c r="H27" s="650" t="s">
        <v>5767</v>
      </c>
      <c r="I27" s="662" t="s">
        <v>3648</v>
      </c>
      <c r="J27" s="662"/>
      <c r="K27" s="662"/>
      <c r="L27" s="662"/>
      <c r="M27" s="662"/>
      <c r="P27" s="662"/>
      <c r="Q27" s="662"/>
      <c r="R27" s="662"/>
      <c r="S27" s="662"/>
      <c r="T27" s="662"/>
      <c r="U27" s="662"/>
      <c r="V27" s="662"/>
      <c r="W27" s="662"/>
      <c r="X27" s="662"/>
      <c r="Y27" s="662"/>
      <c r="Z27" s="662"/>
    </row>
    <row r="28" spans="1:26" ht="25.5">
      <c r="A28" s="662" t="s">
        <v>224</v>
      </c>
      <c r="B28" s="662" t="s">
        <v>5366</v>
      </c>
      <c r="C28" s="662" t="s">
        <v>264</v>
      </c>
      <c r="D28" s="662" t="s">
        <v>903</v>
      </c>
      <c r="E28" s="662">
        <v>2</v>
      </c>
      <c r="F28" s="325" t="s">
        <v>5766</v>
      </c>
      <c r="G28" s="662" t="s">
        <v>682</v>
      </c>
      <c r="H28" s="651" t="s">
        <v>5767</v>
      </c>
      <c r="I28" s="675" t="s">
        <v>5366</v>
      </c>
      <c r="J28" s="675" t="s">
        <v>954</v>
      </c>
      <c r="K28" s="662" t="s">
        <v>5795</v>
      </c>
      <c r="L28" s="662" t="s">
        <v>5367</v>
      </c>
      <c r="M28" s="662" t="s">
        <v>5796</v>
      </c>
      <c r="P28" s="662"/>
      <c r="Q28" s="662"/>
      <c r="R28" s="662"/>
      <c r="S28" s="662"/>
      <c r="T28" s="662"/>
      <c r="U28" s="662"/>
      <c r="V28" s="662"/>
      <c r="W28" s="662"/>
      <c r="X28" s="662"/>
      <c r="Y28" s="662"/>
      <c r="Z28" s="662"/>
    </row>
    <row r="29" spans="1:26">
      <c r="A29" s="662" t="s">
        <v>59</v>
      </c>
      <c r="B29" s="662" t="s">
        <v>5368</v>
      </c>
      <c r="C29" s="662" t="s">
        <v>264</v>
      </c>
      <c r="D29" s="662" t="s">
        <v>903</v>
      </c>
      <c r="E29" s="662">
        <v>16</v>
      </c>
      <c r="F29" s="325" t="s">
        <v>5766</v>
      </c>
      <c r="G29" s="662" t="s">
        <v>682</v>
      </c>
      <c r="H29" s="651" t="s">
        <v>5767</v>
      </c>
      <c r="I29" s="675" t="s">
        <v>954</v>
      </c>
      <c r="J29" s="675" t="s">
        <v>5797</v>
      </c>
      <c r="K29" s="662" t="s">
        <v>5798</v>
      </c>
      <c r="L29" s="662" t="s">
        <v>5369</v>
      </c>
      <c r="M29" s="662"/>
      <c r="P29" s="662"/>
      <c r="Q29" s="662"/>
      <c r="R29" s="662"/>
      <c r="S29" s="662"/>
      <c r="T29" s="662"/>
      <c r="U29" s="662"/>
      <c r="V29" s="662"/>
      <c r="W29" s="662"/>
      <c r="X29" s="662"/>
      <c r="Y29" s="662"/>
      <c r="Z29" s="662"/>
    </row>
    <row r="30" spans="1:26" ht="25">
      <c r="A30" s="662" t="s">
        <v>224</v>
      </c>
      <c r="B30" s="662" t="s">
        <v>920</v>
      </c>
      <c r="C30" s="662" t="s">
        <v>242</v>
      </c>
      <c r="D30" s="662" t="s">
        <v>243</v>
      </c>
      <c r="E30" s="662">
        <v>17</v>
      </c>
      <c r="F30" s="325" t="s">
        <v>5766</v>
      </c>
      <c r="G30" s="662" t="s">
        <v>682</v>
      </c>
      <c r="H30" s="651" t="s">
        <v>5767</v>
      </c>
      <c r="I30" s="675" t="s">
        <v>5799</v>
      </c>
      <c r="J30" s="675" t="s">
        <v>954</v>
      </c>
      <c r="K30" s="662" t="s">
        <v>5800</v>
      </c>
      <c r="L30" s="662" t="s">
        <v>5370</v>
      </c>
      <c r="M30" s="662" t="s">
        <v>5801</v>
      </c>
      <c r="P30" s="662"/>
      <c r="Q30" s="662"/>
      <c r="R30" s="662"/>
      <c r="S30" s="662"/>
      <c r="T30" s="662"/>
      <c r="U30" s="662"/>
      <c r="V30" s="662"/>
      <c r="W30" s="662"/>
      <c r="X30" s="662"/>
      <c r="Y30" s="662"/>
      <c r="Z30" s="662"/>
    </row>
    <row r="31" spans="1:26">
      <c r="A31" s="662" t="s">
        <v>224</v>
      </c>
      <c r="B31" s="662" t="s">
        <v>5371</v>
      </c>
      <c r="C31" s="662" t="s">
        <v>255</v>
      </c>
      <c r="D31" s="662" t="s">
        <v>243</v>
      </c>
      <c r="E31" s="662">
        <v>21</v>
      </c>
      <c r="F31" s="325" t="s">
        <v>5766</v>
      </c>
      <c r="G31" s="662"/>
      <c r="H31" s="650" t="s">
        <v>5767</v>
      </c>
      <c r="I31" s="662" t="s">
        <v>3648</v>
      </c>
      <c r="J31" s="662"/>
      <c r="K31" s="662"/>
      <c r="L31" s="662" t="s">
        <v>5372</v>
      </c>
      <c r="M31" s="662"/>
      <c r="P31" s="662"/>
      <c r="Q31" s="662"/>
      <c r="R31" s="662"/>
      <c r="S31" s="662"/>
      <c r="T31" s="662"/>
      <c r="U31" s="662"/>
      <c r="V31" s="662"/>
      <c r="W31" s="662"/>
      <c r="X31" s="662"/>
      <c r="Y31" s="662"/>
      <c r="Z31" s="662"/>
    </row>
    <row r="32" spans="1:26">
      <c r="A32" s="662" t="s">
        <v>59</v>
      </c>
      <c r="B32" s="662" t="s">
        <v>5373</v>
      </c>
      <c r="C32" s="662" t="s">
        <v>247</v>
      </c>
      <c r="D32" s="662" t="s">
        <v>243</v>
      </c>
      <c r="E32" s="662">
        <v>31</v>
      </c>
      <c r="F32" s="325" t="s">
        <v>5766</v>
      </c>
      <c r="G32" s="662" t="s">
        <v>682</v>
      </c>
      <c r="H32" s="651" t="s">
        <v>5767</v>
      </c>
      <c r="I32" s="675" t="s">
        <v>5802</v>
      </c>
      <c r="J32" s="675" t="s">
        <v>954</v>
      </c>
      <c r="K32" s="662" t="s">
        <v>5803</v>
      </c>
      <c r="L32" s="662" t="s">
        <v>5374</v>
      </c>
      <c r="M32" s="662" t="s">
        <v>5804</v>
      </c>
      <c r="P32" s="662"/>
      <c r="Q32" s="662"/>
      <c r="R32" s="662"/>
      <c r="S32" s="662"/>
      <c r="T32" s="662"/>
      <c r="U32" s="662"/>
      <c r="V32" s="662"/>
      <c r="W32" s="662"/>
      <c r="X32" s="662"/>
      <c r="Y32" s="662"/>
      <c r="Z32" s="662"/>
    </row>
    <row r="33" spans="1:26">
      <c r="A33" s="662" t="s">
        <v>59</v>
      </c>
      <c r="B33" s="662" t="s">
        <v>5375</v>
      </c>
      <c r="C33" s="662" t="s">
        <v>5765</v>
      </c>
      <c r="D33" s="662" t="s">
        <v>243</v>
      </c>
      <c r="E33" s="662">
        <v>28</v>
      </c>
      <c r="F33" s="325" t="s">
        <v>5766</v>
      </c>
      <c r="G33" s="662"/>
      <c r="H33" s="650" t="s">
        <v>5767</v>
      </c>
      <c r="I33" s="662" t="s">
        <v>3648</v>
      </c>
      <c r="J33" s="662"/>
      <c r="K33" s="662"/>
      <c r="L33" s="662" t="s">
        <v>5376</v>
      </c>
      <c r="M33" s="662"/>
      <c r="P33" s="662"/>
      <c r="Q33" s="662"/>
      <c r="R33" s="662"/>
      <c r="S33" s="662"/>
      <c r="T33" s="662"/>
      <c r="U33" s="662"/>
      <c r="V33" s="662"/>
      <c r="W33" s="662"/>
      <c r="X33" s="662"/>
      <c r="Y33" s="662"/>
      <c r="Z33" s="662"/>
    </row>
    <row r="34" spans="1:26">
      <c r="A34" s="662" t="s">
        <v>59</v>
      </c>
      <c r="B34" s="662" t="s">
        <v>5377</v>
      </c>
      <c r="C34" s="662" t="s">
        <v>5765</v>
      </c>
      <c r="D34" s="662" t="s">
        <v>243</v>
      </c>
      <c r="E34" s="662">
        <v>30</v>
      </c>
      <c r="F34" s="325" t="s">
        <v>5766</v>
      </c>
      <c r="G34" s="662"/>
      <c r="H34" s="650" t="s">
        <v>5767</v>
      </c>
      <c r="I34" s="662" t="s">
        <v>3648</v>
      </c>
      <c r="J34" s="662"/>
      <c r="K34" s="662"/>
      <c r="L34" s="662" t="s">
        <v>5378</v>
      </c>
      <c r="M34" s="662"/>
      <c r="P34" s="662"/>
      <c r="Q34" s="662"/>
      <c r="R34" s="662"/>
      <c r="S34" s="662"/>
      <c r="T34" s="662"/>
      <c r="U34" s="662"/>
      <c r="V34" s="662"/>
      <c r="W34" s="662"/>
      <c r="X34" s="662"/>
      <c r="Y34" s="662"/>
      <c r="Z34" s="662"/>
    </row>
    <row r="35" spans="1:26">
      <c r="A35" s="662" t="s">
        <v>59</v>
      </c>
      <c r="B35" s="662" t="s">
        <v>5379</v>
      </c>
      <c r="C35" s="662" t="s">
        <v>5765</v>
      </c>
      <c r="D35" s="662" t="s">
        <v>243</v>
      </c>
      <c r="E35" s="662">
        <v>29</v>
      </c>
      <c r="F35" s="325" t="s">
        <v>5766</v>
      </c>
      <c r="G35" s="662"/>
      <c r="H35" s="650" t="s">
        <v>5767</v>
      </c>
      <c r="I35" s="662" t="s">
        <v>3648</v>
      </c>
      <c r="J35" s="662"/>
      <c r="K35" s="662"/>
      <c r="L35" s="662" t="s">
        <v>5380</v>
      </c>
      <c r="M35" s="662"/>
      <c r="P35" s="662"/>
      <c r="Q35" s="662"/>
      <c r="R35" s="662"/>
      <c r="S35" s="662"/>
      <c r="T35" s="662"/>
      <c r="U35" s="662"/>
      <c r="V35" s="662"/>
      <c r="W35" s="662"/>
      <c r="X35" s="662"/>
      <c r="Y35" s="662"/>
      <c r="Z35" s="662"/>
    </row>
    <row r="36" spans="1:26">
      <c r="A36" s="662" t="s">
        <v>55</v>
      </c>
      <c r="B36" s="325" t="s">
        <v>5805</v>
      </c>
      <c r="C36" s="662" t="s">
        <v>5765</v>
      </c>
      <c r="D36" s="662" t="s">
        <v>243</v>
      </c>
      <c r="E36" s="662">
        <v>37</v>
      </c>
      <c r="F36" s="325" t="s">
        <v>5766</v>
      </c>
      <c r="G36" s="662"/>
      <c r="H36" s="650" t="s">
        <v>5767</v>
      </c>
      <c r="I36" s="662" t="s">
        <v>3648</v>
      </c>
      <c r="J36" s="662"/>
      <c r="K36" s="662"/>
      <c r="L36" s="662" t="s">
        <v>5806</v>
      </c>
      <c r="M36" s="662"/>
      <c r="P36" s="662"/>
      <c r="Q36" s="662"/>
      <c r="R36" s="662"/>
      <c r="S36" s="662"/>
      <c r="T36" s="662"/>
      <c r="U36" s="662"/>
      <c r="V36" s="662"/>
      <c r="W36" s="662"/>
      <c r="X36" s="662"/>
      <c r="Y36" s="662"/>
      <c r="Z36" s="662"/>
    </row>
    <row r="37" spans="1:26">
      <c r="A37" s="662" t="s">
        <v>55</v>
      </c>
      <c r="B37" s="662" t="s">
        <v>5807</v>
      </c>
      <c r="C37" s="662" t="s">
        <v>1853</v>
      </c>
      <c r="D37" s="662" t="s">
        <v>243</v>
      </c>
      <c r="E37" s="662">
        <v>53</v>
      </c>
      <c r="F37" s="662" t="s">
        <v>5766</v>
      </c>
      <c r="G37" s="662"/>
      <c r="H37" s="650" t="s">
        <v>5767</v>
      </c>
      <c r="I37" s="662" t="s">
        <v>3648</v>
      </c>
      <c r="J37" s="662"/>
      <c r="K37" s="662"/>
      <c r="L37" s="662"/>
      <c r="M37" s="662"/>
      <c r="P37" s="662"/>
      <c r="Q37" s="662"/>
      <c r="R37" s="662"/>
      <c r="S37" s="662"/>
      <c r="T37" s="662"/>
      <c r="U37" s="662"/>
      <c r="V37" s="662"/>
      <c r="W37" s="662"/>
      <c r="X37" s="662"/>
      <c r="Y37" s="662"/>
      <c r="Z37" s="662"/>
    </row>
    <row r="38" spans="1:26">
      <c r="A38" s="662" t="s">
        <v>55</v>
      </c>
      <c r="B38" s="662" t="s">
        <v>5808</v>
      </c>
      <c r="C38" s="662" t="s">
        <v>247</v>
      </c>
      <c r="D38" s="662" t="s">
        <v>243</v>
      </c>
      <c r="E38" s="662">
        <v>54</v>
      </c>
      <c r="F38" s="662" t="s">
        <v>5766</v>
      </c>
      <c r="G38" s="662"/>
      <c r="H38" s="650" t="s">
        <v>5767</v>
      </c>
      <c r="I38" s="662" t="s">
        <v>3648</v>
      </c>
      <c r="J38" s="662"/>
      <c r="K38" s="662"/>
      <c r="L38" s="662"/>
      <c r="M38" s="662"/>
      <c r="P38" s="662"/>
      <c r="Q38" s="662"/>
      <c r="R38" s="662"/>
      <c r="S38" s="662"/>
      <c r="T38" s="662"/>
      <c r="U38" s="662"/>
      <c r="V38" s="662"/>
      <c r="W38" s="662"/>
      <c r="X38" s="662"/>
      <c r="Y38" s="662"/>
      <c r="Z38" s="662"/>
    </row>
    <row r="39" spans="1:26" ht="25">
      <c r="A39" s="662" t="s">
        <v>59</v>
      </c>
      <c r="B39" s="662" t="s">
        <v>1878</v>
      </c>
      <c r="C39" s="662" t="s">
        <v>1853</v>
      </c>
      <c r="D39" s="662" t="s">
        <v>243</v>
      </c>
      <c r="E39" s="662">
        <v>35</v>
      </c>
      <c r="F39" s="325" t="s">
        <v>5766</v>
      </c>
      <c r="G39" s="662"/>
      <c r="H39" s="650" t="s">
        <v>5767</v>
      </c>
      <c r="I39" s="662" t="s">
        <v>3648</v>
      </c>
      <c r="J39" s="662"/>
      <c r="K39" s="662"/>
      <c r="L39" s="662" t="s">
        <v>5381</v>
      </c>
      <c r="M39" s="662"/>
      <c r="P39" s="662"/>
      <c r="Q39" s="662"/>
      <c r="R39" s="662"/>
      <c r="S39" s="662"/>
      <c r="T39" s="662"/>
      <c r="U39" s="662"/>
      <c r="V39" s="662"/>
      <c r="W39" s="662"/>
      <c r="X39" s="662"/>
      <c r="Y39" s="662"/>
      <c r="Z39" s="662"/>
    </row>
    <row r="40" spans="1:26">
      <c r="A40" s="662" t="s">
        <v>55</v>
      </c>
      <c r="B40" s="662" t="s">
        <v>2352</v>
      </c>
      <c r="C40" s="662" t="s">
        <v>1853</v>
      </c>
      <c r="D40" s="662" t="s">
        <v>243</v>
      </c>
      <c r="E40" s="662">
        <v>41</v>
      </c>
      <c r="F40" s="662" t="s">
        <v>5766</v>
      </c>
      <c r="G40" s="662"/>
      <c r="H40" s="650" t="s">
        <v>5767</v>
      </c>
      <c r="I40" s="662" t="s">
        <v>3648</v>
      </c>
      <c r="J40" s="662"/>
      <c r="K40" s="662"/>
      <c r="L40" s="662"/>
      <c r="M40" s="662"/>
      <c r="P40" s="662"/>
      <c r="Q40" s="662"/>
      <c r="R40" s="662"/>
      <c r="S40" s="662"/>
      <c r="T40" s="662"/>
      <c r="U40" s="662"/>
      <c r="V40" s="662"/>
      <c r="W40" s="662"/>
      <c r="X40" s="662"/>
      <c r="Y40" s="662"/>
      <c r="Z40" s="662"/>
    </row>
    <row r="41" spans="1:26" ht="37.5">
      <c r="A41" s="662" t="s">
        <v>55</v>
      </c>
      <c r="B41" s="662" t="s">
        <v>5382</v>
      </c>
      <c r="C41" s="662" t="s">
        <v>247</v>
      </c>
      <c r="D41" s="662" t="s">
        <v>243</v>
      </c>
      <c r="E41" s="662">
        <v>22</v>
      </c>
      <c r="F41" s="325" t="s">
        <v>5766</v>
      </c>
      <c r="G41" s="662"/>
      <c r="H41" s="650" t="s">
        <v>5767</v>
      </c>
      <c r="I41" s="662" t="s">
        <v>3648</v>
      </c>
      <c r="J41" s="662"/>
      <c r="K41" s="662"/>
      <c r="L41" s="662" t="s">
        <v>5383</v>
      </c>
      <c r="M41" s="662"/>
      <c r="P41" s="662"/>
      <c r="Q41" s="662"/>
      <c r="R41" s="662"/>
      <c r="S41" s="662"/>
      <c r="T41" s="662"/>
      <c r="U41" s="662"/>
      <c r="V41" s="662"/>
      <c r="W41" s="662"/>
      <c r="X41" s="662"/>
      <c r="Y41" s="662"/>
      <c r="Z41" s="662"/>
    </row>
    <row r="42" spans="1:26" ht="37.5">
      <c r="A42" s="662" t="s">
        <v>55</v>
      </c>
      <c r="B42" s="662" t="s">
        <v>5384</v>
      </c>
      <c r="C42" s="662" t="s">
        <v>5809</v>
      </c>
      <c r="D42" s="662" t="s">
        <v>243</v>
      </c>
      <c r="E42" s="662">
        <v>23</v>
      </c>
      <c r="F42" s="325" t="s">
        <v>5766</v>
      </c>
      <c r="G42" s="662"/>
      <c r="H42" s="650" t="s">
        <v>5767</v>
      </c>
      <c r="I42" s="662" t="s">
        <v>3648</v>
      </c>
      <c r="J42" s="662"/>
      <c r="K42" s="662"/>
      <c r="L42" s="662" t="s">
        <v>5386</v>
      </c>
      <c r="M42" s="662"/>
      <c r="P42" s="662"/>
      <c r="Q42" s="662"/>
      <c r="R42" s="662"/>
      <c r="S42" s="662"/>
      <c r="T42" s="662"/>
      <c r="U42" s="662"/>
      <c r="V42" s="662"/>
      <c r="W42" s="662"/>
      <c r="X42" s="662"/>
      <c r="Y42" s="662"/>
      <c r="Z42" s="662"/>
    </row>
    <row r="43" spans="1:26" ht="50">
      <c r="A43" s="635" t="s">
        <v>5810</v>
      </c>
      <c r="B43" s="635" t="s">
        <v>1290</v>
      </c>
      <c r="C43" s="662" t="s">
        <v>432</v>
      </c>
      <c r="D43" s="662" t="s">
        <v>243</v>
      </c>
      <c r="E43" s="662"/>
      <c r="F43" s="662"/>
      <c r="G43" s="662" t="s">
        <v>682</v>
      </c>
      <c r="H43" s="651" t="s">
        <v>5767</v>
      </c>
      <c r="I43" s="675" t="s">
        <v>1290</v>
      </c>
      <c r="J43" s="675" t="s">
        <v>5811</v>
      </c>
      <c r="K43" s="662" t="s">
        <v>5812</v>
      </c>
      <c r="L43" s="635" t="s">
        <v>5671</v>
      </c>
      <c r="M43" s="662" t="s">
        <v>5813</v>
      </c>
      <c r="P43" s="662"/>
      <c r="Q43" s="662"/>
      <c r="R43" s="662"/>
      <c r="S43" s="662"/>
      <c r="T43" s="662"/>
      <c r="U43" s="662"/>
      <c r="V43" s="662"/>
      <c r="W43" s="662"/>
      <c r="X43" s="662"/>
      <c r="Y43" s="662"/>
      <c r="Z43" s="662"/>
    </row>
    <row r="44" spans="1:26" ht="37.5">
      <c r="A44" s="662" t="s">
        <v>59</v>
      </c>
      <c r="B44" s="662" t="s">
        <v>4663</v>
      </c>
      <c r="C44" s="662" t="s">
        <v>5115</v>
      </c>
      <c r="D44" s="662" t="s">
        <v>243</v>
      </c>
      <c r="E44" s="662">
        <v>34</v>
      </c>
      <c r="F44" s="325" t="s">
        <v>5766</v>
      </c>
      <c r="G44" s="662" t="s">
        <v>682</v>
      </c>
      <c r="H44" s="651" t="s">
        <v>5767</v>
      </c>
      <c r="I44" s="675" t="s">
        <v>4663</v>
      </c>
      <c r="J44" s="675" t="s">
        <v>954</v>
      </c>
      <c r="K44" s="662" t="s">
        <v>5814</v>
      </c>
      <c r="L44" s="662" t="s">
        <v>5387</v>
      </c>
      <c r="M44" s="662" t="s">
        <v>5815</v>
      </c>
      <c r="P44" s="662"/>
      <c r="Q44" s="662"/>
      <c r="R44" s="662"/>
      <c r="S44" s="662"/>
      <c r="T44" s="662"/>
      <c r="U44" s="662"/>
      <c r="V44" s="662"/>
      <c r="W44" s="662"/>
      <c r="X44" s="662"/>
      <c r="Y44" s="662"/>
      <c r="Z44" s="662"/>
    </row>
    <row r="45" spans="1:26" ht="25">
      <c r="A45" s="662" t="s">
        <v>63</v>
      </c>
      <c r="B45" s="662" t="s">
        <v>123</v>
      </c>
      <c r="C45" s="662" t="s">
        <v>1853</v>
      </c>
      <c r="D45" s="662" t="s">
        <v>243</v>
      </c>
      <c r="E45" s="662">
        <v>19</v>
      </c>
      <c r="F45" s="325" t="s">
        <v>5766</v>
      </c>
      <c r="G45" s="662" t="s">
        <v>682</v>
      </c>
      <c r="H45" s="651" t="s">
        <v>5767</v>
      </c>
      <c r="I45" s="675" t="s">
        <v>954</v>
      </c>
      <c r="J45" s="675" t="s">
        <v>5816</v>
      </c>
      <c r="K45" s="662" t="s">
        <v>5817</v>
      </c>
      <c r="L45" s="662" t="s">
        <v>1190</v>
      </c>
      <c r="M45" s="662"/>
      <c r="P45" s="662"/>
      <c r="Q45" s="662"/>
      <c r="R45" s="662"/>
      <c r="S45" s="662"/>
      <c r="T45" s="662"/>
      <c r="U45" s="662"/>
      <c r="V45" s="662"/>
      <c r="W45" s="662"/>
      <c r="X45" s="662"/>
      <c r="Y45" s="662"/>
      <c r="Z45" s="662"/>
    </row>
    <row r="46" spans="1:26">
      <c r="A46" s="662" t="s">
        <v>55</v>
      </c>
      <c r="B46" s="662" t="s">
        <v>5818</v>
      </c>
      <c r="C46" s="662" t="s">
        <v>1853</v>
      </c>
      <c r="D46" s="662" t="s">
        <v>243</v>
      </c>
      <c r="E46" s="662">
        <v>52</v>
      </c>
      <c r="F46" s="662" t="s">
        <v>5766</v>
      </c>
      <c r="G46" s="662"/>
      <c r="H46" s="650" t="s">
        <v>5767</v>
      </c>
      <c r="I46" s="662" t="s">
        <v>3648</v>
      </c>
      <c r="J46" s="662"/>
      <c r="K46" s="662"/>
      <c r="L46" s="662"/>
      <c r="M46" s="662"/>
      <c r="P46" s="662"/>
      <c r="Q46" s="662"/>
      <c r="R46" s="662"/>
      <c r="S46" s="662"/>
      <c r="T46" s="662"/>
      <c r="U46" s="662"/>
      <c r="V46" s="662"/>
      <c r="W46" s="662"/>
      <c r="X46" s="662"/>
      <c r="Y46" s="662"/>
      <c r="Z46" s="662"/>
    </row>
    <row r="47" spans="1:26">
      <c r="A47" s="662" t="s">
        <v>55</v>
      </c>
      <c r="B47" s="662" t="s">
        <v>5819</v>
      </c>
      <c r="C47" s="662" t="s">
        <v>249</v>
      </c>
      <c r="D47" s="662" t="s">
        <v>243</v>
      </c>
      <c r="E47" s="662">
        <v>47</v>
      </c>
      <c r="F47" s="662" t="s">
        <v>5766</v>
      </c>
      <c r="G47" s="662"/>
      <c r="H47" s="650" t="s">
        <v>5767</v>
      </c>
      <c r="I47" s="662" t="s">
        <v>3648</v>
      </c>
      <c r="J47" s="662"/>
      <c r="K47" s="662"/>
      <c r="L47" s="662"/>
      <c r="M47" s="662"/>
      <c r="P47" s="662"/>
      <c r="Q47" s="662"/>
      <c r="R47" s="662"/>
      <c r="S47" s="662"/>
      <c r="T47" s="662"/>
      <c r="U47" s="662"/>
      <c r="V47" s="662"/>
      <c r="W47" s="662"/>
      <c r="X47" s="662"/>
      <c r="Y47" s="662"/>
      <c r="Z47" s="662"/>
    </row>
    <row r="48" spans="1:26">
      <c r="A48" s="662" t="s">
        <v>55</v>
      </c>
      <c r="B48" s="662" t="s">
        <v>5820</v>
      </c>
      <c r="C48" s="662" t="s">
        <v>5765</v>
      </c>
      <c r="D48" s="662" t="s">
        <v>243</v>
      </c>
      <c r="E48" s="662">
        <v>45</v>
      </c>
      <c r="F48" s="662" t="s">
        <v>5766</v>
      </c>
      <c r="G48" s="662"/>
      <c r="H48" s="650" t="s">
        <v>5767</v>
      </c>
      <c r="I48" s="662" t="s">
        <v>3648</v>
      </c>
      <c r="J48" s="662"/>
      <c r="K48" s="662"/>
      <c r="L48" s="662"/>
      <c r="M48" s="662"/>
      <c r="P48" s="662"/>
      <c r="Q48" s="662"/>
      <c r="R48" s="662"/>
      <c r="S48" s="662"/>
      <c r="T48" s="662"/>
      <c r="U48" s="662"/>
      <c r="V48" s="662"/>
      <c r="W48" s="662"/>
      <c r="X48" s="662"/>
      <c r="Y48" s="662"/>
      <c r="Z48" s="662"/>
    </row>
    <row r="49" spans="1:26">
      <c r="A49" s="662" t="s">
        <v>55</v>
      </c>
      <c r="B49" s="662" t="s">
        <v>5821</v>
      </c>
      <c r="C49" s="662" t="s">
        <v>432</v>
      </c>
      <c r="D49" s="662" t="s">
        <v>243</v>
      </c>
      <c r="E49" s="662">
        <v>48</v>
      </c>
      <c r="F49" s="662" t="s">
        <v>5766</v>
      </c>
      <c r="G49" s="662"/>
      <c r="H49" s="650" t="s">
        <v>5767</v>
      </c>
      <c r="I49" s="662" t="s">
        <v>3648</v>
      </c>
      <c r="J49" s="662"/>
      <c r="K49" s="662"/>
      <c r="L49" s="662"/>
      <c r="M49" s="662"/>
      <c r="P49" s="662"/>
      <c r="Q49" s="662"/>
      <c r="R49" s="662"/>
      <c r="S49" s="662"/>
      <c r="T49" s="662"/>
      <c r="U49" s="662"/>
      <c r="V49" s="662"/>
      <c r="W49" s="662"/>
      <c r="X49" s="662"/>
      <c r="Y49" s="662"/>
      <c r="Z49" s="662"/>
    </row>
    <row r="50" spans="1:26" ht="16">
      <c r="A50" s="624"/>
      <c r="B50" s="624"/>
      <c r="C50" s="631"/>
      <c r="D50" s="631"/>
      <c r="E50" s="631"/>
      <c r="F50" s="631"/>
      <c r="G50" s="631"/>
      <c r="H50" s="650" t="s">
        <v>5767</v>
      </c>
      <c r="I50" s="631"/>
      <c r="J50" s="631"/>
      <c r="K50" s="631"/>
      <c r="L50" s="631"/>
      <c r="M50" s="631"/>
      <c r="P50" s="631"/>
      <c r="Q50" s="631"/>
      <c r="R50" s="631"/>
      <c r="S50" s="631"/>
      <c r="T50" s="631"/>
      <c r="U50" s="631"/>
      <c r="V50" s="631"/>
      <c r="W50" s="631"/>
      <c r="X50" s="631"/>
      <c r="Y50" s="631"/>
      <c r="Z50" s="631"/>
    </row>
    <row r="51" spans="1:26" ht="39" customHeight="1">
      <c r="A51" s="624"/>
      <c r="B51" s="624"/>
      <c r="C51" s="634" t="s">
        <v>5822</v>
      </c>
      <c r="D51" s="631"/>
      <c r="E51" s="631"/>
      <c r="F51" s="631"/>
      <c r="G51" s="631"/>
      <c r="H51" s="652"/>
      <c r="I51" s="631"/>
      <c r="J51" s="631"/>
      <c r="K51" s="631"/>
      <c r="L51" s="631"/>
      <c r="M51" s="631"/>
      <c r="P51" s="631"/>
      <c r="Q51" s="631"/>
      <c r="R51" s="631"/>
      <c r="S51" s="631"/>
      <c r="T51" s="631"/>
      <c r="U51" s="631"/>
      <c r="V51" s="631"/>
      <c r="W51" s="631"/>
      <c r="X51" s="631"/>
      <c r="Y51" s="631"/>
      <c r="Z51" s="631"/>
    </row>
    <row r="52" spans="1:26" ht="36">
      <c r="A52" s="624"/>
      <c r="B52" s="624"/>
      <c r="C52" s="634" t="s">
        <v>5823</v>
      </c>
      <c r="D52" s="631"/>
      <c r="E52" s="631"/>
      <c r="F52" s="631"/>
      <c r="G52" s="631"/>
      <c r="H52" s="652"/>
      <c r="I52" s="631"/>
      <c r="J52" s="631"/>
      <c r="K52" s="631"/>
      <c r="L52" s="631"/>
      <c r="M52" s="631"/>
      <c r="P52" s="631"/>
      <c r="Q52" s="631"/>
      <c r="R52" s="631"/>
      <c r="S52" s="631"/>
      <c r="T52" s="631"/>
      <c r="U52" s="631"/>
      <c r="V52" s="631"/>
      <c r="W52" s="631"/>
      <c r="X52" s="631"/>
      <c r="Y52" s="631"/>
      <c r="Z52" s="631"/>
    </row>
    <row r="53" spans="1:26" ht="16">
      <c r="A53" s="624"/>
      <c r="B53" s="624"/>
      <c r="C53" s="631"/>
      <c r="D53" s="631"/>
      <c r="E53" s="631"/>
      <c r="F53" s="631"/>
      <c r="G53" s="631"/>
      <c r="H53" s="652"/>
      <c r="I53" s="631"/>
      <c r="J53" s="631"/>
      <c r="K53" s="631"/>
      <c r="L53" s="631"/>
      <c r="M53" s="631"/>
      <c r="P53" s="631"/>
      <c r="Q53" s="631"/>
      <c r="R53" s="631"/>
      <c r="S53" s="631"/>
      <c r="T53" s="631"/>
      <c r="U53" s="631"/>
      <c r="V53" s="631"/>
      <c r="W53" s="631"/>
      <c r="X53" s="631"/>
      <c r="Y53" s="631"/>
      <c r="Z53" s="631"/>
    </row>
    <row r="54" spans="1:26" ht="16">
      <c r="A54" s="624"/>
      <c r="B54" s="624"/>
      <c r="C54" s="631"/>
      <c r="D54" s="631"/>
      <c r="E54" s="631"/>
      <c r="F54" s="631"/>
      <c r="G54" s="631"/>
      <c r="H54" s="652"/>
      <c r="I54" s="631"/>
      <c r="J54" s="631"/>
      <c r="K54" s="631"/>
      <c r="L54" s="631"/>
      <c r="M54" s="631"/>
      <c r="P54" s="631"/>
      <c r="Q54" s="631"/>
      <c r="R54" s="631"/>
      <c r="S54" s="631"/>
      <c r="T54" s="631"/>
      <c r="U54" s="631"/>
      <c r="V54" s="631"/>
      <c r="W54" s="631"/>
      <c r="X54" s="631"/>
      <c r="Y54" s="631"/>
      <c r="Z54" s="631"/>
    </row>
    <row r="55" spans="1:26" ht="16">
      <c r="A55" s="624"/>
      <c r="B55" s="624"/>
      <c r="C55" s="631"/>
      <c r="D55" s="631"/>
      <c r="E55" s="631"/>
      <c r="F55" s="631"/>
      <c r="G55" s="631"/>
      <c r="H55" s="652"/>
      <c r="I55" s="631"/>
      <c r="J55" s="631"/>
      <c r="K55" s="631"/>
      <c r="L55" s="631"/>
      <c r="M55" s="631"/>
      <c r="P55" s="631"/>
      <c r="Q55" s="631"/>
      <c r="R55" s="631"/>
      <c r="S55" s="631"/>
      <c r="T55" s="631"/>
      <c r="U55" s="631"/>
      <c r="V55" s="631"/>
      <c r="W55" s="631"/>
      <c r="X55" s="631"/>
      <c r="Y55" s="631"/>
      <c r="Z55" s="631"/>
    </row>
    <row r="56" spans="1:26" ht="16">
      <c r="A56" s="624"/>
      <c r="B56" s="624"/>
      <c r="C56" s="631"/>
      <c r="D56" s="631"/>
      <c r="E56" s="631"/>
      <c r="F56" s="631"/>
      <c r="G56" s="631"/>
      <c r="H56" s="652"/>
      <c r="I56" s="631"/>
      <c r="J56" s="631"/>
      <c r="K56" s="631"/>
      <c r="L56" s="631"/>
      <c r="M56" s="631"/>
      <c r="N56" s="631"/>
      <c r="O56" s="631"/>
      <c r="P56" s="631"/>
      <c r="Q56" s="631"/>
      <c r="R56" s="631"/>
      <c r="S56" s="631"/>
      <c r="T56" s="631"/>
      <c r="U56" s="631"/>
      <c r="V56" s="631"/>
      <c r="W56" s="631"/>
      <c r="X56" s="631"/>
      <c r="Y56" s="631"/>
      <c r="Z56" s="631"/>
    </row>
    <row r="57" spans="1:26" ht="16">
      <c r="A57" s="624"/>
      <c r="B57" s="624"/>
      <c r="C57" s="631"/>
      <c r="D57" s="631"/>
      <c r="E57" s="631"/>
      <c r="F57" s="631"/>
      <c r="G57" s="631"/>
      <c r="H57" s="652"/>
      <c r="I57" s="631"/>
      <c r="J57" s="631"/>
      <c r="K57" s="631"/>
      <c r="L57" s="631"/>
      <c r="M57" s="631"/>
      <c r="N57" s="631"/>
      <c r="O57" s="631"/>
      <c r="P57" s="631"/>
      <c r="Q57" s="631"/>
      <c r="R57" s="631"/>
      <c r="S57" s="631"/>
      <c r="T57" s="631"/>
      <c r="U57" s="631"/>
      <c r="V57" s="631"/>
      <c r="W57" s="631"/>
      <c r="X57" s="631"/>
      <c r="Y57" s="631"/>
      <c r="Z57" s="631"/>
    </row>
    <row r="58" spans="1:26" ht="16">
      <c r="A58" s="624"/>
      <c r="B58" s="624"/>
      <c r="C58" s="631"/>
      <c r="D58" s="631"/>
      <c r="E58" s="631"/>
      <c r="F58" s="631"/>
      <c r="G58" s="631"/>
      <c r="H58" s="652"/>
      <c r="I58" s="631"/>
      <c r="J58" s="631"/>
      <c r="K58" s="631"/>
      <c r="L58" s="631"/>
      <c r="M58" s="631"/>
      <c r="N58" s="631"/>
      <c r="O58" s="631"/>
      <c r="P58" s="631"/>
      <c r="Q58" s="631"/>
      <c r="R58" s="631"/>
      <c r="S58" s="631"/>
      <c r="T58" s="631"/>
      <c r="U58" s="631"/>
      <c r="V58" s="631"/>
      <c r="W58" s="631"/>
      <c r="X58" s="631"/>
      <c r="Y58" s="631"/>
      <c r="Z58" s="631"/>
    </row>
    <row r="59" spans="1:26" ht="16">
      <c r="A59" s="624"/>
      <c r="B59" s="624"/>
      <c r="C59" s="631"/>
      <c r="D59" s="631"/>
      <c r="E59" s="631"/>
      <c r="F59" s="631"/>
      <c r="G59" s="631"/>
      <c r="H59" s="652"/>
      <c r="I59" s="631"/>
      <c r="J59" s="631"/>
      <c r="K59" s="631"/>
      <c r="L59" s="631"/>
      <c r="M59" s="631"/>
      <c r="N59" s="631"/>
      <c r="O59" s="631"/>
      <c r="P59" s="631"/>
      <c r="Q59" s="631"/>
      <c r="R59" s="631"/>
      <c r="S59" s="631"/>
      <c r="T59" s="631"/>
      <c r="U59" s="631"/>
      <c r="V59" s="631"/>
      <c r="W59" s="631"/>
      <c r="X59" s="631"/>
      <c r="Y59" s="631"/>
      <c r="Z59" s="631"/>
    </row>
    <row r="60" spans="1:26" ht="16">
      <c r="A60" s="624"/>
      <c r="B60" s="624"/>
      <c r="C60" s="631"/>
      <c r="D60" s="631"/>
      <c r="E60" s="631"/>
      <c r="F60" s="631"/>
      <c r="G60" s="631"/>
      <c r="H60" s="652"/>
      <c r="I60" s="631"/>
      <c r="J60" s="631"/>
      <c r="K60" s="631"/>
      <c r="L60" s="631"/>
      <c r="M60" s="631"/>
      <c r="N60" s="631"/>
      <c r="O60" s="631"/>
      <c r="P60" s="631"/>
      <c r="Q60" s="631"/>
      <c r="R60" s="631"/>
      <c r="S60" s="631"/>
      <c r="T60" s="631"/>
      <c r="U60" s="631"/>
      <c r="V60" s="631"/>
      <c r="W60" s="631"/>
      <c r="X60" s="631"/>
      <c r="Y60" s="631"/>
      <c r="Z60" s="631"/>
    </row>
    <row r="61" spans="1:26" ht="16">
      <c r="A61" s="624"/>
      <c r="B61" s="624"/>
      <c r="C61" s="631"/>
      <c r="D61" s="631"/>
      <c r="E61" s="631"/>
      <c r="F61" s="631"/>
      <c r="G61" s="631"/>
      <c r="H61" s="652"/>
      <c r="I61" s="631"/>
      <c r="J61" s="631"/>
      <c r="K61" s="631"/>
      <c r="L61" s="631"/>
      <c r="M61" s="631"/>
      <c r="N61" s="631"/>
      <c r="O61" s="631"/>
      <c r="P61" s="631"/>
      <c r="Q61" s="631"/>
      <c r="R61" s="631"/>
      <c r="S61" s="631"/>
      <c r="T61" s="631"/>
      <c r="U61" s="631"/>
      <c r="V61" s="631"/>
      <c r="W61" s="631"/>
      <c r="X61" s="631"/>
      <c r="Y61" s="631"/>
      <c r="Z61" s="631"/>
    </row>
    <row r="62" spans="1:26" ht="16">
      <c r="A62" s="624"/>
      <c r="B62" s="624"/>
      <c r="C62" s="631"/>
      <c r="D62" s="631"/>
      <c r="E62" s="631"/>
      <c r="F62" s="631"/>
      <c r="G62" s="631"/>
      <c r="H62" s="652"/>
      <c r="I62" s="631"/>
      <c r="J62" s="631"/>
      <c r="K62" s="631"/>
      <c r="L62" s="631"/>
      <c r="M62" s="631"/>
      <c r="N62" s="631"/>
      <c r="O62" s="631"/>
      <c r="P62" s="631"/>
      <c r="Q62" s="631"/>
      <c r="R62" s="631"/>
      <c r="S62" s="631"/>
      <c r="T62" s="631"/>
      <c r="U62" s="631"/>
      <c r="V62" s="631"/>
      <c r="W62" s="631"/>
      <c r="X62" s="631"/>
      <c r="Y62" s="631"/>
      <c r="Z62" s="631"/>
    </row>
    <row r="63" spans="1:26" ht="16">
      <c r="A63" s="624"/>
      <c r="B63" s="624"/>
      <c r="C63" s="631"/>
      <c r="D63" s="631"/>
      <c r="E63" s="631"/>
      <c r="F63" s="631"/>
      <c r="G63" s="631"/>
      <c r="H63" s="652"/>
      <c r="I63" s="631"/>
      <c r="J63" s="631"/>
      <c r="K63" s="631"/>
      <c r="L63" s="631"/>
      <c r="M63" s="631"/>
      <c r="N63" s="631"/>
      <c r="O63" s="631"/>
      <c r="P63" s="631"/>
      <c r="Q63" s="631"/>
      <c r="R63" s="631"/>
      <c r="S63" s="631"/>
      <c r="T63" s="631"/>
      <c r="U63" s="631"/>
      <c r="V63" s="631"/>
      <c r="W63" s="631"/>
      <c r="X63" s="631"/>
      <c r="Y63" s="631"/>
      <c r="Z63" s="631"/>
    </row>
    <row r="64" spans="1:26" ht="16">
      <c r="A64" s="624"/>
      <c r="B64" s="624"/>
      <c r="C64" s="631"/>
      <c r="D64" s="631"/>
      <c r="E64" s="631"/>
      <c r="F64" s="631"/>
      <c r="G64" s="631"/>
      <c r="H64" s="652"/>
      <c r="I64" s="631"/>
      <c r="J64" s="631"/>
      <c r="K64" s="631"/>
      <c r="L64" s="631"/>
      <c r="M64" s="631"/>
      <c r="N64" s="631"/>
      <c r="O64" s="631"/>
      <c r="P64" s="631"/>
      <c r="Q64" s="631"/>
      <c r="R64" s="631"/>
      <c r="S64" s="631"/>
      <c r="T64" s="631"/>
      <c r="U64" s="631"/>
      <c r="V64" s="631"/>
      <c r="W64" s="631"/>
      <c r="X64" s="631"/>
      <c r="Y64" s="631"/>
      <c r="Z64" s="631"/>
    </row>
    <row r="65" spans="1:26" ht="16">
      <c r="A65" s="624"/>
      <c r="B65" s="624"/>
      <c r="C65" s="631"/>
      <c r="D65" s="631"/>
      <c r="E65" s="631"/>
      <c r="F65" s="631"/>
      <c r="G65" s="631"/>
      <c r="H65" s="652"/>
      <c r="I65" s="631"/>
      <c r="J65" s="631"/>
      <c r="K65" s="631"/>
      <c r="L65" s="631"/>
      <c r="M65" s="631"/>
      <c r="N65" s="631"/>
      <c r="O65" s="631"/>
      <c r="P65" s="631"/>
      <c r="Q65" s="631"/>
      <c r="R65" s="631"/>
      <c r="S65" s="631"/>
      <c r="T65" s="631"/>
      <c r="U65" s="631"/>
      <c r="V65" s="631"/>
      <c r="W65" s="631"/>
      <c r="X65" s="631"/>
      <c r="Y65" s="631"/>
      <c r="Z65" s="631"/>
    </row>
    <row r="66" spans="1:26" ht="16">
      <c r="A66" s="624"/>
      <c r="B66" s="624"/>
      <c r="C66" s="631"/>
      <c r="D66" s="631"/>
      <c r="E66" s="631"/>
      <c r="F66" s="631"/>
      <c r="G66" s="631"/>
      <c r="H66" s="652"/>
      <c r="I66" s="631"/>
      <c r="J66" s="631"/>
      <c r="K66" s="631"/>
      <c r="L66" s="631"/>
      <c r="M66" s="631"/>
      <c r="N66" s="631"/>
      <c r="O66" s="631"/>
      <c r="P66" s="631"/>
      <c r="Q66" s="631"/>
      <c r="R66" s="631"/>
      <c r="S66" s="631"/>
      <c r="T66" s="631"/>
      <c r="U66" s="631"/>
      <c r="V66" s="631"/>
      <c r="W66" s="631"/>
      <c r="X66" s="631"/>
      <c r="Y66" s="631"/>
      <c r="Z66" s="631"/>
    </row>
    <row r="67" spans="1:26" ht="16">
      <c r="A67" s="624"/>
      <c r="B67" s="624"/>
      <c r="C67" s="631"/>
      <c r="D67" s="631"/>
      <c r="E67" s="631"/>
      <c r="F67" s="631"/>
      <c r="G67" s="631"/>
      <c r="H67" s="652"/>
      <c r="I67" s="631"/>
      <c r="J67" s="631"/>
      <c r="K67" s="631"/>
      <c r="L67" s="631"/>
      <c r="M67" s="631"/>
      <c r="N67" s="631"/>
      <c r="O67" s="631"/>
      <c r="P67" s="631"/>
      <c r="Q67" s="631"/>
      <c r="R67" s="631"/>
      <c r="S67" s="631"/>
      <c r="T67" s="631"/>
      <c r="U67" s="631"/>
      <c r="V67" s="631"/>
      <c r="W67" s="631"/>
      <c r="X67" s="631"/>
      <c r="Y67" s="631"/>
      <c r="Z67" s="631"/>
    </row>
    <row r="68" spans="1:26" ht="16">
      <c r="A68" s="624"/>
      <c r="B68" s="624"/>
      <c r="C68" s="631"/>
      <c r="D68" s="631"/>
      <c r="E68" s="631"/>
      <c r="F68" s="631"/>
      <c r="G68" s="631"/>
      <c r="H68" s="652"/>
      <c r="I68" s="631"/>
      <c r="J68" s="631"/>
      <c r="K68" s="631"/>
      <c r="L68" s="631"/>
      <c r="M68" s="631"/>
      <c r="N68" s="631"/>
      <c r="O68" s="631"/>
      <c r="P68" s="631"/>
      <c r="Q68" s="631"/>
      <c r="R68" s="631"/>
      <c r="S68" s="631"/>
      <c r="T68" s="631"/>
      <c r="U68" s="631"/>
      <c r="V68" s="631"/>
      <c r="W68" s="631"/>
      <c r="X68" s="631"/>
      <c r="Y68" s="631"/>
      <c r="Z68" s="631"/>
    </row>
    <row r="69" spans="1:26" ht="16">
      <c r="A69" s="624"/>
      <c r="B69" s="624"/>
      <c r="C69" s="631"/>
      <c r="D69" s="631"/>
      <c r="E69" s="631"/>
      <c r="F69" s="631"/>
      <c r="G69" s="631"/>
      <c r="H69" s="652"/>
      <c r="I69" s="631"/>
      <c r="J69" s="631"/>
      <c r="K69" s="631"/>
      <c r="L69" s="631"/>
      <c r="M69" s="631"/>
      <c r="N69" s="631"/>
      <c r="O69" s="631"/>
      <c r="P69" s="631"/>
      <c r="Q69" s="631"/>
      <c r="R69" s="631"/>
      <c r="S69" s="631"/>
      <c r="T69" s="631"/>
      <c r="U69" s="631"/>
      <c r="V69" s="631"/>
      <c r="W69" s="631"/>
      <c r="X69" s="631"/>
      <c r="Y69" s="631"/>
      <c r="Z69" s="631"/>
    </row>
    <row r="70" spans="1:26" ht="16">
      <c r="A70" s="624"/>
      <c r="B70" s="624"/>
      <c r="C70" s="631"/>
      <c r="D70" s="631"/>
      <c r="E70" s="631"/>
      <c r="F70" s="631"/>
      <c r="G70" s="631"/>
      <c r="H70" s="652"/>
      <c r="I70" s="631"/>
      <c r="J70" s="631"/>
      <c r="K70" s="631"/>
      <c r="L70" s="631"/>
      <c r="M70" s="631"/>
      <c r="N70" s="631"/>
      <c r="O70" s="631"/>
      <c r="P70" s="631"/>
      <c r="Q70" s="631"/>
      <c r="R70" s="631"/>
      <c r="S70" s="631"/>
      <c r="T70" s="631"/>
      <c r="U70" s="631"/>
      <c r="V70" s="631"/>
      <c r="W70" s="631"/>
      <c r="X70" s="631"/>
      <c r="Y70" s="631"/>
      <c r="Z70" s="631"/>
    </row>
    <row r="71" spans="1:26" ht="16">
      <c r="A71" s="624"/>
      <c r="B71" s="624"/>
      <c r="C71" s="631"/>
      <c r="D71" s="631"/>
      <c r="E71" s="631"/>
      <c r="F71" s="631"/>
      <c r="G71" s="631"/>
      <c r="H71" s="652"/>
      <c r="I71" s="631"/>
      <c r="J71" s="631"/>
      <c r="K71" s="631"/>
      <c r="L71" s="631"/>
      <c r="M71" s="631"/>
      <c r="N71" s="631"/>
      <c r="O71" s="631"/>
      <c r="P71" s="631"/>
      <c r="Q71" s="631"/>
      <c r="R71" s="631"/>
      <c r="S71" s="631"/>
      <c r="T71" s="631"/>
      <c r="U71" s="631"/>
      <c r="V71" s="631"/>
      <c r="W71" s="631"/>
      <c r="X71" s="631"/>
      <c r="Y71" s="631"/>
      <c r="Z71" s="631"/>
    </row>
    <row r="72" spans="1:26" ht="16">
      <c r="A72" s="624"/>
      <c r="B72" s="624"/>
      <c r="C72" s="631"/>
      <c r="D72" s="631"/>
      <c r="E72" s="631"/>
      <c r="F72" s="631"/>
      <c r="G72" s="631"/>
      <c r="H72" s="652"/>
      <c r="I72" s="631"/>
      <c r="J72" s="631"/>
      <c r="K72" s="631"/>
      <c r="L72" s="631"/>
      <c r="M72" s="631"/>
      <c r="N72" s="631"/>
      <c r="O72" s="631"/>
      <c r="P72" s="631"/>
      <c r="Q72" s="631"/>
      <c r="R72" s="631"/>
      <c r="S72" s="631"/>
      <c r="T72" s="631"/>
      <c r="U72" s="631"/>
      <c r="V72" s="631"/>
      <c r="W72" s="631"/>
      <c r="X72" s="631"/>
      <c r="Y72" s="631"/>
      <c r="Z72" s="631"/>
    </row>
    <row r="73" spans="1:26" ht="16">
      <c r="A73" s="624"/>
      <c r="B73" s="624"/>
      <c r="C73" s="631"/>
      <c r="D73" s="631"/>
      <c r="E73" s="631"/>
      <c r="F73" s="631"/>
      <c r="G73" s="631"/>
      <c r="H73" s="652"/>
      <c r="I73" s="631"/>
      <c r="J73" s="631"/>
      <c r="K73" s="631"/>
      <c r="L73" s="631"/>
      <c r="M73" s="631"/>
      <c r="N73" s="631"/>
      <c r="O73" s="631"/>
      <c r="P73" s="631"/>
      <c r="Q73" s="631"/>
      <c r="R73" s="631"/>
      <c r="S73" s="631"/>
      <c r="T73" s="631"/>
      <c r="U73" s="631"/>
      <c r="V73" s="631"/>
      <c r="W73" s="631"/>
      <c r="X73" s="631"/>
      <c r="Y73" s="631"/>
      <c r="Z73" s="631"/>
    </row>
    <row r="74" spans="1:26" ht="16">
      <c r="A74" s="624"/>
      <c r="B74" s="624"/>
      <c r="C74" s="631"/>
      <c r="D74" s="631"/>
      <c r="E74" s="631"/>
      <c r="F74" s="631"/>
      <c r="G74" s="631"/>
      <c r="H74" s="652"/>
      <c r="I74" s="631"/>
      <c r="J74" s="631"/>
      <c r="K74" s="631"/>
      <c r="L74" s="631"/>
      <c r="M74" s="631"/>
      <c r="N74" s="631"/>
      <c r="O74" s="631"/>
      <c r="P74" s="631"/>
      <c r="Q74" s="631"/>
      <c r="R74" s="631"/>
      <c r="S74" s="631"/>
      <c r="T74" s="631"/>
      <c r="U74" s="631"/>
      <c r="V74" s="631"/>
      <c r="W74" s="631"/>
      <c r="X74" s="631"/>
      <c r="Y74" s="631"/>
      <c r="Z74" s="631"/>
    </row>
    <row r="75" spans="1:26" ht="16">
      <c r="A75" s="624"/>
      <c r="B75" s="624"/>
      <c r="C75" s="631"/>
      <c r="D75" s="631"/>
      <c r="E75" s="631"/>
      <c r="F75" s="631"/>
      <c r="G75" s="631"/>
      <c r="H75" s="652"/>
      <c r="I75" s="631"/>
      <c r="J75" s="631"/>
      <c r="K75" s="631"/>
      <c r="L75" s="631"/>
      <c r="M75" s="631"/>
      <c r="N75" s="631"/>
      <c r="O75" s="631"/>
      <c r="P75" s="631"/>
      <c r="Q75" s="631"/>
      <c r="R75" s="631"/>
      <c r="S75" s="631"/>
      <c r="T75" s="631"/>
      <c r="U75" s="631"/>
      <c r="V75" s="631"/>
      <c r="W75" s="631"/>
      <c r="X75" s="631"/>
      <c r="Y75" s="631"/>
      <c r="Z75" s="631"/>
    </row>
    <row r="76" spans="1:26" ht="16">
      <c r="A76" s="624"/>
      <c r="B76" s="624"/>
      <c r="C76" s="631"/>
      <c r="D76" s="631"/>
      <c r="E76" s="631"/>
      <c r="F76" s="631"/>
      <c r="G76" s="631"/>
      <c r="H76" s="652"/>
      <c r="I76" s="631"/>
      <c r="J76" s="631"/>
      <c r="K76" s="631"/>
      <c r="L76" s="631"/>
      <c r="M76" s="631"/>
      <c r="N76" s="631"/>
      <c r="O76" s="631"/>
      <c r="P76" s="631"/>
      <c r="Q76" s="631"/>
      <c r="R76" s="631"/>
      <c r="S76" s="631"/>
      <c r="T76" s="631"/>
      <c r="U76" s="631"/>
      <c r="V76" s="631"/>
      <c r="W76" s="631"/>
      <c r="X76" s="631"/>
      <c r="Y76" s="631"/>
      <c r="Z76" s="631"/>
    </row>
    <row r="77" spans="1:26" ht="16">
      <c r="A77" s="624"/>
      <c r="B77" s="624"/>
      <c r="C77" s="631"/>
      <c r="D77" s="631"/>
      <c r="E77" s="631"/>
      <c r="F77" s="631"/>
      <c r="G77" s="631"/>
      <c r="H77" s="652"/>
      <c r="I77" s="631"/>
      <c r="J77" s="631"/>
      <c r="K77" s="631"/>
      <c r="L77" s="631"/>
      <c r="M77" s="631"/>
      <c r="N77" s="631"/>
      <c r="O77" s="631"/>
      <c r="P77" s="631"/>
      <c r="Q77" s="631"/>
      <c r="R77" s="631"/>
      <c r="S77" s="631"/>
      <c r="T77" s="631"/>
      <c r="U77" s="631"/>
      <c r="V77" s="631"/>
      <c r="W77" s="631"/>
      <c r="X77" s="631"/>
      <c r="Y77" s="631"/>
      <c r="Z77" s="631"/>
    </row>
    <row r="78" spans="1:26" ht="16">
      <c r="A78" s="624"/>
      <c r="B78" s="624"/>
      <c r="C78" s="631"/>
      <c r="D78" s="631"/>
      <c r="E78" s="631"/>
      <c r="F78" s="631"/>
      <c r="G78" s="631"/>
      <c r="H78" s="652"/>
      <c r="I78" s="631"/>
      <c r="J78" s="631"/>
      <c r="K78" s="631"/>
      <c r="L78" s="631"/>
      <c r="M78" s="631"/>
      <c r="N78" s="631"/>
      <c r="O78" s="631"/>
      <c r="P78" s="631"/>
      <c r="Q78" s="631"/>
      <c r="R78" s="631"/>
      <c r="S78" s="631"/>
      <c r="T78" s="631"/>
      <c r="U78" s="631"/>
      <c r="V78" s="631"/>
      <c r="W78" s="631"/>
      <c r="X78" s="631"/>
      <c r="Y78" s="631"/>
      <c r="Z78" s="631"/>
    </row>
    <row r="79" spans="1:26" ht="16">
      <c r="A79" s="624"/>
      <c r="B79" s="624"/>
      <c r="C79" s="631"/>
      <c r="D79" s="631"/>
      <c r="E79" s="631"/>
      <c r="F79" s="631"/>
      <c r="G79" s="631"/>
      <c r="H79" s="652"/>
      <c r="I79" s="631"/>
      <c r="J79" s="631"/>
      <c r="K79" s="631"/>
      <c r="L79" s="631"/>
      <c r="M79" s="631"/>
      <c r="N79" s="631"/>
      <c r="O79" s="631"/>
      <c r="P79" s="631"/>
      <c r="Q79" s="631"/>
      <c r="R79" s="631"/>
      <c r="S79" s="631"/>
      <c r="T79" s="631"/>
      <c r="U79" s="631"/>
      <c r="V79" s="631"/>
      <c r="W79" s="631"/>
      <c r="X79" s="631"/>
      <c r="Y79" s="631"/>
      <c r="Z79" s="631"/>
    </row>
    <row r="80" spans="1:26" ht="16">
      <c r="A80" s="624"/>
      <c r="B80" s="624"/>
      <c r="C80" s="631"/>
      <c r="D80" s="631"/>
      <c r="E80" s="631"/>
      <c r="F80" s="631"/>
      <c r="G80" s="631"/>
      <c r="H80" s="652"/>
      <c r="I80" s="631"/>
      <c r="J80" s="631"/>
      <c r="K80" s="631"/>
      <c r="L80" s="631"/>
      <c r="M80" s="631"/>
      <c r="N80" s="631"/>
      <c r="O80" s="631"/>
      <c r="P80" s="631"/>
      <c r="Q80" s="631"/>
      <c r="R80" s="631"/>
      <c r="S80" s="631"/>
      <c r="T80" s="631"/>
      <c r="U80" s="631"/>
      <c r="V80" s="631"/>
      <c r="W80" s="631"/>
      <c r="X80" s="631"/>
      <c r="Y80" s="631"/>
      <c r="Z80" s="631"/>
    </row>
    <row r="81" spans="1:26" ht="16">
      <c r="A81" s="624"/>
      <c r="B81" s="624"/>
      <c r="C81" s="631"/>
      <c r="D81" s="631"/>
      <c r="E81" s="631"/>
      <c r="F81" s="631"/>
      <c r="G81" s="631"/>
      <c r="H81" s="652"/>
      <c r="I81" s="631"/>
      <c r="J81" s="631"/>
      <c r="K81" s="631"/>
      <c r="L81" s="631"/>
      <c r="M81" s="631"/>
      <c r="N81" s="631"/>
      <c r="O81" s="631"/>
      <c r="P81" s="631"/>
      <c r="Q81" s="631"/>
      <c r="R81" s="631"/>
      <c r="S81" s="631"/>
      <c r="T81" s="631"/>
      <c r="U81" s="631"/>
      <c r="V81" s="631"/>
      <c r="W81" s="631"/>
      <c r="X81" s="631"/>
      <c r="Y81" s="631"/>
      <c r="Z81" s="631"/>
    </row>
    <row r="82" spans="1:26" ht="16">
      <c r="A82" s="624"/>
      <c r="B82" s="624"/>
      <c r="C82" s="631"/>
      <c r="D82" s="631"/>
      <c r="E82" s="631"/>
      <c r="F82" s="631"/>
      <c r="G82" s="631"/>
      <c r="H82" s="652"/>
      <c r="I82" s="631"/>
      <c r="J82" s="631"/>
      <c r="K82" s="631"/>
      <c r="L82" s="631"/>
      <c r="M82" s="631"/>
      <c r="N82" s="631"/>
      <c r="O82" s="631"/>
      <c r="P82" s="631"/>
      <c r="Q82" s="631"/>
      <c r="R82" s="631"/>
      <c r="S82" s="631"/>
      <c r="T82" s="631"/>
      <c r="U82" s="631"/>
      <c r="V82" s="631"/>
      <c r="W82" s="631"/>
      <c r="X82" s="631"/>
      <c r="Y82" s="631"/>
      <c r="Z82" s="631"/>
    </row>
    <row r="83" spans="1:26" ht="16">
      <c r="A83" s="624"/>
      <c r="B83" s="624"/>
      <c r="C83" s="631"/>
      <c r="D83" s="631"/>
      <c r="E83" s="631"/>
      <c r="F83" s="631"/>
      <c r="G83" s="631"/>
      <c r="H83" s="652"/>
      <c r="I83" s="631"/>
      <c r="J83" s="631"/>
      <c r="K83" s="631"/>
      <c r="L83" s="631"/>
      <c r="M83" s="631"/>
      <c r="N83" s="631"/>
      <c r="O83" s="631"/>
      <c r="P83" s="631"/>
      <c r="Q83" s="631"/>
      <c r="R83" s="631"/>
      <c r="S83" s="631"/>
      <c r="T83" s="631"/>
      <c r="U83" s="631"/>
      <c r="V83" s="631"/>
      <c r="W83" s="631"/>
      <c r="X83" s="631"/>
      <c r="Y83" s="631"/>
      <c r="Z83" s="631"/>
    </row>
    <row r="84" spans="1:26" ht="16">
      <c r="A84" s="624"/>
      <c r="B84" s="624"/>
      <c r="C84" s="631"/>
      <c r="D84" s="631"/>
      <c r="E84" s="631"/>
      <c r="F84" s="631"/>
      <c r="G84" s="631"/>
      <c r="H84" s="652"/>
      <c r="I84" s="631"/>
      <c r="J84" s="631"/>
      <c r="K84" s="631"/>
      <c r="L84" s="631"/>
      <c r="M84" s="631"/>
      <c r="N84" s="631"/>
      <c r="O84" s="631"/>
      <c r="P84" s="631"/>
      <c r="Q84" s="631"/>
      <c r="R84" s="631"/>
      <c r="S84" s="631"/>
      <c r="T84" s="631"/>
      <c r="U84" s="631"/>
      <c r="V84" s="631"/>
      <c r="W84" s="631"/>
      <c r="X84" s="631"/>
      <c r="Y84" s="631"/>
      <c r="Z84" s="631"/>
    </row>
    <row r="85" spans="1:26" ht="16">
      <c r="A85" s="624"/>
      <c r="B85" s="624"/>
      <c r="C85" s="631"/>
      <c r="D85" s="631"/>
      <c r="E85" s="631"/>
      <c r="F85" s="631"/>
      <c r="G85" s="631"/>
      <c r="H85" s="652"/>
      <c r="I85" s="631"/>
      <c r="J85" s="631"/>
      <c r="K85" s="631"/>
      <c r="L85" s="631"/>
      <c r="M85" s="631"/>
      <c r="N85" s="631"/>
      <c r="O85" s="631"/>
      <c r="P85" s="631"/>
      <c r="Q85" s="631"/>
      <c r="R85" s="631"/>
      <c r="S85" s="631"/>
      <c r="T85" s="631"/>
      <c r="U85" s="631"/>
      <c r="V85" s="631"/>
      <c r="W85" s="631"/>
      <c r="X85" s="631"/>
      <c r="Y85" s="631"/>
      <c r="Z85" s="631"/>
    </row>
    <row r="86" spans="1:26" ht="16">
      <c r="A86" s="624"/>
      <c r="B86" s="624"/>
      <c r="C86" s="631"/>
      <c r="D86" s="631"/>
      <c r="E86" s="631"/>
      <c r="F86" s="631"/>
      <c r="G86" s="631"/>
      <c r="H86" s="652"/>
      <c r="I86" s="631"/>
      <c r="J86" s="631"/>
      <c r="K86" s="631"/>
      <c r="L86" s="631"/>
      <c r="M86" s="631"/>
      <c r="N86" s="631"/>
      <c r="O86" s="631"/>
      <c r="P86" s="631"/>
      <c r="Q86" s="631"/>
      <c r="R86" s="631"/>
      <c r="S86" s="631"/>
      <c r="T86" s="631"/>
      <c r="U86" s="631"/>
      <c r="V86" s="631"/>
      <c r="W86" s="631"/>
      <c r="X86" s="631"/>
      <c r="Y86" s="631"/>
      <c r="Z86" s="631"/>
    </row>
    <row r="87" spans="1:26" ht="16">
      <c r="A87" s="624"/>
      <c r="B87" s="624"/>
      <c r="C87" s="631"/>
      <c r="D87" s="631"/>
      <c r="E87" s="631"/>
      <c r="F87" s="631"/>
      <c r="G87" s="631"/>
      <c r="H87" s="652"/>
      <c r="I87" s="631"/>
      <c r="J87" s="631"/>
      <c r="K87" s="631"/>
      <c r="L87" s="631"/>
      <c r="M87" s="631"/>
      <c r="N87" s="631"/>
      <c r="O87" s="631"/>
      <c r="P87" s="631"/>
      <c r="Q87" s="631"/>
      <c r="R87" s="631"/>
      <c r="S87" s="631"/>
      <c r="T87" s="631"/>
      <c r="U87" s="631"/>
      <c r="V87" s="631"/>
      <c r="W87" s="631"/>
      <c r="X87" s="631"/>
      <c r="Y87" s="631"/>
      <c r="Z87" s="631"/>
    </row>
    <row r="88" spans="1:26" ht="16">
      <c r="A88" s="624"/>
      <c r="B88" s="624"/>
      <c r="C88" s="631"/>
      <c r="D88" s="631"/>
      <c r="E88" s="631"/>
      <c r="F88" s="631"/>
      <c r="G88" s="631"/>
      <c r="H88" s="652"/>
      <c r="I88" s="631"/>
      <c r="J88" s="631"/>
      <c r="K88" s="631"/>
      <c r="L88" s="631"/>
      <c r="M88" s="631"/>
      <c r="N88" s="631"/>
      <c r="O88" s="631"/>
      <c r="P88" s="631"/>
      <c r="Q88" s="631"/>
      <c r="R88" s="631"/>
      <c r="S88" s="631"/>
      <c r="T88" s="631"/>
      <c r="U88" s="631"/>
      <c r="V88" s="631"/>
      <c r="W88" s="631"/>
      <c r="X88" s="631"/>
      <c r="Y88" s="631"/>
      <c r="Z88" s="631"/>
    </row>
    <row r="89" spans="1:26" ht="16">
      <c r="A89" s="624"/>
      <c r="B89" s="624"/>
      <c r="C89" s="631"/>
      <c r="D89" s="631"/>
      <c r="E89" s="631"/>
      <c r="F89" s="631"/>
      <c r="G89" s="631"/>
      <c r="H89" s="652"/>
      <c r="I89" s="631"/>
      <c r="J89" s="631"/>
      <c r="K89" s="631"/>
      <c r="L89" s="631"/>
      <c r="M89" s="631"/>
      <c r="N89" s="631"/>
      <c r="O89" s="631"/>
      <c r="P89" s="631"/>
      <c r="Q89" s="631"/>
      <c r="R89" s="631"/>
      <c r="S89" s="631"/>
      <c r="T89" s="631"/>
      <c r="U89" s="631"/>
      <c r="V89" s="631"/>
      <c r="W89" s="631"/>
      <c r="X89" s="631"/>
      <c r="Y89" s="631"/>
      <c r="Z89" s="631"/>
    </row>
    <row r="90" spans="1:26" ht="16">
      <c r="A90" s="624"/>
      <c r="B90" s="624"/>
      <c r="C90" s="631"/>
      <c r="D90" s="631"/>
      <c r="E90" s="631"/>
      <c r="F90" s="631"/>
      <c r="G90" s="631"/>
      <c r="H90" s="652"/>
      <c r="I90" s="631"/>
      <c r="J90" s="631"/>
      <c r="K90" s="631"/>
      <c r="L90" s="631"/>
      <c r="M90" s="631"/>
      <c r="N90" s="631"/>
      <c r="O90" s="631"/>
      <c r="P90" s="631"/>
      <c r="Q90" s="631"/>
      <c r="R90" s="631"/>
      <c r="S90" s="631"/>
      <c r="T90" s="631"/>
      <c r="U90" s="631"/>
      <c r="V90" s="631"/>
      <c r="W90" s="631"/>
      <c r="X90" s="631"/>
      <c r="Y90" s="631"/>
      <c r="Z90" s="631"/>
    </row>
    <row r="91" spans="1:26" ht="16">
      <c r="A91" s="624"/>
      <c r="B91" s="624"/>
      <c r="C91" s="631"/>
      <c r="D91" s="631"/>
      <c r="E91" s="631"/>
      <c r="F91" s="631"/>
      <c r="G91" s="631"/>
      <c r="H91" s="652"/>
      <c r="I91" s="631"/>
      <c r="J91" s="631"/>
      <c r="K91" s="631"/>
      <c r="L91" s="631"/>
      <c r="M91" s="631"/>
      <c r="N91" s="631"/>
      <c r="O91" s="631"/>
      <c r="P91" s="631"/>
      <c r="Q91" s="631"/>
      <c r="R91" s="631"/>
      <c r="S91" s="631"/>
      <c r="T91" s="631"/>
      <c r="U91" s="631"/>
      <c r="V91" s="631"/>
      <c r="W91" s="631"/>
      <c r="X91" s="631"/>
      <c r="Y91" s="631"/>
      <c r="Z91" s="631"/>
    </row>
    <row r="92" spans="1:26" ht="16">
      <c r="A92" s="624"/>
      <c r="B92" s="624"/>
      <c r="C92" s="631"/>
      <c r="D92" s="631"/>
      <c r="E92" s="631"/>
      <c r="F92" s="631"/>
      <c r="G92" s="631"/>
      <c r="H92" s="652"/>
      <c r="I92" s="631"/>
      <c r="J92" s="631"/>
      <c r="K92" s="631"/>
      <c r="L92" s="631"/>
      <c r="M92" s="631"/>
      <c r="N92" s="631"/>
      <c r="O92" s="631"/>
      <c r="P92" s="631"/>
      <c r="Q92" s="631"/>
      <c r="R92" s="631"/>
      <c r="S92" s="631"/>
      <c r="T92" s="631"/>
      <c r="U92" s="631"/>
      <c r="V92" s="631"/>
      <c r="W92" s="631"/>
      <c r="X92" s="631"/>
      <c r="Y92" s="631"/>
      <c r="Z92" s="631"/>
    </row>
    <row r="93" spans="1:26" ht="16">
      <c r="A93" s="624"/>
      <c r="B93" s="624"/>
      <c r="C93" s="631"/>
      <c r="D93" s="631"/>
      <c r="E93" s="631"/>
      <c r="F93" s="631"/>
      <c r="G93" s="631"/>
      <c r="H93" s="652"/>
      <c r="I93" s="631"/>
      <c r="J93" s="631"/>
      <c r="K93" s="631"/>
      <c r="L93" s="631"/>
      <c r="M93" s="631"/>
      <c r="N93" s="631"/>
      <c r="O93" s="631"/>
      <c r="P93" s="631"/>
      <c r="Q93" s="631"/>
      <c r="R93" s="631"/>
      <c r="S93" s="631"/>
      <c r="T93" s="631"/>
      <c r="U93" s="631"/>
      <c r="V93" s="631"/>
      <c r="W93" s="631"/>
      <c r="X93" s="631"/>
      <c r="Y93" s="631"/>
      <c r="Z93" s="631"/>
    </row>
    <row r="94" spans="1:26" ht="16">
      <c r="A94" s="624"/>
      <c r="B94" s="624"/>
      <c r="C94" s="631"/>
      <c r="D94" s="631"/>
      <c r="E94" s="631"/>
      <c r="F94" s="631"/>
      <c r="G94" s="631"/>
      <c r="H94" s="652"/>
      <c r="I94" s="631"/>
      <c r="J94" s="631"/>
      <c r="K94" s="631"/>
      <c r="L94" s="631"/>
      <c r="M94" s="631"/>
      <c r="N94" s="631"/>
      <c r="O94" s="631"/>
      <c r="P94" s="631"/>
      <c r="Q94" s="631"/>
      <c r="R94" s="631"/>
      <c r="S94" s="631"/>
      <c r="T94" s="631"/>
      <c r="U94" s="631"/>
      <c r="V94" s="631"/>
      <c r="W94" s="631"/>
      <c r="X94" s="631"/>
      <c r="Y94" s="631"/>
      <c r="Z94" s="631"/>
    </row>
    <row r="95" spans="1:26" ht="16">
      <c r="A95" s="624"/>
      <c r="B95" s="624"/>
      <c r="C95" s="631"/>
      <c r="D95" s="631"/>
      <c r="E95" s="631"/>
      <c r="F95" s="631"/>
      <c r="G95" s="631"/>
      <c r="H95" s="652"/>
      <c r="I95" s="631"/>
      <c r="J95" s="631"/>
      <c r="K95" s="631"/>
      <c r="L95" s="631"/>
      <c r="M95" s="631"/>
      <c r="N95" s="631"/>
      <c r="O95" s="631"/>
      <c r="P95" s="631"/>
      <c r="Q95" s="631"/>
      <c r="R95" s="631"/>
      <c r="S95" s="631"/>
      <c r="T95" s="631"/>
      <c r="U95" s="631"/>
      <c r="V95" s="631"/>
      <c r="W95" s="631"/>
      <c r="X95" s="631"/>
      <c r="Y95" s="631"/>
      <c r="Z95" s="631"/>
    </row>
    <row r="96" spans="1:26" ht="16">
      <c r="A96" s="624"/>
      <c r="B96" s="624"/>
      <c r="C96" s="631"/>
      <c r="D96" s="631"/>
      <c r="E96" s="631"/>
      <c r="F96" s="631"/>
      <c r="G96" s="631"/>
      <c r="H96" s="652"/>
      <c r="I96" s="631"/>
      <c r="J96" s="631"/>
      <c r="K96" s="631"/>
      <c r="L96" s="631"/>
      <c r="M96" s="631"/>
      <c r="N96" s="631"/>
      <c r="O96" s="631"/>
      <c r="P96" s="631"/>
      <c r="Q96" s="631"/>
      <c r="R96" s="631"/>
      <c r="S96" s="631"/>
      <c r="T96" s="631"/>
      <c r="U96" s="631"/>
      <c r="V96" s="631"/>
      <c r="W96" s="631"/>
      <c r="X96" s="631"/>
      <c r="Y96" s="631"/>
      <c r="Z96" s="631"/>
    </row>
    <row r="97" spans="1:26" ht="16">
      <c r="A97" s="624"/>
      <c r="B97" s="624"/>
      <c r="C97" s="631"/>
      <c r="D97" s="631"/>
      <c r="E97" s="631"/>
      <c r="F97" s="631"/>
      <c r="G97" s="631"/>
      <c r="H97" s="652"/>
      <c r="I97" s="631"/>
      <c r="J97" s="631"/>
      <c r="K97" s="631"/>
      <c r="L97" s="631"/>
      <c r="M97" s="631"/>
      <c r="N97" s="631"/>
      <c r="O97" s="631"/>
      <c r="P97" s="631"/>
      <c r="Q97" s="631"/>
      <c r="R97" s="631"/>
      <c r="S97" s="631"/>
      <c r="T97" s="631"/>
      <c r="U97" s="631"/>
      <c r="V97" s="631"/>
      <c r="W97" s="631"/>
      <c r="X97" s="631"/>
      <c r="Y97" s="631"/>
      <c r="Z97" s="631"/>
    </row>
    <row r="98" spans="1:26" ht="16">
      <c r="A98" s="624"/>
      <c r="B98" s="624"/>
      <c r="C98" s="631"/>
      <c r="D98" s="631"/>
      <c r="E98" s="631"/>
      <c r="F98" s="631"/>
      <c r="G98" s="631"/>
      <c r="H98" s="652"/>
      <c r="I98" s="631"/>
      <c r="J98" s="631"/>
      <c r="K98" s="631"/>
      <c r="L98" s="631"/>
      <c r="M98" s="631"/>
      <c r="N98" s="631"/>
      <c r="O98" s="631"/>
      <c r="P98" s="631"/>
      <c r="Q98" s="631"/>
      <c r="R98" s="631"/>
      <c r="S98" s="631"/>
      <c r="T98" s="631"/>
      <c r="U98" s="631"/>
      <c r="V98" s="631"/>
      <c r="W98" s="631"/>
      <c r="X98" s="631"/>
      <c r="Y98" s="631"/>
      <c r="Z98" s="631"/>
    </row>
    <row r="99" spans="1:26" ht="16">
      <c r="A99" s="624"/>
      <c r="B99" s="624"/>
      <c r="C99" s="631"/>
      <c r="D99" s="631"/>
      <c r="E99" s="631"/>
      <c r="F99" s="631"/>
      <c r="G99" s="631"/>
      <c r="H99" s="652"/>
      <c r="I99" s="631"/>
      <c r="J99" s="631"/>
      <c r="K99" s="631"/>
      <c r="L99" s="631"/>
      <c r="M99" s="631"/>
      <c r="N99" s="631"/>
      <c r="O99" s="631"/>
      <c r="P99" s="631"/>
      <c r="Q99" s="631"/>
      <c r="R99" s="631"/>
      <c r="S99" s="631"/>
      <c r="T99" s="631"/>
      <c r="U99" s="631"/>
      <c r="V99" s="631"/>
      <c r="W99" s="631"/>
      <c r="X99" s="631"/>
      <c r="Y99" s="631"/>
      <c r="Z99" s="631"/>
    </row>
    <row r="100" spans="1:26" ht="16">
      <c r="A100" s="624"/>
      <c r="B100" s="624"/>
      <c r="C100" s="631"/>
      <c r="D100" s="631"/>
      <c r="E100" s="631"/>
      <c r="F100" s="631"/>
      <c r="G100" s="631"/>
      <c r="H100" s="652"/>
      <c r="I100" s="631"/>
      <c r="J100" s="631"/>
      <c r="K100" s="631"/>
      <c r="L100" s="631"/>
      <c r="M100" s="631"/>
      <c r="N100" s="631"/>
      <c r="O100" s="631"/>
      <c r="P100" s="631"/>
      <c r="Q100" s="631"/>
      <c r="R100" s="631"/>
      <c r="S100" s="631"/>
      <c r="T100" s="631"/>
      <c r="U100" s="631"/>
      <c r="V100" s="631"/>
      <c r="W100" s="631"/>
      <c r="X100" s="631"/>
      <c r="Y100" s="631"/>
      <c r="Z100" s="631"/>
    </row>
    <row r="101" spans="1:26" ht="16">
      <c r="A101" s="624"/>
      <c r="B101" s="624"/>
      <c r="C101" s="631"/>
      <c r="D101" s="631"/>
      <c r="E101" s="631"/>
      <c r="F101" s="631"/>
      <c r="G101" s="631"/>
      <c r="H101" s="652"/>
      <c r="I101" s="631"/>
      <c r="J101" s="631"/>
      <c r="K101" s="631"/>
      <c r="L101" s="631"/>
      <c r="M101" s="631"/>
      <c r="N101" s="631"/>
      <c r="O101" s="631"/>
      <c r="P101" s="631"/>
      <c r="Q101" s="631"/>
      <c r="R101" s="631"/>
      <c r="S101" s="631"/>
      <c r="T101" s="631"/>
      <c r="U101" s="631"/>
      <c r="V101" s="631"/>
      <c r="W101" s="631"/>
      <c r="X101" s="631"/>
      <c r="Y101" s="631"/>
      <c r="Z101" s="631"/>
    </row>
    <row r="102" spans="1:26" ht="16">
      <c r="A102" s="624"/>
      <c r="B102" s="624"/>
      <c r="C102" s="631"/>
      <c r="D102" s="631"/>
      <c r="E102" s="631"/>
      <c r="F102" s="631"/>
      <c r="G102" s="631"/>
      <c r="H102" s="652"/>
      <c r="I102" s="631"/>
      <c r="J102" s="631"/>
      <c r="K102" s="631"/>
      <c r="L102" s="631"/>
      <c r="M102" s="631"/>
      <c r="N102" s="631"/>
      <c r="O102" s="631"/>
      <c r="P102" s="631"/>
      <c r="Q102" s="631"/>
      <c r="R102" s="631"/>
      <c r="S102" s="631"/>
      <c r="T102" s="631"/>
      <c r="U102" s="631"/>
      <c r="V102" s="631"/>
      <c r="W102" s="631"/>
      <c r="X102" s="631"/>
      <c r="Y102" s="631"/>
      <c r="Z102" s="631"/>
    </row>
    <row r="103" spans="1:26" ht="16">
      <c r="A103" s="624"/>
      <c r="B103" s="624"/>
      <c r="C103" s="631"/>
      <c r="D103" s="631"/>
      <c r="E103" s="631"/>
      <c r="F103" s="631"/>
      <c r="G103" s="631"/>
      <c r="H103" s="652"/>
      <c r="I103" s="631"/>
      <c r="J103" s="631"/>
      <c r="K103" s="631"/>
      <c r="L103" s="631"/>
      <c r="M103" s="631"/>
      <c r="N103" s="631"/>
      <c r="O103" s="631"/>
      <c r="P103" s="631"/>
      <c r="Q103" s="631"/>
      <c r="R103" s="631"/>
      <c r="S103" s="631"/>
      <c r="T103" s="631"/>
      <c r="U103" s="631"/>
      <c r="V103" s="631"/>
      <c r="W103" s="631"/>
      <c r="X103" s="631"/>
      <c r="Y103" s="631"/>
      <c r="Z103" s="631"/>
    </row>
    <row r="104" spans="1:26" ht="16">
      <c r="A104" s="624"/>
      <c r="B104" s="624"/>
      <c r="C104" s="631"/>
      <c r="D104" s="631"/>
      <c r="E104" s="631"/>
      <c r="F104" s="631"/>
      <c r="G104" s="631"/>
      <c r="H104" s="652"/>
      <c r="I104" s="631"/>
      <c r="J104" s="631"/>
      <c r="K104" s="631"/>
      <c r="L104" s="631"/>
      <c r="M104" s="631"/>
      <c r="N104" s="631"/>
      <c r="O104" s="631"/>
      <c r="P104" s="631"/>
      <c r="Q104" s="631"/>
      <c r="R104" s="631"/>
      <c r="S104" s="631"/>
      <c r="T104" s="631"/>
      <c r="U104" s="631"/>
      <c r="V104" s="631"/>
      <c r="W104" s="631"/>
      <c r="X104" s="631"/>
      <c r="Y104" s="631"/>
      <c r="Z104" s="631"/>
    </row>
    <row r="105" spans="1:26" ht="16">
      <c r="A105" s="624"/>
      <c r="B105" s="624"/>
      <c r="C105" s="631"/>
      <c r="D105" s="631"/>
      <c r="E105" s="631"/>
      <c r="F105" s="631"/>
      <c r="G105" s="631"/>
      <c r="H105" s="652"/>
      <c r="I105" s="631"/>
      <c r="J105" s="631"/>
      <c r="K105" s="631"/>
      <c r="L105" s="631"/>
      <c r="M105" s="631"/>
      <c r="N105" s="631"/>
      <c r="O105" s="631"/>
      <c r="P105" s="631"/>
      <c r="Q105" s="631"/>
      <c r="R105" s="631"/>
      <c r="S105" s="631"/>
      <c r="T105" s="631"/>
      <c r="U105" s="631"/>
      <c r="V105" s="631"/>
      <c r="W105" s="631"/>
      <c r="X105" s="631"/>
      <c r="Y105" s="631"/>
      <c r="Z105" s="631"/>
    </row>
    <row r="106" spans="1:26" ht="16">
      <c r="A106" s="624"/>
      <c r="B106" s="624"/>
      <c r="C106" s="631"/>
      <c r="D106" s="631"/>
      <c r="E106" s="631"/>
      <c r="F106" s="631"/>
      <c r="G106" s="631"/>
      <c r="H106" s="652"/>
      <c r="I106" s="631"/>
      <c r="J106" s="631"/>
      <c r="K106" s="631"/>
      <c r="L106" s="631"/>
      <c r="M106" s="631"/>
      <c r="N106" s="631"/>
      <c r="O106" s="631"/>
      <c r="P106" s="631"/>
      <c r="Q106" s="631"/>
      <c r="R106" s="631"/>
      <c r="S106" s="631"/>
      <c r="T106" s="631"/>
      <c r="U106" s="631"/>
      <c r="V106" s="631"/>
      <c r="W106" s="631"/>
      <c r="X106" s="631"/>
      <c r="Y106" s="631"/>
      <c r="Z106" s="631"/>
    </row>
    <row r="107" spans="1:26" ht="16">
      <c r="A107" s="624"/>
      <c r="B107" s="624"/>
      <c r="C107" s="631"/>
      <c r="D107" s="631"/>
      <c r="E107" s="631"/>
      <c r="F107" s="631"/>
      <c r="G107" s="631"/>
      <c r="H107" s="652"/>
      <c r="I107" s="631"/>
      <c r="J107" s="631"/>
      <c r="K107" s="631"/>
      <c r="L107" s="631"/>
      <c r="M107" s="631"/>
      <c r="N107" s="631"/>
      <c r="O107" s="631"/>
      <c r="P107" s="631"/>
      <c r="Q107" s="631"/>
      <c r="R107" s="631"/>
      <c r="S107" s="631"/>
      <c r="T107" s="631"/>
      <c r="U107" s="631"/>
      <c r="V107" s="631"/>
      <c r="W107" s="631"/>
      <c r="X107" s="631"/>
      <c r="Y107" s="631"/>
      <c r="Z107" s="631"/>
    </row>
    <row r="108" spans="1:26" ht="16">
      <c r="A108" s="624"/>
      <c r="B108" s="624"/>
      <c r="C108" s="631"/>
      <c r="D108" s="631"/>
      <c r="E108" s="631"/>
      <c r="F108" s="631"/>
      <c r="G108" s="631"/>
      <c r="H108" s="652"/>
      <c r="I108" s="631"/>
      <c r="J108" s="631"/>
      <c r="K108" s="631"/>
      <c r="L108" s="631"/>
      <c r="M108" s="631"/>
      <c r="N108" s="631"/>
      <c r="O108" s="631"/>
      <c r="P108" s="631"/>
      <c r="Q108" s="631"/>
      <c r="R108" s="631"/>
      <c r="S108" s="631"/>
      <c r="T108" s="631"/>
      <c r="U108" s="631"/>
      <c r="V108" s="631"/>
      <c r="W108" s="631"/>
      <c r="X108" s="631"/>
      <c r="Y108" s="631"/>
      <c r="Z108" s="631"/>
    </row>
    <row r="109" spans="1:26" ht="16">
      <c r="A109" s="624"/>
      <c r="B109" s="624"/>
      <c r="C109" s="631"/>
      <c r="D109" s="631"/>
      <c r="E109" s="631"/>
      <c r="F109" s="631"/>
      <c r="G109" s="631"/>
      <c r="H109" s="652"/>
      <c r="I109" s="631"/>
      <c r="J109" s="631"/>
      <c r="K109" s="631"/>
      <c r="L109" s="631"/>
      <c r="M109" s="631"/>
      <c r="N109" s="631"/>
      <c r="O109" s="631"/>
      <c r="P109" s="631"/>
      <c r="Q109" s="631"/>
      <c r="R109" s="631"/>
      <c r="S109" s="631"/>
      <c r="T109" s="631"/>
      <c r="U109" s="631"/>
      <c r="V109" s="631"/>
      <c r="W109" s="631"/>
      <c r="X109" s="631"/>
      <c r="Y109" s="631"/>
      <c r="Z109" s="631"/>
    </row>
    <row r="110" spans="1:26" ht="16">
      <c r="A110" s="624"/>
      <c r="B110" s="624"/>
      <c r="C110" s="631"/>
      <c r="D110" s="631"/>
      <c r="E110" s="631"/>
      <c r="F110" s="631"/>
      <c r="G110" s="631"/>
      <c r="H110" s="652"/>
      <c r="I110" s="631"/>
      <c r="J110" s="631"/>
      <c r="K110" s="631"/>
      <c r="L110" s="631"/>
      <c r="M110" s="631"/>
      <c r="N110" s="631"/>
      <c r="O110" s="631"/>
      <c r="P110" s="631"/>
      <c r="Q110" s="631"/>
      <c r="R110" s="631"/>
      <c r="S110" s="631"/>
      <c r="T110" s="631"/>
      <c r="U110" s="631"/>
      <c r="V110" s="631"/>
      <c r="W110" s="631"/>
      <c r="X110" s="631"/>
      <c r="Y110" s="631"/>
      <c r="Z110" s="631"/>
    </row>
    <row r="111" spans="1:26" ht="16">
      <c r="A111" s="624"/>
      <c r="B111" s="624"/>
      <c r="C111" s="631"/>
      <c r="D111" s="631"/>
      <c r="E111" s="631"/>
      <c r="F111" s="631"/>
      <c r="G111" s="631"/>
      <c r="H111" s="652"/>
      <c r="I111" s="631"/>
      <c r="J111" s="631"/>
      <c r="K111" s="631"/>
      <c r="L111" s="631"/>
      <c r="M111" s="631"/>
      <c r="N111" s="631"/>
      <c r="O111" s="631"/>
      <c r="P111" s="631"/>
      <c r="Q111" s="631"/>
      <c r="R111" s="631"/>
      <c r="S111" s="631"/>
      <c r="T111" s="631"/>
      <c r="U111" s="631"/>
      <c r="V111" s="631"/>
      <c r="W111" s="631"/>
      <c r="X111" s="631"/>
      <c r="Y111" s="631"/>
      <c r="Z111" s="631"/>
    </row>
    <row r="112" spans="1:26" ht="16">
      <c r="A112" s="624"/>
      <c r="B112" s="624"/>
      <c r="C112" s="631"/>
      <c r="D112" s="631"/>
      <c r="E112" s="631"/>
      <c r="F112" s="631"/>
      <c r="G112" s="631"/>
      <c r="H112" s="652"/>
      <c r="I112" s="631"/>
      <c r="J112" s="631"/>
      <c r="K112" s="631"/>
      <c r="L112" s="631"/>
      <c r="M112" s="631"/>
      <c r="N112" s="631"/>
      <c r="O112" s="631"/>
      <c r="P112" s="631"/>
      <c r="Q112" s="631"/>
      <c r="R112" s="631"/>
      <c r="S112" s="631"/>
      <c r="T112" s="631"/>
      <c r="U112" s="631"/>
      <c r="V112" s="631"/>
      <c r="W112" s="631"/>
      <c r="X112" s="631"/>
      <c r="Y112" s="631"/>
      <c r="Z112" s="631"/>
    </row>
    <row r="113" spans="1:26" ht="16">
      <c r="A113" s="624"/>
      <c r="B113" s="624"/>
      <c r="C113" s="631"/>
      <c r="D113" s="631"/>
      <c r="E113" s="631"/>
      <c r="F113" s="631"/>
      <c r="G113" s="631"/>
      <c r="H113" s="652"/>
      <c r="I113" s="631"/>
      <c r="J113" s="631"/>
      <c r="K113" s="631"/>
      <c r="L113" s="631"/>
      <c r="M113" s="631"/>
      <c r="N113" s="631"/>
      <c r="O113" s="631"/>
      <c r="P113" s="631"/>
      <c r="Q113" s="631"/>
      <c r="R113" s="631"/>
      <c r="S113" s="631"/>
      <c r="T113" s="631"/>
      <c r="U113" s="631"/>
      <c r="V113" s="631"/>
      <c r="W113" s="631"/>
      <c r="X113" s="631"/>
      <c r="Y113" s="631"/>
      <c r="Z113" s="631"/>
    </row>
    <row r="114" spans="1:26" ht="16">
      <c r="A114" s="624"/>
      <c r="B114" s="624"/>
      <c r="C114" s="631"/>
      <c r="D114" s="631"/>
      <c r="E114" s="631"/>
      <c r="F114" s="631"/>
      <c r="G114" s="631"/>
      <c r="H114" s="652"/>
      <c r="I114" s="631"/>
      <c r="J114" s="631"/>
      <c r="K114" s="631"/>
      <c r="L114" s="631"/>
      <c r="M114" s="631"/>
      <c r="N114" s="631"/>
      <c r="O114" s="631"/>
      <c r="P114" s="631"/>
      <c r="Q114" s="631"/>
      <c r="R114" s="631"/>
      <c r="S114" s="631"/>
      <c r="T114" s="631"/>
      <c r="U114" s="631"/>
      <c r="V114" s="631"/>
      <c r="W114" s="631"/>
      <c r="X114" s="631"/>
      <c r="Y114" s="631"/>
      <c r="Z114" s="631"/>
    </row>
    <row r="115" spans="1:26" ht="16">
      <c r="A115" s="624"/>
      <c r="B115" s="624"/>
      <c r="C115" s="631"/>
      <c r="D115" s="631"/>
      <c r="E115" s="631"/>
      <c r="F115" s="631"/>
      <c r="G115" s="631"/>
      <c r="H115" s="652"/>
      <c r="I115" s="631"/>
      <c r="J115" s="631"/>
      <c r="K115" s="631"/>
      <c r="L115" s="631"/>
      <c r="M115" s="631"/>
      <c r="N115" s="631"/>
      <c r="O115" s="631"/>
      <c r="P115" s="631"/>
      <c r="Q115" s="631"/>
      <c r="R115" s="631"/>
      <c r="S115" s="631"/>
      <c r="T115" s="631"/>
      <c r="U115" s="631"/>
      <c r="V115" s="631"/>
      <c r="W115" s="631"/>
      <c r="X115" s="631"/>
      <c r="Y115" s="631"/>
      <c r="Z115" s="631"/>
    </row>
    <row r="116" spans="1:26" ht="16">
      <c r="A116" s="624"/>
      <c r="B116" s="624"/>
      <c r="C116" s="631"/>
      <c r="D116" s="631"/>
      <c r="E116" s="631"/>
      <c r="F116" s="631"/>
      <c r="G116" s="631"/>
      <c r="H116" s="652"/>
      <c r="I116" s="631"/>
      <c r="J116" s="631"/>
      <c r="K116" s="631"/>
      <c r="L116" s="631"/>
      <c r="M116" s="631"/>
      <c r="N116" s="631"/>
      <c r="O116" s="631"/>
      <c r="P116" s="631"/>
      <c r="Q116" s="631"/>
      <c r="R116" s="631"/>
      <c r="S116" s="631"/>
      <c r="T116" s="631"/>
      <c r="U116" s="631"/>
      <c r="V116" s="631"/>
      <c r="W116" s="631"/>
      <c r="X116" s="631"/>
      <c r="Y116" s="631"/>
      <c r="Z116" s="631"/>
    </row>
    <row r="117" spans="1:26" ht="16">
      <c r="A117" s="624"/>
      <c r="B117" s="624"/>
      <c r="C117" s="631"/>
      <c r="D117" s="631"/>
      <c r="E117" s="631"/>
      <c r="F117" s="631"/>
      <c r="G117" s="631"/>
      <c r="H117" s="652"/>
      <c r="I117" s="631"/>
      <c r="J117" s="631"/>
      <c r="K117" s="631"/>
      <c r="L117" s="631"/>
      <c r="M117" s="631"/>
      <c r="N117" s="631"/>
      <c r="O117" s="631"/>
      <c r="P117" s="631"/>
      <c r="Q117" s="631"/>
      <c r="R117" s="631"/>
      <c r="S117" s="631"/>
      <c r="T117" s="631"/>
      <c r="U117" s="631"/>
      <c r="V117" s="631"/>
      <c r="W117" s="631"/>
      <c r="X117" s="631"/>
      <c r="Y117" s="631"/>
      <c r="Z117" s="631"/>
    </row>
    <row r="118" spans="1:26" ht="16">
      <c r="A118" s="624"/>
      <c r="B118" s="624"/>
      <c r="C118" s="631"/>
      <c r="D118" s="631"/>
      <c r="E118" s="631"/>
      <c r="F118" s="631"/>
      <c r="G118" s="631"/>
      <c r="H118" s="652"/>
      <c r="I118" s="631"/>
      <c r="J118" s="631"/>
      <c r="K118" s="631"/>
      <c r="L118" s="631"/>
      <c r="M118" s="631"/>
      <c r="N118" s="631"/>
      <c r="O118" s="631"/>
      <c r="P118" s="631"/>
      <c r="Q118" s="631"/>
      <c r="R118" s="631"/>
      <c r="S118" s="631"/>
      <c r="T118" s="631"/>
      <c r="U118" s="631"/>
      <c r="V118" s="631"/>
      <c r="W118" s="631"/>
      <c r="X118" s="631"/>
      <c r="Y118" s="631"/>
      <c r="Z118" s="631"/>
    </row>
    <row r="119" spans="1:26" ht="16">
      <c r="A119" s="624"/>
      <c r="B119" s="624"/>
      <c r="C119" s="631"/>
      <c r="D119" s="631"/>
      <c r="E119" s="631"/>
      <c r="F119" s="631"/>
      <c r="G119" s="631"/>
      <c r="H119" s="652"/>
      <c r="I119" s="631"/>
      <c r="J119" s="631"/>
      <c r="K119" s="631"/>
      <c r="L119" s="631"/>
      <c r="M119" s="631"/>
      <c r="N119" s="631"/>
      <c r="O119" s="631"/>
      <c r="P119" s="631"/>
      <c r="Q119" s="631"/>
      <c r="R119" s="631"/>
      <c r="S119" s="631"/>
      <c r="T119" s="631"/>
      <c r="U119" s="631"/>
      <c r="V119" s="631"/>
      <c r="W119" s="631"/>
      <c r="X119" s="631"/>
      <c r="Y119" s="631"/>
      <c r="Z119" s="631"/>
    </row>
    <row r="120" spans="1:26" ht="16">
      <c r="A120" s="624"/>
      <c r="B120" s="624"/>
      <c r="C120" s="631"/>
      <c r="D120" s="631"/>
      <c r="E120" s="631"/>
      <c r="F120" s="631"/>
      <c r="G120" s="631"/>
      <c r="H120" s="652"/>
      <c r="I120" s="631"/>
      <c r="J120" s="631"/>
      <c r="K120" s="631"/>
      <c r="L120" s="631"/>
      <c r="M120" s="631"/>
      <c r="N120" s="631"/>
      <c r="O120" s="631"/>
      <c r="P120" s="631"/>
      <c r="Q120" s="631"/>
      <c r="R120" s="631"/>
      <c r="S120" s="631"/>
      <c r="T120" s="631"/>
      <c r="U120" s="631"/>
      <c r="V120" s="631"/>
      <c r="W120" s="631"/>
      <c r="X120" s="631"/>
      <c r="Y120" s="631"/>
      <c r="Z120" s="631"/>
    </row>
    <row r="121" spans="1:26" ht="16">
      <c r="A121" s="624"/>
      <c r="B121" s="624"/>
      <c r="C121" s="631"/>
      <c r="D121" s="631"/>
      <c r="E121" s="631"/>
      <c r="F121" s="631"/>
      <c r="G121" s="631"/>
      <c r="H121" s="652"/>
      <c r="I121" s="631"/>
      <c r="J121" s="631"/>
      <c r="K121" s="631"/>
      <c r="L121" s="631"/>
      <c r="M121" s="631"/>
      <c r="N121" s="631"/>
      <c r="O121" s="631"/>
      <c r="P121" s="631"/>
      <c r="Q121" s="631"/>
      <c r="R121" s="631"/>
      <c r="S121" s="631"/>
      <c r="T121" s="631"/>
      <c r="U121" s="631"/>
      <c r="V121" s="631"/>
      <c r="W121" s="631"/>
      <c r="X121" s="631"/>
      <c r="Y121" s="631"/>
      <c r="Z121" s="631"/>
    </row>
    <row r="122" spans="1:26" ht="16">
      <c r="A122" s="624"/>
      <c r="B122" s="624"/>
      <c r="C122" s="631"/>
      <c r="D122" s="631"/>
      <c r="E122" s="631"/>
      <c r="F122" s="631"/>
      <c r="G122" s="631"/>
      <c r="H122" s="652"/>
      <c r="I122" s="631"/>
      <c r="J122" s="631"/>
      <c r="K122" s="631"/>
      <c r="L122" s="631"/>
      <c r="M122" s="631"/>
      <c r="N122" s="631"/>
      <c r="O122" s="631"/>
      <c r="P122" s="631"/>
      <c r="Q122" s="631"/>
      <c r="R122" s="631"/>
      <c r="S122" s="631"/>
      <c r="T122" s="631"/>
      <c r="U122" s="631"/>
      <c r="V122" s="631"/>
      <c r="W122" s="631"/>
      <c r="X122" s="631"/>
      <c r="Y122" s="631"/>
      <c r="Z122" s="631"/>
    </row>
    <row r="123" spans="1:26" ht="16">
      <c r="A123" s="624"/>
      <c r="B123" s="624"/>
      <c r="C123" s="631"/>
      <c r="D123" s="631"/>
      <c r="E123" s="631"/>
      <c r="F123" s="631"/>
      <c r="G123" s="631"/>
      <c r="H123" s="652"/>
      <c r="I123" s="631"/>
      <c r="J123" s="631"/>
      <c r="K123" s="631"/>
      <c r="L123" s="631"/>
      <c r="M123" s="631"/>
      <c r="N123" s="631"/>
      <c r="O123" s="631"/>
      <c r="P123" s="631"/>
      <c r="Q123" s="631"/>
      <c r="R123" s="631"/>
      <c r="S123" s="631"/>
      <c r="T123" s="631"/>
      <c r="U123" s="631"/>
      <c r="V123" s="631"/>
      <c r="W123" s="631"/>
      <c r="X123" s="631"/>
      <c r="Y123" s="631"/>
      <c r="Z123" s="631"/>
    </row>
    <row r="124" spans="1:26" ht="16">
      <c r="A124" s="624"/>
      <c r="B124" s="624"/>
      <c r="C124" s="631"/>
      <c r="D124" s="631"/>
      <c r="E124" s="631"/>
      <c r="F124" s="631"/>
      <c r="G124" s="631"/>
      <c r="H124" s="652"/>
      <c r="I124" s="631"/>
      <c r="J124" s="631"/>
      <c r="K124" s="631"/>
      <c r="L124" s="631"/>
      <c r="M124" s="631"/>
      <c r="N124" s="631"/>
      <c r="O124" s="631"/>
      <c r="P124" s="631"/>
      <c r="Q124" s="631"/>
      <c r="R124" s="631"/>
      <c r="S124" s="631"/>
      <c r="T124" s="631"/>
      <c r="U124" s="631"/>
      <c r="V124" s="631"/>
      <c r="W124" s="631"/>
      <c r="X124" s="631"/>
      <c r="Y124" s="631"/>
      <c r="Z124" s="631"/>
    </row>
    <row r="125" spans="1:26" ht="16">
      <c r="A125" s="624"/>
      <c r="B125" s="624"/>
      <c r="C125" s="631"/>
      <c r="D125" s="631"/>
      <c r="E125" s="631"/>
      <c r="F125" s="631"/>
      <c r="G125" s="631"/>
      <c r="H125" s="652"/>
      <c r="I125" s="631"/>
      <c r="J125" s="631"/>
      <c r="K125" s="631"/>
      <c r="L125" s="631"/>
      <c r="M125" s="631"/>
      <c r="N125" s="631"/>
      <c r="O125" s="631"/>
      <c r="P125" s="631"/>
      <c r="Q125" s="631"/>
      <c r="R125" s="631"/>
      <c r="S125" s="631"/>
      <c r="T125" s="631"/>
      <c r="U125" s="631"/>
      <c r="V125" s="631"/>
      <c r="W125" s="631"/>
      <c r="X125" s="631"/>
      <c r="Y125" s="631"/>
      <c r="Z125" s="631"/>
    </row>
    <row r="126" spans="1:26" ht="16">
      <c r="A126" s="624"/>
      <c r="B126" s="624"/>
      <c r="C126" s="631"/>
      <c r="D126" s="631"/>
      <c r="E126" s="631"/>
      <c r="F126" s="631"/>
      <c r="G126" s="631"/>
      <c r="H126" s="652"/>
      <c r="I126" s="631"/>
      <c r="J126" s="631"/>
      <c r="K126" s="631"/>
      <c r="L126" s="631"/>
      <c r="M126" s="631"/>
      <c r="N126" s="631"/>
      <c r="O126" s="631"/>
      <c r="P126" s="631"/>
      <c r="Q126" s="631"/>
      <c r="R126" s="631"/>
      <c r="S126" s="631"/>
      <c r="T126" s="631"/>
      <c r="U126" s="631"/>
      <c r="V126" s="631"/>
      <c r="W126" s="631"/>
      <c r="X126" s="631"/>
      <c r="Y126" s="631"/>
      <c r="Z126" s="631"/>
    </row>
    <row r="127" spans="1:26" ht="16">
      <c r="A127" s="624"/>
      <c r="B127" s="624"/>
      <c r="C127" s="631"/>
      <c r="D127" s="631"/>
      <c r="E127" s="631"/>
      <c r="F127" s="631"/>
      <c r="G127" s="631"/>
      <c r="H127" s="652"/>
      <c r="I127" s="631"/>
      <c r="J127" s="631"/>
      <c r="K127" s="631"/>
      <c r="L127" s="631"/>
      <c r="M127" s="631"/>
      <c r="N127" s="631"/>
      <c r="O127" s="631"/>
      <c r="P127" s="631"/>
      <c r="Q127" s="631"/>
      <c r="R127" s="631"/>
      <c r="S127" s="631"/>
      <c r="T127" s="631"/>
      <c r="U127" s="631"/>
      <c r="V127" s="631"/>
      <c r="W127" s="631"/>
      <c r="X127" s="631"/>
      <c r="Y127" s="631"/>
      <c r="Z127" s="631"/>
    </row>
    <row r="128" spans="1:26" ht="16">
      <c r="A128" s="624"/>
      <c r="B128" s="624"/>
      <c r="C128" s="631"/>
      <c r="D128" s="631"/>
      <c r="E128" s="631"/>
      <c r="F128" s="631"/>
      <c r="G128" s="631"/>
      <c r="H128" s="652"/>
      <c r="I128" s="631"/>
      <c r="J128" s="631"/>
      <c r="K128" s="631"/>
      <c r="L128" s="631"/>
      <c r="M128" s="631"/>
      <c r="N128" s="631"/>
      <c r="O128" s="631"/>
      <c r="P128" s="631"/>
      <c r="Q128" s="631"/>
      <c r="R128" s="631"/>
      <c r="S128" s="631"/>
      <c r="T128" s="631"/>
      <c r="U128" s="631"/>
      <c r="V128" s="631"/>
      <c r="W128" s="631"/>
      <c r="X128" s="631"/>
      <c r="Y128" s="631"/>
      <c r="Z128" s="631"/>
    </row>
    <row r="129" spans="1:26" ht="16">
      <c r="A129" s="624"/>
      <c r="B129" s="624"/>
      <c r="C129" s="631"/>
      <c r="D129" s="631"/>
      <c r="E129" s="631"/>
      <c r="F129" s="631"/>
      <c r="G129" s="631"/>
      <c r="H129" s="652"/>
      <c r="I129" s="631"/>
      <c r="J129" s="631"/>
      <c r="K129" s="631"/>
      <c r="L129" s="631"/>
      <c r="M129" s="631"/>
      <c r="N129" s="631"/>
      <c r="O129" s="631"/>
      <c r="P129" s="631"/>
      <c r="Q129" s="631"/>
      <c r="R129" s="631"/>
      <c r="S129" s="631"/>
      <c r="T129" s="631"/>
      <c r="U129" s="631"/>
      <c r="V129" s="631"/>
      <c r="W129" s="631"/>
      <c r="X129" s="631"/>
      <c r="Y129" s="631"/>
      <c r="Z129" s="631"/>
    </row>
    <row r="130" spans="1:26" ht="16">
      <c r="A130" s="624"/>
      <c r="B130" s="624"/>
      <c r="C130" s="631"/>
      <c r="D130" s="631"/>
      <c r="E130" s="631"/>
      <c r="F130" s="631"/>
      <c r="G130" s="631"/>
      <c r="H130" s="652"/>
      <c r="I130" s="631"/>
      <c r="J130" s="631"/>
      <c r="K130" s="631"/>
      <c r="L130" s="631"/>
      <c r="M130" s="631"/>
      <c r="N130" s="631"/>
      <c r="O130" s="631"/>
      <c r="P130" s="631"/>
      <c r="Q130" s="631"/>
      <c r="R130" s="631"/>
      <c r="S130" s="631"/>
      <c r="T130" s="631"/>
      <c r="U130" s="631"/>
      <c r="V130" s="631"/>
      <c r="W130" s="631"/>
      <c r="X130" s="631"/>
      <c r="Y130" s="631"/>
      <c r="Z130" s="631"/>
    </row>
    <row r="131" spans="1:26" ht="16">
      <c r="A131" s="624"/>
      <c r="B131" s="624"/>
      <c r="C131" s="631"/>
      <c r="D131" s="631"/>
      <c r="E131" s="631"/>
      <c r="F131" s="631"/>
      <c r="G131" s="631"/>
      <c r="H131" s="652"/>
      <c r="I131" s="631"/>
      <c r="J131" s="631"/>
      <c r="K131" s="631"/>
      <c r="L131" s="631"/>
      <c r="M131" s="631"/>
      <c r="N131" s="631"/>
      <c r="O131" s="631"/>
      <c r="P131" s="631"/>
      <c r="Q131" s="631"/>
      <c r="R131" s="631"/>
      <c r="S131" s="631"/>
      <c r="T131" s="631"/>
      <c r="U131" s="631"/>
      <c r="V131" s="631"/>
      <c r="W131" s="631"/>
      <c r="X131" s="631"/>
      <c r="Y131" s="631"/>
      <c r="Z131" s="631"/>
    </row>
    <row r="132" spans="1:26" ht="16">
      <c r="A132" s="624"/>
      <c r="B132" s="624"/>
      <c r="C132" s="631"/>
      <c r="D132" s="631"/>
      <c r="E132" s="631"/>
      <c r="F132" s="631"/>
      <c r="G132" s="631"/>
      <c r="H132" s="652"/>
      <c r="I132" s="631"/>
      <c r="J132" s="631"/>
      <c r="K132" s="631"/>
      <c r="L132" s="631"/>
      <c r="M132" s="631"/>
      <c r="N132" s="631"/>
      <c r="O132" s="631"/>
      <c r="P132" s="631"/>
      <c r="Q132" s="631"/>
      <c r="R132" s="631"/>
      <c r="S132" s="631"/>
      <c r="T132" s="631"/>
      <c r="U132" s="631"/>
      <c r="V132" s="631"/>
      <c r="W132" s="631"/>
      <c r="X132" s="631"/>
      <c r="Y132" s="631"/>
      <c r="Z132" s="631"/>
    </row>
    <row r="133" spans="1:26" ht="16">
      <c r="A133" s="624"/>
      <c r="B133" s="624"/>
      <c r="C133" s="631"/>
      <c r="D133" s="631"/>
      <c r="E133" s="631"/>
      <c r="F133" s="631"/>
      <c r="G133" s="631"/>
      <c r="H133" s="652"/>
      <c r="I133" s="631"/>
      <c r="J133" s="631"/>
      <c r="K133" s="631"/>
      <c r="L133" s="631"/>
      <c r="M133" s="631"/>
      <c r="N133" s="631"/>
      <c r="O133" s="631"/>
      <c r="P133" s="631"/>
      <c r="Q133" s="631"/>
      <c r="R133" s="631"/>
      <c r="S133" s="631"/>
      <c r="T133" s="631"/>
      <c r="U133" s="631"/>
      <c r="V133" s="631"/>
      <c r="W133" s="631"/>
      <c r="X133" s="631"/>
      <c r="Y133" s="631"/>
      <c r="Z133" s="631"/>
    </row>
    <row r="134" spans="1:26" ht="16">
      <c r="A134" s="624"/>
      <c r="B134" s="624"/>
      <c r="C134" s="631"/>
      <c r="D134" s="631"/>
      <c r="E134" s="631"/>
      <c r="F134" s="631"/>
      <c r="G134" s="631"/>
      <c r="H134" s="652"/>
      <c r="I134" s="631"/>
      <c r="J134" s="631"/>
      <c r="K134" s="631"/>
      <c r="L134" s="631"/>
      <c r="M134" s="631"/>
      <c r="N134" s="631"/>
      <c r="O134" s="631"/>
      <c r="P134" s="631"/>
      <c r="Q134" s="631"/>
      <c r="R134" s="631"/>
      <c r="S134" s="631"/>
      <c r="T134" s="631"/>
      <c r="U134" s="631"/>
      <c r="V134" s="631"/>
      <c r="W134" s="631"/>
      <c r="X134" s="631"/>
      <c r="Y134" s="631"/>
      <c r="Z134" s="631"/>
    </row>
    <row r="135" spans="1:26" ht="16">
      <c r="A135" s="624"/>
      <c r="B135" s="624"/>
      <c r="C135" s="631"/>
      <c r="D135" s="631"/>
      <c r="E135" s="631"/>
      <c r="F135" s="631"/>
      <c r="G135" s="631"/>
      <c r="H135" s="652"/>
      <c r="I135" s="631"/>
      <c r="J135" s="631"/>
      <c r="K135" s="631"/>
      <c r="L135" s="631"/>
      <c r="M135" s="631"/>
      <c r="N135" s="631"/>
      <c r="O135" s="631"/>
      <c r="P135" s="631"/>
      <c r="Q135" s="631"/>
      <c r="R135" s="631"/>
      <c r="S135" s="631"/>
      <c r="T135" s="631"/>
      <c r="U135" s="631"/>
      <c r="V135" s="631"/>
      <c r="W135" s="631"/>
      <c r="X135" s="631"/>
      <c r="Y135" s="631"/>
      <c r="Z135" s="631"/>
    </row>
    <row r="136" spans="1:26" ht="16">
      <c r="A136" s="624"/>
      <c r="B136" s="624"/>
      <c r="C136" s="631"/>
      <c r="D136" s="631"/>
      <c r="E136" s="631"/>
      <c r="F136" s="631"/>
      <c r="G136" s="631"/>
      <c r="H136" s="652"/>
      <c r="I136" s="631"/>
      <c r="J136" s="631"/>
      <c r="K136" s="631"/>
      <c r="L136" s="631"/>
      <c r="M136" s="631"/>
      <c r="N136" s="631"/>
      <c r="O136" s="631"/>
      <c r="P136" s="631"/>
      <c r="Q136" s="631"/>
      <c r="R136" s="631"/>
      <c r="S136" s="631"/>
      <c r="T136" s="631"/>
      <c r="U136" s="631"/>
      <c r="V136" s="631"/>
      <c r="W136" s="631"/>
      <c r="X136" s="631"/>
      <c r="Y136" s="631"/>
      <c r="Z136" s="631"/>
    </row>
    <row r="137" spans="1:26" ht="16">
      <c r="A137" s="624"/>
      <c r="B137" s="624"/>
      <c r="C137" s="631"/>
      <c r="D137" s="631"/>
      <c r="E137" s="631"/>
      <c r="F137" s="631"/>
      <c r="G137" s="631"/>
      <c r="H137" s="652"/>
      <c r="I137" s="631"/>
      <c r="J137" s="631"/>
      <c r="K137" s="631"/>
      <c r="L137" s="631"/>
      <c r="M137" s="631"/>
      <c r="N137" s="631"/>
      <c r="O137" s="631"/>
      <c r="P137" s="631"/>
      <c r="Q137" s="631"/>
      <c r="R137" s="631"/>
      <c r="S137" s="631"/>
      <c r="T137" s="631"/>
      <c r="U137" s="631"/>
      <c r="V137" s="631"/>
      <c r="W137" s="631"/>
      <c r="X137" s="631"/>
      <c r="Y137" s="631"/>
      <c r="Z137" s="631"/>
    </row>
    <row r="138" spans="1:26">
      <c r="A138" s="636" t="s">
        <v>3648</v>
      </c>
      <c r="B138" s="631"/>
      <c r="C138" s="631"/>
      <c r="D138" s="631"/>
      <c r="E138" s="631"/>
      <c r="F138" s="631"/>
      <c r="G138" s="631"/>
      <c r="H138" s="652"/>
      <c r="I138" s="631"/>
      <c r="J138" s="631"/>
      <c r="K138" s="631"/>
      <c r="L138" s="631"/>
      <c r="M138" s="631"/>
      <c r="N138" s="631"/>
      <c r="O138" s="631"/>
      <c r="P138" s="631"/>
      <c r="Q138" s="631"/>
      <c r="R138" s="631"/>
      <c r="S138" s="631"/>
      <c r="T138" s="631"/>
      <c r="U138" s="631"/>
      <c r="V138" s="631"/>
      <c r="W138" s="631"/>
      <c r="X138" s="631"/>
      <c r="Y138" s="631"/>
      <c r="Z138" s="631"/>
    </row>
    <row r="139" spans="1:26">
      <c r="A139" s="636" t="s">
        <v>3648</v>
      </c>
      <c r="B139" s="631"/>
      <c r="C139" s="631"/>
      <c r="D139" s="631"/>
      <c r="E139" s="631"/>
      <c r="F139" s="631"/>
      <c r="G139" s="631"/>
      <c r="H139" s="652"/>
      <c r="I139" s="631"/>
      <c r="J139" s="631"/>
      <c r="K139" s="631"/>
      <c r="L139" s="631"/>
      <c r="M139" s="631"/>
      <c r="N139" s="631"/>
      <c r="O139" s="631"/>
      <c r="P139" s="631"/>
      <c r="Q139" s="631"/>
      <c r="R139" s="631"/>
      <c r="S139" s="631"/>
      <c r="T139" s="631"/>
      <c r="U139" s="631"/>
      <c r="V139" s="631"/>
      <c r="W139" s="631"/>
      <c r="X139" s="631"/>
      <c r="Y139" s="631"/>
      <c r="Z139" s="631"/>
    </row>
    <row r="140" spans="1:26">
      <c r="A140" s="636" t="s">
        <v>3648</v>
      </c>
      <c r="B140" s="631"/>
      <c r="C140" s="631"/>
      <c r="D140" s="631"/>
      <c r="E140" s="631"/>
      <c r="F140" s="631"/>
      <c r="G140" s="631"/>
      <c r="H140" s="652"/>
      <c r="I140" s="631"/>
      <c r="J140" s="631"/>
      <c r="K140" s="631"/>
      <c r="L140" s="631"/>
      <c r="M140" s="631"/>
      <c r="N140" s="631"/>
      <c r="O140" s="631"/>
      <c r="P140" s="631"/>
      <c r="Q140" s="631"/>
      <c r="R140" s="631"/>
      <c r="S140" s="631"/>
      <c r="T140" s="631"/>
      <c r="U140" s="631"/>
      <c r="V140" s="631"/>
      <c r="W140" s="631"/>
      <c r="X140" s="631"/>
      <c r="Y140" s="631"/>
      <c r="Z140" s="631"/>
    </row>
    <row r="141" spans="1:26">
      <c r="A141" s="636" t="s">
        <v>3648</v>
      </c>
      <c r="B141" s="631"/>
      <c r="C141" s="631"/>
      <c r="D141" s="631"/>
      <c r="E141" s="631"/>
      <c r="F141" s="631"/>
      <c r="G141" s="631"/>
      <c r="H141" s="652"/>
      <c r="I141" s="631"/>
      <c r="J141" s="631"/>
      <c r="K141" s="631"/>
      <c r="L141" s="631"/>
      <c r="M141" s="631"/>
      <c r="N141" s="631"/>
      <c r="O141" s="631"/>
      <c r="P141" s="631"/>
      <c r="Q141" s="631"/>
      <c r="R141" s="631"/>
      <c r="S141" s="631"/>
      <c r="T141" s="631"/>
      <c r="U141" s="631"/>
      <c r="V141" s="631"/>
      <c r="W141" s="631"/>
      <c r="X141" s="631"/>
      <c r="Y141" s="631"/>
      <c r="Z141" s="631"/>
    </row>
    <row r="142" spans="1:26">
      <c r="A142" s="636" t="s">
        <v>3648</v>
      </c>
      <c r="B142" s="631"/>
      <c r="C142" s="631"/>
      <c r="D142" s="631"/>
      <c r="E142" s="631"/>
      <c r="F142" s="631"/>
      <c r="G142" s="631"/>
      <c r="H142" s="652"/>
      <c r="I142" s="631"/>
      <c r="J142" s="631"/>
      <c r="K142" s="631"/>
      <c r="L142" s="631"/>
      <c r="M142" s="631"/>
      <c r="N142" s="631"/>
      <c r="O142" s="631"/>
      <c r="P142" s="631"/>
      <c r="Q142" s="631"/>
      <c r="R142" s="631"/>
      <c r="S142" s="631"/>
      <c r="T142" s="631"/>
      <c r="U142" s="631"/>
      <c r="V142" s="631"/>
      <c r="W142" s="631"/>
      <c r="X142" s="631"/>
      <c r="Y142" s="631"/>
      <c r="Z142" s="631"/>
    </row>
    <row r="143" spans="1:26">
      <c r="A143" s="636" t="s">
        <v>3648</v>
      </c>
      <c r="B143" s="631"/>
      <c r="C143" s="631"/>
      <c r="D143" s="631"/>
      <c r="E143" s="631"/>
      <c r="F143" s="631"/>
      <c r="G143" s="631"/>
      <c r="H143" s="652"/>
      <c r="I143" s="631"/>
      <c r="J143" s="631"/>
      <c r="K143" s="631"/>
      <c r="L143" s="631"/>
      <c r="M143" s="631"/>
      <c r="N143" s="631"/>
      <c r="O143" s="631"/>
      <c r="P143" s="631"/>
      <c r="Q143" s="631"/>
      <c r="R143" s="631"/>
      <c r="S143" s="631"/>
      <c r="T143" s="631"/>
      <c r="U143" s="631"/>
      <c r="V143" s="631"/>
      <c r="W143" s="631"/>
      <c r="X143" s="631"/>
      <c r="Y143" s="631"/>
      <c r="Z143" s="631"/>
    </row>
    <row r="144" spans="1:26">
      <c r="A144" s="636" t="s">
        <v>3648</v>
      </c>
      <c r="B144" s="631"/>
      <c r="C144" s="631"/>
      <c r="D144" s="631"/>
      <c r="E144" s="631"/>
      <c r="F144" s="631"/>
      <c r="G144" s="631"/>
      <c r="H144" s="652"/>
      <c r="I144" s="631"/>
      <c r="J144" s="631"/>
      <c r="K144" s="631"/>
      <c r="L144" s="631"/>
      <c r="M144" s="631"/>
      <c r="N144" s="631"/>
      <c r="O144" s="631"/>
      <c r="P144" s="631"/>
      <c r="Q144" s="631"/>
      <c r="R144" s="631"/>
      <c r="S144" s="631"/>
      <c r="T144" s="631"/>
      <c r="U144" s="631"/>
      <c r="V144" s="631"/>
      <c r="W144" s="631"/>
      <c r="X144" s="631"/>
      <c r="Y144" s="631"/>
      <c r="Z144" s="631"/>
    </row>
    <row r="145" spans="1:26">
      <c r="A145" s="636" t="s">
        <v>3648</v>
      </c>
      <c r="B145" s="631"/>
      <c r="C145" s="631"/>
      <c r="D145" s="631"/>
      <c r="E145" s="631"/>
      <c r="F145" s="631"/>
      <c r="G145" s="631"/>
      <c r="H145" s="652"/>
      <c r="I145" s="631"/>
      <c r="J145" s="631"/>
      <c r="K145" s="631"/>
      <c r="L145" s="631"/>
      <c r="M145" s="631"/>
      <c r="N145" s="631"/>
      <c r="O145" s="631"/>
      <c r="P145" s="631"/>
      <c r="Q145" s="631"/>
      <c r="R145" s="631"/>
      <c r="S145" s="631"/>
      <c r="T145" s="631"/>
      <c r="U145" s="631"/>
      <c r="V145" s="631"/>
      <c r="W145" s="631"/>
      <c r="X145" s="631"/>
      <c r="Y145" s="631"/>
      <c r="Z145" s="631"/>
    </row>
    <row r="146" spans="1:26">
      <c r="A146" s="636" t="s">
        <v>3648</v>
      </c>
      <c r="B146" s="631"/>
      <c r="C146" s="631"/>
      <c r="D146" s="631"/>
      <c r="E146" s="631"/>
      <c r="F146" s="631"/>
      <c r="G146" s="631"/>
      <c r="H146" s="652"/>
      <c r="I146" s="631"/>
      <c r="J146" s="631"/>
      <c r="K146" s="631"/>
      <c r="L146" s="631"/>
      <c r="M146" s="631"/>
      <c r="N146" s="631"/>
      <c r="O146" s="631"/>
      <c r="P146" s="631"/>
      <c r="Q146" s="631"/>
      <c r="R146" s="631"/>
      <c r="S146" s="631"/>
      <c r="T146" s="631"/>
      <c r="U146" s="631"/>
      <c r="V146" s="631"/>
      <c r="W146" s="631"/>
      <c r="X146" s="631"/>
      <c r="Y146" s="631"/>
      <c r="Z146" s="631"/>
    </row>
    <row r="147" spans="1:26">
      <c r="A147" s="636" t="s">
        <v>3648</v>
      </c>
      <c r="B147" s="631"/>
      <c r="C147" s="631"/>
      <c r="D147" s="631"/>
      <c r="E147" s="631"/>
      <c r="F147" s="631"/>
      <c r="G147" s="631"/>
      <c r="H147" s="652"/>
      <c r="I147" s="631"/>
      <c r="J147" s="631"/>
      <c r="K147" s="631"/>
      <c r="L147" s="631"/>
      <c r="M147" s="631"/>
      <c r="N147" s="631"/>
      <c r="O147" s="631"/>
      <c r="P147" s="631"/>
      <c r="Q147" s="631"/>
      <c r="R147" s="631"/>
      <c r="S147" s="631"/>
      <c r="T147" s="631"/>
      <c r="U147" s="631"/>
      <c r="V147" s="631"/>
      <c r="W147" s="631"/>
      <c r="X147" s="631"/>
      <c r="Y147" s="631"/>
      <c r="Z147" s="631"/>
    </row>
    <row r="148" spans="1:26">
      <c r="A148" s="636" t="s">
        <v>3648</v>
      </c>
      <c r="B148" s="631"/>
      <c r="C148" s="631"/>
      <c r="D148" s="631"/>
      <c r="E148" s="631"/>
      <c r="F148" s="631"/>
      <c r="G148" s="631"/>
      <c r="H148" s="652"/>
      <c r="I148" s="631"/>
      <c r="J148" s="631"/>
      <c r="K148" s="631"/>
      <c r="L148" s="631"/>
      <c r="M148" s="631"/>
      <c r="N148" s="631"/>
      <c r="O148" s="631"/>
      <c r="P148" s="631"/>
      <c r="Q148" s="631"/>
      <c r="R148" s="631"/>
      <c r="S148" s="631"/>
      <c r="T148" s="631"/>
      <c r="U148" s="631"/>
      <c r="V148" s="631"/>
      <c r="W148" s="631"/>
      <c r="X148" s="631"/>
      <c r="Y148" s="631"/>
      <c r="Z148" s="631"/>
    </row>
    <row r="149" spans="1:26">
      <c r="A149" s="636" t="s">
        <v>3648</v>
      </c>
      <c r="B149" s="631"/>
      <c r="C149" s="631"/>
      <c r="D149" s="631"/>
      <c r="E149" s="631"/>
      <c r="F149" s="631"/>
      <c r="G149" s="631"/>
      <c r="H149" s="652"/>
      <c r="I149" s="631"/>
      <c r="J149" s="631"/>
      <c r="K149" s="631"/>
      <c r="L149" s="631"/>
      <c r="M149" s="631"/>
      <c r="N149" s="631"/>
      <c r="O149" s="631"/>
      <c r="P149" s="631"/>
      <c r="Q149" s="631"/>
      <c r="R149" s="631"/>
      <c r="S149" s="631"/>
      <c r="T149" s="631"/>
      <c r="U149" s="631"/>
      <c r="V149" s="631"/>
      <c r="W149" s="631"/>
      <c r="X149" s="631"/>
      <c r="Y149" s="631"/>
      <c r="Z149" s="631"/>
    </row>
    <row r="150" spans="1:26">
      <c r="A150" s="636" t="s">
        <v>3648</v>
      </c>
      <c r="B150" s="631"/>
      <c r="C150" s="631"/>
      <c r="D150" s="631"/>
      <c r="E150" s="631"/>
      <c r="F150" s="631"/>
      <c r="G150" s="631"/>
      <c r="H150" s="652"/>
      <c r="I150" s="631"/>
      <c r="J150" s="631"/>
      <c r="K150" s="631"/>
      <c r="L150" s="631"/>
      <c r="M150" s="631"/>
      <c r="N150" s="631"/>
      <c r="O150" s="631"/>
      <c r="P150" s="631"/>
      <c r="Q150" s="631"/>
      <c r="R150" s="631"/>
      <c r="S150" s="631"/>
      <c r="T150" s="631"/>
      <c r="U150" s="631"/>
      <c r="V150" s="631"/>
      <c r="W150" s="631"/>
      <c r="X150" s="631"/>
      <c r="Y150" s="631"/>
      <c r="Z150" s="631"/>
    </row>
    <row r="151" spans="1:26">
      <c r="A151" s="636" t="s">
        <v>3648</v>
      </c>
      <c r="B151" s="631"/>
      <c r="C151" s="631"/>
      <c r="D151" s="631"/>
      <c r="E151" s="631"/>
      <c r="F151" s="631"/>
      <c r="G151" s="631"/>
      <c r="H151" s="652"/>
      <c r="I151" s="631"/>
      <c r="J151" s="631"/>
      <c r="K151" s="631"/>
      <c r="L151" s="631"/>
      <c r="M151" s="631"/>
      <c r="N151" s="631"/>
      <c r="O151" s="631"/>
      <c r="P151" s="631"/>
      <c r="Q151" s="631"/>
      <c r="R151" s="631"/>
      <c r="S151" s="631"/>
      <c r="T151" s="631"/>
      <c r="U151" s="631"/>
      <c r="V151" s="631"/>
      <c r="W151" s="631"/>
      <c r="X151" s="631"/>
      <c r="Y151" s="631"/>
      <c r="Z151" s="631"/>
    </row>
    <row r="152" spans="1:26">
      <c r="A152" s="636" t="s">
        <v>3648</v>
      </c>
      <c r="B152" s="631"/>
      <c r="C152" s="631"/>
      <c r="D152" s="631"/>
      <c r="E152" s="631"/>
      <c r="F152" s="631"/>
      <c r="G152" s="631"/>
      <c r="H152" s="652"/>
      <c r="I152" s="631"/>
      <c r="J152" s="631"/>
      <c r="K152" s="631"/>
      <c r="L152" s="631"/>
      <c r="M152" s="631"/>
      <c r="N152" s="631"/>
      <c r="O152" s="631"/>
      <c r="P152" s="631"/>
      <c r="Q152" s="631"/>
      <c r="R152" s="631"/>
      <c r="S152" s="631"/>
      <c r="T152" s="631"/>
      <c r="U152" s="631"/>
      <c r="V152" s="631"/>
      <c r="W152" s="631"/>
      <c r="X152" s="631"/>
      <c r="Y152" s="631"/>
      <c r="Z152" s="631"/>
    </row>
    <row r="153" spans="1:26">
      <c r="A153" s="636" t="s">
        <v>3648</v>
      </c>
      <c r="B153" s="631"/>
      <c r="C153" s="631"/>
      <c r="D153" s="631"/>
      <c r="E153" s="631"/>
      <c r="F153" s="631"/>
      <c r="G153" s="631"/>
      <c r="H153" s="652"/>
      <c r="I153" s="631"/>
      <c r="J153" s="631"/>
      <c r="K153" s="631"/>
      <c r="L153" s="631"/>
      <c r="M153" s="631"/>
      <c r="N153" s="631"/>
      <c r="O153" s="631"/>
      <c r="P153" s="631"/>
      <c r="Q153" s="631"/>
      <c r="R153" s="631"/>
      <c r="S153" s="631"/>
      <c r="T153" s="631"/>
      <c r="U153" s="631"/>
      <c r="V153" s="631"/>
      <c r="W153" s="631"/>
      <c r="X153" s="631"/>
      <c r="Y153" s="631"/>
      <c r="Z153" s="631"/>
    </row>
    <row r="154" spans="1:26">
      <c r="A154" s="636" t="s">
        <v>3648</v>
      </c>
      <c r="B154" s="631"/>
      <c r="C154" s="631"/>
      <c r="D154" s="631"/>
      <c r="E154" s="631"/>
      <c r="F154" s="631"/>
      <c r="G154" s="631"/>
      <c r="H154" s="652"/>
      <c r="I154" s="631"/>
      <c r="J154" s="631"/>
      <c r="K154" s="631"/>
      <c r="L154" s="631"/>
      <c r="M154" s="631"/>
      <c r="N154" s="631"/>
      <c r="O154" s="631"/>
      <c r="P154" s="631"/>
      <c r="Q154" s="631"/>
      <c r="R154" s="631"/>
      <c r="S154" s="631"/>
      <c r="T154" s="631"/>
      <c r="U154" s="631"/>
      <c r="V154" s="631"/>
      <c r="W154" s="631"/>
      <c r="X154" s="631"/>
      <c r="Y154" s="631"/>
      <c r="Z154" s="631"/>
    </row>
    <row r="155" spans="1:26">
      <c r="A155" s="636" t="s">
        <v>3648</v>
      </c>
      <c r="B155" s="631"/>
      <c r="C155" s="631"/>
      <c r="D155" s="631"/>
      <c r="E155" s="631"/>
      <c r="F155" s="631"/>
      <c r="G155" s="631"/>
      <c r="H155" s="652"/>
      <c r="I155" s="631"/>
      <c r="J155" s="631"/>
      <c r="K155" s="631"/>
      <c r="L155" s="631"/>
      <c r="M155" s="631"/>
      <c r="N155" s="631"/>
      <c r="O155" s="631"/>
      <c r="P155" s="631"/>
      <c r="Q155" s="631"/>
      <c r="R155" s="631"/>
      <c r="S155" s="631"/>
      <c r="T155" s="631"/>
      <c r="U155" s="631"/>
      <c r="V155" s="631"/>
      <c r="W155" s="631"/>
      <c r="X155" s="631"/>
      <c r="Y155" s="631"/>
      <c r="Z155" s="631"/>
    </row>
    <row r="156" spans="1:26">
      <c r="A156" s="636" t="s">
        <v>3648</v>
      </c>
      <c r="B156" s="631"/>
      <c r="C156" s="631"/>
      <c r="D156" s="631"/>
      <c r="E156" s="631"/>
      <c r="F156" s="631"/>
      <c r="G156" s="631"/>
      <c r="H156" s="652"/>
      <c r="I156" s="631"/>
      <c r="J156" s="631"/>
      <c r="K156" s="631"/>
      <c r="L156" s="631"/>
      <c r="M156" s="631"/>
      <c r="N156" s="631"/>
      <c r="O156" s="631"/>
      <c r="P156" s="631"/>
      <c r="Q156" s="631"/>
      <c r="R156" s="631"/>
      <c r="S156" s="631"/>
      <c r="T156" s="631"/>
      <c r="U156" s="631"/>
      <c r="V156" s="631"/>
      <c r="W156" s="631"/>
      <c r="X156" s="631"/>
      <c r="Y156" s="631"/>
      <c r="Z156" s="631"/>
    </row>
    <row r="157" spans="1:26">
      <c r="A157" s="636" t="s">
        <v>3648</v>
      </c>
      <c r="B157" s="631"/>
      <c r="C157" s="631"/>
      <c r="D157" s="631"/>
      <c r="E157" s="631"/>
      <c r="F157" s="631"/>
      <c r="G157" s="631"/>
      <c r="H157" s="652"/>
      <c r="I157" s="631"/>
      <c r="J157" s="631"/>
      <c r="K157" s="631"/>
      <c r="L157" s="631"/>
      <c r="M157" s="631"/>
      <c r="N157" s="631"/>
      <c r="O157" s="631"/>
      <c r="P157" s="631"/>
      <c r="Q157" s="631"/>
      <c r="R157" s="631"/>
      <c r="S157" s="631"/>
      <c r="T157" s="631"/>
      <c r="U157" s="631"/>
      <c r="V157" s="631"/>
      <c r="W157" s="631"/>
      <c r="X157" s="631"/>
      <c r="Y157" s="631"/>
      <c r="Z157" s="631"/>
    </row>
    <row r="158" spans="1:26">
      <c r="A158" s="636" t="s">
        <v>3648</v>
      </c>
      <c r="B158" s="631"/>
      <c r="C158" s="631"/>
      <c r="D158" s="631"/>
      <c r="E158" s="631"/>
      <c r="F158" s="631"/>
      <c r="G158" s="631"/>
      <c r="H158" s="652"/>
      <c r="I158" s="631"/>
      <c r="J158" s="631"/>
      <c r="K158" s="631"/>
      <c r="L158" s="631"/>
      <c r="M158" s="631"/>
      <c r="N158" s="631"/>
      <c r="O158" s="631"/>
      <c r="P158" s="631"/>
      <c r="Q158" s="631"/>
      <c r="R158" s="631"/>
      <c r="S158" s="631"/>
      <c r="T158" s="631"/>
      <c r="U158" s="631"/>
      <c r="V158" s="631"/>
      <c r="W158" s="631"/>
      <c r="X158" s="631"/>
      <c r="Y158" s="631"/>
      <c r="Z158" s="631"/>
    </row>
    <row r="159" spans="1:26">
      <c r="A159" s="636" t="s">
        <v>3648</v>
      </c>
      <c r="B159" s="631"/>
      <c r="C159" s="631"/>
      <c r="D159" s="631"/>
      <c r="E159" s="631"/>
      <c r="F159" s="631"/>
      <c r="G159" s="631"/>
      <c r="H159" s="652"/>
      <c r="I159" s="631"/>
      <c r="J159" s="631"/>
      <c r="K159" s="631"/>
      <c r="L159" s="631"/>
      <c r="M159" s="631"/>
      <c r="N159" s="631"/>
      <c r="O159" s="631"/>
      <c r="P159" s="631"/>
      <c r="Q159" s="631"/>
      <c r="R159" s="631"/>
      <c r="S159" s="631"/>
      <c r="T159" s="631"/>
      <c r="U159" s="631"/>
      <c r="V159" s="631"/>
      <c r="W159" s="631"/>
      <c r="X159" s="631"/>
      <c r="Y159" s="631"/>
      <c r="Z159" s="631"/>
    </row>
    <row r="160" spans="1:26">
      <c r="A160" s="636" t="s">
        <v>3648</v>
      </c>
      <c r="B160" s="631"/>
      <c r="C160" s="631"/>
      <c r="D160" s="631"/>
      <c r="E160" s="631"/>
      <c r="F160" s="631"/>
      <c r="G160" s="631"/>
      <c r="H160" s="652"/>
      <c r="I160" s="631"/>
      <c r="J160" s="631"/>
      <c r="K160" s="631"/>
      <c r="L160" s="631"/>
      <c r="M160" s="631"/>
      <c r="N160" s="631"/>
      <c r="O160" s="631"/>
      <c r="P160" s="631"/>
      <c r="Q160" s="631"/>
      <c r="R160" s="631"/>
      <c r="S160" s="631"/>
      <c r="T160" s="631"/>
      <c r="U160" s="631"/>
      <c r="V160" s="631"/>
      <c r="W160" s="631"/>
      <c r="X160" s="631"/>
      <c r="Y160" s="631"/>
      <c r="Z160" s="631"/>
    </row>
    <row r="161" spans="1:26">
      <c r="A161" s="636" t="s">
        <v>3648</v>
      </c>
      <c r="B161" s="631"/>
      <c r="C161" s="631"/>
      <c r="D161" s="631"/>
      <c r="E161" s="631"/>
      <c r="F161" s="631"/>
      <c r="G161" s="631"/>
      <c r="H161" s="652"/>
      <c r="I161" s="631"/>
      <c r="J161" s="631"/>
      <c r="K161" s="631"/>
      <c r="L161" s="631"/>
      <c r="M161" s="631"/>
      <c r="N161" s="631"/>
      <c r="O161" s="631"/>
      <c r="P161" s="631"/>
      <c r="Q161" s="631"/>
      <c r="R161" s="631"/>
      <c r="S161" s="631"/>
      <c r="T161" s="631"/>
      <c r="U161" s="631"/>
      <c r="V161" s="631"/>
      <c r="W161" s="631"/>
      <c r="X161" s="631"/>
      <c r="Y161" s="631"/>
      <c r="Z161" s="631"/>
    </row>
    <row r="162" spans="1:26">
      <c r="A162" s="636" t="s">
        <v>3648</v>
      </c>
      <c r="B162" s="631"/>
      <c r="C162" s="631"/>
      <c r="D162" s="631"/>
      <c r="E162" s="631"/>
      <c r="F162" s="631"/>
      <c r="G162" s="631"/>
      <c r="H162" s="652"/>
      <c r="I162" s="631"/>
      <c r="J162" s="631"/>
      <c r="K162" s="631"/>
      <c r="L162" s="631"/>
      <c r="M162" s="631"/>
      <c r="N162" s="631"/>
      <c r="O162" s="631"/>
      <c r="P162" s="631"/>
      <c r="Q162" s="631"/>
      <c r="R162" s="631"/>
      <c r="S162" s="631"/>
      <c r="T162" s="631"/>
      <c r="U162" s="631"/>
      <c r="V162" s="631"/>
      <c r="W162" s="631"/>
      <c r="X162" s="631"/>
      <c r="Y162" s="631"/>
      <c r="Z162" s="631"/>
    </row>
    <row r="163" spans="1:26">
      <c r="A163" s="636" t="s">
        <v>3648</v>
      </c>
      <c r="B163" s="631"/>
      <c r="C163" s="631"/>
      <c r="D163" s="631"/>
      <c r="E163" s="631"/>
      <c r="F163" s="631"/>
      <c r="G163" s="631"/>
      <c r="H163" s="652"/>
      <c r="I163" s="631"/>
      <c r="J163" s="631"/>
      <c r="K163" s="631"/>
      <c r="L163" s="631"/>
      <c r="M163" s="631"/>
      <c r="N163" s="631"/>
      <c r="O163" s="631"/>
      <c r="P163" s="631"/>
      <c r="Q163" s="631"/>
      <c r="R163" s="631"/>
      <c r="S163" s="631"/>
      <c r="T163" s="631"/>
      <c r="U163" s="631"/>
      <c r="V163" s="631"/>
      <c r="W163" s="631"/>
      <c r="X163" s="631"/>
      <c r="Y163" s="631"/>
      <c r="Z163" s="631"/>
    </row>
    <row r="164" spans="1:26">
      <c r="A164" s="636" t="s">
        <v>3648</v>
      </c>
      <c r="B164" s="631"/>
      <c r="C164" s="631"/>
      <c r="D164" s="631"/>
      <c r="E164" s="631"/>
      <c r="F164" s="631"/>
      <c r="G164" s="631"/>
      <c r="H164" s="652"/>
      <c r="I164" s="631"/>
      <c r="J164" s="631"/>
      <c r="K164" s="631"/>
      <c r="L164" s="631"/>
      <c r="M164" s="631"/>
      <c r="N164" s="631"/>
      <c r="O164" s="631"/>
      <c r="P164" s="631"/>
      <c r="Q164" s="631"/>
      <c r="R164" s="631"/>
      <c r="S164" s="631"/>
      <c r="T164" s="631"/>
      <c r="U164" s="631"/>
      <c r="V164" s="631"/>
      <c r="W164" s="631"/>
      <c r="X164" s="631"/>
      <c r="Y164" s="631"/>
      <c r="Z164" s="631"/>
    </row>
    <row r="165" spans="1:26">
      <c r="A165" s="636" t="s">
        <v>3648</v>
      </c>
      <c r="B165" s="631"/>
      <c r="C165" s="631"/>
      <c r="D165" s="631"/>
      <c r="E165" s="631"/>
      <c r="F165" s="631"/>
      <c r="G165" s="631"/>
      <c r="H165" s="652"/>
      <c r="I165" s="631"/>
      <c r="J165" s="631"/>
      <c r="K165" s="631"/>
      <c r="L165" s="631"/>
      <c r="M165" s="631"/>
      <c r="N165" s="631"/>
      <c r="O165" s="631"/>
      <c r="P165" s="631"/>
      <c r="Q165" s="631"/>
      <c r="R165" s="631"/>
      <c r="S165" s="631"/>
      <c r="T165" s="631"/>
      <c r="U165" s="631"/>
      <c r="V165" s="631"/>
      <c r="W165" s="631"/>
      <c r="X165" s="631"/>
      <c r="Y165" s="631"/>
      <c r="Z165" s="631"/>
    </row>
    <row r="166" spans="1:26">
      <c r="A166" s="636" t="s">
        <v>3648</v>
      </c>
      <c r="B166" s="631"/>
      <c r="C166" s="631"/>
      <c r="D166" s="631"/>
      <c r="E166" s="631"/>
      <c r="F166" s="631"/>
      <c r="G166" s="631"/>
      <c r="H166" s="652"/>
      <c r="I166" s="631"/>
      <c r="J166" s="631"/>
      <c r="K166" s="631"/>
      <c r="L166" s="631"/>
      <c r="M166" s="631"/>
      <c r="N166" s="631"/>
      <c r="O166" s="631"/>
      <c r="P166" s="631"/>
      <c r="Q166" s="631"/>
      <c r="R166" s="631"/>
      <c r="S166" s="631"/>
      <c r="T166" s="631"/>
      <c r="U166" s="631"/>
      <c r="V166" s="631"/>
      <c r="W166" s="631"/>
      <c r="X166" s="631"/>
      <c r="Y166" s="631"/>
      <c r="Z166" s="631"/>
    </row>
    <row r="167" spans="1:26">
      <c r="A167" s="636" t="s">
        <v>3648</v>
      </c>
      <c r="B167" s="631"/>
      <c r="C167" s="631"/>
      <c r="D167" s="631"/>
      <c r="E167" s="631"/>
      <c r="F167" s="631"/>
      <c r="G167" s="631"/>
      <c r="H167" s="652"/>
      <c r="I167" s="631"/>
      <c r="J167" s="631"/>
      <c r="K167" s="631"/>
      <c r="L167" s="631"/>
      <c r="M167" s="631"/>
      <c r="N167" s="631"/>
      <c r="O167" s="631"/>
      <c r="P167" s="631"/>
      <c r="Q167" s="631"/>
      <c r="R167" s="631"/>
      <c r="S167" s="631"/>
      <c r="T167" s="631"/>
      <c r="U167" s="631"/>
      <c r="V167" s="631"/>
      <c r="W167" s="631"/>
      <c r="X167" s="631"/>
      <c r="Y167" s="631"/>
      <c r="Z167" s="631"/>
    </row>
    <row r="168" spans="1:26">
      <c r="A168" s="636" t="s">
        <v>3648</v>
      </c>
      <c r="B168" s="631"/>
      <c r="C168" s="631"/>
      <c r="D168" s="631"/>
      <c r="E168" s="631"/>
      <c r="F168" s="631"/>
      <c r="G168" s="631"/>
      <c r="H168" s="652"/>
      <c r="I168" s="631"/>
      <c r="J168" s="631"/>
      <c r="K168" s="631"/>
      <c r="L168" s="631"/>
      <c r="M168" s="631"/>
      <c r="N168" s="631"/>
      <c r="O168" s="631"/>
      <c r="P168" s="631"/>
      <c r="Q168" s="631"/>
      <c r="R168" s="631"/>
      <c r="S168" s="631"/>
      <c r="T168" s="631"/>
      <c r="U168" s="631"/>
      <c r="V168" s="631"/>
      <c r="W168" s="631"/>
      <c r="X168" s="631"/>
      <c r="Y168" s="631"/>
      <c r="Z168" s="631"/>
    </row>
    <row r="169" spans="1:26">
      <c r="A169" s="636" t="s">
        <v>3648</v>
      </c>
      <c r="B169" s="631"/>
      <c r="C169" s="631"/>
      <c r="D169" s="631"/>
      <c r="E169" s="631"/>
      <c r="F169" s="631"/>
      <c r="G169" s="631"/>
      <c r="H169" s="652"/>
      <c r="I169" s="631"/>
      <c r="J169" s="631"/>
      <c r="K169" s="631"/>
      <c r="L169" s="631"/>
      <c r="M169" s="631"/>
      <c r="N169" s="631"/>
      <c r="O169" s="631"/>
      <c r="P169" s="631"/>
      <c r="Q169" s="631"/>
      <c r="R169" s="631"/>
      <c r="S169" s="631"/>
      <c r="T169" s="631"/>
      <c r="U169" s="631"/>
      <c r="V169" s="631"/>
      <c r="W169" s="631"/>
      <c r="X169" s="631"/>
      <c r="Y169" s="631"/>
      <c r="Z169" s="631"/>
    </row>
    <row r="170" spans="1:26">
      <c r="A170" s="636" t="s">
        <v>3648</v>
      </c>
      <c r="B170" s="631"/>
      <c r="C170" s="631"/>
      <c r="D170" s="631"/>
      <c r="E170" s="631"/>
      <c r="F170" s="631"/>
      <c r="G170" s="631"/>
      <c r="H170" s="652"/>
      <c r="I170" s="631"/>
      <c r="J170" s="631"/>
      <c r="K170" s="631"/>
      <c r="L170" s="631"/>
      <c r="M170" s="631"/>
      <c r="N170" s="631"/>
      <c r="O170" s="631"/>
      <c r="P170" s="631"/>
      <c r="Q170" s="631"/>
      <c r="R170" s="631"/>
      <c r="S170" s="631"/>
      <c r="T170" s="631"/>
      <c r="U170" s="631"/>
      <c r="V170" s="631"/>
      <c r="W170" s="631"/>
      <c r="X170" s="631"/>
      <c r="Y170" s="631"/>
      <c r="Z170" s="631"/>
    </row>
    <row r="171" spans="1:26">
      <c r="A171" s="636" t="s">
        <v>3648</v>
      </c>
      <c r="B171" s="631"/>
      <c r="C171" s="631"/>
      <c r="D171" s="631"/>
      <c r="E171" s="631"/>
      <c r="F171" s="631"/>
      <c r="G171" s="631"/>
      <c r="H171" s="652"/>
      <c r="I171" s="631"/>
      <c r="J171" s="631"/>
      <c r="K171" s="631"/>
      <c r="L171" s="631"/>
      <c r="M171" s="631"/>
      <c r="N171" s="631"/>
      <c r="O171" s="631"/>
      <c r="P171" s="631"/>
      <c r="Q171" s="631"/>
      <c r="R171" s="631"/>
      <c r="S171" s="631"/>
      <c r="T171" s="631"/>
      <c r="U171" s="631"/>
      <c r="V171" s="631"/>
      <c r="W171" s="631"/>
      <c r="X171" s="631"/>
      <c r="Y171" s="631"/>
      <c r="Z171" s="631"/>
    </row>
    <row r="172" spans="1:26">
      <c r="A172" s="636" t="s">
        <v>3648</v>
      </c>
      <c r="B172" s="631"/>
      <c r="C172" s="631"/>
      <c r="D172" s="631"/>
      <c r="E172" s="631"/>
      <c r="F172" s="631"/>
      <c r="G172" s="631"/>
      <c r="H172" s="652"/>
      <c r="I172" s="631"/>
      <c r="J172" s="631"/>
      <c r="K172" s="631"/>
      <c r="L172" s="631"/>
      <c r="M172" s="631"/>
      <c r="N172" s="631"/>
      <c r="O172" s="631"/>
      <c r="P172" s="631"/>
      <c r="Q172" s="631"/>
      <c r="R172" s="631"/>
      <c r="S172" s="631"/>
      <c r="T172" s="631"/>
      <c r="U172" s="631"/>
      <c r="V172" s="631"/>
      <c r="W172" s="631"/>
      <c r="X172" s="631"/>
      <c r="Y172" s="631"/>
      <c r="Z172" s="631"/>
    </row>
    <row r="173" spans="1:26">
      <c r="A173" s="636" t="s">
        <v>3648</v>
      </c>
      <c r="B173" s="631"/>
      <c r="C173" s="631"/>
      <c r="D173" s="631"/>
      <c r="E173" s="631"/>
      <c r="F173" s="631"/>
      <c r="G173" s="631"/>
      <c r="H173" s="652"/>
      <c r="I173" s="631"/>
      <c r="J173" s="631"/>
      <c r="K173" s="631"/>
      <c r="L173" s="631"/>
      <c r="M173" s="631"/>
      <c r="N173" s="631"/>
      <c r="O173" s="631"/>
      <c r="P173" s="631"/>
      <c r="Q173" s="631"/>
      <c r="R173" s="631"/>
      <c r="S173" s="631"/>
      <c r="T173" s="631"/>
      <c r="U173" s="631"/>
      <c r="V173" s="631"/>
      <c r="W173" s="631"/>
      <c r="X173" s="631"/>
      <c r="Y173" s="631"/>
      <c r="Z173" s="631"/>
    </row>
    <row r="174" spans="1:26">
      <c r="A174" s="636" t="s">
        <v>3648</v>
      </c>
      <c r="B174" s="631"/>
      <c r="C174" s="631"/>
      <c r="D174" s="631"/>
      <c r="E174" s="631"/>
      <c r="F174" s="631"/>
      <c r="G174" s="631"/>
      <c r="H174" s="652"/>
      <c r="I174" s="631"/>
      <c r="J174" s="631"/>
      <c r="K174" s="631"/>
      <c r="L174" s="631"/>
      <c r="M174" s="631"/>
      <c r="N174" s="631"/>
      <c r="O174" s="631"/>
      <c r="P174" s="631"/>
      <c r="Q174" s="631"/>
      <c r="R174" s="631"/>
      <c r="S174" s="631"/>
      <c r="T174" s="631"/>
      <c r="U174" s="631"/>
      <c r="V174" s="631"/>
      <c r="W174" s="631"/>
      <c r="X174" s="631"/>
      <c r="Y174" s="631"/>
      <c r="Z174" s="631"/>
    </row>
    <row r="175" spans="1:26">
      <c r="A175" s="636" t="s">
        <v>3648</v>
      </c>
      <c r="B175" s="631"/>
      <c r="C175" s="631"/>
      <c r="D175" s="631"/>
      <c r="E175" s="631"/>
      <c r="F175" s="631"/>
      <c r="G175" s="631"/>
      <c r="H175" s="652"/>
      <c r="I175" s="631"/>
      <c r="J175" s="631"/>
      <c r="K175" s="631"/>
      <c r="L175" s="631"/>
      <c r="M175" s="631"/>
      <c r="N175" s="631"/>
      <c r="O175" s="631"/>
      <c r="P175" s="631"/>
      <c r="Q175" s="631"/>
      <c r="R175" s="631"/>
      <c r="S175" s="631"/>
      <c r="T175" s="631"/>
      <c r="U175" s="631"/>
      <c r="V175" s="631"/>
      <c r="W175" s="631"/>
      <c r="X175" s="631"/>
      <c r="Y175" s="631"/>
      <c r="Z175" s="631"/>
    </row>
    <row r="176" spans="1:26">
      <c r="A176" s="636" t="s">
        <v>3648</v>
      </c>
      <c r="B176" s="631"/>
      <c r="C176" s="631"/>
      <c r="D176" s="631"/>
      <c r="E176" s="631"/>
      <c r="F176" s="631"/>
      <c r="G176" s="631"/>
      <c r="H176" s="652"/>
      <c r="I176" s="631"/>
      <c r="J176" s="631"/>
      <c r="K176" s="631"/>
      <c r="L176" s="631"/>
      <c r="M176" s="631"/>
      <c r="N176" s="631"/>
      <c r="O176" s="631"/>
      <c r="P176" s="631"/>
      <c r="Q176" s="631"/>
      <c r="R176" s="631"/>
      <c r="S176" s="631"/>
      <c r="T176" s="631"/>
      <c r="U176" s="631"/>
      <c r="V176" s="631"/>
      <c r="W176" s="631"/>
      <c r="X176" s="631"/>
      <c r="Y176" s="631"/>
      <c r="Z176" s="631"/>
    </row>
    <row r="177" spans="1:26">
      <c r="A177" s="636" t="s">
        <v>3648</v>
      </c>
      <c r="B177" s="631"/>
      <c r="C177" s="631"/>
      <c r="D177" s="631"/>
      <c r="E177" s="631"/>
      <c r="F177" s="631"/>
      <c r="G177" s="631"/>
      <c r="H177" s="652"/>
      <c r="I177" s="631"/>
      <c r="J177" s="631"/>
      <c r="K177" s="631"/>
      <c r="L177" s="631"/>
      <c r="M177" s="631"/>
      <c r="N177" s="631"/>
      <c r="O177" s="631"/>
      <c r="P177" s="631"/>
      <c r="Q177" s="631"/>
      <c r="R177" s="631"/>
      <c r="S177" s="631"/>
      <c r="T177" s="631"/>
      <c r="U177" s="631"/>
      <c r="V177" s="631"/>
      <c r="W177" s="631"/>
      <c r="X177" s="631"/>
      <c r="Y177" s="631"/>
      <c r="Z177" s="631"/>
    </row>
    <row r="178" spans="1:26">
      <c r="A178" s="636" t="s">
        <v>3648</v>
      </c>
      <c r="B178" s="631"/>
      <c r="C178" s="631"/>
      <c r="D178" s="631"/>
      <c r="E178" s="631"/>
      <c r="F178" s="631"/>
      <c r="G178" s="631"/>
      <c r="H178" s="652"/>
      <c r="I178" s="631"/>
      <c r="J178" s="631"/>
      <c r="K178" s="631"/>
      <c r="L178" s="631"/>
      <c r="M178" s="631"/>
      <c r="N178" s="631"/>
      <c r="O178" s="631"/>
      <c r="P178" s="631"/>
      <c r="Q178" s="631"/>
      <c r="R178" s="631"/>
      <c r="S178" s="631"/>
      <c r="T178" s="631"/>
      <c r="U178" s="631"/>
      <c r="V178" s="631"/>
      <c r="W178" s="631"/>
      <c r="X178" s="631"/>
      <c r="Y178" s="631"/>
      <c r="Z178" s="631"/>
    </row>
    <row r="179" spans="1:26">
      <c r="A179" s="636" t="s">
        <v>3648</v>
      </c>
      <c r="B179" s="631"/>
      <c r="C179" s="631"/>
      <c r="D179" s="631"/>
      <c r="E179" s="631"/>
      <c r="F179" s="631"/>
      <c r="G179" s="631"/>
      <c r="H179" s="652"/>
      <c r="I179" s="631"/>
      <c r="J179" s="631"/>
      <c r="K179" s="631"/>
      <c r="L179" s="631"/>
      <c r="M179" s="631"/>
      <c r="N179" s="631"/>
      <c r="O179" s="631"/>
      <c r="P179" s="631"/>
      <c r="Q179" s="631"/>
      <c r="R179" s="631"/>
      <c r="S179" s="631"/>
      <c r="T179" s="631"/>
      <c r="U179" s="631"/>
      <c r="V179" s="631"/>
      <c r="W179" s="631"/>
      <c r="X179" s="631"/>
      <c r="Y179" s="631"/>
      <c r="Z179" s="631"/>
    </row>
    <row r="180" spans="1:26">
      <c r="A180" s="636" t="s">
        <v>3648</v>
      </c>
      <c r="B180" s="631"/>
      <c r="C180" s="631"/>
      <c r="D180" s="631"/>
      <c r="E180" s="631"/>
      <c r="F180" s="631"/>
      <c r="G180" s="631"/>
      <c r="H180" s="652"/>
      <c r="I180" s="631"/>
      <c r="J180" s="631"/>
      <c r="K180" s="631"/>
      <c r="L180" s="631"/>
      <c r="M180" s="631"/>
      <c r="N180" s="631"/>
      <c r="O180" s="631"/>
      <c r="P180" s="631"/>
      <c r="Q180" s="631"/>
      <c r="R180" s="631"/>
      <c r="S180" s="631"/>
      <c r="T180" s="631"/>
      <c r="U180" s="631"/>
      <c r="V180" s="631"/>
      <c r="W180" s="631"/>
      <c r="X180" s="631"/>
      <c r="Y180" s="631"/>
      <c r="Z180" s="631"/>
    </row>
    <row r="181" spans="1:26">
      <c r="A181" s="636" t="s">
        <v>3648</v>
      </c>
      <c r="B181" s="631"/>
      <c r="C181" s="631"/>
      <c r="D181" s="631"/>
      <c r="E181" s="631"/>
      <c r="F181" s="631"/>
      <c r="G181" s="631"/>
      <c r="H181" s="652"/>
      <c r="I181" s="631"/>
      <c r="J181" s="631"/>
      <c r="K181" s="631"/>
      <c r="L181" s="631"/>
      <c r="M181" s="631"/>
      <c r="N181" s="631"/>
      <c r="O181" s="631"/>
      <c r="P181" s="631"/>
      <c r="Q181" s="631"/>
      <c r="R181" s="631"/>
      <c r="S181" s="631"/>
      <c r="T181" s="631"/>
      <c r="U181" s="631"/>
      <c r="V181" s="631"/>
      <c r="W181" s="631"/>
      <c r="X181" s="631"/>
      <c r="Y181" s="631"/>
      <c r="Z181" s="631"/>
    </row>
    <row r="182" spans="1:26">
      <c r="A182" s="636" t="s">
        <v>3648</v>
      </c>
      <c r="B182" s="631"/>
      <c r="C182" s="631"/>
      <c r="D182" s="631"/>
      <c r="E182" s="631"/>
      <c r="F182" s="631"/>
      <c r="G182" s="631"/>
      <c r="H182" s="652"/>
      <c r="I182" s="631"/>
      <c r="J182" s="631"/>
      <c r="K182" s="631"/>
      <c r="L182" s="631"/>
      <c r="M182" s="631"/>
      <c r="N182" s="631"/>
      <c r="O182" s="631"/>
      <c r="P182" s="631"/>
      <c r="Q182" s="631"/>
      <c r="R182" s="631"/>
      <c r="S182" s="631"/>
      <c r="T182" s="631"/>
      <c r="U182" s="631"/>
      <c r="V182" s="631"/>
      <c r="W182" s="631"/>
      <c r="X182" s="631"/>
      <c r="Y182" s="631"/>
      <c r="Z182" s="631"/>
    </row>
    <row r="183" spans="1:26">
      <c r="A183" s="636" t="s">
        <v>3648</v>
      </c>
      <c r="B183" s="631"/>
      <c r="C183" s="631"/>
      <c r="D183" s="631"/>
      <c r="E183" s="631"/>
      <c r="F183" s="631"/>
      <c r="G183" s="631"/>
      <c r="H183" s="652"/>
      <c r="I183" s="631"/>
      <c r="J183" s="631"/>
      <c r="K183" s="631"/>
      <c r="L183" s="631"/>
      <c r="M183" s="631"/>
      <c r="N183" s="631"/>
      <c r="O183" s="631"/>
      <c r="P183" s="631"/>
      <c r="Q183" s="631"/>
      <c r="R183" s="631"/>
      <c r="S183" s="631"/>
      <c r="T183" s="631"/>
      <c r="U183" s="631"/>
      <c r="V183" s="631"/>
      <c r="W183" s="631"/>
      <c r="X183" s="631"/>
      <c r="Y183" s="631"/>
      <c r="Z183" s="631"/>
    </row>
    <row r="184" spans="1:26">
      <c r="A184" s="636" t="s">
        <v>3648</v>
      </c>
      <c r="B184" s="631"/>
      <c r="C184" s="631"/>
      <c r="D184" s="631"/>
      <c r="E184" s="631"/>
      <c r="F184" s="631"/>
      <c r="G184" s="631"/>
      <c r="H184" s="652"/>
      <c r="I184" s="631"/>
      <c r="J184" s="631"/>
      <c r="K184" s="631"/>
      <c r="L184" s="631"/>
      <c r="M184" s="631"/>
      <c r="N184" s="631"/>
      <c r="O184" s="631"/>
      <c r="P184" s="631"/>
      <c r="Q184" s="631"/>
      <c r="R184" s="631"/>
      <c r="S184" s="631"/>
      <c r="T184" s="631"/>
      <c r="U184" s="631"/>
      <c r="V184" s="631"/>
      <c r="W184" s="631"/>
      <c r="X184" s="631"/>
      <c r="Y184" s="631"/>
      <c r="Z184" s="631"/>
    </row>
    <row r="185" spans="1:26">
      <c r="A185" s="636" t="s">
        <v>3648</v>
      </c>
      <c r="B185" s="631"/>
      <c r="C185" s="631"/>
      <c r="D185" s="631"/>
      <c r="E185" s="631"/>
      <c r="F185" s="631"/>
      <c r="G185" s="631"/>
      <c r="H185" s="652"/>
      <c r="I185" s="631"/>
      <c r="J185" s="631"/>
      <c r="K185" s="631"/>
      <c r="L185" s="631"/>
      <c r="M185" s="631"/>
      <c r="N185" s="631"/>
      <c r="O185" s="631"/>
      <c r="P185" s="631"/>
      <c r="Q185" s="631"/>
      <c r="R185" s="631"/>
      <c r="S185" s="631"/>
      <c r="T185" s="631"/>
      <c r="U185" s="631"/>
      <c r="V185" s="631"/>
      <c r="W185" s="631"/>
      <c r="X185" s="631"/>
      <c r="Y185" s="631"/>
      <c r="Z185" s="631"/>
    </row>
    <row r="186" spans="1:26">
      <c r="A186" s="636" t="s">
        <v>3648</v>
      </c>
      <c r="B186" s="631"/>
      <c r="C186" s="631"/>
      <c r="D186" s="631"/>
      <c r="E186" s="631"/>
      <c r="F186" s="631"/>
      <c r="G186" s="631"/>
      <c r="H186" s="652"/>
      <c r="I186" s="631"/>
      <c r="J186" s="631"/>
      <c r="K186" s="631"/>
      <c r="L186" s="631"/>
      <c r="M186" s="631"/>
      <c r="N186" s="631"/>
      <c r="O186" s="631"/>
      <c r="P186" s="631"/>
      <c r="Q186" s="631"/>
      <c r="R186" s="631"/>
      <c r="S186" s="631"/>
      <c r="T186" s="631"/>
      <c r="U186" s="631"/>
      <c r="V186" s="631"/>
      <c r="W186" s="631"/>
      <c r="X186" s="631"/>
      <c r="Y186" s="631"/>
      <c r="Z186" s="631"/>
    </row>
    <row r="187" spans="1:26">
      <c r="A187" s="636" t="s">
        <v>3648</v>
      </c>
      <c r="B187" s="631"/>
      <c r="C187" s="631"/>
      <c r="D187" s="631"/>
      <c r="E187" s="631"/>
      <c r="F187" s="631"/>
      <c r="G187" s="631"/>
      <c r="H187" s="652"/>
      <c r="I187" s="631"/>
      <c r="J187" s="631"/>
      <c r="K187" s="631"/>
      <c r="L187" s="631"/>
      <c r="M187" s="631"/>
      <c r="N187" s="631"/>
      <c r="O187" s="631"/>
      <c r="P187" s="631"/>
      <c r="Q187" s="631"/>
      <c r="R187" s="631"/>
      <c r="S187" s="631"/>
      <c r="T187" s="631"/>
      <c r="U187" s="631"/>
      <c r="V187" s="631"/>
      <c r="W187" s="631"/>
      <c r="X187" s="631"/>
      <c r="Y187" s="631"/>
      <c r="Z187" s="631"/>
    </row>
    <row r="188" spans="1:26">
      <c r="A188" s="636" t="s">
        <v>3648</v>
      </c>
      <c r="B188" s="631"/>
      <c r="C188" s="631"/>
      <c r="D188" s="631"/>
      <c r="E188" s="631"/>
      <c r="F188" s="631"/>
      <c r="G188" s="631"/>
      <c r="H188" s="652"/>
      <c r="I188" s="631"/>
      <c r="J188" s="631"/>
      <c r="K188" s="631"/>
      <c r="L188" s="631"/>
      <c r="M188" s="631"/>
      <c r="N188" s="631"/>
      <c r="O188" s="631"/>
      <c r="P188" s="631"/>
      <c r="Q188" s="631"/>
      <c r="R188" s="631"/>
      <c r="S188" s="631"/>
      <c r="T188" s="631"/>
      <c r="U188" s="631"/>
      <c r="V188" s="631"/>
      <c r="W188" s="631"/>
      <c r="X188" s="631"/>
      <c r="Y188" s="631"/>
      <c r="Z188" s="631"/>
    </row>
    <row r="189" spans="1:26">
      <c r="A189" s="636" t="s">
        <v>3648</v>
      </c>
      <c r="B189" s="631"/>
      <c r="C189" s="631"/>
      <c r="D189" s="631"/>
      <c r="E189" s="631"/>
      <c r="F189" s="631"/>
      <c r="G189" s="631"/>
      <c r="H189" s="652"/>
      <c r="I189" s="631"/>
      <c r="J189" s="631"/>
      <c r="K189" s="631"/>
      <c r="L189" s="631"/>
      <c r="M189" s="631"/>
      <c r="N189" s="631"/>
      <c r="O189" s="631"/>
      <c r="P189" s="631"/>
      <c r="Q189" s="631"/>
      <c r="R189" s="631"/>
      <c r="S189" s="631"/>
      <c r="T189" s="631"/>
      <c r="U189" s="631"/>
      <c r="V189" s="631"/>
      <c r="W189" s="631"/>
      <c r="X189" s="631"/>
      <c r="Y189" s="631"/>
      <c r="Z189" s="631"/>
    </row>
    <row r="190" spans="1:26">
      <c r="A190" s="636" t="s">
        <v>3648</v>
      </c>
      <c r="B190" s="631"/>
      <c r="C190" s="631"/>
      <c r="D190" s="631"/>
      <c r="E190" s="631"/>
      <c r="F190" s="631"/>
      <c r="G190" s="631"/>
      <c r="H190" s="652"/>
      <c r="I190" s="631"/>
      <c r="J190" s="631"/>
      <c r="K190" s="631"/>
      <c r="L190" s="631"/>
      <c r="M190" s="631"/>
      <c r="N190" s="631"/>
      <c r="O190" s="631"/>
      <c r="P190" s="631"/>
      <c r="Q190" s="631"/>
      <c r="R190" s="631"/>
      <c r="S190" s="631"/>
      <c r="T190" s="631"/>
      <c r="U190" s="631"/>
      <c r="V190" s="631"/>
      <c r="W190" s="631"/>
      <c r="X190" s="631"/>
      <c r="Y190" s="631"/>
      <c r="Z190" s="631"/>
    </row>
    <row r="191" spans="1:26">
      <c r="A191" s="636" t="s">
        <v>3648</v>
      </c>
      <c r="B191" s="631"/>
      <c r="C191" s="631"/>
      <c r="D191" s="631"/>
      <c r="E191" s="631"/>
      <c r="F191" s="631"/>
      <c r="G191" s="631"/>
      <c r="H191" s="652"/>
      <c r="I191" s="631"/>
      <c r="J191" s="631"/>
      <c r="K191" s="631"/>
      <c r="L191" s="631"/>
      <c r="M191" s="631"/>
      <c r="N191" s="631"/>
      <c r="O191" s="631"/>
      <c r="P191" s="631"/>
      <c r="Q191" s="631"/>
      <c r="R191" s="631"/>
      <c r="S191" s="631"/>
      <c r="T191" s="631"/>
      <c r="U191" s="631"/>
      <c r="V191" s="631"/>
      <c r="W191" s="631"/>
      <c r="X191" s="631"/>
      <c r="Y191" s="631"/>
      <c r="Z191" s="631"/>
    </row>
    <row r="192" spans="1:26">
      <c r="A192" s="636" t="s">
        <v>3648</v>
      </c>
      <c r="B192" s="631"/>
      <c r="C192" s="631"/>
      <c r="D192" s="631"/>
      <c r="E192" s="631"/>
      <c r="F192" s="631"/>
      <c r="G192" s="631"/>
      <c r="H192" s="652"/>
      <c r="I192" s="631"/>
      <c r="J192" s="631"/>
      <c r="K192" s="631"/>
      <c r="L192" s="631"/>
      <c r="M192" s="631"/>
      <c r="N192" s="631"/>
      <c r="O192" s="631"/>
      <c r="P192" s="631"/>
      <c r="Q192" s="631"/>
      <c r="R192" s="631"/>
      <c r="S192" s="631"/>
      <c r="T192" s="631"/>
      <c r="U192" s="631"/>
      <c r="V192" s="631"/>
      <c r="W192" s="631"/>
      <c r="X192" s="631"/>
      <c r="Y192" s="631"/>
      <c r="Z192" s="631"/>
    </row>
    <row r="193" spans="1:26">
      <c r="A193" s="636" t="s">
        <v>3648</v>
      </c>
      <c r="B193" s="631"/>
      <c r="C193" s="631"/>
      <c r="D193" s="631"/>
      <c r="E193" s="631"/>
      <c r="F193" s="631"/>
      <c r="G193" s="631"/>
      <c r="H193" s="652"/>
      <c r="I193" s="631"/>
      <c r="J193" s="631"/>
      <c r="K193" s="631"/>
      <c r="L193" s="631"/>
      <c r="M193" s="631"/>
      <c r="N193" s="631"/>
      <c r="O193" s="631"/>
      <c r="P193" s="631"/>
      <c r="Q193" s="631"/>
      <c r="R193" s="631"/>
      <c r="S193" s="631"/>
      <c r="T193" s="631"/>
      <c r="U193" s="631"/>
      <c r="V193" s="631"/>
      <c r="W193" s="631"/>
      <c r="X193" s="631"/>
      <c r="Y193" s="631"/>
      <c r="Z193" s="631"/>
    </row>
    <row r="194" spans="1:26">
      <c r="A194" s="636" t="s">
        <v>3648</v>
      </c>
      <c r="B194" s="631"/>
      <c r="C194" s="631"/>
      <c r="D194" s="631"/>
      <c r="E194" s="631"/>
      <c r="F194" s="631"/>
      <c r="G194" s="631"/>
      <c r="H194" s="652"/>
      <c r="I194" s="631"/>
      <c r="J194" s="631"/>
      <c r="K194" s="631"/>
      <c r="L194" s="631"/>
      <c r="M194" s="631"/>
      <c r="N194" s="631"/>
      <c r="O194" s="631"/>
      <c r="P194" s="631"/>
      <c r="Q194" s="631"/>
      <c r="R194" s="631"/>
      <c r="S194" s="631"/>
      <c r="T194" s="631"/>
      <c r="U194" s="631"/>
      <c r="V194" s="631"/>
      <c r="W194" s="631"/>
      <c r="X194" s="631"/>
      <c r="Y194" s="631"/>
      <c r="Z194" s="631"/>
    </row>
    <row r="195" spans="1:26">
      <c r="A195" s="636" t="s">
        <v>3648</v>
      </c>
      <c r="B195" s="631"/>
      <c r="C195" s="631"/>
      <c r="D195" s="631"/>
      <c r="E195" s="631"/>
      <c r="F195" s="631"/>
      <c r="G195" s="631"/>
      <c r="H195" s="652"/>
      <c r="I195" s="631"/>
      <c r="J195" s="631"/>
      <c r="K195" s="631"/>
      <c r="L195" s="631"/>
      <c r="M195" s="631"/>
      <c r="N195" s="631"/>
      <c r="O195" s="631"/>
      <c r="P195" s="631"/>
      <c r="Q195" s="631"/>
      <c r="R195" s="631"/>
      <c r="S195" s="631"/>
      <c r="T195" s="631"/>
      <c r="U195" s="631"/>
      <c r="V195" s="631"/>
      <c r="W195" s="631"/>
      <c r="X195" s="631"/>
      <c r="Y195" s="631"/>
      <c r="Z195" s="631"/>
    </row>
    <row r="196" spans="1:26">
      <c r="A196" s="636" t="s">
        <v>3648</v>
      </c>
      <c r="B196" s="631"/>
      <c r="C196" s="631"/>
      <c r="D196" s="631"/>
      <c r="E196" s="631"/>
      <c r="F196" s="631"/>
      <c r="G196" s="631"/>
      <c r="H196" s="652"/>
      <c r="I196" s="631"/>
      <c r="J196" s="631"/>
      <c r="K196" s="631"/>
      <c r="L196" s="631"/>
      <c r="M196" s="631"/>
      <c r="N196" s="631"/>
      <c r="O196" s="631"/>
      <c r="P196" s="631"/>
      <c r="Q196" s="631"/>
      <c r="R196" s="631"/>
      <c r="S196" s="631"/>
      <c r="T196" s="631"/>
      <c r="U196" s="631"/>
      <c r="V196" s="631"/>
      <c r="W196" s="631"/>
      <c r="X196" s="631"/>
      <c r="Y196" s="631"/>
      <c r="Z196" s="631"/>
    </row>
    <row r="197" spans="1:26">
      <c r="A197" s="636" t="s">
        <v>3648</v>
      </c>
      <c r="B197" s="631"/>
      <c r="C197" s="631"/>
      <c r="D197" s="631"/>
      <c r="E197" s="631"/>
      <c r="F197" s="631"/>
      <c r="G197" s="631"/>
      <c r="H197" s="652"/>
      <c r="I197" s="631"/>
      <c r="J197" s="631"/>
      <c r="K197" s="631"/>
      <c r="L197" s="631"/>
      <c r="M197" s="631"/>
      <c r="N197" s="631"/>
      <c r="O197" s="631"/>
      <c r="P197" s="631"/>
      <c r="Q197" s="631"/>
      <c r="R197" s="631"/>
      <c r="S197" s="631"/>
      <c r="T197" s="631"/>
      <c r="U197" s="631"/>
      <c r="V197" s="631"/>
      <c r="W197" s="631"/>
      <c r="X197" s="631"/>
      <c r="Y197" s="631"/>
      <c r="Z197" s="631"/>
    </row>
    <row r="198" spans="1:26">
      <c r="A198" s="636" t="s">
        <v>3648</v>
      </c>
      <c r="B198" s="631"/>
      <c r="C198" s="631"/>
      <c r="D198" s="631"/>
      <c r="E198" s="631"/>
      <c r="F198" s="631"/>
      <c r="G198" s="631"/>
      <c r="H198" s="652"/>
      <c r="I198" s="631"/>
      <c r="J198" s="631"/>
      <c r="K198" s="631"/>
      <c r="L198" s="631"/>
      <c r="M198" s="631"/>
      <c r="N198" s="631"/>
      <c r="O198" s="631"/>
      <c r="P198" s="631"/>
      <c r="Q198" s="631"/>
      <c r="R198" s="631"/>
      <c r="S198" s="631"/>
      <c r="T198" s="631"/>
      <c r="U198" s="631"/>
      <c r="V198" s="631"/>
      <c r="W198" s="631"/>
      <c r="X198" s="631"/>
      <c r="Y198" s="631"/>
      <c r="Z198" s="631"/>
    </row>
    <row r="199" spans="1:26">
      <c r="A199" s="636" t="s">
        <v>3648</v>
      </c>
      <c r="B199" s="631"/>
      <c r="C199" s="631"/>
      <c r="D199" s="631"/>
      <c r="E199" s="631"/>
      <c r="F199" s="631"/>
      <c r="G199" s="631"/>
      <c r="H199" s="652"/>
      <c r="I199" s="631"/>
      <c r="J199" s="631"/>
      <c r="K199" s="631"/>
      <c r="L199" s="631"/>
      <c r="M199" s="631"/>
      <c r="N199" s="631"/>
      <c r="O199" s="631"/>
      <c r="P199" s="631"/>
      <c r="Q199" s="631"/>
      <c r="R199" s="631"/>
      <c r="S199" s="631"/>
      <c r="T199" s="631"/>
      <c r="U199" s="631"/>
      <c r="V199" s="631"/>
      <c r="W199" s="631"/>
      <c r="X199" s="631"/>
      <c r="Y199" s="631"/>
      <c r="Z199" s="631"/>
    </row>
    <row r="200" spans="1:26">
      <c r="A200" s="636" t="s">
        <v>3648</v>
      </c>
      <c r="B200" s="631"/>
      <c r="C200" s="631"/>
      <c r="D200" s="631"/>
      <c r="E200" s="631"/>
      <c r="F200" s="631"/>
      <c r="G200" s="631"/>
      <c r="H200" s="652"/>
      <c r="I200" s="631"/>
      <c r="J200" s="631"/>
      <c r="K200" s="631"/>
      <c r="L200" s="631"/>
      <c r="M200" s="631"/>
      <c r="N200" s="631"/>
      <c r="O200" s="631"/>
      <c r="P200" s="631"/>
      <c r="Q200" s="631"/>
      <c r="R200" s="631"/>
      <c r="S200" s="631"/>
      <c r="T200" s="631"/>
      <c r="U200" s="631"/>
      <c r="V200" s="631"/>
      <c r="W200" s="631"/>
      <c r="X200" s="631"/>
      <c r="Y200" s="631"/>
      <c r="Z200" s="631"/>
    </row>
    <row r="201" spans="1:26">
      <c r="A201" s="636" t="s">
        <v>3648</v>
      </c>
      <c r="B201" s="631"/>
      <c r="C201" s="631"/>
      <c r="D201" s="631"/>
      <c r="E201" s="631"/>
      <c r="F201" s="631"/>
      <c r="G201" s="631"/>
      <c r="H201" s="652"/>
      <c r="I201" s="631"/>
      <c r="J201" s="631"/>
      <c r="K201" s="631"/>
      <c r="L201" s="631"/>
      <c r="M201" s="631"/>
      <c r="N201" s="631"/>
      <c r="O201" s="631"/>
      <c r="P201" s="631"/>
      <c r="Q201" s="631"/>
      <c r="R201" s="631"/>
      <c r="S201" s="631"/>
      <c r="T201" s="631"/>
      <c r="U201" s="631"/>
      <c r="V201" s="631"/>
      <c r="W201" s="631"/>
      <c r="X201" s="631"/>
      <c r="Y201" s="631"/>
      <c r="Z201" s="631"/>
    </row>
    <row r="202" spans="1:26">
      <c r="A202" s="636" t="s">
        <v>3648</v>
      </c>
      <c r="B202" s="631"/>
      <c r="C202" s="631"/>
      <c r="D202" s="631"/>
      <c r="E202" s="631"/>
      <c r="F202" s="631"/>
      <c r="G202" s="631"/>
      <c r="H202" s="652"/>
      <c r="I202" s="631"/>
      <c r="J202" s="631"/>
      <c r="K202" s="631"/>
      <c r="L202" s="631"/>
      <c r="M202" s="631"/>
      <c r="N202" s="631"/>
      <c r="O202" s="631"/>
      <c r="P202" s="631"/>
      <c r="Q202" s="631"/>
      <c r="R202" s="631"/>
      <c r="S202" s="631"/>
      <c r="T202" s="631"/>
      <c r="U202" s="631"/>
      <c r="V202" s="631"/>
      <c r="W202" s="631"/>
      <c r="X202" s="631"/>
      <c r="Y202" s="631"/>
      <c r="Z202" s="631"/>
    </row>
    <row r="203" spans="1:26">
      <c r="A203" s="636" t="s">
        <v>3648</v>
      </c>
      <c r="B203" s="631"/>
      <c r="C203" s="631"/>
      <c r="D203" s="631"/>
      <c r="E203" s="631"/>
      <c r="F203" s="631"/>
      <c r="G203" s="631"/>
      <c r="H203" s="652"/>
      <c r="I203" s="631"/>
      <c r="J203" s="631"/>
      <c r="K203" s="631"/>
      <c r="L203" s="631"/>
      <c r="M203" s="631"/>
      <c r="N203" s="631"/>
      <c r="O203" s="631"/>
      <c r="P203" s="631"/>
      <c r="Q203" s="631"/>
      <c r="R203" s="631"/>
      <c r="S203" s="631"/>
      <c r="T203" s="631"/>
      <c r="U203" s="631"/>
      <c r="V203" s="631"/>
      <c r="W203" s="631"/>
      <c r="X203" s="631"/>
      <c r="Y203" s="631"/>
      <c r="Z203" s="631"/>
    </row>
    <row r="204" spans="1:26">
      <c r="A204" s="636" t="s">
        <v>3648</v>
      </c>
      <c r="B204" s="631"/>
      <c r="C204" s="631"/>
      <c r="D204" s="631"/>
      <c r="E204" s="631"/>
      <c r="F204" s="631"/>
      <c r="G204" s="631"/>
      <c r="H204" s="652"/>
      <c r="I204" s="631"/>
      <c r="J204" s="631"/>
      <c r="K204" s="631"/>
      <c r="L204" s="631"/>
      <c r="M204" s="631"/>
      <c r="N204" s="631"/>
      <c r="O204" s="631"/>
      <c r="P204" s="631"/>
      <c r="Q204" s="631"/>
      <c r="R204" s="631"/>
      <c r="S204" s="631"/>
      <c r="T204" s="631"/>
      <c r="U204" s="631"/>
      <c r="V204" s="631"/>
      <c r="W204" s="631"/>
      <c r="X204" s="631"/>
      <c r="Y204" s="631"/>
      <c r="Z204" s="631"/>
    </row>
    <row r="205" spans="1:26">
      <c r="A205" s="636" t="s">
        <v>3648</v>
      </c>
      <c r="B205" s="631"/>
      <c r="C205" s="631"/>
      <c r="D205" s="631"/>
      <c r="E205" s="631"/>
      <c r="F205" s="631"/>
      <c r="G205" s="631"/>
      <c r="H205" s="652"/>
      <c r="I205" s="631"/>
      <c r="J205" s="631"/>
      <c r="K205" s="631"/>
      <c r="L205" s="631"/>
      <c r="M205" s="631"/>
      <c r="N205" s="631"/>
      <c r="O205" s="631"/>
      <c r="P205" s="631"/>
      <c r="Q205" s="631"/>
      <c r="R205" s="631"/>
      <c r="S205" s="631"/>
      <c r="T205" s="631"/>
      <c r="U205" s="631"/>
      <c r="V205" s="631"/>
      <c r="W205" s="631"/>
      <c r="X205" s="631"/>
      <c r="Y205" s="631"/>
      <c r="Z205" s="631"/>
    </row>
    <row r="206" spans="1:26">
      <c r="A206" s="636" t="s">
        <v>3648</v>
      </c>
      <c r="B206" s="631"/>
      <c r="C206" s="631"/>
      <c r="D206" s="631"/>
      <c r="E206" s="631"/>
      <c r="F206" s="631"/>
      <c r="G206" s="631"/>
      <c r="H206" s="652"/>
      <c r="I206" s="631"/>
      <c r="J206" s="631"/>
      <c r="K206" s="631"/>
      <c r="L206" s="631"/>
      <c r="M206" s="631"/>
      <c r="N206" s="631"/>
      <c r="O206" s="631"/>
      <c r="P206" s="631"/>
      <c r="Q206" s="631"/>
      <c r="R206" s="631"/>
      <c r="S206" s="631"/>
      <c r="T206" s="631"/>
      <c r="U206" s="631"/>
      <c r="V206" s="631"/>
      <c r="W206" s="631"/>
      <c r="X206" s="631"/>
      <c r="Y206" s="631"/>
      <c r="Z206" s="631"/>
    </row>
    <row r="207" spans="1:26">
      <c r="A207" s="636" t="s">
        <v>3648</v>
      </c>
      <c r="B207" s="631"/>
      <c r="C207" s="631"/>
      <c r="D207" s="631"/>
      <c r="E207" s="631"/>
      <c r="F207" s="631"/>
      <c r="G207" s="631"/>
      <c r="H207" s="652"/>
      <c r="I207" s="631"/>
      <c r="J207" s="631"/>
      <c r="K207" s="631"/>
      <c r="L207" s="631"/>
      <c r="M207" s="631"/>
      <c r="N207" s="631"/>
      <c r="O207" s="631"/>
      <c r="P207" s="631"/>
      <c r="Q207" s="631"/>
      <c r="R207" s="631"/>
      <c r="S207" s="631"/>
      <c r="T207" s="631"/>
      <c r="U207" s="631"/>
      <c r="V207" s="631"/>
      <c r="W207" s="631"/>
      <c r="X207" s="631"/>
      <c r="Y207" s="631"/>
      <c r="Z207" s="631"/>
    </row>
    <row r="208" spans="1:26">
      <c r="A208" s="636" t="s">
        <v>3648</v>
      </c>
      <c r="B208" s="631"/>
      <c r="C208" s="631"/>
      <c r="D208" s="631"/>
      <c r="E208" s="631"/>
      <c r="F208" s="631"/>
      <c r="G208" s="631"/>
      <c r="H208" s="652"/>
      <c r="I208" s="631"/>
      <c r="J208" s="631"/>
      <c r="K208" s="631"/>
      <c r="L208" s="631"/>
      <c r="M208" s="631"/>
      <c r="N208" s="631"/>
      <c r="O208" s="631"/>
      <c r="P208" s="631"/>
      <c r="Q208" s="631"/>
      <c r="R208" s="631"/>
      <c r="S208" s="631"/>
      <c r="T208" s="631"/>
      <c r="U208" s="631"/>
      <c r="V208" s="631"/>
      <c r="W208" s="631"/>
      <c r="X208" s="631"/>
      <c r="Y208" s="631"/>
      <c r="Z208" s="631"/>
    </row>
    <row r="209" spans="1:26">
      <c r="A209" s="636" t="s">
        <v>3648</v>
      </c>
      <c r="B209" s="631"/>
      <c r="C209" s="631"/>
      <c r="D209" s="631"/>
      <c r="E209" s="631"/>
      <c r="F209" s="631"/>
      <c r="G209" s="631"/>
      <c r="H209" s="652"/>
      <c r="I209" s="631"/>
      <c r="J209" s="631"/>
      <c r="K209" s="631"/>
      <c r="L209" s="631"/>
      <c r="M209" s="631"/>
      <c r="N209" s="631"/>
      <c r="O209" s="631"/>
      <c r="P209" s="631"/>
      <c r="Q209" s="631"/>
      <c r="R209" s="631"/>
      <c r="S209" s="631"/>
      <c r="T209" s="631"/>
      <c r="U209" s="631"/>
      <c r="V209" s="631"/>
      <c r="W209" s="631"/>
      <c r="X209" s="631"/>
      <c r="Y209" s="631"/>
      <c r="Z209" s="631"/>
    </row>
    <row r="210" spans="1:26">
      <c r="A210" s="636" t="s">
        <v>3648</v>
      </c>
      <c r="B210" s="631"/>
      <c r="C210" s="631"/>
      <c r="D210" s="631"/>
      <c r="E210" s="631"/>
      <c r="F210" s="631"/>
      <c r="G210" s="631"/>
      <c r="H210" s="652"/>
      <c r="I210" s="631"/>
      <c r="J210" s="631"/>
      <c r="K210" s="631"/>
      <c r="L210" s="631"/>
      <c r="M210" s="631"/>
      <c r="N210" s="631"/>
      <c r="O210" s="631"/>
      <c r="P210" s="631"/>
      <c r="Q210" s="631"/>
      <c r="R210" s="631"/>
      <c r="S210" s="631"/>
      <c r="T210" s="631"/>
      <c r="U210" s="631"/>
      <c r="V210" s="631"/>
      <c r="W210" s="631"/>
      <c r="X210" s="631"/>
      <c r="Y210" s="631"/>
      <c r="Z210" s="631"/>
    </row>
    <row r="211" spans="1:26">
      <c r="A211" s="636" t="s">
        <v>3648</v>
      </c>
      <c r="B211" s="631"/>
      <c r="C211" s="631"/>
      <c r="D211" s="631"/>
      <c r="E211" s="631"/>
      <c r="F211" s="631"/>
      <c r="G211" s="631"/>
      <c r="H211" s="652"/>
      <c r="I211" s="631"/>
      <c r="J211" s="631"/>
      <c r="K211" s="631"/>
      <c r="L211" s="631"/>
      <c r="M211" s="631"/>
      <c r="N211" s="631"/>
      <c r="O211" s="631"/>
      <c r="P211" s="631"/>
      <c r="Q211" s="631"/>
      <c r="R211" s="631"/>
      <c r="S211" s="631"/>
      <c r="T211" s="631"/>
      <c r="U211" s="631"/>
      <c r="V211" s="631"/>
      <c r="W211" s="631"/>
      <c r="X211" s="631"/>
      <c r="Y211" s="631"/>
      <c r="Z211" s="631"/>
    </row>
    <row r="212" spans="1:26">
      <c r="A212" s="636" t="s">
        <v>3648</v>
      </c>
      <c r="B212" s="631"/>
      <c r="C212" s="631"/>
      <c r="D212" s="631"/>
      <c r="E212" s="631"/>
      <c r="F212" s="631"/>
      <c r="G212" s="631"/>
      <c r="H212" s="652"/>
      <c r="I212" s="631"/>
      <c r="J212" s="631"/>
      <c r="K212" s="631"/>
      <c r="L212" s="631"/>
      <c r="M212" s="631"/>
      <c r="N212" s="631"/>
      <c r="O212" s="631"/>
      <c r="P212" s="631"/>
      <c r="Q212" s="631"/>
      <c r="R212" s="631"/>
      <c r="S212" s="631"/>
      <c r="T212" s="631"/>
      <c r="U212" s="631"/>
      <c r="V212" s="631"/>
      <c r="W212" s="631"/>
      <c r="X212" s="631"/>
      <c r="Y212" s="631"/>
      <c r="Z212" s="631"/>
    </row>
    <row r="213" spans="1:26">
      <c r="A213" s="636" t="s">
        <v>3648</v>
      </c>
      <c r="B213" s="631"/>
      <c r="C213" s="631"/>
      <c r="D213" s="631"/>
      <c r="E213" s="631"/>
      <c r="F213" s="631"/>
      <c r="G213" s="631"/>
      <c r="H213" s="652"/>
      <c r="I213" s="631"/>
      <c r="J213" s="631"/>
      <c r="K213" s="631"/>
      <c r="L213" s="631"/>
      <c r="M213" s="631"/>
      <c r="N213" s="631"/>
      <c r="O213" s="631"/>
      <c r="P213" s="631"/>
      <c r="Q213" s="631"/>
      <c r="R213" s="631"/>
      <c r="S213" s="631"/>
      <c r="T213" s="631"/>
      <c r="U213" s="631"/>
      <c r="V213" s="631"/>
      <c r="W213" s="631"/>
      <c r="X213" s="631"/>
      <c r="Y213" s="631"/>
      <c r="Z213" s="631"/>
    </row>
    <row r="214" spans="1:26">
      <c r="A214" s="636" t="s">
        <v>3648</v>
      </c>
      <c r="B214" s="631"/>
      <c r="C214" s="631"/>
      <c r="D214" s="631"/>
      <c r="E214" s="631"/>
      <c r="F214" s="631"/>
      <c r="G214" s="631"/>
      <c r="H214" s="652"/>
      <c r="I214" s="631"/>
      <c r="J214" s="631"/>
      <c r="K214" s="631"/>
      <c r="L214" s="631"/>
      <c r="M214" s="631"/>
      <c r="N214" s="631"/>
      <c r="O214" s="631"/>
      <c r="P214" s="631"/>
      <c r="Q214" s="631"/>
      <c r="R214" s="631"/>
      <c r="S214" s="631"/>
      <c r="T214" s="631"/>
      <c r="U214" s="631"/>
      <c r="V214" s="631"/>
      <c r="W214" s="631"/>
      <c r="X214" s="631"/>
      <c r="Y214" s="631"/>
      <c r="Z214" s="631"/>
    </row>
    <row r="215" spans="1:26">
      <c r="A215" s="636" t="s">
        <v>3648</v>
      </c>
      <c r="B215" s="631"/>
      <c r="C215" s="631"/>
      <c r="D215" s="631"/>
      <c r="E215" s="631"/>
      <c r="F215" s="631"/>
      <c r="G215" s="631"/>
      <c r="H215" s="652"/>
      <c r="I215" s="631"/>
      <c r="J215" s="631"/>
      <c r="K215" s="631"/>
      <c r="L215" s="631"/>
      <c r="M215" s="631"/>
      <c r="N215" s="631"/>
      <c r="O215" s="631"/>
      <c r="P215" s="631"/>
      <c r="Q215" s="631"/>
      <c r="R215" s="631"/>
      <c r="S215" s="631"/>
      <c r="T215" s="631"/>
      <c r="U215" s="631"/>
      <c r="V215" s="631"/>
      <c r="W215" s="631"/>
      <c r="X215" s="631"/>
      <c r="Y215" s="631"/>
      <c r="Z215" s="631"/>
    </row>
    <row r="216" spans="1:26">
      <c r="A216" s="636" t="s">
        <v>3648</v>
      </c>
      <c r="B216" s="631"/>
      <c r="C216" s="631"/>
      <c r="D216" s="631"/>
      <c r="E216" s="631"/>
      <c r="F216" s="631"/>
      <c r="G216" s="631"/>
      <c r="H216" s="652"/>
      <c r="I216" s="631"/>
      <c r="J216" s="631"/>
      <c r="K216" s="631"/>
      <c r="L216" s="631"/>
      <c r="M216" s="631"/>
      <c r="N216" s="631"/>
      <c r="O216" s="631"/>
      <c r="P216" s="631"/>
      <c r="Q216" s="631"/>
      <c r="R216" s="631"/>
      <c r="S216" s="631"/>
      <c r="T216" s="631"/>
      <c r="U216" s="631"/>
      <c r="V216" s="631"/>
      <c r="W216" s="631"/>
      <c r="X216" s="631"/>
      <c r="Y216" s="631"/>
      <c r="Z216" s="631"/>
    </row>
    <row r="217" spans="1:26">
      <c r="A217" s="636" t="s">
        <v>3648</v>
      </c>
      <c r="B217" s="631"/>
      <c r="C217" s="631"/>
      <c r="D217" s="631"/>
      <c r="E217" s="631"/>
      <c r="F217" s="631"/>
      <c r="G217" s="631"/>
      <c r="H217" s="652"/>
      <c r="I217" s="631"/>
      <c r="J217" s="631"/>
      <c r="K217" s="631"/>
      <c r="L217" s="631"/>
      <c r="M217" s="631"/>
      <c r="N217" s="631"/>
      <c r="O217" s="631"/>
      <c r="P217" s="631"/>
      <c r="Q217" s="631"/>
      <c r="R217" s="631"/>
      <c r="S217" s="631"/>
      <c r="T217" s="631"/>
      <c r="U217" s="631"/>
      <c r="V217" s="631"/>
      <c r="W217" s="631"/>
      <c r="X217" s="631"/>
      <c r="Y217" s="631"/>
      <c r="Z217" s="631"/>
    </row>
    <row r="218" spans="1:26">
      <c r="A218" s="636" t="s">
        <v>3648</v>
      </c>
      <c r="B218" s="631"/>
      <c r="C218" s="631"/>
      <c r="D218" s="631"/>
      <c r="E218" s="631"/>
      <c r="F218" s="631"/>
      <c r="G218" s="631"/>
      <c r="H218" s="652"/>
      <c r="I218" s="631"/>
      <c r="J218" s="631"/>
      <c r="K218" s="631"/>
      <c r="L218" s="631"/>
      <c r="M218" s="631"/>
      <c r="N218" s="631"/>
      <c r="O218" s="631"/>
      <c r="P218" s="631"/>
      <c r="Q218" s="631"/>
      <c r="R218" s="631"/>
      <c r="S218" s="631"/>
      <c r="T218" s="631"/>
      <c r="U218" s="631"/>
      <c r="V218" s="631"/>
      <c r="W218" s="631"/>
      <c r="X218" s="631"/>
      <c r="Y218" s="631"/>
      <c r="Z218" s="631"/>
    </row>
    <row r="219" spans="1:26">
      <c r="A219" s="636" t="s">
        <v>3648</v>
      </c>
      <c r="B219" s="631"/>
      <c r="C219" s="631"/>
      <c r="D219" s="631"/>
      <c r="E219" s="631"/>
      <c r="F219" s="631"/>
      <c r="G219" s="631"/>
      <c r="H219" s="652"/>
      <c r="I219" s="631"/>
      <c r="J219" s="631"/>
      <c r="K219" s="631"/>
      <c r="L219" s="631"/>
      <c r="M219" s="631"/>
      <c r="N219" s="631"/>
      <c r="O219" s="631"/>
      <c r="P219" s="631"/>
      <c r="Q219" s="631"/>
      <c r="R219" s="631"/>
      <c r="S219" s="631"/>
      <c r="T219" s="631"/>
      <c r="U219" s="631"/>
      <c r="V219" s="631"/>
      <c r="W219" s="631"/>
      <c r="X219" s="631"/>
      <c r="Y219" s="631"/>
      <c r="Z219" s="631"/>
    </row>
    <row r="220" spans="1:26">
      <c r="A220" s="636" t="s">
        <v>3648</v>
      </c>
      <c r="B220" s="631"/>
      <c r="C220" s="631"/>
      <c r="D220" s="631"/>
      <c r="E220" s="631"/>
      <c r="F220" s="631"/>
      <c r="G220" s="631"/>
      <c r="H220" s="652"/>
      <c r="I220" s="631"/>
      <c r="J220" s="631"/>
      <c r="K220" s="631"/>
      <c r="L220" s="631"/>
      <c r="M220" s="631"/>
      <c r="N220" s="631"/>
      <c r="O220" s="631"/>
      <c r="P220" s="631"/>
      <c r="Q220" s="631"/>
      <c r="R220" s="631"/>
      <c r="S220" s="631"/>
      <c r="T220" s="631"/>
      <c r="U220" s="631"/>
      <c r="V220" s="631"/>
      <c r="W220" s="631"/>
      <c r="X220" s="631"/>
      <c r="Y220" s="631"/>
      <c r="Z220" s="631"/>
    </row>
    <row r="221" spans="1:26">
      <c r="A221" s="636" t="s">
        <v>3648</v>
      </c>
      <c r="B221" s="631"/>
      <c r="C221" s="631"/>
      <c r="D221" s="631"/>
      <c r="E221" s="631"/>
      <c r="F221" s="631"/>
      <c r="G221" s="631"/>
      <c r="H221" s="652"/>
      <c r="I221" s="631"/>
      <c r="J221" s="631"/>
      <c r="K221" s="631"/>
      <c r="L221" s="631"/>
      <c r="M221" s="631"/>
      <c r="N221" s="631"/>
      <c r="O221" s="631"/>
      <c r="P221" s="631"/>
      <c r="Q221" s="631"/>
      <c r="R221" s="631"/>
      <c r="S221" s="631"/>
      <c r="T221" s="631"/>
      <c r="U221" s="631"/>
      <c r="V221" s="631"/>
      <c r="W221" s="631"/>
      <c r="X221" s="631"/>
      <c r="Y221" s="631"/>
      <c r="Z221" s="631"/>
    </row>
    <row r="222" spans="1:26">
      <c r="A222" s="636" t="s">
        <v>3648</v>
      </c>
      <c r="B222" s="631"/>
      <c r="C222" s="631"/>
      <c r="D222" s="631"/>
      <c r="E222" s="631"/>
      <c r="F222" s="631"/>
      <c r="G222" s="631"/>
      <c r="H222" s="652"/>
      <c r="I222" s="631"/>
      <c r="J222" s="631"/>
      <c r="K222" s="631"/>
      <c r="L222" s="631"/>
      <c r="M222" s="631"/>
      <c r="N222" s="631"/>
      <c r="O222" s="631"/>
      <c r="P222" s="631"/>
      <c r="Q222" s="631"/>
      <c r="R222" s="631"/>
      <c r="S222" s="631"/>
      <c r="T222" s="631"/>
      <c r="U222" s="631"/>
      <c r="V222" s="631"/>
      <c r="W222" s="631"/>
      <c r="X222" s="631"/>
      <c r="Y222" s="631"/>
      <c r="Z222" s="631"/>
    </row>
    <row r="223" spans="1:26">
      <c r="A223" s="636" t="s">
        <v>3648</v>
      </c>
      <c r="B223" s="631"/>
      <c r="C223" s="631"/>
      <c r="D223" s="631"/>
      <c r="E223" s="631"/>
      <c r="F223" s="631"/>
      <c r="G223" s="631"/>
      <c r="H223" s="652"/>
      <c r="I223" s="631"/>
      <c r="J223" s="631"/>
      <c r="K223" s="631"/>
      <c r="L223" s="631"/>
      <c r="M223" s="631"/>
      <c r="N223" s="631"/>
      <c r="O223" s="631"/>
      <c r="P223" s="631"/>
      <c r="Q223" s="631"/>
      <c r="R223" s="631"/>
      <c r="S223" s="631"/>
      <c r="T223" s="631"/>
      <c r="U223" s="631"/>
      <c r="V223" s="631"/>
      <c r="W223" s="631"/>
      <c r="X223" s="631"/>
      <c r="Y223" s="631"/>
      <c r="Z223" s="631"/>
    </row>
    <row r="224" spans="1:26">
      <c r="A224" s="636" t="s">
        <v>3648</v>
      </c>
      <c r="B224" s="631"/>
      <c r="C224" s="631"/>
      <c r="D224" s="631"/>
      <c r="E224" s="631"/>
      <c r="F224" s="631"/>
      <c r="G224" s="631"/>
      <c r="H224" s="652"/>
      <c r="I224" s="631"/>
      <c r="J224" s="631"/>
      <c r="K224" s="631"/>
      <c r="L224" s="631"/>
      <c r="M224" s="631"/>
      <c r="N224" s="631"/>
      <c r="O224" s="631"/>
      <c r="P224" s="631"/>
      <c r="Q224" s="631"/>
      <c r="R224" s="631"/>
      <c r="S224" s="631"/>
      <c r="T224" s="631"/>
      <c r="U224" s="631"/>
      <c r="V224" s="631"/>
      <c r="W224" s="631"/>
      <c r="X224" s="631"/>
      <c r="Y224" s="631"/>
      <c r="Z224" s="631"/>
    </row>
    <row r="225" spans="1:26">
      <c r="A225" s="636" t="s">
        <v>3648</v>
      </c>
      <c r="B225" s="631"/>
      <c r="C225" s="631"/>
      <c r="D225" s="631"/>
      <c r="E225" s="631"/>
      <c r="F225" s="631"/>
      <c r="G225" s="631"/>
      <c r="H225" s="652"/>
      <c r="I225" s="631"/>
      <c r="J225" s="631"/>
      <c r="K225" s="631"/>
      <c r="L225" s="631"/>
      <c r="M225" s="631"/>
      <c r="N225" s="631"/>
      <c r="O225" s="631"/>
      <c r="P225" s="631"/>
      <c r="Q225" s="631"/>
      <c r="R225" s="631"/>
      <c r="S225" s="631"/>
      <c r="T225" s="631"/>
      <c r="U225" s="631"/>
      <c r="V225" s="631"/>
      <c r="W225" s="631"/>
      <c r="X225" s="631"/>
      <c r="Y225" s="631"/>
      <c r="Z225" s="631"/>
    </row>
    <row r="226" spans="1:26">
      <c r="A226" s="636" t="s">
        <v>3648</v>
      </c>
      <c r="B226" s="631"/>
      <c r="C226" s="631"/>
      <c r="D226" s="631"/>
      <c r="E226" s="631"/>
      <c r="F226" s="631"/>
      <c r="G226" s="631"/>
      <c r="H226" s="652"/>
      <c r="I226" s="631"/>
      <c r="J226" s="631"/>
      <c r="K226" s="631"/>
      <c r="L226" s="631"/>
      <c r="M226" s="631"/>
      <c r="N226" s="631"/>
      <c r="O226" s="631"/>
      <c r="P226" s="631"/>
      <c r="Q226" s="631"/>
      <c r="R226" s="631"/>
      <c r="S226" s="631"/>
      <c r="T226" s="631"/>
      <c r="U226" s="631"/>
      <c r="V226" s="631"/>
      <c r="W226" s="631"/>
      <c r="X226" s="631"/>
      <c r="Y226" s="631"/>
      <c r="Z226" s="631"/>
    </row>
    <row r="227" spans="1:26">
      <c r="A227" s="636" t="s">
        <v>3648</v>
      </c>
      <c r="B227" s="631"/>
      <c r="C227" s="631"/>
      <c r="D227" s="631"/>
      <c r="E227" s="631"/>
      <c r="F227" s="631"/>
      <c r="G227" s="631"/>
      <c r="H227" s="652"/>
      <c r="I227" s="631"/>
      <c r="J227" s="631"/>
      <c r="K227" s="631"/>
      <c r="L227" s="631"/>
      <c r="M227" s="631"/>
      <c r="N227" s="631"/>
      <c r="O227" s="631"/>
      <c r="P227" s="631"/>
      <c r="Q227" s="631"/>
      <c r="R227" s="631"/>
      <c r="S227" s="631"/>
      <c r="T227" s="631"/>
      <c r="U227" s="631"/>
      <c r="V227" s="631"/>
      <c r="W227" s="631"/>
      <c r="X227" s="631"/>
      <c r="Y227" s="631"/>
      <c r="Z227" s="631"/>
    </row>
    <row r="228" spans="1:26">
      <c r="A228" s="636" t="s">
        <v>3648</v>
      </c>
      <c r="B228" s="631"/>
      <c r="C228" s="631"/>
      <c r="D228" s="631"/>
      <c r="E228" s="631"/>
      <c r="F228" s="631"/>
      <c r="G228" s="631"/>
      <c r="H228" s="652"/>
      <c r="I228" s="631"/>
      <c r="J228" s="631"/>
      <c r="K228" s="631"/>
      <c r="L228" s="631"/>
      <c r="M228" s="631"/>
      <c r="N228" s="631"/>
      <c r="O228" s="631"/>
      <c r="P228" s="631"/>
      <c r="Q228" s="631"/>
      <c r="R228" s="631"/>
      <c r="S228" s="631"/>
      <c r="T228" s="631"/>
      <c r="U228" s="631"/>
      <c r="V228" s="631"/>
      <c r="W228" s="631"/>
      <c r="X228" s="631"/>
      <c r="Y228" s="631"/>
      <c r="Z228" s="631"/>
    </row>
    <row r="229" spans="1:26">
      <c r="A229" s="636" t="s">
        <v>3648</v>
      </c>
      <c r="B229" s="631"/>
      <c r="C229" s="631"/>
      <c r="D229" s="631"/>
      <c r="E229" s="631"/>
      <c r="F229" s="631"/>
      <c r="G229" s="631"/>
      <c r="H229" s="652"/>
      <c r="I229" s="631"/>
      <c r="J229" s="631"/>
      <c r="K229" s="631"/>
      <c r="L229" s="631"/>
      <c r="M229" s="631"/>
      <c r="N229" s="631"/>
      <c r="O229" s="631"/>
      <c r="P229" s="631"/>
      <c r="Q229" s="631"/>
      <c r="R229" s="631"/>
      <c r="S229" s="631"/>
      <c r="T229" s="631"/>
      <c r="U229" s="631"/>
      <c r="V229" s="631"/>
      <c r="W229" s="631"/>
      <c r="X229" s="631"/>
      <c r="Y229" s="631"/>
      <c r="Z229" s="631"/>
    </row>
    <row r="230" spans="1:26">
      <c r="A230" s="636" t="s">
        <v>3648</v>
      </c>
      <c r="B230" s="631"/>
      <c r="C230" s="631"/>
      <c r="D230" s="631"/>
      <c r="E230" s="631"/>
      <c r="F230" s="631"/>
      <c r="G230" s="631"/>
      <c r="H230" s="652"/>
      <c r="I230" s="631"/>
      <c r="J230" s="631"/>
      <c r="K230" s="631"/>
      <c r="L230" s="631"/>
      <c r="M230" s="631"/>
      <c r="N230" s="631"/>
      <c r="O230" s="631"/>
      <c r="P230" s="631"/>
      <c r="Q230" s="631"/>
      <c r="R230" s="631"/>
      <c r="S230" s="631"/>
      <c r="T230" s="631"/>
      <c r="U230" s="631"/>
      <c r="V230" s="631"/>
      <c r="W230" s="631"/>
      <c r="X230" s="631"/>
      <c r="Y230" s="631"/>
      <c r="Z230" s="631"/>
    </row>
    <row r="231" spans="1:26">
      <c r="A231" s="636" t="s">
        <v>3648</v>
      </c>
      <c r="B231" s="631"/>
      <c r="C231" s="631"/>
      <c r="D231" s="631"/>
      <c r="E231" s="631"/>
      <c r="F231" s="631"/>
      <c r="G231" s="631"/>
      <c r="H231" s="652"/>
      <c r="I231" s="631"/>
      <c r="J231" s="631"/>
      <c r="K231" s="631"/>
      <c r="L231" s="631"/>
      <c r="M231" s="631"/>
      <c r="N231" s="631"/>
      <c r="O231" s="631"/>
      <c r="P231" s="631"/>
      <c r="Q231" s="631"/>
      <c r="R231" s="631"/>
      <c r="S231" s="631"/>
      <c r="T231" s="631"/>
      <c r="U231" s="631"/>
      <c r="V231" s="631"/>
      <c r="W231" s="631"/>
      <c r="X231" s="631"/>
      <c r="Y231" s="631"/>
      <c r="Z231" s="631"/>
    </row>
    <row r="232" spans="1:26">
      <c r="A232" s="636" t="s">
        <v>3648</v>
      </c>
      <c r="B232" s="631"/>
      <c r="C232" s="631"/>
      <c r="D232" s="631"/>
      <c r="E232" s="631"/>
      <c r="F232" s="631"/>
      <c r="G232" s="631"/>
      <c r="H232" s="652"/>
      <c r="I232" s="631"/>
      <c r="J232" s="631"/>
      <c r="K232" s="631"/>
      <c r="L232" s="631"/>
      <c r="M232" s="631"/>
      <c r="N232" s="631"/>
      <c r="O232" s="631"/>
      <c r="P232" s="631"/>
      <c r="Q232" s="631"/>
      <c r="R232" s="631"/>
      <c r="S232" s="631"/>
      <c r="T232" s="631"/>
      <c r="U232" s="631"/>
      <c r="V232" s="631"/>
      <c r="W232" s="631"/>
      <c r="X232" s="631"/>
      <c r="Y232" s="631"/>
      <c r="Z232" s="631"/>
    </row>
    <row r="233" spans="1:26">
      <c r="A233" s="636" t="s">
        <v>3648</v>
      </c>
      <c r="B233" s="631"/>
      <c r="C233" s="631"/>
      <c r="D233" s="631"/>
      <c r="E233" s="631"/>
      <c r="F233" s="631"/>
      <c r="G233" s="631"/>
      <c r="H233" s="652"/>
      <c r="I233" s="631"/>
      <c r="J233" s="631"/>
      <c r="K233" s="631"/>
      <c r="L233" s="631"/>
      <c r="M233" s="631"/>
      <c r="N233" s="631"/>
      <c r="O233" s="631"/>
      <c r="P233" s="631"/>
      <c r="Q233" s="631"/>
      <c r="R233" s="631"/>
      <c r="S233" s="631"/>
      <c r="T233" s="631"/>
      <c r="U233" s="631"/>
      <c r="V233" s="631"/>
      <c r="W233" s="631"/>
      <c r="X233" s="631"/>
      <c r="Y233" s="631"/>
      <c r="Z233" s="631"/>
    </row>
    <row r="234" spans="1:26">
      <c r="A234" s="636" t="s">
        <v>3648</v>
      </c>
      <c r="B234" s="631"/>
      <c r="C234" s="631"/>
      <c r="D234" s="631"/>
      <c r="E234" s="631"/>
      <c r="F234" s="631"/>
      <c r="G234" s="631"/>
      <c r="H234" s="652"/>
      <c r="I234" s="631"/>
      <c r="J234" s="631"/>
      <c r="K234" s="631"/>
      <c r="L234" s="631"/>
      <c r="M234" s="631"/>
      <c r="N234" s="631"/>
      <c r="O234" s="631"/>
      <c r="P234" s="631"/>
      <c r="Q234" s="631"/>
      <c r="R234" s="631"/>
      <c r="S234" s="631"/>
      <c r="T234" s="631"/>
      <c r="U234" s="631"/>
      <c r="V234" s="631"/>
      <c r="W234" s="631"/>
      <c r="X234" s="631"/>
      <c r="Y234" s="631"/>
      <c r="Z234" s="631"/>
    </row>
    <row r="235" spans="1:26">
      <c r="A235" s="636" t="s">
        <v>3648</v>
      </c>
      <c r="B235" s="631"/>
      <c r="C235" s="631"/>
      <c r="D235" s="631"/>
      <c r="E235" s="631"/>
      <c r="F235" s="631"/>
      <c r="G235" s="631"/>
      <c r="H235" s="652"/>
      <c r="I235" s="631"/>
      <c r="J235" s="631"/>
      <c r="K235" s="631"/>
      <c r="L235" s="631"/>
      <c r="M235" s="631"/>
      <c r="N235" s="631"/>
      <c r="O235" s="631"/>
      <c r="P235" s="631"/>
      <c r="Q235" s="631"/>
      <c r="R235" s="631"/>
      <c r="S235" s="631"/>
      <c r="T235" s="631"/>
      <c r="U235" s="631"/>
      <c r="V235" s="631"/>
      <c r="W235" s="631"/>
      <c r="X235" s="631"/>
      <c r="Y235" s="631"/>
      <c r="Z235" s="631"/>
    </row>
    <row r="236" spans="1:26">
      <c r="A236" s="636" t="s">
        <v>3648</v>
      </c>
      <c r="B236" s="631"/>
      <c r="C236" s="631"/>
      <c r="D236" s="631"/>
      <c r="E236" s="631"/>
      <c r="F236" s="631"/>
      <c r="G236" s="631"/>
      <c r="H236" s="652"/>
      <c r="I236" s="631"/>
      <c r="J236" s="631"/>
      <c r="K236" s="631"/>
      <c r="L236" s="631"/>
      <c r="M236" s="631"/>
      <c r="N236" s="631"/>
      <c r="O236" s="631"/>
      <c r="P236" s="631"/>
      <c r="Q236" s="631"/>
      <c r="R236" s="631"/>
      <c r="S236" s="631"/>
      <c r="T236" s="631"/>
      <c r="U236" s="631"/>
      <c r="V236" s="631"/>
      <c r="W236" s="631"/>
      <c r="X236" s="631"/>
      <c r="Y236" s="631"/>
      <c r="Z236" s="631"/>
    </row>
    <row r="237" spans="1:26">
      <c r="A237" s="636" t="s">
        <v>3648</v>
      </c>
      <c r="B237" s="631"/>
      <c r="C237" s="631"/>
      <c r="D237" s="631"/>
      <c r="E237" s="631"/>
      <c r="F237" s="631"/>
      <c r="G237" s="631"/>
      <c r="H237" s="652"/>
      <c r="I237" s="631"/>
      <c r="J237" s="631"/>
      <c r="K237" s="631"/>
      <c r="L237" s="631"/>
      <c r="M237" s="631"/>
      <c r="N237" s="631"/>
      <c r="O237" s="631"/>
      <c r="P237" s="631"/>
      <c r="Q237" s="631"/>
      <c r="R237" s="631"/>
      <c r="S237" s="631"/>
      <c r="T237" s="631"/>
      <c r="U237" s="631"/>
      <c r="V237" s="631"/>
      <c r="W237" s="631"/>
      <c r="X237" s="631"/>
      <c r="Y237" s="631"/>
      <c r="Z237" s="631"/>
    </row>
    <row r="238" spans="1:26">
      <c r="A238" s="636" t="s">
        <v>3648</v>
      </c>
      <c r="B238" s="631"/>
      <c r="C238" s="631"/>
      <c r="D238" s="631"/>
      <c r="E238" s="631"/>
      <c r="F238" s="631"/>
      <c r="G238" s="631"/>
      <c r="H238" s="652"/>
      <c r="I238" s="631"/>
      <c r="J238" s="631"/>
      <c r="K238" s="631"/>
      <c r="L238" s="631"/>
      <c r="M238" s="631"/>
      <c r="N238" s="631"/>
      <c r="O238" s="631"/>
      <c r="P238" s="631"/>
      <c r="Q238" s="631"/>
      <c r="R238" s="631"/>
      <c r="S238" s="631"/>
      <c r="T238" s="631"/>
      <c r="U238" s="631"/>
      <c r="V238" s="631"/>
      <c r="W238" s="631"/>
      <c r="X238" s="631"/>
      <c r="Y238" s="631"/>
      <c r="Z238" s="631"/>
    </row>
    <row r="239" spans="1:26">
      <c r="A239" s="636" t="s">
        <v>3648</v>
      </c>
      <c r="B239" s="631"/>
      <c r="C239" s="631"/>
      <c r="D239" s="631"/>
      <c r="E239" s="631"/>
      <c r="F239" s="631"/>
      <c r="G239" s="631"/>
      <c r="H239" s="652"/>
      <c r="I239" s="631"/>
      <c r="J239" s="631"/>
      <c r="K239" s="631"/>
      <c r="L239" s="631"/>
      <c r="M239" s="631"/>
      <c r="N239" s="631"/>
      <c r="O239" s="631"/>
      <c r="P239" s="631"/>
      <c r="Q239" s="631"/>
      <c r="R239" s="631"/>
      <c r="S239" s="631"/>
      <c r="T239" s="631"/>
      <c r="U239" s="631"/>
      <c r="V239" s="631"/>
      <c r="W239" s="631"/>
      <c r="X239" s="631"/>
      <c r="Y239" s="631"/>
      <c r="Z239" s="631"/>
    </row>
    <row r="240" spans="1:26">
      <c r="A240" s="636" t="s">
        <v>3648</v>
      </c>
      <c r="B240" s="631"/>
      <c r="C240" s="631"/>
      <c r="D240" s="631"/>
      <c r="E240" s="631"/>
      <c r="F240" s="631"/>
      <c r="G240" s="631"/>
      <c r="H240" s="652"/>
      <c r="I240" s="631"/>
      <c r="J240" s="631"/>
      <c r="K240" s="631"/>
      <c r="L240" s="631"/>
      <c r="M240" s="631"/>
      <c r="N240" s="631"/>
      <c r="O240" s="631"/>
      <c r="P240" s="631"/>
      <c r="Q240" s="631"/>
      <c r="R240" s="631"/>
      <c r="S240" s="631"/>
      <c r="T240" s="631"/>
      <c r="U240" s="631"/>
      <c r="V240" s="631"/>
      <c r="W240" s="631"/>
      <c r="X240" s="631"/>
      <c r="Y240" s="631"/>
      <c r="Z240" s="631"/>
    </row>
    <row r="241" spans="1:26">
      <c r="A241" s="636" t="s">
        <v>3648</v>
      </c>
      <c r="B241" s="631"/>
      <c r="C241" s="631"/>
      <c r="D241" s="631"/>
      <c r="E241" s="631"/>
      <c r="F241" s="631"/>
      <c r="G241" s="631"/>
      <c r="H241" s="652"/>
      <c r="I241" s="631"/>
      <c r="J241" s="631"/>
      <c r="K241" s="631"/>
      <c r="L241" s="631"/>
      <c r="M241" s="631"/>
      <c r="N241" s="631"/>
      <c r="O241" s="631"/>
      <c r="P241" s="631"/>
      <c r="Q241" s="631"/>
      <c r="R241" s="631"/>
      <c r="S241" s="631"/>
      <c r="T241" s="631"/>
      <c r="U241" s="631"/>
      <c r="V241" s="631"/>
      <c r="W241" s="631"/>
      <c r="X241" s="631"/>
      <c r="Y241" s="631"/>
      <c r="Z241" s="631"/>
    </row>
    <row r="242" spans="1:26">
      <c r="A242" s="636" t="s">
        <v>3648</v>
      </c>
      <c r="B242" s="631"/>
      <c r="C242" s="631"/>
      <c r="D242" s="631"/>
      <c r="E242" s="631"/>
      <c r="F242" s="631"/>
      <c r="G242" s="631"/>
      <c r="H242" s="652"/>
      <c r="I242" s="631"/>
      <c r="J242" s="631"/>
      <c r="K242" s="631"/>
      <c r="L242" s="631"/>
      <c r="M242" s="631"/>
      <c r="N242" s="631"/>
      <c r="O242" s="631"/>
      <c r="P242" s="631"/>
      <c r="Q242" s="631"/>
      <c r="R242" s="631"/>
      <c r="S242" s="631"/>
      <c r="T242" s="631"/>
      <c r="U242" s="631"/>
      <c r="V242" s="631"/>
      <c r="W242" s="631"/>
      <c r="X242" s="631"/>
      <c r="Y242" s="631"/>
      <c r="Z242" s="631"/>
    </row>
    <row r="243" spans="1:26">
      <c r="A243" s="636" t="s">
        <v>3648</v>
      </c>
      <c r="B243" s="631"/>
      <c r="C243" s="631"/>
      <c r="D243" s="631"/>
      <c r="E243" s="631"/>
      <c r="F243" s="631"/>
      <c r="G243" s="631"/>
      <c r="H243" s="652"/>
      <c r="I243" s="631"/>
      <c r="J243" s="631"/>
      <c r="K243" s="631"/>
      <c r="L243" s="631"/>
      <c r="M243" s="631"/>
      <c r="N243" s="631"/>
      <c r="O243" s="631"/>
      <c r="P243" s="631"/>
      <c r="Q243" s="631"/>
      <c r="R243" s="631"/>
      <c r="S243" s="631"/>
      <c r="T243" s="631"/>
      <c r="U243" s="631"/>
      <c r="V243" s="631"/>
      <c r="W243" s="631"/>
      <c r="X243" s="631"/>
      <c r="Y243" s="631"/>
      <c r="Z243" s="631"/>
    </row>
    <row r="244" spans="1:26">
      <c r="A244" s="636" t="s">
        <v>3648</v>
      </c>
      <c r="B244" s="631"/>
      <c r="C244" s="631"/>
      <c r="D244" s="631"/>
      <c r="E244" s="631"/>
      <c r="F244" s="631"/>
      <c r="G244" s="631"/>
      <c r="H244" s="652"/>
      <c r="I244" s="631"/>
      <c r="J244" s="631"/>
      <c r="K244" s="631"/>
      <c r="L244" s="631"/>
      <c r="M244" s="631"/>
      <c r="N244" s="631"/>
      <c r="O244" s="631"/>
      <c r="P244" s="631"/>
      <c r="Q244" s="631"/>
      <c r="R244" s="631"/>
      <c r="S244" s="631"/>
      <c r="T244" s="631"/>
      <c r="U244" s="631"/>
      <c r="V244" s="631"/>
      <c r="W244" s="631"/>
      <c r="X244" s="631"/>
      <c r="Y244" s="631"/>
      <c r="Z244" s="631"/>
    </row>
    <row r="245" spans="1:26">
      <c r="A245" s="636" t="s">
        <v>3648</v>
      </c>
      <c r="B245" s="631"/>
      <c r="C245" s="631"/>
      <c r="D245" s="631"/>
      <c r="E245" s="631"/>
      <c r="F245" s="631"/>
      <c r="G245" s="631"/>
      <c r="H245" s="652"/>
      <c r="I245" s="631"/>
      <c r="J245" s="631"/>
      <c r="K245" s="631"/>
      <c r="L245" s="631"/>
      <c r="M245" s="631"/>
      <c r="N245" s="631"/>
      <c r="O245" s="631"/>
      <c r="P245" s="631"/>
      <c r="Q245" s="631"/>
      <c r="R245" s="631"/>
      <c r="S245" s="631"/>
      <c r="T245" s="631"/>
      <c r="U245" s="631"/>
      <c r="V245" s="631"/>
      <c r="W245" s="631"/>
      <c r="X245" s="631"/>
      <c r="Y245" s="631"/>
      <c r="Z245" s="631"/>
    </row>
    <row r="246" spans="1:26">
      <c r="A246" s="636" t="s">
        <v>3648</v>
      </c>
      <c r="B246" s="631"/>
      <c r="C246" s="631"/>
      <c r="D246" s="631"/>
      <c r="E246" s="631"/>
      <c r="F246" s="631"/>
      <c r="G246" s="631"/>
      <c r="H246" s="652"/>
      <c r="I246" s="631"/>
      <c r="J246" s="631"/>
      <c r="K246" s="631"/>
      <c r="L246" s="631"/>
      <c r="M246" s="631"/>
      <c r="N246" s="631"/>
      <c r="O246" s="631"/>
      <c r="P246" s="631"/>
      <c r="Q246" s="631"/>
      <c r="R246" s="631"/>
      <c r="S246" s="631"/>
      <c r="T246" s="631"/>
      <c r="U246" s="631"/>
      <c r="V246" s="631"/>
      <c r="W246" s="631"/>
      <c r="X246" s="631"/>
      <c r="Y246" s="631"/>
      <c r="Z246" s="631"/>
    </row>
    <row r="247" spans="1:26">
      <c r="A247" s="636" t="s">
        <v>3648</v>
      </c>
      <c r="B247" s="631"/>
      <c r="C247" s="631"/>
      <c r="D247" s="631"/>
      <c r="E247" s="631"/>
      <c r="F247" s="631"/>
      <c r="G247" s="631"/>
      <c r="H247" s="652"/>
      <c r="I247" s="631"/>
      <c r="J247" s="631"/>
      <c r="K247" s="631"/>
      <c r="L247" s="631"/>
      <c r="M247" s="631"/>
      <c r="N247" s="631"/>
      <c r="O247" s="631"/>
      <c r="P247" s="631"/>
      <c r="Q247" s="631"/>
      <c r="R247" s="631"/>
      <c r="S247" s="631"/>
      <c r="T247" s="631"/>
      <c r="U247" s="631"/>
      <c r="V247" s="631"/>
      <c r="W247" s="631"/>
      <c r="X247" s="631"/>
      <c r="Y247" s="631"/>
      <c r="Z247" s="631"/>
    </row>
    <row r="248" spans="1:26">
      <c r="A248" s="636" t="s">
        <v>3648</v>
      </c>
      <c r="B248" s="631"/>
      <c r="C248" s="631"/>
      <c r="D248" s="631"/>
      <c r="E248" s="631"/>
      <c r="F248" s="631"/>
      <c r="G248" s="631"/>
      <c r="H248" s="652"/>
      <c r="I248" s="631"/>
      <c r="J248" s="631"/>
      <c r="K248" s="631"/>
      <c r="L248" s="631"/>
      <c r="M248" s="631"/>
      <c r="N248" s="631"/>
      <c r="O248" s="631"/>
      <c r="P248" s="631"/>
      <c r="Q248" s="631"/>
      <c r="R248" s="631"/>
      <c r="S248" s="631"/>
      <c r="T248" s="631"/>
      <c r="U248" s="631"/>
      <c r="V248" s="631"/>
      <c r="W248" s="631"/>
      <c r="X248" s="631"/>
      <c r="Y248" s="631"/>
      <c r="Z248" s="631"/>
    </row>
    <row r="249" spans="1:26">
      <c r="A249" s="636" t="s">
        <v>3648</v>
      </c>
      <c r="B249" s="631"/>
      <c r="C249" s="631"/>
      <c r="D249" s="631"/>
      <c r="E249" s="631"/>
      <c r="F249" s="631"/>
      <c r="G249" s="631"/>
      <c r="H249" s="652"/>
      <c r="I249" s="631"/>
      <c r="J249" s="631"/>
      <c r="K249" s="631"/>
      <c r="L249" s="631"/>
      <c r="M249" s="631"/>
      <c r="N249" s="631"/>
      <c r="O249" s="631"/>
      <c r="P249" s="631"/>
      <c r="Q249" s="631"/>
      <c r="R249" s="631"/>
      <c r="S249" s="631"/>
      <c r="T249" s="631"/>
      <c r="U249" s="631"/>
      <c r="V249" s="631"/>
      <c r="W249" s="631"/>
      <c r="X249" s="631"/>
      <c r="Y249" s="631"/>
      <c r="Z249" s="631"/>
    </row>
    <row r="250" spans="1:26">
      <c r="A250" s="636" t="s">
        <v>3648</v>
      </c>
      <c r="B250" s="631"/>
      <c r="C250" s="631"/>
      <c r="D250" s="631"/>
      <c r="E250" s="631"/>
      <c r="F250" s="631"/>
      <c r="G250" s="631"/>
      <c r="H250" s="652"/>
      <c r="I250" s="631"/>
      <c r="J250" s="631"/>
      <c r="K250" s="631"/>
      <c r="L250" s="631"/>
      <c r="M250" s="631"/>
      <c r="N250" s="631"/>
      <c r="O250" s="631"/>
      <c r="P250" s="631"/>
      <c r="Q250" s="631"/>
      <c r="R250" s="631"/>
      <c r="S250" s="631"/>
      <c r="T250" s="631"/>
      <c r="U250" s="631"/>
      <c r="V250" s="631"/>
      <c r="W250" s="631"/>
      <c r="X250" s="631"/>
      <c r="Y250" s="631"/>
      <c r="Z250" s="631"/>
    </row>
    <row r="251" spans="1:26">
      <c r="A251" s="636" t="s">
        <v>3648</v>
      </c>
      <c r="B251" s="631"/>
      <c r="C251" s="631"/>
      <c r="D251" s="631"/>
      <c r="E251" s="631"/>
      <c r="F251" s="631"/>
      <c r="G251" s="631"/>
      <c r="H251" s="652"/>
      <c r="I251" s="631"/>
      <c r="J251" s="631"/>
      <c r="K251" s="631"/>
      <c r="L251" s="631"/>
      <c r="M251" s="631"/>
      <c r="N251" s="631"/>
      <c r="O251" s="631"/>
      <c r="P251" s="631"/>
      <c r="Q251" s="631"/>
      <c r="R251" s="631"/>
      <c r="S251" s="631"/>
      <c r="T251" s="631"/>
      <c r="U251" s="631"/>
      <c r="V251" s="631"/>
      <c r="W251" s="631"/>
      <c r="X251" s="631"/>
      <c r="Y251" s="631"/>
      <c r="Z251" s="631"/>
    </row>
    <row r="252" spans="1:26">
      <c r="A252" s="636" t="s">
        <v>3648</v>
      </c>
      <c r="B252" s="631"/>
      <c r="C252" s="631"/>
      <c r="D252" s="631"/>
      <c r="E252" s="631"/>
      <c r="F252" s="631"/>
      <c r="G252" s="631"/>
      <c r="H252" s="652"/>
      <c r="I252" s="631"/>
      <c r="J252" s="631"/>
      <c r="K252" s="631"/>
      <c r="L252" s="631"/>
      <c r="M252" s="631"/>
      <c r="N252" s="631"/>
      <c r="O252" s="631"/>
      <c r="P252" s="631"/>
      <c r="Q252" s="631"/>
      <c r="R252" s="631"/>
      <c r="S252" s="631"/>
      <c r="T252" s="631"/>
      <c r="U252" s="631"/>
      <c r="V252" s="631"/>
      <c r="W252" s="631"/>
      <c r="X252" s="631"/>
      <c r="Y252" s="631"/>
      <c r="Z252" s="631"/>
    </row>
    <row r="253" spans="1:26">
      <c r="A253" s="636" t="s">
        <v>3648</v>
      </c>
      <c r="B253" s="631"/>
      <c r="C253" s="631"/>
      <c r="D253" s="631"/>
      <c r="E253" s="631"/>
      <c r="F253" s="631"/>
      <c r="G253" s="631"/>
      <c r="H253" s="652"/>
      <c r="I253" s="631"/>
      <c r="J253" s="631"/>
      <c r="K253" s="631"/>
      <c r="L253" s="631"/>
      <c r="M253" s="631"/>
      <c r="N253" s="631"/>
      <c r="O253" s="631"/>
      <c r="P253" s="631"/>
      <c r="Q253" s="631"/>
      <c r="R253" s="631"/>
      <c r="S253" s="631"/>
      <c r="T253" s="631"/>
      <c r="U253" s="631"/>
      <c r="V253" s="631"/>
      <c r="W253" s="631"/>
      <c r="X253" s="631"/>
      <c r="Y253" s="631"/>
      <c r="Z253" s="631"/>
    </row>
    <row r="254" spans="1:26">
      <c r="A254" s="636" t="s">
        <v>3648</v>
      </c>
      <c r="B254" s="631"/>
      <c r="C254" s="631"/>
      <c r="D254" s="631"/>
      <c r="E254" s="631"/>
      <c r="F254" s="631"/>
      <c r="G254" s="631"/>
      <c r="H254" s="652"/>
      <c r="I254" s="631"/>
      <c r="J254" s="631"/>
      <c r="K254" s="631"/>
      <c r="L254" s="631"/>
      <c r="M254" s="631"/>
      <c r="N254" s="631"/>
      <c r="O254" s="631"/>
      <c r="P254" s="631"/>
      <c r="Q254" s="631"/>
      <c r="R254" s="631"/>
      <c r="S254" s="631"/>
      <c r="T254" s="631"/>
      <c r="U254" s="631"/>
      <c r="V254" s="631"/>
      <c r="W254" s="631"/>
      <c r="X254" s="631"/>
      <c r="Y254" s="631"/>
      <c r="Z254" s="631"/>
    </row>
    <row r="255" spans="1:26">
      <c r="A255" s="636" t="s">
        <v>3648</v>
      </c>
      <c r="B255" s="631"/>
      <c r="C255" s="631"/>
      <c r="D255" s="631"/>
      <c r="E255" s="631"/>
      <c r="F255" s="631"/>
      <c r="G255" s="631"/>
      <c r="H255" s="652"/>
      <c r="I255" s="631"/>
      <c r="J255" s="631"/>
      <c r="K255" s="631"/>
      <c r="L255" s="631"/>
      <c r="M255" s="631"/>
      <c r="N255" s="631"/>
      <c r="O255" s="631"/>
      <c r="P255" s="631"/>
      <c r="Q255" s="631"/>
      <c r="R255" s="631"/>
      <c r="S255" s="631"/>
      <c r="T255" s="631"/>
      <c r="U255" s="631"/>
      <c r="V255" s="631"/>
      <c r="W255" s="631"/>
      <c r="X255" s="631"/>
      <c r="Y255" s="631"/>
      <c r="Z255" s="631"/>
    </row>
    <row r="256" spans="1:26">
      <c r="A256" s="636" t="s">
        <v>3648</v>
      </c>
      <c r="B256" s="631"/>
      <c r="C256" s="631"/>
      <c r="D256" s="631"/>
      <c r="E256" s="631"/>
      <c r="F256" s="631"/>
      <c r="G256" s="631"/>
      <c r="H256" s="652"/>
      <c r="I256" s="631"/>
      <c r="J256" s="631"/>
      <c r="K256" s="631"/>
      <c r="L256" s="631"/>
      <c r="M256" s="631"/>
      <c r="N256" s="631"/>
      <c r="O256" s="631"/>
      <c r="P256" s="631"/>
      <c r="Q256" s="631"/>
      <c r="R256" s="631"/>
      <c r="S256" s="631"/>
      <c r="T256" s="631"/>
      <c r="U256" s="631"/>
      <c r="V256" s="631"/>
      <c r="W256" s="631"/>
      <c r="X256" s="631"/>
      <c r="Y256" s="631"/>
      <c r="Z256" s="631"/>
    </row>
    <row r="257" spans="1:26">
      <c r="A257" s="636" t="s">
        <v>3648</v>
      </c>
      <c r="B257" s="631"/>
      <c r="C257" s="631"/>
      <c r="D257" s="631"/>
      <c r="E257" s="631"/>
      <c r="F257" s="631"/>
      <c r="G257" s="631"/>
      <c r="H257" s="652"/>
      <c r="I257" s="631"/>
      <c r="J257" s="631"/>
      <c r="K257" s="631"/>
      <c r="L257" s="631"/>
      <c r="M257" s="631"/>
      <c r="N257" s="631"/>
      <c r="O257" s="631"/>
      <c r="P257" s="631"/>
      <c r="Q257" s="631"/>
      <c r="R257" s="631"/>
      <c r="S257" s="631"/>
      <c r="T257" s="631"/>
      <c r="U257" s="631"/>
      <c r="V257" s="631"/>
      <c r="W257" s="631"/>
      <c r="X257" s="631"/>
      <c r="Y257" s="631"/>
      <c r="Z257" s="631"/>
    </row>
    <row r="258" spans="1:26">
      <c r="A258" s="636" t="s">
        <v>3648</v>
      </c>
      <c r="B258" s="631"/>
      <c r="C258" s="631"/>
      <c r="D258" s="631"/>
      <c r="E258" s="631"/>
      <c r="F258" s="631"/>
      <c r="G258" s="631"/>
      <c r="H258" s="652"/>
      <c r="I258" s="631"/>
      <c r="J258" s="631"/>
      <c r="K258" s="631"/>
      <c r="L258" s="631"/>
      <c r="M258" s="631"/>
      <c r="N258" s="631"/>
      <c r="O258" s="631"/>
      <c r="P258" s="631"/>
      <c r="Q258" s="631"/>
      <c r="R258" s="631"/>
      <c r="S258" s="631"/>
      <c r="T258" s="631"/>
      <c r="U258" s="631"/>
      <c r="V258" s="631"/>
      <c r="W258" s="631"/>
      <c r="X258" s="631"/>
      <c r="Y258" s="631"/>
      <c r="Z258" s="631"/>
    </row>
    <row r="259" spans="1:26">
      <c r="A259" s="636" t="s">
        <v>3648</v>
      </c>
      <c r="B259" s="631"/>
      <c r="C259" s="631"/>
      <c r="D259" s="631"/>
      <c r="E259" s="631"/>
      <c r="F259" s="631"/>
      <c r="G259" s="631"/>
      <c r="H259" s="652"/>
      <c r="I259" s="631"/>
      <c r="J259" s="631"/>
      <c r="K259" s="631"/>
      <c r="L259" s="631"/>
      <c r="M259" s="631"/>
      <c r="N259" s="631"/>
      <c r="O259" s="631"/>
      <c r="P259" s="631"/>
      <c r="Q259" s="631"/>
      <c r="R259" s="631"/>
      <c r="S259" s="631"/>
      <c r="T259" s="631"/>
      <c r="U259" s="631"/>
      <c r="V259" s="631"/>
      <c r="W259" s="631"/>
      <c r="X259" s="631"/>
      <c r="Y259" s="631"/>
      <c r="Z259" s="631"/>
    </row>
    <row r="260" spans="1:26">
      <c r="A260" s="636" t="s">
        <v>3648</v>
      </c>
      <c r="B260" s="631"/>
      <c r="C260" s="631"/>
      <c r="D260" s="631"/>
      <c r="E260" s="631"/>
      <c r="F260" s="631"/>
      <c r="G260" s="631"/>
      <c r="H260" s="652"/>
      <c r="I260" s="631"/>
      <c r="J260" s="631"/>
      <c r="K260" s="631"/>
      <c r="L260" s="631"/>
      <c r="M260" s="631"/>
      <c r="N260" s="631"/>
      <c r="O260" s="631"/>
      <c r="P260" s="631"/>
      <c r="Q260" s="631"/>
      <c r="R260" s="631"/>
      <c r="S260" s="631"/>
      <c r="T260" s="631"/>
      <c r="U260" s="631"/>
      <c r="V260" s="631"/>
      <c r="W260" s="631"/>
      <c r="X260" s="631"/>
      <c r="Y260" s="631"/>
      <c r="Z260" s="631"/>
    </row>
    <row r="261" spans="1:26">
      <c r="A261" s="636" t="s">
        <v>3648</v>
      </c>
      <c r="B261" s="631"/>
      <c r="C261" s="631"/>
      <c r="D261" s="631"/>
      <c r="E261" s="631"/>
      <c r="F261" s="631"/>
      <c r="G261" s="631"/>
      <c r="H261" s="652"/>
      <c r="I261" s="631"/>
      <c r="J261" s="631"/>
      <c r="K261" s="631"/>
      <c r="L261" s="631"/>
      <c r="M261" s="631"/>
      <c r="N261" s="631"/>
      <c r="O261" s="631"/>
      <c r="P261" s="631"/>
      <c r="Q261" s="631"/>
      <c r="R261" s="631"/>
      <c r="S261" s="631"/>
      <c r="T261" s="631"/>
      <c r="U261" s="631"/>
      <c r="V261" s="631"/>
      <c r="W261" s="631"/>
      <c r="X261" s="631"/>
      <c r="Y261" s="631"/>
      <c r="Z261" s="631"/>
    </row>
    <row r="262" spans="1:26">
      <c r="A262" s="636" t="s">
        <v>3648</v>
      </c>
      <c r="B262" s="631"/>
      <c r="C262" s="631"/>
      <c r="D262" s="631"/>
      <c r="E262" s="631"/>
      <c r="F262" s="631"/>
      <c r="G262" s="631"/>
      <c r="H262" s="652"/>
      <c r="I262" s="631"/>
      <c r="J262" s="631"/>
      <c r="K262" s="631"/>
      <c r="L262" s="631"/>
      <c r="M262" s="631"/>
      <c r="N262" s="631"/>
      <c r="O262" s="631"/>
      <c r="P262" s="631"/>
      <c r="Q262" s="631"/>
      <c r="R262" s="631"/>
      <c r="S262" s="631"/>
      <c r="T262" s="631"/>
      <c r="U262" s="631"/>
      <c r="V262" s="631"/>
      <c r="W262" s="631"/>
      <c r="X262" s="631"/>
      <c r="Y262" s="631"/>
      <c r="Z262" s="631"/>
    </row>
    <row r="263" spans="1:26">
      <c r="A263" s="636" t="s">
        <v>3648</v>
      </c>
      <c r="B263" s="631"/>
      <c r="C263" s="631"/>
      <c r="D263" s="631"/>
      <c r="E263" s="631"/>
      <c r="F263" s="631"/>
      <c r="G263" s="631"/>
      <c r="H263" s="652"/>
      <c r="I263" s="631"/>
      <c r="J263" s="631"/>
      <c r="K263" s="631"/>
      <c r="L263" s="631"/>
      <c r="M263" s="631"/>
      <c r="N263" s="631"/>
      <c r="O263" s="631"/>
      <c r="P263" s="631"/>
      <c r="Q263" s="631"/>
      <c r="R263" s="631"/>
      <c r="S263" s="631"/>
      <c r="T263" s="631"/>
      <c r="U263" s="631"/>
      <c r="V263" s="631"/>
      <c r="W263" s="631"/>
      <c r="X263" s="631"/>
      <c r="Y263" s="631"/>
      <c r="Z263" s="631"/>
    </row>
    <row r="264" spans="1:26">
      <c r="A264" s="636" t="s">
        <v>3648</v>
      </c>
      <c r="B264" s="631"/>
      <c r="C264" s="631"/>
      <c r="D264" s="631"/>
      <c r="E264" s="631"/>
      <c r="F264" s="631"/>
      <c r="G264" s="631"/>
      <c r="H264" s="652"/>
      <c r="I264" s="631"/>
      <c r="J264" s="631"/>
      <c r="K264" s="631"/>
      <c r="L264" s="631"/>
      <c r="M264" s="631"/>
      <c r="N264" s="631"/>
      <c r="O264" s="631"/>
      <c r="P264" s="631"/>
      <c r="Q264" s="631"/>
      <c r="R264" s="631"/>
      <c r="S264" s="631"/>
      <c r="T264" s="631"/>
      <c r="U264" s="631"/>
      <c r="V264" s="631"/>
      <c r="W264" s="631"/>
      <c r="X264" s="631"/>
      <c r="Y264" s="631"/>
      <c r="Z264" s="631"/>
    </row>
    <row r="265" spans="1:26">
      <c r="A265" s="636" t="s">
        <v>3648</v>
      </c>
      <c r="B265" s="631"/>
      <c r="C265" s="631"/>
      <c r="D265" s="631"/>
      <c r="E265" s="631"/>
      <c r="F265" s="631"/>
      <c r="G265" s="631"/>
      <c r="H265" s="652"/>
      <c r="I265" s="631"/>
      <c r="J265" s="631"/>
      <c r="K265" s="631"/>
      <c r="L265" s="631"/>
      <c r="M265" s="631"/>
      <c r="N265" s="631"/>
      <c r="O265" s="631"/>
      <c r="P265" s="631"/>
      <c r="Q265" s="631"/>
      <c r="R265" s="631"/>
      <c r="S265" s="631"/>
      <c r="T265" s="631"/>
      <c r="U265" s="631"/>
      <c r="V265" s="631"/>
      <c r="W265" s="631"/>
      <c r="X265" s="631"/>
      <c r="Y265" s="631"/>
      <c r="Z265" s="631"/>
    </row>
    <row r="266" spans="1:26">
      <c r="A266" s="636" t="s">
        <v>3648</v>
      </c>
      <c r="B266" s="631"/>
      <c r="C266" s="631"/>
      <c r="D266" s="631"/>
      <c r="E266" s="631"/>
      <c r="F266" s="631"/>
      <c r="G266" s="631"/>
      <c r="H266" s="652"/>
      <c r="I266" s="631"/>
      <c r="J266" s="631"/>
      <c r="K266" s="631"/>
      <c r="L266" s="631"/>
      <c r="M266" s="631"/>
      <c r="N266" s="631"/>
      <c r="O266" s="631"/>
      <c r="P266" s="631"/>
      <c r="Q266" s="631"/>
      <c r="R266" s="631"/>
      <c r="S266" s="631"/>
      <c r="T266" s="631"/>
      <c r="U266" s="631"/>
      <c r="V266" s="631"/>
      <c r="W266" s="631"/>
      <c r="X266" s="631"/>
      <c r="Y266" s="631"/>
      <c r="Z266" s="631"/>
    </row>
    <row r="267" spans="1:26">
      <c r="A267" s="636" t="s">
        <v>3648</v>
      </c>
      <c r="B267" s="631"/>
      <c r="C267" s="631"/>
      <c r="D267" s="631"/>
      <c r="E267" s="631"/>
      <c r="F267" s="631"/>
      <c r="G267" s="631"/>
      <c r="H267" s="652"/>
      <c r="I267" s="631"/>
      <c r="J267" s="631"/>
      <c r="K267" s="631"/>
      <c r="L267" s="631"/>
      <c r="M267" s="631"/>
      <c r="N267" s="631"/>
      <c r="O267" s="631"/>
      <c r="P267" s="631"/>
      <c r="Q267" s="631"/>
      <c r="R267" s="631"/>
      <c r="S267" s="631"/>
      <c r="T267" s="631"/>
      <c r="U267" s="631"/>
      <c r="V267" s="631"/>
      <c r="W267" s="631"/>
      <c r="X267" s="631"/>
      <c r="Y267" s="631"/>
      <c r="Z267" s="631"/>
    </row>
    <row r="268" spans="1:26">
      <c r="A268" s="636" t="s">
        <v>3648</v>
      </c>
      <c r="B268" s="631"/>
      <c r="C268" s="631"/>
      <c r="D268" s="631"/>
      <c r="E268" s="631"/>
      <c r="F268" s="631"/>
      <c r="G268" s="631"/>
      <c r="H268" s="652"/>
      <c r="I268" s="631"/>
      <c r="J268" s="631"/>
      <c r="K268" s="631"/>
      <c r="L268" s="631"/>
      <c r="M268" s="631"/>
      <c r="N268" s="631"/>
      <c r="O268" s="631"/>
      <c r="P268" s="631"/>
      <c r="Q268" s="631"/>
      <c r="R268" s="631"/>
      <c r="S268" s="631"/>
      <c r="T268" s="631"/>
      <c r="U268" s="631"/>
      <c r="V268" s="631"/>
      <c r="W268" s="631"/>
      <c r="X268" s="631"/>
      <c r="Y268" s="631"/>
      <c r="Z268" s="631"/>
    </row>
    <row r="269" spans="1:26">
      <c r="A269" s="636" t="s">
        <v>3648</v>
      </c>
      <c r="B269" s="631"/>
      <c r="C269" s="631"/>
      <c r="D269" s="631"/>
      <c r="E269" s="631"/>
      <c r="F269" s="631"/>
      <c r="G269" s="631"/>
      <c r="H269" s="652"/>
      <c r="I269" s="631"/>
      <c r="J269" s="631"/>
      <c r="K269" s="631"/>
      <c r="L269" s="631"/>
      <c r="M269" s="631"/>
      <c r="N269" s="631"/>
      <c r="O269" s="631"/>
      <c r="P269" s="631"/>
      <c r="Q269" s="631"/>
      <c r="R269" s="631"/>
      <c r="S269" s="631"/>
      <c r="T269" s="631"/>
      <c r="U269" s="631"/>
      <c r="V269" s="631"/>
      <c r="W269" s="631"/>
      <c r="X269" s="631"/>
      <c r="Y269" s="631"/>
      <c r="Z269" s="631"/>
    </row>
    <row r="270" spans="1:26">
      <c r="A270" s="636" t="s">
        <v>3648</v>
      </c>
      <c r="B270" s="631"/>
      <c r="C270" s="631"/>
      <c r="D270" s="631"/>
      <c r="E270" s="631"/>
      <c r="F270" s="631"/>
      <c r="G270" s="631"/>
      <c r="H270" s="652"/>
      <c r="I270" s="631"/>
      <c r="J270" s="631"/>
      <c r="K270" s="631"/>
      <c r="L270" s="631"/>
      <c r="M270" s="631"/>
      <c r="N270" s="631"/>
      <c r="O270" s="631"/>
      <c r="P270" s="631"/>
      <c r="Q270" s="631"/>
      <c r="R270" s="631"/>
      <c r="S270" s="631"/>
      <c r="T270" s="631"/>
      <c r="U270" s="631"/>
      <c r="V270" s="631"/>
      <c r="W270" s="631"/>
      <c r="X270" s="631"/>
      <c r="Y270" s="631"/>
      <c r="Z270" s="631"/>
    </row>
    <row r="271" spans="1:26">
      <c r="A271" s="636" t="s">
        <v>3648</v>
      </c>
      <c r="B271" s="631"/>
      <c r="C271" s="631"/>
      <c r="D271" s="631"/>
      <c r="E271" s="631"/>
      <c r="F271" s="631"/>
      <c r="G271" s="631"/>
      <c r="H271" s="652"/>
      <c r="I271" s="631"/>
      <c r="J271" s="631"/>
      <c r="K271" s="631"/>
      <c r="L271" s="631"/>
      <c r="M271" s="631"/>
      <c r="N271" s="631"/>
      <c r="O271" s="631"/>
      <c r="P271" s="631"/>
      <c r="Q271" s="631"/>
      <c r="R271" s="631"/>
      <c r="S271" s="631"/>
      <c r="T271" s="631"/>
      <c r="U271" s="631"/>
      <c r="V271" s="631"/>
      <c r="W271" s="631"/>
      <c r="X271" s="631"/>
      <c r="Y271" s="631"/>
      <c r="Z271" s="631"/>
    </row>
    <row r="272" spans="1:26">
      <c r="A272" s="636" t="s">
        <v>3648</v>
      </c>
      <c r="B272" s="631"/>
      <c r="C272" s="631"/>
      <c r="D272" s="631"/>
      <c r="E272" s="631"/>
      <c r="F272" s="631"/>
      <c r="G272" s="631"/>
      <c r="H272" s="652"/>
      <c r="I272" s="631"/>
      <c r="J272" s="631"/>
      <c r="K272" s="631"/>
      <c r="L272" s="631"/>
      <c r="M272" s="631"/>
      <c r="N272" s="631"/>
      <c r="O272" s="631"/>
      <c r="P272" s="631"/>
      <c r="Q272" s="631"/>
      <c r="R272" s="631"/>
      <c r="S272" s="631"/>
      <c r="T272" s="631"/>
      <c r="U272" s="631"/>
      <c r="V272" s="631"/>
      <c r="W272" s="631"/>
      <c r="X272" s="631"/>
      <c r="Y272" s="631"/>
      <c r="Z272" s="631"/>
    </row>
    <row r="273" spans="1:26">
      <c r="A273" s="636" t="s">
        <v>3648</v>
      </c>
      <c r="B273" s="631"/>
      <c r="C273" s="631"/>
      <c r="D273" s="631"/>
      <c r="E273" s="631"/>
      <c r="F273" s="631"/>
      <c r="G273" s="631"/>
      <c r="H273" s="652"/>
      <c r="I273" s="631"/>
      <c r="J273" s="631"/>
      <c r="K273" s="631"/>
      <c r="L273" s="631"/>
      <c r="M273" s="631"/>
      <c r="N273" s="631"/>
      <c r="O273" s="631"/>
      <c r="P273" s="631"/>
      <c r="Q273" s="631"/>
      <c r="R273" s="631"/>
      <c r="S273" s="631"/>
      <c r="T273" s="631"/>
      <c r="U273" s="631"/>
      <c r="V273" s="631"/>
      <c r="W273" s="631"/>
      <c r="X273" s="631"/>
      <c r="Y273" s="631"/>
      <c r="Z273" s="631"/>
    </row>
    <row r="274" spans="1:26">
      <c r="A274" s="636" t="s">
        <v>3648</v>
      </c>
      <c r="B274" s="631"/>
      <c r="C274" s="631"/>
      <c r="D274" s="631"/>
      <c r="E274" s="631"/>
      <c r="F274" s="631"/>
      <c r="G274" s="631"/>
      <c r="H274" s="652"/>
      <c r="I274" s="631"/>
      <c r="J274" s="631"/>
      <c r="K274" s="631"/>
      <c r="L274" s="631"/>
      <c r="M274" s="631"/>
      <c r="N274" s="631"/>
      <c r="O274" s="631"/>
      <c r="P274" s="631"/>
      <c r="Q274" s="631"/>
      <c r="R274" s="631"/>
      <c r="S274" s="631"/>
      <c r="T274" s="631"/>
      <c r="U274" s="631"/>
      <c r="V274" s="631"/>
      <c r="W274" s="631"/>
      <c r="X274" s="631"/>
      <c r="Y274" s="631"/>
      <c r="Z274" s="631"/>
    </row>
    <row r="275" spans="1:26">
      <c r="A275" s="636" t="s">
        <v>3648</v>
      </c>
      <c r="B275" s="631"/>
      <c r="C275" s="631"/>
      <c r="D275" s="631"/>
      <c r="E275" s="631"/>
      <c r="F275" s="631"/>
      <c r="G275" s="631"/>
      <c r="H275" s="652"/>
      <c r="I275" s="631"/>
      <c r="J275" s="631"/>
      <c r="K275" s="631"/>
      <c r="L275" s="631"/>
      <c r="M275" s="631"/>
      <c r="N275" s="631"/>
      <c r="O275" s="631"/>
      <c r="P275" s="631"/>
      <c r="Q275" s="631"/>
      <c r="R275" s="631"/>
      <c r="S275" s="631"/>
      <c r="T275" s="631"/>
      <c r="U275" s="631"/>
      <c r="V275" s="631"/>
      <c r="W275" s="631"/>
      <c r="X275" s="631"/>
      <c r="Y275" s="631"/>
      <c r="Z275" s="631"/>
    </row>
    <row r="276" spans="1:26">
      <c r="A276" s="636" t="s">
        <v>3648</v>
      </c>
      <c r="B276" s="631"/>
      <c r="C276" s="631"/>
      <c r="D276" s="631"/>
      <c r="E276" s="631"/>
      <c r="F276" s="631"/>
      <c r="G276" s="631"/>
      <c r="H276" s="652"/>
      <c r="I276" s="631"/>
      <c r="J276" s="631"/>
      <c r="K276" s="631"/>
      <c r="L276" s="631"/>
      <c r="M276" s="631"/>
      <c r="N276" s="631"/>
      <c r="O276" s="631"/>
      <c r="P276" s="631"/>
      <c r="Q276" s="631"/>
      <c r="R276" s="631"/>
      <c r="S276" s="631"/>
      <c r="T276" s="631"/>
      <c r="U276" s="631"/>
      <c r="V276" s="631"/>
      <c r="W276" s="631"/>
      <c r="X276" s="631"/>
      <c r="Y276" s="631"/>
      <c r="Z276" s="631"/>
    </row>
    <row r="277" spans="1:26">
      <c r="A277" s="636" t="s">
        <v>3648</v>
      </c>
      <c r="B277" s="631"/>
      <c r="C277" s="631"/>
      <c r="D277" s="631"/>
      <c r="E277" s="631"/>
      <c r="F277" s="631"/>
      <c r="G277" s="631"/>
      <c r="H277" s="652"/>
      <c r="I277" s="631"/>
      <c r="J277" s="631"/>
      <c r="K277" s="631"/>
      <c r="L277" s="631"/>
      <c r="M277" s="631"/>
      <c r="N277" s="631"/>
      <c r="O277" s="631"/>
      <c r="P277" s="631"/>
      <c r="Q277" s="631"/>
      <c r="R277" s="631"/>
      <c r="S277" s="631"/>
      <c r="T277" s="631"/>
      <c r="U277" s="631"/>
      <c r="V277" s="631"/>
      <c r="W277" s="631"/>
      <c r="X277" s="631"/>
      <c r="Y277" s="631"/>
      <c r="Z277" s="631"/>
    </row>
    <row r="278" spans="1:26">
      <c r="A278" s="636" t="s">
        <v>3648</v>
      </c>
      <c r="B278" s="631"/>
      <c r="C278" s="631"/>
      <c r="D278" s="631"/>
      <c r="E278" s="631"/>
      <c r="F278" s="631"/>
      <c r="G278" s="631"/>
      <c r="H278" s="652"/>
      <c r="I278" s="631"/>
      <c r="J278" s="631"/>
      <c r="K278" s="631"/>
      <c r="L278" s="631"/>
      <c r="M278" s="631"/>
      <c r="N278" s="631"/>
      <c r="O278" s="631"/>
      <c r="P278" s="631"/>
      <c r="Q278" s="631"/>
      <c r="R278" s="631"/>
      <c r="S278" s="631"/>
      <c r="T278" s="631"/>
      <c r="U278" s="631"/>
      <c r="V278" s="631"/>
      <c r="W278" s="631"/>
      <c r="X278" s="631"/>
      <c r="Y278" s="631"/>
      <c r="Z278" s="631"/>
    </row>
    <row r="279" spans="1:26">
      <c r="A279" s="636" t="s">
        <v>3648</v>
      </c>
      <c r="B279" s="631"/>
      <c r="C279" s="631"/>
      <c r="D279" s="631"/>
      <c r="E279" s="631"/>
      <c r="F279" s="631"/>
      <c r="G279" s="631"/>
      <c r="H279" s="652"/>
      <c r="I279" s="631"/>
      <c r="J279" s="631"/>
      <c r="K279" s="631"/>
      <c r="L279" s="631"/>
      <c r="M279" s="631"/>
      <c r="N279" s="631"/>
      <c r="O279" s="631"/>
      <c r="P279" s="631"/>
      <c r="Q279" s="631"/>
      <c r="R279" s="631"/>
      <c r="S279" s="631"/>
      <c r="T279" s="631"/>
      <c r="U279" s="631"/>
      <c r="V279" s="631"/>
      <c r="W279" s="631"/>
      <c r="X279" s="631"/>
      <c r="Y279" s="631"/>
      <c r="Z279" s="631"/>
    </row>
    <row r="280" spans="1:26">
      <c r="A280" s="636" t="s">
        <v>3648</v>
      </c>
      <c r="B280" s="631"/>
      <c r="C280" s="631"/>
      <c r="D280" s="631"/>
      <c r="E280" s="631"/>
      <c r="F280" s="631"/>
      <c r="G280" s="631"/>
      <c r="H280" s="652"/>
      <c r="I280" s="631"/>
      <c r="J280" s="631"/>
      <c r="K280" s="631"/>
      <c r="L280" s="631"/>
      <c r="M280" s="631"/>
      <c r="N280" s="631"/>
      <c r="O280" s="631"/>
      <c r="P280" s="631"/>
      <c r="Q280" s="631"/>
      <c r="R280" s="631"/>
      <c r="S280" s="631"/>
      <c r="T280" s="631"/>
      <c r="U280" s="631"/>
      <c r="V280" s="631"/>
      <c r="W280" s="631"/>
      <c r="X280" s="631"/>
      <c r="Y280" s="631"/>
      <c r="Z280" s="631"/>
    </row>
    <row r="281" spans="1:26">
      <c r="A281" s="636" t="s">
        <v>3648</v>
      </c>
      <c r="B281" s="631"/>
      <c r="C281" s="631"/>
      <c r="D281" s="631"/>
      <c r="E281" s="631"/>
      <c r="F281" s="631"/>
      <c r="G281" s="631"/>
      <c r="H281" s="652"/>
      <c r="I281" s="631"/>
      <c r="J281" s="631"/>
      <c r="K281" s="631"/>
      <c r="L281" s="631"/>
      <c r="M281" s="631"/>
      <c r="N281" s="631"/>
      <c r="O281" s="631"/>
      <c r="P281" s="631"/>
      <c r="Q281" s="631"/>
      <c r="R281" s="631"/>
      <c r="S281" s="631"/>
      <c r="T281" s="631"/>
      <c r="U281" s="631"/>
      <c r="V281" s="631"/>
      <c r="W281" s="631"/>
      <c r="X281" s="631"/>
      <c r="Y281" s="631"/>
      <c r="Z281" s="631"/>
    </row>
    <row r="282" spans="1:26">
      <c r="A282" s="636" t="s">
        <v>3648</v>
      </c>
      <c r="B282" s="631"/>
      <c r="C282" s="631"/>
      <c r="D282" s="631"/>
      <c r="E282" s="631"/>
      <c r="F282" s="631"/>
      <c r="G282" s="631"/>
      <c r="H282" s="652"/>
      <c r="I282" s="631"/>
      <c r="J282" s="631"/>
      <c r="K282" s="631"/>
      <c r="L282" s="631"/>
      <c r="M282" s="631"/>
      <c r="N282" s="631"/>
      <c r="O282" s="631"/>
      <c r="P282" s="631"/>
      <c r="Q282" s="631"/>
      <c r="R282" s="631"/>
      <c r="S282" s="631"/>
      <c r="T282" s="631"/>
      <c r="U282" s="631"/>
      <c r="V282" s="631"/>
      <c r="W282" s="631"/>
      <c r="X282" s="631"/>
      <c r="Y282" s="631"/>
      <c r="Z282" s="631"/>
    </row>
    <row r="283" spans="1:26">
      <c r="A283" s="636" t="s">
        <v>3648</v>
      </c>
      <c r="B283" s="631"/>
      <c r="C283" s="631"/>
      <c r="D283" s="631"/>
      <c r="E283" s="631"/>
      <c r="F283" s="631"/>
      <c r="G283" s="631"/>
      <c r="H283" s="652"/>
      <c r="I283" s="631"/>
      <c r="J283" s="631"/>
      <c r="K283" s="631"/>
      <c r="L283" s="631"/>
      <c r="M283" s="631"/>
      <c r="N283" s="631"/>
      <c r="O283" s="631"/>
      <c r="P283" s="631"/>
      <c r="Q283" s="631"/>
      <c r="R283" s="631"/>
      <c r="S283" s="631"/>
      <c r="T283" s="631"/>
      <c r="U283" s="631"/>
      <c r="V283" s="631"/>
      <c r="W283" s="631"/>
      <c r="X283" s="631"/>
      <c r="Y283" s="631"/>
      <c r="Z283" s="631"/>
    </row>
    <row r="284" spans="1:26">
      <c r="A284" s="636" t="s">
        <v>3648</v>
      </c>
      <c r="B284" s="631"/>
      <c r="C284" s="631"/>
      <c r="D284" s="631"/>
      <c r="E284" s="631"/>
      <c r="F284" s="631"/>
      <c r="G284" s="631"/>
      <c r="H284" s="652"/>
      <c r="I284" s="631"/>
      <c r="J284" s="631"/>
      <c r="K284" s="631"/>
      <c r="L284" s="631"/>
      <c r="M284" s="631"/>
      <c r="N284" s="631"/>
      <c r="O284" s="631"/>
      <c r="P284" s="631"/>
      <c r="Q284" s="631"/>
      <c r="R284" s="631"/>
      <c r="S284" s="631"/>
      <c r="T284" s="631"/>
      <c r="U284" s="631"/>
      <c r="V284" s="631"/>
      <c r="W284" s="631"/>
      <c r="X284" s="631"/>
      <c r="Y284" s="631"/>
      <c r="Z284" s="631"/>
    </row>
    <row r="285" spans="1:26">
      <c r="A285" s="636" t="s">
        <v>3648</v>
      </c>
      <c r="B285" s="631"/>
      <c r="C285" s="631"/>
      <c r="D285" s="631"/>
      <c r="E285" s="631"/>
      <c r="F285" s="631"/>
      <c r="G285" s="631"/>
      <c r="H285" s="652"/>
      <c r="I285" s="631"/>
      <c r="J285" s="631"/>
      <c r="K285" s="631"/>
      <c r="L285" s="631"/>
      <c r="M285" s="631"/>
      <c r="N285" s="631"/>
      <c r="O285" s="631"/>
      <c r="P285" s="631"/>
      <c r="Q285" s="631"/>
      <c r="R285" s="631"/>
      <c r="S285" s="631"/>
      <c r="T285" s="631"/>
      <c r="U285" s="631"/>
      <c r="V285" s="631"/>
      <c r="W285" s="631"/>
      <c r="X285" s="631"/>
      <c r="Y285" s="631"/>
      <c r="Z285" s="631"/>
    </row>
    <row r="286" spans="1:26">
      <c r="A286" s="636" t="s">
        <v>3648</v>
      </c>
      <c r="B286" s="631"/>
      <c r="C286" s="631"/>
      <c r="D286" s="631"/>
      <c r="E286" s="631"/>
      <c r="F286" s="631"/>
      <c r="G286" s="631"/>
      <c r="H286" s="652"/>
      <c r="I286" s="631"/>
      <c r="J286" s="631"/>
      <c r="K286" s="631"/>
      <c r="L286" s="631"/>
      <c r="M286" s="631"/>
      <c r="N286" s="631"/>
      <c r="O286" s="631"/>
      <c r="P286" s="631"/>
      <c r="Q286" s="631"/>
      <c r="R286" s="631"/>
      <c r="S286" s="631"/>
      <c r="T286" s="631"/>
      <c r="U286" s="631"/>
      <c r="V286" s="631"/>
      <c r="W286" s="631"/>
      <c r="X286" s="631"/>
      <c r="Y286" s="631"/>
      <c r="Z286" s="631"/>
    </row>
    <row r="287" spans="1:26">
      <c r="A287" s="636" t="s">
        <v>3648</v>
      </c>
      <c r="B287" s="631"/>
      <c r="C287" s="631"/>
      <c r="D287" s="631"/>
      <c r="E287" s="631"/>
      <c r="F287" s="631"/>
      <c r="G287" s="631"/>
      <c r="H287" s="652"/>
      <c r="I287" s="631"/>
      <c r="J287" s="631"/>
      <c r="K287" s="631"/>
      <c r="L287" s="631"/>
      <c r="M287" s="631"/>
      <c r="N287" s="631"/>
      <c r="O287" s="631"/>
      <c r="P287" s="631"/>
      <c r="Q287" s="631"/>
      <c r="R287" s="631"/>
      <c r="S287" s="631"/>
      <c r="T287" s="631"/>
      <c r="U287" s="631"/>
      <c r="V287" s="631"/>
      <c r="W287" s="631"/>
      <c r="X287" s="631"/>
      <c r="Y287" s="631"/>
      <c r="Z287" s="631"/>
    </row>
    <row r="288" spans="1:26">
      <c r="A288" s="636" t="s">
        <v>3648</v>
      </c>
      <c r="B288" s="631"/>
      <c r="C288" s="631"/>
      <c r="D288" s="631"/>
      <c r="E288" s="631"/>
      <c r="F288" s="631"/>
      <c r="G288" s="631"/>
      <c r="H288" s="652"/>
      <c r="I288" s="631"/>
      <c r="J288" s="631"/>
      <c r="K288" s="631"/>
      <c r="L288" s="631"/>
      <c r="M288" s="631"/>
      <c r="N288" s="631"/>
      <c r="O288" s="631"/>
      <c r="P288" s="631"/>
      <c r="Q288" s="631"/>
      <c r="R288" s="631"/>
      <c r="S288" s="631"/>
      <c r="T288" s="631"/>
      <c r="U288" s="631"/>
      <c r="V288" s="631"/>
      <c r="W288" s="631"/>
      <c r="X288" s="631"/>
      <c r="Y288" s="631"/>
      <c r="Z288" s="631"/>
    </row>
    <row r="289" spans="1:26">
      <c r="A289" s="636" t="s">
        <v>3648</v>
      </c>
      <c r="B289" s="631"/>
      <c r="C289" s="631"/>
      <c r="D289" s="631"/>
      <c r="E289" s="631"/>
      <c r="F289" s="631"/>
      <c r="G289" s="631"/>
      <c r="H289" s="652"/>
      <c r="I289" s="631"/>
      <c r="J289" s="631"/>
      <c r="K289" s="631"/>
      <c r="L289" s="631"/>
      <c r="M289" s="631"/>
      <c r="N289" s="631"/>
      <c r="O289" s="631"/>
      <c r="P289" s="631"/>
      <c r="Q289" s="631"/>
      <c r="R289" s="631"/>
      <c r="S289" s="631"/>
      <c r="T289" s="631"/>
      <c r="U289" s="631"/>
      <c r="V289" s="631"/>
      <c r="W289" s="631"/>
      <c r="X289" s="631"/>
      <c r="Y289" s="631"/>
      <c r="Z289" s="631"/>
    </row>
    <row r="290" spans="1:26">
      <c r="A290" s="636" t="s">
        <v>3648</v>
      </c>
      <c r="B290" s="631"/>
      <c r="C290" s="631"/>
      <c r="D290" s="631"/>
      <c r="E290" s="631"/>
      <c r="F290" s="631"/>
      <c r="G290" s="631"/>
      <c r="H290" s="652"/>
      <c r="I290" s="631"/>
      <c r="J290" s="631"/>
      <c r="K290" s="631"/>
      <c r="L290" s="631"/>
      <c r="M290" s="631"/>
      <c r="N290" s="631"/>
      <c r="O290" s="631"/>
      <c r="P290" s="631"/>
      <c r="Q290" s="631"/>
      <c r="R290" s="631"/>
      <c r="S290" s="631"/>
      <c r="T290" s="631"/>
      <c r="U290" s="631"/>
      <c r="V290" s="631"/>
      <c r="W290" s="631"/>
      <c r="X290" s="631"/>
      <c r="Y290" s="631"/>
      <c r="Z290" s="631"/>
    </row>
    <row r="291" spans="1:26">
      <c r="A291" s="636" t="s">
        <v>3648</v>
      </c>
      <c r="B291" s="631"/>
      <c r="C291" s="631"/>
      <c r="D291" s="631"/>
      <c r="E291" s="631"/>
      <c r="F291" s="631"/>
      <c r="G291" s="631"/>
      <c r="H291" s="652"/>
      <c r="I291" s="631"/>
      <c r="J291" s="631"/>
      <c r="K291" s="631"/>
      <c r="L291" s="631"/>
      <c r="M291" s="631"/>
      <c r="N291" s="631"/>
      <c r="O291" s="631"/>
      <c r="P291" s="631"/>
      <c r="Q291" s="631"/>
      <c r="R291" s="631"/>
      <c r="S291" s="631"/>
      <c r="T291" s="631"/>
      <c r="U291" s="631"/>
      <c r="V291" s="631"/>
      <c r="W291" s="631"/>
      <c r="X291" s="631"/>
      <c r="Y291" s="631"/>
      <c r="Z291" s="631"/>
    </row>
    <row r="292" spans="1:26">
      <c r="A292" s="636" t="s">
        <v>3648</v>
      </c>
      <c r="B292" s="631"/>
      <c r="C292" s="631"/>
      <c r="D292" s="631"/>
      <c r="E292" s="631"/>
      <c r="F292" s="631"/>
      <c r="G292" s="631"/>
      <c r="H292" s="652"/>
      <c r="I292" s="631"/>
      <c r="J292" s="631"/>
      <c r="K292" s="631"/>
      <c r="L292" s="631"/>
      <c r="M292" s="631"/>
      <c r="N292" s="631"/>
      <c r="O292" s="631"/>
      <c r="P292" s="631"/>
      <c r="Q292" s="631"/>
      <c r="R292" s="631"/>
      <c r="S292" s="631"/>
      <c r="T292" s="631"/>
      <c r="U292" s="631"/>
      <c r="V292" s="631"/>
      <c r="W292" s="631"/>
      <c r="X292" s="631"/>
      <c r="Y292" s="631"/>
      <c r="Z292" s="631"/>
    </row>
    <row r="293" spans="1:26">
      <c r="A293" s="636" t="s">
        <v>3648</v>
      </c>
      <c r="B293" s="631"/>
      <c r="C293" s="631"/>
      <c r="D293" s="631"/>
      <c r="E293" s="631"/>
      <c r="F293" s="631"/>
      <c r="G293" s="631"/>
      <c r="H293" s="652"/>
      <c r="I293" s="631"/>
      <c r="J293" s="631"/>
      <c r="K293" s="631"/>
      <c r="L293" s="631"/>
      <c r="M293" s="631"/>
      <c r="N293" s="631"/>
      <c r="O293" s="631"/>
      <c r="P293" s="631"/>
      <c r="Q293" s="631"/>
      <c r="R293" s="631"/>
      <c r="S293" s="631"/>
      <c r="T293" s="631"/>
      <c r="U293" s="631"/>
      <c r="V293" s="631"/>
      <c r="W293" s="631"/>
      <c r="X293" s="631"/>
      <c r="Y293" s="631"/>
      <c r="Z293" s="631"/>
    </row>
    <row r="294" spans="1:26">
      <c r="A294" s="636" t="s">
        <v>3648</v>
      </c>
      <c r="B294" s="631"/>
      <c r="C294" s="631"/>
      <c r="D294" s="631"/>
      <c r="E294" s="631"/>
      <c r="F294" s="631"/>
      <c r="G294" s="631"/>
      <c r="H294" s="652"/>
      <c r="I294" s="631"/>
      <c r="J294" s="631"/>
      <c r="K294" s="631"/>
      <c r="L294" s="631"/>
      <c r="M294" s="631"/>
      <c r="N294" s="631"/>
      <c r="O294" s="631"/>
      <c r="P294" s="631"/>
      <c r="Q294" s="631"/>
      <c r="R294" s="631"/>
      <c r="S294" s="631"/>
      <c r="T294" s="631"/>
      <c r="U294" s="631"/>
      <c r="V294" s="631"/>
      <c r="W294" s="631"/>
      <c r="X294" s="631"/>
      <c r="Y294" s="631"/>
      <c r="Z294" s="631"/>
    </row>
    <row r="295" spans="1:26">
      <c r="A295" s="636" t="s">
        <v>3648</v>
      </c>
      <c r="B295" s="631"/>
      <c r="C295" s="631"/>
      <c r="D295" s="631"/>
      <c r="E295" s="631"/>
      <c r="F295" s="631"/>
      <c r="G295" s="631"/>
      <c r="H295" s="652"/>
      <c r="I295" s="631"/>
      <c r="J295" s="631"/>
      <c r="K295" s="631"/>
      <c r="L295" s="631"/>
      <c r="M295" s="631"/>
      <c r="N295" s="631"/>
      <c r="O295" s="631"/>
      <c r="P295" s="631"/>
      <c r="Q295" s="631"/>
      <c r="R295" s="631"/>
      <c r="S295" s="631"/>
      <c r="T295" s="631"/>
      <c r="U295" s="631"/>
      <c r="V295" s="631"/>
      <c r="W295" s="631"/>
      <c r="X295" s="631"/>
      <c r="Y295" s="631"/>
      <c r="Z295" s="631"/>
    </row>
    <row r="296" spans="1:26">
      <c r="A296" s="636" t="s">
        <v>3648</v>
      </c>
      <c r="B296" s="631"/>
      <c r="C296" s="631"/>
      <c r="D296" s="631"/>
      <c r="E296" s="631"/>
      <c r="F296" s="631"/>
      <c r="G296" s="631"/>
      <c r="H296" s="652"/>
      <c r="I296" s="631"/>
      <c r="J296" s="631"/>
      <c r="K296" s="631"/>
      <c r="L296" s="631"/>
      <c r="M296" s="631"/>
      <c r="N296" s="631"/>
      <c r="O296" s="631"/>
      <c r="P296" s="631"/>
      <c r="Q296" s="631"/>
      <c r="R296" s="631"/>
      <c r="S296" s="631"/>
      <c r="T296" s="631"/>
      <c r="U296" s="631"/>
      <c r="V296" s="631"/>
      <c r="W296" s="631"/>
      <c r="X296" s="631"/>
      <c r="Y296" s="631"/>
      <c r="Z296" s="631"/>
    </row>
    <row r="297" spans="1:26">
      <c r="A297" s="636" t="s">
        <v>3648</v>
      </c>
      <c r="B297" s="631"/>
      <c r="C297" s="631"/>
      <c r="D297" s="631"/>
      <c r="E297" s="631"/>
      <c r="F297" s="631"/>
      <c r="G297" s="631"/>
      <c r="H297" s="652"/>
      <c r="I297" s="631"/>
      <c r="J297" s="631"/>
      <c r="K297" s="631"/>
      <c r="L297" s="631"/>
      <c r="M297" s="631"/>
      <c r="N297" s="631"/>
      <c r="O297" s="631"/>
      <c r="P297" s="631"/>
      <c r="Q297" s="631"/>
      <c r="R297" s="631"/>
      <c r="S297" s="631"/>
      <c r="T297" s="631"/>
      <c r="U297" s="631"/>
      <c r="V297" s="631"/>
      <c r="W297" s="631"/>
      <c r="X297" s="631"/>
      <c r="Y297" s="631"/>
      <c r="Z297" s="631"/>
    </row>
    <row r="298" spans="1:26">
      <c r="A298" s="636" t="s">
        <v>3648</v>
      </c>
      <c r="B298" s="631"/>
      <c r="C298" s="631"/>
      <c r="D298" s="631"/>
      <c r="E298" s="631"/>
      <c r="F298" s="631"/>
      <c r="G298" s="631"/>
      <c r="H298" s="652"/>
      <c r="I298" s="631"/>
      <c r="J298" s="631"/>
      <c r="K298" s="631"/>
      <c r="L298" s="631"/>
      <c r="M298" s="631"/>
      <c r="N298" s="631"/>
      <c r="O298" s="631"/>
      <c r="P298" s="631"/>
      <c r="Q298" s="631"/>
      <c r="R298" s="631"/>
      <c r="S298" s="631"/>
      <c r="T298" s="631"/>
      <c r="U298" s="631"/>
      <c r="V298" s="631"/>
      <c r="W298" s="631"/>
      <c r="X298" s="631"/>
      <c r="Y298" s="631"/>
      <c r="Z298" s="631"/>
    </row>
    <row r="299" spans="1:26">
      <c r="A299" s="636" t="s">
        <v>3648</v>
      </c>
      <c r="B299" s="631"/>
      <c r="C299" s="631"/>
      <c r="D299" s="631"/>
      <c r="E299" s="631"/>
      <c r="F299" s="631"/>
      <c r="G299" s="631"/>
      <c r="H299" s="652"/>
      <c r="I299" s="631"/>
      <c r="J299" s="631"/>
      <c r="K299" s="631"/>
      <c r="L299" s="631"/>
      <c r="M299" s="631"/>
      <c r="N299" s="631"/>
      <c r="O299" s="631"/>
      <c r="P299" s="631"/>
      <c r="Q299" s="631"/>
      <c r="R299" s="631"/>
      <c r="S299" s="631"/>
      <c r="T299" s="631"/>
      <c r="U299" s="631"/>
      <c r="V299" s="631"/>
      <c r="W299" s="631"/>
      <c r="X299" s="631"/>
      <c r="Y299" s="631"/>
      <c r="Z299" s="631"/>
    </row>
    <row r="300" spans="1:26">
      <c r="A300" s="636" t="s">
        <v>3648</v>
      </c>
      <c r="B300" s="631"/>
      <c r="C300" s="631"/>
      <c r="D300" s="631"/>
      <c r="E300" s="631"/>
      <c r="F300" s="631"/>
      <c r="G300" s="631"/>
      <c r="H300" s="652"/>
      <c r="I300" s="631"/>
      <c r="J300" s="631"/>
      <c r="K300" s="631"/>
      <c r="L300" s="631"/>
      <c r="M300" s="631"/>
      <c r="N300" s="631"/>
      <c r="O300" s="631"/>
      <c r="P300" s="631"/>
      <c r="Q300" s="631"/>
      <c r="R300" s="631"/>
      <c r="S300" s="631"/>
      <c r="T300" s="631"/>
      <c r="U300" s="631"/>
      <c r="V300" s="631"/>
      <c r="W300" s="631"/>
      <c r="X300" s="631"/>
      <c r="Y300" s="631"/>
      <c r="Z300" s="631"/>
    </row>
    <row r="301" spans="1:26">
      <c r="A301" s="636" t="s">
        <v>3648</v>
      </c>
      <c r="B301" s="631"/>
      <c r="C301" s="631"/>
      <c r="D301" s="631"/>
      <c r="E301" s="631"/>
      <c r="F301" s="631"/>
      <c r="G301" s="631"/>
      <c r="H301" s="652"/>
      <c r="I301" s="631"/>
      <c r="J301" s="631"/>
      <c r="K301" s="631"/>
      <c r="L301" s="631"/>
      <c r="M301" s="631"/>
      <c r="N301" s="631"/>
      <c r="O301" s="631"/>
      <c r="P301" s="631"/>
      <c r="Q301" s="631"/>
      <c r="R301" s="631"/>
      <c r="S301" s="631"/>
      <c r="T301" s="631"/>
      <c r="U301" s="631"/>
      <c r="V301" s="631"/>
      <c r="W301" s="631"/>
      <c r="X301" s="631"/>
      <c r="Y301" s="631"/>
      <c r="Z301" s="631"/>
    </row>
    <row r="302" spans="1:26">
      <c r="A302" s="636" t="s">
        <v>3648</v>
      </c>
      <c r="B302" s="631"/>
      <c r="C302" s="631"/>
      <c r="D302" s="631"/>
      <c r="E302" s="631"/>
      <c r="F302" s="631"/>
      <c r="G302" s="631"/>
      <c r="H302" s="652"/>
      <c r="I302" s="631"/>
      <c r="J302" s="631"/>
      <c r="K302" s="631"/>
      <c r="L302" s="631"/>
      <c r="M302" s="631"/>
      <c r="N302" s="631"/>
      <c r="O302" s="631"/>
      <c r="P302" s="631"/>
      <c r="Q302" s="631"/>
      <c r="R302" s="631"/>
      <c r="S302" s="631"/>
      <c r="T302" s="631"/>
      <c r="U302" s="631"/>
      <c r="V302" s="631"/>
      <c r="W302" s="631"/>
      <c r="X302" s="631"/>
      <c r="Y302" s="631"/>
      <c r="Z302" s="631"/>
    </row>
    <row r="303" spans="1:26">
      <c r="A303" s="636" t="s">
        <v>3648</v>
      </c>
      <c r="B303" s="631"/>
      <c r="C303" s="631"/>
      <c r="D303" s="631"/>
      <c r="E303" s="631"/>
      <c r="F303" s="631"/>
      <c r="G303" s="631"/>
      <c r="H303" s="652"/>
      <c r="I303" s="631"/>
      <c r="J303" s="631"/>
      <c r="K303" s="631"/>
      <c r="L303" s="631"/>
      <c r="M303" s="631"/>
      <c r="N303" s="631"/>
      <c r="O303" s="631"/>
      <c r="P303" s="631"/>
      <c r="Q303" s="631"/>
      <c r="R303" s="631"/>
      <c r="S303" s="631"/>
      <c r="T303" s="631"/>
      <c r="U303" s="631"/>
      <c r="V303" s="631"/>
      <c r="W303" s="631"/>
      <c r="X303" s="631"/>
      <c r="Y303" s="631"/>
      <c r="Z303" s="631"/>
    </row>
    <row r="304" spans="1:26">
      <c r="A304" s="636" t="s">
        <v>3648</v>
      </c>
      <c r="B304" s="631"/>
      <c r="C304" s="631"/>
      <c r="D304" s="631"/>
      <c r="E304" s="631"/>
      <c r="F304" s="631"/>
      <c r="G304" s="631"/>
      <c r="H304" s="652"/>
      <c r="I304" s="631"/>
      <c r="J304" s="631"/>
      <c r="K304" s="631"/>
      <c r="L304" s="631"/>
      <c r="M304" s="631"/>
      <c r="N304" s="631"/>
      <c r="O304" s="631"/>
      <c r="P304" s="631"/>
      <c r="Q304" s="631"/>
      <c r="R304" s="631"/>
      <c r="S304" s="631"/>
      <c r="T304" s="631"/>
      <c r="U304" s="631"/>
      <c r="V304" s="631"/>
      <c r="W304" s="631"/>
      <c r="X304" s="631"/>
      <c r="Y304" s="631"/>
      <c r="Z304" s="631"/>
    </row>
    <row r="305" spans="1:26">
      <c r="A305" s="636" t="s">
        <v>3648</v>
      </c>
      <c r="B305" s="631"/>
      <c r="C305" s="631"/>
      <c r="D305" s="631"/>
      <c r="E305" s="631"/>
      <c r="F305" s="631"/>
      <c r="G305" s="631"/>
      <c r="H305" s="652"/>
      <c r="I305" s="631"/>
      <c r="J305" s="631"/>
      <c r="K305" s="631"/>
      <c r="L305" s="631"/>
      <c r="M305" s="631"/>
      <c r="N305" s="631"/>
      <c r="O305" s="631"/>
      <c r="P305" s="631"/>
      <c r="Q305" s="631"/>
      <c r="R305" s="631"/>
      <c r="S305" s="631"/>
      <c r="T305" s="631"/>
      <c r="U305" s="631"/>
      <c r="V305" s="631"/>
      <c r="W305" s="631"/>
      <c r="X305" s="631"/>
      <c r="Y305" s="631"/>
      <c r="Z305" s="631"/>
    </row>
    <row r="306" spans="1:26">
      <c r="A306" s="636" t="s">
        <v>3648</v>
      </c>
      <c r="B306" s="631"/>
      <c r="C306" s="631"/>
      <c r="D306" s="631"/>
      <c r="E306" s="631"/>
      <c r="F306" s="631"/>
      <c r="G306" s="631"/>
      <c r="H306" s="652"/>
      <c r="I306" s="631"/>
      <c r="J306" s="631"/>
      <c r="K306" s="631"/>
      <c r="L306" s="631"/>
      <c r="M306" s="631"/>
      <c r="N306" s="631"/>
      <c r="O306" s="631"/>
      <c r="P306" s="631"/>
      <c r="Q306" s="631"/>
      <c r="R306" s="631"/>
      <c r="S306" s="631"/>
      <c r="T306" s="631"/>
      <c r="U306" s="631"/>
      <c r="V306" s="631"/>
      <c r="W306" s="631"/>
      <c r="X306" s="631"/>
      <c r="Y306" s="631"/>
      <c r="Z306" s="631"/>
    </row>
    <row r="307" spans="1:26">
      <c r="A307" s="636" t="s">
        <v>3648</v>
      </c>
      <c r="B307" s="631"/>
      <c r="C307" s="631"/>
      <c r="D307" s="631"/>
      <c r="E307" s="631"/>
      <c r="F307" s="631"/>
      <c r="G307" s="631"/>
      <c r="H307" s="652"/>
      <c r="I307" s="631"/>
      <c r="J307" s="631"/>
      <c r="K307" s="631"/>
      <c r="L307" s="631"/>
      <c r="M307" s="631"/>
      <c r="N307" s="631"/>
      <c r="O307" s="631"/>
      <c r="P307" s="631"/>
      <c r="Q307" s="631"/>
      <c r="R307" s="631"/>
      <c r="S307" s="631"/>
      <c r="T307" s="631"/>
      <c r="U307" s="631"/>
      <c r="V307" s="631"/>
      <c r="W307" s="631"/>
      <c r="X307" s="631"/>
      <c r="Y307" s="631"/>
      <c r="Z307" s="631"/>
    </row>
    <row r="308" spans="1:26">
      <c r="A308" s="636" t="s">
        <v>3648</v>
      </c>
      <c r="B308" s="631"/>
      <c r="C308" s="631"/>
      <c r="D308" s="631"/>
      <c r="E308" s="631"/>
      <c r="F308" s="631"/>
      <c r="G308" s="631"/>
      <c r="H308" s="652"/>
      <c r="I308" s="631"/>
      <c r="J308" s="631"/>
      <c r="K308" s="631"/>
      <c r="L308" s="631"/>
      <c r="M308" s="631"/>
      <c r="N308" s="631"/>
      <c r="O308" s="631"/>
      <c r="P308" s="631"/>
      <c r="Q308" s="631"/>
      <c r="R308" s="631"/>
      <c r="S308" s="631"/>
      <c r="T308" s="631"/>
      <c r="U308" s="631"/>
      <c r="V308" s="631"/>
      <c r="W308" s="631"/>
      <c r="X308" s="631"/>
      <c r="Y308" s="631"/>
      <c r="Z308" s="631"/>
    </row>
    <row r="309" spans="1:26">
      <c r="A309" s="636" t="s">
        <v>3648</v>
      </c>
      <c r="B309" s="631"/>
      <c r="C309" s="631"/>
      <c r="D309" s="631"/>
      <c r="E309" s="631"/>
      <c r="F309" s="631"/>
      <c r="G309" s="631"/>
      <c r="H309" s="652"/>
      <c r="I309" s="631"/>
      <c r="J309" s="631"/>
      <c r="K309" s="631"/>
      <c r="L309" s="631"/>
      <c r="M309" s="631"/>
      <c r="N309" s="631"/>
      <c r="O309" s="631"/>
      <c r="P309" s="631"/>
      <c r="Q309" s="631"/>
      <c r="R309" s="631"/>
      <c r="S309" s="631"/>
      <c r="T309" s="631"/>
      <c r="U309" s="631"/>
      <c r="V309" s="631"/>
      <c r="W309" s="631"/>
      <c r="X309" s="631"/>
      <c r="Y309" s="631"/>
      <c r="Z309" s="631"/>
    </row>
    <row r="310" spans="1:26">
      <c r="A310" s="636" t="s">
        <v>3648</v>
      </c>
      <c r="B310" s="631"/>
      <c r="C310" s="631"/>
      <c r="D310" s="631"/>
      <c r="E310" s="631"/>
      <c r="F310" s="631"/>
      <c r="G310" s="631"/>
      <c r="H310" s="652"/>
      <c r="I310" s="631"/>
      <c r="J310" s="631"/>
      <c r="K310" s="631"/>
      <c r="L310" s="631"/>
      <c r="M310" s="631"/>
      <c r="N310" s="631"/>
      <c r="O310" s="631"/>
      <c r="P310" s="631"/>
      <c r="Q310" s="631"/>
      <c r="R310" s="631"/>
      <c r="S310" s="631"/>
      <c r="T310" s="631"/>
      <c r="U310" s="631"/>
      <c r="V310" s="631"/>
      <c r="W310" s="631"/>
      <c r="X310" s="631"/>
      <c r="Y310" s="631"/>
      <c r="Z310" s="631"/>
    </row>
    <row r="311" spans="1:26">
      <c r="A311" s="636" t="s">
        <v>3648</v>
      </c>
      <c r="B311" s="631"/>
      <c r="C311" s="631"/>
      <c r="D311" s="631"/>
      <c r="E311" s="631"/>
      <c r="F311" s="631"/>
      <c r="G311" s="631"/>
      <c r="H311" s="652"/>
      <c r="I311" s="631"/>
      <c r="J311" s="631"/>
      <c r="K311" s="631"/>
      <c r="L311" s="631"/>
      <c r="M311" s="631"/>
      <c r="N311" s="631"/>
      <c r="O311" s="631"/>
      <c r="P311" s="631"/>
      <c r="Q311" s="631"/>
      <c r="R311" s="631"/>
      <c r="S311" s="631"/>
      <c r="T311" s="631"/>
      <c r="U311" s="631"/>
      <c r="V311" s="631"/>
      <c r="W311" s="631"/>
      <c r="X311" s="631"/>
      <c r="Y311" s="631"/>
      <c r="Z311" s="631"/>
    </row>
    <row r="312" spans="1:26">
      <c r="A312" s="636" t="s">
        <v>3648</v>
      </c>
      <c r="B312" s="631"/>
      <c r="C312" s="631"/>
      <c r="D312" s="631"/>
      <c r="E312" s="631"/>
      <c r="F312" s="631"/>
      <c r="G312" s="631"/>
      <c r="H312" s="652"/>
      <c r="I312" s="631"/>
      <c r="J312" s="631"/>
      <c r="K312" s="631"/>
      <c r="L312" s="631"/>
      <c r="M312" s="631"/>
      <c r="N312" s="631"/>
      <c r="O312" s="631"/>
      <c r="P312" s="631"/>
      <c r="Q312" s="631"/>
      <c r="R312" s="631"/>
      <c r="S312" s="631"/>
      <c r="T312" s="631"/>
      <c r="U312" s="631"/>
      <c r="V312" s="631"/>
      <c r="W312" s="631"/>
      <c r="X312" s="631"/>
      <c r="Y312" s="631"/>
      <c r="Z312" s="631"/>
    </row>
    <row r="313" spans="1:26">
      <c r="A313" s="636" t="s">
        <v>3648</v>
      </c>
      <c r="B313" s="631"/>
      <c r="C313" s="631"/>
      <c r="D313" s="631"/>
      <c r="E313" s="631"/>
      <c r="F313" s="631"/>
      <c r="G313" s="631"/>
      <c r="H313" s="652"/>
      <c r="I313" s="631"/>
      <c r="J313" s="631"/>
      <c r="K313" s="631"/>
      <c r="L313" s="631"/>
      <c r="M313" s="631"/>
      <c r="N313" s="631"/>
      <c r="O313" s="631"/>
      <c r="P313" s="631"/>
      <c r="Q313" s="631"/>
      <c r="R313" s="631"/>
      <c r="S313" s="631"/>
      <c r="T313" s="631"/>
      <c r="U313" s="631"/>
      <c r="V313" s="631"/>
      <c r="W313" s="631"/>
      <c r="X313" s="631"/>
      <c r="Y313" s="631"/>
      <c r="Z313" s="631"/>
    </row>
    <row r="314" spans="1:26">
      <c r="A314" s="636" t="s">
        <v>3648</v>
      </c>
      <c r="B314" s="631"/>
      <c r="C314" s="631"/>
      <c r="D314" s="631"/>
      <c r="E314" s="631"/>
      <c r="F314" s="631"/>
      <c r="G314" s="631"/>
      <c r="H314" s="652"/>
      <c r="I314" s="631"/>
      <c r="J314" s="631"/>
      <c r="K314" s="631"/>
      <c r="L314" s="631"/>
      <c r="M314" s="631"/>
      <c r="N314" s="631"/>
      <c r="O314" s="631"/>
      <c r="P314" s="631"/>
      <c r="Q314" s="631"/>
      <c r="R314" s="631"/>
      <c r="S314" s="631"/>
      <c r="T314" s="631"/>
      <c r="U314" s="631"/>
      <c r="V314" s="631"/>
      <c r="W314" s="631"/>
      <c r="X314" s="631"/>
      <c r="Y314" s="631"/>
      <c r="Z314" s="631"/>
    </row>
    <row r="315" spans="1:26">
      <c r="A315" s="636" t="s">
        <v>3648</v>
      </c>
      <c r="B315" s="631"/>
      <c r="C315" s="631"/>
      <c r="D315" s="631"/>
      <c r="E315" s="631"/>
      <c r="F315" s="631"/>
      <c r="G315" s="631"/>
      <c r="H315" s="652"/>
      <c r="I315" s="631"/>
      <c r="J315" s="631"/>
      <c r="K315" s="631"/>
      <c r="L315" s="631"/>
      <c r="M315" s="631"/>
      <c r="N315" s="631"/>
      <c r="O315" s="631"/>
      <c r="P315" s="631"/>
      <c r="Q315" s="631"/>
      <c r="R315" s="631"/>
      <c r="S315" s="631"/>
      <c r="T315" s="631"/>
      <c r="U315" s="631"/>
      <c r="V315" s="631"/>
      <c r="W315" s="631"/>
      <c r="X315" s="631"/>
      <c r="Y315" s="631"/>
      <c r="Z315" s="631"/>
    </row>
    <row r="316" spans="1:26">
      <c r="A316" s="636" t="s">
        <v>3648</v>
      </c>
      <c r="B316" s="631"/>
      <c r="C316" s="631"/>
      <c r="D316" s="631"/>
      <c r="E316" s="631"/>
      <c r="F316" s="631"/>
      <c r="G316" s="631"/>
      <c r="H316" s="652"/>
      <c r="I316" s="631"/>
      <c r="J316" s="631"/>
      <c r="K316" s="631"/>
      <c r="L316" s="631"/>
      <c r="M316" s="631"/>
      <c r="N316" s="631"/>
      <c r="O316" s="631"/>
      <c r="P316" s="631"/>
      <c r="Q316" s="631"/>
      <c r="R316" s="631"/>
      <c r="S316" s="631"/>
      <c r="T316" s="631"/>
      <c r="U316" s="631"/>
      <c r="V316" s="631"/>
      <c r="W316" s="631"/>
      <c r="X316" s="631"/>
      <c r="Y316" s="631"/>
      <c r="Z316" s="631"/>
    </row>
    <row r="317" spans="1:26">
      <c r="A317" s="636" t="s">
        <v>3648</v>
      </c>
      <c r="B317" s="631"/>
      <c r="C317" s="631"/>
      <c r="D317" s="631"/>
      <c r="E317" s="631"/>
      <c r="F317" s="631"/>
      <c r="G317" s="631"/>
      <c r="H317" s="652"/>
      <c r="I317" s="631"/>
      <c r="J317" s="631"/>
      <c r="K317" s="631"/>
      <c r="L317" s="631"/>
      <c r="M317" s="631"/>
      <c r="N317" s="631"/>
      <c r="O317" s="631"/>
      <c r="P317" s="631"/>
      <c r="Q317" s="631"/>
      <c r="R317" s="631"/>
      <c r="S317" s="631"/>
      <c r="T317" s="631"/>
      <c r="U317" s="631"/>
      <c r="V317" s="631"/>
      <c r="W317" s="631"/>
      <c r="X317" s="631"/>
      <c r="Y317" s="631"/>
      <c r="Z317" s="631"/>
    </row>
    <row r="318" spans="1:26">
      <c r="A318" s="636" t="s">
        <v>3648</v>
      </c>
      <c r="B318" s="631"/>
      <c r="C318" s="631"/>
      <c r="D318" s="631"/>
      <c r="E318" s="631"/>
      <c r="F318" s="631"/>
      <c r="G318" s="631"/>
      <c r="H318" s="652"/>
      <c r="I318" s="631"/>
      <c r="J318" s="631"/>
      <c r="K318" s="631"/>
      <c r="L318" s="631"/>
      <c r="M318" s="631"/>
      <c r="N318" s="631"/>
      <c r="O318" s="631"/>
      <c r="P318" s="631"/>
      <c r="Q318" s="631"/>
      <c r="R318" s="631"/>
      <c r="S318" s="631"/>
      <c r="T318" s="631"/>
      <c r="U318" s="631"/>
      <c r="V318" s="631"/>
      <c r="W318" s="631"/>
      <c r="X318" s="631"/>
      <c r="Y318" s="631"/>
      <c r="Z318" s="631"/>
    </row>
    <row r="319" spans="1:26">
      <c r="A319" s="636" t="s">
        <v>3648</v>
      </c>
      <c r="B319" s="631"/>
      <c r="C319" s="631"/>
      <c r="D319" s="631"/>
      <c r="E319" s="631"/>
      <c r="F319" s="631"/>
      <c r="G319" s="631"/>
      <c r="H319" s="652"/>
      <c r="I319" s="631"/>
      <c r="J319" s="631"/>
      <c r="K319" s="631"/>
      <c r="L319" s="631"/>
      <c r="M319" s="631"/>
      <c r="N319" s="631"/>
      <c r="O319" s="631"/>
      <c r="P319" s="631"/>
      <c r="Q319" s="631"/>
      <c r="R319" s="631"/>
      <c r="S319" s="631"/>
      <c r="T319" s="631"/>
      <c r="U319" s="631"/>
      <c r="V319" s="631"/>
      <c r="W319" s="631"/>
      <c r="X319" s="631"/>
      <c r="Y319" s="631"/>
      <c r="Z319" s="631"/>
    </row>
    <row r="320" spans="1:26">
      <c r="A320" s="636" t="s">
        <v>3648</v>
      </c>
      <c r="B320" s="631"/>
      <c r="C320" s="631"/>
      <c r="D320" s="631"/>
      <c r="E320" s="631"/>
      <c r="F320" s="631"/>
      <c r="G320" s="631"/>
      <c r="H320" s="652"/>
      <c r="I320" s="631"/>
      <c r="J320" s="631"/>
      <c r="K320" s="631"/>
      <c r="L320" s="631"/>
      <c r="M320" s="631"/>
      <c r="N320" s="631"/>
      <c r="O320" s="631"/>
      <c r="P320" s="631"/>
      <c r="Q320" s="631"/>
      <c r="R320" s="631"/>
      <c r="S320" s="631"/>
      <c r="T320" s="631"/>
      <c r="U320" s="631"/>
      <c r="V320" s="631"/>
      <c r="W320" s="631"/>
      <c r="X320" s="631"/>
      <c r="Y320" s="631"/>
      <c r="Z320" s="631"/>
    </row>
    <row r="321" spans="1:26">
      <c r="A321" s="636" t="s">
        <v>3648</v>
      </c>
      <c r="B321" s="631"/>
      <c r="C321" s="631"/>
      <c r="D321" s="631"/>
      <c r="E321" s="631"/>
      <c r="F321" s="631"/>
      <c r="G321" s="631"/>
      <c r="H321" s="652"/>
      <c r="I321" s="631"/>
      <c r="J321" s="631"/>
      <c r="K321" s="631"/>
      <c r="L321" s="631"/>
      <c r="M321" s="631"/>
      <c r="N321" s="631"/>
      <c r="O321" s="631"/>
      <c r="P321" s="631"/>
      <c r="Q321" s="631"/>
      <c r="R321" s="631"/>
      <c r="S321" s="631"/>
      <c r="T321" s="631"/>
      <c r="U321" s="631"/>
      <c r="V321" s="631"/>
      <c r="W321" s="631"/>
      <c r="X321" s="631"/>
      <c r="Y321" s="631"/>
      <c r="Z321" s="631"/>
    </row>
    <row r="322" spans="1:26">
      <c r="A322" s="636" t="s">
        <v>3648</v>
      </c>
      <c r="B322" s="631"/>
      <c r="C322" s="631"/>
      <c r="D322" s="631"/>
      <c r="E322" s="631"/>
      <c r="F322" s="631"/>
      <c r="G322" s="631"/>
      <c r="H322" s="652"/>
      <c r="I322" s="631"/>
      <c r="J322" s="631"/>
      <c r="K322" s="631"/>
      <c r="L322" s="631"/>
      <c r="M322" s="631"/>
      <c r="N322" s="631"/>
      <c r="O322" s="631"/>
      <c r="P322" s="631"/>
      <c r="Q322" s="631"/>
      <c r="R322" s="631"/>
      <c r="S322" s="631"/>
      <c r="T322" s="631"/>
      <c r="U322" s="631"/>
      <c r="V322" s="631"/>
      <c r="W322" s="631"/>
      <c r="X322" s="631"/>
      <c r="Y322" s="631"/>
      <c r="Z322" s="631"/>
    </row>
    <row r="323" spans="1:26">
      <c r="A323" s="636" t="s">
        <v>3648</v>
      </c>
      <c r="B323" s="631"/>
      <c r="C323" s="631"/>
      <c r="D323" s="631"/>
      <c r="E323" s="631"/>
      <c r="F323" s="631"/>
      <c r="G323" s="631"/>
      <c r="H323" s="652"/>
      <c r="I323" s="631"/>
      <c r="J323" s="631"/>
      <c r="K323" s="631"/>
      <c r="L323" s="631"/>
      <c r="M323" s="631"/>
      <c r="N323" s="631"/>
      <c r="O323" s="631"/>
      <c r="P323" s="631"/>
      <c r="Q323" s="631"/>
      <c r="R323" s="631"/>
      <c r="S323" s="631"/>
      <c r="T323" s="631"/>
      <c r="U323" s="631"/>
      <c r="V323" s="631"/>
      <c r="W323" s="631"/>
      <c r="X323" s="631"/>
      <c r="Y323" s="631"/>
      <c r="Z323" s="631"/>
    </row>
    <row r="324" spans="1:26">
      <c r="A324" s="636" t="s">
        <v>3648</v>
      </c>
      <c r="B324" s="631"/>
      <c r="C324" s="631"/>
      <c r="D324" s="631"/>
      <c r="E324" s="631"/>
      <c r="F324" s="631"/>
      <c r="G324" s="631"/>
      <c r="H324" s="652"/>
      <c r="I324" s="631"/>
      <c r="J324" s="631"/>
      <c r="K324" s="631"/>
      <c r="L324" s="631"/>
      <c r="M324" s="631"/>
      <c r="N324" s="631"/>
      <c r="O324" s="631"/>
      <c r="P324" s="631"/>
      <c r="Q324" s="631"/>
      <c r="R324" s="631"/>
      <c r="S324" s="631"/>
      <c r="T324" s="631"/>
      <c r="U324" s="631"/>
      <c r="V324" s="631"/>
      <c r="W324" s="631"/>
      <c r="X324" s="631"/>
      <c r="Y324" s="631"/>
      <c r="Z324" s="631"/>
    </row>
    <row r="325" spans="1:26">
      <c r="A325" s="636" t="s">
        <v>3648</v>
      </c>
      <c r="B325" s="631"/>
      <c r="C325" s="631"/>
      <c r="D325" s="631"/>
      <c r="E325" s="631"/>
      <c r="F325" s="631"/>
      <c r="G325" s="631"/>
      <c r="H325" s="652"/>
      <c r="I325" s="631"/>
      <c r="J325" s="631"/>
      <c r="K325" s="631"/>
      <c r="L325" s="631"/>
      <c r="M325" s="631"/>
      <c r="N325" s="631"/>
      <c r="O325" s="631"/>
      <c r="P325" s="631"/>
      <c r="Q325" s="631"/>
      <c r="R325" s="631"/>
      <c r="S325" s="631"/>
      <c r="T325" s="631"/>
      <c r="U325" s="631"/>
      <c r="V325" s="631"/>
      <c r="W325" s="631"/>
      <c r="X325" s="631"/>
      <c r="Y325" s="631"/>
      <c r="Z325" s="631"/>
    </row>
    <row r="326" spans="1:26">
      <c r="A326" s="636" t="s">
        <v>3648</v>
      </c>
      <c r="B326" s="631"/>
      <c r="C326" s="631"/>
      <c r="D326" s="631"/>
      <c r="E326" s="631"/>
      <c r="F326" s="631"/>
      <c r="G326" s="631"/>
      <c r="H326" s="652"/>
      <c r="I326" s="631"/>
      <c r="J326" s="631"/>
      <c r="K326" s="631"/>
      <c r="L326" s="631"/>
      <c r="M326" s="631"/>
      <c r="N326" s="631"/>
      <c r="O326" s="631"/>
      <c r="P326" s="631"/>
      <c r="Q326" s="631"/>
      <c r="R326" s="631"/>
      <c r="S326" s="631"/>
      <c r="T326" s="631"/>
      <c r="U326" s="631"/>
      <c r="V326" s="631"/>
      <c r="W326" s="631"/>
      <c r="X326" s="631"/>
      <c r="Y326" s="631"/>
      <c r="Z326" s="631"/>
    </row>
    <row r="327" spans="1:26">
      <c r="A327" s="636" t="s">
        <v>3648</v>
      </c>
      <c r="B327" s="631"/>
      <c r="C327" s="631"/>
      <c r="D327" s="631"/>
      <c r="E327" s="631"/>
      <c r="F327" s="631"/>
      <c r="G327" s="631"/>
      <c r="H327" s="652"/>
      <c r="I327" s="631"/>
      <c r="J327" s="631"/>
      <c r="K327" s="631"/>
      <c r="L327" s="631"/>
      <c r="M327" s="631"/>
      <c r="N327" s="631"/>
      <c r="O327" s="631"/>
      <c r="P327" s="631"/>
      <c r="Q327" s="631"/>
      <c r="R327" s="631"/>
      <c r="S327" s="631"/>
      <c r="T327" s="631"/>
      <c r="U327" s="631"/>
      <c r="V327" s="631"/>
      <c r="W327" s="631"/>
      <c r="X327" s="631"/>
      <c r="Y327" s="631"/>
      <c r="Z327" s="631"/>
    </row>
    <row r="328" spans="1:26">
      <c r="A328" s="636" t="s">
        <v>3648</v>
      </c>
      <c r="B328" s="631"/>
      <c r="C328" s="631"/>
      <c r="D328" s="631"/>
      <c r="E328" s="631"/>
      <c r="F328" s="631"/>
      <c r="G328" s="631"/>
      <c r="H328" s="652"/>
      <c r="I328" s="631"/>
      <c r="J328" s="631"/>
      <c r="K328" s="631"/>
      <c r="L328" s="631"/>
      <c r="M328" s="631"/>
      <c r="N328" s="631"/>
      <c r="O328" s="631"/>
      <c r="P328" s="631"/>
      <c r="Q328" s="631"/>
      <c r="R328" s="631"/>
      <c r="S328" s="631"/>
      <c r="T328" s="631"/>
      <c r="U328" s="631"/>
      <c r="V328" s="631"/>
      <c r="W328" s="631"/>
      <c r="X328" s="631"/>
      <c r="Y328" s="631"/>
      <c r="Z328" s="631"/>
    </row>
    <row r="329" spans="1:26">
      <c r="A329" s="636" t="s">
        <v>3648</v>
      </c>
      <c r="B329" s="631"/>
      <c r="C329" s="631"/>
      <c r="D329" s="631"/>
      <c r="E329" s="631"/>
      <c r="F329" s="631"/>
      <c r="G329" s="631"/>
      <c r="H329" s="652"/>
      <c r="I329" s="631"/>
      <c r="J329" s="631"/>
      <c r="K329" s="631"/>
      <c r="L329" s="631"/>
      <c r="M329" s="631"/>
      <c r="N329" s="631"/>
      <c r="O329" s="631"/>
      <c r="P329" s="631"/>
      <c r="Q329" s="631"/>
      <c r="R329" s="631"/>
      <c r="S329" s="631"/>
      <c r="T329" s="631"/>
      <c r="U329" s="631"/>
      <c r="V329" s="631"/>
      <c r="W329" s="631"/>
      <c r="X329" s="631"/>
      <c r="Y329" s="631"/>
      <c r="Z329" s="631"/>
    </row>
    <row r="330" spans="1:26">
      <c r="A330" s="636" t="s">
        <v>3648</v>
      </c>
      <c r="B330" s="631"/>
      <c r="C330" s="631"/>
      <c r="D330" s="631"/>
      <c r="E330" s="631"/>
      <c r="F330" s="631"/>
      <c r="G330" s="631"/>
      <c r="H330" s="652"/>
      <c r="I330" s="631"/>
      <c r="J330" s="631"/>
      <c r="K330" s="631"/>
      <c r="L330" s="631"/>
      <c r="M330" s="631"/>
      <c r="N330" s="631"/>
      <c r="O330" s="631"/>
      <c r="P330" s="631"/>
      <c r="Q330" s="631"/>
      <c r="R330" s="631"/>
      <c r="S330" s="631"/>
      <c r="T330" s="631"/>
      <c r="U330" s="631"/>
      <c r="V330" s="631"/>
      <c r="W330" s="631"/>
      <c r="X330" s="631"/>
      <c r="Y330" s="631"/>
      <c r="Z330" s="631"/>
    </row>
    <row r="331" spans="1:26">
      <c r="A331" s="636" t="s">
        <v>3648</v>
      </c>
      <c r="B331" s="631"/>
      <c r="C331" s="631"/>
      <c r="D331" s="631"/>
      <c r="E331" s="631"/>
      <c r="F331" s="631"/>
      <c r="G331" s="631"/>
      <c r="H331" s="652"/>
      <c r="I331" s="631"/>
      <c r="J331" s="631"/>
      <c r="K331" s="631"/>
      <c r="L331" s="631"/>
      <c r="M331" s="631"/>
      <c r="N331" s="631"/>
      <c r="O331" s="631"/>
      <c r="P331" s="631"/>
      <c r="Q331" s="631"/>
      <c r="R331" s="631"/>
      <c r="S331" s="631"/>
      <c r="T331" s="631"/>
      <c r="U331" s="631"/>
      <c r="V331" s="631"/>
      <c r="W331" s="631"/>
      <c r="X331" s="631"/>
      <c r="Y331" s="631"/>
      <c r="Z331" s="631"/>
    </row>
    <row r="332" spans="1:26">
      <c r="A332" s="636" t="s">
        <v>3648</v>
      </c>
      <c r="B332" s="631"/>
      <c r="C332" s="631"/>
      <c r="D332" s="631"/>
      <c r="E332" s="631"/>
      <c r="F332" s="631"/>
      <c r="G332" s="631"/>
      <c r="H332" s="652"/>
      <c r="I332" s="631"/>
      <c r="J332" s="631"/>
      <c r="K332" s="631"/>
      <c r="L332" s="631"/>
      <c r="M332" s="631"/>
      <c r="N332" s="631"/>
      <c r="O332" s="631"/>
      <c r="P332" s="631"/>
      <c r="Q332" s="631"/>
      <c r="R332" s="631"/>
      <c r="S332" s="631"/>
      <c r="T332" s="631"/>
      <c r="U332" s="631"/>
      <c r="V332" s="631"/>
      <c r="W332" s="631"/>
      <c r="X332" s="631"/>
      <c r="Y332" s="631"/>
      <c r="Z332" s="631"/>
    </row>
    <row r="333" spans="1:26">
      <c r="A333" s="636" t="s">
        <v>3648</v>
      </c>
      <c r="B333" s="631"/>
      <c r="C333" s="631"/>
      <c r="D333" s="631"/>
      <c r="E333" s="631"/>
      <c r="F333" s="631"/>
      <c r="G333" s="631"/>
      <c r="H333" s="652"/>
      <c r="I333" s="631"/>
      <c r="J333" s="631"/>
      <c r="K333" s="631"/>
      <c r="L333" s="631"/>
      <c r="M333" s="631"/>
      <c r="N333" s="631"/>
      <c r="O333" s="631"/>
      <c r="P333" s="631"/>
      <c r="Q333" s="631"/>
      <c r="R333" s="631"/>
      <c r="S333" s="631"/>
      <c r="T333" s="631"/>
      <c r="U333" s="631"/>
      <c r="V333" s="631"/>
      <c r="W333" s="631"/>
      <c r="X333" s="631"/>
      <c r="Y333" s="631"/>
      <c r="Z333" s="631"/>
    </row>
    <row r="334" spans="1:26">
      <c r="A334" s="636" t="s">
        <v>3648</v>
      </c>
      <c r="B334" s="631"/>
      <c r="C334" s="631"/>
      <c r="D334" s="631"/>
      <c r="E334" s="631"/>
      <c r="F334" s="631"/>
      <c r="G334" s="631"/>
      <c r="H334" s="652"/>
      <c r="I334" s="631"/>
      <c r="J334" s="631"/>
      <c r="K334" s="631"/>
      <c r="L334" s="631"/>
      <c r="M334" s="631"/>
      <c r="N334" s="631"/>
      <c r="O334" s="631"/>
      <c r="P334" s="631"/>
      <c r="Q334" s="631"/>
      <c r="R334" s="631"/>
      <c r="S334" s="631"/>
      <c r="T334" s="631"/>
      <c r="U334" s="631"/>
      <c r="V334" s="631"/>
      <c r="W334" s="631"/>
      <c r="X334" s="631"/>
      <c r="Y334" s="631"/>
      <c r="Z334" s="631"/>
    </row>
    <row r="335" spans="1:26">
      <c r="A335" s="636" t="s">
        <v>3648</v>
      </c>
      <c r="B335" s="631"/>
      <c r="C335" s="631"/>
      <c r="D335" s="631"/>
      <c r="E335" s="631"/>
      <c r="F335" s="631"/>
      <c r="G335" s="631"/>
      <c r="H335" s="652"/>
      <c r="I335" s="631"/>
      <c r="J335" s="631"/>
      <c r="K335" s="631"/>
      <c r="L335" s="631"/>
      <c r="M335" s="631"/>
      <c r="N335" s="631"/>
      <c r="O335" s="631"/>
      <c r="P335" s="631"/>
      <c r="Q335" s="631"/>
      <c r="R335" s="631"/>
      <c r="S335" s="631"/>
      <c r="T335" s="631"/>
      <c r="U335" s="631"/>
      <c r="V335" s="631"/>
      <c r="W335" s="631"/>
      <c r="X335" s="631"/>
      <c r="Y335" s="631"/>
      <c r="Z335" s="631"/>
    </row>
    <row r="336" spans="1:26">
      <c r="A336" s="636" t="s">
        <v>3648</v>
      </c>
      <c r="B336" s="631"/>
      <c r="C336" s="631"/>
      <c r="D336" s="631"/>
      <c r="E336" s="631"/>
      <c r="F336" s="631"/>
      <c r="G336" s="631"/>
      <c r="H336" s="652"/>
      <c r="I336" s="631"/>
      <c r="J336" s="631"/>
      <c r="K336" s="631"/>
      <c r="L336" s="631"/>
      <c r="M336" s="631"/>
      <c r="N336" s="631"/>
      <c r="O336" s="631"/>
      <c r="P336" s="631"/>
      <c r="Q336" s="631"/>
      <c r="R336" s="631"/>
      <c r="S336" s="631"/>
      <c r="T336" s="631"/>
      <c r="U336" s="631"/>
      <c r="V336" s="631"/>
      <c r="W336" s="631"/>
      <c r="X336" s="631"/>
      <c r="Y336" s="631"/>
      <c r="Z336" s="631"/>
    </row>
    <row r="337" spans="1:26">
      <c r="A337" s="636" t="s">
        <v>3648</v>
      </c>
      <c r="B337" s="631"/>
      <c r="C337" s="631"/>
      <c r="D337" s="631"/>
      <c r="E337" s="631"/>
      <c r="F337" s="631"/>
      <c r="G337" s="631"/>
      <c r="H337" s="652"/>
      <c r="I337" s="631"/>
      <c r="J337" s="631"/>
      <c r="K337" s="631"/>
      <c r="L337" s="631"/>
      <c r="M337" s="631"/>
      <c r="N337" s="631"/>
      <c r="O337" s="631"/>
      <c r="P337" s="631"/>
      <c r="Q337" s="631"/>
      <c r="R337" s="631"/>
      <c r="S337" s="631"/>
      <c r="T337" s="631"/>
      <c r="U337" s="631"/>
      <c r="V337" s="631"/>
      <c r="W337" s="631"/>
      <c r="X337" s="631"/>
      <c r="Y337" s="631"/>
      <c r="Z337" s="631"/>
    </row>
    <row r="338" spans="1:26">
      <c r="A338" s="636" t="s">
        <v>3648</v>
      </c>
      <c r="B338" s="631"/>
      <c r="C338" s="631"/>
      <c r="D338" s="631"/>
      <c r="E338" s="631"/>
      <c r="F338" s="631"/>
      <c r="G338" s="631"/>
      <c r="H338" s="652"/>
      <c r="I338" s="631"/>
      <c r="J338" s="631"/>
      <c r="K338" s="631"/>
      <c r="L338" s="631"/>
      <c r="M338" s="631"/>
      <c r="N338" s="631"/>
      <c r="O338" s="631"/>
      <c r="P338" s="631"/>
      <c r="Q338" s="631"/>
      <c r="R338" s="631"/>
      <c r="S338" s="631"/>
      <c r="T338" s="631"/>
      <c r="U338" s="631"/>
      <c r="V338" s="631"/>
      <c r="W338" s="631"/>
      <c r="X338" s="631"/>
      <c r="Y338" s="631"/>
      <c r="Z338" s="631"/>
    </row>
    <row r="339" spans="1:26">
      <c r="A339" s="636" t="s">
        <v>3648</v>
      </c>
      <c r="B339" s="631"/>
      <c r="C339" s="631"/>
      <c r="D339" s="631"/>
      <c r="E339" s="631"/>
      <c r="F339" s="631"/>
      <c r="G339" s="631"/>
      <c r="H339" s="652"/>
      <c r="I339" s="631"/>
      <c r="J339" s="631"/>
      <c r="K339" s="631"/>
      <c r="L339" s="631"/>
      <c r="M339" s="631"/>
      <c r="N339" s="631"/>
      <c r="O339" s="631"/>
      <c r="P339" s="631"/>
      <c r="Q339" s="631"/>
      <c r="R339" s="631"/>
      <c r="S339" s="631"/>
      <c r="T339" s="631"/>
      <c r="U339" s="631"/>
      <c r="V339" s="631"/>
      <c r="W339" s="631"/>
      <c r="X339" s="631"/>
      <c r="Y339" s="631"/>
      <c r="Z339" s="631"/>
    </row>
    <row r="340" spans="1:26">
      <c r="A340" s="636" t="s">
        <v>3648</v>
      </c>
      <c r="B340" s="631"/>
      <c r="C340" s="631"/>
      <c r="D340" s="631"/>
      <c r="E340" s="631"/>
      <c r="F340" s="631"/>
      <c r="G340" s="631"/>
      <c r="H340" s="652"/>
      <c r="I340" s="631"/>
      <c r="J340" s="631"/>
      <c r="K340" s="631"/>
      <c r="L340" s="631"/>
      <c r="M340" s="631"/>
      <c r="N340" s="631"/>
      <c r="O340" s="631"/>
      <c r="P340" s="631"/>
      <c r="Q340" s="631"/>
      <c r="R340" s="631"/>
      <c r="S340" s="631"/>
      <c r="T340" s="631"/>
      <c r="U340" s="631"/>
      <c r="V340" s="631"/>
      <c r="W340" s="631"/>
      <c r="X340" s="631"/>
      <c r="Y340" s="631"/>
      <c r="Z340" s="631"/>
    </row>
    <row r="341" spans="1:26">
      <c r="A341" s="636" t="s">
        <v>3648</v>
      </c>
      <c r="B341" s="631"/>
      <c r="C341" s="631"/>
      <c r="D341" s="631"/>
      <c r="E341" s="631"/>
      <c r="F341" s="631"/>
      <c r="G341" s="631"/>
      <c r="H341" s="652"/>
      <c r="I341" s="631"/>
      <c r="J341" s="631"/>
      <c r="K341" s="631"/>
      <c r="L341" s="631"/>
      <c r="M341" s="631"/>
      <c r="N341" s="631"/>
      <c r="O341" s="631"/>
      <c r="P341" s="631"/>
      <c r="Q341" s="631"/>
      <c r="R341" s="631"/>
      <c r="S341" s="631"/>
      <c r="T341" s="631"/>
      <c r="U341" s="631"/>
      <c r="V341" s="631"/>
      <c r="W341" s="631"/>
      <c r="X341" s="631"/>
      <c r="Y341" s="631"/>
      <c r="Z341" s="631"/>
    </row>
    <row r="342" spans="1:26">
      <c r="A342" s="636" t="s">
        <v>3648</v>
      </c>
      <c r="B342" s="631"/>
      <c r="C342" s="631"/>
      <c r="D342" s="631"/>
      <c r="E342" s="631"/>
      <c r="F342" s="631"/>
      <c r="G342" s="631"/>
      <c r="H342" s="652"/>
      <c r="I342" s="631"/>
      <c r="J342" s="631"/>
      <c r="K342" s="631"/>
      <c r="L342" s="631"/>
      <c r="M342" s="631"/>
      <c r="N342" s="631"/>
      <c r="O342" s="631"/>
      <c r="P342" s="631"/>
      <c r="Q342" s="631"/>
      <c r="R342" s="631"/>
      <c r="S342" s="631"/>
      <c r="T342" s="631"/>
      <c r="U342" s="631"/>
      <c r="V342" s="631"/>
      <c r="W342" s="631"/>
      <c r="X342" s="631"/>
      <c r="Y342" s="631"/>
      <c r="Z342" s="631"/>
    </row>
    <row r="343" spans="1:26">
      <c r="A343" s="636" t="s">
        <v>3648</v>
      </c>
      <c r="B343" s="631"/>
      <c r="C343" s="631"/>
      <c r="D343" s="631"/>
      <c r="E343" s="631"/>
      <c r="F343" s="631"/>
      <c r="G343" s="631"/>
      <c r="H343" s="652"/>
      <c r="I343" s="631"/>
      <c r="J343" s="631"/>
      <c r="K343" s="631"/>
      <c r="L343" s="631"/>
      <c r="M343" s="631"/>
      <c r="N343" s="631"/>
      <c r="O343" s="631"/>
      <c r="P343" s="631"/>
      <c r="Q343" s="631"/>
      <c r="R343" s="631"/>
      <c r="S343" s="631"/>
      <c r="T343" s="631"/>
      <c r="U343" s="631"/>
      <c r="V343" s="631"/>
      <c r="W343" s="631"/>
      <c r="X343" s="631"/>
      <c r="Y343" s="631"/>
      <c r="Z343" s="631"/>
    </row>
    <row r="344" spans="1:26">
      <c r="A344" s="636" t="s">
        <v>3648</v>
      </c>
      <c r="B344" s="631"/>
      <c r="C344" s="631"/>
      <c r="D344" s="631"/>
      <c r="E344" s="631"/>
      <c r="F344" s="631"/>
      <c r="G344" s="631"/>
      <c r="H344" s="652"/>
      <c r="I344" s="631"/>
      <c r="J344" s="631"/>
      <c r="K344" s="631"/>
      <c r="L344" s="631"/>
      <c r="M344" s="631"/>
      <c r="N344" s="631"/>
      <c r="O344" s="631"/>
      <c r="P344" s="631"/>
      <c r="Q344" s="631"/>
      <c r="R344" s="631"/>
      <c r="S344" s="631"/>
      <c r="T344" s="631"/>
      <c r="U344" s="631"/>
      <c r="V344" s="631"/>
      <c r="W344" s="631"/>
      <c r="X344" s="631"/>
      <c r="Y344" s="631"/>
      <c r="Z344" s="631"/>
    </row>
    <row r="345" spans="1:26">
      <c r="A345" s="636" t="s">
        <v>3648</v>
      </c>
      <c r="B345" s="631"/>
      <c r="C345" s="631"/>
      <c r="D345" s="631"/>
      <c r="E345" s="631"/>
      <c r="F345" s="631"/>
      <c r="G345" s="631"/>
      <c r="H345" s="652"/>
      <c r="I345" s="631"/>
      <c r="J345" s="631"/>
      <c r="K345" s="631"/>
      <c r="L345" s="631"/>
      <c r="M345" s="631"/>
      <c r="N345" s="631"/>
      <c r="O345" s="631"/>
      <c r="P345" s="631"/>
      <c r="Q345" s="631"/>
      <c r="R345" s="631"/>
      <c r="S345" s="631"/>
      <c r="T345" s="631"/>
      <c r="U345" s="631"/>
      <c r="V345" s="631"/>
      <c r="W345" s="631"/>
      <c r="X345" s="631"/>
      <c r="Y345" s="631"/>
      <c r="Z345" s="631"/>
    </row>
    <row r="346" spans="1:26">
      <c r="A346" s="636" t="s">
        <v>3648</v>
      </c>
      <c r="B346" s="631"/>
      <c r="C346" s="631"/>
      <c r="D346" s="631"/>
      <c r="E346" s="631"/>
      <c r="F346" s="631"/>
      <c r="G346" s="631"/>
      <c r="H346" s="652"/>
      <c r="I346" s="631"/>
      <c r="J346" s="631"/>
      <c r="K346" s="631"/>
      <c r="L346" s="631"/>
      <c r="M346" s="631"/>
      <c r="N346" s="631"/>
      <c r="O346" s="631"/>
      <c r="P346" s="631"/>
      <c r="Q346" s="631"/>
      <c r="R346" s="631"/>
      <c r="S346" s="631"/>
      <c r="T346" s="631"/>
      <c r="U346" s="631"/>
      <c r="V346" s="631"/>
      <c r="W346" s="631"/>
      <c r="X346" s="631"/>
      <c r="Y346" s="631"/>
      <c r="Z346" s="631"/>
    </row>
    <row r="347" spans="1:26">
      <c r="A347" s="636" t="s">
        <v>3648</v>
      </c>
      <c r="B347" s="631"/>
      <c r="C347" s="631"/>
      <c r="D347" s="631"/>
      <c r="E347" s="631"/>
      <c r="F347" s="631"/>
      <c r="G347" s="631"/>
      <c r="H347" s="652"/>
      <c r="I347" s="631"/>
      <c r="J347" s="631"/>
      <c r="K347" s="631"/>
      <c r="L347" s="631"/>
      <c r="M347" s="631"/>
      <c r="N347" s="631"/>
      <c r="O347" s="631"/>
      <c r="P347" s="631"/>
      <c r="Q347" s="631"/>
      <c r="R347" s="631"/>
      <c r="S347" s="631"/>
      <c r="T347" s="631"/>
      <c r="U347" s="631"/>
      <c r="V347" s="631"/>
      <c r="W347" s="631"/>
      <c r="X347" s="631"/>
      <c r="Y347" s="631"/>
      <c r="Z347" s="631"/>
    </row>
    <row r="348" spans="1:26">
      <c r="A348" s="636" t="s">
        <v>3648</v>
      </c>
      <c r="B348" s="631"/>
      <c r="C348" s="631"/>
      <c r="D348" s="631"/>
      <c r="E348" s="631"/>
      <c r="F348" s="631"/>
      <c r="G348" s="631"/>
      <c r="H348" s="652"/>
      <c r="I348" s="631"/>
      <c r="J348" s="631"/>
      <c r="K348" s="631"/>
      <c r="L348" s="631"/>
      <c r="M348" s="631"/>
      <c r="N348" s="631"/>
      <c r="O348" s="631"/>
      <c r="P348" s="631"/>
      <c r="Q348" s="631"/>
      <c r="R348" s="631"/>
      <c r="S348" s="631"/>
      <c r="T348" s="631"/>
      <c r="U348" s="631"/>
      <c r="V348" s="631"/>
      <c r="W348" s="631"/>
      <c r="X348" s="631"/>
      <c r="Y348" s="631"/>
      <c r="Z348" s="631"/>
    </row>
    <row r="349" spans="1:26">
      <c r="A349" s="636" t="s">
        <v>3648</v>
      </c>
      <c r="B349" s="631"/>
      <c r="C349" s="631"/>
      <c r="D349" s="631"/>
      <c r="E349" s="631"/>
      <c r="F349" s="631"/>
      <c r="G349" s="631"/>
      <c r="H349" s="652"/>
      <c r="I349" s="631"/>
      <c r="J349" s="631"/>
      <c r="K349" s="631"/>
      <c r="L349" s="631"/>
      <c r="M349" s="631"/>
      <c r="N349" s="631"/>
      <c r="O349" s="631"/>
      <c r="P349" s="631"/>
      <c r="Q349" s="631"/>
      <c r="R349" s="631"/>
      <c r="S349" s="631"/>
      <c r="T349" s="631"/>
      <c r="U349" s="631"/>
      <c r="V349" s="631"/>
      <c r="W349" s="631"/>
      <c r="X349" s="631"/>
      <c r="Y349" s="631"/>
      <c r="Z349" s="631"/>
    </row>
    <row r="350" spans="1:26">
      <c r="A350" s="636" t="s">
        <v>3648</v>
      </c>
      <c r="B350" s="631"/>
      <c r="C350" s="631"/>
      <c r="D350" s="631"/>
      <c r="E350" s="631"/>
      <c r="F350" s="631"/>
      <c r="G350" s="631"/>
      <c r="H350" s="652"/>
      <c r="I350" s="631"/>
      <c r="J350" s="631"/>
      <c r="K350" s="631"/>
      <c r="L350" s="631"/>
      <c r="M350" s="631"/>
      <c r="N350" s="631"/>
      <c r="O350" s="631"/>
      <c r="P350" s="631"/>
      <c r="Q350" s="631"/>
      <c r="R350" s="631"/>
      <c r="S350" s="631"/>
      <c r="T350" s="631"/>
      <c r="U350" s="631"/>
      <c r="V350" s="631"/>
      <c r="W350" s="631"/>
      <c r="X350" s="631"/>
      <c r="Y350" s="631"/>
      <c r="Z350" s="631"/>
    </row>
    <row r="351" spans="1:26">
      <c r="A351" s="636" t="s">
        <v>3648</v>
      </c>
      <c r="B351" s="631"/>
      <c r="C351" s="631"/>
      <c r="D351" s="631"/>
      <c r="E351" s="631"/>
      <c r="F351" s="631"/>
      <c r="G351" s="631"/>
      <c r="H351" s="652"/>
      <c r="I351" s="631"/>
      <c r="J351" s="631"/>
      <c r="K351" s="631"/>
      <c r="L351" s="631"/>
      <c r="M351" s="631"/>
      <c r="N351" s="631"/>
      <c r="O351" s="631"/>
      <c r="P351" s="631"/>
      <c r="Q351" s="631"/>
      <c r="R351" s="631"/>
      <c r="S351" s="631"/>
      <c r="T351" s="631"/>
      <c r="U351" s="631"/>
      <c r="V351" s="631"/>
      <c r="W351" s="631"/>
      <c r="X351" s="631"/>
      <c r="Y351" s="631"/>
      <c r="Z351" s="631"/>
    </row>
    <row r="352" spans="1:26">
      <c r="A352" s="636" t="s">
        <v>3648</v>
      </c>
      <c r="B352" s="631"/>
      <c r="C352" s="631"/>
      <c r="D352" s="631"/>
      <c r="E352" s="631"/>
      <c r="F352" s="631"/>
      <c r="G352" s="631"/>
      <c r="H352" s="652"/>
      <c r="I352" s="631"/>
      <c r="J352" s="631"/>
      <c r="K352" s="631"/>
      <c r="L352" s="631"/>
      <c r="M352" s="631"/>
      <c r="N352" s="631"/>
      <c r="O352" s="631"/>
      <c r="P352" s="631"/>
      <c r="Q352" s="631"/>
      <c r="R352" s="631"/>
      <c r="S352" s="631"/>
      <c r="T352" s="631"/>
      <c r="U352" s="631"/>
      <c r="V352" s="631"/>
      <c r="W352" s="631"/>
      <c r="X352" s="631"/>
      <c r="Y352" s="631"/>
      <c r="Z352" s="631"/>
    </row>
    <row r="353" spans="1:26">
      <c r="A353" s="636" t="s">
        <v>3648</v>
      </c>
      <c r="B353" s="631"/>
      <c r="C353" s="631"/>
      <c r="D353" s="631"/>
      <c r="E353" s="631"/>
      <c r="F353" s="631"/>
      <c r="G353" s="631"/>
      <c r="H353" s="652"/>
      <c r="I353" s="631"/>
      <c r="J353" s="631"/>
      <c r="K353" s="631"/>
      <c r="L353" s="631"/>
      <c r="M353" s="631"/>
      <c r="N353" s="631"/>
      <c r="O353" s="631"/>
      <c r="P353" s="631"/>
      <c r="Q353" s="631"/>
      <c r="R353" s="631"/>
      <c r="S353" s="631"/>
      <c r="T353" s="631"/>
      <c r="U353" s="631"/>
      <c r="V353" s="631"/>
      <c r="W353" s="631"/>
      <c r="X353" s="631"/>
      <c r="Y353" s="631"/>
      <c r="Z353" s="631"/>
    </row>
    <row r="354" spans="1:26">
      <c r="A354" s="636" t="s">
        <v>3648</v>
      </c>
      <c r="B354" s="631"/>
      <c r="C354" s="631"/>
      <c r="D354" s="631"/>
      <c r="E354" s="631"/>
      <c r="F354" s="631"/>
      <c r="G354" s="631"/>
      <c r="H354" s="652"/>
      <c r="I354" s="631"/>
      <c r="J354" s="631"/>
      <c r="K354" s="631"/>
      <c r="L354" s="631"/>
      <c r="M354" s="631"/>
      <c r="N354" s="631"/>
      <c r="O354" s="631"/>
      <c r="P354" s="631"/>
      <c r="Q354" s="631"/>
      <c r="R354" s="631"/>
      <c r="S354" s="631"/>
      <c r="T354" s="631"/>
      <c r="U354" s="631"/>
      <c r="V354" s="631"/>
      <c r="W354" s="631"/>
      <c r="X354" s="631"/>
      <c r="Y354" s="631"/>
      <c r="Z354" s="631"/>
    </row>
    <row r="355" spans="1:26">
      <c r="A355" s="636" t="s">
        <v>3648</v>
      </c>
      <c r="B355" s="631"/>
      <c r="C355" s="631"/>
      <c r="D355" s="631"/>
      <c r="E355" s="631"/>
      <c r="F355" s="631"/>
      <c r="G355" s="631"/>
      <c r="H355" s="652"/>
      <c r="I355" s="631"/>
      <c r="J355" s="631"/>
      <c r="K355" s="631"/>
      <c r="L355" s="631"/>
      <c r="M355" s="631"/>
      <c r="N355" s="631"/>
      <c r="O355" s="631"/>
      <c r="P355" s="631"/>
      <c r="Q355" s="631"/>
      <c r="R355" s="631"/>
      <c r="S355" s="631"/>
      <c r="T355" s="631"/>
      <c r="U355" s="631"/>
      <c r="V355" s="631"/>
      <c r="W355" s="631"/>
      <c r="X355" s="631"/>
      <c r="Y355" s="631"/>
      <c r="Z355" s="631"/>
    </row>
    <row r="356" spans="1:26">
      <c r="A356" s="636" t="s">
        <v>3648</v>
      </c>
      <c r="B356" s="631"/>
      <c r="C356" s="631"/>
      <c r="D356" s="631"/>
      <c r="E356" s="631"/>
      <c r="F356" s="631"/>
      <c r="G356" s="631"/>
      <c r="H356" s="652"/>
      <c r="I356" s="631"/>
      <c r="J356" s="631"/>
      <c r="K356" s="631"/>
      <c r="L356" s="631"/>
      <c r="M356" s="631"/>
      <c r="N356" s="631"/>
      <c r="O356" s="631"/>
      <c r="P356" s="631"/>
      <c r="Q356" s="631"/>
      <c r="R356" s="631"/>
      <c r="S356" s="631"/>
      <c r="T356" s="631"/>
      <c r="U356" s="631"/>
      <c r="V356" s="631"/>
      <c r="W356" s="631"/>
      <c r="X356" s="631"/>
      <c r="Y356" s="631"/>
      <c r="Z356" s="631"/>
    </row>
    <row r="357" spans="1:26">
      <c r="A357" s="636" t="s">
        <v>3648</v>
      </c>
      <c r="B357" s="631"/>
      <c r="C357" s="631"/>
      <c r="D357" s="631"/>
      <c r="E357" s="631"/>
      <c r="F357" s="631"/>
      <c r="G357" s="631"/>
      <c r="H357" s="652"/>
      <c r="I357" s="631"/>
      <c r="J357" s="631"/>
      <c r="K357" s="631"/>
      <c r="L357" s="631"/>
      <c r="M357" s="631"/>
      <c r="N357" s="631"/>
      <c r="O357" s="631"/>
      <c r="P357" s="631"/>
      <c r="Q357" s="631"/>
      <c r="R357" s="631"/>
      <c r="S357" s="631"/>
      <c r="T357" s="631"/>
      <c r="U357" s="631"/>
      <c r="V357" s="631"/>
      <c r="W357" s="631"/>
      <c r="X357" s="631"/>
      <c r="Y357" s="631"/>
      <c r="Z357" s="631"/>
    </row>
    <row r="358" spans="1:26">
      <c r="A358" s="636" t="s">
        <v>3648</v>
      </c>
      <c r="B358" s="631"/>
      <c r="C358" s="631"/>
      <c r="D358" s="631"/>
      <c r="E358" s="631"/>
      <c r="F358" s="631"/>
      <c r="G358" s="631"/>
      <c r="H358" s="652"/>
      <c r="I358" s="631"/>
      <c r="J358" s="631"/>
      <c r="K358" s="631"/>
      <c r="L358" s="631"/>
      <c r="M358" s="631"/>
      <c r="N358" s="631"/>
      <c r="O358" s="631"/>
      <c r="P358" s="631"/>
      <c r="Q358" s="631"/>
      <c r="R358" s="631"/>
      <c r="S358" s="631"/>
      <c r="T358" s="631"/>
      <c r="U358" s="631"/>
      <c r="V358" s="631"/>
      <c r="W358" s="631"/>
      <c r="X358" s="631"/>
      <c r="Y358" s="631"/>
      <c r="Z358" s="631"/>
    </row>
    <row r="359" spans="1:26">
      <c r="A359" s="636" t="s">
        <v>3648</v>
      </c>
      <c r="B359" s="631"/>
      <c r="C359" s="631"/>
      <c r="D359" s="631"/>
      <c r="E359" s="631"/>
      <c r="F359" s="631"/>
      <c r="G359" s="631"/>
      <c r="H359" s="652"/>
      <c r="I359" s="631"/>
      <c r="J359" s="631"/>
      <c r="K359" s="631"/>
      <c r="L359" s="631"/>
      <c r="M359" s="631"/>
      <c r="N359" s="631"/>
      <c r="O359" s="631"/>
      <c r="P359" s="631"/>
      <c r="Q359" s="631"/>
      <c r="R359" s="631"/>
      <c r="S359" s="631"/>
      <c r="T359" s="631"/>
      <c r="U359" s="631"/>
      <c r="V359" s="631"/>
      <c r="W359" s="631"/>
      <c r="X359" s="631"/>
      <c r="Y359" s="631"/>
      <c r="Z359" s="631"/>
    </row>
    <row r="360" spans="1:26">
      <c r="A360" s="636" t="s">
        <v>3648</v>
      </c>
      <c r="B360" s="631"/>
      <c r="C360" s="631"/>
      <c r="D360" s="631"/>
      <c r="E360" s="631"/>
      <c r="F360" s="631"/>
      <c r="G360" s="631"/>
      <c r="H360" s="652"/>
      <c r="I360" s="631"/>
      <c r="J360" s="631"/>
      <c r="K360" s="631"/>
      <c r="L360" s="631"/>
      <c r="M360" s="631"/>
      <c r="N360" s="631"/>
      <c r="O360" s="631"/>
      <c r="P360" s="631"/>
      <c r="Q360" s="631"/>
      <c r="R360" s="631"/>
      <c r="S360" s="631"/>
      <c r="T360" s="631"/>
      <c r="U360" s="631"/>
      <c r="V360" s="631"/>
      <c r="W360" s="631"/>
      <c r="X360" s="631"/>
      <c r="Y360" s="631"/>
      <c r="Z360" s="631"/>
    </row>
    <row r="361" spans="1:26">
      <c r="A361" s="636" t="s">
        <v>3648</v>
      </c>
      <c r="B361" s="631"/>
      <c r="C361" s="631"/>
      <c r="D361" s="631"/>
      <c r="E361" s="631"/>
      <c r="F361" s="631"/>
      <c r="G361" s="631"/>
      <c r="H361" s="652"/>
      <c r="I361" s="631"/>
      <c r="J361" s="631"/>
      <c r="K361" s="631"/>
      <c r="L361" s="631"/>
      <c r="M361" s="631"/>
      <c r="N361" s="631"/>
      <c r="O361" s="631"/>
      <c r="P361" s="631"/>
      <c r="Q361" s="631"/>
      <c r="R361" s="631"/>
      <c r="S361" s="631"/>
      <c r="T361" s="631"/>
      <c r="U361" s="631"/>
      <c r="V361" s="631"/>
      <c r="W361" s="631"/>
      <c r="X361" s="631"/>
      <c r="Y361" s="631"/>
      <c r="Z361" s="631"/>
    </row>
    <row r="362" spans="1:26">
      <c r="A362" s="636" t="s">
        <v>3648</v>
      </c>
      <c r="B362" s="631"/>
      <c r="C362" s="631"/>
      <c r="D362" s="631"/>
      <c r="E362" s="631"/>
      <c r="F362" s="631"/>
      <c r="G362" s="631"/>
      <c r="H362" s="652"/>
      <c r="I362" s="631"/>
      <c r="J362" s="631"/>
      <c r="K362" s="631"/>
      <c r="L362" s="631"/>
      <c r="M362" s="631"/>
      <c r="N362" s="631"/>
      <c r="O362" s="631"/>
      <c r="P362" s="631"/>
      <c r="Q362" s="631"/>
      <c r="R362" s="631"/>
      <c r="S362" s="631"/>
      <c r="T362" s="631"/>
      <c r="U362" s="631"/>
      <c r="V362" s="631"/>
      <c r="W362" s="631"/>
      <c r="X362" s="631"/>
      <c r="Y362" s="631"/>
      <c r="Z362" s="631"/>
    </row>
    <row r="363" spans="1:26">
      <c r="A363" s="636" t="s">
        <v>3648</v>
      </c>
      <c r="B363" s="631"/>
      <c r="C363" s="631"/>
      <c r="D363" s="631"/>
      <c r="E363" s="631"/>
      <c r="F363" s="631"/>
      <c r="G363" s="631"/>
      <c r="H363" s="652"/>
      <c r="I363" s="631"/>
      <c r="J363" s="631"/>
      <c r="K363" s="631"/>
      <c r="L363" s="631"/>
      <c r="M363" s="631"/>
      <c r="N363" s="631"/>
      <c r="O363" s="631"/>
      <c r="P363" s="631"/>
      <c r="Q363" s="631"/>
      <c r="R363" s="631"/>
      <c r="S363" s="631"/>
      <c r="T363" s="631"/>
      <c r="U363" s="631"/>
      <c r="V363" s="631"/>
      <c r="W363" s="631"/>
      <c r="X363" s="631"/>
      <c r="Y363" s="631"/>
      <c r="Z363" s="631"/>
    </row>
    <row r="364" spans="1:26">
      <c r="A364" s="636" t="s">
        <v>3648</v>
      </c>
      <c r="B364" s="631"/>
      <c r="C364" s="631"/>
      <c r="D364" s="631"/>
      <c r="E364" s="631"/>
      <c r="F364" s="631"/>
      <c r="G364" s="631"/>
      <c r="H364" s="652"/>
      <c r="I364" s="631"/>
      <c r="J364" s="631"/>
      <c r="K364" s="631"/>
      <c r="L364" s="631"/>
      <c r="M364" s="631"/>
      <c r="N364" s="631"/>
      <c r="O364" s="631"/>
      <c r="P364" s="631"/>
      <c r="Q364" s="631"/>
      <c r="R364" s="631"/>
      <c r="S364" s="631"/>
      <c r="T364" s="631"/>
      <c r="U364" s="631"/>
      <c r="V364" s="631"/>
      <c r="W364" s="631"/>
      <c r="X364" s="631"/>
      <c r="Y364" s="631"/>
      <c r="Z364" s="631"/>
    </row>
    <row r="365" spans="1:26">
      <c r="A365" s="636" t="s">
        <v>3648</v>
      </c>
      <c r="B365" s="631"/>
      <c r="C365" s="631"/>
      <c r="D365" s="631"/>
      <c r="E365" s="631"/>
      <c r="F365" s="631"/>
      <c r="G365" s="631"/>
      <c r="H365" s="652"/>
      <c r="I365" s="631"/>
      <c r="J365" s="631"/>
      <c r="K365" s="631"/>
      <c r="L365" s="631"/>
      <c r="M365" s="631"/>
      <c r="N365" s="631"/>
      <c r="O365" s="631"/>
      <c r="P365" s="631"/>
      <c r="Q365" s="631"/>
      <c r="R365" s="631"/>
      <c r="S365" s="631"/>
      <c r="T365" s="631"/>
      <c r="U365" s="631"/>
      <c r="V365" s="631"/>
      <c r="W365" s="631"/>
      <c r="X365" s="631"/>
      <c r="Y365" s="631"/>
      <c r="Z365" s="631"/>
    </row>
    <row r="366" spans="1:26">
      <c r="A366" s="636" t="s">
        <v>3648</v>
      </c>
      <c r="B366" s="631"/>
      <c r="C366" s="631"/>
      <c r="D366" s="631"/>
      <c r="E366" s="631"/>
      <c r="F366" s="631"/>
      <c r="G366" s="631"/>
      <c r="H366" s="652"/>
      <c r="I366" s="631"/>
      <c r="J366" s="631"/>
      <c r="K366" s="631"/>
      <c r="L366" s="631"/>
      <c r="M366" s="631"/>
      <c r="N366" s="631"/>
      <c r="O366" s="631"/>
      <c r="P366" s="631"/>
      <c r="Q366" s="631"/>
      <c r="R366" s="631"/>
      <c r="S366" s="631"/>
      <c r="T366" s="631"/>
      <c r="U366" s="631"/>
      <c r="V366" s="631"/>
      <c r="W366" s="631"/>
      <c r="X366" s="631"/>
      <c r="Y366" s="631"/>
      <c r="Z366" s="631"/>
    </row>
    <row r="367" spans="1:26">
      <c r="A367" s="636" t="s">
        <v>3648</v>
      </c>
      <c r="B367" s="631"/>
      <c r="C367" s="631"/>
      <c r="D367" s="631"/>
      <c r="E367" s="631"/>
      <c r="F367" s="631"/>
      <c r="G367" s="631"/>
      <c r="H367" s="652"/>
      <c r="I367" s="631"/>
      <c r="J367" s="631"/>
      <c r="K367" s="631"/>
      <c r="L367" s="631"/>
      <c r="M367" s="631"/>
      <c r="N367" s="631"/>
      <c r="O367" s="631"/>
      <c r="P367" s="631"/>
      <c r="Q367" s="631"/>
      <c r="R367" s="631"/>
      <c r="S367" s="631"/>
      <c r="T367" s="631"/>
      <c r="U367" s="631"/>
      <c r="V367" s="631"/>
      <c r="W367" s="631"/>
      <c r="X367" s="631"/>
      <c r="Y367" s="631"/>
      <c r="Z367" s="631"/>
    </row>
    <row r="368" spans="1:26">
      <c r="A368" s="636" t="s">
        <v>3648</v>
      </c>
      <c r="B368" s="631"/>
      <c r="C368" s="631"/>
      <c r="D368" s="631"/>
      <c r="E368" s="631"/>
      <c r="F368" s="631"/>
      <c r="G368" s="631"/>
      <c r="H368" s="652"/>
      <c r="I368" s="631"/>
      <c r="J368" s="631"/>
      <c r="K368" s="631"/>
      <c r="L368" s="631"/>
      <c r="M368" s="631"/>
      <c r="N368" s="631"/>
      <c r="O368" s="631"/>
      <c r="P368" s="631"/>
      <c r="Q368" s="631"/>
      <c r="R368" s="631"/>
      <c r="S368" s="631"/>
      <c r="T368" s="631"/>
      <c r="U368" s="631"/>
      <c r="V368" s="631"/>
      <c r="W368" s="631"/>
      <c r="X368" s="631"/>
      <c r="Y368" s="631"/>
      <c r="Z368" s="631"/>
    </row>
    <row r="369" spans="1:26">
      <c r="A369" s="636" t="s">
        <v>3648</v>
      </c>
      <c r="B369" s="631"/>
      <c r="C369" s="631"/>
      <c r="D369" s="631"/>
      <c r="E369" s="631"/>
      <c r="F369" s="631"/>
      <c r="G369" s="631"/>
      <c r="H369" s="652"/>
      <c r="I369" s="631"/>
      <c r="J369" s="631"/>
      <c r="K369" s="631"/>
      <c r="L369" s="631"/>
      <c r="M369" s="631"/>
      <c r="N369" s="631"/>
      <c r="O369" s="631"/>
      <c r="P369" s="631"/>
      <c r="Q369" s="631"/>
      <c r="R369" s="631"/>
      <c r="S369" s="631"/>
      <c r="T369" s="631"/>
      <c r="U369" s="631"/>
      <c r="V369" s="631"/>
      <c r="W369" s="631"/>
      <c r="X369" s="631"/>
      <c r="Y369" s="631"/>
      <c r="Z369" s="631"/>
    </row>
    <row r="370" spans="1:26">
      <c r="A370" s="636" t="s">
        <v>3648</v>
      </c>
      <c r="B370" s="631"/>
      <c r="C370" s="631"/>
      <c r="D370" s="631"/>
      <c r="E370" s="631"/>
      <c r="F370" s="631"/>
      <c r="G370" s="631"/>
      <c r="H370" s="652"/>
      <c r="I370" s="631"/>
      <c r="J370" s="631"/>
      <c r="K370" s="631"/>
      <c r="L370" s="631"/>
      <c r="M370" s="631"/>
      <c r="N370" s="631"/>
      <c r="O370" s="631"/>
      <c r="P370" s="631"/>
      <c r="Q370" s="631"/>
      <c r="R370" s="631"/>
      <c r="S370" s="631"/>
      <c r="T370" s="631"/>
      <c r="U370" s="631"/>
      <c r="V370" s="631"/>
      <c r="W370" s="631"/>
      <c r="X370" s="631"/>
      <c r="Y370" s="631"/>
      <c r="Z370" s="631"/>
    </row>
    <row r="371" spans="1:26">
      <c r="A371" s="636" t="s">
        <v>3648</v>
      </c>
      <c r="B371" s="631"/>
      <c r="C371" s="631"/>
      <c r="D371" s="631"/>
      <c r="E371" s="631"/>
      <c r="F371" s="631"/>
      <c r="G371" s="631"/>
      <c r="H371" s="652"/>
      <c r="I371" s="631"/>
      <c r="J371" s="631"/>
      <c r="K371" s="631"/>
      <c r="L371" s="631"/>
      <c r="M371" s="631"/>
      <c r="N371" s="631"/>
      <c r="O371" s="631"/>
      <c r="P371" s="631"/>
      <c r="Q371" s="631"/>
      <c r="R371" s="631"/>
      <c r="S371" s="631"/>
      <c r="T371" s="631"/>
      <c r="U371" s="631"/>
      <c r="V371" s="631"/>
      <c r="W371" s="631"/>
      <c r="X371" s="631"/>
      <c r="Y371" s="631"/>
      <c r="Z371" s="631"/>
    </row>
    <row r="372" spans="1:26">
      <c r="A372" s="636" t="s">
        <v>3648</v>
      </c>
      <c r="B372" s="631"/>
      <c r="C372" s="631"/>
      <c r="D372" s="631"/>
      <c r="E372" s="631"/>
      <c r="F372" s="631"/>
      <c r="G372" s="631"/>
      <c r="H372" s="652"/>
      <c r="I372" s="631"/>
      <c r="J372" s="631"/>
      <c r="K372" s="631"/>
      <c r="L372" s="631"/>
      <c r="M372" s="631"/>
      <c r="N372" s="631"/>
      <c r="O372" s="631"/>
      <c r="P372" s="631"/>
      <c r="Q372" s="631"/>
      <c r="R372" s="631"/>
      <c r="S372" s="631"/>
      <c r="T372" s="631"/>
      <c r="U372" s="631"/>
      <c r="V372" s="631"/>
      <c r="W372" s="631"/>
      <c r="X372" s="631"/>
      <c r="Y372" s="631"/>
      <c r="Z372" s="631"/>
    </row>
    <row r="373" spans="1:26">
      <c r="A373" s="636" t="s">
        <v>3648</v>
      </c>
      <c r="B373" s="631"/>
      <c r="C373" s="631"/>
      <c r="D373" s="631"/>
      <c r="E373" s="631"/>
      <c r="F373" s="631"/>
      <c r="G373" s="631"/>
      <c r="H373" s="652"/>
      <c r="I373" s="631"/>
      <c r="J373" s="631"/>
      <c r="K373" s="631"/>
      <c r="L373" s="631"/>
      <c r="M373" s="631"/>
      <c r="N373" s="631"/>
      <c r="O373" s="631"/>
      <c r="P373" s="631"/>
      <c r="Q373" s="631"/>
      <c r="R373" s="631"/>
      <c r="S373" s="631"/>
      <c r="T373" s="631"/>
      <c r="U373" s="631"/>
      <c r="V373" s="631"/>
      <c r="W373" s="631"/>
      <c r="X373" s="631"/>
      <c r="Y373" s="631"/>
      <c r="Z373" s="631"/>
    </row>
    <row r="374" spans="1:26">
      <c r="A374" s="636" t="s">
        <v>3648</v>
      </c>
      <c r="B374" s="631"/>
      <c r="C374" s="631"/>
      <c r="D374" s="631"/>
      <c r="E374" s="631"/>
      <c r="F374" s="631"/>
      <c r="G374" s="631"/>
      <c r="H374" s="652"/>
      <c r="I374" s="631"/>
      <c r="J374" s="631"/>
      <c r="K374" s="631"/>
      <c r="L374" s="631"/>
      <c r="M374" s="631"/>
      <c r="N374" s="631"/>
      <c r="O374" s="631"/>
      <c r="P374" s="631"/>
      <c r="Q374" s="631"/>
      <c r="R374" s="631"/>
      <c r="S374" s="631"/>
      <c r="T374" s="631"/>
      <c r="U374" s="631"/>
      <c r="V374" s="631"/>
      <c r="W374" s="631"/>
      <c r="X374" s="631"/>
      <c r="Y374" s="631"/>
      <c r="Z374" s="631"/>
    </row>
    <row r="375" spans="1:26">
      <c r="A375" s="636" t="s">
        <v>3648</v>
      </c>
      <c r="B375" s="631"/>
      <c r="C375" s="631"/>
      <c r="D375" s="631"/>
      <c r="E375" s="631"/>
      <c r="F375" s="631"/>
      <c r="G375" s="631"/>
      <c r="H375" s="652"/>
      <c r="I375" s="631"/>
      <c r="J375" s="631"/>
      <c r="K375" s="631"/>
      <c r="L375" s="631"/>
      <c r="M375" s="631"/>
      <c r="N375" s="631"/>
      <c r="O375" s="631"/>
      <c r="P375" s="631"/>
      <c r="Q375" s="631"/>
      <c r="R375" s="631"/>
      <c r="S375" s="631"/>
      <c r="T375" s="631"/>
      <c r="U375" s="631"/>
      <c r="V375" s="631"/>
      <c r="W375" s="631"/>
      <c r="X375" s="631"/>
      <c r="Y375" s="631"/>
      <c r="Z375" s="631"/>
    </row>
    <row r="376" spans="1:26">
      <c r="A376" s="636" t="s">
        <v>3648</v>
      </c>
      <c r="B376" s="631"/>
      <c r="C376" s="631"/>
      <c r="D376" s="631"/>
      <c r="E376" s="631"/>
      <c r="F376" s="631"/>
      <c r="G376" s="631"/>
      <c r="H376" s="652"/>
      <c r="I376" s="631"/>
      <c r="J376" s="631"/>
      <c r="K376" s="631"/>
      <c r="L376" s="631"/>
      <c r="M376" s="631"/>
      <c r="N376" s="631"/>
      <c r="O376" s="631"/>
      <c r="P376" s="631"/>
      <c r="Q376" s="631"/>
      <c r="R376" s="631"/>
      <c r="S376" s="631"/>
      <c r="T376" s="631"/>
      <c r="U376" s="631"/>
      <c r="V376" s="631"/>
      <c r="W376" s="631"/>
      <c r="X376" s="631"/>
      <c r="Y376" s="631"/>
      <c r="Z376" s="631"/>
    </row>
    <row r="377" spans="1:26">
      <c r="A377" s="636" t="s">
        <v>3648</v>
      </c>
      <c r="B377" s="631"/>
      <c r="C377" s="631"/>
      <c r="D377" s="631"/>
      <c r="E377" s="631"/>
      <c r="F377" s="631"/>
      <c r="G377" s="631"/>
      <c r="H377" s="652"/>
      <c r="I377" s="631"/>
      <c r="J377" s="631"/>
      <c r="K377" s="631"/>
      <c r="L377" s="631"/>
      <c r="M377" s="631"/>
      <c r="N377" s="631"/>
      <c r="O377" s="631"/>
      <c r="P377" s="631"/>
      <c r="Q377" s="631"/>
      <c r="R377" s="631"/>
      <c r="S377" s="631"/>
      <c r="T377" s="631"/>
      <c r="U377" s="631"/>
      <c r="V377" s="631"/>
      <c r="W377" s="631"/>
      <c r="X377" s="631"/>
      <c r="Y377" s="631"/>
      <c r="Z377" s="631"/>
    </row>
    <row r="378" spans="1:26">
      <c r="A378" s="636" t="s">
        <v>3648</v>
      </c>
      <c r="B378" s="631"/>
      <c r="C378" s="631"/>
      <c r="D378" s="631"/>
      <c r="E378" s="631"/>
      <c r="F378" s="631"/>
      <c r="G378" s="631"/>
      <c r="H378" s="652"/>
      <c r="I378" s="631"/>
      <c r="J378" s="631"/>
      <c r="K378" s="631"/>
      <c r="L378" s="631"/>
      <c r="M378" s="631"/>
      <c r="N378" s="631"/>
      <c r="O378" s="631"/>
      <c r="P378" s="631"/>
      <c r="Q378" s="631"/>
      <c r="R378" s="631"/>
      <c r="S378" s="631"/>
      <c r="T378" s="631"/>
      <c r="U378" s="631"/>
      <c r="V378" s="631"/>
      <c r="W378" s="631"/>
      <c r="X378" s="631"/>
      <c r="Y378" s="631"/>
      <c r="Z378" s="631"/>
    </row>
    <row r="379" spans="1:26">
      <c r="A379" s="636" t="s">
        <v>3648</v>
      </c>
      <c r="B379" s="631"/>
      <c r="C379" s="631"/>
      <c r="D379" s="631"/>
      <c r="E379" s="631"/>
      <c r="F379" s="631"/>
      <c r="G379" s="631"/>
      <c r="H379" s="652"/>
      <c r="I379" s="631"/>
      <c r="J379" s="631"/>
      <c r="K379" s="631"/>
      <c r="L379" s="631"/>
      <c r="M379" s="631"/>
      <c r="N379" s="631"/>
      <c r="O379" s="631"/>
      <c r="P379" s="631"/>
      <c r="Q379" s="631"/>
      <c r="R379" s="631"/>
      <c r="S379" s="631"/>
      <c r="T379" s="631"/>
      <c r="U379" s="631"/>
      <c r="V379" s="631"/>
      <c r="W379" s="631"/>
      <c r="X379" s="631"/>
      <c r="Y379" s="631"/>
      <c r="Z379" s="631"/>
    </row>
    <row r="380" spans="1:26">
      <c r="A380" s="636" t="s">
        <v>3648</v>
      </c>
      <c r="B380" s="631"/>
      <c r="C380" s="631"/>
      <c r="D380" s="631"/>
      <c r="E380" s="631"/>
      <c r="F380" s="631"/>
      <c r="G380" s="631"/>
      <c r="H380" s="652"/>
      <c r="I380" s="631"/>
      <c r="J380" s="631"/>
      <c r="K380" s="631"/>
      <c r="L380" s="631"/>
      <c r="M380" s="631"/>
      <c r="N380" s="631"/>
      <c r="O380" s="631"/>
      <c r="P380" s="631"/>
      <c r="Q380" s="631"/>
      <c r="R380" s="631"/>
      <c r="S380" s="631"/>
      <c r="T380" s="631"/>
      <c r="U380" s="631"/>
      <c r="V380" s="631"/>
      <c r="W380" s="631"/>
      <c r="X380" s="631"/>
      <c r="Y380" s="631"/>
      <c r="Z380" s="631"/>
    </row>
    <row r="381" spans="1:26">
      <c r="A381" s="636" t="s">
        <v>3648</v>
      </c>
      <c r="B381" s="631"/>
      <c r="C381" s="631"/>
      <c r="D381" s="631"/>
      <c r="E381" s="631"/>
      <c r="F381" s="631"/>
      <c r="G381" s="631"/>
      <c r="H381" s="652"/>
      <c r="I381" s="631"/>
      <c r="J381" s="631"/>
      <c r="K381" s="631"/>
      <c r="L381" s="631"/>
      <c r="M381" s="631"/>
      <c r="N381" s="631"/>
      <c r="O381" s="631"/>
      <c r="P381" s="631"/>
      <c r="Q381" s="631"/>
      <c r="R381" s="631"/>
      <c r="S381" s="631"/>
      <c r="T381" s="631"/>
      <c r="U381" s="631"/>
      <c r="V381" s="631"/>
      <c r="W381" s="631"/>
      <c r="X381" s="631"/>
      <c r="Y381" s="631"/>
      <c r="Z381" s="631"/>
    </row>
    <row r="382" spans="1:26">
      <c r="A382" s="636" t="s">
        <v>3648</v>
      </c>
      <c r="B382" s="631"/>
      <c r="C382" s="631"/>
      <c r="D382" s="631"/>
      <c r="E382" s="631"/>
      <c r="F382" s="631"/>
      <c r="G382" s="631"/>
      <c r="H382" s="652"/>
      <c r="I382" s="631"/>
      <c r="J382" s="631"/>
      <c r="K382" s="631"/>
      <c r="L382" s="631"/>
      <c r="M382" s="631"/>
      <c r="N382" s="631"/>
      <c r="O382" s="631"/>
      <c r="P382" s="631"/>
      <c r="Q382" s="631"/>
      <c r="R382" s="631"/>
      <c r="S382" s="631"/>
      <c r="T382" s="631"/>
      <c r="U382" s="631"/>
      <c r="V382" s="631"/>
      <c r="W382" s="631"/>
      <c r="X382" s="631"/>
      <c r="Y382" s="631"/>
      <c r="Z382" s="631"/>
    </row>
    <row r="383" spans="1:26">
      <c r="A383" s="636" t="s">
        <v>3648</v>
      </c>
      <c r="B383" s="631"/>
      <c r="C383" s="631"/>
      <c r="D383" s="631"/>
      <c r="E383" s="631"/>
      <c r="F383" s="631"/>
      <c r="G383" s="631"/>
      <c r="H383" s="652"/>
      <c r="I383" s="631"/>
      <c r="J383" s="631"/>
      <c r="K383" s="631"/>
      <c r="L383" s="631"/>
      <c r="M383" s="631"/>
      <c r="N383" s="631"/>
      <c r="O383" s="631"/>
      <c r="P383" s="631"/>
      <c r="Q383" s="631"/>
      <c r="R383" s="631"/>
      <c r="S383" s="631"/>
      <c r="T383" s="631"/>
      <c r="U383" s="631"/>
      <c r="V383" s="631"/>
      <c r="W383" s="631"/>
      <c r="X383" s="631"/>
      <c r="Y383" s="631"/>
      <c r="Z383" s="631"/>
    </row>
    <row r="384" spans="1:26">
      <c r="A384" s="636" t="s">
        <v>3648</v>
      </c>
      <c r="B384" s="631"/>
      <c r="C384" s="631"/>
      <c r="D384" s="631"/>
      <c r="E384" s="631"/>
      <c r="F384" s="631"/>
      <c r="G384" s="631"/>
      <c r="H384" s="652"/>
      <c r="I384" s="631"/>
      <c r="J384" s="631"/>
      <c r="K384" s="631"/>
      <c r="L384" s="631"/>
      <c r="M384" s="631"/>
      <c r="N384" s="631"/>
      <c r="O384" s="631"/>
      <c r="P384" s="631"/>
      <c r="Q384" s="631"/>
      <c r="R384" s="631"/>
      <c r="S384" s="631"/>
      <c r="T384" s="631"/>
      <c r="U384" s="631"/>
      <c r="V384" s="631"/>
      <c r="W384" s="631"/>
      <c r="X384" s="631"/>
      <c r="Y384" s="631"/>
      <c r="Z384" s="631"/>
    </row>
    <row r="385" spans="1:26">
      <c r="A385" s="636" t="s">
        <v>3648</v>
      </c>
      <c r="B385" s="631"/>
      <c r="C385" s="631"/>
      <c r="D385" s="631"/>
      <c r="E385" s="631"/>
      <c r="F385" s="631"/>
      <c r="G385" s="631"/>
      <c r="H385" s="652"/>
      <c r="I385" s="631"/>
      <c r="J385" s="631"/>
      <c r="K385" s="631"/>
      <c r="L385" s="631"/>
      <c r="M385" s="631"/>
      <c r="N385" s="631"/>
      <c r="O385" s="631"/>
      <c r="P385" s="631"/>
      <c r="Q385" s="631"/>
      <c r="R385" s="631"/>
      <c r="S385" s="631"/>
      <c r="T385" s="631"/>
      <c r="U385" s="631"/>
      <c r="V385" s="631"/>
      <c r="W385" s="631"/>
      <c r="X385" s="631"/>
      <c r="Y385" s="631"/>
      <c r="Z385" s="631"/>
    </row>
    <row r="386" spans="1:26">
      <c r="A386" s="636" t="s">
        <v>3648</v>
      </c>
      <c r="B386" s="631"/>
      <c r="C386" s="631"/>
      <c r="D386" s="631"/>
      <c r="E386" s="631"/>
      <c r="F386" s="631"/>
      <c r="G386" s="631"/>
      <c r="H386" s="652"/>
      <c r="I386" s="631"/>
      <c r="J386" s="631"/>
      <c r="K386" s="631"/>
      <c r="L386" s="631"/>
      <c r="M386" s="631"/>
      <c r="N386" s="631"/>
      <c r="O386" s="631"/>
      <c r="P386" s="631"/>
      <c r="Q386" s="631"/>
      <c r="R386" s="631"/>
      <c r="S386" s="631"/>
      <c r="T386" s="631"/>
      <c r="U386" s="631"/>
      <c r="V386" s="631"/>
      <c r="W386" s="631"/>
      <c r="X386" s="631"/>
      <c r="Y386" s="631"/>
      <c r="Z386" s="631"/>
    </row>
    <row r="387" spans="1:26">
      <c r="A387" s="636" t="s">
        <v>3648</v>
      </c>
      <c r="B387" s="631"/>
      <c r="C387" s="631"/>
      <c r="D387" s="631"/>
      <c r="E387" s="631"/>
      <c r="F387" s="631"/>
      <c r="G387" s="631"/>
      <c r="H387" s="652"/>
      <c r="I387" s="631"/>
      <c r="J387" s="631"/>
      <c r="K387" s="631"/>
      <c r="L387" s="631"/>
      <c r="M387" s="631"/>
      <c r="N387" s="631"/>
      <c r="O387" s="631"/>
      <c r="P387" s="631"/>
      <c r="Q387" s="631"/>
      <c r="R387" s="631"/>
      <c r="S387" s="631"/>
      <c r="T387" s="631"/>
      <c r="U387" s="631"/>
      <c r="V387" s="631"/>
      <c r="W387" s="631"/>
      <c r="X387" s="631"/>
      <c r="Y387" s="631"/>
      <c r="Z387" s="631"/>
    </row>
    <row r="388" spans="1:26">
      <c r="A388" s="636" t="s">
        <v>3648</v>
      </c>
      <c r="B388" s="631"/>
      <c r="C388" s="631"/>
      <c r="D388" s="631"/>
      <c r="E388" s="631"/>
      <c r="F388" s="631"/>
      <c r="G388" s="631"/>
      <c r="H388" s="652"/>
      <c r="I388" s="631"/>
      <c r="J388" s="631"/>
      <c r="K388" s="631"/>
      <c r="L388" s="631"/>
      <c r="M388" s="631"/>
      <c r="N388" s="631"/>
      <c r="O388" s="631"/>
      <c r="P388" s="631"/>
      <c r="Q388" s="631"/>
      <c r="R388" s="631"/>
      <c r="S388" s="631"/>
      <c r="T388" s="631"/>
      <c r="U388" s="631"/>
      <c r="V388" s="631"/>
      <c r="W388" s="631"/>
      <c r="X388" s="631"/>
      <c r="Y388" s="631"/>
      <c r="Z388" s="631"/>
    </row>
    <row r="389" spans="1:26">
      <c r="A389" s="636" t="s">
        <v>3648</v>
      </c>
      <c r="B389" s="631"/>
      <c r="C389" s="631"/>
      <c r="D389" s="631"/>
      <c r="E389" s="631"/>
      <c r="F389" s="631"/>
      <c r="G389" s="631"/>
      <c r="H389" s="652"/>
      <c r="I389" s="631"/>
      <c r="J389" s="631"/>
      <c r="K389" s="631"/>
      <c r="L389" s="631"/>
      <c r="M389" s="631"/>
      <c r="N389" s="631"/>
      <c r="O389" s="631"/>
      <c r="P389" s="631"/>
      <c r="Q389" s="631"/>
      <c r="R389" s="631"/>
      <c r="S389" s="631"/>
      <c r="T389" s="631"/>
      <c r="U389" s="631"/>
      <c r="V389" s="631"/>
      <c r="W389" s="631"/>
      <c r="X389" s="631"/>
      <c r="Y389" s="631"/>
      <c r="Z389" s="631"/>
    </row>
    <row r="390" spans="1:26">
      <c r="A390" s="636" t="s">
        <v>3648</v>
      </c>
      <c r="B390" s="631"/>
      <c r="C390" s="631"/>
      <c r="D390" s="631"/>
      <c r="E390" s="631"/>
      <c r="F390" s="631"/>
      <c r="G390" s="631"/>
      <c r="H390" s="652"/>
      <c r="I390" s="631"/>
      <c r="J390" s="631"/>
      <c r="K390" s="631"/>
      <c r="L390" s="631"/>
      <c r="M390" s="631"/>
      <c r="N390" s="631"/>
      <c r="O390" s="631"/>
      <c r="P390" s="631"/>
      <c r="Q390" s="631"/>
      <c r="R390" s="631"/>
      <c r="S390" s="631"/>
      <c r="T390" s="631"/>
      <c r="U390" s="631"/>
      <c r="V390" s="631"/>
      <c r="W390" s="631"/>
      <c r="X390" s="631"/>
      <c r="Y390" s="631"/>
      <c r="Z390" s="631"/>
    </row>
    <row r="391" spans="1:26">
      <c r="A391" s="636" t="s">
        <v>3648</v>
      </c>
      <c r="B391" s="631"/>
      <c r="C391" s="631"/>
      <c r="D391" s="631"/>
      <c r="E391" s="631"/>
      <c r="F391" s="631"/>
      <c r="G391" s="631"/>
      <c r="H391" s="652"/>
      <c r="I391" s="631"/>
      <c r="J391" s="631"/>
      <c r="K391" s="631"/>
      <c r="L391" s="631"/>
      <c r="M391" s="631"/>
      <c r="N391" s="631"/>
      <c r="O391" s="631"/>
      <c r="P391" s="631"/>
      <c r="Q391" s="631"/>
      <c r="R391" s="631"/>
      <c r="S391" s="631"/>
      <c r="T391" s="631"/>
      <c r="U391" s="631"/>
      <c r="V391" s="631"/>
      <c r="W391" s="631"/>
      <c r="X391" s="631"/>
      <c r="Y391" s="631"/>
      <c r="Z391" s="631"/>
    </row>
    <row r="392" spans="1:26">
      <c r="A392" s="636" t="s">
        <v>3648</v>
      </c>
      <c r="B392" s="631"/>
      <c r="C392" s="631"/>
      <c r="D392" s="631"/>
      <c r="E392" s="631"/>
      <c r="F392" s="631"/>
      <c r="G392" s="631"/>
      <c r="H392" s="652"/>
      <c r="I392" s="631"/>
      <c r="J392" s="631"/>
      <c r="K392" s="631"/>
      <c r="L392" s="631"/>
      <c r="M392" s="631"/>
      <c r="N392" s="631"/>
      <c r="O392" s="631"/>
      <c r="P392" s="631"/>
      <c r="Q392" s="631"/>
      <c r="R392" s="631"/>
      <c r="S392" s="631"/>
      <c r="T392" s="631"/>
      <c r="U392" s="631"/>
      <c r="V392" s="631"/>
      <c r="W392" s="631"/>
      <c r="X392" s="631"/>
      <c r="Y392" s="631"/>
      <c r="Z392" s="631"/>
    </row>
    <row r="393" spans="1:26">
      <c r="A393" s="636" t="s">
        <v>3648</v>
      </c>
      <c r="B393" s="631"/>
      <c r="C393" s="631"/>
      <c r="D393" s="631"/>
      <c r="E393" s="631"/>
      <c r="F393" s="631"/>
      <c r="G393" s="631"/>
      <c r="H393" s="652"/>
      <c r="I393" s="631"/>
      <c r="J393" s="631"/>
      <c r="K393" s="631"/>
      <c r="L393" s="631"/>
      <c r="M393" s="631"/>
      <c r="N393" s="631"/>
      <c r="O393" s="631"/>
      <c r="P393" s="631"/>
      <c r="Q393" s="631"/>
      <c r="R393" s="631"/>
      <c r="S393" s="631"/>
      <c r="T393" s="631"/>
      <c r="U393" s="631"/>
      <c r="V393" s="631"/>
      <c r="W393" s="631"/>
      <c r="X393" s="631"/>
      <c r="Y393" s="631"/>
      <c r="Z393" s="631"/>
    </row>
    <row r="394" spans="1:26">
      <c r="A394" s="636" t="s">
        <v>3648</v>
      </c>
      <c r="B394" s="631"/>
      <c r="C394" s="631"/>
      <c r="D394" s="631"/>
      <c r="E394" s="631"/>
      <c r="F394" s="631"/>
      <c r="G394" s="631"/>
      <c r="H394" s="652"/>
      <c r="I394" s="631"/>
      <c r="J394" s="631"/>
      <c r="K394" s="631"/>
      <c r="L394" s="631"/>
      <c r="M394" s="631"/>
      <c r="N394" s="631"/>
      <c r="O394" s="631"/>
      <c r="P394" s="631"/>
      <c r="Q394" s="631"/>
      <c r="R394" s="631"/>
      <c r="S394" s="631"/>
      <c r="T394" s="631"/>
      <c r="U394" s="631"/>
      <c r="V394" s="631"/>
      <c r="W394" s="631"/>
      <c r="X394" s="631"/>
      <c r="Y394" s="631"/>
      <c r="Z394" s="631"/>
    </row>
    <row r="395" spans="1:26">
      <c r="A395" s="636" t="s">
        <v>3648</v>
      </c>
      <c r="B395" s="631"/>
      <c r="C395" s="631"/>
      <c r="D395" s="631"/>
      <c r="E395" s="631"/>
      <c r="F395" s="631"/>
      <c r="G395" s="631"/>
      <c r="H395" s="652"/>
      <c r="I395" s="631"/>
      <c r="J395" s="631"/>
      <c r="K395" s="631"/>
      <c r="L395" s="631"/>
      <c r="M395" s="631"/>
      <c r="N395" s="631"/>
      <c r="O395" s="631"/>
      <c r="P395" s="631"/>
      <c r="Q395" s="631"/>
      <c r="R395" s="631"/>
      <c r="S395" s="631"/>
      <c r="T395" s="631"/>
      <c r="U395" s="631"/>
      <c r="V395" s="631"/>
      <c r="W395" s="631"/>
      <c r="X395" s="631"/>
      <c r="Y395" s="631"/>
      <c r="Z395" s="631"/>
    </row>
    <row r="396" spans="1:26">
      <c r="A396" s="636" t="s">
        <v>3648</v>
      </c>
      <c r="B396" s="631"/>
      <c r="C396" s="631"/>
      <c r="D396" s="631"/>
      <c r="E396" s="631"/>
      <c r="F396" s="631"/>
      <c r="G396" s="631"/>
      <c r="H396" s="652"/>
      <c r="I396" s="631"/>
      <c r="J396" s="631"/>
      <c r="K396" s="631"/>
      <c r="L396" s="631"/>
      <c r="M396" s="631"/>
      <c r="N396" s="631"/>
      <c r="O396" s="631"/>
      <c r="P396" s="631"/>
      <c r="Q396" s="631"/>
      <c r="R396" s="631"/>
      <c r="S396" s="631"/>
      <c r="T396" s="631"/>
      <c r="U396" s="631"/>
      <c r="V396" s="631"/>
      <c r="W396" s="631"/>
      <c r="X396" s="631"/>
      <c r="Y396" s="631"/>
      <c r="Z396" s="631"/>
    </row>
    <row r="397" spans="1:26">
      <c r="A397" s="636" t="s">
        <v>3648</v>
      </c>
      <c r="B397" s="631"/>
      <c r="C397" s="631"/>
      <c r="D397" s="631"/>
      <c r="E397" s="631"/>
      <c r="F397" s="631"/>
      <c r="G397" s="631"/>
      <c r="H397" s="652"/>
      <c r="I397" s="631"/>
      <c r="J397" s="631"/>
      <c r="K397" s="631"/>
      <c r="L397" s="631"/>
      <c r="M397" s="631"/>
      <c r="N397" s="631"/>
      <c r="O397" s="631"/>
      <c r="P397" s="631"/>
      <c r="Q397" s="631"/>
      <c r="R397" s="631"/>
      <c r="S397" s="631"/>
      <c r="T397" s="631"/>
      <c r="U397" s="631"/>
      <c r="V397" s="631"/>
      <c r="W397" s="631"/>
      <c r="X397" s="631"/>
      <c r="Y397" s="631"/>
      <c r="Z397" s="631"/>
    </row>
    <row r="398" spans="1:26">
      <c r="A398" s="636" t="s">
        <v>3648</v>
      </c>
      <c r="B398" s="631"/>
      <c r="C398" s="631"/>
      <c r="D398" s="631"/>
      <c r="E398" s="631"/>
      <c r="F398" s="631"/>
      <c r="G398" s="631"/>
      <c r="H398" s="652"/>
      <c r="I398" s="631"/>
      <c r="J398" s="631"/>
      <c r="K398" s="631"/>
      <c r="L398" s="631"/>
      <c r="M398" s="631"/>
      <c r="N398" s="631"/>
      <c r="O398" s="631"/>
      <c r="P398" s="631"/>
      <c r="Q398" s="631"/>
      <c r="R398" s="631"/>
      <c r="S398" s="631"/>
      <c r="T398" s="631"/>
      <c r="U398" s="631"/>
      <c r="V398" s="631"/>
      <c r="W398" s="631"/>
      <c r="X398" s="631"/>
      <c r="Y398" s="631"/>
      <c r="Z398" s="631"/>
    </row>
    <row r="399" spans="1:26">
      <c r="A399" s="636" t="s">
        <v>3648</v>
      </c>
      <c r="B399" s="631"/>
      <c r="C399" s="631"/>
      <c r="D399" s="631"/>
      <c r="E399" s="631"/>
      <c r="F399" s="631"/>
      <c r="G399" s="631"/>
      <c r="H399" s="652"/>
      <c r="I399" s="631"/>
      <c r="J399" s="631"/>
      <c r="K399" s="631"/>
      <c r="L399" s="631"/>
      <c r="M399" s="631"/>
      <c r="N399" s="631"/>
      <c r="O399" s="631"/>
      <c r="P399" s="631"/>
      <c r="Q399" s="631"/>
      <c r="R399" s="631"/>
      <c r="S399" s="631"/>
      <c r="T399" s="631"/>
      <c r="U399" s="631"/>
      <c r="V399" s="631"/>
      <c r="W399" s="631"/>
      <c r="X399" s="631"/>
      <c r="Y399" s="631"/>
      <c r="Z399" s="631"/>
    </row>
    <row r="400" spans="1:26">
      <c r="A400" s="636" t="s">
        <v>3648</v>
      </c>
      <c r="B400" s="631"/>
      <c r="C400" s="631"/>
      <c r="D400" s="631"/>
      <c r="E400" s="631"/>
      <c r="F400" s="631"/>
      <c r="G400" s="631"/>
      <c r="H400" s="652"/>
      <c r="I400" s="631"/>
      <c r="J400" s="631"/>
      <c r="K400" s="631"/>
      <c r="L400" s="631"/>
      <c r="M400" s="631"/>
      <c r="N400" s="631"/>
      <c r="O400" s="631"/>
      <c r="P400" s="631"/>
      <c r="Q400" s="631"/>
      <c r="R400" s="631"/>
      <c r="S400" s="631"/>
      <c r="T400" s="631"/>
      <c r="U400" s="631"/>
      <c r="V400" s="631"/>
      <c r="W400" s="631"/>
      <c r="X400" s="631"/>
      <c r="Y400" s="631"/>
      <c r="Z400" s="631"/>
    </row>
    <row r="401" spans="1:26">
      <c r="A401" s="636" t="s">
        <v>3648</v>
      </c>
      <c r="B401" s="631"/>
      <c r="C401" s="631"/>
      <c r="D401" s="631"/>
      <c r="E401" s="631"/>
      <c r="F401" s="631"/>
      <c r="G401" s="631"/>
      <c r="H401" s="652"/>
      <c r="I401" s="631"/>
      <c r="J401" s="631"/>
      <c r="K401" s="631"/>
      <c r="L401" s="631"/>
      <c r="M401" s="631"/>
      <c r="N401" s="631"/>
      <c r="O401" s="631"/>
      <c r="P401" s="631"/>
      <c r="Q401" s="631"/>
      <c r="R401" s="631"/>
      <c r="S401" s="631"/>
      <c r="T401" s="631"/>
      <c r="U401" s="631"/>
      <c r="V401" s="631"/>
      <c r="W401" s="631"/>
      <c r="X401" s="631"/>
      <c r="Y401" s="631"/>
      <c r="Z401" s="631"/>
    </row>
    <row r="402" spans="1:26">
      <c r="A402" s="636" t="s">
        <v>3648</v>
      </c>
      <c r="B402" s="631"/>
      <c r="C402" s="631"/>
      <c r="D402" s="631"/>
      <c r="E402" s="631"/>
      <c r="F402" s="631"/>
      <c r="G402" s="631"/>
      <c r="H402" s="652"/>
      <c r="I402" s="631"/>
      <c r="J402" s="631"/>
      <c r="K402" s="631"/>
      <c r="L402" s="631"/>
      <c r="M402" s="631"/>
      <c r="N402" s="631"/>
      <c r="O402" s="631"/>
      <c r="P402" s="631"/>
      <c r="Q402" s="631"/>
      <c r="R402" s="631"/>
      <c r="S402" s="631"/>
      <c r="T402" s="631"/>
      <c r="U402" s="631"/>
      <c r="V402" s="631"/>
      <c r="W402" s="631"/>
      <c r="X402" s="631"/>
      <c r="Y402" s="631"/>
      <c r="Z402" s="631"/>
    </row>
    <row r="403" spans="1:26">
      <c r="A403" s="636" t="s">
        <v>3648</v>
      </c>
      <c r="B403" s="631"/>
      <c r="C403" s="631"/>
      <c r="D403" s="631"/>
      <c r="E403" s="631"/>
      <c r="F403" s="631"/>
      <c r="G403" s="631"/>
      <c r="H403" s="652"/>
      <c r="I403" s="631"/>
      <c r="J403" s="631"/>
      <c r="K403" s="631"/>
      <c r="L403" s="631"/>
      <c r="M403" s="631"/>
      <c r="N403" s="631"/>
      <c r="O403" s="631"/>
      <c r="P403" s="631"/>
      <c r="Q403" s="631"/>
      <c r="R403" s="631"/>
      <c r="S403" s="631"/>
      <c r="T403" s="631"/>
      <c r="U403" s="631"/>
      <c r="V403" s="631"/>
      <c r="W403" s="631"/>
      <c r="X403" s="631"/>
      <c r="Y403" s="631"/>
      <c r="Z403" s="631"/>
    </row>
    <row r="404" spans="1:26">
      <c r="A404" s="636" t="s">
        <v>3648</v>
      </c>
      <c r="B404" s="631"/>
      <c r="C404" s="631"/>
      <c r="D404" s="631"/>
      <c r="E404" s="631"/>
      <c r="F404" s="631"/>
      <c r="G404" s="631"/>
      <c r="H404" s="652"/>
      <c r="I404" s="631"/>
      <c r="J404" s="631"/>
      <c r="K404" s="631"/>
      <c r="L404" s="631"/>
      <c r="M404" s="631"/>
      <c r="N404" s="631"/>
      <c r="O404" s="631"/>
      <c r="P404" s="631"/>
      <c r="Q404" s="631"/>
      <c r="R404" s="631"/>
      <c r="S404" s="631"/>
      <c r="T404" s="631"/>
      <c r="U404" s="631"/>
      <c r="V404" s="631"/>
      <c r="W404" s="631"/>
      <c r="X404" s="631"/>
      <c r="Y404" s="631"/>
      <c r="Z404" s="631"/>
    </row>
    <row r="405" spans="1:26">
      <c r="A405" s="636" t="s">
        <v>3648</v>
      </c>
      <c r="B405" s="631"/>
      <c r="C405" s="631"/>
      <c r="D405" s="631"/>
      <c r="E405" s="631"/>
      <c r="F405" s="631"/>
      <c r="G405" s="631"/>
      <c r="H405" s="652"/>
      <c r="I405" s="631"/>
      <c r="J405" s="631"/>
      <c r="K405" s="631"/>
      <c r="L405" s="631"/>
      <c r="M405" s="631"/>
      <c r="N405" s="631"/>
      <c r="O405" s="631"/>
      <c r="P405" s="631"/>
      <c r="Q405" s="631"/>
      <c r="R405" s="631"/>
      <c r="S405" s="631"/>
      <c r="T405" s="631"/>
      <c r="U405" s="631"/>
      <c r="V405" s="631"/>
      <c r="W405" s="631"/>
      <c r="X405" s="631"/>
      <c r="Y405" s="631"/>
      <c r="Z405" s="631"/>
    </row>
    <row r="406" spans="1:26">
      <c r="A406" s="636" t="s">
        <v>3648</v>
      </c>
      <c r="B406" s="631"/>
      <c r="C406" s="631"/>
      <c r="D406" s="631"/>
      <c r="E406" s="631"/>
      <c r="F406" s="631"/>
      <c r="G406" s="631"/>
      <c r="H406" s="652"/>
      <c r="I406" s="631"/>
      <c r="J406" s="631"/>
      <c r="K406" s="631"/>
      <c r="L406" s="631"/>
      <c r="M406" s="631"/>
      <c r="N406" s="631"/>
      <c r="O406" s="631"/>
      <c r="P406" s="631"/>
      <c r="Q406" s="631"/>
      <c r="R406" s="631"/>
      <c r="S406" s="631"/>
      <c r="T406" s="631"/>
      <c r="U406" s="631"/>
      <c r="V406" s="631"/>
      <c r="W406" s="631"/>
      <c r="X406" s="631"/>
      <c r="Y406" s="631"/>
      <c r="Z406" s="631"/>
    </row>
    <row r="407" spans="1:26">
      <c r="A407" s="636" t="s">
        <v>3648</v>
      </c>
      <c r="B407" s="631"/>
      <c r="C407" s="631"/>
      <c r="D407" s="631"/>
      <c r="E407" s="631"/>
      <c r="F407" s="631"/>
      <c r="G407" s="631"/>
      <c r="H407" s="652"/>
      <c r="I407" s="631"/>
      <c r="J407" s="631"/>
      <c r="K407" s="631"/>
      <c r="L407" s="631"/>
      <c r="M407" s="631"/>
      <c r="N407" s="631"/>
      <c r="O407" s="631"/>
      <c r="P407" s="631"/>
      <c r="Q407" s="631"/>
      <c r="R407" s="631"/>
      <c r="S407" s="631"/>
      <c r="T407" s="631"/>
      <c r="U407" s="631"/>
      <c r="V407" s="631"/>
      <c r="W407" s="631"/>
      <c r="X407" s="631"/>
      <c r="Y407" s="631"/>
      <c r="Z407" s="631"/>
    </row>
    <row r="408" spans="1:26">
      <c r="A408" s="636" t="s">
        <v>3648</v>
      </c>
      <c r="B408" s="631"/>
      <c r="C408" s="631"/>
      <c r="D408" s="631"/>
      <c r="E408" s="631"/>
      <c r="F408" s="631"/>
      <c r="G408" s="631"/>
      <c r="H408" s="652"/>
      <c r="I408" s="631"/>
      <c r="J408" s="631"/>
      <c r="K408" s="631"/>
      <c r="L408" s="631"/>
      <c r="M408" s="631"/>
      <c r="N408" s="631"/>
      <c r="O408" s="631"/>
      <c r="P408" s="631"/>
      <c r="Q408" s="631"/>
      <c r="R408" s="631"/>
      <c r="S408" s="631"/>
      <c r="T408" s="631"/>
      <c r="U408" s="631"/>
      <c r="V408" s="631"/>
      <c r="W408" s="631"/>
      <c r="X408" s="631"/>
      <c r="Y408" s="631"/>
      <c r="Z408" s="631"/>
    </row>
    <row r="409" spans="1:26">
      <c r="A409" s="636" t="s">
        <v>3648</v>
      </c>
      <c r="B409" s="631"/>
      <c r="C409" s="631"/>
      <c r="D409" s="631"/>
      <c r="E409" s="631"/>
      <c r="F409" s="631"/>
      <c r="G409" s="631"/>
      <c r="H409" s="652"/>
      <c r="I409" s="631"/>
      <c r="J409" s="631"/>
      <c r="K409" s="631"/>
      <c r="L409" s="631"/>
      <c r="M409" s="631"/>
      <c r="N409" s="631"/>
      <c r="O409" s="631"/>
      <c r="P409" s="631"/>
      <c r="Q409" s="631"/>
      <c r="R409" s="631"/>
      <c r="S409" s="631"/>
      <c r="T409" s="631"/>
      <c r="U409" s="631"/>
      <c r="V409" s="631"/>
      <c r="W409" s="631"/>
      <c r="X409" s="631"/>
      <c r="Y409" s="631"/>
      <c r="Z409" s="631"/>
    </row>
    <row r="410" spans="1:26">
      <c r="A410" s="636" t="s">
        <v>3648</v>
      </c>
      <c r="B410" s="631"/>
      <c r="C410" s="631"/>
      <c r="D410" s="631"/>
      <c r="E410" s="631"/>
      <c r="F410" s="631"/>
      <c r="G410" s="631"/>
      <c r="H410" s="652"/>
      <c r="I410" s="631"/>
      <c r="J410" s="631"/>
      <c r="K410" s="631"/>
      <c r="L410" s="631"/>
      <c r="M410" s="631"/>
      <c r="N410" s="631"/>
      <c r="O410" s="631"/>
      <c r="P410" s="631"/>
      <c r="Q410" s="631"/>
      <c r="R410" s="631"/>
      <c r="S410" s="631"/>
      <c r="T410" s="631"/>
      <c r="U410" s="631"/>
      <c r="V410" s="631"/>
      <c r="W410" s="631"/>
      <c r="X410" s="631"/>
      <c r="Y410" s="631"/>
      <c r="Z410" s="631"/>
    </row>
    <row r="411" spans="1:26">
      <c r="A411" s="636" t="s">
        <v>3648</v>
      </c>
      <c r="B411" s="631"/>
      <c r="C411" s="631"/>
      <c r="D411" s="631"/>
      <c r="E411" s="631"/>
      <c r="F411" s="631"/>
      <c r="G411" s="631"/>
      <c r="H411" s="652"/>
      <c r="I411" s="631"/>
      <c r="J411" s="631"/>
      <c r="K411" s="631"/>
      <c r="L411" s="631"/>
      <c r="M411" s="631"/>
      <c r="N411" s="631"/>
      <c r="O411" s="631"/>
      <c r="P411" s="631"/>
      <c r="Q411" s="631"/>
      <c r="R411" s="631"/>
      <c r="S411" s="631"/>
      <c r="T411" s="631"/>
      <c r="U411" s="631"/>
      <c r="V411" s="631"/>
      <c r="W411" s="631"/>
      <c r="X411" s="631"/>
      <c r="Y411" s="631"/>
      <c r="Z411" s="631"/>
    </row>
    <row r="412" spans="1:26">
      <c r="A412" s="636" t="s">
        <v>3648</v>
      </c>
      <c r="B412" s="631"/>
      <c r="C412" s="631"/>
      <c r="D412" s="631"/>
      <c r="E412" s="631"/>
      <c r="F412" s="631"/>
      <c r="G412" s="631"/>
      <c r="H412" s="652"/>
      <c r="I412" s="631"/>
      <c r="J412" s="631"/>
      <c r="K412" s="631"/>
      <c r="L412" s="631"/>
      <c r="M412" s="631"/>
      <c r="N412" s="631"/>
      <c r="O412" s="631"/>
      <c r="P412" s="631"/>
      <c r="Q412" s="631"/>
      <c r="R412" s="631"/>
      <c r="S412" s="631"/>
      <c r="T412" s="631"/>
      <c r="U412" s="631"/>
      <c r="V412" s="631"/>
      <c r="W412" s="631"/>
      <c r="X412" s="631"/>
      <c r="Y412" s="631"/>
      <c r="Z412" s="631"/>
    </row>
    <row r="413" spans="1:26">
      <c r="A413" s="636" t="s">
        <v>3648</v>
      </c>
      <c r="B413" s="631"/>
      <c r="C413" s="631"/>
      <c r="D413" s="631"/>
      <c r="E413" s="631"/>
      <c r="F413" s="631"/>
      <c r="G413" s="631"/>
      <c r="H413" s="652"/>
      <c r="I413" s="631"/>
      <c r="J413" s="631"/>
      <c r="K413" s="631"/>
      <c r="L413" s="631"/>
      <c r="M413" s="631"/>
      <c r="N413" s="631"/>
      <c r="O413" s="631"/>
      <c r="P413" s="631"/>
      <c r="Q413" s="631"/>
      <c r="R413" s="631"/>
      <c r="S413" s="631"/>
      <c r="T413" s="631"/>
      <c r="U413" s="631"/>
      <c r="V413" s="631"/>
      <c r="W413" s="631"/>
      <c r="X413" s="631"/>
      <c r="Y413" s="631"/>
      <c r="Z413" s="631"/>
    </row>
    <row r="414" spans="1:26">
      <c r="A414" s="636" t="s">
        <v>3648</v>
      </c>
      <c r="B414" s="631"/>
      <c r="C414" s="631"/>
      <c r="D414" s="631"/>
      <c r="E414" s="631"/>
      <c r="F414" s="631"/>
      <c r="G414" s="631"/>
      <c r="H414" s="652"/>
      <c r="I414" s="631"/>
      <c r="J414" s="631"/>
      <c r="K414" s="631"/>
      <c r="L414" s="631"/>
      <c r="M414" s="631"/>
      <c r="N414" s="631"/>
      <c r="O414" s="631"/>
      <c r="P414" s="631"/>
      <c r="Q414" s="631"/>
      <c r="R414" s="631"/>
      <c r="S414" s="631"/>
      <c r="T414" s="631"/>
      <c r="U414" s="631"/>
      <c r="V414" s="631"/>
      <c r="W414" s="631"/>
      <c r="X414" s="631"/>
      <c r="Y414" s="631"/>
      <c r="Z414" s="631"/>
    </row>
    <row r="415" spans="1:26">
      <c r="A415" s="636" t="s">
        <v>3648</v>
      </c>
      <c r="B415" s="631"/>
      <c r="C415" s="631"/>
      <c r="D415" s="631"/>
      <c r="E415" s="631"/>
      <c r="F415" s="631"/>
      <c r="G415" s="631"/>
      <c r="H415" s="652"/>
      <c r="I415" s="631"/>
      <c r="J415" s="631"/>
      <c r="K415" s="631"/>
      <c r="L415" s="631"/>
      <c r="M415" s="631"/>
      <c r="N415" s="631"/>
      <c r="O415" s="631"/>
      <c r="P415" s="631"/>
      <c r="Q415" s="631"/>
      <c r="R415" s="631"/>
      <c r="S415" s="631"/>
      <c r="T415" s="631"/>
      <c r="U415" s="631"/>
      <c r="V415" s="631"/>
      <c r="W415" s="631"/>
      <c r="X415" s="631"/>
      <c r="Y415" s="631"/>
      <c r="Z415" s="631"/>
    </row>
    <row r="416" spans="1:26">
      <c r="A416" s="636" t="s">
        <v>3648</v>
      </c>
      <c r="B416" s="631"/>
      <c r="C416" s="631"/>
      <c r="D416" s="631"/>
      <c r="E416" s="631"/>
      <c r="F416" s="631"/>
      <c r="G416" s="631"/>
      <c r="H416" s="652"/>
      <c r="I416" s="631"/>
      <c r="J416" s="631"/>
      <c r="K416" s="631"/>
      <c r="L416" s="631"/>
      <c r="M416" s="631"/>
      <c r="N416" s="631"/>
      <c r="O416" s="631"/>
      <c r="P416" s="631"/>
      <c r="Q416" s="631"/>
      <c r="R416" s="631"/>
      <c r="S416" s="631"/>
      <c r="T416" s="631"/>
      <c r="U416" s="631"/>
      <c r="V416" s="631"/>
      <c r="W416" s="631"/>
      <c r="X416" s="631"/>
      <c r="Y416" s="631"/>
      <c r="Z416" s="631"/>
    </row>
    <row r="417" spans="1:26">
      <c r="A417" s="636" t="s">
        <v>3648</v>
      </c>
      <c r="B417" s="631"/>
      <c r="C417" s="631"/>
      <c r="D417" s="631"/>
      <c r="E417" s="631"/>
      <c r="F417" s="631"/>
      <c r="G417" s="631"/>
      <c r="H417" s="652"/>
      <c r="I417" s="631"/>
      <c r="J417" s="631"/>
      <c r="K417" s="631"/>
      <c r="L417" s="631"/>
      <c r="M417" s="631"/>
      <c r="N417" s="631"/>
      <c r="O417" s="631"/>
      <c r="P417" s="631"/>
      <c r="Q417" s="631"/>
      <c r="R417" s="631"/>
      <c r="S417" s="631"/>
      <c r="T417" s="631"/>
      <c r="U417" s="631"/>
      <c r="V417" s="631"/>
      <c r="W417" s="631"/>
      <c r="X417" s="631"/>
      <c r="Y417" s="631"/>
      <c r="Z417" s="631"/>
    </row>
    <row r="418" spans="1:26">
      <c r="A418" s="636" t="s">
        <v>3648</v>
      </c>
      <c r="B418" s="631"/>
      <c r="C418" s="631"/>
      <c r="D418" s="631"/>
      <c r="E418" s="631"/>
      <c r="F418" s="631"/>
      <c r="G418" s="631"/>
      <c r="H418" s="652"/>
      <c r="I418" s="631"/>
      <c r="J418" s="631"/>
      <c r="K418" s="631"/>
      <c r="L418" s="631"/>
      <c r="M418" s="631"/>
      <c r="N418" s="631"/>
      <c r="O418" s="631"/>
      <c r="P418" s="631"/>
      <c r="Q418" s="631"/>
      <c r="R418" s="631"/>
      <c r="S418" s="631"/>
      <c r="T418" s="631"/>
      <c r="U418" s="631"/>
      <c r="V418" s="631"/>
      <c r="W418" s="631"/>
      <c r="X418" s="631"/>
      <c r="Y418" s="631"/>
      <c r="Z418" s="631"/>
    </row>
    <row r="419" spans="1:26">
      <c r="A419" s="636" t="s">
        <v>3648</v>
      </c>
      <c r="B419" s="631"/>
      <c r="C419" s="631"/>
      <c r="D419" s="631"/>
      <c r="E419" s="631"/>
      <c r="F419" s="631"/>
      <c r="G419" s="631"/>
      <c r="H419" s="652"/>
      <c r="I419" s="631"/>
      <c r="J419" s="631"/>
      <c r="K419" s="631"/>
      <c r="L419" s="631"/>
      <c r="M419" s="631"/>
      <c r="N419" s="631"/>
      <c r="O419" s="631"/>
      <c r="P419" s="631"/>
      <c r="Q419" s="631"/>
      <c r="R419" s="631"/>
      <c r="S419" s="631"/>
      <c r="T419" s="631"/>
      <c r="U419" s="631"/>
      <c r="V419" s="631"/>
      <c r="W419" s="631"/>
      <c r="X419" s="631"/>
      <c r="Y419" s="631"/>
      <c r="Z419" s="631"/>
    </row>
    <row r="420" spans="1:26">
      <c r="A420" s="636" t="s">
        <v>3648</v>
      </c>
      <c r="B420" s="631"/>
      <c r="C420" s="631"/>
      <c r="D420" s="631"/>
      <c r="E420" s="631"/>
      <c r="F420" s="631"/>
      <c r="G420" s="631"/>
      <c r="H420" s="652"/>
      <c r="I420" s="631"/>
      <c r="J420" s="631"/>
      <c r="K420" s="631"/>
      <c r="L420" s="631"/>
      <c r="M420" s="631"/>
      <c r="N420" s="631"/>
      <c r="O420" s="631"/>
      <c r="P420" s="631"/>
      <c r="Q420" s="631"/>
      <c r="R420" s="631"/>
      <c r="S420" s="631"/>
      <c r="T420" s="631"/>
      <c r="U420" s="631"/>
      <c r="V420" s="631"/>
      <c r="W420" s="631"/>
      <c r="X420" s="631"/>
      <c r="Y420" s="631"/>
      <c r="Z420" s="631"/>
    </row>
    <row r="421" spans="1:26">
      <c r="A421" s="636" t="s">
        <v>3648</v>
      </c>
      <c r="B421" s="631"/>
      <c r="C421" s="631"/>
      <c r="D421" s="631"/>
      <c r="E421" s="631"/>
      <c r="F421" s="631"/>
      <c r="G421" s="631"/>
      <c r="H421" s="652"/>
      <c r="I421" s="631"/>
      <c r="J421" s="631"/>
      <c r="K421" s="631"/>
      <c r="L421" s="631"/>
      <c r="M421" s="631"/>
      <c r="N421" s="631"/>
      <c r="O421" s="631"/>
      <c r="P421" s="631"/>
      <c r="Q421" s="631"/>
      <c r="R421" s="631"/>
      <c r="S421" s="631"/>
      <c r="T421" s="631"/>
      <c r="U421" s="631"/>
      <c r="V421" s="631"/>
      <c r="W421" s="631"/>
      <c r="X421" s="631"/>
      <c r="Y421" s="631"/>
      <c r="Z421" s="631"/>
    </row>
    <row r="422" spans="1:26">
      <c r="A422" s="636" t="s">
        <v>3648</v>
      </c>
      <c r="B422" s="631"/>
      <c r="C422" s="631"/>
      <c r="D422" s="631"/>
      <c r="E422" s="631"/>
      <c r="F422" s="631"/>
      <c r="G422" s="631"/>
      <c r="H422" s="652"/>
      <c r="I422" s="631"/>
      <c r="J422" s="631"/>
      <c r="K422" s="631"/>
      <c r="L422" s="631"/>
      <c r="M422" s="631"/>
      <c r="N422" s="631"/>
      <c r="O422" s="631"/>
      <c r="P422" s="631"/>
      <c r="Q422" s="631"/>
      <c r="R422" s="631"/>
      <c r="S422" s="631"/>
      <c r="T422" s="631"/>
      <c r="U422" s="631"/>
      <c r="V422" s="631"/>
      <c r="W422" s="631"/>
      <c r="X422" s="631"/>
      <c r="Y422" s="631"/>
      <c r="Z422" s="631"/>
    </row>
    <row r="423" spans="1:26">
      <c r="A423" s="636" t="s">
        <v>3648</v>
      </c>
      <c r="B423" s="631"/>
      <c r="C423" s="631"/>
      <c r="D423" s="631"/>
      <c r="E423" s="631"/>
      <c r="F423" s="631"/>
      <c r="G423" s="631"/>
      <c r="H423" s="652"/>
      <c r="I423" s="631"/>
      <c r="J423" s="631"/>
      <c r="K423" s="631"/>
      <c r="L423" s="631"/>
      <c r="M423" s="631"/>
      <c r="N423" s="631"/>
      <c r="O423" s="631"/>
      <c r="P423" s="631"/>
      <c r="Q423" s="631"/>
      <c r="R423" s="631"/>
      <c r="S423" s="631"/>
      <c r="T423" s="631"/>
      <c r="U423" s="631"/>
      <c r="V423" s="631"/>
      <c r="W423" s="631"/>
      <c r="X423" s="631"/>
      <c r="Y423" s="631"/>
      <c r="Z423" s="631"/>
    </row>
    <row r="424" spans="1:26">
      <c r="A424" s="636" t="s">
        <v>3648</v>
      </c>
      <c r="B424" s="631"/>
      <c r="C424" s="631"/>
      <c r="D424" s="631"/>
      <c r="E424" s="631"/>
      <c r="F424" s="631"/>
      <c r="G424" s="631"/>
      <c r="H424" s="652"/>
      <c r="I424" s="631"/>
      <c r="J424" s="631"/>
      <c r="K424" s="631"/>
      <c r="L424" s="631"/>
      <c r="M424" s="631"/>
      <c r="N424" s="631"/>
      <c r="O424" s="631"/>
      <c r="P424" s="631"/>
      <c r="Q424" s="631"/>
      <c r="R424" s="631"/>
      <c r="S424" s="631"/>
      <c r="T424" s="631"/>
      <c r="U424" s="631"/>
      <c r="V424" s="631"/>
      <c r="W424" s="631"/>
      <c r="X424" s="631"/>
      <c r="Y424" s="631"/>
      <c r="Z424" s="631"/>
    </row>
    <row r="425" spans="1:26">
      <c r="A425" s="636" t="s">
        <v>3648</v>
      </c>
      <c r="B425" s="631"/>
      <c r="C425" s="631"/>
      <c r="D425" s="631"/>
      <c r="E425" s="631"/>
      <c r="F425" s="631"/>
      <c r="G425" s="631"/>
      <c r="H425" s="652"/>
      <c r="I425" s="631"/>
      <c r="J425" s="631"/>
      <c r="K425" s="631"/>
      <c r="L425" s="631"/>
      <c r="M425" s="631"/>
      <c r="N425" s="631"/>
      <c r="O425" s="631"/>
      <c r="P425" s="631"/>
      <c r="Q425" s="631"/>
      <c r="R425" s="631"/>
      <c r="S425" s="631"/>
      <c r="T425" s="631"/>
      <c r="U425" s="631"/>
      <c r="V425" s="631"/>
      <c r="W425" s="631"/>
      <c r="X425" s="631"/>
      <c r="Y425" s="631"/>
      <c r="Z425" s="631"/>
    </row>
    <row r="426" spans="1:26">
      <c r="A426" s="636" t="s">
        <v>3648</v>
      </c>
      <c r="B426" s="631"/>
      <c r="C426" s="631"/>
      <c r="D426" s="631"/>
      <c r="E426" s="631"/>
      <c r="F426" s="631"/>
      <c r="G426" s="631"/>
      <c r="H426" s="652"/>
      <c r="I426" s="631"/>
      <c r="J426" s="631"/>
      <c r="K426" s="631"/>
      <c r="L426" s="631"/>
      <c r="M426" s="631"/>
      <c r="N426" s="631"/>
      <c r="O426" s="631"/>
      <c r="P426" s="631"/>
      <c r="Q426" s="631"/>
      <c r="R426" s="631"/>
      <c r="S426" s="631"/>
      <c r="T426" s="631"/>
      <c r="U426" s="631"/>
      <c r="V426" s="631"/>
      <c r="W426" s="631"/>
      <c r="X426" s="631"/>
      <c r="Y426" s="631"/>
      <c r="Z426" s="631"/>
    </row>
    <row r="427" spans="1:26">
      <c r="A427" s="636" t="s">
        <v>3648</v>
      </c>
      <c r="B427" s="631"/>
      <c r="C427" s="631"/>
      <c r="D427" s="631"/>
      <c r="E427" s="631"/>
      <c r="F427" s="631"/>
      <c r="G427" s="631"/>
      <c r="H427" s="652"/>
      <c r="I427" s="631"/>
      <c r="J427" s="631"/>
      <c r="K427" s="631"/>
      <c r="L427" s="631"/>
      <c r="M427" s="631"/>
      <c r="N427" s="631"/>
      <c r="O427" s="631"/>
      <c r="P427" s="631"/>
      <c r="Q427" s="631"/>
      <c r="R427" s="631"/>
      <c r="S427" s="631"/>
      <c r="T427" s="631"/>
      <c r="U427" s="631"/>
      <c r="V427" s="631"/>
      <c r="W427" s="631"/>
      <c r="X427" s="631"/>
      <c r="Y427" s="631"/>
      <c r="Z427" s="631"/>
    </row>
    <row r="428" spans="1:26">
      <c r="A428" s="636" t="s">
        <v>3648</v>
      </c>
      <c r="B428" s="631"/>
      <c r="C428" s="631"/>
      <c r="D428" s="631"/>
      <c r="E428" s="631"/>
      <c r="F428" s="631"/>
      <c r="G428" s="631"/>
      <c r="H428" s="652"/>
      <c r="I428" s="631"/>
      <c r="J428" s="631"/>
      <c r="K428" s="631"/>
      <c r="L428" s="631"/>
      <c r="M428" s="631"/>
      <c r="N428" s="631"/>
      <c r="O428" s="631"/>
      <c r="P428" s="631"/>
      <c r="Q428" s="631"/>
      <c r="R428" s="631"/>
      <c r="S428" s="631"/>
      <c r="T428" s="631"/>
      <c r="U428" s="631"/>
      <c r="V428" s="631"/>
      <c r="W428" s="631"/>
      <c r="X428" s="631"/>
      <c r="Y428" s="631"/>
      <c r="Z428" s="631"/>
    </row>
    <row r="429" spans="1:26">
      <c r="A429" s="636" t="s">
        <v>3648</v>
      </c>
      <c r="B429" s="631"/>
      <c r="C429" s="631"/>
      <c r="D429" s="631"/>
      <c r="E429" s="631"/>
      <c r="F429" s="631"/>
      <c r="G429" s="631"/>
      <c r="H429" s="652"/>
      <c r="I429" s="631"/>
      <c r="J429" s="631"/>
      <c r="K429" s="631"/>
      <c r="L429" s="631"/>
      <c r="M429" s="631"/>
      <c r="N429" s="631"/>
      <c r="O429" s="631"/>
      <c r="P429" s="631"/>
      <c r="Q429" s="631"/>
      <c r="R429" s="631"/>
      <c r="S429" s="631"/>
      <c r="T429" s="631"/>
      <c r="U429" s="631"/>
      <c r="V429" s="631"/>
      <c r="W429" s="631"/>
      <c r="X429" s="631"/>
      <c r="Y429" s="631"/>
      <c r="Z429" s="631"/>
    </row>
    <row r="430" spans="1:26">
      <c r="A430" s="636" t="s">
        <v>3648</v>
      </c>
      <c r="B430" s="631"/>
      <c r="C430" s="631"/>
      <c r="D430" s="631"/>
      <c r="E430" s="631"/>
      <c r="F430" s="631"/>
      <c r="G430" s="631"/>
      <c r="H430" s="652"/>
      <c r="I430" s="631"/>
      <c r="J430" s="631"/>
      <c r="K430" s="631"/>
      <c r="L430" s="631"/>
      <c r="M430" s="631"/>
      <c r="N430" s="631"/>
      <c r="O430" s="631"/>
      <c r="P430" s="631"/>
      <c r="Q430" s="631"/>
      <c r="R430" s="631"/>
      <c r="S430" s="631"/>
      <c r="T430" s="631"/>
      <c r="U430" s="631"/>
      <c r="V430" s="631"/>
      <c r="W430" s="631"/>
      <c r="X430" s="631"/>
      <c r="Y430" s="631"/>
      <c r="Z430" s="631"/>
    </row>
    <row r="431" spans="1:26">
      <c r="A431" s="636" t="s">
        <v>3648</v>
      </c>
      <c r="B431" s="631"/>
      <c r="C431" s="631"/>
      <c r="D431" s="631"/>
      <c r="E431" s="631"/>
      <c r="F431" s="631"/>
      <c r="G431" s="631"/>
      <c r="H431" s="652"/>
      <c r="I431" s="631"/>
      <c r="J431" s="631"/>
      <c r="K431" s="631"/>
      <c r="L431" s="631"/>
      <c r="M431" s="631"/>
      <c r="N431" s="631"/>
      <c r="O431" s="631"/>
      <c r="P431" s="631"/>
      <c r="Q431" s="631"/>
      <c r="R431" s="631"/>
      <c r="S431" s="631"/>
      <c r="T431" s="631"/>
      <c r="U431" s="631"/>
      <c r="V431" s="631"/>
      <c r="W431" s="631"/>
      <c r="X431" s="631"/>
      <c r="Y431" s="631"/>
      <c r="Z431" s="631"/>
    </row>
    <row r="432" spans="1:26">
      <c r="A432" s="636" t="s">
        <v>3648</v>
      </c>
      <c r="B432" s="631"/>
      <c r="C432" s="631"/>
      <c r="D432" s="631"/>
      <c r="E432" s="631"/>
      <c r="F432" s="631"/>
      <c r="G432" s="631"/>
      <c r="H432" s="652"/>
      <c r="I432" s="631"/>
      <c r="J432" s="631"/>
      <c r="K432" s="631"/>
      <c r="L432" s="631"/>
      <c r="M432" s="631"/>
      <c r="N432" s="631"/>
      <c r="O432" s="631"/>
      <c r="P432" s="631"/>
      <c r="Q432" s="631"/>
      <c r="R432" s="631"/>
      <c r="S432" s="631"/>
      <c r="T432" s="631"/>
      <c r="U432" s="631"/>
      <c r="V432" s="631"/>
      <c r="W432" s="631"/>
      <c r="X432" s="631"/>
      <c r="Y432" s="631"/>
      <c r="Z432" s="631"/>
    </row>
    <row r="433" spans="1:26">
      <c r="A433" s="636" t="s">
        <v>3648</v>
      </c>
      <c r="B433" s="631"/>
      <c r="C433" s="631"/>
      <c r="D433" s="631"/>
      <c r="E433" s="631"/>
      <c r="F433" s="631"/>
      <c r="G433" s="631"/>
      <c r="H433" s="652"/>
      <c r="I433" s="631"/>
      <c r="J433" s="631"/>
      <c r="K433" s="631"/>
      <c r="L433" s="631"/>
      <c r="M433" s="631"/>
      <c r="N433" s="631"/>
      <c r="O433" s="631"/>
      <c r="P433" s="631"/>
      <c r="Q433" s="631"/>
      <c r="R433" s="631"/>
      <c r="S433" s="631"/>
      <c r="T433" s="631"/>
      <c r="U433" s="631"/>
      <c r="V433" s="631"/>
      <c r="W433" s="631"/>
      <c r="X433" s="631"/>
      <c r="Y433" s="631"/>
      <c r="Z433" s="631"/>
    </row>
    <row r="434" spans="1:26">
      <c r="A434" s="636" t="s">
        <v>3648</v>
      </c>
      <c r="B434" s="631"/>
      <c r="C434" s="631"/>
      <c r="D434" s="631"/>
      <c r="E434" s="631"/>
      <c r="F434" s="631"/>
      <c r="G434" s="631"/>
      <c r="H434" s="652"/>
      <c r="I434" s="631"/>
      <c r="J434" s="631"/>
      <c r="K434" s="631"/>
      <c r="L434" s="631"/>
      <c r="M434" s="631"/>
      <c r="N434" s="631"/>
      <c r="O434" s="631"/>
      <c r="P434" s="631"/>
      <c r="Q434" s="631"/>
      <c r="R434" s="631"/>
      <c r="S434" s="631"/>
      <c r="T434" s="631"/>
      <c r="U434" s="631"/>
      <c r="V434" s="631"/>
      <c r="W434" s="631"/>
      <c r="X434" s="631"/>
      <c r="Y434" s="631"/>
      <c r="Z434" s="631"/>
    </row>
    <row r="435" spans="1:26">
      <c r="A435" s="636" t="s">
        <v>3648</v>
      </c>
      <c r="B435" s="631"/>
      <c r="C435" s="631"/>
      <c r="D435" s="631"/>
      <c r="E435" s="631"/>
      <c r="F435" s="631"/>
      <c r="G435" s="631"/>
      <c r="H435" s="652"/>
      <c r="I435" s="631"/>
      <c r="J435" s="631"/>
      <c r="K435" s="631"/>
      <c r="L435" s="631"/>
      <c r="M435" s="631"/>
      <c r="N435" s="631"/>
      <c r="O435" s="631"/>
      <c r="P435" s="631"/>
      <c r="Q435" s="631"/>
      <c r="R435" s="631"/>
      <c r="S435" s="631"/>
      <c r="T435" s="631"/>
      <c r="U435" s="631"/>
      <c r="V435" s="631"/>
      <c r="W435" s="631"/>
      <c r="X435" s="631"/>
      <c r="Y435" s="631"/>
      <c r="Z435" s="631"/>
    </row>
    <row r="436" spans="1:26">
      <c r="A436" s="636" t="s">
        <v>3648</v>
      </c>
      <c r="B436" s="631"/>
      <c r="C436" s="631"/>
      <c r="D436" s="631"/>
      <c r="E436" s="631"/>
      <c r="F436" s="631"/>
      <c r="G436" s="631"/>
      <c r="H436" s="652"/>
      <c r="I436" s="631"/>
      <c r="J436" s="631"/>
      <c r="K436" s="631"/>
      <c r="L436" s="631"/>
      <c r="M436" s="631"/>
      <c r="N436" s="631"/>
      <c r="O436" s="631"/>
      <c r="P436" s="631"/>
      <c r="Q436" s="631"/>
      <c r="R436" s="631"/>
      <c r="S436" s="631"/>
      <c r="T436" s="631"/>
      <c r="U436" s="631"/>
      <c r="V436" s="631"/>
      <c r="W436" s="631"/>
      <c r="X436" s="631"/>
      <c r="Y436" s="631"/>
      <c r="Z436" s="631"/>
    </row>
    <row r="437" spans="1:26">
      <c r="A437" s="636" t="s">
        <v>3648</v>
      </c>
      <c r="B437" s="631"/>
      <c r="C437" s="631"/>
      <c r="D437" s="631"/>
      <c r="E437" s="631"/>
      <c r="F437" s="631"/>
      <c r="G437" s="631"/>
      <c r="H437" s="652"/>
      <c r="I437" s="631"/>
      <c r="J437" s="631"/>
      <c r="K437" s="631"/>
      <c r="L437" s="631"/>
      <c r="M437" s="631"/>
      <c r="N437" s="631"/>
      <c r="O437" s="631"/>
      <c r="P437" s="631"/>
      <c r="Q437" s="631"/>
      <c r="R437" s="631"/>
      <c r="S437" s="631"/>
      <c r="T437" s="631"/>
      <c r="U437" s="631"/>
      <c r="V437" s="631"/>
      <c r="W437" s="631"/>
      <c r="X437" s="631"/>
      <c r="Y437" s="631"/>
      <c r="Z437" s="631"/>
    </row>
    <row r="438" spans="1:26">
      <c r="A438" s="636" t="s">
        <v>3648</v>
      </c>
      <c r="B438" s="631"/>
      <c r="C438" s="631"/>
      <c r="D438" s="631"/>
      <c r="E438" s="631"/>
      <c r="F438" s="631"/>
      <c r="G438" s="631"/>
      <c r="H438" s="652"/>
      <c r="I438" s="631"/>
      <c r="J438" s="631"/>
      <c r="K438" s="631"/>
      <c r="L438" s="631"/>
      <c r="M438" s="631"/>
      <c r="N438" s="631"/>
      <c r="O438" s="631"/>
      <c r="P438" s="631"/>
      <c r="Q438" s="631"/>
      <c r="R438" s="631"/>
      <c r="S438" s="631"/>
      <c r="T438" s="631"/>
      <c r="U438" s="631"/>
      <c r="V438" s="631"/>
      <c r="W438" s="631"/>
      <c r="X438" s="631"/>
      <c r="Y438" s="631"/>
      <c r="Z438" s="631"/>
    </row>
    <row r="439" spans="1:26">
      <c r="A439" s="636" t="s">
        <v>3648</v>
      </c>
      <c r="B439" s="631"/>
      <c r="C439" s="631"/>
      <c r="D439" s="631"/>
      <c r="E439" s="631"/>
      <c r="F439" s="631"/>
      <c r="G439" s="631"/>
      <c r="H439" s="652"/>
      <c r="I439" s="631"/>
      <c r="J439" s="631"/>
      <c r="K439" s="631"/>
      <c r="L439" s="631"/>
      <c r="M439" s="631"/>
      <c r="N439" s="631"/>
      <c r="O439" s="631"/>
      <c r="P439" s="631"/>
      <c r="Q439" s="631"/>
      <c r="R439" s="631"/>
      <c r="S439" s="631"/>
      <c r="T439" s="631"/>
      <c r="U439" s="631"/>
      <c r="V439" s="631"/>
      <c r="W439" s="631"/>
      <c r="X439" s="631"/>
      <c r="Y439" s="631"/>
      <c r="Z439" s="631"/>
    </row>
    <row r="440" spans="1:26">
      <c r="A440" s="636" t="s">
        <v>3648</v>
      </c>
      <c r="B440" s="631"/>
      <c r="C440" s="631"/>
      <c r="D440" s="631"/>
      <c r="E440" s="631"/>
      <c r="F440" s="631"/>
      <c r="G440" s="631"/>
      <c r="H440" s="652"/>
      <c r="I440" s="631"/>
      <c r="J440" s="631"/>
      <c r="K440" s="631"/>
      <c r="L440" s="631"/>
      <c r="M440" s="631"/>
      <c r="N440" s="631"/>
      <c r="O440" s="631"/>
      <c r="P440" s="631"/>
      <c r="Q440" s="631"/>
      <c r="R440" s="631"/>
      <c r="S440" s="631"/>
      <c r="T440" s="631"/>
      <c r="U440" s="631"/>
      <c r="V440" s="631"/>
      <c r="W440" s="631"/>
      <c r="X440" s="631"/>
      <c r="Y440" s="631"/>
      <c r="Z440" s="631"/>
    </row>
    <row r="441" spans="1:26">
      <c r="A441" s="636" t="s">
        <v>3648</v>
      </c>
      <c r="B441" s="631"/>
      <c r="C441" s="631"/>
      <c r="D441" s="631"/>
      <c r="E441" s="631"/>
      <c r="F441" s="631"/>
      <c r="G441" s="631"/>
      <c r="H441" s="652"/>
      <c r="I441" s="631"/>
      <c r="J441" s="631"/>
      <c r="K441" s="631"/>
      <c r="L441" s="631"/>
      <c r="M441" s="631"/>
      <c r="N441" s="631"/>
      <c r="O441" s="631"/>
      <c r="P441" s="631"/>
      <c r="Q441" s="631"/>
      <c r="R441" s="631"/>
      <c r="S441" s="631"/>
      <c r="T441" s="631"/>
      <c r="U441" s="631"/>
      <c r="V441" s="631"/>
      <c r="W441" s="631"/>
      <c r="X441" s="631"/>
      <c r="Y441" s="631"/>
      <c r="Z441" s="631"/>
    </row>
    <row r="442" spans="1:26">
      <c r="A442" s="636" t="s">
        <v>3648</v>
      </c>
      <c r="B442" s="631"/>
      <c r="C442" s="631"/>
      <c r="D442" s="631"/>
      <c r="E442" s="631"/>
      <c r="F442" s="631"/>
      <c r="G442" s="631"/>
      <c r="H442" s="652"/>
      <c r="I442" s="631"/>
      <c r="J442" s="631"/>
      <c r="K442" s="631"/>
      <c r="L442" s="631"/>
      <c r="M442" s="631"/>
      <c r="N442" s="631"/>
      <c r="O442" s="631"/>
      <c r="P442" s="631"/>
      <c r="Q442" s="631"/>
      <c r="R442" s="631"/>
      <c r="S442" s="631"/>
      <c r="T442" s="631"/>
      <c r="U442" s="631"/>
      <c r="V442" s="631"/>
      <c r="W442" s="631"/>
      <c r="X442" s="631"/>
      <c r="Y442" s="631"/>
      <c r="Z442" s="631"/>
    </row>
    <row r="443" spans="1:26">
      <c r="A443" s="636" t="s">
        <v>3648</v>
      </c>
      <c r="B443" s="631"/>
      <c r="C443" s="631"/>
      <c r="D443" s="631"/>
      <c r="E443" s="631"/>
      <c r="F443" s="631"/>
      <c r="G443" s="631"/>
      <c r="H443" s="652"/>
      <c r="I443" s="631"/>
      <c r="J443" s="631"/>
      <c r="K443" s="631"/>
      <c r="L443" s="631"/>
      <c r="M443" s="631"/>
      <c r="N443" s="631"/>
      <c r="O443" s="631"/>
      <c r="P443" s="631"/>
      <c r="Q443" s="631"/>
      <c r="R443" s="631"/>
      <c r="S443" s="631"/>
      <c r="T443" s="631"/>
      <c r="U443" s="631"/>
      <c r="V443" s="631"/>
      <c r="W443" s="631"/>
      <c r="X443" s="631"/>
      <c r="Y443" s="631"/>
      <c r="Z443" s="631"/>
    </row>
    <row r="444" spans="1:26">
      <c r="A444" s="636" t="s">
        <v>3648</v>
      </c>
      <c r="B444" s="631"/>
      <c r="C444" s="631"/>
      <c r="D444" s="631"/>
      <c r="E444" s="631"/>
      <c r="F444" s="631"/>
      <c r="G444" s="631"/>
      <c r="H444" s="652"/>
      <c r="I444" s="631"/>
      <c r="J444" s="631"/>
      <c r="K444" s="631"/>
      <c r="L444" s="631"/>
      <c r="M444" s="631"/>
      <c r="N444" s="631"/>
      <c r="O444" s="631"/>
      <c r="P444" s="631"/>
      <c r="Q444" s="631"/>
      <c r="R444" s="631"/>
      <c r="S444" s="631"/>
      <c r="T444" s="631"/>
      <c r="U444" s="631"/>
      <c r="V444" s="631"/>
      <c r="W444" s="631"/>
      <c r="X444" s="631"/>
      <c r="Y444" s="631"/>
      <c r="Z444" s="631"/>
    </row>
    <row r="445" spans="1:26">
      <c r="A445" s="636" t="s">
        <v>3648</v>
      </c>
      <c r="B445" s="631"/>
      <c r="C445" s="631"/>
      <c r="D445" s="631"/>
      <c r="E445" s="631"/>
      <c r="F445" s="631"/>
      <c r="G445" s="631"/>
      <c r="H445" s="652"/>
      <c r="I445" s="631"/>
      <c r="J445" s="631"/>
      <c r="K445" s="631"/>
      <c r="L445" s="631"/>
      <c r="M445" s="631"/>
      <c r="N445" s="631"/>
      <c r="O445" s="631"/>
      <c r="P445" s="631"/>
      <c r="Q445" s="631"/>
      <c r="R445" s="631"/>
      <c r="S445" s="631"/>
      <c r="T445" s="631"/>
      <c r="U445" s="631"/>
      <c r="V445" s="631"/>
      <c r="W445" s="631"/>
      <c r="X445" s="631"/>
      <c r="Y445" s="631"/>
      <c r="Z445" s="631"/>
    </row>
    <row r="446" spans="1:26">
      <c r="A446" s="636" t="s">
        <v>3648</v>
      </c>
      <c r="B446" s="631"/>
      <c r="C446" s="631"/>
      <c r="D446" s="631"/>
      <c r="E446" s="631"/>
      <c r="F446" s="631"/>
      <c r="G446" s="631"/>
      <c r="H446" s="652"/>
      <c r="I446" s="631"/>
      <c r="J446" s="631"/>
      <c r="K446" s="631"/>
      <c r="L446" s="631"/>
      <c r="M446" s="631"/>
      <c r="N446" s="631"/>
      <c r="O446" s="631"/>
      <c r="P446" s="631"/>
      <c r="Q446" s="631"/>
      <c r="R446" s="631"/>
      <c r="S446" s="631"/>
      <c r="T446" s="631"/>
      <c r="U446" s="631"/>
      <c r="V446" s="631"/>
      <c r="W446" s="631"/>
      <c r="X446" s="631"/>
      <c r="Y446" s="631"/>
      <c r="Z446" s="631"/>
    </row>
    <row r="447" spans="1:26">
      <c r="A447" s="636" t="s">
        <v>3648</v>
      </c>
      <c r="B447" s="631"/>
      <c r="C447" s="631"/>
      <c r="D447" s="631"/>
      <c r="E447" s="631"/>
      <c r="F447" s="631"/>
      <c r="G447" s="631"/>
      <c r="H447" s="652"/>
      <c r="I447" s="631"/>
      <c r="J447" s="631"/>
      <c r="K447" s="631"/>
      <c r="L447" s="631"/>
      <c r="M447" s="631"/>
      <c r="N447" s="631"/>
      <c r="O447" s="631"/>
      <c r="P447" s="631"/>
      <c r="Q447" s="631"/>
      <c r="R447" s="631"/>
      <c r="S447" s="631"/>
      <c r="T447" s="631"/>
      <c r="U447" s="631"/>
      <c r="V447" s="631"/>
      <c r="W447" s="631"/>
      <c r="X447" s="631"/>
      <c r="Y447" s="631"/>
      <c r="Z447" s="631"/>
    </row>
    <row r="448" spans="1:26">
      <c r="A448" s="636" t="s">
        <v>3648</v>
      </c>
      <c r="B448" s="631"/>
      <c r="C448" s="631"/>
      <c r="D448" s="631"/>
      <c r="E448" s="631"/>
      <c r="F448" s="631"/>
      <c r="G448" s="631"/>
      <c r="H448" s="652"/>
      <c r="I448" s="631"/>
      <c r="J448" s="631"/>
      <c r="K448" s="631"/>
      <c r="L448" s="631"/>
      <c r="M448" s="631"/>
      <c r="N448" s="631"/>
      <c r="O448" s="631"/>
      <c r="P448" s="631"/>
      <c r="Q448" s="631"/>
      <c r="R448" s="631"/>
      <c r="S448" s="631"/>
      <c r="T448" s="631"/>
      <c r="U448" s="631"/>
      <c r="V448" s="631"/>
      <c r="W448" s="631"/>
      <c r="X448" s="631"/>
      <c r="Y448" s="631"/>
      <c r="Z448" s="631"/>
    </row>
    <row r="449" spans="1:26">
      <c r="A449" s="636" t="s">
        <v>3648</v>
      </c>
      <c r="B449" s="631"/>
      <c r="C449" s="631"/>
      <c r="D449" s="631"/>
      <c r="E449" s="631"/>
      <c r="F449" s="631"/>
      <c r="G449" s="631"/>
      <c r="H449" s="652"/>
      <c r="I449" s="631"/>
      <c r="J449" s="631"/>
      <c r="K449" s="631"/>
      <c r="L449" s="631"/>
      <c r="M449" s="631"/>
      <c r="N449" s="631"/>
      <c r="O449" s="631"/>
      <c r="P449" s="631"/>
      <c r="Q449" s="631"/>
      <c r="R449" s="631"/>
      <c r="S449" s="631"/>
      <c r="T449" s="631"/>
      <c r="U449" s="631"/>
      <c r="V449" s="631"/>
      <c r="W449" s="631"/>
      <c r="X449" s="631"/>
      <c r="Y449" s="631"/>
      <c r="Z449" s="631"/>
    </row>
    <row r="450" spans="1:26">
      <c r="A450" s="636" t="s">
        <v>3648</v>
      </c>
      <c r="B450" s="631"/>
      <c r="C450" s="631"/>
      <c r="D450" s="631"/>
      <c r="E450" s="631"/>
      <c r="F450" s="631"/>
      <c r="G450" s="631"/>
      <c r="H450" s="652"/>
      <c r="I450" s="631"/>
      <c r="J450" s="631"/>
      <c r="K450" s="631"/>
      <c r="L450" s="631"/>
      <c r="M450" s="631"/>
      <c r="N450" s="631"/>
      <c r="O450" s="631"/>
      <c r="P450" s="631"/>
      <c r="Q450" s="631"/>
      <c r="R450" s="631"/>
      <c r="S450" s="631"/>
      <c r="T450" s="631"/>
      <c r="U450" s="631"/>
      <c r="V450" s="631"/>
      <c r="W450" s="631"/>
      <c r="X450" s="631"/>
      <c r="Y450" s="631"/>
      <c r="Z450" s="631"/>
    </row>
    <row r="451" spans="1:26">
      <c r="A451" s="636" t="s">
        <v>3648</v>
      </c>
      <c r="B451" s="631"/>
      <c r="C451" s="631"/>
      <c r="D451" s="631"/>
      <c r="E451" s="631"/>
      <c r="F451" s="631"/>
      <c r="G451" s="631"/>
      <c r="H451" s="652"/>
      <c r="I451" s="631"/>
      <c r="J451" s="631"/>
      <c r="K451" s="631"/>
      <c r="L451" s="631"/>
      <c r="M451" s="631"/>
      <c r="N451" s="631"/>
      <c r="O451" s="631"/>
      <c r="P451" s="631"/>
      <c r="Q451" s="631"/>
      <c r="R451" s="631"/>
      <c r="S451" s="631"/>
      <c r="T451" s="631"/>
      <c r="U451" s="631"/>
      <c r="V451" s="631"/>
      <c r="W451" s="631"/>
      <c r="X451" s="631"/>
      <c r="Y451" s="631"/>
      <c r="Z451" s="631"/>
    </row>
    <row r="452" spans="1:26">
      <c r="A452" s="636" t="s">
        <v>3648</v>
      </c>
      <c r="B452" s="631"/>
      <c r="C452" s="631"/>
      <c r="D452" s="631"/>
      <c r="E452" s="631"/>
      <c r="F452" s="631"/>
      <c r="G452" s="631"/>
      <c r="H452" s="652"/>
      <c r="I452" s="631"/>
      <c r="J452" s="631"/>
      <c r="K452" s="631"/>
      <c r="L452" s="631"/>
      <c r="M452" s="631"/>
      <c r="N452" s="631"/>
      <c r="O452" s="631"/>
      <c r="P452" s="631"/>
      <c r="Q452" s="631"/>
      <c r="R452" s="631"/>
      <c r="S452" s="631"/>
      <c r="T452" s="631"/>
      <c r="U452" s="631"/>
      <c r="V452" s="631"/>
      <c r="W452" s="631"/>
      <c r="X452" s="631"/>
      <c r="Y452" s="631"/>
      <c r="Z452" s="631"/>
    </row>
    <row r="453" spans="1:26">
      <c r="A453" s="636" t="s">
        <v>3648</v>
      </c>
      <c r="B453" s="631"/>
      <c r="C453" s="631"/>
      <c r="D453" s="631"/>
      <c r="E453" s="631"/>
      <c r="F453" s="631"/>
      <c r="G453" s="631"/>
      <c r="H453" s="652"/>
      <c r="I453" s="631"/>
      <c r="J453" s="631"/>
      <c r="K453" s="631"/>
      <c r="L453" s="631"/>
      <c r="M453" s="631"/>
      <c r="N453" s="631"/>
      <c r="O453" s="631"/>
      <c r="P453" s="631"/>
      <c r="Q453" s="631"/>
      <c r="R453" s="631"/>
      <c r="S453" s="631"/>
      <c r="T453" s="631"/>
      <c r="U453" s="631"/>
      <c r="V453" s="631"/>
      <c r="W453" s="631"/>
      <c r="X453" s="631"/>
      <c r="Y453" s="631"/>
      <c r="Z453" s="631"/>
    </row>
    <row r="454" spans="1:26">
      <c r="A454" s="636" t="s">
        <v>3648</v>
      </c>
      <c r="B454" s="631"/>
      <c r="C454" s="631"/>
      <c r="D454" s="631"/>
      <c r="E454" s="631"/>
      <c r="F454" s="631"/>
      <c r="G454" s="631"/>
      <c r="H454" s="652"/>
      <c r="I454" s="631"/>
      <c r="J454" s="631"/>
      <c r="K454" s="631"/>
      <c r="L454" s="631"/>
      <c r="M454" s="631"/>
      <c r="N454" s="631"/>
      <c r="O454" s="631"/>
      <c r="P454" s="631"/>
      <c r="Q454" s="631"/>
      <c r="R454" s="631"/>
      <c r="S454" s="631"/>
      <c r="T454" s="631"/>
      <c r="U454" s="631"/>
      <c r="V454" s="631"/>
      <c r="W454" s="631"/>
      <c r="X454" s="631"/>
      <c r="Y454" s="631"/>
      <c r="Z454" s="631"/>
    </row>
    <row r="455" spans="1:26">
      <c r="A455" s="636" t="s">
        <v>3648</v>
      </c>
      <c r="B455" s="631"/>
      <c r="C455" s="631"/>
      <c r="D455" s="631"/>
      <c r="E455" s="631"/>
      <c r="F455" s="631"/>
      <c r="G455" s="631"/>
      <c r="H455" s="652"/>
      <c r="I455" s="631"/>
      <c r="J455" s="631"/>
      <c r="K455" s="631"/>
      <c r="L455" s="631"/>
      <c r="M455" s="631"/>
      <c r="N455" s="631"/>
      <c r="O455" s="631"/>
      <c r="P455" s="631"/>
      <c r="Q455" s="631"/>
      <c r="R455" s="631"/>
      <c r="S455" s="631"/>
      <c r="T455" s="631"/>
      <c r="U455" s="631"/>
      <c r="V455" s="631"/>
      <c r="W455" s="631"/>
      <c r="X455" s="631"/>
      <c r="Y455" s="631"/>
      <c r="Z455" s="631"/>
    </row>
    <row r="456" spans="1:26">
      <c r="A456" s="636" t="s">
        <v>3648</v>
      </c>
      <c r="B456" s="631"/>
      <c r="C456" s="631"/>
      <c r="D456" s="631"/>
      <c r="E456" s="631"/>
      <c r="F456" s="631"/>
      <c r="G456" s="631"/>
      <c r="H456" s="652"/>
      <c r="I456" s="631"/>
      <c r="J456" s="631"/>
      <c r="K456" s="631"/>
      <c r="L456" s="631"/>
      <c r="M456" s="631"/>
      <c r="N456" s="631"/>
      <c r="O456" s="631"/>
      <c r="P456" s="631"/>
      <c r="Q456" s="631"/>
      <c r="R456" s="631"/>
      <c r="S456" s="631"/>
      <c r="T456" s="631"/>
      <c r="U456" s="631"/>
      <c r="V456" s="631"/>
      <c r="W456" s="631"/>
      <c r="X456" s="631"/>
      <c r="Y456" s="631"/>
      <c r="Z456" s="631"/>
    </row>
    <row r="457" spans="1:26">
      <c r="A457" s="636" t="s">
        <v>3648</v>
      </c>
      <c r="B457" s="631"/>
      <c r="C457" s="631"/>
      <c r="D457" s="631"/>
      <c r="E457" s="631"/>
      <c r="F457" s="631"/>
      <c r="G457" s="631"/>
      <c r="H457" s="652"/>
      <c r="I457" s="631"/>
      <c r="J457" s="631"/>
      <c r="K457" s="631"/>
      <c r="L457" s="631"/>
      <c r="M457" s="631"/>
      <c r="N457" s="631"/>
      <c r="O457" s="631"/>
      <c r="P457" s="631"/>
      <c r="Q457" s="631"/>
      <c r="R457" s="631"/>
      <c r="S457" s="631"/>
      <c r="T457" s="631"/>
      <c r="U457" s="631"/>
      <c r="V457" s="631"/>
      <c r="W457" s="631"/>
      <c r="X457" s="631"/>
      <c r="Y457" s="631"/>
      <c r="Z457" s="631"/>
    </row>
    <row r="458" spans="1:26">
      <c r="A458" s="636" t="s">
        <v>3648</v>
      </c>
      <c r="B458" s="631"/>
      <c r="C458" s="631"/>
      <c r="D458" s="631"/>
      <c r="E458" s="631"/>
      <c r="F458" s="631"/>
      <c r="G458" s="631"/>
      <c r="H458" s="652"/>
      <c r="I458" s="631"/>
      <c r="J458" s="631"/>
      <c r="K458" s="631"/>
      <c r="L458" s="631"/>
      <c r="M458" s="631"/>
      <c r="N458" s="631"/>
      <c r="O458" s="631"/>
      <c r="P458" s="631"/>
      <c r="Q458" s="631"/>
      <c r="R458" s="631"/>
      <c r="S458" s="631"/>
      <c r="T458" s="631"/>
      <c r="U458" s="631"/>
      <c r="V458" s="631"/>
      <c r="W458" s="631"/>
      <c r="X458" s="631"/>
      <c r="Y458" s="631"/>
      <c r="Z458" s="631"/>
    </row>
    <row r="459" spans="1:26">
      <c r="A459" s="636" t="s">
        <v>3648</v>
      </c>
      <c r="B459" s="631"/>
      <c r="C459" s="631"/>
      <c r="D459" s="631"/>
      <c r="E459" s="631"/>
      <c r="F459" s="631"/>
      <c r="G459" s="631"/>
      <c r="H459" s="652"/>
      <c r="I459" s="631"/>
      <c r="J459" s="631"/>
      <c r="K459" s="631"/>
      <c r="L459" s="631"/>
      <c r="M459" s="631"/>
      <c r="N459" s="631"/>
      <c r="O459" s="631"/>
      <c r="P459" s="631"/>
      <c r="Q459" s="631"/>
      <c r="R459" s="631"/>
      <c r="S459" s="631"/>
      <c r="T459" s="631"/>
      <c r="U459" s="631"/>
      <c r="V459" s="631"/>
      <c r="W459" s="631"/>
      <c r="X459" s="631"/>
      <c r="Y459" s="631"/>
      <c r="Z459" s="631"/>
    </row>
    <row r="460" spans="1:26">
      <c r="A460" s="636" t="s">
        <v>3648</v>
      </c>
      <c r="B460" s="631"/>
      <c r="C460" s="631"/>
      <c r="D460" s="631"/>
      <c r="E460" s="631"/>
      <c r="F460" s="631"/>
      <c r="G460" s="631"/>
      <c r="H460" s="652"/>
      <c r="I460" s="631"/>
      <c r="J460" s="631"/>
      <c r="K460" s="631"/>
      <c r="L460" s="631"/>
      <c r="M460" s="631"/>
      <c r="N460" s="631"/>
      <c r="O460" s="631"/>
      <c r="P460" s="631"/>
      <c r="Q460" s="631"/>
      <c r="R460" s="631"/>
      <c r="S460" s="631"/>
      <c r="T460" s="631"/>
      <c r="U460" s="631"/>
      <c r="V460" s="631"/>
      <c r="W460" s="631"/>
      <c r="X460" s="631"/>
      <c r="Y460" s="631"/>
      <c r="Z460" s="631"/>
    </row>
    <row r="461" spans="1:26">
      <c r="A461" s="636" t="s">
        <v>3648</v>
      </c>
      <c r="B461" s="631"/>
      <c r="C461" s="631"/>
      <c r="D461" s="631"/>
      <c r="E461" s="631"/>
      <c r="F461" s="631"/>
      <c r="G461" s="631"/>
      <c r="H461" s="652"/>
      <c r="I461" s="631"/>
      <c r="J461" s="631"/>
      <c r="K461" s="631"/>
      <c r="L461" s="631"/>
      <c r="M461" s="631"/>
      <c r="N461" s="631"/>
      <c r="O461" s="631"/>
      <c r="P461" s="631"/>
      <c r="Q461" s="631"/>
      <c r="R461" s="631"/>
      <c r="S461" s="631"/>
      <c r="T461" s="631"/>
      <c r="U461" s="631"/>
      <c r="V461" s="631"/>
      <c r="W461" s="631"/>
      <c r="X461" s="631"/>
      <c r="Y461" s="631"/>
      <c r="Z461" s="631"/>
    </row>
    <row r="462" spans="1:26">
      <c r="A462" s="636" t="s">
        <v>3648</v>
      </c>
      <c r="B462" s="631"/>
      <c r="C462" s="631"/>
      <c r="D462" s="631"/>
      <c r="E462" s="631"/>
      <c r="F462" s="631"/>
      <c r="G462" s="631"/>
      <c r="H462" s="652"/>
      <c r="I462" s="631"/>
      <c r="J462" s="631"/>
      <c r="K462" s="631"/>
      <c r="L462" s="631"/>
      <c r="M462" s="631"/>
      <c r="N462" s="631"/>
      <c r="O462" s="631"/>
      <c r="P462" s="631"/>
      <c r="Q462" s="631"/>
      <c r="R462" s="631"/>
      <c r="S462" s="631"/>
      <c r="T462" s="631"/>
      <c r="U462" s="631"/>
      <c r="V462" s="631"/>
      <c r="W462" s="631"/>
      <c r="X462" s="631"/>
      <c r="Y462" s="631"/>
      <c r="Z462" s="631"/>
    </row>
    <row r="463" spans="1:26">
      <c r="A463" s="636" t="s">
        <v>3648</v>
      </c>
      <c r="B463" s="631"/>
      <c r="C463" s="631"/>
      <c r="D463" s="631"/>
      <c r="E463" s="631"/>
      <c r="F463" s="631"/>
      <c r="G463" s="631"/>
      <c r="H463" s="652"/>
      <c r="I463" s="631"/>
      <c r="J463" s="631"/>
      <c r="K463" s="631"/>
      <c r="L463" s="631"/>
      <c r="M463" s="631"/>
      <c r="N463" s="631"/>
      <c r="O463" s="631"/>
      <c r="P463" s="631"/>
      <c r="Q463" s="631"/>
      <c r="R463" s="631"/>
      <c r="S463" s="631"/>
      <c r="T463" s="631"/>
      <c r="U463" s="631"/>
      <c r="V463" s="631"/>
      <c r="W463" s="631"/>
      <c r="X463" s="631"/>
      <c r="Y463" s="631"/>
      <c r="Z463" s="631"/>
    </row>
    <row r="464" spans="1:26">
      <c r="A464" s="636" t="s">
        <v>3648</v>
      </c>
      <c r="B464" s="631"/>
      <c r="C464" s="631"/>
      <c r="D464" s="631"/>
      <c r="E464" s="631"/>
      <c r="F464" s="631"/>
      <c r="G464" s="631"/>
      <c r="H464" s="652"/>
      <c r="I464" s="631"/>
      <c r="J464" s="631"/>
      <c r="K464" s="631"/>
      <c r="L464" s="631"/>
      <c r="M464" s="631"/>
      <c r="N464" s="631"/>
      <c r="O464" s="631"/>
      <c r="P464" s="631"/>
      <c r="Q464" s="631"/>
      <c r="R464" s="631"/>
      <c r="S464" s="631"/>
      <c r="T464" s="631"/>
      <c r="U464" s="631"/>
      <c r="V464" s="631"/>
      <c r="W464" s="631"/>
      <c r="X464" s="631"/>
      <c r="Y464" s="631"/>
      <c r="Z464" s="631"/>
    </row>
    <row r="465" spans="1:26">
      <c r="A465" s="636" t="s">
        <v>3648</v>
      </c>
      <c r="B465" s="631"/>
      <c r="C465" s="631"/>
      <c r="D465" s="631"/>
      <c r="E465" s="631"/>
      <c r="F465" s="631"/>
      <c r="G465" s="631"/>
      <c r="H465" s="652"/>
      <c r="I465" s="631"/>
      <c r="J465" s="631"/>
      <c r="K465" s="631"/>
      <c r="L465" s="631"/>
      <c r="M465" s="631"/>
      <c r="N465" s="631"/>
      <c r="O465" s="631"/>
      <c r="P465" s="631"/>
      <c r="Q465" s="631"/>
      <c r="R465" s="631"/>
      <c r="S465" s="631"/>
      <c r="T465" s="631"/>
      <c r="U465" s="631"/>
      <c r="V465" s="631"/>
      <c r="W465" s="631"/>
      <c r="X465" s="631"/>
      <c r="Y465" s="631"/>
      <c r="Z465" s="631"/>
    </row>
    <row r="466" spans="1:26">
      <c r="A466" s="636" t="s">
        <v>3648</v>
      </c>
      <c r="B466" s="631"/>
      <c r="C466" s="631"/>
      <c r="D466" s="631"/>
      <c r="E466" s="631"/>
      <c r="F466" s="631"/>
      <c r="G466" s="631"/>
      <c r="H466" s="652"/>
      <c r="I466" s="631"/>
      <c r="J466" s="631"/>
      <c r="K466" s="631"/>
      <c r="L466" s="631"/>
      <c r="M466" s="631"/>
      <c r="N466" s="631"/>
      <c r="O466" s="631"/>
      <c r="P466" s="631"/>
      <c r="Q466" s="631"/>
      <c r="R466" s="631"/>
      <c r="S466" s="631"/>
      <c r="T466" s="631"/>
      <c r="U466" s="631"/>
      <c r="V466" s="631"/>
      <c r="W466" s="631"/>
      <c r="X466" s="631"/>
      <c r="Y466" s="631"/>
      <c r="Z466" s="631"/>
    </row>
    <row r="467" spans="1:26">
      <c r="A467" s="636" t="s">
        <v>3648</v>
      </c>
      <c r="B467" s="631"/>
      <c r="C467" s="631"/>
      <c r="D467" s="631"/>
      <c r="E467" s="631"/>
      <c r="F467" s="631"/>
      <c r="G467" s="631"/>
      <c r="H467" s="652"/>
      <c r="I467" s="631"/>
      <c r="J467" s="631"/>
      <c r="K467" s="631"/>
      <c r="L467" s="631"/>
      <c r="M467" s="631"/>
      <c r="N467" s="631"/>
      <c r="O467" s="631"/>
      <c r="P467" s="631"/>
      <c r="Q467" s="631"/>
      <c r="R467" s="631"/>
      <c r="S467" s="631"/>
      <c r="T467" s="631"/>
      <c r="U467" s="631"/>
      <c r="V467" s="631"/>
      <c r="W467" s="631"/>
      <c r="X467" s="631"/>
      <c r="Y467" s="631"/>
      <c r="Z467" s="631"/>
    </row>
    <row r="468" spans="1:26">
      <c r="A468" s="636" t="s">
        <v>3648</v>
      </c>
      <c r="B468" s="631"/>
      <c r="C468" s="631"/>
      <c r="D468" s="631"/>
      <c r="E468" s="631"/>
      <c r="F468" s="631"/>
      <c r="G468" s="631"/>
      <c r="H468" s="652"/>
      <c r="I468" s="631"/>
      <c r="J468" s="631"/>
      <c r="K468" s="631"/>
      <c r="L468" s="631"/>
      <c r="M468" s="631"/>
      <c r="N468" s="631"/>
      <c r="O468" s="631"/>
      <c r="P468" s="631"/>
      <c r="Q468" s="631"/>
      <c r="R468" s="631"/>
      <c r="S468" s="631"/>
      <c r="T468" s="631"/>
      <c r="U468" s="631"/>
      <c r="V468" s="631"/>
      <c r="W468" s="631"/>
      <c r="X468" s="631"/>
      <c r="Y468" s="631"/>
      <c r="Z468" s="631"/>
    </row>
    <row r="469" spans="1:26">
      <c r="A469" s="636" t="s">
        <v>3648</v>
      </c>
      <c r="B469" s="631"/>
      <c r="C469" s="631"/>
      <c r="D469" s="631"/>
      <c r="E469" s="631"/>
      <c r="F469" s="631"/>
      <c r="G469" s="631"/>
      <c r="H469" s="652"/>
      <c r="I469" s="631"/>
      <c r="J469" s="631"/>
      <c r="K469" s="631"/>
      <c r="L469" s="631"/>
      <c r="M469" s="631"/>
      <c r="N469" s="631"/>
      <c r="O469" s="631"/>
      <c r="P469" s="631"/>
      <c r="Q469" s="631"/>
      <c r="R469" s="631"/>
      <c r="S469" s="631"/>
      <c r="T469" s="631"/>
      <c r="U469" s="631"/>
      <c r="V469" s="631"/>
      <c r="W469" s="631"/>
      <c r="X469" s="631"/>
      <c r="Y469" s="631"/>
      <c r="Z469" s="631"/>
    </row>
    <row r="470" spans="1:26">
      <c r="A470" s="636" t="s">
        <v>3648</v>
      </c>
      <c r="B470" s="631"/>
      <c r="C470" s="631"/>
      <c r="D470" s="631"/>
      <c r="E470" s="631"/>
      <c r="F470" s="631"/>
      <c r="G470" s="631"/>
      <c r="H470" s="652"/>
      <c r="I470" s="631"/>
      <c r="J470" s="631"/>
      <c r="K470" s="631"/>
      <c r="L470" s="631"/>
      <c r="M470" s="631"/>
      <c r="N470" s="631"/>
      <c r="O470" s="631"/>
      <c r="P470" s="631"/>
      <c r="Q470" s="631"/>
      <c r="R470" s="631"/>
      <c r="S470" s="631"/>
      <c r="T470" s="631"/>
      <c r="U470" s="631"/>
      <c r="V470" s="631"/>
      <c r="W470" s="631"/>
      <c r="X470" s="631"/>
      <c r="Y470" s="631"/>
      <c r="Z470" s="631"/>
    </row>
    <row r="471" spans="1:26">
      <c r="A471" s="636" t="s">
        <v>3648</v>
      </c>
      <c r="B471" s="631"/>
      <c r="C471" s="631"/>
      <c r="D471" s="631"/>
      <c r="E471" s="631"/>
      <c r="F471" s="631"/>
      <c r="G471" s="631"/>
      <c r="H471" s="652"/>
      <c r="I471" s="631"/>
      <c r="J471" s="631"/>
      <c r="K471" s="631"/>
      <c r="L471" s="631"/>
      <c r="M471" s="631"/>
      <c r="N471" s="631"/>
      <c r="O471" s="631"/>
      <c r="P471" s="631"/>
      <c r="Q471" s="631"/>
      <c r="R471" s="631"/>
      <c r="S471" s="631"/>
      <c r="T471" s="631"/>
      <c r="U471" s="631"/>
      <c r="V471" s="631"/>
      <c r="W471" s="631"/>
      <c r="X471" s="631"/>
      <c r="Y471" s="631"/>
      <c r="Z471" s="631"/>
    </row>
    <row r="472" spans="1:26">
      <c r="A472" s="636" t="s">
        <v>3648</v>
      </c>
      <c r="B472" s="631"/>
      <c r="C472" s="631"/>
      <c r="D472" s="631"/>
      <c r="E472" s="631"/>
      <c r="F472" s="631"/>
      <c r="G472" s="631"/>
      <c r="H472" s="652"/>
      <c r="I472" s="631"/>
      <c r="J472" s="631"/>
      <c r="K472" s="631"/>
      <c r="L472" s="631"/>
      <c r="M472" s="631"/>
      <c r="N472" s="631"/>
      <c r="O472" s="631"/>
      <c r="P472" s="631"/>
      <c r="Q472" s="631"/>
      <c r="R472" s="631"/>
      <c r="S472" s="631"/>
      <c r="T472" s="631"/>
      <c r="U472" s="631"/>
      <c r="V472" s="631"/>
      <c r="W472" s="631"/>
      <c r="X472" s="631"/>
      <c r="Y472" s="631"/>
      <c r="Z472" s="631"/>
    </row>
    <row r="473" spans="1:26">
      <c r="A473" s="636" t="s">
        <v>3648</v>
      </c>
      <c r="B473" s="631"/>
      <c r="C473" s="631"/>
      <c r="D473" s="631"/>
      <c r="E473" s="631"/>
      <c r="F473" s="631"/>
      <c r="G473" s="631"/>
      <c r="H473" s="652"/>
      <c r="I473" s="631"/>
      <c r="J473" s="631"/>
      <c r="K473" s="631"/>
      <c r="L473" s="631"/>
      <c r="M473" s="631"/>
      <c r="N473" s="631"/>
      <c r="O473" s="631"/>
      <c r="P473" s="631"/>
      <c r="Q473" s="631"/>
      <c r="R473" s="631"/>
      <c r="S473" s="631"/>
      <c r="T473" s="631"/>
      <c r="U473" s="631"/>
      <c r="V473" s="631"/>
      <c r="W473" s="631"/>
      <c r="X473" s="631"/>
      <c r="Y473" s="631"/>
      <c r="Z473" s="631"/>
    </row>
    <row r="474" spans="1:26">
      <c r="A474" s="636" t="s">
        <v>3648</v>
      </c>
      <c r="B474" s="631"/>
      <c r="C474" s="631"/>
      <c r="D474" s="631"/>
      <c r="E474" s="631"/>
      <c r="F474" s="631"/>
      <c r="G474" s="631"/>
      <c r="H474" s="652"/>
      <c r="I474" s="631"/>
      <c r="J474" s="631"/>
      <c r="K474" s="631"/>
      <c r="L474" s="631"/>
      <c r="M474" s="631"/>
      <c r="N474" s="631"/>
      <c r="O474" s="631"/>
      <c r="P474" s="631"/>
      <c r="Q474" s="631"/>
      <c r="R474" s="631"/>
      <c r="S474" s="631"/>
      <c r="T474" s="631"/>
      <c r="U474" s="631"/>
      <c r="V474" s="631"/>
      <c r="W474" s="631"/>
      <c r="X474" s="631"/>
      <c r="Y474" s="631"/>
      <c r="Z474" s="631"/>
    </row>
    <row r="475" spans="1:26">
      <c r="A475" s="636" t="s">
        <v>3648</v>
      </c>
      <c r="B475" s="631"/>
      <c r="C475" s="631"/>
      <c r="D475" s="631"/>
      <c r="E475" s="631"/>
      <c r="F475" s="631"/>
      <c r="G475" s="631"/>
      <c r="H475" s="652"/>
      <c r="I475" s="631"/>
      <c r="J475" s="631"/>
      <c r="K475" s="631"/>
      <c r="L475" s="631"/>
      <c r="M475" s="631"/>
      <c r="N475" s="631"/>
      <c r="O475" s="631"/>
      <c r="P475" s="631"/>
      <c r="Q475" s="631"/>
      <c r="R475" s="631"/>
      <c r="S475" s="631"/>
      <c r="T475" s="631"/>
      <c r="U475" s="631"/>
      <c r="V475" s="631"/>
      <c r="W475" s="631"/>
      <c r="X475" s="631"/>
      <c r="Y475" s="631"/>
      <c r="Z475" s="631"/>
    </row>
    <row r="476" spans="1:26">
      <c r="A476" s="636" t="s">
        <v>3648</v>
      </c>
      <c r="B476" s="631"/>
      <c r="C476" s="631"/>
      <c r="D476" s="631"/>
      <c r="E476" s="631"/>
      <c r="F476" s="631"/>
      <c r="G476" s="631"/>
      <c r="H476" s="652"/>
      <c r="I476" s="631"/>
      <c r="J476" s="631"/>
      <c r="K476" s="631"/>
      <c r="L476" s="631"/>
      <c r="M476" s="631"/>
      <c r="N476" s="631"/>
      <c r="O476" s="631"/>
      <c r="P476" s="631"/>
      <c r="Q476" s="631"/>
      <c r="R476" s="631"/>
      <c r="S476" s="631"/>
      <c r="T476" s="631"/>
      <c r="U476" s="631"/>
      <c r="V476" s="631"/>
      <c r="W476" s="631"/>
      <c r="X476" s="631"/>
      <c r="Y476" s="631"/>
      <c r="Z476" s="631"/>
    </row>
    <row r="477" spans="1:26">
      <c r="A477" s="636" t="s">
        <v>3648</v>
      </c>
      <c r="B477" s="631"/>
      <c r="C477" s="631"/>
      <c r="D477" s="631"/>
      <c r="E477" s="631"/>
      <c r="F477" s="631"/>
      <c r="G477" s="631"/>
      <c r="H477" s="652"/>
      <c r="I477" s="631"/>
      <c r="J477" s="631"/>
      <c r="K477" s="631"/>
      <c r="L477" s="631"/>
      <c r="M477" s="631"/>
      <c r="N477" s="631"/>
      <c r="O477" s="631"/>
      <c r="P477" s="631"/>
      <c r="Q477" s="631"/>
      <c r="R477" s="631"/>
      <c r="S477" s="631"/>
      <c r="T477" s="631"/>
      <c r="U477" s="631"/>
      <c r="V477" s="631"/>
      <c r="W477" s="631"/>
      <c r="X477" s="631"/>
      <c r="Y477" s="631"/>
      <c r="Z477" s="631"/>
    </row>
    <row r="478" spans="1:26">
      <c r="A478" s="636" t="s">
        <v>3648</v>
      </c>
      <c r="B478" s="631"/>
      <c r="C478" s="631"/>
      <c r="D478" s="631"/>
      <c r="E478" s="631"/>
      <c r="F478" s="631"/>
      <c r="G478" s="631"/>
      <c r="H478" s="652"/>
      <c r="I478" s="631"/>
      <c r="J478" s="631"/>
      <c r="K478" s="631"/>
      <c r="L478" s="631"/>
      <c r="M478" s="631"/>
      <c r="N478" s="631"/>
      <c r="O478" s="631"/>
      <c r="P478" s="631"/>
      <c r="Q478" s="631"/>
      <c r="R478" s="631"/>
      <c r="S478" s="631"/>
      <c r="T478" s="631"/>
      <c r="U478" s="631"/>
      <c r="V478" s="631"/>
      <c r="W478" s="631"/>
      <c r="X478" s="631"/>
      <c r="Y478" s="631"/>
      <c r="Z478" s="631"/>
    </row>
    <row r="479" spans="1:26">
      <c r="A479" s="636" t="s">
        <v>3648</v>
      </c>
      <c r="B479" s="631"/>
      <c r="C479" s="631"/>
      <c r="D479" s="631"/>
      <c r="E479" s="631"/>
      <c r="F479" s="631"/>
      <c r="G479" s="631"/>
      <c r="H479" s="652"/>
      <c r="I479" s="631"/>
      <c r="J479" s="631"/>
      <c r="K479" s="631"/>
      <c r="L479" s="631"/>
      <c r="M479" s="631"/>
      <c r="N479" s="631"/>
      <c r="O479" s="631"/>
      <c r="P479" s="631"/>
      <c r="Q479" s="631"/>
      <c r="R479" s="631"/>
      <c r="S479" s="631"/>
      <c r="T479" s="631"/>
      <c r="U479" s="631"/>
      <c r="V479" s="631"/>
      <c r="W479" s="631"/>
      <c r="X479" s="631"/>
      <c r="Y479" s="631"/>
      <c r="Z479" s="631"/>
    </row>
    <row r="480" spans="1:26">
      <c r="A480" s="636" t="s">
        <v>3648</v>
      </c>
      <c r="B480" s="631"/>
      <c r="C480" s="631"/>
      <c r="D480" s="631"/>
      <c r="E480" s="631"/>
      <c r="F480" s="631"/>
      <c r="G480" s="631"/>
      <c r="H480" s="652"/>
      <c r="I480" s="631"/>
      <c r="J480" s="631"/>
      <c r="K480" s="631"/>
      <c r="L480" s="631"/>
      <c r="M480" s="631"/>
      <c r="N480" s="631"/>
      <c r="O480" s="631"/>
      <c r="P480" s="631"/>
      <c r="Q480" s="631"/>
      <c r="R480" s="631"/>
      <c r="S480" s="631"/>
      <c r="T480" s="631"/>
      <c r="U480" s="631"/>
      <c r="V480" s="631"/>
      <c r="W480" s="631"/>
      <c r="X480" s="631"/>
      <c r="Y480" s="631"/>
      <c r="Z480" s="631"/>
    </row>
    <row r="481" spans="1:26">
      <c r="A481" s="636" t="s">
        <v>3648</v>
      </c>
      <c r="B481" s="631"/>
      <c r="C481" s="631"/>
      <c r="D481" s="631"/>
      <c r="E481" s="631"/>
      <c r="F481" s="631"/>
      <c r="G481" s="631"/>
      <c r="H481" s="652"/>
      <c r="I481" s="631"/>
      <c r="J481" s="631"/>
      <c r="K481" s="631"/>
      <c r="L481" s="631"/>
      <c r="M481" s="631"/>
      <c r="N481" s="631"/>
      <c r="O481" s="631"/>
      <c r="P481" s="631"/>
      <c r="Q481" s="631"/>
      <c r="R481" s="631"/>
      <c r="S481" s="631"/>
      <c r="T481" s="631"/>
      <c r="U481" s="631"/>
      <c r="V481" s="631"/>
      <c r="W481" s="631"/>
      <c r="X481" s="631"/>
      <c r="Y481" s="631"/>
      <c r="Z481" s="631"/>
    </row>
    <row r="482" spans="1:26">
      <c r="A482" s="636" t="s">
        <v>3648</v>
      </c>
      <c r="B482" s="631"/>
      <c r="C482" s="631"/>
      <c r="D482" s="631"/>
      <c r="E482" s="631"/>
      <c r="F482" s="631"/>
      <c r="G482" s="631"/>
      <c r="H482" s="652"/>
      <c r="I482" s="631"/>
      <c r="J482" s="631"/>
      <c r="K482" s="631"/>
      <c r="L482" s="631"/>
      <c r="M482" s="631"/>
      <c r="N482" s="631"/>
      <c r="O482" s="631"/>
      <c r="P482" s="631"/>
      <c r="Q482" s="631"/>
      <c r="R482" s="631"/>
      <c r="S482" s="631"/>
      <c r="T482" s="631"/>
      <c r="U482" s="631"/>
      <c r="V482" s="631"/>
      <c r="W482" s="631"/>
      <c r="X482" s="631"/>
      <c r="Y482" s="631"/>
      <c r="Z482" s="631"/>
    </row>
    <row r="483" spans="1:26">
      <c r="A483" s="636" t="s">
        <v>3648</v>
      </c>
      <c r="B483" s="631"/>
      <c r="C483" s="631"/>
      <c r="D483" s="631"/>
      <c r="E483" s="631"/>
      <c r="F483" s="631"/>
      <c r="G483" s="631"/>
      <c r="H483" s="652"/>
      <c r="I483" s="631"/>
      <c r="J483" s="631"/>
      <c r="K483" s="631"/>
      <c r="L483" s="631"/>
      <c r="M483" s="631"/>
      <c r="N483" s="631"/>
      <c r="O483" s="631"/>
      <c r="P483" s="631"/>
      <c r="Q483" s="631"/>
      <c r="R483" s="631"/>
      <c r="S483" s="631"/>
      <c r="T483" s="631"/>
      <c r="U483" s="631"/>
      <c r="V483" s="631"/>
      <c r="W483" s="631"/>
      <c r="X483" s="631"/>
      <c r="Y483" s="631"/>
      <c r="Z483" s="631"/>
    </row>
    <row r="484" spans="1:26">
      <c r="A484" s="636" t="s">
        <v>3648</v>
      </c>
      <c r="B484" s="631"/>
      <c r="C484" s="631"/>
      <c r="D484" s="631"/>
      <c r="E484" s="631"/>
      <c r="F484" s="631"/>
      <c r="G484" s="631"/>
      <c r="H484" s="652"/>
      <c r="I484" s="631"/>
      <c r="J484" s="631"/>
      <c r="K484" s="631"/>
      <c r="L484" s="631"/>
      <c r="M484" s="631"/>
      <c r="N484" s="631"/>
      <c r="O484" s="631"/>
      <c r="P484" s="631"/>
      <c r="Q484" s="631"/>
      <c r="R484" s="631"/>
      <c r="S484" s="631"/>
      <c r="T484" s="631"/>
      <c r="U484" s="631"/>
      <c r="V484" s="631"/>
      <c r="W484" s="631"/>
      <c r="X484" s="631"/>
      <c r="Y484" s="631"/>
      <c r="Z484" s="631"/>
    </row>
    <row r="485" spans="1:26">
      <c r="A485" s="636" t="s">
        <v>3648</v>
      </c>
      <c r="B485" s="631"/>
      <c r="C485" s="631"/>
      <c r="D485" s="631"/>
      <c r="E485" s="631"/>
      <c r="F485" s="631"/>
      <c r="G485" s="631"/>
      <c r="H485" s="652"/>
      <c r="I485" s="631"/>
      <c r="J485" s="631"/>
      <c r="K485" s="631"/>
      <c r="L485" s="631"/>
      <c r="M485" s="631"/>
      <c r="N485" s="631"/>
      <c r="O485" s="631"/>
      <c r="P485" s="631"/>
      <c r="Q485" s="631"/>
      <c r="R485" s="631"/>
      <c r="S485" s="631"/>
      <c r="T485" s="631"/>
      <c r="U485" s="631"/>
      <c r="V485" s="631"/>
      <c r="W485" s="631"/>
      <c r="X485" s="631"/>
      <c r="Y485" s="631"/>
      <c r="Z485" s="631"/>
    </row>
    <row r="486" spans="1:26">
      <c r="A486" s="636" t="s">
        <v>3648</v>
      </c>
      <c r="B486" s="631"/>
      <c r="C486" s="631"/>
      <c r="D486" s="631"/>
      <c r="E486" s="631"/>
      <c r="F486" s="631"/>
      <c r="G486" s="631"/>
      <c r="H486" s="652"/>
      <c r="I486" s="631"/>
      <c r="J486" s="631"/>
      <c r="K486" s="631"/>
      <c r="L486" s="631"/>
      <c r="M486" s="631"/>
      <c r="N486" s="631"/>
      <c r="O486" s="631"/>
      <c r="P486" s="631"/>
      <c r="Q486" s="631"/>
      <c r="R486" s="631"/>
      <c r="S486" s="631"/>
      <c r="T486" s="631"/>
      <c r="U486" s="631"/>
      <c r="V486" s="631"/>
      <c r="W486" s="631"/>
      <c r="X486" s="631"/>
      <c r="Y486" s="631"/>
      <c r="Z486" s="631"/>
    </row>
    <row r="487" spans="1:26">
      <c r="A487" s="636" t="s">
        <v>3648</v>
      </c>
      <c r="B487" s="631"/>
      <c r="C487" s="631"/>
      <c r="D487" s="631"/>
      <c r="E487" s="631"/>
      <c r="F487" s="631"/>
      <c r="G487" s="631"/>
      <c r="H487" s="652"/>
      <c r="I487" s="631"/>
      <c r="J487" s="631"/>
      <c r="K487" s="631"/>
      <c r="L487" s="631"/>
      <c r="M487" s="631"/>
      <c r="N487" s="631"/>
      <c r="O487" s="631"/>
      <c r="P487" s="631"/>
      <c r="Q487" s="631"/>
      <c r="R487" s="631"/>
      <c r="S487" s="631"/>
      <c r="T487" s="631"/>
      <c r="U487" s="631"/>
      <c r="V487" s="631"/>
      <c r="W487" s="631"/>
      <c r="X487" s="631"/>
      <c r="Y487" s="631"/>
      <c r="Z487" s="631"/>
    </row>
    <row r="488" spans="1:26">
      <c r="A488" s="636" t="s">
        <v>3648</v>
      </c>
      <c r="B488" s="631"/>
      <c r="C488" s="631"/>
      <c r="D488" s="631"/>
      <c r="E488" s="631"/>
      <c r="F488" s="631"/>
      <c r="G488" s="631"/>
      <c r="H488" s="652"/>
      <c r="I488" s="631"/>
      <c r="J488" s="631"/>
      <c r="K488" s="631"/>
      <c r="L488" s="631"/>
      <c r="M488" s="631"/>
      <c r="N488" s="631"/>
      <c r="O488" s="631"/>
      <c r="P488" s="631"/>
      <c r="Q488" s="631"/>
      <c r="R488" s="631"/>
      <c r="S488" s="631"/>
      <c r="T488" s="631"/>
      <c r="U488" s="631"/>
      <c r="V488" s="631"/>
      <c r="W488" s="631"/>
      <c r="X488" s="631"/>
      <c r="Y488" s="631"/>
      <c r="Z488" s="631"/>
    </row>
    <row r="489" spans="1:26">
      <c r="A489" s="636" t="s">
        <v>3648</v>
      </c>
      <c r="B489" s="631"/>
      <c r="C489" s="631"/>
      <c r="D489" s="631"/>
      <c r="E489" s="631"/>
      <c r="F489" s="631"/>
      <c r="G489" s="631"/>
      <c r="H489" s="652"/>
      <c r="I489" s="631"/>
      <c r="J489" s="631"/>
      <c r="K489" s="631"/>
      <c r="L489" s="631"/>
      <c r="M489" s="631"/>
      <c r="N489" s="631"/>
      <c r="O489" s="631"/>
      <c r="P489" s="631"/>
      <c r="Q489" s="631"/>
      <c r="R489" s="631"/>
      <c r="S489" s="631"/>
      <c r="T489" s="631"/>
      <c r="U489" s="631"/>
      <c r="V489" s="631"/>
      <c r="W489" s="631"/>
      <c r="X489" s="631"/>
      <c r="Y489" s="631"/>
      <c r="Z489" s="631"/>
    </row>
    <row r="490" spans="1:26">
      <c r="A490" s="636" t="s">
        <v>3648</v>
      </c>
      <c r="B490" s="631"/>
      <c r="C490" s="631"/>
      <c r="D490" s="631"/>
      <c r="E490" s="631"/>
      <c r="F490" s="631"/>
      <c r="G490" s="631"/>
      <c r="H490" s="652"/>
      <c r="I490" s="631"/>
      <c r="J490" s="631"/>
      <c r="K490" s="631"/>
      <c r="L490" s="631"/>
      <c r="M490" s="631"/>
      <c r="N490" s="631"/>
      <c r="O490" s="631"/>
      <c r="P490" s="631"/>
      <c r="Q490" s="631"/>
      <c r="R490" s="631"/>
      <c r="S490" s="631"/>
      <c r="T490" s="631"/>
      <c r="U490" s="631"/>
      <c r="V490" s="631"/>
      <c r="W490" s="631"/>
      <c r="X490" s="631"/>
      <c r="Y490" s="631"/>
      <c r="Z490" s="631"/>
    </row>
    <row r="491" spans="1:26">
      <c r="A491" s="636" t="s">
        <v>3648</v>
      </c>
      <c r="B491" s="631"/>
      <c r="C491" s="631"/>
      <c r="D491" s="631"/>
      <c r="E491" s="631"/>
      <c r="F491" s="631"/>
      <c r="G491" s="631"/>
      <c r="H491" s="652"/>
      <c r="I491" s="631"/>
      <c r="J491" s="631"/>
      <c r="K491" s="631"/>
      <c r="L491" s="631"/>
      <c r="M491" s="631"/>
      <c r="N491" s="631"/>
      <c r="O491" s="631"/>
      <c r="P491" s="631"/>
      <c r="Q491" s="631"/>
      <c r="R491" s="631"/>
      <c r="S491" s="631"/>
      <c r="T491" s="631"/>
      <c r="U491" s="631"/>
      <c r="V491" s="631"/>
      <c r="W491" s="631"/>
      <c r="X491" s="631"/>
      <c r="Y491" s="631"/>
      <c r="Z491" s="631"/>
    </row>
    <row r="492" spans="1:26">
      <c r="A492" s="636" t="s">
        <v>3648</v>
      </c>
      <c r="B492" s="631"/>
      <c r="C492" s="631"/>
      <c r="D492" s="631"/>
      <c r="E492" s="631"/>
      <c r="F492" s="631"/>
      <c r="G492" s="631"/>
      <c r="H492" s="652"/>
      <c r="I492" s="631"/>
      <c r="J492" s="631"/>
      <c r="K492" s="631"/>
      <c r="L492" s="631"/>
      <c r="M492" s="631"/>
      <c r="N492" s="631"/>
      <c r="O492" s="631"/>
      <c r="P492" s="631"/>
      <c r="Q492" s="631"/>
      <c r="R492" s="631"/>
      <c r="S492" s="631"/>
      <c r="T492" s="631"/>
      <c r="U492" s="631"/>
      <c r="V492" s="631"/>
      <c r="W492" s="631"/>
      <c r="X492" s="631"/>
      <c r="Y492" s="631"/>
      <c r="Z492" s="631"/>
    </row>
    <row r="493" spans="1:26">
      <c r="A493" s="636" t="s">
        <v>3648</v>
      </c>
      <c r="B493" s="631"/>
      <c r="C493" s="631"/>
      <c r="D493" s="631"/>
      <c r="E493" s="631"/>
      <c r="F493" s="631"/>
      <c r="G493" s="631"/>
      <c r="H493" s="652"/>
      <c r="I493" s="631"/>
      <c r="J493" s="631"/>
      <c r="K493" s="631"/>
      <c r="L493" s="631"/>
      <c r="M493" s="631"/>
      <c r="N493" s="631"/>
      <c r="O493" s="631"/>
      <c r="P493" s="631"/>
      <c r="Q493" s="631"/>
      <c r="R493" s="631"/>
      <c r="S493" s="631"/>
      <c r="T493" s="631"/>
      <c r="U493" s="631"/>
      <c r="V493" s="631"/>
      <c r="W493" s="631"/>
      <c r="X493" s="631"/>
      <c r="Y493" s="631"/>
      <c r="Z493" s="631"/>
    </row>
    <row r="494" spans="1:26">
      <c r="A494" s="636" t="s">
        <v>3648</v>
      </c>
      <c r="B494" s="631"/>
      <c r="C494" s="631"/>
      <c r="D494" s="631"/>
      <c r="E494" s="631"/>
      <c r="F494" s="631"/>
      <c r="G494" s="631"/>
      <c r="H494" s="652"/>
      <c r="I494" s="631"/>
      <c r="J494" s="631"/>
      <c r="K494" s="631"/>
      <c r="L494" s="631"/>
      <c r="M494" s="631"/>
      <c r="N494" s="631"/>
      <c r="O494" s="631"/>
      <c r="P494" s="631"/>
      <c r="Q494" s="631"/>
      <c r="R494" s="631"/>
      <c r="S494" s="631"/>
      <c r="T494" s="631"/>
      <c r="U494" s="631"/>
      <c r="V494" s="631"/>
      <c r="W494" s="631"/>
      <c r="X494" s="631"/>
      <c r="Y494" s="631"/>
      <c r="Z494" s="631"/>
    </row>
    <row r="495" spans="1:26">
      <c r="A495" s="636" t="s">
        <v>3648</v>
      </c>
      <c r="B495" s="631"/>
      <c r="C495" s="631"/>
      <c r="D495" s="631"/>
      <c r="E495" s="631"/>
      <c r="F495" s="631"/>
      <c r="G495" s="631"/>
      <c r="H495" s="652"/>
      <c r="I495" s="631"/>
      <c r="J495" s="631"/>
      <c r="K495" s="631"/>
      <c r="L495" s="631"/>
      <c r="M495" s="631"/>
      <c r="N495" s="631"/>
      <c r="O495" s="631"/>
      <c r="P495" s="631"/>
      <c r="Q495" s="631"/>
      <c r="R495" s="631"/>
      <c r="S495" s="631"/>
      <c r="T495" s="631"/>
      <c r="U495" s="631"/>
      <c r="V495" s="631"/>
      <c r="W495" s="631"/>
      <c r="X495" s="631"/>
      <c r="Y495" s="631"/>
      <c r="Z495" s="631"/>
    </row>
    <row r="496" spans="1:26">
      <c r="A496" s="636" t="s">
        <v>3648</v>
      </c>
      <c r="B496" s="631"/>
      <c r="C496" s="631"/>
      <c r="D496" s="631"/>
      <c r="E496" s="631"/>
      <c r="F496" s="631"/>
      <c r="G496" s="631"/>
      <c r="H496" s="652"/>
      <c r="I496" s="631"/>
      <c r="J496" s="631"/>
      <c r="K496" s="631"/>
      <c r="L496" s="631"/>
      <c r="M496" s="631"/>
      <c r="N496" s="631"/>
      <c r="O496" s="631"/>
      <c r="P496" s="631"/>
      <c r="Q496" s="631"/>
      <c r="R496" s="631"/>
      <c r="S496" s="631"/>
      <c r="T496" s="631"/>
      <c r="U496" s="631"/>
      <c r="V496" s="631"/>
      <c r="W496" s="631"/>
      <c r="X496" s="631"/>
      <c r="Y496" s="631"/>
      <c r="Z496" s="631"/>
    </row>
    <row r="497" spans="1:26">
      <c r="A497" s="636" t="s">
        <v>3648</v>
      </c>
      <c r="B497" s="631"/>
      <c r="C497" s="631"/>
      <c r="D497" s="631"/>
      <c r="E497" s="631"/>
      <c r="F497" s="631"/>
      <c r="G497" s="631"/>
      <c r="H497" s="652"/>
      <c r="I497" s="631"/>
      <c r="J497" s="631"/>
      <c r="K497" s="631"/>
      <c r="L497" s="631"/>
      <c r="M497" s="631"/>
      <c r="N497" s="631"/>
      <c r="O497" s="631"/>
      <c r="P497" s="631"/>
      <c r="Q497" s="631"/>
      <c r="R497" s="631"/>
      <c r="S497" s="631"/>
      <c r="T497" s="631"/>
      <c r="U497" s="631"/>
      <c r="V497" s="631"/>
      <c r="W497" s="631"/>
      <c r="X497" s="631"/>
      <c r="Y497" s="631"/>
      <c r="Z497" s="631"/>
    </row>
    <row r="498" spans="1:26">
      <c r="A498" s="636" t="s">
        <v>3648</v>
      </c>
      <c r="B498" s="631"/>
      <c r="C498" s="631"/>
      <c r="D498" s="631"/>
      <c r="E498" s="631"/>
      <c r="F498" s="631"/>
      <c r="G498" s="631"/>
      <c r="H498" s="652"/>
      <c r="I498" s="631"/>
      <c r="J498" s="631"/>
      <c r="K498" s="631"/>
      <c r="L498" s="631"/>
      <c r="M498" s="631"/>
      <c r="N498" s="631"/>
      <c r="O498" s="631"/>
      <c r="P498" s="631"/>
      <c r="Q498" s="631"/>
      <c r="R498" s="631"/>
      <c r="S498" s="631"/>
      <c r="T498" s="631"/>
      <c r="U498" s="631"/>
      <c r="V498" s="631"/>
      <c r="W498" s="631"/>
      <c r="X498" s="631"/>
      <c r="Y498" s="631"/>
      <c r="Z498" s="631"/>
    </row>
    <row r="499" spans="1:26">
      <c r="A499" s="636" t="s">
        <v>3648</v>
      </c>
      <c r="B499" s="631"/>
      <c r="C499" s="631"/>
      <c r="D499" s="631"/>
      <c r="E499" s="631"/>
      <c r="F499" s="631"/>
      <c r="G499" s="631"/>
      <c r="H499" s="652"/>
      <c r="I499" s="631"/>
      <c r="J499" s="631"/>
      <c r="K499" s="631"/>
      <c r="L499" s="631"/>
      <c r="M499" s="631"/>
      <c r="N499" s="631"/>
      <c r="O499" s="631"/>
      <c r="P499" s="631"/>
      <c r="Q499" s="631"/>
      <c r="R499" s="631"/>
      <c r="S499" s="631"/>
      <c r="T499" s="631"/>
      <c r="U499" s="631"/>
      <c r="V499" s="631"/>
      <c r="W499" s="631"/>
      <c r="X499" s="631"/>
      <c r="Y499" s="631"/>
      <c r="Z499" s="631"/>
    </row>
    <row r="500" spans="1:26">
      <c r="A500" s="636" t="s">
        <v>3648</v>
      </c>
      <c r="B500" s="631"/>
      <c r="C500" s="631"/>
      <c r="D500" s="631"/>
      <c r="E500" s="631"/>
      <c r="F500" s="631"/>
      <c r="G500" s="631"/>
      <c r="H500" s="652"/>
      <c r="I500" s="631"/>
      <c r="J500" s="631"/>
      <c r="K500" s="631"/>
      <c r="L500" s="631"/>
      <c r="M500" s="631"/>
      <c r="N500" s="631"/>
      <c r="O500" s="631"/>
      <c r="P500" s="631"/>
      <c r="Q500" s="631"/>
      <c r="R500" s="631"/>
      <c r="S500" s="631"/>
      <c r="T500" s="631"/>
      <c r="U500" s="631"/>
      <c r="V500" s="631"/>
      <c r="W500" s="631"/>
      <c r="X500" s="631"/>
      <c r="Y500" s="631"/>
      <c r="Z500" s="631"/>
    </row>
    <row r="501" spans="1:26">
      <c r="A501" s="636" t="s">
        <v>3648</v>
      </c>
      <c r="B501" s="631"/>
      <c r="C501" s="631"/>
      <c r="D501" s="631"/>
      <c r="E501" s="631"/>
      <c r="F501" s="631"/>
      <c r="G501" s="631"/>
      <c r="H501" s="652"/>
      <c r="I501" s="631"/>
      <c r="J501" s="631"/>
      <c r="K501" s="631"/>
      <c r="L501" s="631"/>
      <c r="M501" s="631"/>
      <c r="N501" s="631"/>
      <c r="O501" s="631"/>
      <c r="P501" s="631"/>
      <c r="Q501" s="631"/>
      <c r="R501" s="631"/>
      <c r="S501" s="631"/>
      <c r="T501" s="631"/>
      <c r="U501" s="631"/>
      <c r="V501" s="631"/>
      <c r="W501" s="631"/>
      <c r="X501" s="631"/>
      <c r="Y501" s="631"/>
      <c r="Z501" s="631"/>
    </row>
    <row r="502" spans="1:26">
      <c r="A502" s="636" t="s">
        <v>3648</v>
      </c>
      <c r="B502" s="631"/>
      <c r="C502" s="631"/>
      <c r="D502" s="631"/>
      <c r="E502" s="631"/>
      <c r="F502" s="631"/>
      <c r="G502" s="631"/>
      <c r="H502" s="652"/>
      <c r="I502" s="631"/>
      <c r="J502" s="631"/>
      <c r="K502" s="631"/>
      <c r="L502" s="631"/>
      <c r="M502" s="631"/>
      <c r="N502" s="631"/>
      <c r="O502" s="631"/>
      <c r="P502" s="631"/>
      <c r="Q502" s="631"/>
      <c r="R502" s="631"/>
      <c r="S502" s="631"/>
      <c r="T502" s="631"/>
      <c r="U502" s="631"/>
      <c r="V502" s="631"/>
      <c r="W502" s="631"/>
      <c r="X502" s="631"/>
      <c r="Y502" s="631"/>
      <c r="Z502" s="631"/>
    </row>
    <row r="503" spans="1:26">
      <c r="A503" s="636" t="s">
        <v>3648</v>
      </c>
      <c r="B503" s="631"/>
      <c r="C503" s="631"/>
      <c r="D503" s="631"/>
      <c r="E503" s="631"/>
      <c r="F503" s="631"/>
      <c r="G503" s="631"/>
      <c r="H503" s="652"/>
      <c r="I503" s="631"/>
      <c r="J503" s="631"/>
      <c r="K503" s="631"/>
      <c r="L503" s="631"/>
      <c r="M503" s="631"/>
      <c r="N503" s="631"/>
      <c r="O503" s="631"/>
      <c r="P503" s="631"/>
      <c r="Q503" s="631"/>
      <c r="R503" s="631"/>
      <c r="S503" s="631"/>
      <c r="T503" s="631"/>
      <c r="U503" s="631"/>
      <c r="V503" s="631"/>
      <c r="W503" s="631"/>
      <c r="X503" s="631"/>
      <c r="Y503" s="631"/>
      <c r="Z503" s="631"/>
    </row>
    <row r="504" spans="1:26">
      <c r="A504" s="636" t="s">
        <v>3648</v>
      </c>
      <c r="B504" s="631"/>
      <c r="C504" s="631"/>
      <c r="D504" s="631"/>
      <c r="E504" s="631"/>
      <c r="F504" s="631"/>
      <c r="G504" s="631"/>
      <c r="H504" s="652"/>
      <c r="I504" s="631"/>
      <c r="J504" s="631"/>
      <c r="K504" s="631"/>
      <c r="L504" s="631"/>
      <c r="M504" s="631"/>
      <c r="N504" s="631"/>
      <c r="O504" s="631"/>
      <c r="P504" s="631"/>
      <c r="Q504" s="631"/>
      <c r="R504" s="631"/>
      <c r="S504" s="631"/>
      <c r="T504" s="631"/>
      <c r="U504" s="631"/>
      <c r="V504" s="631"/>
      <c r="W504" s="631"/>
      <c r="X504" s="631"/>
      <c r="Y504" s="631"/>
      <c r="Z504" s="631"/>
    </row>
    <row r="505" spans="1:26">
      <c r="A505" s="636" t="s">
        <v>3648</v>
      </c>
      <c r="B505" s="631"/>
      <c r="C505" s="631"/>
      <c r="D505" s="631"/>
      <c r="E505" s="631"/>
      <c r="F505" s="631"/>
      <c r="G505" s="631"/>
      <c r="H505" s="652"/>
      <c r="I505" s="631"/>
      <c r="J505" s="631"/>
      <c r="K505" s="631"/>
      <c r="L505" s="631"/>
      <c r="M505" s="631"/>
      <c r="N505" s="631"/>
      <c r="O505" s="631"/>
      <c r="P505" s="631"/>
      <c r="Q505" s="631"/>
      <c r="R505" s="631"/>
      <c r="S505" s="631"/>
      <c r="T505" s="631"/>
      <c r="U505" s="631"/>
      <c r="V505" s="631"/>
      <c r="W505" s="631"/>
      <c r="X505" s="631"/>
      <c r="Y505" s="631"/>
      <c r="Z505" s="631"/>
    </row>
    <row r="506" spans="1:26">
      <c r="A506" s="636" t="s">
        <v>3648</v>
      </c>
      <c r="B506" s="631"/>
      <c r="C506" s="631"/>
      <c r="D506" s="631"/>
      <c r="E506" s="631"/>
      <c r="F506" s="631"/>
      <c r="G506" s="631"/>
      <c r="H506" s="652"/>
      <c r="I506" s="631"/>
      <c r="J506" s="631"/>
      <c r="K506" s="631"/>
      <c r="L506" s="631"/>
      <c r="M506" s="631"/>
      <c r="N506" s="631"/>
      <c r="O506" s="631"/>
      <c r="P506" s="631"/>
      <c r="Q506" s="631"/>
      <c r="R506" s="631"/>
      <c r="S506" s="631"/>
      <c r="T506" s="631"/>
      <c r="U506" s="631"/>
      <c r="V506" s="631"/>
      <c r="W506" s="631"/>
      <c r="X506" s="631"/>
      <c r="Y506" s="631"/>
      <c r="Z506" s="631"/>
    </row>
    <row r="507" spans="1:26">
      <c r="A507" s="636" t="s">
        <v>3648</v>
      </c>
      <c r="B507" s="631"/>
      <c r="C507" s="631"/>
      <c r="D507" s="631"/>
      <c r="E507" s="631"/>
      <c r="F507" s="631"/>
      <c r="G507" s="631"/>
      <c r="H507" s="652"/>
      <c r="I507" s="631"/>
      <c r="J507" s="631"/>
      <c r="K507" s="631"/>
      <c r="L507" s="631"/>
      <c r="M507" s="631"/>
      <c r="N507" s="631"/>
      <c r="O507" s="631"/>
      <c r="P507" s="631"/>
      <c r="Q507" s="631"/>
      <c r="R507" s="631"/>
      <c r="S507" s="631"/>
      <c r="T507" s="631"/>
      <c r="U507" s="631"/>
      <c r="V507" s="631"/>
      <c r="W507" s="631"/>
      <c r="X507" s="631"/>
      <c r="Y507" s="631"/>
      <c r="Z507" s="631"/>
    </row>
    <row r="508" spans="1:26">
      <c r="A508" s="636" t="s">
        <v>3648</v>
      </c>
      <c r="B508" s="631"/>
      <c r="C508" s="631"/>
      <c r="D508" s="631"/>
      <c r="E508" s="631"/>
      <c r="F508" s="631"/>
      <c r="G508" s="631"/>
      <c r="H508" s="652"/>
      <c r="I508" s="631"/>
      <c r="J508" s="631"/>
      <c r="K508" s="631"/>
      <c r="L508" s="631"/>
      <c r="M508" s="631"/>
      <c r="N508" s="631"/>
      <c r="O508" s="631"/>
      <c r="P508" s="631"/>
      <c r="Q508" s="631"/>
      <c r="R508" s="631"/>
      <c r="S508" s="631"/>
      <c r="T508" s="631"/>
      <c r="U508" s="631"/>
      <c r="V508" s="631"/>
      <c r="W508" s="631"/>
      <c r="X508" s="631"/>
      <c r="Y508" s="631"/>
      <c r="Z508" s="631"/>
    </row>
    <row r="509" spans="1:26">
      <c r="A509" s="636" t="s">
        <v>3648</v>
      </c>
      <c r="B509" s="631"/>
      <c r="C509" s="631"/>
      <c r="D509" s="631"/>
      <c r="E509" s="631"/>
      <c r="F509" s="631"/>
      <c r="G509" s="631"/>
      <c r="H509" s="652"/>
      <c r="I509" s="631"/>
      <c r="J509" s="631"/>
      <c r="K509" s="631"/>
      <c r="L509" s="631"/>
      <c r="M509" s="631"/>
      <c r="N509" s="631"/>
      <c r="O509" s="631"/>
      <c r="P509" s="631"/>
      <c r="Q509" s="631"/>
      <c r="R509" s="631"/>
      <c r="S509" s="631"/>
      <c r="T509" s="631"/>
      <c r="U509" s="631"/>
      <c r="V509" s="631"/>
      <c r="W509" s="631"/>
      <c r="X509" s="631"/>
      <c r="Y509" s="631"/>
      <c r="Z509" s="631"/>
    </row>
    <row r="510" spans="1:26">
      <c r="A510" s="636" t="s">
        <v>3648</v>
      </c>
      <c r="B510" s="631"/>
      <c r="C510" s="631"/>
      <c r="D510" s="631"/>
      <c r="E510" s="631"/>
      <c r="F510" s="631"/>
      <c r="G510" s="631"/>
      <c r="H510" s="652"/>
      <c r="I510" s="631"/>
      <c r="J510" s="631"/>
      <c r="K510" s="631"/>
      <c r="L510" s="631"/>
      <c r="M510" s="631"/>
      <c r="N510" s="631"/>
      <c r="O510" s="631"/>
      <c r="P510" s="631"/>
      <c r="Q510" s="631"/>
      <c r="R510" s="631"/>
      <c r="S510" s="631"/>
      <c r="T510" s="631"/>
      <c r="U510" s="631"/>
      <c r="V510" s="631"/>
      <c r="W510" s="631"/>
      <c r="X510" s="631"/>
      <c r="Y510" s="631"/>
      <c r="Z510" s="631"/>
    </row>
    <row r="511" spans="1:26">
      <c r="A511" s="636" t="s">
        <v>3648</v>
      </c>
      <c r="B511" s="631"/>
      <c r="C511" s="631"/>
      <c r="D511" s="631"/>
      <c r="E511" s="631"/>
      <c r="F511" s="631"/>
      <c r="G511" s="631"/>
      <c r="H511" s="652"/>
      <c r="I511" s="631"/>
      <c r="J511" s="631"/>
      <c r="K511" s="631"/>
      <c r="L511" s="631"/>
      <c r="M511" s="631"/>
      <c r="N511" s="631"/>
      <c r="O511" s="631"/>
      <c r="P511" s="631"/>
      <c r="Q511" s="631"/>
      <c r="R511" s="631"/>
      <c r="S511" s="631"/>
      <c r="T511" s="631"/>
      <c r="U511" s="631"/>
      <c r="V511" s="631"/>
      <c r="W511" s="631"/>
      <c r="X511" s="631"/>
      <c r="Y511" s="631"/>
      <c r="Z511" s="631"/>
    </row>
    <row r="512" spans="1:26">
      <c r="A512" s="636" t="s">
        <v>3648</v>
      </c>
      <c r="B512" s="631"/>
      <c r="C512" s="631"/>
      <c r="D512" s="631"/>
      <c r="E512" s="631"/>
      <c r="F512" s="631"/>
      <c r="G512" s="631"/>
      <c r="H512" s="652"/>
      <c r="I512" s="631"/>
      <c r="J512" s="631"/>
      <c r="K512" s="631"/>
      <c r="L512" s="631"/>
      <c r="M512" s="631"/>
      <c r="N512" s="631"/>
      <c r="O512" s="631"/>
      <c r="P512" s="631"/>
      <c r="Q512" s="631"/>
      <c r="R512" s="631"/>
      <c r="S512" s="631"/>
      <c r="T512" s="631"/>
      <c r="U512" s="631"/>
      <c r="V512" s="631"/>
      <c r="W512" s="631"/>
      <c r="X512" s="631"/>
      <c r="Y512" s="631"/>
      <c r="Z512" s="631"/>
    </row>
    <row r="513" spans="1:26">
      <c r="A513" s="636" t="s">
        <v>3648</v>
      </c>
      <c r="B513" s="631"/>
      <c r="C513" s="631"/>
      <c r="D513" s="631"/>
      <c r="E513" s="631"/>
      <c r="F513" s="631"/>
      <c r="G513" s="631"/>
      <c r="H513" s="652"/>
      <c r="I513" s="631"/>
      <c r="J513" s="631"/>
      <c r="K513" s="631"/>
      <c r="L513" s="631"/>
      <c r="M513" s="631"/>
      <c r="N513" s="631"/>
      <c r="O513" s="631"/>
      <c r="P513" s="631"/>
      <c r="Q513" s="631"/>
      <c r="R513" s="631"/>
      <c r="S513" s="631"/>
      <c r="T513" s="631"/>
      <c r="U513" s="631"/>
      <c r="V513" s="631"/>
      <c r="W513" s="631"/>
      <c r="X513" s="631"/>
      <c r="Y513" s="631"/>
      <c r="Z513" s="631"/>
    </row>
    <row r="514" spans="1:26">
      <c r="A514" s="636" t="s">
        <v>3648</v>
      </c>
      <c r="B514" s="631"/>
      <c r="C514" s="631"/>
      <c r="D514" s="631"/>
      <c r="E514" s="631"/>
      <c r="F514" s="631"/>
      <c r="G514" s="631"/>
      <c r="H514" s="652"/>
      <c r="I514" s="631"/>
      <c r="J514" s="631"/>
      <c r="K514" s="631"/>
      <c r="L514" s="631"/>
      <c r="M514" s="631"/>
      <c r="N514" s="631"/>
      <c r="O514" s="631"/>
      <c r="P514" s="631"/>
      <c r="Q514" s="631"/>
      <c r="R514" s="631"/>
      <c r="S514" s="631"/>
      <c r="T514" s="631"/>
      <c r="U514" s="631"/>
      <c r="V514" s="631"/>
      <c r="W514" s="631"/>
      <c r="X514" s="631"/>
      <c r="Y514" s="631"/>
      <c r="Z514" s="631"/>
    </row>
    <row r="515" spans="1:26">
      <c r="A515" s="636" t="s">
        <v>3648</v>
      </c>
      <c r="B515" s="631"/>
      <c r="C515" s="631"/>
      <c r="D515" s="631"/>
      <c r="E515" s="631"/>
      <c r="F515" s="631"/>
      <c r="G515" s="631"/>
      <c r="H515" s="652"/>
      <c r="I515" s="631"/>
      <c r="J515" s="631"/>
      <c r="K515" s="631"/>
      <c r="L515" s="631"/>
      <c r="M515" s="631"/>
      <c r="N515" s="631"/>
      <c r="O515" s="631"/>
      <c r="P515" s="631"/>
      <c r="Q515" s="631"/>
      <c r="R515" s="631"/>
      <c r="S515" s="631"/>
      <c r="T515" s="631"/>
      <c r="U515" s="631"/>
      <c r="V515" s="631"/>
      <c r="W515" s="631"/>
      <c r="X515" s="631"/>
      <c r="Y515" s="631"/>
      <c r="Z515" s="631"/>
    </row>
    <row r="516" spans="1:26">
      <c r="A516" s="636" t="s">
        <v>3648</v>
      </c>
      <c r="B516" s="631"/>
      <c r="C516" s="631"/>
      <c r="D516" s="631"/>
      <c r="E516" s="631"/>
      <c r="F516" s="631"/>
      <c r="G516" s="631"/>
      <c r="H516" s="652"/>
      <c r="I516" s="631"/>
      <c r="J516" s="631"/>
      <c r="K516" s="631"/>
      <c r="L516" s="631"/>
      <c r="M516" s="631"/>
      <c r="N516" s="631"/>
      <c r="O516" s="631"/>
      <c r="P516" s="631"/>
      <c r="Q516" s="631"/>
      <c r="R516" s="631"/>
      <c r="S516" s="631"/>
      <c r="T516" s="631"/>
      <c r="U516" s="631"/>
      <c r="V516" s="631"/>
      <c r="W516" s="631"/>
      <c r="X516" s="631"/>
      <c r="Y516" s="631"/>
      <c r="Z516" s="631"/>
    </row>
    <row r="517" spans="1:26">
      <c r="A517" s="636" t="s">
        <v>3648</v>
      </c>
      <c r="B517" s="631"/>
      <c r="C517" s="631"/>
      <c r="D517" s="631"/>
      <c r="E517" s="631"/>
      <c r="F517" s="631"/>
      <c r="G517" s="631"/>
      <c r="H517" s="652"/>
      <c r="I517" s="631"/>
      <c r="J517" s="631"/>
      <c r="K517" s="631"/>
      <c r="L517" s="631"/>
      <c r="M517" s="631"/>
      <c r="N517" s="631"/>
      <c r="O517" s="631"/>
      <c r="P517" s="631"/>
      <c r="Q517" s="631"/>
      <c r="R517" s="631"/>
      <c r="S517" s="631"/>
      <c r="T517" s="631"/>
      <c r="U517" s="631"/>
      <c r="V517" s="631"/>
      <c r="W517" s="631"/>
      <c r="X517" s="631"/>
      <c r="Y517" s="631"/>
      <c r="Z517" s="631"/>
    </row>
    <row r="518" spans="1:26">
      <c r="A518" s="636" t="s">
        <v>3648</v>
      </c>
      <c r="B518" s="631"/>
      <c r="C518" s="631"/>
      <c r="D518" s="631"/>
      <c r="E518" s="631"/>
      <c r="F518" s="631"/>
      <c r="G518" s="631"/>
      <c r="H518" s="652"/>
      <c r="I518" s="631"/>
      <c r="J518" s="631"/>
      <c r="K518" s="631"/>
      <c r="L518" s="631"/>
      <c r="M518" s="631"/>
      <c r="N518" s="631"/>
      <c r="O518" s="631"/>
      <c r="P518" s="631"/>
      <c r="Q518" s="631"/>
      <c r="R518" s="631"/>
      <c r="S518" s="631"/>
      <c r="T518" s="631"/>
      <c r="U518" s="631"/>
      <c r="V518" s="631"/>
      <c r="W518" s="631"/>
      <c r="X518" s="631"/>
      <c r="Y518" s="631"/>
      <c r="Z518" s="631"/>
    </row>
    <row r="519" spans="1:26">
      <c r="A519" s="636" t="s">
        <v>3648</v>
      </c>
      <c r="B519" s="631"/>
      <c r="C519" s="631"/>
      <c r="D519" s="631"/>
      <c r="E519" s="631"/>
      <c r="F519" s="631"/>
      <c r="G519" s="631"/>
      <c r="H519" s="652"/>
      <c r="I519" s="631"/>
      <c r="J519" s="631"/>
      <c r="K519" s="631"/>
      <c r="L519" s="631"/>
      <c r="M519" s="631"/>
      <c r="N519" s="631"/>
      <c r="O519" s="631"/>
      <c r="P519" s="631"/>
      <c r="Q519" s="631"/>
      <c r="R519" s="631"/>
      <c r="S519" s="631"/>
      <c r="T519" s="631"/>
      <c r="U519" s="631"/>
      <c r="V519" s="631"/>
      <c r="W519" s="631"/>
      <c r="X519" s="631"/>
      <c r="Y519" s="631"/>
      <c r="Z519" s="631"/>
    </row>
    <row r="520" spans="1:26">
      <c r="A520" s="636" t="s">
        <v>3648</v>
      </c>
      <c r="B520" s="631"/>
      <c r="C520" s="631"/>
      <c r="D520" s="631"/>
      <c r="E520" s="631"/>
      <c r="F520" s="631"/>
      <c r="G520" s="631"/>
      <c r="H520" s="652"/>
      <c r="I520" s="631"/>
      <c r="J520" s="631"/>
      <c r="K520" s="631"/>
      <c r="L520" s="631"/>
      <c r="M520" s="631"/>
      <c r="N520" s="631"/>
      <c r="O520" s="631"/>
      <c r="P520" s="631"/>
      <c r="Q520" s="631"/>
      <c r="R520" s="631"/>
      <c r="S520" s="631"/>
      <c r="T520" s="631"/>
      <c r="U520" s="631"/>
      <c r="V520" s="631"/>
      <c r="W520" s="631"/>
      <c r="X520" s="631"/>
      <c r="Y520" s="631"/>
      <c r="Z520" s="631"/>
    </row>
    <row r="521" spans="1:26">
      <c r="A521" s="636" t="s">
        <v>3648</v>
      </c>
      <c r="B521" s="631"/>
      <c r="C521" s="631"/>
      <c r="D521" s="631"/>
      <c r="E521" s="631"/>
      <c r="F521" s="631"/>
      <c r="G521" s="631"/>
      <c r="H521" s="652"/>
      <c r="I521" s="631"/>
      <c r="J521" s="631"/>
      <c r="K521" s="631"/>
      <c r="L521" s="631"/>
      <c r="M521" s="631"/>
      <c r="N521" s="631"/>
      <c r="O521" s="631"/>
      <c r="P521" s="631"/>
      <c r="Q521" s="631"/>
      <c r="R521" s="631"/>
      <c r="S521" s="631"/>
      <c r="T521" s="631"/>
      <c r="U521" s="631"/>
      <c r="V521" s="631"/>
      <c r="W521" s="631"/>
      <c r="X521" s="631"/>
      <c r="Y521" s="631"/>
      <c r="Z521" s="631"/>
    </row>
    <row r="522" spans="1:26">
      <c r="A522" s="636" t="s">
        <v>3648</v>
      </c>
      <c r="B522" s="631"/>
      <c r="C522" s="631"/>
      <c r="D522" s="631"/>
      <c r="E522" s="631"/>
      <c r="F522" s="631"/>
      <c r="G522" s="631"/>
      <c r="H522" s="652"/>
      <c r="I522" s="631"/>
      <c r="J522" s="631"/>
      <c r="K522" s="631"/>
      <c r="L522" s="631"/>
      <c r="M522" s="631"/>
      <c r="N522" s="631"/>
      <c r="O522" s="631"/>
      <c r="P522" s="631"/>
      <c r="Q522" s="631"/>
      <c r="R522" s="631"/>
      <c r="S522" s="631"/>
      <c r="T522" s="631"/>
      <c r="U522" s="631"/>
      <c r="V522" s="631"/>
      <c r="W522" s="631"/>
      <c r="X522" s="631"/>
      <c r="Y522" s="631"/>
      <c r="Z522" s="631"/>
    </row>
    <row r="523" spans="1:26">
      <c r="A523" s="636" t="s">
        <v>3648</v>
      </c>
      <c r="B523" s="631"/>
      <c r="C523" s="631"/>
      <c r="D523" s="631"/>
      <c r="E523" s="631"/>
      <c r="F523" s="631"/>
      <c r="G523" s="631"/>
      <c r="H523" s="652"/>
      <c r="I523" s="631"/>
      <c r="J523" s="631"/>
      <c r="K523" s="631"/>
      <c r="L523" s="631"/>
      <c r="M523" s="631"/>
      <c r="N523" s="631"/>
      <c r="O523" s="631"/>
      <c r="P523" s="631"/>
      <c r="Q523" s="631"/>
      <c r="R523" s="631"/>
      <c r="S523" s="631"/>
      <c r="T523" s="631"/>
      <c r="U523" s="631"/>
      <c r="V523" s="631"/>
      <c r="W523" s="631"/>
      <c r="X523" s="631"/>
      <c r="Y523" s="631"/>
      <c r="Z523" s="631"/>
    </row>
    <row r="524" spans="1:26">
      <c r="A524" s="636" t="s">
        <v>3648</v>
      </c>
      <c r="B524" s="631"/>
      <c r="C524" s="631"/>
      <c r="D524" s="631"/>
      <c r="E524" s="631"/>
      <c r="F524" s="631"/>
      <c r="G524" s="631"/>
      <c r="H524" s="652"/>
      <c r="I524" s="631"/>
      <c r="J524" s="631"/>
      <c r="K524" s="631"/>
      <c r="L524" s="631"/>
      <c r="M524" s="631"/>
      <c r="N524" s="631"/>
      <c r="O524" s="631"/>
      <c r="P524" s="631"/>
      <c r="Q524" s="631"/>
      <c r="R524" s="631"/>
      <c r="S524" s="631"/>
      <c r="T524" s="631"/>
      <c r="U524" s="631"/>
      <c r="V524" s="631"/>
      <c r="W524" s="631"/>
      <c r="X524" s="631"/>
      <c r="Y524" s="631"/>
      <c r="Z524" s="631"/>
    </row>
    <row r="525" spans="1:26">
      <c r="A525" s="636" t="s">
        <v>3648</v>
      </c>
      <c r="B525" s="631"/>
      <c r="C525" s="631"/>
      <c r="D525" s="631"/>
      <c r="E525" s="631"/>
      <c r="F525" s="631"/>
      <c r="G525" s="631"/>
      <c r="H525" s="652"/>
      <c r="I525" s="631"/>
      <c r="J525" s="631"/>
      <c r="K525" s="631"/>
      <c r="L525" s="631"/>
      <c r="M525" s="631"/>
      <c r="N525" s="631"/>
      <c r="O525" s="631"/>
      <c r="P525" s="631"/>
      <c r="Q525" s="631"/>
      <c r="R525" s="631"/>
      <c r="S525" s="631"/>
      <c r="T525" s="631"/>
      <c r="U525" s="631"/>
      <c r="V525" s="631"/>
      <c r="W525" s="631"/>
      <c r="X525" s="631"/>
      <c r="Y525" s="631"/>
      <c r="Z525" s="631"/>
    </row>
    <row r="526" spans="1:26">
      <c r="A526" s="636" t="s">
        <v>3648</v>
      </c>
      <c r="B526" s="631"/>
      <c r="C526" s="631"/>
      <c r="D526" s="631"/>
      <c r="E526" s="631"/>
      <c r="F526" s="631"/>
      <c r="G526" s="631"/>
      <c r="H526" s="652"/>
      <c r="I526" s="631"/>
      <c r="J526" s="631"/>
      <c r="K526" s="631"/>
      <c r="L526" s="631"/>
      <c r="M526" s="631"/>
      <c r="N526" s="631"/>
      <c r="O526" s="631"/>
      <c r="P526" s="631"/>
      <c r="Q526" s="631"/>
      <c r="R526" s="631"/>
      <c r="S526" s="631"/>
      <c r="T526" s="631"/>
      <c r="U526" s="631"/>
      <c r="V526" s="631"/>
      <c r="W526" s="631"/>
      <c r="X526" s="631"/>
      <c r="Y526" s="631"/>
      <c r="Z526" s="631"/>
    </row>
    <row r="527" spans="1:26">
      <c r="A527" s="636" t="s">
        <v>3648</v>
      </c>
      <c r="B527" s="631"/>
      <c r="C527" s="631"/>
      <c r="D527" s="631"/>
      <c r="E527" s="631"/>
      <c r="F527" s="631"/>
      <c r="G527" s="631"/>
      <c r="H527" s="652"/>
      <c r="I527" s="631"/>
      <c r="J527" s="631"/>
      <c r="K527" s="631"/>
      <c r="L527" s="631"/>
      <c r="M527" s="631"/>
      <c r="N527" s="631"/>
      <c r="O527" s="631"/>
      <c r="P527" s="631"/>
      <c r="Q527" s="631"/>
      <c r="R527" s="631"/>
      <c r="S527" s="631"/>
      <c r="T527" s="631"/>
      <c r="U527" s="631"/>
      <c r="V527" s="631"/>
      <c r="W527" s="631"/>
      <c r="X527" s="631"/>
      <c r="Y527" s="631"/>
      <c r="Z527" s="631"/>
    </row>
    <row r="528" spans="1:26">
      <c r="A528" s="636" t="s">
        <v>3648</v>
      </c>
      <c r="B528" s="631"/>
      <c r="C528" s="631"/>
      <c r="D528" s="631"/>
      <c r="E528" s="631"/>
      <c r="F528" s="631"/>
      <c r="G528" s="631"/>
      <c r="H528" s="652"/>
      <c r="I528" s="631"/>
      <c r="J528" s="631"/>
      <c r="K528" s="631"/>
      <c r="L528" s="631"/>
      <c r="M528" s="631"/>
      <c r="N528" s="631"/>
      <c r="O528" s="631"/>
      <c r="P528" s="631"/>
      <c r="Q528" s="631"/>
      <c r="R528" s="631"/>
      <c r="S528" s="631"/>
      <c r="T528" s="631"/>
      <c r="U528" s="631"/>
      <c r="V528" s="631"/>
      <c r="W528" s="631"/>
      <c r="X528" s="631"/>
      <c r="Y528" s="631"/>
      <c r="Z528" s="631"/>
    </row>
    <row r="529" spans="1:26">
      <c r="A529" s="636" t="s">
        <v>3648</v>
      </c>
      <c r="B529" s="631"/>
      <c r="C529" s="631"/>
      <c r="D529" s="631"/>
      <c r="E529" s="631"/>
      <c r="F529" s="631"/>
      <c r="G529" s="631"/>
      <c r="H529" s="652"/>
      <c r="I529" s="631"/>
      <c r="J529" s="631"/>
      <c r="K529" s="631"/>
      <c r="L529" s="631"/>
      <c r="M529" s="631"/>
      <c r="N529" s="631"/>
      <c r="O529" s="631"/>
      <c r="P529" s="631"/>
      <c r="Q529" s="631"/>
      <c r="R529" s="631"/>
      <c r="S529" s="631"/>
      <c r="T529" s="631"/>
      <c r="U529" s="631"/>
      <c r="V529" s="631"/>
      <c r="W529" s="631"/>
      <c r="X529" s="631"/>
      <c r="Y529" s="631"/>
      <c r="Z529" s="631"/>
    </row>
    <row r="530" spans="1:26">
      <c r="A530" s="636" t="s">
        <v>3648</v>
      </c>
      <c r="B530" s="631"/>
      <c r="C530" s="631"/>
      <c r="D530" s="631"/>
      <c r="E530" s="631"/>
      <c r="F530" s="631"/>
      <c r="G530" s="631"/>
      <c r="H530" s="652"/>
      <c r="I530" s="631"/>
      <c r="J530" s="631"/>
      <c r="K530" s="631"/>
      <c r="L530" s="631"/>
      <c r="M530" s="631"/>
      <c r="N530" s="631"/>
      <c r="O530" s="631"/>
      <c r="P530" s="631"/>
      <c r="Q530" s="631"/>
      <c r="R530" s="631"/>
      <c r="S530" s="631"/>
      <c r="T530" s="631"/>
      <c r="U530" s="631"/>
      <c r="V530" s="631"/>
      <c r="W530" s="631"/>
      <c r="X530" s="631"/>
      <c r="Y530" s="631"/>
      <c r="Z530" s="631"/>
    </row>
    <row r="531" spans="1:26">
      <c r="A531" s="636" t="s">
        <v>3648</v>
      </c>
      <c r="B531" s="631"/>
      <c r="C531" s="631"/>
      <c r="D531" s="631"/>
      <c r="E531" s="631"/>
      <c r="F531" s="631"/>
      <c r="G531" s="631"/>
      <c r="H531" s="652"/>
      <c r="I531" s="631"/>
      <c r="J531" s="631"/>
      <c r="K531" s="631"/>
      <c r="L531" s="631"/>
      <c r="M531" s="631"/>
      <c r="N531" s="631"/>
      <c r="O531" s="631"/>
      <c r="P531" s="631"/>
      <c r="Q531" s="631"/>
      <c r="R531" s="631"/>
      <c r="S531" s="631"/>
      <c r="T531" s="631"/>
      <c r="U531" s="631"/>
      <c r="V531" s="631"/>
      <c r="W531" s="631"/>
      <c r="X531" s="631"/>
      <c r="Y531" s="631"/>
      <c r="Z531" s="631"/>
    </row>
    <row r="532" spans="1:26">
      <c r="A532" s="636" t="s">
        <v>3648</v>
      </c>
      <c r="B532" s="631"/>
      <c r="C532" s="631"/>
      <c r="D532" s="631"/>
      <c r="E532" s="631"/>
      <c r="F532" s="631"/>
      <c r="G532" s="631"/>
      <c r="H532" s="652"/>
      <c r="I532" s="631"/>
      <c r="J532" s="631"/>
      <c r="K532" s="631"/>
      <c r="L532" s="631"/>
      <c r="M532" s="631"/>
      <c r="N532" s="631"/>
      <c r="O532" s="631"/>
      <c r="P532" s="631"/>
      <c r="Q532" s="631"/>
      <c r="R532" s="631"/>
      <c r="S532" s="631"/>
      <c r="T532" s="631"/>
      <c r="U532" s="631"/>
      <c r="V532" s="631"/>
      <c r="W532" s="631"/>
      <c r="X532" s="631"/>
      <c r="Y532" s="631"/>
      <c r="Z532" s="631"/>
    </row>
    <row r="533" spans="1:26">
      <c r="A533" s="636" t="s">
        <v>3648</v>
      </c>
      <c r="B533" s="631"/>
      <c r="C533" s="631"/>
      <c r="D533" s="631"/>
      <c r="E533" s="631"/>
      <c r="F533" s="631"/>
      <c r="G533" s="631"/>
      <c r="H533" s="652"/>
      <c r="I533" s="631"/>
      <c r="J533" s="631"/>
      <c r="K533" s="631"/>
      <c r="L533" s="631"/>
      <c r="M533" s="631"/>
      <c r="N533" s="631"/>
      <c r="O533" s="631"/>
      <c r="P533" s="631"/>
      <c r="Q533" s="631"/>
      <c r="R533" s="631"/>
      <c r="S533" s="631"/>
      <c r="T533" s="631"/>
      <c r="U533" s="631"/>
      <c r="V533" s="631"/>
      <c r="W533" s="631"/>
      <c r="X533" s="631"/>
      <c r="Y533" s="631"/>
      <c r="Z533" s="631"/>
    </row>
    <row r="534" spans="1:26">
      <c r="A534" s="636" t="s">
        <v>3648</v>
      </c>
      <c r="B534" s="631"/>
      <c r="C534" s="631"/>
      <c r="D534" s="631"/>
      <c r="E534" s="631"/>
      <c r="F534" s="631"/>
      <c r="G534" s="631"/>
      <c r="H534" s="652"/>
      <c r="I534" s="631"/>
      <c r="J534" s="631"/>
      <c r="K534" s="631"/>
      <c r="L534" s="631"/>
      <c r="M534" s="631"/>
      <c r="N534" s="631"/>
      <c r="O534" s="631"/>
      <c r="P534" s="631"/>
      <c r="Q534" s="631"/>
      <c r="R534" s="631"/>
      <c r="S534" s="631"/>
      <c r="T534" s="631"/>
      <c r="U534" s="631"/>
      <c r="V534" s="631"/>
      <c r="W534" s="631"/>
      <c r="X534" s="631"/>
      <c r="Y534" s="631"/>
      <c r="Z534" s="631"/>
    </row>
    <row r="535" spans="1:26">
      <c r="A535" s="636" t="s">
        <v>3648</v>
      </c>
      <c r="B535" s="631"/>
      <c r="C535" s="631"/>
      <c r="D535" s="631"/>
      <c r="E535" s="631"/>
      <c r="F535" s="631"/>
      <c r="G535" s="631"/>
      <c r="H535" s="652"/>
      <c r="I535" s="631"/>
      <c r="J535" s="631"/>
      <c r="K535" s="631"/>
      <c r="L535" s="631"/>
      <c r="M535" s="631"/>
      <c r="N535" s="631"/>
      <c r="O535" s="631"/>
      <c r="P535" s="631"/>
      <c r="Q535" s="631"/>
      <c r="R535" s="631"/>
      <c r="S535" s="631"/>
      <c r="T535" s="631"/>
      <c r="U535" s="631"/>
      <c r="V535" s="631"/>
      <c r="W535" s="631"/>
      <c r="X535" s="631"/>
      <c r="Y535" s="631"/>
      <c r="Z535" s="631"/>
    </row>
    <row r="536" spans="1:26">
      <c r="A536" s="636" t="s">
        <v>3648</v>
      </c>
      <c r="B536" s="631"/>
      <c r="C536" s="631"/>
      <c r="D536" s="631"/>
      <c r="E536" s="631"/>
      <c r="F536" s="631"/>
      <c r="G536" s="631"/>
      <c r="H536" s="652"/>
      <c r="I536" s="631"/>
      <c r="J536" s="631"/>
      <c r="K536" s="631"/>
      <c r="L536" s="631"/>
      <c r="M536" s="631"/>
      <c r="N536" s="631"/>
      <c r="O536" s="631"/>
      <c r="P536" s="631"/>
      <c r="Q536" s="631"/>
      <c r="R536" s="631"/>
      <c r="S536" s="631"/>
      <c r="T536" s="631"/>
      <c r="U536" s="631"/>
      <c r="V536" s="631"/>
      <c r="W536" s="631"/>
      <c r="X536" s="631"/>
      <c r="Y536" s="631"/>
      <c r="Z536" s="631"/>
    </row>
    <row r="537" spans="1:26">
      <c r="A537" s="636" t="s">
        <v>3648</v>
      </c>
      <c r="B537" s="631"/>
      <c r="C537" s="631"/>
      <c r="D537" s="631"/>
      <c r="E537" s="631"/>
      <c r="F537" s="631"/>
      <c r="G537" s="631"/>
      <c r="H537" s="652"/>
      <c r="I537" s="631"/>
      <c r="J537" s="631"/>
      <c r="K537" s="631"/>
      <c r="L537" s="631"/>
      <c r="M537" s="631"/>
      <c r="N537" s="631"/>
      <c r="O537" s="631"/>
      <c r="P537" s="631"/>
      <c r="Q537" s="631"/>
      <c r="R537" s="631"/>
      <c r="S537" s="631"/>
      <c r="T537" s="631"/>
      <c r="U537" s="631"/>
      <c r="V537" s="631"/>
      <c r="W537" s="631"/>
      <c r="X537" s="631"/>
      <c r="Y537" s="631"/>
      <c r="Z537" s="631"/>
    </row>
    <row r="538" spans="1:26">
      <c r="A538" s="636" t="s">
        <v>3648</v>
      </c>
      <c r="B538" s="631"/>
      <c r="C538" s="631"/>
      <c r="D538" s="631"/>
      <c r="E538" s="631"/>
      <c r="F538" s="631"/>
      <c r="G538" s="631"/>
      <c r="H538" s="652"/>
      <c r="I538" s="631"/>
      <c r="J538" s="631"/>
      <c r="K538" s="631"/>
      <c r="L538" s="631"/>
      <c r="M538" s="631"/>
      <c r="N538" s="631"/>
      <c r="O538" s="631"/>
      <c r="P538" s="631"/>
      <c r="Q538" s="631"/>
      <c r="R538" s="631"/>
      <c r="S538" s="631"/>
      <c r="T538" s="631"/>
      <c r="U538" s="631"/>
      <c r="V538" s="631"/>
      <c r="W538" s="631"/>
      <c r="X538" s="631"/>
      <c r="Y538" s="631"/>
      <c r="Z538" s="631"/>
    </row>
    <row r="539" spans="1:26">
      <c r="A539" s="636" t="s">
        <v>3648</v>
      </c>
      <c r="B539" s="631"/>
      <c r="C539" s="631"/>
      <c r="D539" s="631"/>
      <c r="E539" s="631"/>
      <c r="F539" s="631"/>
      <c r="G539" s="631"/>
      <c r="H539" s="652"/>
      <c r="I539" s="631"/>
      <c r="J539" s="631"/>
      <c r="K539" s="631"/>
      <c r="L539" s="631"/>
      <c r="M539" s="631"/>
      <c r="N539" s="631"/>
      <c r="O539" s="631"/>
      <c r="P539" s="631"/>
      <c r="Q539" s="631"/>
      <c r="R539" s="631"/>
      <c r="S539" s="631"/>
      <c r="T539" s="631"/>
      <c r="U539" s="631"/>
      <c r="V539" s="631"/>
      <c r="W539" s="631"/>
      <c r="X539" s="631"/>
      <c r="Y539" s="631"/>
      <c r="Z539" s="631"/>
    </row>
    <row r="540" spans="1:26">
      <c r="A540" s="636" t="s">
        <v>3648</v>
      </c>
      <c r="B540" s="631"/>
      <c r="C540" s="631"/>
      <c r="D540" s="631"/>
      <c r="E540" s="631"/>
      <c r="F540" s="631"/>
      <c r="G540" s="631"/>
      <c r="H540" s="652"/>
      <c r="I540" s="631"/>
      <c r="J540" s="631"/>
      <c r="K540" s="631"/>
      <c r="L540" s="631"/>
      <c r="M540" s="631"/>
      <c r="N540" s="631"/>
      <c r="O540" s="631"/>
      <c r="P540" s="631"/>
      <c r="Q540" s="631"/>
      <c r="R540" s="631"/>
      <c r="S540" s="631"/>
      <c r="T540" s="631"/>
      <c r="U540" s="631"/>
      <c r="V540" s="631"/>
      <c r="W540" s="631"/>
      <c r="X540" s="631"/>
      <c r="Y540" s="631"/>
      <c r="Z540" s="631"/>
    </row>
    <row r="541" spans="1:26">
      <c r="A541" s="636" t="s">
        <v>3648</v>
      </c>
      <c r="B541" s="631"/>
      <c r="C541" s="631"/>
      <c r="D541" s="631"/>
      <c r="E541" s="631"/>
      <c r="F541" s="631"/>
      <c r="G541" s="631"/>
      <c r="H541" s="652"/>
      <c r="I541" s="631"/>
      <c r="J541" s="631"/>
      <c r="K541" s="631"/>
      <c r="L541" s="631"/>
      <c r="M541" s="631"/>
      <c r="N541" s="631"/>
      <c r="O541" s="631"/>
      <c r="P541" s="631"/>
      <c r="Q541" s="631"/>
      <c r="R541" s="631"/>
      <c r="S541" s="631"/>
      <c r="T541" s="631"/>
      <c r="U541" s="631"/>
      <c r="V541" s="631"/>
      <c r="W541" s="631"/>
      <c r="X541" s="631"/>
      <c r="Y541" s="631"/>
      <c r="Z541" s="631"/>
    </row>
    <row r="542" spans="1:26">
      <c r="A542" s="636" t="s">
        <v>3648</v>
      </c>
      <c r="B542" s="631"/>
      <c r="C542" s="631"/>
      <c r="D542" s="631"/>
      <c r="E542" s="631"/>
      <c r="F542" s="631"/>
      <c r="G542" s="631"/>
      <c r="H542" s="652"/>
      <c r="I542" s="631"/>
      <c r="J542" s="631"/>
      <c r="K542" s="631"/>
      <c r="L542" s="631"/>
      <c r="M542" s="631"/>
      <c r="N542" s="631"/>
      <c r="O542" s="631"/>
      <c r="P542" s="631"/>
      <c r="Q542" s="631"/>
      <c r="R542" s="631"/>
      <c r="S542" s="631"/>
      <c r="T542" s="631"/>
      <c r="U542" s="631"/>
      <c r="V542" s="631"/>
      <c r="W542" s="631"/>
      <c r="X542" s="631"/>
      <c r="Y542" s="631"/>
      <c r="Z542" s="631"/>
    </row>
    <row r="543" spans="1:26">
      <c r="A543" s="636" t="s">
        <v>3648</v>
      </c>
      <c r="B543" s="631"/>
      <c r="C543" s="631"/>
      <c r="D543" s="631"/>
      <c r="E543" s="631"/>
      <c r="F543" s="631"/>
      <c r="G543" s="631"/>
      <c r="H543" s="652"/>
      <c r="I543" s="631"/>
      <c r="J543" s="631"/>
      <c r="K543" s="631"/>
      <c r="L543" s="631"/>
      <c r="M543" s="631"/>
      <c r="N543" s="631"/>
      <c r="O543" s="631"/>
      <c r="P543" s="631"/>
      <c r="Q543" s="631"/>
      <c r="R543" s="631"/>
      <c r="S543" s="631"/>
      <c r="T543" s="631"/>
      <c r="U543" s="631"/>
      <c r="V543" s="631"/>
      <c r="W543" s="631"/>
      <c r="X543" s="631"/>
      <c r="Y543" s="631"/>
      <c r="Z543" s="631"/>
    </row>
    <row r="544" spans="1:26">
      <c r="A544" s="636" t="s">
        <v>3648</v>
      </c>
      <c r="B544" s="631"/>
      <c r="C544" s="631"/>
      <c r="D544" s="631"/>
      <c r="E544" s="631"/>
      <c r="F544" s="631"/>
      <c r="G544" s="631"/>
      <c r="H544" s="652"/>
      <c r="I544" s="631"/>
      <c r="J544" s="631"/>
      <c r="K544" s="631"/>
      <c r="L544" s="631"/>
      <c r="M544" s="631"/>
      <c r="N544" s="631"/>
      <c r="O544" s="631"/>
      <c r="P544" s="631"/>
      <c r="Q544" s="631"/>
      <c r="R544" s="631"/>
      <c r="S544" s="631"/>
      <c r="T544" s="631"/>
      <c r="U544" s="631"/>
      <c r="V544" s="631"/>
      <c r="W544" s="631"/>
      <c r="X544" s="631"/>
      <c r="Y544" s="631"/>
      <c r="Z544" s="631"/>
    </row>
    <row r="545" spans="1:26">
      <c r="A545" s="636" t="s">
        <v>3648</v>
      </c>
      <c r="B545" s="631"/>
      <c r="C545" s="631"/>
      <c r="D545" s="631"/>
      <c r="E545" s="631"/>
      <c r="F545" s="631"/>
      <c r="G545" s="631"/>
      <c r="H545" s="652"/>
      <c r="I545" s="631"/>
      <c r="J545" s="631"/>
      <c r="K545" s="631"/>
      <c r="L545" s="631"/>
      <c r="M545" s="631"/>
      <c r="N545" s="631"/>
      <c r="O545" s="631"/>
      <c r="P545" s="631"/>
      <c r="Q545" s="631"/>
      <c r="R545" s="631"/>
      <c r="S545" s="631"/>
      <c r="T545" s="631"/>
      <c r="U545" s="631"/>
      <c r="V545" s="631"/>
      <c r="W545" s="631"/>
      <c r="X545" s="631"/>
      <c r="Y545" s="631"/>
      <c r="Z545" s="631"/>
    </row>
    <row r="546" spans="1:26">
      <c r="A546" s="636" t="s">
        <v>3648</v>
      </c>
      <c r="B546" s="631"/>
      <c r="C546" s="631"/>
      <c r="D546" s="631"/>
      <c r="E546" s="631"/>
      <c r="F546" s="631"/>
      <c r="G546" s="631"/>
      <c r="H546" s="652"/>
      <c r="I546" s="631"/>
      <c r="J546" s="631"/>
      <c r="K546" s="631"/>
      <c r="L546" s="631"/>
      <c r="M546" s="631"/>
      <c r="N546" s="631"/>
      <c r="O546" s="631"/>
      <c r="P546" s="631"/>
      <c r="Q546" s="631"/>
      <c r="R546" s="631"/>
      <c r="S546" s="631"/>
      <c r="T546" s="631"/>
      <c r="U546" s="631"/>
      <c r="V546" s="631"/>
      <c r="W546" s="631"/>
      <c r="X546" s="631"/>
      <c r="Y546" s="631"/>
      <c r="Z546" s="631"/>
    </row>
    <row r="547" spans="1:26">
      <c r="A547" s="636" t="s">
        <v>3648</v>
      </c>
      <c r="B547" s="631"/>
      <c r="C547" s="631"/>
      <c r="D547" s="631"/>
      <c r="E547" s="631"/>
      <c r="F547" s="631"/>
      <c r="G547" s="631"/>
      <c r="H547" s="652"/>
      <c r="I547" s="631"/>
      <c r="J547" s="631"/>
      <c r="K547" s="631"/>
      <c r="L547" s="631"/>
      <c r="M547" s="631"/>
      <c r="N547" s="631"/>
      <c r="O547" s="631"/>
      <c r="P547" s="631"/>
      <c r="Q547" s="631"/>
      <c r="R547" s="631"/>
      <c r="S547" s="631"/>
      <c r="T547" s="631"/>
      <c r="U547" s="631"/>
      <c r="V547" s="631"/>
      <c r="W547" s="631"/>
      <c r="X547" s="631"/>
      <c r="Y547" s="631"/>
      <c r="Z547" s="631"/>
    </row>
    <row r="548" spans="1:26">
      <c r="A548" s="636" t="s">
        <v>3648</v>
      </c>
      <c r="B548" s="631"/>
      <c r="C548" s="631"/>
      <c r="D548" s="631"/>
      <c r="E548" s="631"/>
      <c r="F548" s="631"/>
      <c r="G548" s="631"/>
      <c r="H548" s="652"/>
      <c r="I548" s="631"/>
      <c r="J548" s="631"/>
      <c r="K548" s="631"/>
      <c r="L548" s="631"/>
      <c r="M548" s="631"/>
      <c r="N548" s="631"/>
      <c r="O548" s="631"/>
      <c r="P548" s="631"/>
      <c r="Q548" s="631"/>
      <c r="R548" s="631"/>
      <c r="S548" s="631"/>
      <c r="T548" s="631"/>
      <c r="U548" s="631"/>
      <c r="V548" s="631"/>
      <c r="W548" s="631"/>
      <c r="X548" s="631"/>
      <c r="Y548" s="631"/>
      <c r="Z548" s="631"/>
    </row>
    <row r="549" spans="1:26">
      <c r="A549" s="636" t="s">
        <v>3648</v>
      </c>
      <c r="B549" s="631"/>
      <c r="C549" s="631"/>
      <c r="D549" s="631"/>
      <c r="E549" s="631"/>
      <c r="F549" s="631"/>
      <c r="G549" s="631"/>
      <c r="H549" s="652"/>
      <c r="I549" s="631"/>
      <c r="J549" s="631"/>
      <c r="K549" s="631"/>
      <c r="L549" s="631"/>
      <c r="M549" s="631"/>
      <c r="N549" s="631"/>
      <c r="O549" s="631"/>
      <c r="P549" s="631"/>
      <c r="Q549" s="631"/>
      <c r="R549" s="631"/>
      <c r="S549" s="631"/>
      <c r="T549" s="631"/>
      <c r="U549" s="631"/>
      <c r="V549" s="631"/>
      <c r="W549" s="631"/>
      <c r="X549" s="631"/>
      <c r="Y549" s="631"/>
      <c r="Z549" s="631"/>
    </row>
    <row r="550" spans="1:26">
      <c r="A550" s="636" t="s">
        <v>3648</v>
      </c>
      <c r="B550" s="631"/>
      <c r="C550" s="631"/>
      <c r="D550" s="631"/>
      <c r="E550" s="631"/>
      <c r="F550" s="631"/>
      <c r="G550" s="631"/>
      <c r="H550" s="652"/>
      <c r="I550" s="631"/>
      <c r="J550" s="631"/>
      <c r="K550" s="631"/>
      <c r="L550" s="631"/>
      <c r="M550" s="631"/>
      <c r="N550" s="631"/>
      <c r="O550" s="631"/>
      <c r="P550" s="631"/>
      <c r="Q550" s="631"/>
      <c r="R550" s="631"/>
      <c r="S550" s="631"/>
      <c r="T550" s="631"/>
      <c r="U550" s="631"/>
      <c r="V550" s="631"/>
      <c r="W550" s="631"/>
      <c r="X550" s="631"/>
      <c r="Y550" s="631"/>
      <c r="Z550" s="631"/>
    </row>
    <row r="551" spans="1:26">
      <c r="A551" s="636" t="s">
        <v>3648</v>
      </c>
      <c r="B551" s="631"/>
      <c r="C551" s="631"/>
      <c r="D551" s="631"/>
      <c r="E551" s="631"/>
      <c r="F551" s="631"/>
      <c r="G551" s="631"/>
      <c r="H551" s="652"/>
      <c r="I551" s="631"/>
      <c r="J551" s="631"/>
      <c r="K551" s="631"/>
      <c r="L551" s="631"/>
      <c r="M551" s="631"/>
      <c r="N551" s="631"/>
      <c r="O551" s="631"/>
      <c r="P551" s="631"/>
      <c r="Q551" s="631"/>
      <c r="R551" s="631"/>
      <c r="S551" s="631"/>
      <c r="T551" s="631"/>
      <c r="U551" s="631"/>
      <c r="V551" s="631"/>
      <c r="W551" s="631"/>
      <c r="X551" s="631"/>
      <c r="Y551" s="631"/>
      <c r="Z551" s="631"/>
    </row>
    <row r="552" spans="1:26">
      <c r="A552" s="636" t="s">
        <v>3648</v>
      </c>
      <c r="B552" s="631"/>
      <c r="C552" s="631"/>
      <c r="D552" s="631"/>
      <c r="E552" s="631"/>
      <c r="F552" s="631"/>
      <c r="G552" s="631"/>
      <c r="H552" s="652"/>
      <c r="I552" s="631"/>
      <c r="J552" s="631"/>
      <c r="K552" s="631"/>
      <c r="L552" s="631"/>
      <c r="M552" s="631"/>
      <c r="N552" s="631"/>
      <c r="O552" s="631"/>
      <c r="P552" s="631"/>
      <c r="Q552" s="631"/>
      <c r="R552" s="631"/>
      <c r="S552" s="631"/>
      <c r="T552" s="631"/>
      <c r="U552" s="631"/>
      <c r="V552" s="631"/>
      <c r="W552" s="631"/>
      <c r="X552" s="631"/>
      <c r="Y552" s="631"/>
      <c r="Z552" s="631"/>
    </row>
    <row r="553" spans="1:26">
      <c r="A553" s="636" t="s">
        <v>3648</v>
      </c>
      <c r="B553" s="631"/>
      <c r="C553" s="631"/>
      <c r="D553" s="631"/>
      <c r="E553" s="631"/>
      <c r="F553" s="631"/>
      <c r="G553" s="631"/>
      <c r="H553" s="652"/>
      <c r="I553" s="631"/>
      <c r="J553" s="631"/>
      <c r="K553" s="631"/>
      <c r="L553" s="631"/>
      <c r="M553" s="631"/>
      <c r="N553" s="631"/>
      <c r="O553" s="631"/>
      <c r="P553" s="631"/>
      <c r="Q553" s="631"/>
      <c r="R553" s="631"/>
      <c r="S553" s="631"/>
      <c r="T553" s="631"/>
      <c r="U553" s="631"/>
      <c r="V553" s="631"/>
      <c r="W553" s="631"/>
      <c r="X553" s="631"/>
      <c r="Y553" s="631"/>
      <c r="Z553" s="631"/>
    </row>
    <row r="554" spans="1:26">
      <c r="A554" s="636" t="s">
        <v>3648</v>
      </c>
      <c r="B554" s="631"/>
      <c r="C554" s="631"/>
      <c r="D554" s="631"/>
      <c r="E554" s="631"/>
      <c r="F554" s="631"/>
      <c r="G554" s="631"/>
      <c r="H554" s="652"/>
      <c r="I554" s="631"/>
      <c r="J554" s="631"/>
      <c r="K554" s="631"/>
      <c r="L554" s="631"/>
      <c r="M554" s="631"/>
      <c r="N554" s="631"/>
      <c r="O554" s="631"/>
      <c r="P554" s="631"/>
      <c r="Q554" s="631"/>
      <c r="R554" s="631"/>
      <c r="S554" s="631"/>
      <c r="T554" s="631"/>
      <c r="U554" s="631"/>
      <c r="V554" s="631"/>
      <c r="W554" s="631"/>
      <c r="X554" s="631"/>
      <c r="Y554" s="631"/>
      <c r="Z554" s="631"/>
    </row>
    <row r="555" spans="1:26">
      <c r="A555" s="636" t="s">
        <v>3648</v>
      </c>
      <c r="B555" s="631"/>
      <c r="C555" s="631"/>
      <c r="D555" s="631"/>
      <c r="E555" s="631"/>
      <c r="F555" s="631"/>
      <c r="G555" s="631"/>
      <c r="H555" s="652"/>
      <c r="I555" s="631"/>
      <c r="J555" s="631"/>
      <c r="K555" s="631"/>
      <c r="L555" s="631"/>
      <c r="M555" s="631"/>
      <c r="N555" s="631"/>
      <c r="O555" s="631"/>
      <c r="P555" s="631"/>
      <c r="Q555" s="631"/>
      <c r="R555" s="631"/>
      <c r="S555" s="631"/>
      <c r="T555" s="631"/>
      <c r="U555" s="631"/>
      <c r="V555" s="631"/>
      <c r="W555" s="631"/>
      <c r="X555" s="631"/>
      <c r="Y555" s="631"/>
      <c r="Z555" s="631"/>
    </row>
    <row r="556" spans="1:26">
      <c r="A556" s="636" t="s">
        <v>3648</v>
      </c>
      <c r="B556" s="631"/>
      <c r="C556" s="631"/>
      <c r="D556" s="631"/>
      <c r="E556" s="631"/>
      <c r="F556" s="631"/>
      <c r="G556" s="631"/>
      <c r="H556" s="652"/>
      <c r="I556" s="631"/>
      <c r="J556" s="631"/>
      <c r="K556" s="631"/>
      <c r="L556" s="631"/>
      <c r="M556" s="631"/>
      <c r="N556" s="631"/>
      <c r="O556" s="631"/>
      <c r="P556" s="631"/>
      <c r="Q556" s="631"/>
      <c r="R556" s="631"/>
      <c r="S556" s="631"/>
      <c r="T556" s="631"/>
      <c r="U556" s="631"/>
      <c r="V556" s="631"/>
      <c r="W556" s="631"/>
      <c r="X556" s="631"/>
      <c r="Y556" s="631"/>
      <c r="Z556" s="631"/>
    </row>
    <row r="557" spans="1:26">
      <c r="A557" s="636" t="s">
        <v>3648</v>
      </c>
      <c r="B557" s="631"/>
      <c r="C557" s="631"/>
      <c r="D557" s="631"/>
      <c r="E557" s="631"/>
      <c r="F557" s="631"/>
      <c r="G557" s="631"/>
      <c r="H557" s="652"/>
      <c r="I557" s="631"/>
      <c r="J557" s="631"/>
      <c r="K557" s="631"/>
      <c r="L557" s="631"/>
      <c r="M557" s="631"/>
      <c r="N557" s="631"/>
      <c r="O557" s="631"/>
      <c r="P557" s="631"/>
      <c r="Q557" s="631"/>
      <c r="R557" s="631"/>
      <c r="S557" s="631"/>
      <c r="T557" s="631"/>
      <c r="U557" s="631"/>
      <c r="V557" s="631"/>
      <c r="W557" s="631"/>
      <c r="X557" s="631"/>
      <c r="Y557" s="631"/>
      <c r="Z557" s="631"/>
    </row>
    <row r="558" spans="1:26">
      <c r="A558" s="636" t="s">
        <v>3648</v>
      </c>
      <c r="B558" s="631"/>
      <c r="C558" s="631"/>
      <c r="D558" s="631"/>
      <c r="E558" s="631"/>
      <c r="F558" s="631"/>
      <c r="G558" s="631"/>
      <c r="H558" s="652"/>
      <c r="I558" s="631"/>
      <c r="J558" s="631"/>
      <c r="K558" s="631"/>
      <c r="L558" s="631"/>
      <c r="M558" s="631"/>
      <c r="N558" s="631"/>
      <c r="O558" s="631"/>
      <c r="P558" s="631"/>
      <c r="Q558" s="631"/>
      <c r="R558" s="631"/>
      <c r="S558" s="631"/>
      <c r="T558" s="631"/>
      <c r="U558" s="631"/>
      <c r="V558" s="631"/>
      <c r="W558" s="631"/>
      <c r="X558" s="631"/>
      <c r="Y558" s="631"/>
      <c r="Z558" s="631"/>
    </row>
    <row r="559" spans="1:26">
      <c r="A559" s="636" t="s">
        <v>3648</v>
      </c>
      <c r="B559" s="631"/>
      <c r="C559" s="631"/>
      <c r="D559" s="631"/>
      <c r="E559" s="631"/>
      <c r="F559" s="631"/>
      <c r="G559" s="631"/>
      <c r="H559" s="652"/>
      <c r="I559" s="631"/>
      <c r="J559" s="631"/>
      <c r="K559" s="631"/>
      <c r="L559" s="631"/>
      <c r="M559" s="631"/>
      <c r="N559" s="631"/>
      <c r="O559" s="631"/>
      <c r="P559" s="631"/>
      <c r="Q559" s="631"/>
      <c r="R559" s="631"/>
      <c r="S559" s="631"/>
      <c r="T559" s="631"/>
      <c r="U559" s="631"/>
      <c r="V559" s="631"/>
      <c r="W559" s="631"/>
      <c r="X559" s="631"/>
      <c r="Y559" s="631"/>
      <c r="Z559" s="631"/>
    </row>
    <row r="560" spans="1:26">
      <c r="A560" s="636" t="s">
        <v>3648</v>
      </c>
      <c r="B560" s="631"/>
      <c r="C560" s="631"/>
      <c r="D560" s="631"/>
      <c r="E560" s="631"/>
      <c r="F560" s="631"/>
      <c r="G560" s="631"/>
      <c r="H560" s="652"/>
      <c r="I560" s="631"/>
      <c r="J560" s="631"/>
      <c r="K560" s="631"/>
      <c r="L560" s="631"/>
      <c r="M560" s="631"/>
      <c r="N560" s="631"/>
      <c r="O560" s="631"/>
      <c r="P560" s="631"/>
      <c r="Q560" s="631"/>
      <c r="R560" s="631"/>
      <c r="S560" s="631"/>
      <c r="T560" s="631"/>
      <c r="U560" s="631"/>
      <c r="V560" s="631"/>
      <c r="W560" s="631"/>
      <c r="X560" s="631"/>
      <c r="Y560" s="631"/>
      <c r="Z560" s="631"/>
    </row>
    <row r="561" spans="1:26">
      <c r="A561" s="636" t="s">
        <v>3648</v>
      </c>
      <c r="B561" s="631"/>
      <c r="C561" s="631"/>
      <c r="D561" s="631"/>
      <c r="E561" s="631"/>
      <c r="F561" s="631"/>
      <c r="G561" s="631"/>
      <c r="H561" s="652"/>
      <c r="I561" s="631"/>
      <c r="J561" s="631"/>
      <c r="K561" s="631"/>
      <c r="L561" s="631"/>
      <c r="M561" s="631"/>
      <c r="N561" s="631"/>
      <c r="O561" s="631"/>
      <c r="P561" s="631"/>
      <c r="Q561" s="631"/>
      <c r="R561" s="631"/>
      <c r="S561" s="631"/>
      <c r="T561" s="631"/>
      <c r="U561" s="631"/>
      <c r="V561" s="631"/>
      <c r="W561" s="631"/>
      <c r="X561" s="631"/>
      <c r="Y561" s="631"/>
      <c r="Z561" s="631"/>
    </row>
    <row r="562" spans="1:26">
      <c r="A562" s="636" t="s">
        <v>3648</v>
      </c>
      <c r="B562" s="631"/>
      <c r="C562" s="631"/>
      <c r="D562" s="631"/>
      <c r="E562" s="631"/>
      <c r="F562" s="631"/>
      <c r="G562" s="631"/>
      <c r="H562" s="652"/>
      <c r="I562" s="631"/>
      <c r="J562" s="631"/>
      <c r="K562" s="631"/>
      <c r="L562" s="631"/>
      <c r="M562" s="631"/>
      <c r="N562" s="631"/>
      <c r="O562" s="631"/>
      <c r="P562" s="631"/>
      <c r="Q562" s="631"/>
      <c r="R562" s="631"/>
      <c r="S562" s="631"/>
      <c r="T562" s="631"/>
      <c r="U562" s="631"/>
      <c r="V562" s="631"/>
      <c r="W562" s="631"/>
      <c r="X562" s="631"/>
      <c r="Y562" s="631"/>
      <c r="Z562" s="631"/>
    </row>
    <row r="563" spans="1:26">
      <c r="A563" s="636" t="s">
        <v>3648</v>
      </c>
      <c r="B563" s="631"/>
      <c r="C563" s="631"/>
      <c r="D563" s="631"/>
      <c r="E563" s="631"/>
      <c r="F563" s="631"/>
      <c r="G563" s="631"/>
      <c r="H563" s="652"/>
      <c r="I563" s="631"/>
      <c r="J563" s="631"/>
      <c r="K563" s="631"/>
      <c r="L563" s="631"/>
      <c r="M563" s="631"/>
      <c r="N563" s="631"/>
      <c r="O563" s="631"/>
      <c r="P563" s="631"/>
      <c r="Q563" s="631"/>
      <c r="R563" s="631"/>
      <c r="S563" s="631"/>
      <c r="T563" s="631"/>
      <c r="U563" s="631"/>
      <c r="V563" s="631"/>
      <c r="W563" s="631"/>
      <c r="X563" s="631"/>
      <c r="Y563" s="631"/>
      <c r="Z563" s="631"/>
    </row>
    <row r="564" spans="1:26">
      <c r="A564" s="636" t="s">
        <v>3648</v>
      </c>
      <c r="B564" s="631"/>
      <c r="C564" s="631"/>
      <c r="D564" s="631"/>
      <c r="E564" s="631"/>
      <c r="F564" s="631"/>
      <c r="G564" s="631"/>
      <c r="H564" s="652"/>
      <c r="I564" s="631"/>
      <c r="J564" s="631"/>
      <c r="K564" s="631"/>
      <c r="L564" s="631"/>
      <c r="M564" s="631"/>
      <c r="N564" s="631"/>
      <c r="O564" s="631"/>
      <c r="P564" s="631"/>
      <c r="Q564" s="631"/>
      <c r="R564" s="631"/>
      <c r="S564" s="631"/>
      <c r="T564" s="631"/>
      <c r="U564" s="631"/>
      <c r="V564" s="631"/>
      <c r="W564" s="631"/>
      <c r="X564" s="631"/>
      <c r="Y564" s="631"/>
      <c r="Z564" s="631"/>
    </row>
    <row r="565" spans="1:26">
      <c r="A565" s="636" t="s">
        <v>3648</v>
      </c>
      <c r="B565" s="631"/>
      <c r="C565" s="631"/>
      <c r="D565" s="631"/>
      <c r="E565" s="631"/>
      <c r="F565" s="631"/>
      <c r="G565" s="631"/>
      <c r="H565" s="652"/>
      <c r="I565" s="631"/>
      <c r="J565" s="631"/>
      <c r="K565" s="631"/>
      <c r="L565" s="631"/>
      <c r="M565" s="631"/>
      <c r="N565" s="631"/>
      <c r="O565" s="631"/>
      <c r="P565" s="631"/>
      <c r="Q565" s="631"/>
      <c r="R565" s="631"/>
      <c r="S565" s="631"/>
      <c r="T565" s="631"/>
      <c r="U565" s="631"/>
      <c r="V565" s="631"/>
      <c r="W565" s="631"/>
      <c r="X565" s="631"/>
      <c r="Y565" s="631"/>
      <c r="Z565" s="631"/>
    </row>
    <row r="566" spans="1:26">
      <c r="A566" s="636" t="s">
        <v>3648</v>
      </c>
      <c r="B566" s="631"/>
      <c r="C566" s="631"/>
      <c r="D566" s="631"/>
      <c r="E566" s="631"/>
      <c r="F566" s="631"/>
      <c r="G566" s="631"/>
      <c r="H566" s="652"/>
      <c r="I566" s="631"/>
      <c r="J566" s="631"/>
      <c r="K566" s="631"/>
      <c r="L566" s="631"/>
      <c r="M566" s="631"/>
      <c r="N566" s="631"/>
      <c r="O566" s="631"/>
      <c r="P566" s="631"/>
      <c r="Q566" s="631"/>
      <c r="R566" s="631"/>
      <c r="S566" s="631"/>
      <c r="T566" s="631"/>
      <c r="U566" s="631"/>
      <c r="V566" s="631"/>
      <c r="W566" s="631"/>
      <c r="X566" s="631"/>
      <c r="Y566" s="631"/>
      <c r="Z566" s="631"/>
    </row>
    <row r="567" spans="1:26">
      <c r="A567" s="636" t="s">
        <v>3648</v>
      </c>
      <c r="B567" s="631"/>
      <c r="C567" s="631"/>
      <c r="D567" s="631"/>
      <c r="E567" s="631"/>
      <c r="F567" s="631"/>
      <c r="G567" s="631"/>
      <c r="H567" s="652"/>
      <c r="I567" s="631"/>
      <c r="J567" s="631"/>
      <c r="K567" s="631"/>
      <c r="L567" s="631"/>
      <c r="M567" s="631"/>
      <c r="N567" s="631"/>
      <c r="O567" s="631"/>
      <c r="P567" s="631"/>
      <c r="Q567" s="631"/>
      <c r="R567" s="631"/>
      <c r="S567" s="631"/>
      <c r="T567" s="631"/>
      <c r="U567" s="631"/>
      <c r="V567" s="631"/>
      <c r="W567" s="631"/>
      <c r="X567" s="631"/>
      <c r="Y567" s="631"/>
      <c r="Z567" s="631"/>
    </row>
    <row r="568" spans="1:26">
      <c r="A568" s="636" t="s">
        <v>3648</v>
      </c>
      <c r="B568" s="631"/>
      <c r="C568" s="631"/>
      <c r="D568" s="631"/>
      <c r="E568" s="631"/>
      <c r="F568" s="631"/>
      <c r="G568" s="631"/>
      <c r="H568" s="652"/>
      <c r="I568" s="631"/>
      <c r="J568" s="631"/>
      <c r="K568" s="631"/>
      <c r="L568" s="631"/>
      <c r="M568" s="631"/>
      <c r="N568" s="631"/>
      <c r="O568" s="631"/>
      <c r="P568" s="631"/>
      <c r="Q568" s="631"/>
      <c r="R568" s="631"/>
      <c r="S568" s="631"/>
      <c r="T568" s="631"/>
      <c r="U568" s="631"/>
      <c r="V568" s="631"/>
      <c r="W568" s="631"/>
      <c r="X568" s="631"/>
      <c r="Y568" s="631"/>
      <c r="Z568" s="631"/>
    </row>
    <row r="569" spans="1:26">
      <c r="A569" s="636" t="s">
        <v>3648</v>
      </c>
      <c r="B569" s="631"/>
      <c r="C569" s="631"/>
      <c r="D569" s="631"/>
      <c r="E569" s="631"/>
      <c r="F569" s="631"/>
      <c r="G569" s="631"/>
      <c r="H569" s="652"/>
      <c r="I569" s="631"/>
      <c r="J569" s="631"/>
      <c r="K569" s="631"/>
      <c r="L569" s="631"/>
      <c r="M569" s="631"/>
      <c r="N569" s="631"/>
      <c r="O569" s="631"/>
      <c r="P569" s="631"/>
      <c r="Q569" s="631"/>
      <c r="R569" s="631"/>
      <c r="S569" s="631"/>
      <c r="T569" s="631"/>
      <c r="U569" s="631"/>
      <c r="V569" s="631"/>
      <c r="W569" s="631"/>
      <c r="X569" s="631"/>
      <c r="Y569" s="631"/>
      <c r="Z569" s="631"/>
    </row>
    <row r="570" spans="1:26">
      <c r="A570" s="636" t="s">
        <v>3648</v>
      </c>
      <c r="B570" s="631"/>
      <c r="C570" s="631"/>
      <c r="D570" s="631"/>
      <c r="E570" s="631"/>
      <c r="F570" s="631"/>
      <c r="G570" s="631"/>
      <c r="H570" s="652"/>
      <c r="I570" s="631"/>
      <c r="J570" s="631"/>
      <c r="K570" s="631"/>
      <c r="L570" s="631"/>
      <c r="M570" s="631"/>
      <c r="N570" s="631"/>
      <c r="O570" s="631"/>
      <c r="P570" s="631"/>
      <c r="Q570" s="631"/>
      <c r="R570" s="631"/>
      <c r="S570" s="631"/>
      <c r="T570" s="631"/>
      <c r="U570" s="631"/>
      <c r="V570" s="631"/>
      <c r="W570" s="631"/>
      <c r="X570" s="631"/>
      <c r="Y570" s="631"/>
      <c r="Z570" s="631"/>
    </row>
    <row r="571" spans="1:26">
      <c r="A571" s="636" t="s">
        <v>3648</v>
      </c>
      <c r="B571" s="631"/>
      <c r="C571" s="631"/>
      <c r="D571" s="631"/>
      <c r="E571" s="631"/>
      <c r="F571" s="631"/>
      <c r="G571" s="631"/>
      <c r="H571" s="652"/>
      <c r="I571" s="631"/>
      <c r="J571" s="631"/>
      <c r="K571" s="631"/>
      <c r="L571" s="631"/>
      <c r="M571" s="631"/>
      <c r="N571" s="631"/>
      <c r="O571" s="631"/>
      <c r="P571" s="631"/>
      <c r="Q571" s="631"/>
      <c r="R571" s="631"/>
      <c r="S571" s="631"/>
      <c r="T571" s="631"/>
      <c r="U571" s="631"/>
      <c r="V571" s="631"/>
      <c r="W571" s="631"/>
      <c r="X571" s="631"/>
      <c r="Y571" s="631"/>
      <c r="Z571" s="631"/>
    </row>
    <row r="572" spans="1:26">
      <c r="A572" s="636" t="s">
        <v>3648</v>
      </c>
      <c r="B572" s="631"/>
      <c r="C572" s="631"/>
      <c r="D572" s="631"/>
      <c r="E572" s="631"/>
      <c r="F572" s="631"/>
      <c r="G572" s="631"/>
      <c r="H572" s="652"/>
      <c r="I572" s="631"/>
      <c r="J572" s="631"/>
      <c r="K572" s="631"/>
      <c r="L572" s="631"/>
      <c r="M572" s="631"/>
      <c r="N572" s="631"/>
      <c r="O572" s="631"/>
      <c r="P572" s="631"/>
      <c r="Q572" s="631"/>
      <c r="R572" s="631"/>
      <c r="S572" s="631"/>
      <c r="T572" s="631"/>
      <c r="U572" s="631"/>
      <c r="V572" s="631"/>
      <c r="W572" s="631"/>
      <c r="X572" s="631"/>
      <c r="Y572" s="631"/>
      <c r="Z572" s="631"/>
    </row>
    <row r="573" spans="1:26">
      <c r="A573" s="636" t="s">
        <v>3648</v>
      </c>
      <c r="B573" s="631"/>
      <c r="C573" s="631"/>
      <c r="D573" s="631"/>
      <c r="E573" s="631"/>
      <c r="F573" s="631"/>
      <c r="G573" s="631"/>
      <c r="H573" s="652"/>
      <c r="I573" s="631"/>
      <c r="J573" s="631"/>
      <c r="K573" s="631"/>
      <c r="L573" s="631"/>
      <c r="M573" s="631"/>
      <c r="N573" s="631"/>
      <c r="O573" s="631"/>
      <c r="P573" s="631"/>
      <c r="Q573" s="631"/>
      <c r="R573" s="631"/>
      <c r="S573" s="631"/>
      <c r="T573" s="631"/>
      <c r="U573" s="631"/>
      <c r="V573" s="631"/>
      <c r="W573" s="631"/>
      <c r="X573" s="631"/>
      <c r="Y573" s="631"/>
      <c r="Z573" s="631"/>
    </row>
    <row r="574" spans="1:26">
      <c r="A574" s="636" t="s">
        <v>3648</v>
      </c>
      <c r="B574" s="631"/>
      <c r="C574" s="631"/>
      <c r="D574" s="631"/>
      <c r="E574" s="631"/>
      <c r="F574" s="631"/>
      <c r="G574" s="631"/>
      <c r="H574" s="652"/>
      <c r="I574" s="631"/>
      <c r="J574" s="631"/>
      <c r="K574" s="631"/>
      <c r="L574" s="631"/>
      <c r="M574" s="631"/>
      <c r="N574" s="631"/>
      <c r="O574" s="631"/>
      <c r="P574" s="631"/>
      <c r="Q574" s="631"/>
      <c r="R574" s="631"/>
      <c r="S574" s="631"/>
      <c r="T574" s="631"/>
      <c r="U574" s="631"/>
      <c r="V574" s="631"/>
      <c r="W574" s="631"/>
      <c r="X574" s="631"/>
      <c r="Y574" s="631"/>
      <c r="Z574" s="631"/>
    </row>
    <row r="575" spans="1:26">
      <c r="A575" s="636" t="s">
        <v>3648</v>
      </c>
      <c r="B575" s="631"/>
      <c r="C575" s="631"/>
      <c r="D575" s="631"/>
      <c r="E575" s="631"/>
      <c r="F575" s="631"/>
      <c r="G575" s="631"/>
      <c r="H575" s="652"/>
      <c r="I575" s="631"/>
      <c r="J575" s="631"/>
      <c r="K575" s="631"/>
      <c r="L575" s="631"/>
      <c r="M575" s="631"/>
      <c r="N575" s="631"/>
      <c r="O575" s="631"/>
      <c r="P575" s="631"/>
      <c r="Q575" s="631"/>
      <c r="R575" s="631"/>
      <c r="S575" s="631"/>
      <c r="T575" s="631"/>
      <c r="U575" s="631"/>
      <c r="V575" s="631"/>
      <c r="W575" s="631"/>
      <c r="X575" s="631"/>
      <c r="Y575" s="631"/>
      <c r="Z575" s="631"/>
    </row>
    <row r="576" spans="1:26">
      <c r="A576" s="636" t="s">
        <v>3648</v>
      </c>
      <c r="B576" s="631"/>
      <c r="C576" s="631"/>
      <c r="D576" s="631"/>
      <c r="E576" s="631"/>
      <c r="F576" s="631"/>
      <c r="G576" s="631"/>
      <c r="H576" s="652"/>
      <c r="I576" s="631"/>
      <c r="J576" s="631"/>
      <c r="K576" s="631"/>
      <c r="L576" s="631"/>
      <c r="M576" s="631"/>
      <c r="N576" s="631"/>
      <c r="O576" s="631"/>
      <c r="P576" s="631"/>
      <c r="Q576" s="631"/>
      <c r="R576" s="631"/>
      <c r="S576" s="631"/>
      <c r="T576" s="631"/>
      <c r="U576" s="631"/>
      <c r="V576" s="631"/>
      <c r="W576" s="631"/>
      <c r="X576" s="631"/>
      <c r="Y576" s="631"/>
      <c r="Z576" s="631"/>
    </row>
    <row r="577" spans="1:26">
      <c r="A577" s="636" t="s">
        <v>3648</v>
      </c>
      <c r="B577" s="631"/>
      <c r="C577" s="631"/>
      <c r="D577" s="631"/>
      <c r="E577" s="631"/>
      <c r="F577" s="631"/>
      <c r="G577" s="631"/>
      <c r="H577" s="652"/>
      <c r="I577" s="631"/>
      <c r="J577" s="631"/>
      <c r="K577" s="631"/>
      <c r="L577" s="631"/>
      <c r="M577" s="631"/>
      <c r="N577" s="631"/>
      <c r="O577" s="631"/>
      <c r="P577" s="631"/>
      <c r="Q577" s="631"/>
      <c r="R577" s="631"/>
      <c r="S577" s="631"/>
      <c r="T577" s="631"/>
      <c r="U577" s="631"/>
      <c r="V577" s="631"/>
      <c r="W577" s="631"/>
      <c r="X577" s="631"/>
      <c r="Y577" s="631"/>
      <c r="Z577" s="631"/>
    </row>
    <row r="578" spans="1:26">
      <c r="A578" s="636" t="s">
        <v>3648</v>
      </c>
      <c r="B578" s="631"/>
      <c r="C578" s="631"/>
      <c r="D578" s="631"/>
      <c r="E578" s="631"/>
      <c r="F578" s="631"/>
      <c r="G578" s="631"/>
      <c r="H578" s="652"/>
      <c r="I578" s="631"/>
      <c r="J578" s="631"/>
      <c r="K578" s="631"/>
      <c r="L578" s="631"/>
      <c r="M578" s="631"/>
      <c r="N578" s="631"/>
      <c r="O578" s="631"/>
      <c r="P578" s="631"/>
      <c r="Q578" s="631"/>
      <c r="R578" s="631"/>
      <c r="S578" s="631"/>
      <c r="T578" s="631"/>
      <c r="U578" s="631"/>
      <c r="V578" s="631"/>
      <c r="W578" s="631"/>
      <c r="X578" s="631"/>
      <c r="Y578" s="631"/>
      <c r="Z578" s="631"/>
    </row>
    <row r="579" spans="1:26">
      <c r="A579" s="636" t="s">
        <v>3648</v>
      </c>
      <c r="B579" s="631"/>
      <c r="C579" s="631"/>
      <c r="D579" s="631"/>
      <c r="E579" s="631"/>
      <c r="F579" s="631"/>
      <c r="G579" s="631"/>
      <c r="H579" s="652"/>
      <c r="I579" s="631"/>
      <c r="J579" s="631"/>
      <c r="K579" s="631"/>
      <c r="L579" s="631"/>
      <c r="M579" s="631"/>
      <c r="N579" s="631"/>
      <c r="O579" s="631"/>
      <c r="P579" s="631"/>
      <c r="Q579" s="631"/>
      <c r="R579" s="631"/>
      <c r="S579" s="631"/>
      <c r="T579" s="631"/>
      <c r="U579" s="631"/>
      <c r="V579" s="631"/>
      <c r="W579" s="631"/>
      <c r="X579" s="631"/>
      <c r="Y579" s="631"/>
      <c r="Z579" s="631"/>
    </row>
    <row r="580" spans="1:26">
      <c r="A580" s="636" t="s">
        <v>3648</v>
      </c>
      <c r="B580" s="631"/>
      <c r="C580" s="631"/>
      <c r="D580" s="631"/>
      <c r="E580" s="631"/>
      <c r="F580" s="631"/>
      <c r="G580" s="631"/>
      <c r="H580" s="652"/>
      <c r="I580" s="631"/>
      <c r="J580" s="631"/>
      <c r="K580" s="631"/>
      <c r="L580" s="631"/>
      <c r="M580" s="631"/>
      <c r="N580" s="631"/>
      <c r="O580" s="631"/>
      <c r="P580" s="631"/>
      <c r="Q580" s="631"/>
      <c r="R580" s="631"/>
      <c r="S580" s="631"/>
      <c r="T580" s="631"/>
      <c r="U580" s="631"/>
      <c r="V580" s="631"/>
      <c r="W580" s="631"/>
      <c r="X580" s="631"/>
      <c r="Y580" s="631"/>
      <c r="Z580" s="631"/>
    </row>
    <row r="581" spans="1:26">
      <c r="A581" s="636" t="s">
        <v>3648</v>
      </c>
      <c r="B581" s="631"/>
      <c r="C581" s="631"/>
      <c r="D581" s="631"/>
      <c r="E581" s="631"/>
      <c r="F581" s="631"/>
      <c r="G581" s="631"/>
      <c r="H581" s="652"/>
      <c r="I581" s="631"/>
      <c r="J581" s="631"/>
      <c r="K581" s="631"/>
      <c r="L581" s="631"/>
      <c r="M581" s="631"/>
      <c r="N581" s="631"/>
      <c r="O581" s="631"/>
      <c r="P581" s="631"/>
      <c r="Q581" s="631"/>
      <c r="R581" s="631"/>
      <c r="S581" s="631"/>
      <c r="T581" s="631"/>
      <c r="U581" s="631"/>
      <c r="V581" s="631"/>
      <c r="W581" s="631"/>
      <c r="X581" s="631"/>
      <c r="Y581" s="631"/>
      <c r="Z581" s="631"/>
    </row>
    <row r="582" spans="1:26">
      <c r="A582" s="636" t="s">
        <v>3648</v>
      </c>
      <c r="B582" s="631"/>
      <c r="C582" s="631"/>
      <c r="D582" s="631"/>
      <c r="E582" s="631"/>
      <c r="F582" s="631"/>
      <c r="G582" s="631"/>
      <c r="H582" s="652"/>
      <c r="I582" s="631"/>
      <c r="J582" s="631"/>
      <c r="K582" s="631"/>
      <c r="L582" s="631"/>
      <c r="M582" s="631"/>
      <c r="N582" s="631"/>
      <c r="O582" s="631"/>
      <c r="P582" s="631"/>
      <c r="Q582" s="631"/>
      <c r="R582" s="631"/>
      <c r="S582" s="631"/>
      <c r="T582" s="631"/>
      <c r="U582" s="631"/>
      <c r="V582" s="631"/>
      <c r="W582" s="631"/>
      <c r="X582" s="631"/>
      <c r="Y582" s="631"/>
      <c r="Z582" s="631"/>
    </row>
    <row r="583" spans="1:26">
      <c r="A583" s="636" t="s">
        <v>3648</v>
      </c>
      <c r="B583" s="631"/>
      <c r="C583" s="631"/>
      <c r="D583" s="631"/>
      <c r="E583" s="631"/>
      <c r="F583" s="631"/>
      <c r="G583" s="631"/>
      <c r="H583" s="652"/>
      <c r="I583" s="631"/>
      <c r="J583" s="631"/>
      <c r="K583" s="631"/>
      <c r="L583" s="631"/>
      <c r="M583" s="631"/>
      <c r="N583" s="631"/>
      <c r="O583" s="631"/>
      <c r="P583" s="631"/>
      <c r="Q583" s="631"/>
      <c r="R583" s="631"/>
      <c r="S583" s="631"/>
      <c r="T583" s="631"/>
      <c r="U583" s="631"/>
      <c r="V583" s="631"/>
      <c r="W583" s="631"/>
      <c r="X583" s="631"/>
      <c r="Y583" s="631"/>
      <c r="Z583" s="631"/>
    </row>
    <row r="584" spans="1:26">
      <c r="A584" s="636" t="s">
        <v>3648</v>
      </c>
      <c r="B584" s="631"/>
      <c r="C584" s="631"/>
      <c r="D584" s="631"/>
      <c r="E584" s="631"/>
      <c r="F584" s="631"/>
      <c r="G584" s="631"/>
      <c r="H584" s="652"/>
      <c r="I584" s="631"/>
      <c r="J584" s="631"/>
      <c r="K584" s="631"/>
      <c r="L584" s="631"/>
      <c r="M584" s="631"/>
      <c r="N584" s="631"/>
      <c r="O584" s="631"/>
      <c r="P584" s="631"/>
      <c r="Q584" s="631"/>
      <c r="R584" s="631"/>
      <c r="S584" s="631"/>
      <c r="T584" s="631"/>
      <c r="U584" s="631"/>
      <c r="V584" s="631"/>
      <c r="W584" s="631"/>
      <c r="X584" s="631"/>
      <c r="Y584" s="631"/>
      <c r="Z584" s="631"/>
    </row>
    <row r="585" spans="1:26">
      <c r="A585" s="636" t="s">
        <v>3648</v>
      </c>
      <c r="B585" s="631"/>
      <c r="C585" s="631"/>
      <c r="D585" s="631"/>
      <c r="E585" s="631"/>
      <c r="F585" s="631"/>
      <c r="G585" s="631"/>
      <c r="H585" s="652"/>
      <c r="I585" s="631"/>
      <c r="J585" s="631"/>
      <c r="K585" s="631"/>
      <c r="L585" s="631"/>
      <c r="M585" s="631"/>
      <c r="N585" s="631"/>
      <c r="O585" s="631"/>
      <c r="P585" s="631"/>
      <c r="Q585" s="631"/>
      <c r="R585" s="631"/>
      <c r="S585" s="631"/>
      <c r="T585" s="631"/>
      <c r="U585" s="631"/>
      <c r="V585" s="631"/>
      <c r="W585" s="631"/>
      <c r="X585" s="631"/>
      <c r="Y585" s="631"/>
      <c r="Z585" s="631"/>
    </row>
    <row r="586" spans="1:26">
      <c r="A586" s="636" t="s">
        <v>3648</v>
      </c>
      <c r="B586" s="631"/>
      <c r="C586" s="631"/>
      <c r="D586" s="631"/>
      <c r="E586" s="631"/>
      <c r="F586" s="631"/>
      <c r="G586" s="631"/>
      <c r="H586" s="652"/>
      <c r="I586" s="631"/>
      <c r="J586" s="631"/>
      <c r="K586" s="631"/>
      <c r="L586" s="631"/>
      <c r="M586" s="631"/>
      <c r="N586" s="631"/>
      <c r="O586" s="631"/>
      <c r="P586" s="631"/>
      <c r="Q586" s="631"/>
      <c r="R586" s="631"/>
      <c r="S586" s="631"/>
      <c r="T586" s="631"/>
      <c r="U586" s="631"/>
      <c r="V586" s="631"/>
      <c r="W586" s="631"/>
      <c r="X586" s="631"/>
      <c r="Y586" s="631"/>
      <c r="Z586" s="631"/>
    </row>
    <row r="587" spans="1:26">
      <c r="A587" s="636" t="s">
        <v>3648</v>
      </c>
      <c r="B587" s="631"/>
      <c r="C587" s="631"/>
      <c r="D587" s="631"/>
      <c r="E587" s="631"/>
      <c r="F587" s="631"/>
      <c r="G587" s="631"/>
      <c r="H587" s="652"/>
      <c r="I587" s="631"/>
      <c r="J587" s="631"/>
      <c r="K587" s="631"/>
      <c r="L587" s="631"/>
      <c r="M587" s="631"/>
      <c r="N587" s="631"/>
      <c r="O587" s="631"/>
      <c r="P587" s="631"/>
      <c r="Q587" s="631"/>
      <c r="R587" s="631"/>
      <c r="S587" s="631"/>
      <c r="T587" s="631"/>
      <c r="U587" s="631"/>
      <c r="V587" s="631"/>
      <c r="W587" s="631"/>
      <c r="X587" s="631"/>
      <c r="Y587" s="631"/>
      <c r="Z587" s="631"/>
    </row>
    <row r="588" spans="1:26">
      <c r="A588" s="636" t="s">
        <v>3648</v>
      </c>
      <c r="B588" s="631"/>
      <c r="C588" s="631"/>
      <c r="D588" s="631"/>
      <c r="E588" s="631"/>
      <c r="F588" s="631"/>
      <c r="G588" s="631"/>
      <c r="H588" s="652"/>
      <c r="I588" s="631"/>
      <c r="J588" s="631"/>
      <c r="K588" s="631"/>
      <c r="L588" s="631"/>
      <c r="M588" s="631"/>
      <c r="N588" s="631"/>
      <c r="O588" s="631"/>
      <c r="P588" s="631"/>
      <c r="Q588" s="631"/>
      <c r="R588" s="631"/>
      <c r="S588" s="631"/>
      <c r="T588" s="631"/>
      <c r="U588" s="631"/>
      <c r="V588" s="631"/>
      <c r="W588" s="631"/>
      <c r="X588" s="631"/>
      <c r="Y588" s="631"/>
      <c r="Z588" s="631"/>
    </row>
    <row r="589" spans="1:26">
      <c r="A589" s="636" t="s">
        <v>3648</v>
      </c>
      <c r="B589" s="631"/>
      <c r="C589" s="631"/>
      <c r="D589" s="631"/>
      <c r="E589" s="631"/>
      <c r="F589" s="631"/>
      <c r="G589" s="631"/>
      <c r="H589" s="652"/>
      <c r="I589" s="631"/>
      <c r="J589" s="631"/>
      <c r="K589" s="631"/>
      <c r="L589" s="631"/>
      <c r="M589" s="631"/>
      <c r="N589" s="631"/>
      <c r="O589" s="631"/>
      <c r="P589" s="631"/>
      <c r="Q589" s="631"/>
      <c r="R589" s="631"/>
      <c r="S589" s="631"/>
      <c r="T589" s="631"/>
      <c r="U589" s="631"/>
      <c r="V589" s="631"/>
      <c r="W589" s="631"/>
      <c r="X589" s="631"/>
      <c r="Y589" s="631"/>
      <c r="Z589" s="631"/>
    </row>
    <row r="590" spans="1:26">
      <c r="A590" s="636" t="s">
        <v>3648</v>
      </c>
      <c r="B590" s="631"/>
      <c r="C590" s="631"/>
      <c r="D590" s="631"/>
      <c r="E590" s="631"/>
      <c r="F590" s="631"/>
      <c r="G590" s="631"/>
      <c r="H590" s="652"/>
      <c r="I590" s="631"/>
      <c r="J590" s="631"/>
      <c r="K590" s="631"/>
      <c r="L590" s="631"/>
      <c r="M590" s="631"/>
      <c r="N590" s="631"/>
      <c r="O590" s="631"/>
      <c r="P590" s="631"/>
      <c r="Q590" s="631"/>
      <c r="R590" s="631"/>
      <c r="S590" s="631"/>
      <c r="T590" s="631"/>
      <c r="U590" s="631"/>
      <c r="V590" s="631"/>
      <c r="W590" s="631"/>
      <c r="X590" s="631"/>
      <c r="Y590" s="631"/>
      <c r="Z590" s="631"/>
    </row>
    <row r="591" spans="1:26">
      <c r="A591" s="636" t="s">
        <v>3648</v>
      </c>
      <c r="B591" s="631"/>
      <c r="C591" s="631"/>
      <c r="D591" s="631"/>
      <c r="E591" s="631"/>
      <c r="F591" s="631"/>
      <c r="G591" s="631"/>
      <c r="H591" s="652"/>
      <c r="I591" s="631"/>
      <c r="J591" s="631"/>
      <c r="K591" s="631"/>
      <c r="L591" s="631"/>
      <c r="M591" s="631"/>
      <c r="N591" s="631"/>
      <c r="O591" s="631"/>
      <c r="P591" s="631"/>
      <c r="Q591" s="631"/>
      <c r="R591" s="631"/>
      <c r="S591" s="631"/>
      <c r="T591" s="631"/>
      <c r="U591" s="631"/>
      <c r="V591" s="631"/>
      <c r="W591" s="631"/>
      <c r="X591" s="631"/>
      <c r="Y591" s="631"/>
      <c r="Z591" s="631"/>
    </row>
    <row r="592" spans="1:26">
      <c r="A592" s="636" t="s">
        <v>3648</v>
      </c>
      <c r="B592" s="631"/>
      <c r="C592" s="631"/>
      <c r="D592" s="631"/>
      <c r="E592" s="631"/>
      <c r="F592" s="631"/>
      <c r="G592" s="631"/>
      <c r="H592" s="652"/>
      <c r="I592" s="631"/>
      <c r="J592" s="631"/>
      <c r="K592" s="631"/>
      <c r="L592" s="631"/>
      <c r="M592" s="631"/>
      <c r="N592" s="631"/>
      <c r="O592" s="631"/>
      <c r="P592" s="631"/>
      <c r="Q592" s="631"/>
      <c r="R592" s="631"/>
      <c r="S592" s="631"/>
      <c r="T592" s="631"/>
      <c r="U592" s="631"/>
      <c r="V592" s="631"/>
      <c r="W592" s="631"/>
      <c r="X592" s="631"/>
      <c r="Y592" s="631"/>
      <c r="Z592" s="631"/>
    </row>
    <row r="593" spans="1:26">
      <c r="A593" s="636" t="s">
        <v>3648</v>
      </c>
      <c r="B593" s="631"/>
      <c r="C593" s="631"/>
      <c r="D593" s="631"/>
      <c r="E593" s="631"/>
      <c r="F593" s="631"/>
      <c r="G593" s="631"/>
      <c r="H593" s="652"/>
      <c r="I593" s="631"/>
      <c r="J593" s="631"/>
      <c r="K593" s="631"/>
      <c r="L593" s="631"/>
      <c r="M593" s="631"/>
      <c r="N593" s="631"/>
      <c r="O593" s="631"/>
      <c r="P593" s="631"/>
      <c r="Q593" s="631"/>
      <c r="R593" s="631"/>
      <c r="S593" s="631"/>
      <c r="T593" s="631"/>
      <c r="U593" s="631"/>
      <c r="V593" s="631"/>
      <c r="W593" s="631"/>
      <c r="X593" s="631"/>
      <c r="Y593" s="631"/>
      <c r="Z593" s="631"/>
    </row>
    <row r="594" spans="1:26">
      <c r="A594" s="636" t="s">
        <v>3648</v>
      </c>
      <c r="B594" s="631"/>
      <c r="C594" s="631"/>
      <c r="D594" s="631"/>
      <c r="E594" s="631"/>
      <c r="F594" s="631"/>
      <c r="G594" s="631"/>
      <c r="H594" s="652"/>
      <c r="I594" s="631"/>
      <c r="J594" s="631"/>
      <c r="K594" s="631"/>
      <c r="L594" s="631"/>
      <c r="M594" s="631"/>
      <c r="N594" s="631"/>
      <c r="O594" s="631"/>
      <c r="P594" s="631"/>
      <c r="Q594" s="631"/>
      <c r="R594" s="631"/>
      <c r="S594" s="631"/>
      <c r="T594" s="631"/>
      <c r="U594" s="631"/>
      <c r="V594" s="631"/>
      <c r="W594" s="631"/>
      <c r="X594" s="631"/>
      <c r="Y594" s="631"/>
      <c r="Z594" s="631"/>
    </row>
    <row r="595" spans="1:26">
      <c r="A595" s="636" t="s">
        <v>3648</v>
      </c>
      <c r="B595" s="631"/>
      <c r="C595" s="631"/>
      <c r="D595" s="631"/>
      <c r="E595" s="631"/>
      <c r="F595" s="631"/>
      <c r="G595" s="631"/>
      <c r="H595" s="652"/>
      <c r="I595" s="631"/>
      <c r="J595" s="631"/>
      <c r="K595" s="631"/>
      <c r="L595" s="631"/>
      <c r="M595" s="631"/>
      <c r="N595" s="631"/>
      <c r="O595" s="631"/>
      <c r="P595" s="631"/>
      <c r="Q595" s="631"/>
      <c r="R595" s="631"/>
      <c r="S595" s="631"/>
      <c r="T595" s="631"/>
      <c r="U595" s="631"/>
      <c r="V595" s="631"/>
      <c r="W595" s="631"/>
      <c r="X595" s="631"/>
      <c r="Y595" s="631"/>
      <c r="Z595" s="631"/>
    </row>
    <row r="596" spans="1:26">
      <c r="A596" s="636" t="s">
        <v>3648</v>
      </c>
      <c r="B596" s="631"/>
      <c r="C596" s="631"/>
      <c r="D596" s="631"/>
      <c r="E596" s="631"/>
      <c r="F596" s="631"/>
      <c r="G596" s="631"/>
      <c r="H596" s="652"/>
      <c r="I596" s="631"/>
      <c r="J596" s="631"/>
      <c r="K596" s="631"/>
      <c r="L596" s="631"/>
      <c r="M596" s="631"/>
      <c r="N596" s="631"/>
      <c r="O596" s="631"/>
      <c r="P596" s="631"/>
      <c r="Q596" s="631"/>
      <c r="R596" s="631"/>
      <c r="S596" s="631"/>
      <c r="T596" s="631"/>
      <c r="U596" s="631"/>
      <c r="V596" s="631"/>
      <c r="W596" s="631"/>
      <c r="X596" s="631"/>
      <c r="Y596" s="631"/>
      <c r="Z596" s="631"/>
    </row>
    <row r="597" spans="1:26">
      <c r="A597" s="636" t="s">
        <v>3648</v>
      </c>
      <c r="B597" s="631"/>
      <c r="C597" s="631"/>
      <c r="D597" s="631"/>
      <c r="E597" s="631"/>
      <c r="F597" s="631"/>
      <c r="G597" s="631"/>
      <c r="H597" s="652"/>
      <c r="I597" s="631"/>
      <c r="J597" s="631"/>
      <c r="K597" s="631"/>
      <c r="L597" s="631"/>
      <c r="M597" s="631"/>
      <c r="N597" s="631"/>
      <c r="O597" s="631"/>
      <c r="P597" s="631"/>
      <c r="Q597" s="631"/>
      <c r="R597" s="631"/>
      <c r="S597" s="631"/>
      <c r="T597" s="631"/>
      <c r="U597" s="631"/>
      <c r="V597" s="631"/>
      <c r="W597" s="631"/>
      <c r="X597" s="631"/>
      <c r="Y597" s="631"/>
      <c r="Z597" s="631"/>
    </row>
    <row r="598" spans="1:26">
      <c r="A598" s="636" t="s">
        <v>3648</v>
      </c>
      <c r="B598" s="631"/>
      <c r="C598" s="631"/>
      <c r="D598" s="631"/>
      <c r="E598" s="631"/>
      <c r="F598" s="631"/>
      <c r="G598" s="631"/>
      <c r="H598" s="652"/>
      <c r="I598" s="631"/>
      <c r="J598" s="631"/>
      <c r="K598" s="631"/>
      <c r="L598" s="631"/>
      <c r="M598" s="631"/>
      <c r="N598" s="631"/>
      <c r="O598" s="631"/>
      <c r="P598" s="631"/>
      <c r="Q598" s="631"/>
      <c r="R598" s="631"/>
      <c r="S598" s="631"/>
      <c r="T598" s="631"/>
      <c r="U598" s="631"/>
      <c r="V598" s="631"/>
      <c r="W598" s="631"/>
      <c r="X598" s="631"/>
      <c r="Y598" s="631"/>
      <c r="Z598" s="631"/>
    </row>
    <row r="599" spans="1:26">
      <c r="A599" s="636" t="s">
        <v>3648</v>
      </c>
      <c r="B599" s="631"/>
      <c r="C599" s="631"/>
      <c r="D599" s="631"/>
      <c r="E599" s="631"/>
      <c r="F599" s="631"/>
      <c r="G599" s="631"/>
      <c r="H599" s="652"/>
      <c r="I599" s="631"/>
      <c r="J599" s="631"/>
      <c r="K599" s="631"/>
      <c r="L599" s="631"/>
      <c r="M599" s="631"/>
      <c r="N599" s="631"/>
      <c r="O599" s="631"/>
      <c r="P599" s="631"/>
      <c r="Q599" s="631"/>
      <c r="R599" s="631"/>
      <c r="S599" s="631"/>
      <c r="T599" s="631"/>
      <c r="U599" s="631"/>
      <c r="V599" s="631"/>
      <c r="W599" s="631"/>
      <c r="X599" s="631"/>
      <c r="Y599" s="631"/>
      <c r="Z599" s="631"/>
    </row>
    <row r="600" spans="1:26">
      <c r="A600" s="636" t="s">
        <v>3648</v>
      </c>
      <c r="B600" s="631"/>
      <c r="C600" s="631"/>
      <c r="D600" s="631"/>
      <c r="E600" s="631"/>
      <c r="F600" s="631"/>
      <c r="G600" s="631"/>
      <c r="H600" s="652"/>
      <c r="I600" s="631"/>
      <c r="J600" s="631"/>
      <c r="K600" s="631"/>
      <c r="L600" s="631"/>
      <c r="M600" s="631"/>
      <c r="N600" s="631"/>
      <c r="O600" s="631"/>
      <c r="P600" s="631"/>
      <c r="Q600" s="631"/>
      <c r="R600" s="631"/>
      <c r="S600" s="631"/>
      <c r="T600" s="631"/>
      <c r="U600" s="631"/>
      <c r="V600" s="631"/>
      <c r="W600" s="631"/>
      <c r="X600" s="631"/>
      <c r="Y600" s="631"/>
      <c r="Z600" s="631"/>
    </row>
    <row r="601" spans="1:26">
      <c r="A601" s="636" t="s">
        <v>3648</v>
      </c>
      <c r="B601" s="631"/>
      <c r="C601" s="631"/>
      <c r="D601" s="631"/>
      <c r="E601" s="631"/>
      <c r="F601" s="631"/>
      <c r="G601" s="631"/>
      <c r="H601" s="652"/>
      <c r="I601" s="631"/>
      <c r="J601" s="631"/>
      <c r="K601" s="631"/>
      <c r="L601" s="631"/>
      <c r="M601" s="631"/>
      <c r="N601" s="631"/>
      <c r="O601" s="631"/>
      <c r="P601" s="631"/>
      <c r="Q601" s="631"/>
      <c r="R601" s="631"/>
      <c r="S601" s="631"/>
      <c r="T601" s="631"/>
      <c r="U601" s="631"/>
      <c r="V601" s="631"/>
      <c r="W601" s="631"/>
      <c r="X601" s="631"/>
      <c r="Y601" s="631"/>
      <c r="Z601" s="631"/>
    </row>
    <row r="602" spans="1:26">
      <c r="A602" s="636" t="s">
        <v>3648</v>
      </c>
      <c r="B602" s="631"/>
      <c r="C602" s="631"/>
      <c r="D602" s="631"/>
      <c r="E602" s="631"/>
      <c r="F602" s="631"/>
      <c r="G602" s="631"/>
      <c r="H602" s="652"/>
      <c r="I602" s="631"/>
      <c r="J602" s="631"/>
      <c r="K602" s="631"/>
      <c r="L602" s="631"/>
      <c r="M602" s="631"/>
      <c r="N602" s="631"/>
      <c r="O602" s="631"/>
      <c r="P602" s="631"/>
      <c r="Q602" s="631"/>
      <c r="R602" s="631"/>
      <c r="S602" s="631"/>
      <c r="T602" s="631"/>
      <c r="U602" s="631"/>
      <c r="V602" s="631"/>
      <c r="W602" s="631"/>
      <c r="X602" s="631"/>
      <c r="Y602" s="631"/>
      <c r="Z602" s="631"/>
    </row>
    <row r="603" spans="1:26">
      <c r="A603" s="636" t="s">
        <v>3648</v>
      </c>
      <c r="B603" s="631"/>
      <c r="C603" s="631"/>
      <c r="D603" s="631"/>
      <c r="E603" s="631"/>
      <c r="F603" s="631"/>
      <c r="G603" s="631"/>
      <c r="H603" s="652"/>
      <c r="I603" s="631"/>
      <c r="J603" s="631"/>
      <c r="K603" s="631"/>
      <c r="L603" s="631"/>
      <c r="M603" s="631"/>
      <c r="N603" s="631"/>
      <c r="O603" s="631"/>
      <c r="P603" s="631"/>
      <c r="Q603" s="631"/>
      <c r="R603" s="631"/>
      <c r="S603" s="631"/>
      <c r="T603" s="631"/>
      <c r="U603" s="631"/>
      <c r="V603" s="631"/>
      <c r="W603" s="631"/>
      <c r="X603" s="631"/>
      <c r="Y603" s="631"/>
      <c r="Z603" s="631"/>
    </row>
    <row r="604" spans="1:26">
      <c r="A604" s="636" t="s">
        <v>3648</v>
      </c>
      <c r="B604" s="631"/>
      <c r="C604" s="631"/>
      <c r="D604" s="631"/>
      <c r="E604" s="631"/>
      <c r="F604" s="631"/>
      <c r="G604" s="631"/>
      <c r="H604" s="652"/>
      <c r="I604" s="631"/>
      <c r="J604" s="631"/>
      <c r="K604" s="631"/>
      <c r="L604" s="631"/>
      <c r="M604" s="631"/>
      <c r="N604" s="631"/>
      <c r="O604" s="631"/>
      <c r="P604" s="631"/>
      <c r="Q604" s="631"/>
      <c r="R604" s="631"/>
      <c r="S604" s="631"/>
      <c r="T604" s="631"/>
      <c r="U604" s="631"/>
      <c r="V604" s="631"/>
      <c r="W604" s="631"/>
      <c r="X604" s="631"/>
      <c r="Y604" s="631"/>
      <c r="Z604" s="631"/>
    </row>
    <row r="605" spans="1:26">
      <c r="A605" s="636" t="s">
        <v>3648</v>
      </c>
      <c r="B605" s="631"/>
      <c r="C605" s="631"/>
      <c r="D605" s="631"/>
      <c r="E605" s="631"/>
      <c r="F605" s="631"/>
      <c r="G605" s="631"/>
      <c r="H605" s="652"/>
      <c r="I605" s="631"/>
      <c r="J605" s="631"/>
      <c r="K605" s="631"/>
      <c r="L605" s="631"/>
      <c r="M605" s="631"/>
      <c r="N605" s="631"/>
      <c r="O605" s="631"/>
      <c r="P605" s="631"/>
      <c r="Q605" s="631"/>
      <c r="R605" s="631"/>
      <c r="S605" s="631"/>
      <c r="T605" s="631"/>
      <c r="U605" s="631"/>
      <c r="V605" s="631"/>
      <c r="W605" s="631"/>
      <c r="X605" s="631"/>
      <c r="Y605" s="631"/>
      <c r="Z605" s="631"/>
    </row>
    <row r="606" spans="1:26">
      <c r="A606" s="636" t="s">
        <v>3648</v>
      </c>
      <c r="B606" s="631"/>
      <c r="C606" s="631"/>
      <c r="D606" s="631"/>
      <c r="E606" s="631"/>
      <c r="F606" s="631"/>
      <c r="G606" s="631"/>
      <c r="H606" s="652"/>
      <c r="I606" s="631"/>
      <c r="J606" s="631"/>
      <c r="K606" s="631"/>
      <c r="L606" s="631"/>
      <c r="M606" s="631"/>
      <c r="N606" s="631"/>
      <c r="O606" s="631"/>
      <c r="P606" s="631"/>
      <c r="Q606" s="631"/>
      <c r="R606" s="631"/>
      <c r="S606" s="631"/>
      <c r="T606" s="631"/>
      <c r="U606" s="631"/>
      <c r="V606" s="631"/>
      <c r="W606" s="631"/>
      <c r="X606" s="631"/>
      <c r="Y606" s="631"/>
      <c r="Z606" s="631"/>
    </row>
    <row r="607" spans="1:26">
      <c r="A607" s="636" t="s">
        <v>3648</v>
      </c>
      <c r="B607" s="631"/>
      <c r="C607" s="631"/>
      <c r="D607" s="631"/>
      <c r="E607" s="631"/>
      <c r="F607" s="631"/>
      <c r="G607" s="631"/>
      <c r="H607" s="652"/>
      <c r="I607" s="631"/>
      <c r="J607" s="631"/>
      <c r="K607" s="631"/>
      <c r="L607" s="631"/>
      <c r="M607" s="631"/>
      <c r="N607" s="631"/>
      <c r="O607" s="631"/>
      <c r="P607" s="631"/>
      <c r="Q607" s="631"/>
      <c r="R607" s="631"/>
      <c r="S607" s="631"/>
      <c r="T607" s="631"/>
      <c r="U607" s="631"/>
      <c r="V607" s="631"/>
      <c r="W607" s="631"/>
      <c r="X607" s="631"/>
      <c r="Y607" s="631"/>
      <c r="Z607" s="631"/>
    </row>
    <row r="608" spans="1:26">
      <c r="A608" s="636" t="s">
        <v>3648</v>
      </c>
      <c r="B608" s="631"/>
      <c r="C608" s="631"/>
      <c r="D608" s="631"/>
      <c r="E608" s="631"/>
      <c r="F608" s="631"/>
      <c r="G608" s="631"/>
      <c r="H608" s="652"/>
      <c r="I608" s="631"/>
      <c r="J608" s="631"/>
      <c r="K608" s="631"/>
      <c r="L608" s="631"/>
      <c r="M608" s="631"/>
      <c r="N608" s="631"/>
      <c r="O608" s="631"/>
      <c r="P608" s="631"/>
      <c r="Q608" s="631"/>
      <c r="R608" s="631"/>
      <c r="S608" s="631"/>
      <c r="T608" s="631"/>
      <c r="U608" s="631"/>
      <c r="V608" s="631"/>
      <c r="W608" s="631"/>
      <c r="X608" s="631"/>
      <c r="Y608" s="631"/>
      <c r="Z608" s="631"/>
    </row>
    <row r="609" spans="1:26">
      <c r="A609" s="636" t="s">
        <v>3648</v>
      </c>
      <c r="B609" s="631"/>
      <c r="C609" s="631"/>
      <c r="D609" s="631"/>
      <c r="E609" s="631"/>
      <c r="F609" s="631"/>
      <c r="G609" s="631"/>
      <c r="H609" s="652"/>
      <c r="I609" s="631"/>
      <c r="J609" s="631"/>
      <c r="K609" s="631"/>
      <c r="L609" s="631"/>
      <c r="M609" s="631"/>
      <c r="N609" s="631"/>
      <c r="O609" s="631"/>
      <c r="P609" s="631"/>
      <c r="Q609" s="631"/>
      <c r="R609" s="631"/>
      <c r="S609" s="631"/>
      <c r="T609" s="631"/>
      <c r="U609" s="631"/>
      <c r="V609" s="631"/>
      <c r="W609" s="631"/>
      <c r="X609" s="631"/>
      <c r="Y609" s="631"/>
      <c r="Z609" s="631"/>
    </row>
    <row r="610" spans="1:26">
      <c r="A610" s="636" t="s">
        <v>3648</v>
      </c>
      <c r="B610" s="631"/>
      <c r="C610" s="631"/>
      <c r="D610" s="631"/>
      <c r="E610" s="631"/>
      <c r="F610" s="631"/>
      <c r="G610" s="631"/>
      <c r="H610" s="652"/>
      <c r="I610" s="631"/>
      <c r="J610" s="631"/>
      <c r="K610" s="631"/>
      <c r="L610" s="631"/>
      <c r="M610" s="631"/>
      <c r="N610" s="631"/>
      <c r="O610" s="631"/>
      <c r="P610" s="631"/>
      <c r="Q610" s="631"/>
      <c r="R610" s="631"/>
      <c r="S610" s="631"/>
      <c r="T610" s="631"/>
      <c r="U610" s="631"/>
      <c r="V610" s="631"/>
      <c r="W610" s="631"/>
      <c r="X610" s="631"/>
      <c r="Y610" s="631"/>
      <c r="Z610" s="631"/>
    </row>
    <row r="611" spans="1:26">
      <c r="A611" s="636" t="s">
        <v>3648</v>
      </c>
      <c r="B611" s="631"/>
      <c r="C611" s="631"/>
      <c r="D611" s="631"/>
      <c r="E611" s="631"/>
      <c r="F611" s="631"/>
      <c r="G611" s="631"/>
      <c r="H611" s="652"/>
      <c r="I611" s="631"/>
      <c r="J611" s="631"/>
      <c r="K611" s="631"/>
      <c r="L611" s="631"/>
      <c r="M611" s="631"/>
      <c r="N611" s="631"/>
      <c r="O611" s="631"/>
      <c r="P611" s="631"/>
      <c r="Q611" s="631"/>
      <c r="R611" s="631"/>
      <c r="S611" s="631"/>
      <c r="T611" s="631"/>
      <c r="U611" s="631"/>
      <c r="V611" s="631"/>
      <c r="W611" s="631"/>
      <c r="X611" s="631"/>
      <c r="Y611" s="631"/>
      <c r="Z611" s="631"/>
    </row>
    <row r="612" spans="1:26">
      <c r="A612" s="636" t="s">
        <v>3648</v>
      </c>
      <c r="B612" s="631"/>
      <c r="C612" s="631"/>
      <c r="D612" s="631"/>
      <c r="E612" s="631"/>
      <c r="F612" s="631"/>
      <c r="G612" s="631"/>
      <c r="H612" s="652"/>
      <c r="I612" s="631"/>
      <c r="J612" s="631"/>
      <c r="K612" s="631"/>
      <c r="L612" s="631"/>
      <c r="M612" s="631"/>
      <c r="N612" s="631"/>
      <c r="O612" s="631"/>
      <c r="P612" s="631"/>
      <c r="Q612" s="631"/>
      <c r="R612" s="631"/>
      <c r="S612" s="631"/>
      <c r="T612" s="631"/>
      <c r="U612" s="631"/>
      <c r="V612" s="631"/>
      <c r="W612" s="631"/>
      <c r="X612" s="631"/>
      <c r="Y612" s="631"/>
      <c r="Z612" s="631"/>
    </row>
    <row r="613" spans="1:26">
      <c r="A613" s="636" t="s">
        <v>3648</v>
      </c>
      <c r="B613" s="631"/>
      <c r="C613" s="631"/>
      <c r="D613" s="631"/>
      <c r="E613" s="631"/>
      <c r="F613" s="631"/>
      <c r="G613" s="631"/>
      <c r="H613" s="652"/>
      <c r="I613" s="631"/>
      <c r="J613" s="631"/>
      <c r="K613" s="631"/>
      <c r="L613" s="631"/>
      <c r="M613" s="631"/>
      <c r="N613" s="631"/>
      <c r="O613" s="631"/>
      <c r="P613" s="631"/>
      <c r="Q613" s="631"/>
      <c r="R613" s="631"/>
      <c r="S613" s="631"/>
      <c r="T613" s="631"/>
      <c r="U613" s="631"/>
      <c r="V613" s="631"/>
      <c r="W613" s="631"/>
      <c r="X613" s="631"/>
      <c r="Y613" s="631"/>
      <c r="Z613" s="631"/>
    </row>
    <row r="614" spans="1:26">
      <c r="A614" s="636" t="s">
        <v>3648</v>
      </c>
      <c r="B614" s="631"/>
      <c r="C614" s="631"/>
      <c r="D614" s="631"/>
      <c r="E614" s="631"/>
      <c r="F614" s="631"/>
      <c r="G614" s="631"/>
      <c r="H614" s="652"/>
      <c r="I614" s="631"/>
      <c r="J614" s="631"/>
      <c r="K614" s="631"/>
      <c r="L614" s="631"/>
      <c r="M614" s="631"/>
      <c r="N614" s="631"/>
      <c r="O614" s="631"/>
      <c r="P614" s="631"/>
      <c r="Q614" s="631"/>
      <c r="R614" s="631"/>
      <c r="S614" s="631"/>
      <c r="T614" s="631"/>
      <c r="U614" s="631"/>
      <c r="V614" s="631"/>
      <c r="W614" s="631"/>
      <c r="X614" s="631"/>
      <c r="Y614" s="631"/>
      <c r="Z614" s="631"/>
    </row>
    <row r="615" spans="1:26">
      <c r="A615" s="636" t="s">
        <v>3648</v>
      </c>
      <c r="B615" s="631"/>
      <c r="C615" s="631"/>
      <c r="D615" s="631"/>
      <c r="E615" s="631"/>
      <c r="F615" s="631"/>
      <c r="G615" s="631"/>
      <c r="H615" s="652"/>
      <c r="I615" s="631"/>
      <c r="J615" s="631"/>
      <c r="K615" s="631"/>
      <c r="L615" s="631"/>
      <c r="M615" s="631"/>
      <c r="N615" s="631"/>
      <c r="O615" s="631"/>
      <c r="P615" s="631"/>
      <c r="Q615" s="631"/>
      <c r="R615" s="631"/>
      <c r="S615" s="631"/>
      <c r="T615" s="631"/>
      <c r="U615" s="631"/>
      <c r="V615" s="631"/>
      <c r="W615" s="631"/>
      <c r="X615" s="631"/>
      <c r="Y615" s="631"/>
      <c r="Z615" s="631"/>
    </row>
    <row r="616" spans="1:26">
      <c r="A616" s="636" t="s">
        <v>3648</v>
      </c>
      <c r="B616" s="631"/>
      <c r="C616" s="631"/>
      <c r="D616" s="631"/>
      <c r="E616" s="631"/>
      <c r="F616" s="631"/>
      <c r="G616" s="631"/>
      <c r="H616" s="652"/>
      <c r="I616" s="631"/>
      <c r="J616" s="631"/>
      <c r="K616" s="631"/>
      <c r="L616" s="631"/>
      <c r="M616" s="631"/>
      <c r="N616" s="631"/>
      <c r="O616" s="631"/>
      <c r="P616" s="631"/>
      <c r="Q616" s="631"/>
      <c r="R616" s="631"/>
      <c r="S616" s="631"/>
      <c r="T616" s="631"/>
      <c r="U616" s="631"/>
      <c r="V616" s="631"/>
      <c r="W616" s="631"/>
      <c r="X616" s="631"/>
      <c r="Y616" s="631"/>
      <c r="Z616" s="631"/>
    </row>
    <row r="617" spans="1:26">
      <c r="A617" s="636" t="s">
        <v>3648</v>
      </c>
      <c r="B617" s="631"/>
      <c r="C617" s="631"/>
      <c r="D617" s="631"/>
      <c r="E617" s="631"/>
      <c r="F617" s="631"/>
      <c r="G617" s="631"/>
      <c r="H617" s="652"/>
      <c r="I617" s="631"/>
      <c r="J617" s="631"/>
      <c r="K617" s="631"/>
      <c r="L617" s="631"/>
      <c r="M617" s="631"/>
      <c r="N617" s="631"/>
      <c r="O617" s="631"/>
      <c r="P617" s="631"/>
      <c r="Q617" s="631"/>
      <c r="R617" s="631"/>
      <c r="S617" s="631"/>
      <c r="T617" s="631"/>
      <c r="U617" s="631"/>
      <c r="V617" s="631"/>
      <c r="W617" s="631"/>
      <c r="X617" s="631"/>
      <c r="Y617" s="631"/>
      <c r="Z617" s="631"/>
    </row>
    <row r="618" spans="1:26">
      <c r="A618" s="636" t="s">
        <v>3648</v>
      </c>
      <c r="B618" s="631"/>
      <c r="C618" s="631"/>
      <c r="D618" s="631"/>
      <c r="E618" s="631"/>
      <c r="F618" s="631"/>
      <c r="G618" s="631"/>
      <c r="H618" s="652"/>
      <c r="I618" s="631"/>
      <c r="J618" s="631"/>
      <c r="K618" s="631"/>
      <c r="L618" s="631"/>
      <c r="M618" s="631"/>
      <c r="N618" s="631"/>
      <c r="O618" s="631"/>
      <c r="P618" s="631"/>
      <c r="Q618" s="631"/>
      <c r="R618" s="631"/>
      <c r="S618" s="631"/>
      <c r="T618" s="631"/>
      <c r="U618" s="631"/>
      <c r="V618" s="631"/>
      <c r="W618" s="631"/>
      <c r="X618" s="631"/>
      <c r="Y618" s="631"/>
      <c r="Z618" s="631"/>
    </row>
    <row r="619" spans="1:26">
      <c r="A619" s="636" t="s">
        <v>3648</v>
      </c>
      <c r="B619" s="631"/>
      <c r="C619" s="631"/>
      <c r="D619" s="631"/>
      <c r="E619" s="631"/>
      <c r="F619" s="631"/>
      <c r="G619" s="631"/>
      <c r="H619" s="652"/>
      <c r="I619" s="631"/>
      <c r="J619" s="631"/>
      <c r="K619" s="631"/>
      <c r="L619" s="631"/>
      <c r="M619" s="631"/>
      <c r="N619" s="631"/>
      <c r="O619" s="631"/>
      <c r="P619" s="631"/>
      <c r="Q619" s="631"/>
      <c r="R619" s="631"/>
      <c r="S619" s="631"/>
      <c r="T619" s="631"/>
      <c r="U619" s="631"/>
      <c r="V619" s="631"/>
      <c r="W619" s="631"/>
      <c r="X619" s="631"/>
      <c r="Y619" s="631"/>
      <c r="Z619" s="631"/>
    </row>
    <row r="620" spans="1:26">
      <c r="A620" s="636" t="s">
        <v>3648</v>
      </c>
      <c r="B620" s="631"/>
      <c r="C620" s="631"/>
      <c r="D620" s="631"/>
      <c r="E620" s="631"/>
      <c r="F620" s="631"/>
      <c r="G620" s="631"/>
      <c r="H620" s="652"/>
      <c r="I620" s="631"/>
      <c r="J620" s="631"/>
      <c r="K620" s="631"/>
      <c r="L620" s="631"/>
      <c r="M620" s="631"/>
      <c r="N620" s="631"/>
      <c r="O620" s="631"/>
      <c r="P620" s="631"/>
      <c r="Q620" s="631"/>
      <c r="R620" s="631"/>
      <c r="S620" s="631"/>
      <c r="T620" s="631"/>
      <c r="U620" s="631"/>
      <c r="V620" s="631"/>
      <c r="W620" s="631"/>
      <c r="X620" s="631"/>
      <c r="Y620" s="631"/>
      <c r="Z620" s="631"/>
    </row>
    <row r="621" spans="1:26">
      <c r="A621" s="636" t="s">
        <v>3648</v>
      </c>
      <c r="B621" s="631"/>
      <c r="C621" s="631"/>
      <c r="D621" s="631"/>
      <c r="E621" s="631"/>
      <c r="F621" s="631"/>
      <c r="G621" s="631"/>
      <c r="H621" s="652"/>
      <c r="I621" s="631"/>
      <c r="J621" s="631"/>
      <c r="K621" s="631"/>
      <c r="L621" s="631"/>
      <c r="M621" s="631"/>
      <c r="N621" s="631"/>
      <c r="O621" s="631"/>
      <c r="P621" s="631"/>
      <c r="Q621" s="631"/>
      <c r="R621" s="631"/>
      <c r="S621" s="631"/>
      <c r="T621" s="631"/>
      <c r="U621" s="631"/>
      <c r="V621" s="631"/>
      <c r="W621" s="631"/>
      <c r="X621" s="631"/>
      <c r="Y621" s="631"/>
      <c r="Z621" s="631"/>
    </row>
    <row r="622" spans="1:26">
      <c r="A622" s="636" t="s">
        <v>3648</v>
      </c>
      <c r="B622" s="631"/>
      <c r="C622" s="631"/>
      <c r="D622" s="631"/>
      <c r="E622" s="631"/>
      <c r="F622" s="631"/>
      <c r="G622" s="631"/>
      <c r="H622" s="652"/>
      <c r="I622" s="631"/>
      <c r="J622" s="631"/>
      <c r="K622" s="631"/>
      <c r="L622" s="631"/>
      <c r="M622" s="631"/>
      <c r="N622" s="631"/>
      <c r="O622" s="631"/>
      <c r="P622" s="631"/>
      <c r="Q622" s="631"/>
      <c r="R622" s="631"/>
      <c r="S622" s="631"/>
      <c r="T622" s="631"/>
      <c r="U622" s="631"/>
      <c r="V622" s="631"/>
      <c r="W622" s="631"/>
      <c r="X622" s="631"/>
      <c r="Y622" s="631"/>
      <c r="Z622" s="631"/>
    </row>
    <row r="623" spans="1:26">
      <c r="A623" s="636" t="s">
        <v>3648</v>
      </c>
      <c r="B623" s="631"/>
      <c r="C623" s="631"/>
      <c r="D623" s="631"/>
      <c r="E623" s="631"/>
      <c r="F623" s="631"/>
      <c r="G623" s="631"/>
      <c r="H623" s="652"/>
      <c r="I623" s="631"/>
      <c r="J623" s="631"/>
      <c r="K623" s="631"/>
      <c r="L623" s="631"/>
      <c r="M623" s="631"/>
      <c r="N623" s="631"/>
      <c r="O623" s="631"/>
      <c r="P623" s="631"/>
      <c r="Q623" s="631"/>
      <c r="R623" s="631"/>
      <c r="S623" s="631"/>
      <c r="T623" s="631"/>
      <c r="U623" s="631"/>
      <c r="V623" s="631"/>
      <c r="W623" s="631"/>
      <c r="X623" s="631"/>
      <c r="Y623" s="631"/>
      <c r="Z623" s="631"/>
    </row>
    <row r="624" spans="1:26">
      <c r="A624" s="636" t="s">
        <v>3648</v>
      </c>
      <c r="B624" s="631"/>
      <c r="C624" s="631"/>
      <c r="D624" s="631"/>
      <c r="E624" s="631"/>
      <c r="F624" s="631"/>
      <c r="G624" s="631"/>
      <c r="H624" s="652"/>
      <c r="I624" s="631"/>
      <c r="J624" s="631"/>
      <c r="K624" s="631"/>
      <c r="L624" s="631"/>
      <c r="M624" s="631"/>
      <c r="N624" s="631"/>
      <c r="O624" s="631"/>
      <c r="P624" s="631"/>
      <c r="Q624" s="631"/>
      <c r="R624" s="631"/>
      <c r="S624" s="631"/>
      <c r="T624" s="631"/>
      <c r="U624" s="631"/>
      <c r="V624" s="631"/>
      <c r="W624" s="631"/>
      <c r="X624" s="631"/>
      <c r="Y624" s="631"/>
      <c r="Z624" s="631"/>
    </row>
    <row r="625" spans="1:26">
      <c r="A625" s="636" t="s">
        <v>3648</v>
      </c>
      <c r="B625" s="631"/>
      <c r="C625" s="631"/>
      <c r="D625" s="631"/>
      <c r="E625" s="631"/>
      <c r="F625" s="631"/>
      <c r="G625" s="631"/>
      <c r="H625" s="652"/>
      <c r="I625" s="631"/>
      <c r="J625" s="631"/>
      <c r="K625" s="631"/>
      <c r="L625" s="631"/>
      <c r="M625" s="631"/>
      <c r="N625" s="631"/>
      <c r="O625" s="631"/>
      <c r="P625" s="631"/>
      <c r="Q625" s="631"/>
      <c r="R625" s="631"/>
      <c r="S625" s="631"/>
      <c r="T625" s="631"/>
      <c r="U625" s="631"/>
      <c r="V625" s="631"/>
      <c r="W625" s="631"/>
      <c r="X625" s="631"/>
      <c r="Y625" s="631"/>
      <c r="Z625" s="631"/>
    </row>
    <row r="626" spans="1:26">
      <c r="A626" s="636" t="s">
        <v>3648</v>
      </c>
      <c r="B626" s="631"/>
      <c r="C626" s="631"/>
      <c r="D626" s="631"/>
      <c r="E626" s="631"/>
      <c r="F626" s="631"/>
      <c r="G626" s="631"/>
      <c r="H626" s="652"/>
      <c r="I626" s="631"/>
      <c r="J626" s="631"/>
      <c r="K626" s="631"/>
      <c r="L626" s="631"/>
      <c r="M626" s="631"/>
      <c r="N626" s="631"/>
      <c r="O626" s="631"/>
      <c r="P626" s="631"/>
      <c r="Q626" s="631"/>
      <c r="R626" s="631"/>
      <c r="S626" s="631"/>
      <c r="T626" s="631"/>
      <c r="U626" s="631"/>
      <c r="V626" s="631"/>
      <c r="W626" s="631"/>
      <c r="X626" s="631"/>
      <c r="Y626" s="631"/>
      <c r="Z626" s="631"/>
    </row>
    <row r="627" spans="1:26">
      <c r="A627" s="636" t="s">
        <v>3648</v>
      </c>
      <c r="B627" s="631"/>
      <c r="C627" s="631"/>
      <c r="D627" s="631"/>
      <c r="E627" s="631"/>
      <c r="F627" s="631"/>
      <c r="G627" s="631"/>
      <c r="H627" s="652"/>
      <c r="I627" s="631"/>
      <c r="J627" s="631"/>
      <c r="K627" s="631"/>
      <c r="L627" s="631"/>
      <c r="M627" s="631"/>
      <c r="N627" s="631"/>
      <c r="O627" s="631"/>
      <c r="P627" s="631"/>
      <c r="Q627" s="631"/>
      <c r="R627" s="631"/>
      <c r="S627" s="631"/>
      <c r="T627" s="631"/>
      <c r="U627" s="631"/>
      <c r="V627" s="631"/>
      <c r="W627" s="631"/>
      <c r="X627" s="631"/>
      <c r="Y627" s="631"/>
      <c r="Z627" s="631"/>
    </row>
    <row r="628" spans="1:26">
      <c r="A628" s="636" t="s">
        <v>3648</v>
      </c>
      <c r="B628" s="631"/>
      <c r="C628" s="631"/>
      <c r="D628" s="631"/>
      <c r="E628" s="631"/>
      <c r="F628" s="631"/>
      <c r="G628" s="631"/>
      <c r="H628" s="652"/>
      <c r="I628" s="631"/>
      <c r="J628" s="631"/>
      <c r="K628" s="631"/>
      <c r="L628" s="631"/>
      <c r="M628" s="631"/>
      <c r="N628" s="631"/>
      <c r="O628" s="631"/>
      <c r="P628" s="631"/>
      <c r="Q628" s="631"/>
      <c r="R628" s="631"/>
      <c r="S628" s="631"/>
      <c r="T628" s="631"/>
      <c r="U628" s="631"/>
      <c r="V628" s="631"/>
      <c r="W628" s="631"/>
      <c r="X628" s="631"/>
      <c r="Y628" s="631"/>
      <c r="Z628" s="631"/>
    </row>
    <row r="629" spans="1:26">
      <c r="A629" s="636" t="s">
        <v>3648</v>
      </c>
      <c r="B629" s="631"/>
      <c r="C629" s="631"/>
      <c r="D629" s="631"/>
      <c r="E629" s="631"/>
      <c r="F629" s="631"/>
      <c r="G629" s="631"/>
      <c r="H629" s="652"/>
      <c r="I629" s="631"/>
      <c r="J629" s="631"/>
      <c r="K629" s="631"/>
      <c r="L629" s="631"/>
      <c r="M629" s="631"/>
      <c r="N629" s="631"/>
      <c r="O629" s="631"/>
      <c r="P629" s="631"/>
      <c r="Q629" s="631"/>
      <c r="R629" s="631"/>
      <c r="S629" s="631"/>
      <c r="T629" s="631"/>
      <c r="U629" s="631"/>
      <c r="V629" s="631"/>
      <c r="W629" s="631"/>
      <c r="X629" s="631"/>
      <c r="Y629" s="631"/>
      <c r="Z629" s="631"/>
    </row>
    <row r="630" spans="1:26">
      <c r="A630" s="636" t="s">
        <v>3648</v>
      </c>
      <c r="B630" s="631"/>
      <c r="C630" s="631"/>
      <c r="D630" s="631"/>
      <c r="E630" s="631"/>
      <c r="F630" s="631"/>
      <c r="G630" s="631"/>
      <c r="H630" s="652"/>
      <c r="I630" s="631"/>
      <c r="J630" s="631"/>
      <c r="K630" s="631"/>
      <c r="L630" s="631"/>
      <c r="M630" s="631"/>
      <c r="N630" s="631"/>
      <c r="O630" s="631"/>
      <c r="P630" s="631"/>
      <c r="Q630" s="631"/>
      <c r="R630" s="631"/>
      <c r="S630" s="631"/>
      <c r="T630" s="631"/>
      <c r="U630" s="631"/>
      <c r="V630" s="631"/>
      <c r="W630" s="631"/>
      <c r="X630" s="631"/>
      <c r="Y630" s="631"/>
      <c r="Z630" s="631"/>
    </row>
    <row r="631" spans="1:26">
      <c r="A631" s="636" t="s">
        <v>3648</v>
      </c>
      <c r="B631" s="631"/>
      <c r="C631" s="631"/>
      <c r="D631" s="631"/>
      <c r="E631" s="631"/>
      <c r="F631" s="631"/>
      <c r="G631" s="631"/>
      <c r="H631" s="652"/>
      <c r="I631" s="631"/>
      <c r="J631" s="631"/>
      <c r="K631" s="631"/>
      <c r="L631" s="631"/>
      <c r="M631" s="631"/>
      <c r="N631" s="631"/>
      <c r="O631" s="631"/>
      <c r="P631" s="631"/>
      <c r="Q631" s="631"/>
      <c r="R631" s="631"/>
      <c r="S631" s="631"/>
      <c r="T631" s="631"/>
      <c r="U631" s="631"/>
      <c r="V631" s="631"/>
      <c r="W631" s="631"/>
      <c r="X631" s="631"/>
      <c r="Y631" s="631"/>
      <c r="Z631" s="631"/>
    </row>
    <row r="632" spans="1:26">
      <c r="A632" s="636" t="s">
        <v>3648</v>
      </c>
      <c r="B632" s="631"/>
      <c r="C632" s="631"/>
      <c r="D632" s="631"/>
      <c r="E632" s="631"/>
      <c r="F632" s="631"/>
      <c r="G632" s="631"/>
      <c r="H632" s="652"/>
      <c r="I632" s="631"/>
      <c r="J632" s="631"/>
      <c r="K632" s="631"/>
      <c r="L632" s="631"/>
      <c r="M632" s="631"/>
      <c r="N632" s="631"/>
      <c r="O632" s="631"/>
      <c r="P632" s="631"/>
      <c r="Q632" s="631"/>
      <c r="R632" s="631"/>
      <c r="S632" s="631"/>
      <c r="T632" s="631"/>
      <c r="U632" s="631"/>
      <c r="V632" s="631"/>
      <c r="W632" s="631"/>
      <c r="X632" s="631"/>
      <c r="Y632" s="631"/>
      <c r="Z632" s="631"/>
    </row>
    <row r="633" spans="1:26">
      <c r="A633" s="636" t="s">
        <v>3648</v>
      </c>
      <c r="B633" s="631"/>
      <c r="C633" s="631"/>
      <c r="D633" s="631"/>
      <c r="E633" s="631"/>
      <c r="F633" s="631"/>
      <c r="G633" s="631"/>
      <c r="H633" s="652"/>
      <c r="I633" s="631"/>
      <c r="J633" s="631"/>
      <c r="K633" s="631"/>
      <c r="L633" s="631"/>
      <c r="M633" s="631"/>
      <c r="N633" s="631"/>
      <c r="O633" s="631"/>
      <c r="P633" s="631"/>
      <c r="Q633" s="631"/>
      <c r="R633" s="631"/>
      <c r="S633" s="631"/>
      <c r="T633" s="631"/>
      <c r="U633" s="631"/>
      <c r="V633" s="631"/>
      <c r="W633" s="631"/>
      <c r="X633" s="631"/>
      <c r="Y633" s="631"/>
      <c r="Z633" s="631"/>
    </row>
    <row r="634" spans="1:26">
      <c r="A634" s="636" t="s">
        <v>3648</v>
      </c>
      <c r="B634" s="631"/>
      <c r="C634" s="631"/>
      <c r="D634" s="631"/>
      <c r="E634" s="631"/>
      <c r="F634" s="631"/>
      <c r="G634" s="631"/>
      <c r="H634" s="652"/>
      <c r="I634" s="631"/>
      <c r="J634" s="631"/>
      <c r="K634" s="631"/>
      <c r="L634" s="631"/>
      <c r="M634" s="631"/>
      <c r="N634" s="631"/>
      <c r="O634" s="631"/>
      <c r="P634" s="631"/>
      <c r="Q634" s="631"/>
      <c r="R634" s="631"/>
      <c r="S634" s="631"/>
      <c r="T634" s="631"/>
      <c r="U634" s="631"/>
      <c r="V634" s="631"/>
      <c r="W634" s="631"/>
      <c r="X634" s="631"/>
      <c r="Y634" s="631"/>
      <c r="Z634" s="631"/>
    </row>
    <row r="635" spans="1:26">
      <c r="A635" s="636" t="s">
        <v>3648</v>
      </c>
      <c r="B635" s="631"/>
      <c r="C635" s="631"/>
      <c r="D635" s="631"/>
      <c r="E635" s="631"/>
      <c r="F635" s="631"/>
      <c r="G635" s="631"/>
      <c r="H635" s="652"/>
      <c r="I635" s="631"/>
      <c r="J635" s="631"/>
      <c r="K635" s="631"/>
      <c r="L635" s="631"/>
      <c r="M635" s="631"/>
      <c r="N635" s="631"/>
      <c r="O635" s="631"/>
      <c r="P635" s="631"/>
      <c r="Q635" s="631"/>
      <c r="R635" s="631"/>
      <c r="S635" s="631"/>
      <c r="T635" s="631"/>
      <c r="U635" s="631"/>
      <c r="V635" s="631"/>
      <c r="W635" s="631"/>
      <c r="X635" s="631"/>
      <c r="Y635" s="631"/>
      <c r="Z635" s="631"/>
    </row>
    <row r="636" spans="1:26">
      <c r="A636" s="636" t="s">
        <v>3648</v>
      </c>
      <c r="B636" s="631"/>
      <c r="C636" s="631"/>
      <c r="D636" s="631"/>
      <c r="E636" s="631"/>
      <c r="F636" s="631"/>
      <c r="G636" s="631"/>
      <c r="H636" s="652"/>
      <c r="I636" s="631"/>
      <c r="J636" s="631"/>
      <c r="K636" s="631"/>
      <c r="L636" s="631"/>
      <c r="M636" s="631"/>
      <c r="N636" s="631"/>
      <c r="O636" s="631"/>
      <c r="P636" s="631"/>
      <c r="Q636" s="631"/>
      <c r="R636" s="631"/>
      <c r="S636" s="631"/>
      <c r="T636" s="631"/>
      <c r="U636" s="631"/>
      <c r="V636" s="631"/>
      <c r="W636" s="631"/>
      <c r="X636" s="631"/>
      <c r="Y636" s="631"/>
      <c r="Z636" s="631"/>
    </row>
    <row r="637" spans="1:26">
      <c r="A637" s="636" t="s">
        <v>3648</v>
      </c>
      <c r="B637" s="631"/>
      <c r="C637" s="631"/>
      <c r="D637" s="631"/>
      <c r="E637" s="631"/>
      <c r="F637" s="631"/>
      <c r="G637" s="631"/>
      <c r="H637" s="652"/>
      <c r="I637" s="631"/>
      <c r="J637" s="631"/>
      <c r="K637" s="631"/>
      <c r="L637" s="631"/>
      <c r="M637" s="631"/>
      <c r="N637" s="631"/>
      <c r="O637" s="631"/>
      <c r="P637" s="631"/>
      <c r="Q637" s="631"/>
      <c r="R637" s="631"/>
      <c r="S637" s="631"/>
      <c r="T637" s="631"/>
      <c r="U637" s="631"/>
      <c r="V637" s="631"/>
      <c r="W637" s="631"/>
      <c r="X637" s="631"/>
      <c r="Y637" s="631"/>
      <c r="Z637" s="631"/>
    </row>
    <row r="638" spans="1:26">
      <c r="A638" s="636" t="s">
        <v>3648</v>
      </c>
      <c r="B638" s="631"/>
      <c r="C638" s="631"/>
      <c r="D638" s="631"/>
      <c r="E638" s="631"/>
      <c r="F638" s="631"/>
      <c r="G638" s="631"/>
      <c r="H638" s="652"/>
      <c r="I638" s="631"/>
      <c r="J638" s="631"/>
      <c r="K638" s="631"/>
      <c r="L638" s="631"/>
      <c r="M638" s="631"/>
      <c r="N638" s="631"/>
      <c r="O638" s="631"/>
      <c r="P638" s="631"/>
      <c r="Q638" s="631"/>
      <c r="R638" s="631"/>
      <c r="S638" s="631"/>
      <c r="T638" s="631"/>
      <c r="U638" s="631"/>
      <c r="V638" s="631"/>
      <c r="W638" s="631"/>
      <c r="X638" s="631"/>
      <c r="Y638" s="631"/>
      <c r="Z638" s="631"/>
    </row>
    <row r="639" spans="1:26">
      <c r="A639" s="636" t="s">
        <v>3648</v>
      </c>
      <c r="B639" s="631"/>
      <c r="C639" s="631"/>
      <c r="D639" s="631"/>
      <c r="E639" s="631"/>
      <c r="F639" s="631"/>
      <c r="G639" s="631"/>
      <c r="H639" s="652"/>
      <c r="I639" s="631"/>
      <c r="J639" s="631"/>
      <c r="K639" s="631"/>
      <c r="L639" s="631"/>
      <c r="M639" s="631"/>
      <c r="N639" s="631"/>
      <c r="O639" s="631"/>
      <c r="P639" s="631"/>
      <c r="Q639" s="631"/>
      <c r="R639" s="631"/>
      <c r="S639" s="631"/>
      <c r="T639" s="631"/>
      <c r="U639" s="631"/>
      <c r="V639" s="631"/>
      <c r="W639" s="631"/>
      <c r="X639" s="631"/>
      <c r="Y639" s="631"/>
      <c r="Z639" s="631"/>
    </row>
    <row r="640" spans="1:26">
      <c r="A640" s="636" t="s">
        <v>3648</v>
      </c>
      <c r="B640" s="631"/>
      <c r="C640" s="631"/>
      <c r="D640" s="631"/>
      <c r="E640" s="631"/>
      <c r="F640" s="631"/>
      <c r="G640" s="631"/>
      <c r="H640" s="652"/>
      <c r="I640" s="631"/>
      <c r="J640" s="631"/>
      <c r="K640" s="631"/>
      <c r="L640" s="631"/>
      <c r="M640" s="631"/>
      <c r="N640" s="631"/>
      <c r="O640" s="631"/>
      <c r="P640" s="631"/>
      <c r="Q640" s="631"/>
      <c r="R640" s="631"/>
      <c r="S640" s="631"/>
      <c r="T640" s="631"/>
      <c r="U640" s="631"/>
      <c r="V640" s="631"/>
      <c r="W640" s="631"/>
      <c r="X640" s="631"/>
      <c r="Y640" s="631"/>
      <c r="Z640" s="631"/>
    </row>
    <row r="641" spans="1:26">
      <c r="A641" s="636" t="s">
        <v>3648</v>
      </c>
      <c r="B641" s="631"/>
      <c r="C641" s="631"/>
      <c r="D641" s="631"/>
      <c r="E641" s="631"/>
      <c r="F641" s="631"/>
      <c r="G641" s="631"/>
      <c r="H641" s="652"/>
      <c r="I641" s="631"/>
      <c r="J641" s="631"/>
      <c r="K641" s="631"/>
      <c r="L641" s="631"/>
      <c r="M641" s="631"/>
      <c r="N641" s="631"/>
      <c r="O641" s="631"/>
      <c r="P641" s="631"/>
      <c r="Q641" s="631"/>
      <c r="R641" s="631"/>
      <c r="S641" s="631"/>
      <c r="T641" s="631"/>
      <c r="U641" s="631"/>
      <c r="V641" s="631"/>
      <c r="W641" s="631"/>
      <c r="X641" s="631"/>
      <c r="Y641" s="631"/>
      <c r="Z641" s="631"/>
    </row>
    <row r="642" spans="1:26">
      <c r="A642" s="636" t="s">
        <v>3648</v>
      </c>
      <c r="B642" s="631"/>
      <c r="C642" s="631"/>
      <c r="D642" s="631"/>
      <c r="E642" s="631"/>
      <c r="F642" s="631"/>
      <c r="G642" s="631"/>
      <c r="H642" s="652"/>
      <c r="I642" s="631"/>
      <c r="J642" s="631"/>
      <c r="K642" s="631"/>
      <c r="L642" s="631"/>
      <c r="M642" s="631"/>
      <c r="N642" s="631"/>
      <c r="O642" s="631"/>
      <c r="P642" s="631"/>
      <c r="Q642" s="631"/>
      <c r="R642" s="631"/>
      <c r="S642" s="631"/>
      <c r="T642" s="631"/>
      <c r="U642" s="631"/>
      <c r="V642" s="631"/>
      <c r="W642" s="631"/>
      <c r="X642" s="631"/>
      <c r="Y642" s="631"/>
      <c r="Z642" s="631"/>
    </row>
    <row r="643" spans="1:26">
      <c r="A643" s="636" t="s">
        <v>3648</v>
      </c>
      <c r="B643" s="631"/>
      <c r="C643" s="631"/>
      <c r="D643" s="631"/>
      <c r="E643" s="631"/>
      <c r="F643" s="631"/>
      <c r="G643" s="631"/>
      <c r="H643" s="652"/>
      <c r="I643" s="631"/>
      <c r="J643" s="631"/>
      <c r="K643" s="631"/>
      <c r="L643" s="631"/>
      <c r="M643" s="631"/>
      <c r="N643" s="631"/>
      <c r="O643" s="631"/>
      <c r="P643" s="631"/>
      <c r="Q643" s="631"/>
      <c r="R643" s="631"/>
      <c r="S643" s="631"/>
      <c r="T643" s="631"/>
      <c r="U643" s="631"/>
      <c r="V643" s="631"/>
      <c r="W643" s="631"/>
      <c r="X643" s="631"/>
      <c r="Y643" s="631"/>
      <c r="Z643" s="631"/>
    </row>
    <row r="644" spans="1:26">
      <c r="A644" s="636" t="s">
        <v>3648</v>
      </c>
      <c r="B644" s="631"/>
      <c r="C644" s="631"/>
      <c r="D644" s="631"/>
      <c r="E644" s="631"/>
      <c r="F644" s="631"/>
      <c r="G644" s="631"/>
      <c r="H644" s="652"/>
      <c r="I644" s="631"/>
      <c r="J644" s="631"/>
      <c r="K644" s="631"/>
      <c r="L644" s="631"/>
      <c r="M644" s="631"/>
      <c r="N644" s="631"/>
      <c r="O644" s="631"/>
      <c r="P644" s="631"/>
      <c r="Q644" s="631"/>
      <c r="R644" s="631"/>
      <c r="S644" s="631"/>
      <c r="T644" s="631"/>
      <c r="U644" s="631"/>
      <c r="V644" s="631"/>
      <c r="W644" s="631"/>
      <c r="X644" s="631"/>
      <c r="Y644" s="631"/>
      <c r="Z644" s="631"/>
    </row>
    <row r="645" spans="1:26">
      <c r="A645" s="636" t="s">
        <v>3648</v>
      </c>
      <c r="B645" s="631"/>
      <c r="C645" s="631"/>
      <c r="D645" s="631"/>
      <c r="E645" s="631"/>
      <c r="F645" s="631"/>
      <c r="G645" s="631"/>
      <c r="H645" s="652"/>
      <c r="I645" s="631"/>
      <c r="J645" s="631"/>
      <c r="K645" s="631"/>
      <c r="L645" s="631"/>
      <c r="M645" s="631"/>
      <c r="N645" s="631"/>
      <c r="O645" s="631"/>
      <c r="P645" s="631"/>
      <c r="Q645" s="631"/>
      <c r="R645" s="631"/>
      <c r="S645" s="631"/>
      <c r="T645" s="631"/>
      <c r="U645" s="631"/>
      <c r="V645" s="631"/>
      <c r="W645" s="631"/>
      <c r="X645" s="631"/>
      <c r="Y645" s="631"/>
      <c r="Z645" s="631"/>
    </row>
    <row r="646" spans="1:26">
      <c r="A646" s="636" t="s">
        <v>3648</v>
      </c>
      <c r="B646" s="631"/>
      <c r="C646" s="631"/>
      <c r="D646" s="631"/>
      <c r="E646" s="631"/>
      <c r="F646" s="631"/>
      <c r="G646" s="631"/>
      <c r="H646" s="652"/>
      <c r="I646" s="631"/>
      <c r="J646" s="631"/>
      <c r="K646" s="631"/>
      <c r="L646" s="631"/>
      <c r="M646" s="631"/>
      <c r="N646" s="631"/>
      <c r="O646" s="631"/>
      <c r="P646" s="631"/>
      <c r="Q646" s="631"/>
      <c r="R646" s="631"/>
      <c r="S646" s="631"/>
      <c r="T646" s="631"/>
      <c r="U646" s="631"/>
      <c r="V646" s="631"/>
      <c r="W646" s="631"/>
      <c r="X646" s="631"/>
      <c r="Y646" s="631"/>
      <c r="Z646" s="631"/>
    </row>
    <row r="647" spans="1:26">
      <c r="A647" s="636" t="s">
        <v>3648</v>
      </c>
      <c r="B647" s="631"/>
      <c r="C647" s="631"/>
      <c r="D647" s="631"/>
      <c r="E647" s="631"/>
      <c r="F647" s="631"/>
      <c r="G647" s="631"/>
      <c r="H647" s="652"/>
      <c r="I647" s="631"/>
      <c r="J647" s="631"/>
      <c r="K647" s="631"/>
      <c r="L647" s="631"/>
      <c r="M647" s="631"/>
      <c r="N647" s="631"/>
      <c r="O647" s="631"/>
      <c r="P647" s="631"/>
      <c r="Q647" s="631"/>
      <c r="R647" s="631"/>
      <c r="S647" s="631"/>
      <c r="T647" s="631"/>
      <c r="U647" s="631"/>
      <c r="V647" s="631"/>
      <c r="W647" s="631"/>
      <c r="X647" s="631"/>
      <c r="Y647" s="631"/>
      <c r="Z647" s="631"/>
    </row>
    <row r="648" spans="1:26">
      <c r="A648" s="636" t="s">
        <v>3648</v>
      </c>
      <c r="B648" s="631"/>
      <c r="C648" s="631"/>
      <c r="D648" s="631"/>
      <c r="E648" s="631"/>
      <c r="F648" s="631"/>
      <c r="G648" s="631"/>
      <c r="H648" s="652"/>
      <c r="I648" s="631"/>
      <c r="J648" s="631"/>
      <c r="K648" s="631"/>
      <c r="L648" s="631"/>
      <c r="M648" s="631"/>
      <c r="N648" s="631"/>
      <c r="O648" s="631"/>
      <c r="P648" s="631"/>
      <c r="Q648" s="631"/>
      <c r="R648" s="631"/>
      <c r="S648" s="631"/>
      <c r="T648" s="631"/>
      <c r="U648" s="631"/>
      <c r="V648" s="631"/>
      <c r="W648" s="631"/>
      <c r="X648" s="631"/>
      <c r="Y648" s="631"/>
      <c r="Z648" s="631"/>
    </row>
    <row r="649" spans="1:26">
      <c r="A649" s="636" t="s">
        <v>3648</v>
      </c>
      <c r="B649" s="631"/>
      <c r="C649" s="631"/>
      <c r="D649" s="631"/>
      <c r="E649" s="631"/>
      <c r="F649" s="631"/>
      <c r="G649" s="631"/>
      <c r="H649" s="652"/>
      <c r="I649" s="631"/>
      <c r="J649" s="631"/>
      <c r="K649" s="631"/>
      <c r="L649" s="631"/>
      <c r="M649" s="631"/>
      <c r="N649" s="631"/>
      <c r="O649" s="631"/>
      <c r="P649" s="631"/>
      <c r="Q649" s="631"/>
      <c r="R649" s="631"/>
      <c r="S649" s="631"/>
      <c r="T649" s="631"/>
      <c r="U649" s="631"/>
      <c r="V649" s="631"/>
      <c r="W649" s="631"/>
      <c r="X649" s="631"/>
      <c r="Y649" s="631"/>
      <c r="Z649" s="631"/>
    </row>
    <row r="650" spans="1:26">
      <c r="A650" s="636" t="s">
        <v>3648</v>
      </c>
      <c r="B650" s="631"/>
      <c r="C650" s="631"/>
      <c r="D650" s="631"/>
      <c r="E650" s="631"/>
      <c r="F650" s="631"/>
      <c r="G650" s="631"/>
      <c r="H650" s="652"/>
      <c r="I650" s="631"/>
      <c r="J650" s="631"/>
      <c r="K650" s="631"/>
      <c r="L650" s="631"/>
      <c r="M650" s="631"/>
      <c r="N650" s="631"/>
      <c r="O650" s="631"/>
      <c r="P650" s="631"/>
      <c r="Q650" s="631"/>
      <c r="R650" s="631"/>
      <c r="S650" s="631"/>
      <c r="T650" s="631"/>
      <c r="U650" s="631"/>
      <c r="V650" s="631"/>
      <c r="W650" s="631"/>
      <c r="X650" s="631"/>
      <c r="Y650" s="631"/>
      <c r="Z650" s="631"/>
    </row>
    <row r="651" spans="1:26">
      <c r="A651" s="636" t="s">
        <v>3648</v>
      </c>
      <c r="B651" s="631"/>
      <c r="C651" s="631"/>
      <c r="D651" s="631"/>
      <c r="E651" s="631"/>
      <c r="F651" s="631"/>
      <c r="G651" s="631"/>
      <c r="H651" s="652"/>
      <c r="I651" s="631"/>
      <c r="J651" s="631"/>
      <c r="K651" s="631"/>
      <c r="L651" s="631"/>
      <c r="M651" s="631"/>
      <c r="N651" s="631"/>
      <c r="O651" s="631"/>
      <c r="P651" s="631"/>
      <c r="Q651" s="631"/>
      <c r="R651" s="631"/>
      <c r="S651" s="631"/>
      <c r="T651" s="631"/>
      <c r="U651" s="631"/>
      <c r="V651" s="631"/>
      <c r="W651" s="631"/>
      <c r="X651" s="631"/>
      <c r="Y651" s="631"/>
      <c r="Z651" s="631"/>
    </row>
    <row r="652" spans="1:26">
      <c r="A652" s="636" t="s">
        <v>3648</v>
      </c>
      <c r="B652" s="631"/>
      <c r="C652" s="631"/>
      <c r="D652" s="631"/>
      <c r="E652" s="631"/>
      <c r="F652" s="631"/>
      <c r="G652" s="631"/>
      <c r="H652" s="652"/>
      <c r="I652" s="631"/>
      <c r="J652" s="631"/>
      <c r="K652" s="631"/>
      <c r="L652" s="631"/>
      <c r="M652" s="631"/>
      <c r="N652" s="631"/>
      <c r="O652" s="631"/>
      <c r="P652" s="631"/>
      <c r="Q652" s="631"/>
      <c r="R652" s="631"/>
      <c r="S652" s="631"/>
      <c r="T652" s="631"/>
      <c r="U652" s="631"/>
      <c r="V652" s="631"/>
      <c r="W652" s="631"/>
      <c r="X652" s="631"/>
      <c r="Y652" s="631"/>
      <c r="Z652" s="631"/>
    </row>
    <row r="653" spans="1:26">
      <c r="A653" s="636" t="s">
        <v>3648</v>
      </c>
      <c r="B653" s="631"/>
      <c r="C653" s="631"/>
      <c r="D653" s="631"/>
      <c r="E653" s="631"/>
      <c r="F653" s="631"/>
      <c r="G653" s="631"/>
      <c r="H653" s="652"/>
      <c r="I653" s="631"/>
      <c r="J653" s="631"/>
      <c r="K653" s="631"/>
      <c r="L653" s="631"/>
      <c r="M653" s="631"/>
      <c r="N653" s="631"/>
      <c r="O653" s="631"/>
      <c r="P653" s="631"/>
      <c r="Q653" s="631"/>
      <c r="R653" s="631"/>
      <c r="S653" s="631"/>
      <c r="T653" s="631"/>
      <c r="U653" s="631"/>
      <c r="V653" s="631"/>
      <c r="W653" s="631"/>
      <c r="X653" s="631"/>
      <c r="Y653" s="631"/>
      <c r="Z653" s="631"/>
    </row>
    <row r="654" spans="1:26">
      <c r="A654" s="636" t="s">
        <v>3648</v>
      </c>
      <c r="B654" s="631"/>
      <c r="C654" s="631"/>
      <c r="D654" s="631"/>
      <c r="E654" s="631"/>
      <c r="F654" s="631"/>
      <c r="G654" s="631"/>
      <c r="H654" s="652"/>
      <c r="I654" s="631"/>
      <c r="J654" s="631"/>
      <c r="K654" s="631"/>
      <c r="L654" s="631"/>
      <c r="M654" s="631"/>
      <c r="N654" s="631"/>
      <c r="O654" s="631"/>
      <c r="P654" s="631"/>
      <c r="Q654" s="631"/>
      <c r="R654" s="631"/>
      <c r="S654" s="631"/>
      <c r="T654" s="631"/>
      <c r="U654" s="631"/>
      <c r="V654" s="631"/>
      <c r="W654" s="631"/>
      <c r="X654" s="631"/>
      <c r="Y654" s="631"/>
      <c r="Z654" s="631"/>
    </row>
    <row r="655" spans="1:26">
      <c r="A655" s="636" t="s">
        <v>3648</v>
      </c>
      <c r="B655" s="631"/>
      <c r="C655" s="631"/>
      <c r="D655" s="631"/>
      <c r="E655" s="631"/>
      <c r="F655" s="631"/>
      <c r="G655" s="631"/>
      <c r="H655" s="652"/>
      <c r="I655" s="631"/>
      <c r="J655" s="631"/>
      <c r="K655" s="631"/>
      <c r="L655" s="631"/>
      <c r="M655" s="631"/>
      <c r="N655" s="631"/>
      <c r="O655" s="631"/>
      <c r="P655" s="631"/>
      <c r="Q655" s="631"/>
      <c r="R655" s="631"/>
      <c r="S655" s="631"/>
      <c r="T655" s="631"/>
      <c r="U655" s="631"/>
      <c r="V655" s="631"/>
      <c r="W655" s="631"/>
      <c r="X655" s="631"/>
      <c r="Y655" s="631"/>
      <c r="Z655" s="631"/>
    </row>
    <row r="656" spans="1:26">
      <c r="A656" s="636" t="s">
        <v>3648</v>
      </c>
      <c r="B656" s="631"/>
      <c r="C656" s="631"/>
      <c r="D656" s="631"/>
      <c r="E656" s="631"/>
      <c r="F656" s="631"/>
      <c r="G656" s="631"/>
      <c r="H656" s="652"/>
      <c r="I656" s="631"/>
      <c r="J656" s="631"/>
      <c r="K656" s="631"/>
      <c r="L656" s="631"/>
      <c r="M656" s="631"/>
      <c r="N656" s="631"/>
      <c r="O656" s="631"/>
      <c r="P656" s="631"/>
      <c r="Q656" s="631"/>
      <c r="R656" s="631"/>
      <c r="S656" s="631"/>
      <c r="T656" s="631"/>
      <c r="U656" s="631"/>
      <c r="V656" s="631"/>
      <c r="W656" s="631"/>
      <c r="X656" s="631"/>
      <c r="Y656" s="631"/>
      <c r="Z656" s="631"/>
    </row>
    <row r="657" spans="1:26">
      <c r="A657" s="636" t="s">
        <v>3648</v>
      </c>
      <c r="B657" s="631"/>
      <c r="C657" s="631"/>
      <c r="D657" s="631"/>
      <c r="E657" s="631"/>
      <c r="F657" s="631"/>
      <c r="G657" s="631"/>
      <c r="H657" s="652"/>
      <c r="I657" s="631"/>
      <c r="J657" s="631"/>
      <c r="K657" s="631"/>
      <c r="L657" s="631"/>
      <c r="M657" s="631"/>
      <c r="N657" s="631"/>
      <c r="O657" s="631"/>
      <c r="P657" s="631"/>
      <c r="Q657" s="631"/>
      <c r="R657" s="631"/>
      <c r="S657" s="631"/>
      <c r="T657" s="631"/>
      <c r="U657" s="631"/>
      <c r="V657" s="631"/>
      <c r="W657" s="631"/>
      <c r="X657" s="631"/>
      <c r="Y657" s="631"/>
      <c r="Z657" s="631"/>
    </row>
    <row r="658" spans="1:26">
      <c r="A658" s="636" t="s">
        <v>3648</v>
      </c>
      <c r="B658" s="631"/>
      <c r="C658" s="631"/>
      <c r="D658" s="631"/>
      <c r="E658" s="631"/>
      <c r="F658" s="631"/>
      <c r="G658" s="631"/>
      <c r="H658" s="652"/>
      <c r="I658" s="631"/>
      <c r="J658" s="631"/>
      <c r="K658" s="631"/>
      <c r="L658" s="631"/>
      <c r="M658" s="631"/>
      <c r="N658" s="631"/>
      <c r="O658" s="631"/>
      <c r="P658" s="631"/>
      <c r="Q658" s="631"/>
      <c r="R658" s="631"/>
      <c r="S658" s="631"/>
      <c r="T658" s="631"/>
      <c r="U658" s="631"/>
      <c r="V658" s="631"/>
      <c r="W658" s="631"/>
      <c r="X658" s="631"/>
      <c r="Y658" s="631"/>
      <c r="Z658" s="631"/>
    </row>
    <row r="659" spans="1:26">
      <c r="A659" s="636" t="s">
        <v>3648</v>
      </c>
      <c r="B659" s="631"/>
      <c r="C659" s="631"/>
      <c r="D659" s="631"/>
      <c r="E659" s="631"/>
      <c r="F659" s="631"/>
      <c r="G659" s="631"/>
      <c r="H659" s="652"/>
      <c r="I659" s="631"/>
      <c r="J659" s="631"/>
      <c r="K659" s="631"/>
      <c r="L659" s="631"/>
      <c r="M659" s="631"/>
      <c r="N659" s="631"/>
      <c r="O659" s="631"/>
      <c r="P659" s="631"/>
      <c r="Q659" s="631"/>
      <c r="R659" s="631"/>
      <c r="S659" s="631"/>
      <c r="T659" s="631"/>
      <c r="U659" s="631"/>
      <c r="V659" s="631"/>
      <c r="W659" s="631"/>
      <c r="X659" s="631"/>
      <c r="Y659" s="631"/>
      <c r="Z659" s="631"/>
    </row>
    <row r="660" spans="1:26">
      <c r="A660" s="636" t="s">
        <v>3648</v>
      </c>
      <c r="B660" s="631"/>
      <c r="C660" s="631"/>
      <c r="D660" s="631"/>
      <c r="E660" s="631"/>
      <c r="F660" s="631"/>
      <c r="G660" s="631"/>
      <c r="H660" s="652"/>
      <c r="I660" s="631"/>
      <c r="J660" s="631"/>
      <c r="K660" s="631"/>
      <c r="L660" s="631"/>
      <c r="M660" s="631"/>
      <c r="N660" s="631"/>
      <c r="O660" s="631"/>
      <c r="P660" s="631"/>
      <c r="Q660" s="631"/>
      <c r="R660" s="631"/>
      <c r="S660" s="631"/>
      <c r="T660" s="631"/>
      <c r="U660" s="631"/>
      <c r="V660" s="631"/>
      <c r="W660" s="631"/>
      <c r="X660" s="631"/>
      <c r="Y660" s="631"/>
      <c r="Z660" s="631"/>
    </row>
    <row r="661" spans="1:26">
      <c r="A661" s="636" t="s">
        <v>3648</v>
      </c>
      <c r="B661" s="631"/>
      <c r="C661" s="631"/>
      <c r="D661" s="631"/>
      <c r="E661" s="631"/>
      <c r="F661" s="631"/>
      <c r="G661" s="631"/>
      <c r="H661" s="652"/>
      <c r="I661" s="631"/>
      <c r="J661" s="631"/>
      <c r="K661" s="631"/>
      <c r="L661" s="631"/>
      <c r="M661" s="631"/>
      <c r="N661" s="631"/>
      <c r="O661" s="631"/>
      <c r="P661" s="631"/>
      <c r="Q661" s="631"/>
      <c r="R661" s="631"/>
      <c r="S661" s="631"/>
      <c r="T661" s="631"/>
      <c r="U661" s="631"/>
      <c r="V661" s="631"/>
      <c r="W661" s="631"/>
      <c r="X661" s="631"/>
      <c r="Y661" s="631"/>
      <c r="Z661" s="631"/>
    </row>
    <row r="662" spans="1:26">
      <c r="A662" s="636" t="s">
        <v>3648</v>
      </c>
      <c r="B662" s="631"/>
      <c r="C662" s="631"/>
      <c r="D662" s="631"/>
      <c r="E662" s="631"/>
      <c r="F662" s="631"/>
      <c r="G662" s="631"/>
      <c r="H662" s="652"/>
      <c r="I662" s="631"/>
      <c r="J662" s="631"/>
      <c r="K662" s="631"/>
      <c r="L662" s="631"/>
      <c r="M662" s="631"/>
      <c r="N662" s="631"/>
      <c r="O662" s="631"/>
      <c r="P662" s="631"/>
      <c r="Q662" s="631"/>
      <c r="R662" s="631"/>
      <c r="S662" s="631"/>
      <c r="T662" s="631"/>
      <c r="U662" s="631"/>
      <c r="V662" s="631"/>
      <c r="W662" s="631"/>
      <c r="X662" s="631"/>
      <c r="Y662" s="631"/>
      <c r="Z662" s="631"/>
    </row>
    <row r="663" spans="1:26">
      <c r="A663" s="636" t="s">
        <v>3648</v>
      </c>
      <c r="B663" s="631"/>
      <c r="C663" s="631"/>
      <c r="D663" s="631"/>
      <c r="E663" s="631"/>
      <c r="F663" s="631"/>
      <c r="G663" s="631"/>
      <c r="H663" s="652"/>
      <c r="I663" s="631"/>
      <c r="J663" s="631"/>
      <c r="K663" s="631"/>
      <c r="L663" s="631"/>
      <c r="M663" s="631"/>
      <c r="N663" s="631"/>
      <c r="O663" s="631"/>
      <c r="P663" s="631"/>
      <c r="Q663" s="631"/>
      <c r="R663" s="631"/>
      <c r="S663" s="631"/>
      <c r="T663" s="631"/>
      <c r="U663" s="631"/>
      <c r="V663" s="631"/>
      <c r="W663" s="631"/>
      <c r="X663" s="631"/>
      <c r="Y663" s="631"/>
      <c r="Z663" s="631"/>
    </row>
    <row r="664" spans="1:26">
      <c r="A664" s="636" t="s">
        <v>3648</v>
      </c>
      <c r="B664" s="631"/>
      <c r="C664" s="631"/>
      <c r="D664" s="631"/>
      <c r="E664" s="631"/>
      <c r="F664" s="631"/>
      <c r="G664" s="631"/>
      <c r="H664" s="652"/>
      <c r="I664" s="631"/>
      <c r="J664" s="631"/>
      <c r="K664" s="631"/>
      <c r="L664" s="631"/>
      <c r="M664" s="631"/>
      <c r="N664" s="631"/>
      <c r="O664" s="631"/>
      <c r="P664" s="631"/>
      <c r="Q664" s="631"/>
      <c r="R664" s="631"/>
      <c r="S664" s="631"/>
      <c r="T664" s="631"/>
      <c r="U664" s="631"/>
      <c r="V664" s="631"/>
      <c r="W664" s="631"/>
      <c r="X664" s="631"/>
      <c r="Y664" s="631"/>
      <c r="Z664" s="631"/>
    </row>
    <row r="665" spans="1:26">
      <c r="A665" s="636" t="s">
        <v>3648</v>
      </c>
      <c r="B665" s="631"/>
      <c r="C665" s="631"/>
      <c r="D665" s="631"/>
      <c r="E665" s="631"/>
      <c r="F665" s="631"/>
      <c r="G665" s="631"/>
      <c r="H665" s="652"/>
      <c r="I665" s="631"/>
      <c r="J665" s="631"/>
      <c r="K665" s="631"/>
      <c r="L665" s="631"/>
      <c r="M665" s="631"/>
      <c r="N665" s="631"/>
      <c r="O665" s="631"/>
      <c r="P665" s="631"/>
      <c r="Q665" s="631"/>
      <c r="R665" s="631"/>
      <c r="S665" s="631"/>
      <c r="T665" s="631"/>
      <c r="U665" s="631"/>
      <c r="V665" s="631"/>
      <c r="W665" s="631"/>
      <c r="X665" s="631"/>
      <c r="Y665" s="631"/>
      <c r="Z665" s="631"/>
    </row>
    <row r="666" spans="1:26">
      <c r="A666" s="636" t="s">
        <v>3648</v>
      </c>
      <c r="B666" s="631"/>
      <c r="C666" s="631"/>
      <c r="D666" s="631"/>
      <c r="E666" s="631"/>
      <c r="F666" s="631"/>
      <c r="G666" s="631"/>
      <c r="H666" s="652"/>
      <c r="I666" s="631"/>
      <c r="J666" s="631"/>
      <c r="K666" s="631"/>
      <c r="L666" s="631"/>
      <c r="M666" s="631"/>
      <c r="N666" s="631"/>
      <c r="O666" s="631"/>
      <c r="P666" s="631"/>
      <c r="Q666" s="631"/>
      <c r="R666" s="631"/>
      <c r="S666" s="631"/>
      <c r="T666" s="631"/>
      <c r="U666" s="631"/>
      <c r="V666" s="631"/>
      <c r="W666" s="631"/>
      <c r="X666" s="631"/>
      <c r="Y666" s="631"/>
      <c r="Z666" s="631"/>
    </row>
    <row r="667" spans="1:26">
      <c r="A667" s="636" t="s">
        <v>3648</v>
      </c>
      <c r="B667" s="631"/>
      <c r="C667" s="631"/>
      <c r="D667" s="631"/>
      <c r="E667" s="631"/>
      <c r="F667" s="631"/>
      <c r="G667" s="631"/>
      <c r="H667" s="652"/>
      <c r="I667" s="631"/>
      <c r="J667" s="631"/>
      <c r="K667" s="631"/>
      <c r="L667" s="631"/>
      <c r="M667" s="631"/>
      <c r="N667" s="631"/>
      <c r="O667" s="631"/>
      <c r="P667" s="631"/>
      <c r="Q667" s="631"/>
      <c r="R667" s="631"/>
      <c r="S667" s="631"/>
      <c r="T667" s="631"/>
      <c r="U667" s="631"/>
      <c r="V667" s="631"/>
      <c r="W667" s="631"/>
      <c r="X667" s="631"/>
      <c r="Y667" s="631"/>
      <c r="Z667" s="631"/>
    </row>
    <row r="668" spans="1:26">
      <c r="A668" s="636" t="s">
        <v>3648</v>
      </c>
      <c r="B668" s="631"/>
      <c r="C668" s="631"/>
      <c r="D668" s="631"/>
      <c r="E668" s="631"/>
      <c r="F668" s="631"/>
      <c r="G668" s="631"/>
      <c r="H668" s="652"/>
      <c r="I668" s="631"/>
      <c r="J668" s="631"/>
      <c r="K668" s="631"/>
      <c r="L668" s="631"/>
      <c r="M668" s="631"/>
      <c r="N668" s="631"/>
      <c r="O668" s="631"/>
      <c r="P668" s="631"/>
      <c r="Q668" s="631"/>
      <c r="R668" s="631"/>
      <c r="S668" s="631"/>
      <c r="T668" s="631"/>
      <c r="U668" s="631"/>
      <c r="V668" s="631"/>
      <c r="W668" s="631"/>
      <c r="X668" s="631"/>
      <c r="Y668" s="631"/>
      <c r="Z668" s="631"/>
    </row>
    <row r="669" spans="1:26">
      <c r="A669" s="636" t="s">
        <v>3648</v>
      </c>
      <c r="B669" s="631"/>
      <c r="C669" s="631"/>
      <c r="D669" s="631"/>
      <c r="E669" s="631"/>
      <c r="F669" s="631"/>
      <c r="G669" s="631"/>
      <c r="H669" s="652"/>
      <c r="I669" s="631"/>
      <c r="J669" s="631"/>
      <c r="K669" s="631"/>
      <c r="L669" s="631"/>
      <c r="M669" s="631"/>
      <c r="N669" s="631"/>
      <c r="O669" s="631"/>
      <c r="P669" s="631"/>
      <c r="Q669" s="631"/>
      <c r="R669" s="631"/>
      <c r="S669" s="631"/>
      <c r="T669" s="631"/>
      <c r="U669" s="631"/>
      <c r="V669" s="631"/>
      <c r="W669" s="631"/>
      <c r="X669" s="631"/>
      <c r="Y669" s="631"/>
      <c r="Z669" s="631"/>
    </row>
    <row r="670" spans="1:26">
      <c r="A670" s="636" t="s">
        <v>3648</v>
      </c>
      <c r="B670" s="631"/>
      <c r="C670" s="631"/>
      <c r="D670" s="631"/>
      <c r="E670" s="631"/>
      <c r="F670" s="631"/>
      <c r="G670" s="631"/>
      <c r="H670" s="652"/>
      <c r="I670" s="631"/>
      <c r="J670" s="631"/>
      <c r="K670" s="631"/>
      <c r="L670" s="631"/>
      <c r="M670" s="631"/>
      <c r="N670" s="631"/>
      <c r="O670" s="631"/>
      <c r="P670" s="631"/>
      <c r="Q670" s="631"/>
      <c r="R670" s="631"/>
      <c r="S670" s="631"/>
      <c r="T670" s="631"/>
      <c r="U670" s="631"/>
      <c r="V670" s="631"/>
      <c r="W670" s="631"/>
      <c r="X670" s="631"/>
      <c r="Y670" s="631"/>
      <c r="Z670" s="631"/>
    </row>
    <row r="671" spans="1:26">
      <c r="A671" s="636" t="s">
        <v>3648</v>
      </c>
      <c r="B671" s="631"/>
      <c r="C671" s="631"/>
      <c r="D671" s="631"/>
      <c r="E671" s="631"/>
      <c r="F671" s="631"/>
      <c r="G671" s="631"/>
      <c r="H671" s="652"/>
      <c r="I671" s="631"/>
      <c r="J671" s="631"/>
      <c r="K671" s="631"/>
      <c r="L671" s="631"/>
      <c r="M671" s="631"/>
      <c r="N671" s="631"/>
      <c r="O671" s="631"/>
      <c r="P671" s="631"/>
      <c r="Q671" s="631"/>
      <c r="R671" s="631"/>
      <c r="S671" s="631"/>
      <c r="T671" s="631"/>
      <c r="U671" s="631"/>
      <c r="V671" s="631"/>
      <c r="W671" s="631"/>
      <c r="X671" s="631"/>
      <c r="Y671" s="631"/>
      <c r="Z671" s="631"/>
    </row>
    <row r="672" spans="1:26">
      <c r="A672" s="636" t="s">
        <v>3648</v>
      </c>
      <c r="B672" s="631"/>
      <c r="C672" s="631"/>
      <c r="D672" s="631"/>
      <c r="E672" s="631"/>
      <c r="F672" s="631"/>
      <c r="G672" s="631"/>
      <c r="H672" s="652"/>
      <c r="I672" s="631"/>
      <c r="J672" s="631"/>
      <c r="K672" s="631"/>
      <c r="L672" s="631"/>
      <c r="M672" s="631"/>
      <c r="N672" s="631"/>
      <c r="O672" s="631"/>
      <c r="P672" s="631"/>
      <c r="Q672" s="631"/>
      <c r="R672" s="631"/>
      <c r="S672" s="631"/>
      <c r="T672" s="631"/>
      <c r="U672" s="631"/>
      <c r="V672" s="631"/>
      <c r="W672" s="631"/>
      <c r="X672" s="631"/>
      <c r="Y672" s="631"/>
      <c r="Z672" s="631"/>
    </row>
    <row r="673" spans="1:26">
      <c r="A673" s="636" t="s">
        <v>3648</v>
      </c>
      <c r="B673" s="631"/>
      <c r="C673" s="631"/>
      <c r="D673" s="631"/>
      <c r="E673" s="631"/>
      <c r="F673" s="631"/>
      <c r="G673" s="631"/>
      <c r="H673" s="652"/>
      <c r="I673" s="631"/>
      <c r="J673" s="631"/>
      <c r="K673" s="631"/>
      <c r="L673" s="631"/>
      <c r="M673" s="631"/>
      <c r="N673" s="631"/>
      <c r="O673" s="631"/>
      <c r="P673" s="631"/>
      <c r="Q673" s="631"/>
      <c r="R673" s="631"/>
      <c r="S673" s="631"/>
      <c r="T673" s="631"/>
      <c r="U673" s="631"/>
      <c r="V673" s="631"/>
      <c r="W673" s="631"/>
      <c r="X673" s="631"/>
      <c r="Y673" s="631"/>
      <c r="Z673" s="631"/>
    </row>
    <row r="674" spans="1:26">
      <c r="A674" s="636" t="s">
        <v>3648</v>
      </c>
      <c r="B674" s="631"/>
      <c r="C674" s="631"/>
      <c r="D674" s="631"/>
      <c r="E674" s="631"/>
      <c r="F674" s="631"/>
      <c r="G674" s="631"/>
      <c r="H674" s="652"/>
      <c r="I674" s="631"/>
      <c r="J674" s="631"/>
      <c r="K674" s="631"/>
      <c r="L674" s="631"/>
      <c r="M674" s="631"/>
      <c r="N674" s="631"/>
      <c r="O674" s="631"/>
      <c r="P674" s="631"/>
      <c r="Q674" s="631"/>
      <c r="R674" s="631"/>
      <c r="S674" s="631"/>
      <c r="T674" s="631"/>
      <c r="U674" s="631"/>
      <c r="V674" s="631"/>
      <c r="W674" s="631"/>
      <c r="X674" s="631"/>
      <c r="Y674" s="631"/>
      <c r="Z674" s="631"/>
    </row>
    <row r="675" spans="1:26">
      <c r="A675" s="636" t="s">
        <v>3648</v>
      </c>
      <c r="B675" s="631"/>
      <c r="C675" s="631"/>
      <c r="D675" s="631"/>
      <c r="E675" s="631"/>
      <c r="F675" s="631"/>
      <c r="G675" s="631"/>
      <c r="H675" s="652"/>
      <c r="I675" s="631"/>
      <c r="J675" s="631"/>
      <c r="K675" s="631"/>
      <c r="L675" s="631"/>
      <c r="M675" s="631"/>
      <c r="N675" s="631"/>
      <c r="O675" s="631"/>
      <c r="P675" s="631"/>
      <c r="Q675" s="631"/>
      <c r="R675" s="631"/>
      <c r="S675" s="631"/>
      <c r="T675" s="631"/>
      <c r="U675" s="631"/>
      <c r="V675" s="631"/>
      <c r="W675" s="631"/>
      <c r="X675" s="631"/>
      <c r="Y675" s="631"/>
      <c r="Z675" s="631"/>
    </row>
    <row r="676" spans="1:26">
      <c r="A676" s="636" t="s">
        <v>3648</v>
      </c>
      <c r="B676" s="631"/>
      <c r="C676" s="631"/>
      <c r="D676" s="631"/>
      <c r="E676" s="631"/>
      <c r="F676" s="631"/>
      <c r="G676" s="631"/>
      <c r="H676" s="652"/>
      <c r="I676" s="631"/>
      <c r="J676" s="631"/>
      <c r="K676" s="631"/>
      <c r="L676" s="631"/>
      <c r="M676" s="631"/>
      <c r="N676" s="631"/>
      <c r="O676" s="631"/>
      <c r="P676" s="631"/>
      <c r="Q676" s="631"/>
      <c r="R676" s="631"/>
      <c r="S676" s="631"/>
      <c r="T676" s="631"/>
      <c r="U676" s="631"/>
      <c r="V676" s="631"/>
      <c r="W676" s="631"/>
      <c r="X676" s="631"/>
      <c r="Y676" s="631"/>
      <c r="Z676" s="631"/>
    </row>
    <row r="677" spans="1:26">
      <c r="A677" s="636" t="s">
        <v>3648</v>
      </c>
      <c r="B677" s="631"/>
      <c r="C677" s="631"/>
      <c r="D677" s="631"/>
      <c r="E677" s="631"/>
      <c r="F677" s="631"/>
      <c r="G677" s="631"/>
      <c r="H677" s="652"/>
      <c r="I677" s="631"/>
      <c r="J677" s="631"/>
      <c r="K677" s="631"/>
      <c r="L677" s="631"/>
      <c r="M677" s="631"/>
      <c r="N677" s="631"/>
      <c r="O677" s="631"/>
      <c r="P677" s="631"/>
      <c r="Q677" s="631"/>
      <c r="R677" s="631"/>
      <c r="S677" s="631"/>
      <c r="T677" s="631"/>
      <c r="U677" s="631"/>
      <c r="V677" s="631"/>
      <c r="W677" s="631"/>
      <c r="X677" s="631"/>
      <c r="Y677" s="631"/>
      <c r="Z677" s="631"/>
    </row>
    <row r="678" spans="1:26">
      <c r="A678" s="636" t="s">
        <v>3648</v>
      </c>
      <c r="B678" s="631"/>
      <c r="C678" s="631"/>
      <c r="D678" s="631"/>
      <c r="E678" s="631"/>
      <c r="F678" s="631"/>
      <c r="G678" s="631"/>
      <c r="H678" s="652"/>
      <c r="I678" s="631"/>
      <c r="J678" s="631"/>
      <c r="K678" s="631"/>
      <c r="L678" s="631"/>
      <c r="M678" s="631"/>
      <c r="N678" s="631"/>
      <c r="O678" s="631"/>
      <c r="P678" s="631"/>
      <c r="Q678" s="631"/>
      <c r="R678" s="631"/>
      <c r="S678" s="631"/>
      <c r="T678" s="631"/>
      <c r="U678" s="631"/>
      <c r="V678" s="631"/>
      <c r="W678" s="631"/>
      <c r="X678" s="631"/>
      <c r="Y678" s="631"/>
      <c r="Z678" s="631"/>
    </row>
    <row r="679" spans="1:26">
      <c r="A679" s="636" t="s">
        <v>3648</v>
      </c>
      <c r="B679" s="631"/>
      <c r="C679" s="631"/>
      <c r="D679" s="631"/>
      <c r="E679" s="631"/>
      <c r="F679" s="631"/>
      <c r="G679" s="631"/>
      <c r="H679" s="652"/>
      <c r="I679" s="631"/>
      <c r="J679" s="631"/>
      <c r="K679" s="631"/>
      <c r="L679" s="631"/>
      <c r="M679" s="631"/>
      <c r="N679" s="631"/>
      <c r="O679" s="631"/>
      <c r="P679" s="631"/>
      <c r="Q679" s="631"/>
      <c r="R679" s="631"/>
      <c r="S679" s="631"/>
      <c r="T679" s="631"/>
      <c r="U679" s="631"/>
      <c r="V679" s="631"/>
      <c r="W679" s="631"/>
      <c r="X679" s="631"/>
      <c r="Y679" s="631"/>
      <c r="Z679" s="631"/>
    </row>
    <row r="680" spans="1:26">
      <c r="A680" s="636" t="s">
        <v>3648</v>
      </c>
      <c r="B680" s="631"/>
      <c r="C680" s="631"/>
      <c r="D680" s="631"/>
      <c r="E680" s="631"/>
      <c r="F680" s="631"/>
      <c r="G680" s="631"/>
      <c r="H680" s="652"/>
      <c r="I680" s="631"/>
      <c r="J680" s="631"/>
      <c r="K680" s="631"/>
      <c r="L680" s="631"/>
      <c r="M680" s="631"/>
      <c r="N680" s="631"/>
      <c r="O680" s="631"/>
      <c r="P680" s="631"/>
      <c r="Q680" s="631"/>
      <c r="R680" s="631"/>
      <c r="S680" s="631"/>
      <c r="T680" s="631"/>
      <c r="U680" s="631"/>
      <c r="V680" s="631"/>
      <c r="W680" s="631"/>
      <c r="X680" s="631"/>
      <c r="Y680" s="631"/>
      <c r="Z680" s="631"/>
    </row>
    <row r="681" spans="1:26">
      <c r="A681" s="636" t="s">
        <v>3648</v>
      </c>
      <c r="B681" s="631"/>
      <c r="C681" s="631"/>
      <c r="D681" s="631"/>
      <c r="E681" s="631"/>
      <c r="F681" s="631"/>
      <c r="G681" s="631"/>
      <c r="H681" s="652"/>
      <c r="I681" s="631"/>
      <c r="J681" s="631"/>
      <c r="K681" s="631"/>
      <c r="L681" s="631"/>
      <c r="M681" s="631"/>
      <c r="N681" s="631"/>
      <c r="O681" s="631"/>
      <c r="P681" s="631"/>
      <c r="Q681" s="631"/>
      <c r="R681" s="631"/>
      <c r="S681" s="631"/>
      <c r="T681" s="631"/>
      <c r="U681" s="631"/>
      <c r="V681" s="631"/>
      <c r="W681" s="631"/>
      <c r="X681" s="631"/>
      <c r="Y681" s="631"/>
      <c r="Z681" s="631"/>
    </row>
    <row r="682" spans="1:26">
      <c r="A682" s="636" t="s">
        <v>3648</v>
      </c>
      <c r="B682" s="631"/>
      <c r="C682" s="631"/>
      <c r="D682" s="631"/>
      <c r="E682" s="631"/>
      <c r="F682" s="631"/>
      <c r="G682" s="631"/>
      <c r="H682" s="652"/>
      <c r="I682" s="631"/>
      <c r="J682" s="631"/>
      <c r="K682" s="631"/>
      <c r="L682" s="631"/>
      <c r="M682" s="631"/>
      <c r="N682" s="631"/>
      <c r="O682" s="631"/>
      <c r="P682" s="631"/>
      <c r="Q682" s="631"/>
      <c r="R682" s="631"/>
      <c r="S682" s="631"/>
      <c r="T682" s="631"/>
      <c r="U682" s="631"/>
      <c r="V682" s="631"/>
      <c r="W682" s="631"/>
      <c r="X682" s="631"/>
      <c r="Y682" s="631"/>
      <c r="Z682" s="631"/>
    </row>
    <row r="683" spans="1:26">
      <c r="A683" s="636" t="s">
        <v>3648</v>
      </c>
      <c r="B683" s="631"/>
      <c r="C683" s="631"/>
      <c r="D683" s="631"/>
      <c r="E683" s="631"/>
      <c r="F683" s="631"/>
      <c r="G683" s="631"/>
      <c r="H683" s="652"/>
      <c r="I683" s="631"/>
      <c r="J683" s="631"/>
      <c r="K683" s="631"/>
      <c r="L683" s="631"/>
      <c r="M683" s="631"/>
      <c r="N683" s="631"/>
      <c r="O683" s="631"/>
      <c r="P683" s="631"/>
      <c r="Q683" s="631"/>
      <c r="R683" s="631"/>
      <c r="S683" s="631"/>
      <c r="T683" s="631"/>
      <c r="U683" s="631"/>
      <c r="V683" s="631"/>
      <c r="W683" s="631"/>
      <c r="X683" s="631"/>
      <c r="Y683" s="631"/>
      <c r="Z683" s="631"/>
    </row>
    <row r="684" spans="1:26">
      <c r="A684" s="636" t="s">
        <v>3648</v>
      </c>
      <c r="B684" s="631"/>
      <c r="C684" s="631"/>
      <c r="D684" s="631"/>
      <c r="E684" s="631"/>
      <c r="F684" s="631"/>
      <c r="G684" s="631"/>
      <c r="H684" s="652"/>
      <c r="I684" s="631"/>
      <c r="J684" s="631"/>
      <c r="K684" s="631"/>
      <c r="L684" s="631"/>
      <c r="M684" s="631"/>
      <c r="N684" s="631"/>
      <c r="O684" s="631"/>
      <c r="P684" s="631"/>
      <c r="Q684" s="631"/>
      <c r="R684" s="631"/>
      <c r="S684" s="631"/>
      <c r="T684" s="631"/>
      <c r="U684" s="631"/>
      <c r="V684" s="631"/>
      <c r="W684" s="631"/>
      <c r="X684" s="631"/>
      <c r="Y684" s="631"/>
      <c r="Z684" s="631"/>
    </row>
    <row r="685" spans="1:26">
      <c r="A685" s="636" t="s">
        <v>3648</v>
      </c>
      <c r="B685" s="631"/>
      <c r="C685" s="631"/>
      <c r="D685" s="631"/>
      <c r="E685" s="631"/>
      <c r="F685" s="631"/>
      <c r="G685" s="631"/>
      <c r="H685" s="652"/>
      <c r="I685" s="631"/>
      <c r="J685" s="631"/>
      <c r="K685" s="631"/>
      <c r="L685" s="631"/>
      <c r="M685" s="631"/>
      <c r="N685" s="631"/>
      <c r="O685" s="631"/>
      <c r="P685" s="631"/>
      <c r="Q685" s="631"/>
      <c r="R685" s="631"/>
      <c r="S685" s="631"/>
      <c r="T685" s="631"/>
      <c r="U685" s="631"/>
      <c r="V685" s="631"/>
      <c r="W685" s="631"/>
      <c r="X685" s="631"/>
      <c r="Y685" s="631"/>
      <c r="Z685" s="631"/>
    </row>
    <row r="686" spans="1:26">
      <c r="A686" s="636" t="s">
        <v>3648</v>
      </c>
      <c r="B686" s="631"/>
      <c r="C686" s="631"/>
      <c r="D686" s="631"/>
      <c r="E686" s="631"/>
      <c r="F686" s="631"/>
      <c r="G686" s="631"/>
      <c r="H686" s="652"/>
      <c r="I686" s="631"/>
      <c r="J686" s="631"/>
      <c r="K686" s="631"/>
      <c r="L686" s="631"/>
      <c r="M686" s="631"/>
      <c r="N686" s="631"/>
      <c r="O686" s="631"/>
      <c r="P686" s="631"/>
      <c r="Q686" s="631"/>
      <c r="R686" s="631"/>
      <c r="S686" s="631"/>
      <c r="T686" s="631"/>
      <c r="U686" s="631"/>
      <c r="V686" s="631"/>
      <c r="W686" s="631"/>
      <c r="X686" s="631"/>
      <c r="Y686" s="631"/>
      <c r="Z686" s="631"/>
    </row>
    <row r="687" spans="1:26">
      <c r="A687" s="636" t="s">
        <v>3648</v>
      </c>
      <c r="B687" s="631"/>
      <c r="C687" s="631"/>
      <c r="D687" s="631"/>
      <c r="E687" s="631"/>
      <c r="F687" s="631"/>
      <c r="G687" s="631"/>
      <c r="H687" s="652"/>
      <c r="I687" s="631"/>
      <c r="J687" s="631"/>
      <c r="K687" s="631"/>
      <c r="L687" s="631"/>
      <c r="M687" s="631"/>
      <c r="N687" s="631"/>
      <c r="O687" s="631"/>
      <c r="P687" s="631"/>
      <c r="Q687" s="631"/>
      <c r="R687" s="631"/>
      <c r="S687" s="631"/>
      <c r="T687" s="631"/>
      <c r="U687" s="631"/>
      <c r="V687" s="631"/>
      <c r="W687" s="631"/>
      <c r="X687" s="631"/>
      <c r="Y687" s="631"/>
      <c r="Z687" s="631"/>
    </row>
    <row r="688" spans="1:26">
      <c r="A688" s="636" t="s">
        <v>3648</v>
      </c>
      <c r="B688" s="631"/>
      <c r="C688" s="631"/>
      <c r="D688" s="631"/>
      <c r="E688" s="631"/>
      <c r="F688" s="631"/>
      <c r="G688" s="631"/>
      <c r="H688" s="652"/>
      <c r="I688" s="631"/>
      <c r="J688" s="631"/>
      <c r="K688" s="631"/>
      <c r="L688" s="631"/>
      <c r="M688" s="631"/>
      <c r="N688" s="631"/>
      <c r="O688" s="631"/>
      <c r="P688" s="631"/>
      <c r="Q688" s="631"/>
      <c r="R688" s="631"/>
      <c r="S688" s="631"/>
      <c r="T688" s="631"/>
      <c r="U688" s="631"/>
      <c r="V688" s="631"/>
      <c r="W688" s="631"/>
      <c r="X688" s="631"/>
      <c r="Y688" s="631"/>
      <c r="Z688" s="631"/>
    </row>
    <row r="689" spans="1:26">
      <c r="A689" s="636" t="s">
        <v>3648</v>
      </c>
      <c r="B689" s="631"/>
      <c r="C689" s="631"/>
      <c r="D689" s="631"/>
      <c r="E689" s="631"/>
      <c r="F689" s="631"/>
      <c r="G689" s="631"/>
      <c r="H689" s="652"/>
      <c r="I689" s="631"/>
      <c r="J689" s="631"/>
      <c r="K689" s="631"/>
      <c r="L689" s="631"/>
      <c r="M689" s="631"/>
      <c r="N689" s="631"/>
      <c r="O689" s="631"/>
      <c r="P689" s="631"/>
      <c r="Q689" s="631"/>
      <c r="R689" s="631"/>
      <c r="S689" s="631"/>
      <c r="T689" s="631"/>
      <c r="U689" s="631"/>
      <c r="V689" s="631"/>
      <c r="W689" s="631"/>
      <c r="X689" s="631"/>
      <c r="Y689" s="631"/>
      <c r="Z689" s="631"/>
    </row>
    <row r="690" spans="1:26">
      <c r="A690" s="636" t="s">
        <v>3648</v>
      </c>
      <c r="B690" s="631"/>
      <c r="C690" s="631"/>
      <c r="D690" s="631"/>
      <c r="E690" s="631"/>
      <c r="F690" s="631"/>
      <c r="G690" s="631"/>
      <c r="H690" s="652"/>
      <c r="I690" s="631"/>
      <c r="J690" s="631"/>
      <c r="K690" s="631"/>
      <c r="L690" s="631"/>
      <c r="M690" s="631"/>
      <c r="N690" s="631"/>
      <c r="O690" s="631"/>
      <c r="P690" s="631"/>
      <c r="Q690" s="631"/>
      <c r="R690" s="631"/>
      <c r="S690" s="631"/>
      <c r="T690" s="631"/>
      <c r="U690" s="631"/>
      <c r="V690" s="631"/>
      <c r="W690" s="631"/>
      <c r="X690" s="631"/>
      <c r="Y690" s="631"/>
      <c r="Z690" s="631"/>
    </row>
    <row r="691" spans="1:26">
      <c r="A691" s="636" t="s">
        <v>3648</v>
      </c>
      <c r="B691" s="631"/>
      <c r="C691" s="631"/>
      <c r="D691" s="631"/>
      <c r="E691" s="631"/>
      <c r="F691" s="631"/>
      <c r="G691" s="631"/>
      <c r="H691" s="652"/>
      <c r="I691" s="631"/>
      <c r="J691" s="631"/>
      <c r="K691" s="631"/>
      <c r="L691" s="631"/>
      <c r="M691" s="631"/>
      <c r="N691" s="631"/>
      <c r="O691" s="631"/>
      <c r="P691" s="631"/>
      <c r="Q691" s="631"/>
      <c r="R691" s="631"/>
      <c r="S691" s="631"/>
      <c r="T691" s="631"/>
      <c r="U691" s="631"/>
      <c r="V691" s="631"/>
      <c r="W691" s="631"/>
      <c r="X691" s="631"/>
      <c r="Y691" s="631"/>
      <c r="Z691" s="631"/>
    </row>
    <row r="692" spans="1:26">
      <c r="A692" s="636" t="s">
        <v>3648</v>
      </c>
      <c r="B692" s="631"/>
      <c r="C692" s="631"/>
      <c r="D692" s="631"/>
      <c r="E692" s="631"/>
      <c r="F692" s="631"/>
      <c r="G692" s="631"/>
      <c r="H692" s="652"/>
      <c r="I692" s="631"/>
      <c r="J692" s="631"/>
      <c r="K692" s="631"/>
      <c r="L692" s="631"/>
      <c r="M692" s="631"/>
      <c r="N692" s="631"/>
      <c r="O692" s="631"/>
      <c r="P692" s="631"/>
      <c r="Q692" s="631"/>
      <c r="R692" s="631"/>
      <c r="S692" s="631"/>
      <c r="T692" s="631"/>
      <c r="U692" s="631"/>
      <c r="V692" s="631"/>
      <c r="W692" s="631"/>
      <c r="X692" s="631"/>
      <c r="Y692" s="631"/>
      <c r="Z692" s="631"/>
    </row>
    <row r="693" spans="1:26">
      <c r="A693" s="636" t="s">
        <v>3648</v>
      </c>
      <c r="B693" s="631"/>
      <c r="C693" s="631"/>
      <c r="D693" s="631"/>
      <c r="E693" s="631"/>
      <c r="F693" s="631"/>
      <c r="G693" s="631"/>
      <c r="H693" s="652"/>
      <c r="I693" s="631"/>
      <c r="J693" s="631"/>
      <c r="K693" s="631"/>
      <c r="L693" s="631"/>
      <c r="M693" s="631"/>
      <c r="N693" s="631"/>
      <c r="O693" s="631"/>
      <c r="P693" s="631"/>
      <c r="Q693" s="631"/>
      <c r="R693" s="631"/>
      <c r="S693" s="631"/>
      <c r="T693" s="631"/>
      <c r="U693" s="631"/>
      <c r="V693" s="631"/>
      <c r="W693" s="631"/>
      <c r="X693" s="631"/>
      <c r="Y693" s="631"/>
      <c r="Z693" s="631"/>
    </row>
    <row r="694" spans="1:26">
      <c r="A694" s="636" t="s">
        <v>3648</v>
      </c>
      <c r="B694" s="631"/>
      <c r="C694" s="631"/>
      <c r="D694" s="631"/>
      <c r="E694" s="631"/>
      <c r="F694" s="631"/>
      <c r="G694" s="631"/>
      <c r="H694" s="652"/>
      <c r="I694" s="631"/>
      <c r="J694" s="631"/>
      <c r="K694" s="631"/>
      <c r="L694" s="631"/>
      <c r="M694" s="631"/>
      <c r="N694" s="631"/>
      <c r="O694" s="631"/>
      <c r="P694" s="631"/>
      <c r="Q694" s="631"/>
      <c r="R694" s="631"/>
      <c r="S694" s="631"/>
      <c r="T694" s="631"/>
      <c r="U694" s="631"/>
      <c r="V694" s="631"/>
      <c r="W694" s="631"/>
      <c r="X694" s="631"/>
      <c r="Y694" s="631"/>
      <c r="Z694" s="631"/>
    </row>
    <row r="695" spans="1:26">
      <c r="A695" s="636" t="s">
        <v>3648</v>
      </c>
      <c r="B695" s="631"/>
      <c r="C695" s="631"/>
      <c r="D695" s="631"/>
      <c r="E695" s="631"/>
      <c r="F695" s="631"/>
      <c r="G695" s="631"/>
      <c r="H695" s="652"/>
      <c r="I695" s="631"/>
      <c r="J695" s="631"/>
      <c r="K695" s="631"/>
      <c r="L695" s="631"/>
      <c r="M695" s="631"/>
      <c r="N695" s="631"/>
      <c r="O695" s="631"/>
      <c r="P695" s="631"/>
      <c r="Q695" s="631"/>
      <c r="R695" s="631"/>
      <c r="S695" s="631"/>
      <c r="T695" s="631"/>
      <c r="U695" s="631"/>
      <c r="V695" s="631"/>
      <c r="W695" s="631"/>
      <c r="X695" s="631"/>
      <c r="Y695" s="631"/>
      <c r="Z695" s="631"/>
    </row>
    <row r="696" spans="1:26">
      <c r="A696" s="636" t="s">
        <v>3648</v>
      </c>
      <c r="B696" s="631"/>
      <c r="C696" s="631"/>
      <c r="D696" s="631"/>
      <c r="E696" s="631"/>
      <c r="F696" s="631"/>
      <c r="G696" s="631"/>
      <c r="H696" s="652"/>
      <c r="I696" s="631"/>
      <c r="J696" s="631"/>
      <c r="K696" s="631"/>
      <c r="L696" s="631"/>
      <c r="M696" s="631"/>
      <c r="N696" s="631"/>
      <c r="O696" s="631"/>
      <c r="P696" s="631"/>
      <c r="Q696" s="631"/>
      <c r="R696" s="631"/>
      <c r="S696" s="631"/>
      <c r="T696" s="631"/>
      <c r="U696" s="631"/>
      <c r="V696" s="631"/>
      <c r="W696" s="631"/>
      <c r="X696" s="631"/>
      <c r="Y696" s="631"/>
      <c r="Z696" s="631"/>
    </row>
    <row r="697" spans="1:26">
      <c r="A697" s="636" t="s">
        <v>3648</v>
      </c>
      <c r="B697" s="631"/>
      <c r="C697" s="631"/>
      <c r="D697" s="631"/>
      <c r="E697" s="631"/>
      <c r="F697" s="631"/>
      <c r="G697" s="631"/>
      <c r="H697" s="652"/>
      <c r="I697" s="631"/>
      <c r="J697" s="631"/>
      <c r="K697" s="631"/>
      <c r="L697" s="631"/>
      <c r="M697" s="631"/>
      <c r="N697" s="631"/>
      <c r="O697" s="631"/>
      <c r="P697" s="631"/>
      <c r="Q697" s="631"/>
      <c r="R697" s="631"/>
      <c r="S697" s="631"/>
      <c r="T697" s="631"/>
      <c r="U697" s="631"/>
      <c r="V697" s="631"/>
      <c r="W697" s="631"/>
      <c r="X697" s="631"/>
      <c r="Y697" s="631"/>
      <c r="Z697" s="631"/>
    </row>
    <row r="698" spans="1:26">
      <c r="A698" s="636" t="s">
        <v>3648</v>
      </c>
      <c r="B698" s="631"/>
      <c r="C698" s="631"/>
      <c r="D698" s="631"/>
      <c r="E698" s="631"/>
      <c r="F698" s="631"/>
      <c r="G698" s="631"/>
      <c r="H698" s="652"/>
      <c r="I698" s="631"/>
      <c r="J698" s="631"/>
      <c r="K698" s="631"/>
      <c r="L698" s="631"/>
      <c r="M698" s="631"/>
      <c r="N698" s="631"/>
      <c r="O698" s="631"/>
      <c r="P698" s="631"/>
      <c r="Q698" s="631"/>
      <c r="R698" s="631"/>
      <c r="S698" s="631"/>
      <c r="T698" s="631"/>
      <c r="U698" s="631"/>
      <c r="V698" s="631"/>
      <c r="W698" s="631"/>
      <c r="X698" s="631"/>
      <c r="Y698" s="631"/>
      <c r="Z698" s="631"/>
    </row>
    <row r="699" spans="1:26">
      <c r="A699" s="636" t="s">
        <v>3648</v>
      </c>
      <c r="B699" s="631"/>
      <c r="C699" s="631"/>
      <c r="D699" s="631"/>
      <c r="E699" s="631"/>
      <c r="F699" s="631"/>
      <c r="G699" s="631"/>
      <c r="H699" s="652"/>
      <c r="I699" s="631"/>
      <c r="J699" s="631"/>
      <c r="K699" s="631"/>
      <c r="L699" s="631"/>
      <c r="M699" s="631"/>
      <c r="N699" s="631"/>
      <c r="O699" s="631"/>
      <c r="P699" s="631"/>
      <c r="Q699" s="631"/>
      <c r="R699" s="631"/>
      <c r="S699" s="631"/>
      <c r="T699" s="631"/>
      <c r="U699" s="631"/>
      <c r="V699" s="631"/>
      <c r="W699" s="631"/>
      <c r="X699" s="631"/>
      <c r="Y699" s="631"/>
      <c r="Z699" s="631"/>
    </row>
    <row r="700" spans="1:26">
      <c r="A700" s="636" t="s">
        <v>3648</v>
      </c>
      <c r="B700" s="631"/>
      <c r="C700" s="631"/>
      <c r="D700" s="631"/>
      <c r="E700" s="631"/>
      <c r="F700" s="631"/>
      <c r="G700" s="631"/>
      <c r="H700" s="652"/>
      <c r="I700" s="631"/>
      <c r="J700" s="631"/>
      <c r="K700" s="631"/>
      <c r="L700" s="631"/>
      <c r="M700" s="631"/>
      <c r="N700" s="631"/>
      <c r="O700" s="631"/>
      <c r="P700" s="631"/>
      <c r="Q700" s="631"/>
      <c r="R700" s="631"/>
      <c r="S700" s="631"/>
      <c r="T700" s="631"/>
      <c r="U700" s="631"/>
      <c r="V700" s="631"/>
      <c r="W700" s="631"/>
      <c r="X700" s="631"/>
      <c r="Y700" s="631"/>
      <c r="Z700" s="631"/>
    </row>
    <row r="701" spans="1:26">
      <c r="A701" s="636" t="s">
        <v>3648</v>
      </c>
      <c r="B701" s="631"/>
      <c r="C701" s="631"/>
      <c r="D701" s="631"/>
      <c r="E701" s="631"/>
      <c r="F701" s="631"/>
      <c r="G701" s="631"/>
      <c r="H701" s="652"/>
      <c r="I701" s="631"/>
      <c r="J701" s="631"/>
      <c r="K701" s="631"/>
      <c r="L701" s="631"/>
      <c r="M701" s="631"/>
      <c r="N701" s="631"/>
      <c r="O701" s="631"/>
      <c r="P701" s="631"/>
      <c r="Q701" s="631"/>
      <c r="R701" s="631"/>
      <c r="S701" s="631"/>
      <c r="T701" s="631"/>
      <c r="U701" s="631"/>
      <c r="V701" s="631"/>
      <c r="W701" s="631"/>
      <c r="X701" s="631"/>
      <c r="Y701" s="631"/>
      <c r="Z701" s="631"/>
    </row>
    <row r="702" spans="1:26">
      <c r="A702" s="636" t="s">
        <v>3648</v>
      </c>
      <c r="B702" s="631"/>
      <c r="C702" s="631"/>
      <c r="D702" s="631"/>
      <c r="E702" s="631"/>
      <c r="F702" s="631"/>
      <c r="G702" s="631"/>
      <c r="H702" s="652"/>
      <c r="I702" s="631"/>
      <c r="J702" s="631"/>
      <c r="K702" s="631"/>
      <c r="L702" s="631"/>
      <c r="M702" s="631"/>
      <c r="N702" s="631"/>
      <c r="O702" s="631"/>
      <c r="P702" s="631"/>
      <c r="Q702" s="631"/>
      <c r="R702" s="631"/>
      <c r="S702" s="631"/>
      <c r="T702" s="631"/>
      <c r="U702" s="631"/>
      <c r="V702" s="631"/>
      <c r="W702" s="631"/>
      <c r="X702" s="631"/>
      <c r="Y702" s="631"/>
      <c r="Z702" s="631"/>
    </row>
    <row r="703" spans="1:26">
      <c r="A703" s="636" t="s">
        <v>3648</v>
      </c>
      <c r="B703" s="631"/>
      <c r="C703" s="631"/>
      <c r="D703" s="631"/>
      <c r="E703" s="631"/>
      <c r="F703" s="631"/>
      <c r="G703" s="631"/>
      <c r="H703" s="652"/>
      <c r="I703" s="631"/>
      <c r="J703" s="631"/>
      <c r="K703" s="631"/>
      <c r="L703" s="631"/>
      <c r="M703" s="631"/>
      <c r="N703" s="631"/>
      <c r="O703" s="631"/>
      <c r="P703" s="631"/>
      <c r="Q703" s="631"/>
      <c r="R703" s="631"/>
      <c r="S703" s="631"/>
      <c r="T703" s="631"/>
      <c r="U703" s="631"/>
      <c r="V703" s="631"/>
      <c r="W703" s="631"/>
      <c r="X703" s="631"/>
      <c r="Y703" s="631"/>
      <c r="Z703" s="631"/>
    </row>
    <row r="704" spans="1:26">
      <c r="A704" s="636" t="s">
        <v>3648</v>
      </c>
      <c r="B704" s="631"/>
      <c r="C704" s="631"/>
      <c r="D704" s="631"/>
      <c r="E704" s="631"/>
      <c r="F704" s="631"/>
      <c r="G704" s="631"/>
      <c r="H704" s="652"/>
      <c r="I704" s="631"/>
      <c r="J704" s="631"/>
      <c r="K704" s="631"/>
      <c r="L704" s="631"/>
      <c r="M704" s="631"/>
      <c r="N704" s="631"/>
      <c r="O704" s="631"/>
      <c r="P704" s="631"/>
      <c r="Q704" s="631"/>
      <c r="R704" s="631"/>
      <c r="S704" s="631"/>
      <c r="T704" s="631"/>
      <c r="U704" s="631"/>
      <c r="V704" s="631"/>
      <c r="W704" s="631"/>
      <c r="X704" s="631"/>
      <c r="Y704" s="631"/>
      <c r="Z704" s="631"/>
    </row>
    <row r="705" spans="1:26">
      <c r="A705" s="636" t="s">
        <v>3648</v>
      </c>
      <c r="B705" s="631"/>
      <c r="C705" s="631"/>
      <c r="D705" s="631"/>
      <c r="E705" s="631"/>
      <c r="F705" s="631"/>
      <c r="G705" s="631"/>
      <c r="H705" s="652"/>
      <c r="I705" s="631"/>
      <c r="J705" s="631"/>
      <c r="K705" s="631"/>
      <c r="L705" s="631"/>
      <c r="M705" s="631"/>
      <c r="N705" s="631"/>
      <c r="O705" s="631"/>
      <c r="P705" s="631"/>
      <c r="Q705" s="631"/>
      <c r="R705" s="631"/>
      <c r="S705" s="631"/>
      <c r="T705" s="631"/>
      <c r="U705" s="631"/>
      <c r="V705" s="631"/>
      <c r="W705" s="631"/>
      <c r="X705" s="631"/>
      <c r="Y705" s="631"/>
      <c r="Z705" s="631"/>
    </row>
    <row r="706" spans="1:26">
      <c r="A706" s="636" t="s">
        <v>3648</v>
      </c>
      <c r="B706" s="631"/>
      <c r="C706" s="631"/>
      <c r="D706" s="631"/>
      <c r="E706" s="631"/>
      <c r="F706" s="631"/>
      <c r="G706" s="631"/>
      <c r="H706" s="652"/>
      <c r="I706" s="631"/>
      <c r="J706" s="631"/>
      <c r="K706" s="631"/>
      <c r="L706" s="631"/>
      <c r="M706" s="631"/>
      <c r="N706" s="631"/>
      <c r="O706" s="631"/>
      <c r="P706" s="631"/>
      <c r="Q706" s="631"/>
      <c r="R706" s="631"/>
      <c r="S706" s="631"/>
      <c r="T706" s="631"/>
      <c r="U706" s="631"/>
      <c r="V706" s="631"/>
      <c r="W706" s="631"/>
      <c r="X706" s="631"/>
      <c r="Y706" s="631"/>
      <c r="Z706" s="631"/>
    </row>
    <row r="707" spans="1:26">
      <c r="A707" s="636" t="s">
        <v>3648</v>
      </c>
      <c r="B707" s="631"/>
      <c r="C707" s="631"/>
      <c r="D707" s="631"/>
      <c r="E707" s="631"/>
      <c r="F707" s="631"/>
      <c r="G707" s="631"/>
      <c r="H707" s="652"/>
      <c r="I707" s="631"/>
      <c r="J707" s="631"/>
      <c r="K707" s="631"/>
      <c r="L707" s="631"/>
      <c r="M707" s="631"/>
      <c r="N707" s="631"/>
      <c r="O707" s="631"/>
      <c r="P707" s="631"/>
      <c r="Q707" s="631"/>
      <c r="R707" s="631"/>
      <c r="S707" s="631"/>
      <c r="T707" s="631"/>
      <c r="U707" s="631"/>
      <c r="V707" s="631"/>
      <c r="W707" s="631"/>
      <c r="X707" s="631"/>
      <c r="Y707" s="631"/>
      <c r="Z707" s="631"/>
    </row>
    <row r="708" spans="1:26">
      <c r="A708" s="636" t="s">
        <v>3648</v>
      </c>
      <c r="B708" s="631"/>
      <c r="C708" s="631"/>
      <c r="D708" s="631"/>
      <c r="E708" s="631"/>
      <c r="F708" s="631"/>
      <c r="G708" s="631"/>
      <c r="H708" s="652"/>
      <c r="I708" s="631"/>
      <c r="J708" s="631"/>
      <c r="K708" s="631"/>
      <c r="L708" s="631"/>
      <c r="M708" s="631"/>
      <c r="N708" s="631"/>
      <c r="O708" s="631"/>
      <c r="P708" s="631"/>
      <c r="Q708" s="631"/>
      <c r="R708" s="631"/>
      <c r="S708" s="631"/>
      <c r="T708" s="631"/>
      <c r="U708" s="631"/>
      <c r="V708" s="631"/>
      <c r="W708" s="631"/>
      <c r="X708" s="631"/>
      <c r="Y708" s="631"/>
      <c r="Z708" s="631"/>
    </row>
    <row r="709" spans="1:26">
      <c r="A709" s="636" t="s">
        <v>3648</v>
      </c>
      <c r="B709" s="631"/>
      <c r="C709" s="631"/>
      <c r="D709" s="631"/>
      <c r="E709" s="631"/>
      <c r="F709" s="631"/>
      <c r="G709" s="631"/>
      <c r="H709" s="652"/>
      <c r="I709" s="631"/>
      <c r="J709" s="631"/>
      <c r="K709" s="631"/>
      <c r="L709" s="631"/>
      <c r="M709" s="631"/>
      <c r="N709" s="631"/>
      <c r="O709" s="631"/>
      <c r="P709" s="631"/>
      <c r="Q709" s="631"/>
      <c r="R709" s="631"/>
      <c r="S709" s="631"/>
      <c r="T709" s="631"/>
      <c r="U709" s="631"/>
      <c r="V709" s="631"/>
      <c r="W709" s="631"/>
      <c r="X709" s="631"/>
      <c r="Y709" s="631"/>
      <c r="Z709" s="631"/>
    </row>
    <row r="710" spans="1:26">
      <c r="A710" s="636" t="s">
        <v>3648</v>
      </c>
      <c r="B710" s="631"/>
      <c r="C710" s="631"/>
      <c r="D710" s="631"/>
      <c r="E710" s="631"/>
      <c r="F710" s="631"/>
      <c r="G710" s="631"/>
      <c r="H710" s="652"/>
      <c r="I710" s="631"/>
      <c r="J710" s="631"/>
      <c r="K710" s="631"/>
      <c r="L710" s="631"/>
      <c r="M710" s="631"/>
      <c r="N710" s="631"/>
      <c r="O710" s="631"/>
      <c r="P710" s="631"/>
      <c r="Q710" s="631"/>
      <c r="R710" s="631"/>
      <c r="S710" s="631"/>
      <c r="T710" s="631"/>
      <c r="U710" s="631"/>
      <c r="V710" s="631"/>
      <c r="W710" s="631"/>
      <c r="X710" s="631"/>
      <c r="Y710" s="631"/>
      <c r="Z710" s="631"/>
    </row>
    <row r="711" spans="1:26">
      <c r="A711" s="636" t="s">
        <v>3648</v>
      </c>
      <c r="B711" s="631"/>
      <c r="C711" s="631"/>
      <c r="D711" s="631"/>
      <c r="E711" s="631"/>
      <c r="F711" s="631"/>
      <c r="G711" s="631"/>
      <c r="H711" s="652"/>
      <c r="I711" s="631"/>
      <c r="J711" s="631"/>
      <c r="K711" s="631"/>
      <c r="L711" s="631"/>
      <c r="M711" s="631"/>
      <c r="N711" s="631"/>
      <c r="O711" s="631"/>
      <c r="P711" s="631"/>
      <c r="Q711" s="631"/>
      <c r="R711" s="631"/>
      <c r="S711" s="631"/>
      <c r="T711" s="631"/>
      <c r="U711" s="631"/>
      <c r="V711" s="631"/>
      <c r="W711" s="631"/>
      <c r="X711" s="631"/>
      <c r="Y711" s="631"/>
      <c r="Z711" s="631"/>
    </row>
    <row r="712" spans="1:26">
      <c r="A712" s="636" t="s">
        <v>3648</v>
      </c>
      <c r="B712" s="631"/>
      <c r="C712" s="631"/>
      <c r="D712" s="631"/>
      <c r="E712" s="631"/>
      <c r="F712" s="631"/>
      <c r="G712" s="631"/>
      <c r="H712" s="652"/>
      <c r="I712" s="631"/>
      <c r="J712" s="631"/>
      <c r="K712" s="631"/>
      <c r="L712" s="631"/>
      <c r="M712" s="631"/>
      <c r="N712" s="631"/>
      <c r="O712" s="631"/>
      <c r="P712" s="631"/>
      <c r="Q712" s="631"/>
      <c r="R712" s="631"/>
      <c r="S712" s="631"/>
      <c r="T712" s="631"/>
      <c r="U712" s="631"/>
      <c r="V712" s="631"/>
      <c r="W712" s="631"/>
      <c r="X712" s="631"/>
      <c r="Y712" s="631"/>
      <c r="Z712" s="631"/>
    </row>
    <row r="713" spans="1:26">
      <c r="A713" s="636" t="s">
        <v>3648</v>
      </c>
      <c r="B713" s="631"/>
      <c r="C713" s="631"/>
      <c r="D713" s="631"/>
      <c r="E713" s="631"/>
      <c r="F713" s="631"/>
      <c r="G713" s="631"/>
      <c r="H713" s="652"/>
      <c r="I713" s="631"/>
      <c r="J713" s="631"/>
      <c r="K713" s="631"/>
      <c r="L713" s="631"/>
      <c r="M713" s="631"/>
      <c r="N713" s="631"/>
      <c r="O713" s="631"/>
      <c r="P713" s="631"/>
      <c r="Q713" s="631"/>
      <c r="R713" s="631"/>
      <c r="S713" s="631"/>
      <c r="T713" s="631"/>
      <c r="U713" s="631"/>
      <c r="V713" s="631"/>
      <c r="W713" s="631"/>
      <c r="X713" s="631"/>
      <c r="Y713" s="631"/>
      <c r="Z713" s="631"/>
    </row>
    <row r="714" spans="1:26">
      <c r="A714" s="636" t="s">
        <v>3648</v>
      </c>
      <c r="B714" s="631"/>
      <c r="C714" s="631"/>
      <c r="D714" s="631"/>
      <c r="E714" s="631"/>
      <c r="F714" s="631"/>
      <c r="G714" s="631"/>
      <c r="H714" s="652"/>
      <c r="I714" s="631"/>
      <c r="J714" s="631"/>
      <c r="K714" s="631"/>
      <c r="L714" s="631"/>
      <c r="M714" s="631"/>
      <c r="N714" s="631"/>
      <c r="O714" s="631"/>
      <c r="P714" s="631"/>
      <c r="Q714" s="631"/>
      <c r="R714" s="631"/>
      <c r="S714" s="631"/>
      <c r="T714" s="631"/>
      <c r="U714" s="631"/>
      <c r="V714" s="631"/>
      <c r="W714" s="631"/>
      <c r="X714" s="631"/>
      <c r="Y714" s="631"/>
      <c r="Z714" s="631"/>
    </row>
    <row r="715" spans="1:26">
      <c r="A715" s="636" t="s">
        <v>3648</v>
      </c>
      <c r="B715" s="631"/>
      <c r="C715" s="631"/>
      <c r="D715" s="631"/>
      <c r="E715" s="631"/>
      <c r="F715" s="631"/>
      <c r="G715" s="631"/>
      <c r="H715" s="652"/>
      <c r="I715" s="631"/>
      <c r="J715" s="631"/>
      <c r="K715" s="631"/>
      <c r="L715" s="631"/>
      <c r="M715" s="631"/>
      <c r="N715" s="631"/>
      <c r="O715" s="631"/>
      <c r="P715" s="631"/>
      <c r="Q715" s="631"/>
      <c r="R715" s="631"/>
      <c r="S715" s="631"/>
      <c r="T715" s="631"/>
      <c r="U715" s="631"/>
      <c r="V715" s="631"/>
      <c r="W715" s="631"/>
      <c r="X715" s="631"/>
      <c r="Y715" s="631"/>
      <c r="Z715" s="631"/>
    </row>
    <row r="716" spans="1:26">
      <c r="A716" s="636" t="s">
        <v>3648</v>
      </c>
      <c r="B716" s="631"/>
      <c r="C716" s="631"/>
      <c r="D716" s="631"/>
      <c r="E716" s="631"/>
      <c r="F716" s="631"/>
      <c r="G716" s="631"/>
      <c r="H716" s="652"/>
      <c r="I716" s="631"/>
      <c r="J716" s="631"/>
      <c r="K716" s="631"/>
      <c r="L716" s="631"/>
      <c r="M716" s="631"/>
      <c r="N716" s="631"/>
      <c r="O716" s="631"/>
      <c r="P716" s="631"/>
      <c r="Q716" s="631"/>
      <c r="R716" s="631"/>
      <c r="S716" s="631"/>
      <c r="T716" s="631"/>
      <c r="U716" s="631"/>
      <c r="V716" s="631"/>
      <c r="W716" s="631"/>
      <c r="X716" s="631"/>
      <c r="Y716" s="631"/>
      <c r="Z716" s="631"/>
    </row>
    <row r="717" spans="1:26">
      <c r="A717" s="636" t="s">
        <v>3648</v>
      </c>
      <c r="B717" s="631"/>
      <c r="C717" s="631"/>
      <c r="D717" s="631"/>
      <c r="E717" s="631"/>
      <c r="F717" s="631"/>
      <c r="G717" s="631"/>
      <c r="H717" s="652"/>
      <c r="I717" s="631"/>
      <c r="J717" s="631"/>
      <c r="K717" s="631"/>
      <c r="L717" s="631"/>
      <c r="M717" s="631"/>
      <c r="N717" s="631"/>
      <c r="O717" s="631"/>
      <c r="P717" s="631"/>
      <c r="Q717" s="631"/>
      <c r="R717" s="631"/>
      <c r="S717" s="631"/>
      <c r="T717" s="631"/>
      <c r="U717" s="631"/>
      <c r="V717" s="631"/>
      <c r="W717" s="631"/>
      <c r="X717" s="631"/>
      <c r="Y717" s="631"/>
      <c r="Z717" s="631"/>
    </row>
    <row r="718" spans="1:26">
      <c r="A718" s="636" t="s">
        <v>3648</v>
      </c>
      <c r="B718" s="631"/>
      <c r="C718" s="631"/>
      <c r="D718" s="631"/>
      <c r="E718" s="631"/>
      <c r="F718" s="631"/>
      <c r="G718" s="631"/>
      <c r="H718" s="652"/>
      <c r="I718" s="631"/>
      <c r="J718" s="631"/>
      <c r="K718" s="631"/>
      <c r="L718" s="631"/>
      <c r="M718" s="631"/>
      <c r="N718" s="631"/>
      <c r="O718" s="631"/>
      <c r="P718" s="631"/>
      <c r="Q718" s="631"/>
      <c r="R718" s="631"/>
      <c r="S718" s="631"/>
      <c r="T718" s="631"/>
      <c r="U718" s="631"/>
      <c r="V718" s="631"/>
      <c r="W718" s="631"/>
      <c r="X718" s="631"/>
      <c r="Y718" s="631"/>
      <c r="Z718" s="631"/>
    </row>
    <row r="719" spans="1:26">
      <c r="A719" s="636" t="s">
        <v>3648</v>
      </c>
      <c r="B719" s="631"/>
      <c r="C719" s="631"/>
      <c r="D719" s="631"/>
      <c r="E719" s="631"/>
      <c r="F719" s="631"/>
      <c r="G719" s="631"/>
      <c r="H719" s="652"/>
      <c r="I719" s="631"/>
      <c r="J719" s="631"/>
      <c r="K719" s="631"/>
      <c r="L719" s="631"/>
      <c r="M719" s="631"/>
      <c r="N719" s="631"/>
      <c r="O719" s="631"/>
      <c r="P719" s="631"/>
      <c r="Q719" s="631"/>
      <c r="R719" s="631"/>
      <c r="S719" s="631"/>
      <c r="T719" s="631"/>
      <c r="U719" s="631"/>
      <c r="V719" s="631"/>
      <c r="W719" s="631"/>
      <c r="X719" s="631"/>
      <c r="Y719" s="631"/>
      <c r="Z719" s="631"/>
    </row>
    <row r="720" spans="1:26">
      <c r="A720" s="636" t="s">
        <v>3648</v>
      </c>
      <c r="B720" s="631"/>
      <c r="C720" s="631"/>
      <c r="D720" s="631"/>
      <c r="E720" s="631"/>
      <c r="F720" s="631"/>
      <c r="G720" s="631"/>
      <c r="H720" s="652"/>
      <c r="I720" s="631"/>
      <c r="J720" s="631"/>
      <c r="K720" s="631"/>
      <c r="L720" s="631"/>
      <c r="M720" s="631"/>
      <c r="N720" s="631"/>
      <c r="O720" s="631"/>
      <c r="P720" s="631"/>
      <c r="Q720" s="631"/>
      <c r="R720" s="631"/>
      <c r="S720" s="631"/>
      <c r="T720" s="631"/>
      <c r="U720" s="631"/>
      <c r="V720" s="631"/>
      <c r="W720" s="631"/>
      <c r="X720" s="631"/>
      <c r="Y720" s="631"/>
      <c r="Z720" s="631"/>
    </row>
    <row r="721" spans="1:26">
      <c r="A721" s="636" t="s">
        <v>3648</v>
      </c>
      <c r="B721" s="631"/>
      <c r="C721" s="631"/>
      <c r="D721" s="631"/>
      <c r="E721" s="631"/>
      <c r="F721" s="631"/>
      <c r="G721" s="631"/>
      <c r="H721" s="652"/>
      <c r="I721" s="631"/>
      <c r="J721" s="631"/>
      <c r="K721" s="631"/>
      <c r="L721" s="631"/>
      <c r="M721" s="631"/>
      <c r="N721" s="631"/>
      <c r="O721" s="631"/>
      <c r="P721" s="631"/>
      <c r="Q721" s="631"/>
      <c r="R721" s="631"/>
      <c r="S721" s="631"/>
      <c r="T721" s="631"/>
      <c r="U721" s="631"/>
      <c r="V721" s="631"/>
      <c r="W721" s="631"/>
      <c r="X721" s="631"/>
      <c r="Y721" s="631"/>
      <c r="Z721" s="631"/>
    </row>
    <row r="722" spans="1:26">
      <c r="A722" s="636" t="s">
        <v>3648</v>
      </c>
      <c r="B722" s="631"/>
      <c r="C722" s="631"/>
      <c r="D722" s="631"/>
      <c r="E722" s="631"/>
      <c r="F722" s="631"/>
      <c r="G722" s="631"/>
      <c r="H722" s="652"/>
      <c r="I722" s="631"/>
      <c r="J722" s="631"/>
      <c r="K722" s="631"/>
      <c r="L722" s="631"/>
      <c r="M722" s="631"/>
      <c r="N722" s="631"/>
      <c r="O722" s="631"/>
      <c r="P722" s="631"/>
      <c r="Q722" s="631"/>
      <c r="R722" s="631"/>
      <c r="S722" s="631"/>
      <c r="T722" s="631"/>
      <c r="U722" s="631"/>
      <c r="V722" s="631"/>
      <c r="W722" s="631"/>
      <c r="X722" s="631"/>
      <c r="Y722" s="631"/>
      <c r="Z722" s="631"/>
    </row>
    <row r="723" spans="1:26">
      <c r="A723" s="636" t="s">
        <v>3648</v>
      </c>
      <c r="B723" s="631"/>
      <c r="C723" s="631"/>
      <c r="D723" s="631"/>
      <c r="E723" s="631"/>
      <c r="F723" s="631"/>
      <c r="G723" s="631"/>
      <c r="H723" s="652"/>
      <c r="I723" s="631"/>
      <c r="J723" s="631"/>
      <c r="K723" s="631"/>
      <c r="L723" s="631"/>
      <c r="M723" s="631"/>
      <c r="N723" s="631"/>
      <c r="O723" s="631"/>
      <c r="P723" s="631"/>
      <c r="Q723" s="631"/>
      <c r="R723" s="631"/>
      <c r="S723" s="631"/>
      <c r="T723" s="631"/>
      <c r="U723" s="631"/>
      <c r="V723" s="631"/>
      <c r="W723" s="631"/>
      <c r="X723" s="631"/>
      <c r="Y723" s="631"/>
      <c r="Z723" s="631"/>
    </row>
    <row r="724" spans="1:26">
      <c r="A724" s="636" t="s">
        <v>3648</v>
      </c>
      <c r="B724" s="631"/>
      <c r="C724" s="631"/>
      <c r="D724" s="631"/>
      <c r="E724" s="631"/>
      <c r="F724" s="631"/>
      <c r="G724" s="631"/>
      <c r="H724" s="652"/>
      <c r="I724" s="631"/>
      <c r="J724" s="631"/>
      <c r="K724" s="631"/>
      <c r="L724" s="631"/>
      <c r="M724" s="631"/>
      <c r="N724" s="631"/>
      <c r="O724" s="631"/>
      <c r="P724" s="631"/>
      <c r="Q724" s="631"/>
      <c r="R724" s="631"/>
      <c r="S724" s="631"/>
      <c r="T724" s="631"/>
      <c r="U724" s="631"/>
      <c r="V724" s="631"/>
      <c r="W724" s="631"/>
      <c r="X724" s="631"/>
      <c r="Y724" s="631"/>
      <c r="Z724" s="631"/>
    </row>
    <row r="725" spans="1:26">
      <c r="A725" s="636" t="s">
        <v>3648</v>
      </c>
      <c r="B725" s="631"/>
      <c r="C725" s="631"/>
      <c r="D725" s="631"/>
      <c r="E725" s="631"/>
      <c r="F725" s="631"/>
      <c r="G725" s="631"/>
      <c r="H725" s="652"/>
      <c r="I725" s="631"/>
      <c r="J725" s="631"/>
      <c r="K725" s="631"/>
      <c r="L725" s="631"/>
      <c r="M725" s="631"/>
      <c r="N725" s="631"/>
      <c r="O725" s="631"/>
      <c r="P725" s="631"/>
      <c r="Q725" s="631"/>
      <c r="R725" s="631"/>
      <c r="S725" s="631"/>
      <c r="T725" s="631"/>
      <c r="U725" s="631"/>
      <c r="V725" s="631"/>
      <c r="W725" s="631"/>
      <c r="X725" s="631"/>
      <c r="Y725" s="631"/>
      <c r="Z725" s="631"/>
    </row>
    <row r="726" spans="1:26">
      <c r="A726" s="636" t="s">
        <v>3648</v>
      </c>
      <c r="B726" s="631"/>
      <c r="C726" s="631"/>
      <c r="D726" s="631"/>
      <c r="E726" s="631"/>
      <c r="F726" s="631"/>
      <c r="G726" s="631"/>
      <c r="H726" s="652"/>
      <c r="I726" s="631"/>
      <c r="J726" s="631"/>
      <c r="K726" s="631"/>
      <c r="L726" s="631"/>
      <c r="M726" s="631"/>
      <c r="N726" s="631"/>
      <c r="O726" s="631"/>
      <c r="P726" s="631"/>
      <c r="Q726" s="631"/>
      <c r="R726" s="631"/>
      <c r="S726" s="631"/>
      <c r="T726" s="631"/>
      <c r="U726" s="631"/>
      <c r="V726" s="631"/>
      <c r="W726" s="631"/>
      <c r="X726" s="631"/>
      <c r="Y726" s="631"/>
      <c r="Z726" s="631"/>
    </row>
    <row r="727" spans="1:26">
      <c r="A727" s="636" t="s">
        <v>3648</v>
      </c>
      <c r="B727" s="631"/>
      <c r="C727" s="631"/>
      <c r="D727" s="631"/>
      <c r="E727" s="631"/>
      <c r="F727" s="631"/>
      <c r="G727" s="631"/>
      <c r="H727" s="652"/>
      <c r="I727" s="631"/>
      <c r="J727" s="631"/>
      <c r="K727" s="631"/>
      <c r="L727" s="631"/>
      <c r="M727" s="631"/>
      <c r="N727" s="631"/>
      <c r="O727" s="631"/>
      <c r="P727" s="631"/>
      <c r="Q727" s="631"/>
      <c r="R727" s="631"/>
      <c r="S727" s="631"/>
      <c r="T727" s="631"/>
      <c r="U727" s="631"/>
      <c r="V727" s="631"/>
      <c r="W727" s="631"/>
      <c r="X727" s="631"/>
      <c r="Y727" s="631"/>
      <c r="Z727" s="631"/>
    </row>
    <row r="728" spans="1:26">
      <c r="A728" s="636" t="s">
        <v>3648</v>
      </c>
      <c r="B728" s="631"/>
      <c r="C728" s="631"/>
      <c r="D728" s="631"/>
      <c r="E728" s="631"/>
      <c r="F728" s="631"/>
      <c r="G728" s="631"/>
      <c r="H728" s="652"/>
      <c r="I728" s="631"/>
      <c r="J728" s="631"/>
      <c r="K728" s="631"/>
      <c r="L728" s="631"/>
      <c r="M728" s="631"/>
      <c r="N728" s="631"/>
      <c r="O728" s="631"/>
      <c r="P728" s="631"/>
      <c r="Q728" s="631"/>
      <c r="R728" s="631"/>
      <c r="S728" s="631"/>
      <c r="T728" s="631"/>
      <c r="U728" s="631"/>
      <c r="V728" s="631"/>
      <c r="W728" s="631"/>
      <c r="X728" s="631"/>
      <c r="Y728" s="631"/>
      <c r="Z728" s="631"/>
    </row>
    <row r="729" spans="1:26">
      <c r="A729" s="636" t="s">
        <v>3648</v>
      </c>
      <c r="B729" s="631"/>
      <c r="C729" s="631"/>
      <c r="D729" s="631"/>
      <c r="E729" s="631"/>
      <c r="F729" s="631"/>
      <c r="G729" s="631"/>
      <c r="H729" s="652"/>
      <c r="I729" s="631"/>
      <c r="J729" s="631"/>
      <c r="K729" s="631"/>
      <c r="L729" s="631"/>
      <c r="M729" s="631"/>
      <c r="N729" s="631"/>
      <c r="O729" s="631"/>
      <c r="P729" s="631"/>
      <c r="Q729" s="631"/>
      <c r="R729" s="631"/>
      <c r="S729" s="631"/>
      <c r="T729" s="631"/>
      <c r="U729" s="631"/>
      <c r="V729" s="631"/>
      <c r="W729" s="631"/>
      <c r="X729" s="631"/>
      <c r="Y729" s="631"/>
      <c r="Z729" s="631"/>
    </row>
    <row r="730" spans="1:26">
      <c r="A730" s="636" t="s">
        <v>3648</v>
      </c>
      <c r="B730" s="631"/>
      <c r="C730" s="631"/>
      <c r="D730" s="631"/>
      <c r="E730" s="631"/>
      <c r="F730" s="631"/>
      <c r="G730" s="631"/>
      <c r="H730" s="652"/>
      <c r="I730" s="631"/>
      <c r="J730" s="631"/>
      <c r="K730" s="631"/>
      <c r="L730" s="631"/>
      <c r="M730" s="631"/>
      <c r="N730" s="631"/>
      <c r="O730" s="631"/>
      <c r="P730" s="631"/>
      <c r="Q730" s="631"/>
      <c r="R730" s="631"/>
      <c r="S730" s="631"/>
      <c r="T730" s="631"/>
      <c r="U730" s="631"/>
      <c r="V730" s="631"/>
      <c r="W730" s="631"/>
      <c r="X730" s="631"/>
      <c r="Y730" s="631"/>
      <c r="Z730" s="631"/>
    </row>
    <row r="731" spans="1:26">
      <c r="A731" s="636" t="s">
        <v>3648</v>
      </c>
      <c r="B731" s="631"/>
      <c r="C731" s="631"/>
      <c r="D731" s="631"/>
      <c r="E731" s="631"/>
      <c r="F731" s="631"/>
      <c r="G731" s="631"/>
      <c r="H731" s="652"/>
      <c r="I731" s="631"/>
      <c r="J731" s="631"/>
      <c r="K731" s="631"/>
      <c r="L731" s="631"/>
      <c r="M731" s="631"/>
      <c r="N731" s="631"/>
      <c r="O731" s="631"/>
      <c r="P731" s="631"/>
      <c r="Q731" s="631"/>
      <c r="R731" s="631"/>
      <c r="S731" s="631"/>
      <c r="T731" s="631"/>
      <c r="U731" s="631"/>
      <c r="V731" s="631"/>
      <c r="W731" s="631"/>
      <c r="X731" s="631"/>
      <c r="Y731" s="631"/>
      <c r="Z731" s="631"/>
    </row>
    <row r="732" spans="1:26">
      <c r="A732" s="636" t="s">
        <v>3648</v>
      </c>
      <c r="B732" s="631"/>
      <c r="C732" s="631"/>
      <c r="D732" s="631"/>
      <c r="E732" s="631"/>
      <c r="F732" s="631"/>
      <c r="G732" s="631"/>
      <c r="H732" s="652"/>
      <c r="I732" s="631"/>
      <c r="J732" s="631"/>
      <c r="K732" s="631"/>
      <c r="L732" s="631"/>
      <c r="M732" s="631"/>
      <c r="N732" s="631"/>
      <c r="O732" s="631"/>
      <c r="P732" s="631"/>
      <c r="Q732" s="631"/>
      <c r="R732" s="631"/>
      <c r="S732" s="631"/>
      <c r="T732" s="631"/>
      <c r="U732" s="631"/>
      <c r="V732" s="631"/>
      <c r="W732" s="631"/>
      <c r="X732" s="631"/>
      <c r="Y732" s="631"/>
      <c r="Z732" s="631"/>
    </row>
    <row r="733" spans="1:26">
      <c r="A733" s="636" t="s">
        <v>3648</v>
      </c>
      <c r="B733" s="631"/>
      <c r="C733" s="631"/>
      <c r="D733" s="631"/>
      <c r="E733" s="631"/>
      <c r="F733" s="631"/>
      <c r="G733" s="631"/>
      <c r="H733" s="652"/>
      <c r="I733" s="631"/>
      <c r="J733" s="631"/>
      <c r="K733" s="631"/>
      <c r="L733" s="631"/>
      <c r="M733" s="631"/>
      <c r="N733" s="631"/>
      <c r="O733" s="631"/>
      <c r="P733" s="631"/>
      <c r="Q733" s="631"/>
      <c r="R733" s="631"/>
      <c r="S733" s="631"/>
      <c r="T733" s="631"/>
      <c r="U733" s="631"/>
      <c r="V733" s="631"/>
      <c r="W733" s="631"/>
      <c r="X733" s="631"/>
      <c r="Y733" s="631"/>
      <c r="Z733" s="631"/>
    </row>
    <row r="734" spans="1:26">
      <c r="A734" s="636" t="s">
        <v>3648</v>
      </c>
      <c r="B734" s="631"/>
      <c r="C734" s="631"/>
      <c r="D734" s="631"/>
      <c r="E734" s="631"/>
      <c r="F734" s="631"/>
      <c r="G734" s="631"/>
      <c r="H734" s="652"/>
      <c r="I734" s="631"/>
      <c r="J734" s="631"/>
      <c r="K734" s="631"/>
      <c r="L734" s="631"/>
      <c r="M734" s="631"/>
      <c r="N734" s="631"/>
      <c r="O734" s="631"/>
      <c r="P734" s="631"/>
      <c r="Q734" s="631"/>
      <c r="R734" s="631"/>
      <c r="S734" s="631"/>
      <c r="T734" s="631"/>
      <c r="U734" s="631"/>
      <c r="V734" s="631"/>
      <c r="W734" s="631"/>
      <c r="X734" s="631"/>
      <c r="Y734" s="631"/>
      <c r="Z734" s="631"/>
    </row>
    <row r="735" spans="1:26">
      <c r="A735" s="636" t="s">
        <v>3648</v>
      </c>
      <c r="B735" s="631"/>
      <c r="C735" s="631"/>
      <c r="D735" s="631"/>
      <c r="E735" s="631"/>
      <c r="F735" s="631"/>
      <c r="G735" s="631"/>
      <c r="H735" s="652"/>
      <c r="I735" s="631"/>
      <c r="J735" s="631"/>
      <c r="K735" s="631"/>
      <c r="L735" s="631"/>
      <c r="M735" s="631"/>
      <c r="N735" s="631"/>
      <c r="O735" s="631"/>
      <c r="P735" s="631"/>
      <c r="Q735" s="631"/>
      <c r="R735" s="631"/>
      <c r="S735" s="631"/>
      <c r="T735" s="631"/>
      <c r="U735" s="631"/>
      <c r="V735" s="631"/>
      <c r="W735" s="631"/>
      <c r="X735" s="631"/>
      <c r="Y735" s="631"/>
      <c r="Z735" s="631"/>
    </row>
    <row r="736" spans="1:26">
      <c r="A736" s="636" t="s">
        <v>3648</v>
      </c>
      <c r="B736" s="631"/>
      <c r="C736" s="631"/>
      <c r="D736" s="631"/>
      <c r="E736" s="631"/>
      <c r="F736" s="631"/>
      <c r="G736" s="631"/>
      <c r="H736" s="652"/>
      <c r="I736" s="631"/>
      <c r="J736" s="631"/>
      <c r="K736" s="631"/>
      <c r="L736" s="631"/>
      <c r="M736" s="631"/>
      <c r="N736" s="631"/>
      <c r="O736" s="631"/>
      <c r="P736" s="631"/>
      <c r="Q736" s="631"/>
      <c r="R736" s="631"/>
      <c r="S736" s="631"/>
      <c r="T736" s="631"/>
      <c r="U736" s="631"/>
      <c r="V736" s="631"/>
      <c r="W736" s="631"/>
      <c r="X736" s="631"/>
      <c r="Y736" s="631"/>
      <c r="Z736" s="631"/>
    </row>
    <row r="737" spans="1:26">
      <c r="A737" s="636" t="s">
        <v>3648</v>
      </c>
      <c r="B737" s="631"/>
      <c r="C737" s="631"/>
      <c r="D737" s="631"/>
      <c r="E737" s="631"/>
      <c r="F737" s="631"/>
      <c r="G737" s="631"/>
      <c r="H737" s="652"/>
      <c r="I737" s="631"/>
      <c r="J737" s="631"/>
      <c r="K737" s="631"/>
      <c r="L737" s="631"/>
      <c r="M737" s="631"/>
      <c r="N737" s="631"/>
      <c r="O737" s="631"/>
      <c r="P737" s="631"/>
      <c r="Q737" s="631"/>
      <c r="R737" s="631"/>
      <c r="S737" s="631"/>
      <c r="T737" s="631"/>
      <c r="U737" s="631"/>
      <c r="V737" s="631"/>
      <c r="W737" s="631"/>
      <c r="X737" s="631"/>
      <c r="Y737" s="631"/>
      <c r="Z737" s="631"/>
    </row>
    <row r="738" spans="1:26">
      <c r="A738" s="636" t="s">
        <v>3648</v>
      </c>
      <c r="B738" s="631"/>
      <c r="C738" s="631"/>
      <c r="D738" s="631"/>
      <c r="E738" s="631"/>
      <c r="F738" s="631"/>
      <c r="G738" s="631"/>
      <c r="H738" s="652"/>
      <c r="I738" s="631"/>
      <c r="J738" s="631"/>
      <c r="K738" s="631"/>
      <c r="L738" s="631"/>
      <c r="M738" s="631"/>
      <c r="N738" s="631"/>
      <c r="O738" s="631"/>
      <c r="P738" s="631"/>
      <c r="Q738" s="631"/>
      <c r="R738" s="631"/>
      <c r="S738" s="631"/>
      <c r="T738" s="631"/>
      <c r="U738" s="631"/>
      <c r="V738" s="631"/>
      <c r="W738" s="631"/>
      <c r="X738" s="631"/>
      <c r="Y738" s="631"/>
      <c r="Z738" s="631"/>
    </row>
    <row r="739" spans="1:26">
      <c r="A739" s="636" t="s">
        <v>3648</v>
      </c>
      <c r="B739" s="631"/>
      <c r="C739" s="631"/>
      <c r="D739" s="631"/>
      <c r="E739" s="631"/>
      <c r="F739" s="631"/>
      <c r="G739" s="631"/>
      <c r="H739" s="652"/>
      <c r="I739" s="631"/>
      <c r="J739" s="631"/>
      <c r="K739" s="631"/>
      <c r="L739" s="631"/>
      <c r="M739" s="631"/>
      <c r="N739" s="631"/>
      <c r="O739" s="631"/>
      <c r="P739" s="631"/>
      <c r="Q739" s="631"/>
      <c r="R739" s="631"/>
      <c r="S739" s="631"/>
      <c r="T739" s="631"/>
      <c r="U739" s="631"/>
      <c r="V739" s="631"/>
      <c r="W739" s="631"/>
      <c r="X739" s="631"/>
      <c r="Y739" s="631"/>
      <c r="Z739" s="631"/>
    </row>
    <row r="740" spans="1:26">
      <c r="A740" s="636" t="s">
        <v>3648</v>
      </c>
      <c r="B740" s="631"/>
      <c r="C740" s="631"/>
      <c r="D740" s="631"/>
      <c r="E740" s="631"/>
      <c r="F740" s="631"/>
      <c r="G740" s="631"/>
      <c r="H740" s="652"/>
      <c r="I740" s="631"/>
      <c r="J740" s="631"/>
      <c r="K740" s="631"/>
      <c r="L740" s="631"/>
      <c r="M740" s="631"/>
      <c r="N740" s="631"/>
      <c r="O740" s="631"/>
      <c r="P740" s="631"/>
      <c r="Q740" s="631"/>
      <c r="R740" s="631"/>
      <c r="S740" s="631"/>
      <c r="T740" s="631"/>
      <c r="U740" s="631"/>
      <c r="V740" s="631"/>
      <c r="W740" s="631"/>
      <c r="X740" s="631"/>
      <c r="Y740" s="631"/>
      <c r="Z740" s="631"/>
    </row>
    <row r="741" spans="1:26">
      <c r="A741" s="636" t="s">
        <v>3648</v>
      </c>
      <c r="B741" s="631"/>
      <c r="C741" s="631"/>
      <c r="D741" s="631"/>
      <c r="E741" s="631"/>
      <c r="F741" s="631"/>
      <c r="G741" s="631"/>
      <c r="H741" s="652"/>
      <c r="I741" s="631"/>
      <c r="J741" s="631"/>
      <c r="K741" s="631"/>
      <c r="L741" s="631"/>
      <c r="M741" s="631"/>
      <c r="N741" s="631"/>
      <c r="O741" s="631"/>
      <c r="P741" s="631"/>
      <c r="Q741" s="631"/>
      <c r="R741" s="631"/>
      <c r="S741" s="631"/>
      <c r="T741" s="631"/>
      <c r="U741" s="631"/>
      <c r="V741" s="631"/>
      <c r="W741" s="631"/>
      <c r="X741" s="631"/>
      <c r="Y741" s="631"/>
      <c r="Z741" s="631"/>
    </row>
    <row r="742" spans="1:26">
      <c r="A742" s="636" t="s">
        <v>3648</v>
      </c>
      <c r="B742" s="631"/>
      <c r="C742" s="631"/>
      <c r="D742" s="631"/>
      <c r="E742" s="631"/>
      <c r="F742" s="631"/>
      <c r="G742" s="631"/>
      <c r="H742" s="652"/>
      <c r="I742" s="631"/>
      <c r="J742" s="631"/>
      <c r="K742" s="631"/>
      <c r="L742" s="631"/>
      <c r="M742" s="631"/>
      <c r="N742" s="631"/>
      <c r="O742" s="631"/>
      <c r="P742" s="631"/>
      <c r="Q742" s="631"/>
      <c r="R742" s="631"/>
      <c r="S742" s="631"/>
      <c r="T742" s="631"/>
      <c r="U742" s="631"/>
      <c r="V742" s="631"/>
      <c r="W742" s="631"/>
      <c r="X742" s="631"/>
      <c r="Y742" s="631"/>
      <c r="Z742" s="631"/>
    </row>
    <row r="743" spans="1:26">
      <c r="A743" s="636" t="s">
        <v>3648</v>
      </c>
      <c r="B743" s="631"/>
      <c r="C743" s="631"/>
      <c r="D743" s="631"/>
      <c r="E743" s="631"/>
      <c r="F743" s="631"/>
      <c r="G743" s="631"/>
      <c r="H743" s="652"/>
      <c r="I743" s="631"/>
      <c r="J743" s="631"/>
      <c r="K743" s="631"/>
      <c r="L743" s="631"/>
      <c r="M743" s="631"/>
      <c r="N743" s="631"/>
      <c r="O743" s="631"/>
      <c r="P743" s="631"/>
      <c r="Q743" s="631"/>
      <c r="R743" s="631"/>
      <c r="S743" s="631"/>
      <c r="T743" s="631"/>
      <c r="U743" s="631"/>
      <c r="V743" s="631"/>
      <c r="W743" s="631"/>
      <c r="X743" s="631"/>
      <c r="Y743" s="631"/>
      <c r="Z743" s="631"/>
    </row>
    <row r="744" spans="1:26">
      <c r="A744" s="636" t="s">
        <v>3648</v>
      </c>
      <c r="B744" s="631"/>
      <c r="C744" s="631"/>
      <c r="D744" s="631"/>
      <c r="E744" s="631"/>
      <c r="F744" s="631"/>
      <c r="G744" s="631"/>
      <c r="H744" s="652"/>
      <c r="I744" s="631"/>
      <c r="J744" s="631"/>
      <c r="K744" s="631"/>
      <c r="L744" s="631"/>
      <c r="M744" s="631"/>
      <c r="N744" s="631"/>
      <c r="O744" s="631"/>
      <c r="P744" s="631"/>
      <c r="Q744" s="631"/>
      <c r="R744" s="631"/>
      <c r="S744" s="631"/>
      <c r="T744" s="631"/>
      <c r="U744" s="631"/>
      <c r="V744" s="631"/>
      <c r="W744" s="631"/>
      <c r="X744" s="631"/>
      <c r="Y744" s="631"/>
      <c r="Z744" s="631"/>
    </row>
    <row r="745" spans="1:26">
      <c r="A745" s="636" t="s">
        <v>3648</v>
      </c>
      <c r="B745" s="631"/>
      <c r="C745" s="631"/>
      <c r="D745" s="631"/>
      <c r="E745" s="631"/>
      <c r="F745" s="631"/>
      <c r="G745" s="631"/>
      <c r="H745" s="652"/>
      <c r="I745" s="631"/>
      <c r="J745" s="631"/>
      <c r="K745" s="631"/>
      <c r="L745" s="631"/>
      <c r="M745" s="631"/>
      <c r="N745" s="631"/>
      <c r="O745" s="631"/>
      <c r="P745" s="631"/>
      <c r="Q745" s="631"/>
      <c r="R745" s="631"/>
      <c r="S745" s="631"/>
      <c r="T745" s="631"/>
      <c r="U745" s="631"/>
      <c r="V745" s="631"/>
      <c r="W745" s="631"/>
      <c r="X745" s="631"/>
      <c r="Y745" s="631"/>
      <c r="Z745" s="631"/>
    </row>
    <row r="746" spans="1:26">
      <c r="A746" s="636" t="s">
        <v>3648</v>
      </c>
      <c r="B746" s="631"/>
      <c r="C746" s="631"/>
      <c r="D746" s="631"/>
      <c r="E746" s="631"/>
      <c r="F746" s="631"/>
      <c r="G746" s="631"/>
      <c r="H746" s="652"/>
      <c r="I746" s="631"/>
      <c r="J746" s="631"/>
      <c r="K746" s="631"/>
      <c r="L746" s="631"/>
      <c r="M746" s="631"/>
      <c r="N746" s="631"/>
      <c r="O746" s="631"/>
      <c r="P746" s="631"/>
      <c r="Q746" s="631"/>
      <c r="R746" s="631"/>
      <c r="S746" s="631"/>
      <c r="T746" s="631"/>
      <c r="U746" s="631"/>
      <c r="V746" s="631"/>
      <c r="W746" s="631"/>
      <c r="X746" s="631"/>
      <c r="Y746" s="631"/>
      <c r="Z746" s="631"/>
    </row>
    <row r="747" spans="1:26">
      <c r="A747" s="636" t="s">
        <v>3648</v>
      </c>
      <c r="B747" s="631"/>
      <c r="C747" s="631"/>
      <c r="D747" s="631"/>
      <c r="E747" s="631"/>
      <c r="F747" s="631"/>
      <c r="G747" s="631"/>
      <c r="H747" s="652"/>
      <c r="I747" s="631"/>
      <c r="J747" s="631"/>
      <c r="K747" s="631"/>
      <c r="L747" s="631"/>
      <c r="M747" s="631"/>
      <c r="N747" s="631"/>
      <c r="O747" s="631"/>
      <c r="P747" s="631"/>
      <c r="Q747" s="631"/>
      <c r="R747" s="631"/>
      <c r="S747" s="631"/>
      <c r="T747" s="631"/>
      <c r="U747" s="631"/>
      <c r="V747" s="631"/>
      <c r="W747" s="631"/>
      <c r="X747" s="631"/>
      <c r="Y747" s="631"/>
      <c r="Z747" s="631"/>
    </row>
    <row r="748" spans="1:26">
      <c r="A748" s="636" t="s">
        <v>3648</v>
      </c>
      <c r="B748" s="631"/>
      <c r="C748" s="631"/>
      <c r="D748" s="631"/>
      <c r="E748" s="631"/>
      <c r="F748" s="631"/>
      <c r="G748" s="631"/>
      <c r="H748" s="652"/>
      <c r="I748" s="631"/>
      <c r="J748" s="631"/>
      <c r="K748" s="631"/>
      <c r="L748" s="631"/>
      <c r="M748" s="631"/>
      <c r="N748" s="631"/>
      <c r="O748" s="631"/>
      <c r="P748" s="631"/>
      <c r="Q748" s="631"/>
      <c r="R748" s="631"/>
      <c r="S748" s="631"/>
      <c r="T748" s="631"/>
      <c r="U748" s="631"/>
      <c r="V748" s="631"/>
      <c r="W748" s="631"/>
      <c r="X748" s="631"/>
      <c r="Y748" s="631"/>
      <c r="Z748" s="631"/>
    </row>
    <row r="749" spans="1:26">
      <c r="A749" s="636" t="s">
        <v>3648</v>
      </c>
      <c r="B749" s="631"/>
      <c r="C749" s="631"/>
      <c r="D749" s="631"/>
      <c r="E749" s="631"/>
      <c r="F749" s="631"/>
      <c r="G749" s="631"/>
      <c r="H749" s="652"/>
      <c r="I749" s="631"/>
      <c r="J749" s="631"/>
      <c r="K749" s="631"/>
      <c r="L749" s="631"/>
      <c r="M749" s="631"/>
      <c r="N749" s="631"/>
      <c r="O749" s="631"/>
      <c r="P749" s="631"/>
      <c r="Q749" s="631"/>
      <c r="R749" s="631"/>
      <c r="S749" s="631"/>
      <c r="T749" s="631"/>
      <c r="U749" s="631"/>
      <c r="V749" s="631"/>
      <c r="W749" s="631"/>
      <c r="X749" s="631"/>
      <c r="Y749" s="631"/>
      <c r="Z749" s="631"/>
    </row>
    <row r="750" spans="1:26">
      <c r="A750" s="636" t="s">
        <v>3648</v>
      </c>
      <c r="B750" s="631"/>
      <c r="C750" s="631"/>
      <c r="D750" s="631"/>
      <c r="E750" s="631"/>
      <c r="F750" s="631"/>
      <c r="G750" s="631"/>
      <c r="H750" s="652"/>
      <c r="I750" s="631"/>
      <c r="J750" s="631"/>
      <c r="K750" s="631"/>
      <c r="L750" s="631"/>
      <c r="M750" s="631"/>
      <c r="N750" s="631"/>
      <c r="O750" s="631"/>
      <c r="P750" s="631"/>
      <c r="Q750" s="631"/>
      <c r="R750" s="631"/>
      <c r="S750" s="631"/>
      <c r="T750" s="631"/>
      <c r="U750" s="631"/>
      <c r="V750" s="631"/>
      <c r="W750" s="631"/>
      <c r="X750" s="631"/>
      <c r="Y750" s="631"/>
      <c r="Z750" s="631"/>
    </row>
    <row r="751" spans="1:26">
      <c r="A751" s="636" t="s">
        <v>3648</v>
      </c>
      <c r="B751" s="631"/>
      <c r="C751" s="631"/>
      <c r="D751" s="631"/>
      <c r="E751" s="631"/>
      <c r="F751" s="631"/>
      <c r="G751" s="631"/>
      <c r="H751" s="652"/>
      <c r="I751" s="631"/>
      <c r="J751" s="631"/>
      <c r="K751" s="631"/>
      <c r="L751" s="631"/>
      <c r="M751" s="631"/>
      <c r="N751" s="631"/>
      <c r="O751" s="631"/>
      <c r="P751" s="631"/>
      <c r="Q751" s="631"/>
      <c r="R751" s="631"/>
      <c r="S751" s="631"/>
      <c r="T751" s="631"/>
      <c r="U751" s="631"/>
      <c r="V751" s="631"/>
      <c r="W751" s="631"/>
      <c r="X751" s="631"/>
      <c r="Y751" s="631"/>
      <c r="Z751" s="631"/>
    </row>
    <row r="752" spans="1:26">
      <c r="A752" s="636" t="s">
        <v>3648</v>
      </c>
      <c r="B752" s="631"/>
      <c r="C752" s="631"/>
      <c r="D752" s="631"/>
      <c r="E752" s="631"/>
      <c r="F752" s="631"/>
      <c r="G752" s="631"/>
      <c r="H752" s="652"/>
      <c r="I752" s="631"/>
      <c r="J752" s="631"/>
      <c r="K752" s="631"/>
      <c r="L752" s="631"/>
      <c r="M752" s="631"/>
      <c r="N752" s="631"/>
      <c r="O752" s="631"/>
      <c r="P752" s="631"/>
      <c r="Q752" s="631"/>
      <c r="R752" s="631"/>
      <c r="S752" s="631"/>
      <c r="T752" s="631"/>
      <c r="U752" s="631"/>
      <c r="V752" s="631"/>
      <c r="W752" s="631"/>
      <c r="X752" s="631"/>
      <c r="Y752" s="631"/>
      <c r="Z752" s="631"/>
    </row>
    <row r="753" spans="1:26">
      <c r="A753" s="636" t="s">
        <v>3648</v>
      </c>
      <c r="B753" s="631"/>
      <c r="C753" s="631"/>
      <c r="D753" s="631"/>
      <c r="E753" s="631"/>
      <c r="F753" s="631"/>
      <c r="G753" s="631"/>
      <c r="H753" s="652"/>
      <c r="I753" s="631"/>
      <c r="J753" s="631"/>
      <c r="K753" s="631"/>
      <c r="L753" s="631"/>
      <c r="M753" s="631"/>
      <c r="N753" s="631"/>
      <c r="O753" s="631"/>
      <c r="P753" s="631"/>
      <c r="Q753" s="631"/>
      <c r="R753" s="631"/>
      <c r="S753" s="631"/>
      <c r="T753" s="631"/>
      <c r="U753" s="631"/>
      <c r="V753" s="631"/>
      <c r="W753" s="631"/>
      <c r="X753" s="631"/>
      <c r="Y753" s="631"/>
      <c r="Z753" s="631"/>
    </row>
    <row r="754" spans="1:26">
      <c r="A754" s="636" t="s">
        <v>3648</v>
      </c>
      <c r="B754" s="631"/>
      <c r="C754" s="631"/>
      <c r="D754" s="631"/>
      <c r="E754" s="631"/>
      <c r="F754" s="631"/>
      <c r="G754" s="631"/>
      <c r="H754" s="652"/>
      <c r="I754" s="631"/>
      <c r="J754" s="631"/>
      <c r="K754" s="631"/>
      <c r="L754" s="631"/>
      <c r="M754" s="631"/>
      <c r="N754" s="631"/>
      <c r="O754" s="631"/>
      <c r="P754" s="631"/>
      <c r="Q754" s="631"/>
      <c r="R754" s="631"/>
      <c r="S754" s="631"/>
      <c r="T754" s="631"/>
      <c r="U754" s="631"/>
      <c r="V754" s="631"/>
      <c r="W754" s="631"/>
      <c r="X754" s="631"/>
      <c r="Y754" s="631"/>
      <c r="Z754" s="631"/>
    </row>
    <row r="755" spans="1:26">
      <c r="A755" s="636" t="s">
        <v>3648</v>
      </c>
      <c r="B755" s="631"/>
      <c r="C755" s="631"/>
      <c r="D755" s="631"/>
      <c r="E755" s="631"/>
      <c r="F755" s="631"/>
      <c r="G755" s="631"/>
      <c r="H755" s="652"/>
      <c r="I755" s="631"/>
      <c r="J755" s="631"/>
      <c r="K755" s="631"/>
      <c r="L755" s="631"/>
      <c r="M755" s="631"/>
      <c r="N755" s="631"/>
      <c r="O755" s="631"/>
      <c r="P755" s="631"/>
      <c r="Q755" s="631"/>
      <c r="R755" s="631"/>
      <c r="S755" s="631"/>
      <c r="T755" s="631"/>
      <c r="U755" s="631"/>
      <c r="V755" s="631"/>
      <c r="W755" s="631"/>
      <c r="X755" s="631"/>
      <c r="Y755" s="631"/>
      <c r="Z755" s="631"/>
    </row>
    <row r="756" spans="1:26">
      <c r="A756" s="636" t="s">
        <v>3648</v>
      </c>
      <c r="B756" s="631"/>
      <c r="C756" s="631"/>
      <c r="D756" s="631"/>
      <c r="E756" s="631"/>
      <c r="F756" s="631"/>
      <c r="G756" s="631"/>
      <c r="H756" s="652"/>
      <c r="I756" s="631"/>
      <c r="J756" s="631"/>
      <c r="K756" s="631"/>
      <c r="L756" s="631"/>
      <c r="M756" s="631"/>
      <c r="N756" s="631"/>
      <c r="O756" s="631"/>
      <c r="P756" s="631"/>
      <c r="Q756" s="631"/>
      <c r="R756" s="631"/>
      <c r="S756" s="631"/>
      <c r="T756" s="631"/>
      <c r="U756" s="631"/>
      <c r="V756" s="631"/>
      <c r="W756" s="631"/>
      <c r="X756" s="631"/>
      <c r="Y756" s="631"/>
      <c r="Z756" s="631"/>
    </row>
    <row r="757" spans="1:26">
      <c r="A757" s="636" t="s">
        <v>3648</v>
      </c>
      <c r="B757" s="631"/>
      <c r="C757" s="631"/>
      <c r="D757" s="631"/>
      <c r="E757" s="631"/>
      <c r="F757" s="631"/>
      <c r="G757" s="631"/>
      <c r="H757" s="652"/>
      <c r="I757" s="631"/>
      <c r="J757" s="631"/>
      <c r="K757" s="631"/>
      <c r="L757" s="631"/>
      <c r="M757" s="631"/>
      <c r="N757" s="631"/>
      <c r="O757" s="631"/>
      <c r="P757" s="631"/>
      <c r="Q757" s="631"/>
      <c r="R757" s="631"/>
      <c r="S757" s="631"/>
      <c r="T757" s="631"/>
      <c r="U757" s="631"/>
      <c r="V757" s="631"/>
      <c r="W757" s="631"/>
      <c r="X757" s="631"/>
      <c r="Y757" s="631"/>
      <c r="Z757" s="631"/>
    </row>
    <row r="758" spans="1:26">
      <c r="A758" s="636" t="s">
        <v>3648</v>
      </c>
      <c r="B758" s="631"/>
      <c r="C758" s="631"/>
      <c r="D758" s="631"/>
      <c r="E758" s="631"/>
      <c r="F758" s="631"/>
      <c r="G758" s="631"/>
      <c r="H758" s="652"/>
      <c r="I758" s="631"/>
      <c r="J758" s="631"/>
      <c r="K758" s="631"/>
      <c r="L758" s="631"/>
      <c r="M758" s="631"/>
      <c r="N758" s="631"/>
      <c r="O758" s="631"/>
      <c r="P758" s="631"/>
      <c r="Q758" s="631"/>
      <c r="R758" s="631"/>
      <c r="S758" s="631"/>
      <c r="T758" s="631"/>
      <c r="U758" s="631"/>
      <c r="V758" s="631"/>
      <c r="W758" s="631"/>
      <c r="X758" s="631"/>
      <c r="Y758" s="631"/>
      <c r="Z758" s="631"/>
    </row>
    <row r="759" spans="1:26">
      <c r="A759" s="636" t="s">
        <v>3648</v>
      </c>
      <c r="B759" s="631"/>
      <c r="C759" s="631"/>
      <c r="D759" s="631"/>
      <c r="E759" s="631"/>
      <c r="F759" s="631"/>
      <c r="G759" s="631"/>
      <c r="H759" s="652"/>
      <c r="I759" s="631"/>
      <c r="J759" s="631"/>
      <c r="K759" s="631"/>
      <c r="L759" s="631"/>
      <c r="M759" s="631"/>
      <c r="N759" s="631"/>
      <c r="O759" s="631"/>
      <c r="P759" s="631"/>
      <c r="Q759" s="631"/>
      <c r="R759" s="631"/>
      <c r="S759" s="631"/>
      <c r="T759" s="631"/>
      <c r="U759" s="631"/>
      <c r="V759" s="631"/>
      <c r="W759" s="631"/>
      <c r="X759" s="631"/>
      <c r="Y759" s="631"/>
      <c r="Z759" s="631"/>
    </row>
    <row r="760" spans="1:26">
      <c r="A760" s="636" t="s">
        <v>3648</v>
      </c>
      <c r="B760" s="631"/>
      <c r="C760" s="631"/>
      <c r="D760" s="631"/>
      <c r="E760" s="631"/>
      <c r="F760" s="631"/>
      <c r="G760" s="631"/>
      <c r="H760" s="652"/>
      <c r="I760" s="631"/>
      <c r="J760" s="631"/>
      <c r="K760" s="631"/>
      <c r="L760" s="631"/>
      <c r="M760" s="631"/>
      <c r="N760" s="631"/>
      <c r="O760" s="631"/>
      <c r="P760" s="631"/>
      <c r="Q760" s="631"/>
      <c r="R760" s="631"/>
      <c r="S760" s="631"/>
      <c r="T760" s="631"/>
      <c r="U760" s="631"/>
      <c r="V760" s="631"/>
      <c r="W760" s="631"/>
      <c r="X760" s="631"/>
      <c r="Y760" s="631"/>
      <c r="Z760" s="631"/>
    </row>
    <row r="761" spans="1:26">
      <c r="A761" s="636" t="s">
        <v>3648</v>
      </c>
      <c r="B761" s="631"/>
      <c r="C761" s="631"/>
      <c r="D761" s="631"/>
      <c r="E761" s="631"/>
      <c r="F761" s="631"/>
      <c r="G761" s="631"/>
      <c r="H761" s="652"/>
      <c r="I761" s="631"/>
      <c r="J761" s="631"/>
      <c r="K761" s="631"/>
      <c r="L761" s="631"/>
      <c r="M761" s="631"/>
      <c r="N761" s="631"/>
      <c r="O761" s="631"/>
      <c r="P761" s="631"/>
      <c r="Q761" s="631"/>
      <c r="R761" s="631"/>
      <c r="S761" s="631"/>
      <c r="T761" s="631"/>
      <c r="U761" s="631"/>
      <c r="V761" s="631"/>
      <c r="W761" s="631"/>
      <c r="X761" s="631"/>
      <c r="Y761" s="631"/>
      <c r="Z761" s="631"/>
    </row>
    <row r="762" spans="1:26">
      <c r="A762" s="636" t="s">
        <v>3648</v>
      </c>
      <c r="B762" s="631"/>
      <c r="C762" s="631"/>
      <c r="D762" s="631"/>
      <c r="E762" s="631"/>
      <c r="F762" s="631"/>
      <c r="G762" s="631"/>
      <c r="H762" s="652"/>
      <c r="I762" s="631"/>
      <c r="J762" s="631"/>
      <c r="K762" s="631"/>
      <c r="L762" s="631"/>
      <c r="M762" s="631"/>
      <c r="N762" s="631"/>
      <c r="O762" s="631"/>
      <c r="P762" s="631"/>
      <c r="Q762" s="631"/>
      <c r="R762" s="631"/>
      <c r="S762" s="631"/>
      <c r="T762" s="631"/>
      <c r="U762" s="631"/>
      <c r="V762" s="631"/>
      <c r="W762" s="631"/>
      <c r="X762" s="631"/>
      <c r="Y762" s="631"/>
      <c r="Z762" s="631"/>
    </row>
    <row r="763" spans="1:26">
      <c r="A763" s="636" t="s">
        <v>3648</v>
      </c>
      <c r="B763" s="631"/>
      <c r="C763" s="631"/>
      <c r="D763" s="631"/>
      <c r="E763" s="631"/>
      <c r="F763" s="631"/>
      <c r="G763" s="631"/>
      <c r="H763" s="652"/>
      <c r="I763" s="631"/>
      <c r="J763" s="631"/>
      <c r="K763" s="631"/>
      <c r="L763" s="631"/>
      <c r="M763" s="631"/>
      <c r="N763" s="631"/>
      <c r="O763" s="631"/>
      <c r="P763" s="631"/>
      <c r="Q763" s="631"/>
      <c r="R763" s="631"/>
      <c r="S763" s="631"/>
      <c r="T763" s="631"/>
      <c r="U763" s="631"/>
      <c r="V763" s="631"/>
      <c r="W763" s="631"/>
      <c r="X763" s="631"/>
      <c r="Y763" s="631"/>
      <c r="Z763" s="631"/>
    </row>
    <row r="764" spans="1:26">
      <c r="A764" s="636" t="s">
        <v>3648</v>
      </c>
      <c r="B764" s="631"/>
      <c r="C764" s="631"/>
      <c r="D764" s="631"/>
      <c r="E764" s="631"/>
      <c r="F764" s="631"/>
      <c r="G764" s="631"/>
      <c r="H764" s="652"/>
      <c r="I764" s="631"/>
      <c r="J764" s="631"/>
      <c r="K764" s="631"/>
      <c r="L764" s="631"/>
      <c r="M764" s="631"/>
      <c r="N764" s="631"/>
      <c r="O764" s="631"/>
      <c r="P764" s="631"/>
      <c r="Q764" s="631"/>
      <c r="R764" s="631"/>
      <c r="S764" s="631"/>
      <c r="T764" s="631"/>
      <c r="U764" s="631"/>
      <c r="V764" s="631"/>
      <c r="W764" s="631"/>
      <c r="X764" s="631"/>
      <c r="Y764" s="631"/>
      <c r="Z764" s="631"/>
    </row>
    <row r="765" spans="1:26">
      <c r="A765" s="636" t="s">
        <v>3648</v>
      </c>
      <c r="B765" s="631"/>
      <c r="C765" s="631"/>
      <c r="D765" s="631"/>
      <c r="E765" s="631"/>
      <c r="F765" s="631"/>
      <c r="G765" s="631"/>
      <c r="H765" s="652"/>
      <c r="I765" s="631"/>
      <c r="J765" s="631"/>
      <c r="K765" s="631"/>
      <c r="L765" s="631"/>
      <c r="M765" s="631"/>
      <c r="N765" s="631"/>
      <c r="O765" s="631"/>
      <c r="P765" s="631"/>
      <c r="Q765" s="631"/>
      <c r="R765" s="631"/>
      <c r="S765" s="631"/>
      <c r="T765" s="631"/>
      <c r="U765" s="631"/>
      <c r="V765" s="631"/>
      <c r="W765" s="631"/>
      <c r="X765" s="631"/>
      <c r="Y765" s="631"/>
      <c r="Z765" s="631"/>
    </row>
    <row r="766" spans="1:26">
      <c r="A766" s="636" t="s">
        <v>3648</v>
      </c>
      <c r="B766" s="631"/>
      <c r="C766" s="631"/>
      <c r="D766" s="631"/>
      <c r="E766" s="631"/>
      <c r="F766" s="631"/>
      <c r="G766" s="631"/>
      <c r="H766" s="652"/>
      <c r="I766" s="631"/>
      <c r="J766" s="631"/>
      <c r="K766" s="631"/>
      <c r="L766" s="631"/>
      <c r="M766" s="631"/>
      <c r="N766" s="631"/>
      <c r="O766" s="631"/>
      <c r="P766" s="631"/>
      <c r="Q766" s="631"/>
      <c r="R766" s="631"/>
      <c r="S766" s="631"/>
      <c r="T766" s="631"/>
      <c r="U766" s="631"/>
      <c r="V766" s="631"/>
      <c r="W766" s="631"/>
      <c r="X766" s="631"/>
      <c r="Y766" s="631"/>
      <c r="Z766" s="631"/>
    </row>
    <row r="767" spans="1:26">
      <c r="A767" s="636" t="s">
        <v>3648</v>
      </c>
      <c r="B767" s="631"/>
      <c r="C767" s="631"/>
      <c r="D767" s="631"/>
      <c r="E767" s="631"/>
      <c r="F767" s="631"/>
      <c r="G767" s="631"/>
      <c r="H767" s="652"/>
      <c r="I767" s="631"/>
      <c r="J767" s="631"/>
      <c r="K767" s="631"/>
      <c r="L767" s="631"/>
      <c r="M767" s="631"/>
      <c r="N767" s="631"/>
      <c r="O767" s="631"/>
      <c r="P767" s="631"/>
      <c r="Q767" s="631"/>
      <c r="R767" s="631"/>
      <c r="S767" s="631"/>
      <c r="T767" s="631"/>
      <c r="U767" s="631"/>
      <c r="V767" s="631"/>
      <c r="W767" s="631"/>
      <c r="X767" s="631"/>
      <c r="Y767" s="631"/>
      <c r="Z767" s="631"/>
    </row>
    <row r="768" spans="1:26">
      <c r="A768" s="636" t="s">
        <v>3648</v>
      </c>
      <c r="B768" s="631"/>
      <c r="C768" s="631"/>
      <c r="D768" s="631"/>
      <c r="E768" s="631"/>
      <c r="F768" s="631"/>
      <c r="G768" s="631"/>
      <c r="H768" s="652"/>
      <c r="I768" s="631"/>
      <c r="J768" s="631"/>
      <c r="K768" s="631"/>
      <c r="L768" s="631"/>
      <c r="M768" s="631"/>
      <c r="N768" s="631"/>
      <c r="O768" s="631"/>
      <c r="P768" s="631"/>
      <c r="Q768" s="631"/>
      <c r="R768" s="631"/>
      <c r="S768" s="631"/>
      <c r="T768" s="631"/>
      <c r="U768" s="631"/>
      <c r="V768" s="631"/>
      <c r="W768" s="631"/>
      <c r="X768" s="631"/>
      <c r="Y768" s="631"/>
      <c r="Z768" s="631"/>
    </row>
    <row r="769" spans="1:26">
      <c r="A769" s="636" t="s">
        <v>3648</v>
      </c>
      <c r="B769" s="631"/>
      <c r="C769" s="631"/>
      <c r="D769" s="631"/>
      <c r="E769" s="631"/>
      <c r="F769" s="631"/>
      <c r="G769" s="631"/>
      <c r="H769" s="652"/>
      <c r="I769" s="631"/>
      <c r="J769" s="631"/>
      <c r="K769" s="631"/>
      <c r="L769" s="631"/>
      <c r="M769" s="631"/>
      <c r="N769" s="631"/>
      <c r="O769" s="631"/>
      <c r="P769" s="631"/>
      <c r="Q769" s="631"/>
      <c r="R769" s="631"/>
      <c r="S769" s="631"/>
      <c r="T769" s="631"/>
      <c r="U769" s="631"/>
      <c r="V769" s="631"/>
      <c r="W769" s="631"/>
      <c r="X769" s="631"/>
      <c r="Y769" s="631"/>
      <c r="Z769" s="631"/>
    </row>
    <row r="770" spans="1:26">
      <c r="A770" s="636" t="s">
        <v>3648</v>
      </c>
      <c r="B770" s="631"/>
      <c r="C770" s="631"/>
      <c r="D770" s="631"/>
      <c r="E770" s="631"/>
      <c r="F770" s="631"/>
      <c r="G770" s="631"/>
      <c r="H770" s="652"/>
      <c r="I770" s="631"/>
      <c r="J770" s="631"/>
      <c r="K770" s="631"/>
      <c r="L770" s="631"/>
      <c r="M770" s="631"/>
      <c r="N770" s="631"/>
      <c r="O770" s="631"/>
      <c r="P770" s="631"/>
      <c r="Q770" s="631"/>
      <c r="R770" s="631"/>
      <c r="S770" s="631"/>
      <c r="T770" s="631"/>
      <c r="U770" s="631"/>
      <c r="V770" s="631"/>
      <c r="W770" s="631"/>
      <c r="X770" s="631"/>
      <c r="Y770" s="631"/>
      <c r="Z770" s="631"/>
    </row>
    <row r="771" spans="1:26">
      <c r="A771" s="636" t="s">
        <v>3648</v>
      </c>
      <c r="B771" s="631"/>
      <c r="C771" s="631"/>
      <c r="D771" s="631"/>
      <c r="E771" s="631"/>
      <c r="F771" s="631"/>
      <c r="G771" s="631"/>
      <c r="H771" s="652"/>
      <c r="I771" s="631"/>
      <c r="J771" s="631"/>
      <c r="K771" s="631"/>
      <c r="L771" s="631"/>
      <c r="M771" s="631"/>
      <c r="N771" s="631"/>
      <c r="O771" s="631"/>
      <c r="P771" s="631"/>
      <c r="Q771" s="631"/>
      <c r="R771" s="631"/>
      <c r="S771" s="631"/>
      <c r="T771" s="631"/>
      <c r="U771" s="631"/>
      <c r="V771" s="631"/>
      <c r="W771" s="631"/>
      <c r="X771" s="631"/>
      <c r="Y771" s="631"/>
      <c r="Z771" s="631"/>
    </row>
    <row r="772" spans="1:26">
      <c r="A772" s="636" t="s">
        <v>3648</v>
      </c>
      <c r="B772" s="631"/>
      <c r="C772" s="631"/>
      <c r="D772" s="631"/>
      <c r="E772" s="631"/>
      <c r="F772" s="631"/>
      <c r="G772" s="631"/>
      <c r="H772" s="652"/>
      <c r="I772" s="631"/>
      <c r="J772" s="631"/>
      <c r="K772" s="631"/>
      <c r="L772" s="631"/>
      <c r="M772" s="631"/>
      <c r="N772" s="631"/>
      <c r="O772" s="631"/>
      <c r="P772" s="631"/>
      <c r="Q772" s="631"/>
      <c r="R772" s="631"/>
      <c r="S772" s="631"/>
      <c r="T772" s="631"/>
      <c r="U772" s="631"/>
      <c r="V772" s="631"/>
      <c r="W772" s="631"/>
      <c r="X772" s="631"/>
      <c r="Y772" s="631"/>
      <c r="Z772" s="631"/>
    </row>
    <row r="773" spans="1:26">
      <c r="A773" s="636" t="s">
        <v>3648</v>
      </c>
      <c r="B773" s="631"/>
      <c r="C773" s="631"/>
      <c r="D773" s="631"/>
      <c r="E773" s="631"/>
      <c r="F773" s="631"/>
      <c r="G773" s="631"/>
      <c r="H773" s="652"/>
      <c r="I773" s="631"/>
      <c r="J773" s="631"/>
      <c r="K773" s="631"/>
      <c r="L773" s="631"/>
      <c r="M773" s="631"/>
      <c r="N773" s="631"/>
      <c r="O773" s="631"/>
      <c r="P773" s="631"/>
      <c r="Q773" s="631"/>
      <c r="R773" s="631"/>
      <c r="S773" s="631"/>
      <c r="T773" s="631"/>
      <c r="U773" s="631"/>
      <c r="V773" s="631"/>
      <c r="W773" s="631"/>
      <c r="X773" s="631"/>
      <c r="Y773" s="631"/>
      <c r="Z773" s="631"/>
    </row>
    <row r="774" spans="1:26">
      <c r="A774" s="636" t="s">
        <v>3648</v>
      </c>
      <c r="B774" s="631"/>
      <c r="C774" s="631"/>
      <c r="D774" s="631"/>
      <c r="E774" s="631"/>
      <c r="F774" s="631"/>
      <c r="G774" s="631"/>
      <c r="H774" s="652"/>
      <c r="I774" s="631"/>
      <c r="J774" s="631"/>
      <c r="K774" s="631"/>
      <c r="L774" s="631"/>
      <c r="M774" s="631"/>
      <c r="N774" s="631"/>
      <c r="O774" s="631"/>
      <c r="P774" s="631"/>
      <c r="Q774" s="631"/>
      <c r="R774" s="631"/>
      <c r="S774" s="631"/>
      <c r="T774" s="631"/>
      <c r="U774" s="631"/>
      <c r="V774" s="631"/>
      <c r="W774" s="631"/>
      <c r="X774" s="631"/>
      <c r="Y774" s="631"/>
      <c r="Z774" s="631"/>
    </row>
    <row r="775" spans="1:26">
      <c r="A775" s="636" t="s">
        <v>3648</v>
      </c>
      <c r="B775" s="631"/>
      <c r="C775" s="631"/>
      <c r="D775" s="631"/>
      <c r="E775" s="631"/>
      <c r="F775" s="631"/>
      <c r="G775" s="631"/>
      <c r="H775" s="652"/>
      <c r="I775" s="631"/>
      <c r="J775" s="631"/>
      <c r="K775" s="631"/>
      <c r="L775" s="631"/>
      <c r="M775" s="631"/>
      <c r="N775" s="631"/>
      <c r="O775" s="631"/>
      <c r="P775" s="631"/>
      <c r="Q775" s="631"/>
      <c r="R775" s="631"/>
      <c r="S775" s="631"/>
      <c r="T775" s="631"/>
      <c r="U775" s="631"/>
      <c r="V775" s="631"/>
      <c r="W775" s="631"/>
      <c r="X775" s="631"/>
      <c r="Y775" s="631"/>
      <c r="Z775" s="631"/>
    </row>
    <row r="776" spans="1:26">
      <c r="A776" s="636" t="s">
        <v>3648</v>
      </c>
      <c r="B776" s="631"/>
      <c r="C776" s="631"/>
      <c r="D776" s="631"/>
      <c r="E776" s="631"/>
      <c r="F776" s="631"/>
      <c r="G776" s="631"/>
      <c r="H776" s="652"/>
      <c r="I776" s="631"/>
      <c r="J776" s="631"/>
      <c r="K776" s="631"/>
      <c r="L776" s="631"/>
      <c r="M776" s="631"/>
      <c r="N776" s="631"/>
      <c r="O776" s="631"/>
      <c r="P776" s="631"/>
      <c r="Q776" s="631"/>
      <c r="R776" s="631"/>
      <c r="S776" s="631"/>
      <c r="T776" s="631"/>
      <c r="U776" s="631"/>
      <c r="V776" s="631"/>
      <c r="W776" s="631"/>
      <c r="X776" s="631"/>
      <c r="Y776" s="631"/>
      <c r="Z776" s="631"/>
    </row>
    <row r="777" spans="1:26">
      <c r="A777" s="636" t="s">
        <v>3648</v>
      </c>
      <c r="B777" s="631"/>
      <c r="C777" s="631"/>
      <c r="D777" s="631"/>
      <c r="E777" s="631"/>
      <c r="F777" s="631"/>
      <c r="G777" s="631"/>
      <c r="H777" s="652"/>
      <c r="I777" s="631"/>
      <c r="J777" s="631"/>
      <c r="K777" s="631"/>
      <c r="L777" s="631"/>
      <c r="M777" s="631"/>
      <c r="N777" s="631"/>
      <c r="O777" s="631"/>
      <c r="P777" s="631"/>
      <c r="Q777" s="631"/>
      <c r="R777" s="631"/>
      <c r="S777" s="631"/>
      <c r="T777" s="631"/>
      <c r="U777" s="631"/>
      <c r="V777" s="631"/>
      <c r="W777" s="631"/>
      <c r="X777" s="631"/>
      <c r="Y777" s="631"/>
      <c r="Z777" s="631"/>
    </row>
    <row r="778" spans="1:26">
      <c r="A778" s="636" t="s">
        <v>3648</v>
      </c>
      <c r="B778" s="631"/>
      <c r="C778" s="631"/>
      <c r="D778" s="631"/>
      <c r="E778" s="631"/>
      <c r="F778" s="631"/>
      <c r="G778" s="631"/>
      <c r="H778" s="652"/>
      <c r="I778" s="631"/>
      <c r="J778" s="631"/>
      <c r="K778" s="631"/>
      <c r="L778" s="631"/>
      <c r="M778" s="631"/>
      <c r="N778" s="631"/>
      <c r="O778" s="631"/>
      <c r="P778" s="631"/>
      <c r="Q778" s="631"/>
      <c r="R778" s="631"/>
      <c r="S778" s="631"/>
      <c r="T778" s="631"/>
      <c r="U778" s="631"/>
      <c r="V778" s="631"/>
      <c r="W778" s="631"/>
      <c r="X778" s="631"/>
      <c r="Y778" s="631"/>
      <c r="Z778" s="631"/>
    </row>
    <row r="779" spans="1:26">
      <c r="A779" s="636" t="s">
        <v>3648</v>
      </c>
      <c r="B779" s="631"/>
      <c r="C779" s="631"/>
      <c r="D779" s="631"/>
      <c r="E779" s="631"/>
      <c r="F779" s="631"/>
      <c r="G779" s="631"/>
      <c r="H779" s="652"/>
      <c r="I779" s="631"/>
      <c r="J779" s="631"/>
      <c r="K779" s="631"/>
      <c r="L779" s="631"/>
      <c r="M779" s="631"/>
      <c r="N779" s="631"/>
      <c r="O779" s="631"/>
      <c r="P779" s="631"/>
      <c r="Q779" s="631"/>
      <c r="R779" s="631"/>
      <c r="S779" s="631"/>
      <c r="T779" s="631"/>
      <c r="U779" s="631"/>
      <c r="V779" s="631"/>
      <c r="W779" s="631"/>
      <c r="X779" s="631"/>
      <c r="Y779" s="631"/>
      <c r="Z779" s="631"/>
    </row>
    <row r="780" spans="1:26">
      <c r="A780" s="636" t="s">
        <v>3648</v>
      </c>
      <c r="B780" s="631"/>
      <c r="C780" s="631"/>
      <c r="D780" s="631"/>
      <c r="E780" s="631"/>
      <c r="F780" s="631"/>
      <c r="G780" s="631"/>
      <c r="H780" s="652"/>
      <c r="I780" s="631"/>
      <c r="J780" s="631"/>
      <c r="K780" s="631"/>
      <c r="L780" s="631"/>
      <c r="M780" s="631"/>
      <c r="N780" s="631"/>
      <c r="O780" s="631"/>
      <c r="P780" s="631"/>
      <c r="Q780" s="631"/>
      <c r="R780" s="631"/>
      <c r="S780" s="631"/>
      <c r="T780" s="631"/>
      <c r="U780" s="631"/>
      <c r="V780" s="631"/>
      <c r="W780" s="631"/>
      <c r="X780" s="631"/>
      <c r="Y780" s="631"/>
      <c r="Z780" s="631"/>
    </row>
    <row r="781" spans="1:26">
      <c r="A781" s="636" t="s">
        <v>3648</v>
      </c>
      <c r="B781" s="631"/>
      <c r="C781" s="631"/>
      <c r="D781" s="631"/>
      <c r="E781" s="631"/>
      <c r="F781" s="631"/>
      <c r="G781" s="631"/>
      <c r="H781" s="652"/>
      <c r="I781" s="631"/>
      <c r="J781" s="631"/>
      <c r="K781" s="631"/>
      <c r="L781" s="631"/>
      <c r="M781" s="631"/>
      <c r="N781" s="631"/>
      <c r="O781" s="631"/>
      <c r="P781" s="631"/>
      <c r="Q781" s="631"/>
      <c r="R781" s="631"/>
      <c r="S781" s="631"/>
      <c r="T781" s="631"/>
      <c r="U781" s="631"/>
      <c r="V781" s="631"/>
      <c r="W781" s="631"/>
      <c r="X781" s="631"/>
      <c r="Y781" s="631"/>
      <c r="Z781" s="631"/>
    </row>
    <row r="782" spans="1:26">
      <c r="A782" s="636" t="s">
        <v>3648</v>
      </c>
      <c r="B782" s="631"/>
      <c r="C782" s="631"/>
      <c r="D782" s="631"/>
      <c r="E782" s="631"/>
      <c r="F782" s="631"/>
      <c r="G782" s="631"/>
      <c r="H782" s="652"/>
      <c r="I782" s="631"/>
      <c r="J782" s="631"/>
      <c r="K782" s="631"/>
      <c r="L782" s="631"/>
      <c r="M782" s="631"/>
      <c r="N782" s="631"/>
      <c r="O782" s="631"/>
      <c r="P782" s="631"/>
      <c r="Q782" s="631"/>
      <c r="R782" s="631"/>
      <c r="S782" s="631"/>
      <c r="T782" s="631"/>
      <c r="U782" s="631"/>
      <c r="V782" s="631"/>
      <c r="W782" s="631"/>
      <c r="X782" s="631"/>
      <c r="Y782" s="631"/>
      <c r="Z782" s="631"/>
    </row>
    <row r="783" spans="1:26">
      <c r="A783" s="636" t="s">
        <v>3648</v>
      </c>
      <c r="B783" s="631"/>
      <c r="C783" s="631"/>
      <c r="D783" s="631"/>
      <c r="E783" s="631"/>
      <c r="F783" s="631"/>
      <c r="G783" s="631"/>
      <c r="H783" s="652"/>
      <c r="I783" s="631"/>
      <c r="J783" s="631"/>
      <c r="K783" s="631"/>
      <c r="L783" s="631"/>
      <c r="M783" s="631"/>
      <c r="N783" s="631"/>
      <c r="O783" s="631"/>
      <c r="P783" s="631"/>
      <c r="Q783" s="631"/>
      <c r="R783" s="631"/>
      <c r="S783" s="631"/>
      <c r="T783" s="631"/>
      <c r="U783" s="631"/>
      <c r="V783" s="631"/>
      <c r="W783" s="631"/>
      <c r="X783" s="631"/>
      <c r="Y783" s="631"/>
      <c r="Z783" s="631"/>
    </row>
    <row r="784" spans="1:26">
      <c r="A784" s="636" t="s">
        <v>3648</v>
      </c>
      <c r="B784" s="631"/>
      <c r="C784" s="631"/>
      <c r="D784" s="631"/>
      <c r="E784" s="631"/>
      <c r="F784" s="631"/>
      <c r="G784" s="631"/>
      <c r="H784" s="652"/>
      <c r="I784" s="631"/>
      <c r="J784" s="631"/>
      <c r="K784" s="631"/>
      <c r="L784" s="631"/>
      <c r="M784" s="631"/>
      <c r="N784" s="631"/>
      <c r="O784" s="631"/>
      <c r="P784" s="631"/>
      <c r="Q784" s="631"/>
      <c r="R784" s="631"/>
      <c r="S784" s="631"/>
      <c r="T784" s="631"/>
      <c r="U784" s="631"/>
      <c r="V784" s="631"/>
      <c r="W784" s="631"/>
      <c r="X784" s="631"/>
      <c r="Y784" s="631"/>
      <c r="Z784" s="631"/>
    </row>
    <row r="785" spans="1:26">
      <c r="A785" s="636" t="s">
        <v>3648</v>
      </c>
      <c r="B785" s="631"/>
      <c r="C785" s="631"/>
      <c r="D785" s="631"/>
      <c r="E785" s="631"/>
      <c r="F785" s="631"/>
      <c r="G785" s="631"/>
      <c r="H785" s="652"/>
      <c r="I785" s="631"/>
      <c r="J785" s="631"/>
      <c r="K785" s="631"/>
      <c r="L785" s="631"/>
      <c r="M785" s="631"/>
      <c r="N785" s="631"/>
      <c r="O785" s="631"/>
      <c r="P785" s="631"/>
      <c r="Q785" s="631"/>
      <c r="R785" s="631"/>
      <c r="S785" s="631"/>
      <c r="T785" s="631"/>
      <c r="U785" s="631"/>
      <c r="V785" s="631"/>
      <c r="W785" s="631"/>
      <c r="X785" s="631"/>
      <c r="Y785" s="631"/>
      <c r="Z785" s="631"/>
    </row>
    <row r="786" spans="1:26">
      <c r="A786" s="636" t="s">
        <v>3648</v>
      </c>
      <c r="B786" s="631"/>
      <c r="C786" s="631"/>
      <c r="D786" s="631"/>
      <c r="E786" s="631"/>
      <c r="F786" s="631"/>
      <c r="G786" s="631"/>
      <c r="H786" s="652"/>
      <c r="I786" s="631"/>
      <c r="J786" s="631"/>
      <c r="K786" s="631"/>
      <c r="L786" s="631"/>
      <c r="M786" s="631"/>
      <c r="N786" s="631"/>
      <c r="O786" s="631"/>
      <c r="P786" s="631"/>
      <c r="Q786" s="631"/>
      <c r="R786" s="631"/>
      <c r="S786" s="631"/>
      <c r="T786" s="631"/>
      <c r="U786" s="631"/>
      <c r="V786" s="631"/>
      <c r="W786" s="631"/>
      <c r="X786" s="631"/>
      <c r="Y786" s="631"/>
      <c r="Z786" s="631"/>
    </row>
    <row r="787" spans="1:26">
      <c r="A787" s="636" t="s">
        <v>3648</v>
      </c>
      <c r="B787" s="631"/>
      <c r="C787" s="631"/>
      <c r="D787" s="631"/>
      <c r="E787" s="631"/>
      <c r="F787" s="631"/>
      <c r="G787" s="631"/>
      <c r="H787" s="652"/>
      <c r="I787" s="631"/>
      <c r="J787" s="631"/>
      <c r="K787" s="631"/>
      <c r="L787" s="631"/>
      <c r="M787" s="631"/>
      <c r="N787" s="631"/>
      <c r="O787" s="631"/>
      <c r="P787" s="631"/>
      <c r="Q787" s="631"/>
      <c r="R787" s="631"/>
      <c r="S787" s="631"/>
      <c r="T787" s="631"/>
      <c r="U787" s="631"/>
      <c r="V787" s="631"/>
      <c r="W787" s="631"/>
      <c r="X787" s="631"/>
      <c r="Y787" s="631"/>
      <c r="Z787" s="631"/>
    </row>
    <row r="788" spans="1:26">
      <c r="A788" s="636" t="s">
        <v>3648</v>
      </c>
      <c r="B788" s="631"/>
      <c r="C788" s="631"/>
      <c r="D788" s="631"/>
      <c r="E788" s="631"/>
      <c r="F788" s="631"/>
      <c r="G788" s="631"/>
      <c r="H788" s="652"/>
      <c r="I788" s="631"/>
      <c r="J788" s="631"/>
      <c r="K788" s="631"/>
      <c r="L788" s="631"/>
      <c r="M788" s="631"/>
      <c r="N788" s="631"/>
      <c r="O788" s="631"/>
      <c r="P788" s="631"/>
      <c r="Q788" s="631"/>
      <c r="R788" s="631"/>
      <c r="S788" s="631"/>
      <c r="T788" s="631"/>
      <c r="U788" s="631"/>
      <c r="V788" s="631"/>
      <c r="W788" s="631"/>
      <c r="X788" s="631"/>
      <c r="Y788" s="631"/>
      <c r="Z788" s="631"/>
    </row>
    <row r="789" spans="1:26">
      <c r="A789" s="636" t="s">
        <v>3648</v>
      </c>
      <c r="B789" s="631"/>
      <c r="C789" s="631"/>
      <c r="D789" s="631"/>
      <c r="E789" s="631"/>
      <c r="F789" s="631"/>
      <c r="G789" s="631"/>
      <c r="H789" s="652"/>
      <c r="I789" s="631"/>
      <c r="J789" s="631"/>
      <c r="K789" s="631"/>
      <c r="L789" s="631"/>
      <c r="M789" s="631"/>
      <c r="N789" s="631"/>
      <c r="O789" s="631"/>
      <c r="P789" s="631"/>
      <c r="Q789" s="631"/>
      <c r="R789" s="631"/>
      <c r="S789" s="631"/>
      <c r="T789" s="631"/>
      <c r="U789" s="631"/>
      <c r="V789" s="631"/>
      <c r="W789" s="631"/>
      <c r="X789" s="631"/>
      <c r="Y789" s="631"/>
      <c r="Z789" s="631"/>
    </row>
    <row r="790" spans="1:26">
      <c r="A790" s="636" t="s">
        <v>3648</v>
      </c>
      <c r="B790" s="631"/>
      <c r="C790" s="631"/>
      <c r="D790" s="631"/>
      <c r="E790" s="631"/>
      <c r="F790" s="631"/>
      <c r="G790" s="631"/>
      <c r="H790" s="652"/>
      <c r="I790" s="631"/>
      <c r="J790" s="631"/>
      <c r="K790" s="631"/>
      <c r="L790" s="631"/>
      <c r="M790" s="631"/>
      <c r="N790" s="631"/>
      <c r="O790" s="631"/>
      <c r="P790" s="631"/>
      <c r="Q790" s="631"/>
      <c r="R790" s="631"/>
      <c r="S790" s="631"/>
      <c r="T790" s="631"/>
      <c r="U790" s="631"/>
      <c r="V790" s="631"/>
      <c r="W790" s="631"/>
      <c r="X790" s="631"/>
      <c r="Y790" s="631"/>
      <c r="Z790" s="631"/>
    </row>
    <row r="791" spans="1:26">
      <c r="A791" s="636" t="s">
        <v>3648</v>
      </c>
      <c r="B791" s="631"/>
      <c r="C791" s="631"/>
      <c r="D791" s="631"/>
      <c r="E791" s="631"/>
      <c r="F791" s="631"/>
      <c r="G791" s="631"/>
      <c r="H791" s="652"/>
      <c r="I791" s="631"/>
      <c r="J791" s="631"/>
      <c r="K791" s="631"/>
      <c r="L791" s="631"/>
      <c r="M791" s="631"/>
      <c r="N791" s="631"/>
      <c r="O791" s="631"/>
      <c r="P791" s="631"/>
      <c r="Q791" s="631"/>
      <c r="R791" s="631"/>
      <c r="S791" s="631"/>
      <c r="T791" s="631"/>
      <c r="U791" s="631"/>
      <c r="V791" s="631"/>
      <c r="W791" s="631"/>
      <c r="X791" s="631"/>
      <c r="Y791" s="631"/>
      <c r="Z791" s="631"/>
    </row>
    <row r="792" spans="1:26">
      <c r="A792" s="636" t="s">
        <v>3648</v>
      </c>
      <c r="B792" s="631"/>
      <c r="C792" s="631"/>
      <c r="D792" s="631"/>
      <c r="E792" s="631"/>
      <c r="F792" s="631"/>
      <c r="G792" s="631"/>
      <c r="H792" s="652"/>
      <c r="I792" s="631"/>
      <c r="J792" s="631"/>
      <c r="K792" s="631"/>
      <c r="L792" s="631"/>
      <c r="M792" s="631"/>
      <c r="N792" s="631"/>
      <c r="O792" s="631"/>
      <c r="P792" s="631"/>
      <c r="Q792" s="631"/>
      <c r="R792" s="631"/>
      <c r="S792" s="631"/>
      <c r="T792" s="631"/>
      <c r="U792" s="631"/>
      <c r="V792" s="631"/>
      <c r="W792" s="631"/>
      <c r="X792" s="631"/>
      <c r="Y792" s="631"/>
      <c r="Z792" s="631"/>
    </row>
    <row r="793" spans="1:26">
      <c r="A793" s="636" t="s">
        <v>3648</v>
      </c>
      <c r="B793" s="631"/>
      <c r="C793" s="631"/>
      <c r="D793" s="631"/>
      <c r="E793" s="631"/>
      <c r="F793" s="631"/>
      <c r="G793" s="631"/>
      <c r="H793" s="652"/>
      <c r="I793" s="631"/>
      <c r="J793" s="631"/>
      <c r="K793" s="631"/>
      <c r="L793" s="631"/>
      <c r="M793" s="631"/>
      <c r="N793" s="631"/>
      <c r="O793" s="631"/>
      <c r="P793" s="631"/>
      <c r="Q793" s="631"/>
      <c r="R793" s="631"/>
      <c r="S793" s="631"/>
      <c r="T793" s="631"/>
      <c r="U793" s="631"/>
      <c r="V793" s="631"/>
      <c r="W793" s="631"/>
      <c r="X793" s="631"/>
      <c r="Y793" s="631"/>
      <c r="Z793" s="631"/>
    </row>
    <row r="794" spans="1:26">
      <c r="A794" s="636" t="s">
        <v>3648</v>
      </c>
      <c r="B794" s="631"/>
      <c r="C794" s="631"/>
      <c r="D794" s="631"/>
      <c r="E794" s="631"/>
      <c r="F794" s="631"/>
      <c r="G794" s="631"/>
      <c r="H794" s="652"/>
      <c r="I794" s="631"/>
      <c r="J794" s="631"/>
      <c r="K794" s="631"/>
      <c r="L794" s="631"/>
      <c r="M794" s="631"/>
      <c r="N794" s="631"/>
      <c r="O794" s="631"/>
      <c r="P794" s="631"/>
      <c r="Q794" s="631"/>
      <c r="R794" s="631"/>
      <c r="S794" s="631"/>
      <c r="T794" s="631"/>
      <c r="U794" s="631"/>
      <c r="V794" s="631"/>
      <c r="W794" s="631"/>
      <c r="X794" s="631"/>
      <c r="Y794" s="631"/>
      <c r="Z794" s="631"/>
    </row>
    <row r="795" spans="1:26">
      <c r="A795" s="636" t="s">
        <v>3648</v>
      </c>
      <c r="B795" s="631"/>
      <c r="C795" s="631"/>
      <c r="D795" s="631"/>
      <c r="E795" s="631"/>
      <c r="F795" s="631"/>
      <c r="G795" s="631"/>
      <c r="H795" s="652"/>
      <c r="I795" s="631"/>
      <c r="J795" s="631"/>
      <c r="K795" s="631"/>
      <c r="L795" s="631"/>
      <c r="M795" s="631"/>
      <c r="N795" s="631"/>
      <c r="O795" s="631"/>
      <c r="P795" s="631"/>
      <c r="Q795" s="631"/>
      <c r="R795" s="631"/>
      <c r="S795" s="631"/>
      <c r="T795" s="631"/>
      <c r="U795" s="631"/>
      <c r="V795" s="631"/>
      <c r="W795" s="631"/>
      <c r="X795" s="631"/>
      <c r="Y795" s="631"/>
      <c r="Z795" s="631"/>
    </row>
    <row r="796" spans="1:26">
      <c r="A796" s="636" t="s">
        <v>3648</v>
      </c>
      <c r="B796" s="631"/>
      <c r="C796" s="631"/>
      <c r="D796" s="631"/>
      <c r="E796" s="631"/>
      <c r="F796" s="631"/>
      <c r="G796" s="631"/>
      <c r="H796" s="652"/>
      <c r="I796" s="631"/>
      <c r="J796" s="631"/>
      <c r="K796" s="631"/>
      <c r="L796" s="631"/>
      <c r="M796" s="631"/>
      <c r="N796" s="631"/>
      <c r="O796" s="631"/>
      <c r="P796" s="631"/>
      <c r="Q796" s="631"/>
      <c r="R796" s="631"/>
      <c r="S796" s="631"/>
      <c r="T796" s="631"/>
      <c r="U796" s="631"/>
      <c r="V796" s="631"/>
      <c r="W796" s="631"/>
      <c r="X796" s="631"/>
      <c r="Y796" s="631"/>
      <c r="Z796" s="631"/>
    </row>
    <row r="797" spans="1:26">
      <c r="A797" s="636" t="s">
        <v>3648</v>
      </c>
      <c r="B797" s="631"/>
      <c r="C797" s="631"/>
      <c r="D797" s="631"/>
      <c r="E797" s="631"/>
      <c r="F797" s="631"/>
      <c r="G797" s="631"/>
      <c r="H797" s="652"/>
      <c r="I797" s="631"/>
      <c r="J797" s="631"/>
      <c r="K797" s="631"/>
      <c r="L797" s="631"/>
      <c r="M797" s="631"/>
      <c r="N797" s="631"/>
      <c r="O797" s="631"/>
      <c r="P797" s="631"/>
      <c r="Q797" s="631"/>
      <c r="R797" s="631"/>
      <c r="S797" s="631"/>
      <c r="T797" s="631"/>
      <c r="U797" s="631"/>
      <c r="V797" s="631"/>
      <c r="W797" s="631"/>
      <c r="X797" s="631"/>
      <c r="Y797" s="631"/>
      <c r="Z797" s="631"/>
    </row>
    <row r="798" spans="1:26">
      <c r="A798" s="636" t="s">
        <v>3648</v>
      </c>
      <c r="B798" s="631"/>
      <c r="C798" s="631"/>
      <c r="D798" s="631"/>
      <c r="E798" s="631"/>
      <c r="F798" s="631"/>
      <c r="G798" s="631"/>
      <c r="H798" s="652"/>
      <c r="I798" s="631"/>
      <c r="J798" s="631"/>
      <c r="K798" s="631"/>
      <c r="L798" s="631"/>
      <c r="M798" s="631"/>
      <c r="N798" s="631"/>
      <c r="O798" s="631"/>
      <c r="P798" s="631"/>
      <c r="Q798" s="631"/>
      <c r="R798" s="631"/>
      <c r="S798" s="631"/>
      <c r="T798" s="631"/>
      <c r="U798" s="631"/>
      <c r="V798" s="631"/>
      <c r="W798" s="631"/>
      <c r="X798" s="631"/>
      <c r="Y798" s="631"/>
      <c r="Z798" s="631"/>
    </row>
    <row r="799" spans="1:26">
      <c r="A799" s="636" t="s">
        <v>3648</v>
      </c>
      <c r="B799" s="631"/>
      <c r="C799" s="631"/>
      <c r="D799" s="631"/>
      <c r="E799" s="631"/>
      <c r="F799" s="631"/>
      <c r="G799" s="631"/>
      <c r="H799" s="652"/>
      <c r="I799" s="631"/>
      <c r="J799" s="631"/>
      <c r="K799" s="631"/>
      <c r="L799" s="631"/>
      <c r="M799" s="631"/>
      <c r="N799" s="631"/>
      <c r="O799" s="631"/>
      <c r="P799" s="631"/>
      <c r="Q799" s="631"/>
      <c r="R799" s="631"/>
      <c r="S799" s="631"/>
      <c r="T799" s="631"/>
      <c r="U799" s="631"/>
      <c r="V799" s="631"/>
      <c r="W799" s="631"/>
      <c r="X799" s="631"/>
      <c r="Y799" s="631"/>
      <c r="Z799" s="631"/>
    </row>
    <row r="800" spans="1:26">
      <c r="A800" s="636" t="s">
        <v>3648</v>
      </c>
      <c r="B800" s="631"/>
      <c r="C800" s="631"/>
      <c r="D800" s="631"/>
      <c r="E800" s="631"/>
      <c r="F800" s="631"/>
      <c r="G800" s="631"/>
      <c r="H800" s="652"/>
      <c r="I800" s="631"/>
      <c r="J800" s="631"/>
      <c r="K800" s="631"/>
      <c r="L800" s="631"/>
      <c r="M800" s="631"/>
      <c r="N800" s="631"/>
      <c r="O800" s="631"/>
      <c r="P800" s="631"/>
      <c r="Q800" s="631"/>
      <c r="R800" s="631"/>
      <c r="S800" s="631"/>
      <c r="T800" s="631"/>
      <c r="U800" s="631"/>
      <c r="V800" s="631"/>
      <c r="W800" s="631"/>
      <c r="X800" s="631"/>
      <c r="Y800" s="631"/>
      <c r="Z800" s="631"/>
    </row>
    <row r="801" spans="1:26">
      <c r="A801" s="636" t="s">
        <v>3648</v>
      </c>
      <c r="B801" s="631"/>
      <c r="C801" s="631"/>
      <c r="D801" s="631"/>
      <c r="E801" s="631"/>
      <c r="F801" s="631"/>
      <c r="G801" s="631"/>
      <c r="H801" s="652"/>
      <c r="I801" s="631"/>
      <c r="J801" s="631"/>
      <c r="K801" s="631"/>
      <c r="L801" s="631"/>
      <c r="M801" s="631"/>
      <c r="N801" s="631"/>
      <c r="O801" s="631"/>
      <c r="P801" s="631"/>
      <c r="Q801" s="631"/>
      <c r="R801" s="631"/>
      <c r="S801" s="631"/>
      <c r="T801" s="631"/>
      <c r="U801" s="631"/>
      <c r="V801" s="631"/>
      <c r="W801" s="631"/>
      <c r="X801" s="631"/>
      <c r="Y801" s="631"/>
      <c r="Z801" s="631"/>
    </row>
    <row r="802" spans="1:26">
      <c r="A802" s="636" t="s">
        <v>3648</v>
      </c>
      <c r="B802" s="631"/>
      <c r="C802" s="631"/>
      <c r="D802" s="631"/>
      <c r="E802" s="631"/>
      <c r="F802" s="631"/>
      <c r="G802" s="631"/>
      <c r="H802" s="652"/>
      <c r="I802" s="631"/>
      <c r="J802" s="631"/>
      <c r="K802" s="631"/>
      <c r="L802" s="631"/>
      <c r="M802" s="631"/>
      <c r="N802" s="631"/>
      <c r="O802" s="631"/>
      <c r="P802" s="631"/>
      <c r="Q802" s="631"/>
      <c r="R802" s="631"/>
      <c r="S802" s="631"/>
      <c r="T802" s="631"/>
      <c r="U802" s="631"/>
      <c r="V802" s="631"/>
      <c r="W802" s="631"/>
      <c r="X802" s="631"/>
      <c r="Y802" s="631"/>
      <c r="Z802" s="631"/>
    </row>
    <row r="803" spans="1:26">
      <c r="A803" s="636" t="s">
        <v>3648</v>
      </c>
      <c r="B803" s="631"/>
      <c r="C803" s="631"/>
      <c r="D803" s="631"/>
      <c r="E803" s="631"/>
      <c r="F803" s="631"/>
      <c r="G803" s="631"/>
      <c r="H803" s="652"/>
      <c r="I803" s="631"/>
      <c r="J803" s="631"/>
      <c r="K803" s="631"/>
      <c r="L803" s="631"/>
      <c r="M803" s="631"/>
      <c r="N803" s="631"/>
      <c r="O803" s="631"/>
      <c r="P803" s="631"/>
      <c r="Q803" s="631"/>
      <c r="R803" s="631"/>
      <c r="S803" s="631"/>
      <c r="T803" s="631"/>
      <c r="U803" s="631"/>
      <c r="V803" s="631"/>
      <c r="W803" s="631"/>
      <c r="X803" s="631"/>
      <c r="Y803" s="631"/>
      <c r="Z803" s="631"/>
    </row>
    <row r="804" spans="1:26">
      <c r="A804" s="636" t="s">
        <v>3648</v>
      </c>
      <c r="B804" s="631"/>
      <c r="C804" s="631"/>
      <c r="D804" s="631"/>
      <c r="E804" s="631"/>
      <c r="F804" s="631"/>
      <c r="G804" s="631"/>
      <c r="H804" s="652"/>
      <c r="I804" s="631"/>
      <c r="J804" s="631"/>
      <c r="K804" s="631"/>
      <c r="L804" s="631"/>
      <c r="M804" s="631"/>
      <c r="N804" s="631"/>
      <c r="O804" s="631"/>
      <c r="P804" s="631"/>
      <c r="Q804" s="631"/>
      <c r="R804" s="631"/>
      <c r="S804" s="631"/>
      <c r="T804" s="631"/>
      <c r="U804" s="631"/>
      <c r="V804" s="631"/>
      <c r="W804" s="631"/>
      <c r="X804" s="631"/>
      <c r="Y804" s="631"/>
      <c r="Z804" s="631"/>
    </row>
    <row r="805" spans="1:26">
      <c r="A805" s="636" t="s">
        <v>3648</v>
      </c>
      <c r="B805" s="631"/>
      <c r="C805" s="631"/>
      <c r="D805" s="631"/>
      <c r="E805" s="631"/>
      <c r="F805" s="631"/>
      <c r="G805" s="631"/>
      <c r="H805" s="652"/>
      <c r="I805" s="631"/>
      <c r="J805" s="631"/>
      <c r="K805" s="631"/>
      <c r="L805" s="631"/>
      <c r="M805" s="631"/>
      <c r="N805" s="631"/>
      <c r="O805" s="631"/>
      <c r="P805" s="631"/>
      <c r="Q805" s="631"/>
      <c r="R805" s="631"/>
      <c r="S805" s="631"/>
      <c r="T805" s="631"/>
      <c r="U805" s="631"/>
      <c r="V805" s="631"/>
      <c r="W805" s="631"/>
      <c r="X805" s="631"/>
      <c r="Y805" s="631"/>
      <c r="Z805" s="631"/>
    </row>
    <row r="806" spans="1:26">
      <c r="A806" s="636" t="s">
        <v>3648</v>
      </c>
      <c r="B806" s="631"/>
      <c r="C806" s="631"/>
      <c r="D806" s="631"/>
      <c r="E806" s="631"/>
      <c r="F806" s="631"/>
      <c r="G806" s="631"/>
      <c r="H806" s="652"/>
      <c r="I806" s="631"/>
      <c r="J806" s="631"/>
      <c r="K806" s="631"/>
      <c r="L806" s="631"/>
      <c r="M806" s="631"/>
      <c r="N806" s="631"/>
      <c r="O806" s="631"/>
      <c r="P806" s="631"/>
      <c r="Q806" s="631"/>
      <c r="R806" s="631"/>
      <c r="S806" s="631"/>
      <c r="T806" s="631"/>
      <c r="U806" s="631"/>
      <c r="V806" s="631"/>
      <c r="W806" s="631"/>
      <c r="X806" s="631"/>
      <c r="Y806" s="631"/>
      <c r="Z806" s="631"/>
    </row>
    <row r="807" spans="1:26">
      <c r="A807" s="636" t="s">
        <v>3648</v>
      </c>
      <c r="B807" s="631"/>
      <c r="C807" s="631"/>
      <c r="D807" s="631"/>
      <c r="E807" s="631"/>
      <c r="F807" s="631"/>
      <c r="G807" s="631"/>
      <c r="H807" s="652"/>
      <c r="I807" s="631"/>
      <c r="J807" s="631"/>
      <c r="K807" s="631"/>
      <c r="L807" s="631"/>
      <c r="M807" s="631"/>
      <c r="N807" s="631"/>
      <c r="O807" s="631"/>
      <c r="P807" s="631"/>
      <c r="Q807" s="631"/>
      <c r="R807" s="631"/>
      <c r="S807" s="631"/>
      <c r="T807" s="631"/>
      <c r="U807" s="631"/>
      <c r="V807" s="631"/>
      <c r="W807" s="631"/>
      <c r="X807" s="631"/>
      <c r="Y807" s="631"/>
      <c r="Z807" s="631"/>
    </row>
    <row r="808" spans="1:26">
      <c r="A808" s="636" t="s">
        <v>3648</v>
      </c>
      <c r="B808" s="631"/>
      <c r="C808" s="631"/>
      <c r="D808" s="631"/>
      <c r="E808" s="631"/>
      <c r="F808" s="631"/>
      <c r="G808" s="631"/>
      <c r="H808" s="652"/>
      <c r="I808" s="631"/>
      <c r="J808" s="631"/>
      <c r="K808" s="631"/>
      <c r="L808" s="631"/>
      <c r="M808" s="631"/>
      <c r="N808" s="631"/>
      <c r="O808" s="631"/>
      <c r="P808" s="631"/>
      <c r="Q808" s="631"/>
      <c r="R808" s="631"/>
      <c r="S808" s="631"/>
      <c r="T808" s="631"/>
      <c r="U808" s="631"/>
      <c r="V808" s="631"/>
      <c r="W808" s="631"/>
      <c r="X808" s="631"/>
      <c r="Y808" s="631"/>
      <c r="Z808" s="631"/>
    </row>
    <row r="809" spans="1:26">
      <c r="A809" s="636" t="s">
        <v>3648</v>
      </c>
      <c r="B809" s="631"/>
      <c r="C809" s="631"/>
      <c r="D809" s="631"/>
      <c r="E809" s="631"/>
      <c r="F809" s="631"/>
      <c r="G809" s="631"/>
      <c r="H809" s="652"/>
      <c r="I809" s="631"/>
      <c r="J809" s="631"/>
      <c r="K809" s="631"/>
      <c r="L809" s="631"/>
      <c r="M809" s="631"/>
      <c r="N809" s="631"/>
      <c r="O809" s="631"/>
      <c r="P809" s="631"/>
      <c r="Q809" s="631"/>
      <c r="R809" s="631"/>
      <c r="S809" s="631"/>
      <c r="T809" s="631"/>
      <c r="U809" s="631"/>
      <c r="V809" s="631"/>
      <c r="W809" s="631"/>
      <c r="X809" s="631"/>
      <c r="Y809" s="631"/>
      <c r="Z809" s="631"/>
    </row>
    <row r="810" spans="1:26">
      <c r="A810" s="636" t="s">
        <v>3648</v>
      </c>
      <c r="B810" s="631"/>
      <c r="C810" s="631"/>
      <c r="D810" s="631"/>
      <c r="E810" s="631"/>
      <c r="F810" s="631"/>
      <c r="G810" s="631"/>
      <c r="H810" s="652"/>
      <c r="I810" s="631"/>
      <c r="J810" s="631"/>
      <c r="K810" s="631"/>
      <c r="L810" s="631"/>
      <c r="M810" s="631"/>
      <c r="N810" s="631"/>
      <c r="O810" s="631"/>
      <c r="P810" s="631"/>
      <c r="Q810" s="631"/>
      <c r="R810" s="631"/>
      <c r="S810" s="631"/>
      <c r="T810" s="631"/>
      <c r="U810" s="631"/>
      <c r="V810" s="631"/>
      <c r="W810" s="631"/>
      <c r="X810" s="631"/>
      <c r="Y810" s="631"/>
      <c r="Z810" s="631"/>
    </row>
    <row r="811" spans="1:26">
      <c r="A811" s="636" t="s">
        <v>3648</v>
      </c>
      <c r="B811" s="631"/>
      <c r="C811" s="631"/>
      <c r="D811" s="631"/>
      <c r="E811" s="631"/>
      <c r="F811" s="631"/>
      <c r="G811" s="631"/>
      <c r="H811" s="652"/>
      <c r="I811" s="631"/>
      <c r="J811" s="631"/>
      <c r="K811" s="631"/>
      <c r="L811" s="631"/>
      <c r="M811" s="631"/>
      <c r="N811" s="631"/>
      <c r="O811" s="631"/>
      <c r="P811" s="631"/>
      <c r="Q811" s="631"/>
      <c r="R811" s="631"/>
      <c r="S811" s="631"/>
      <c r="T811" s="631"/>
      <c r="U811" s="631"/>
      <c r="V811" s="631"/>
      <c r="W811" s="631"/>
      <c r="X811" s="631"/>
      <c r="Y811" s="631"/>
      <c r="Z811" s="631"/>
    </row>
    <row r="812" spans="1:26">
      <c r="A812" s="636" t="s">
        <v>3648</v>
      </c>
      <c r="B812" s="631"/>
      <c r="C812" s="631"/>
      <c r="D812" s="631"/>
      <c r="E812" s="631"/>
      <c r="F812" s="631"/>
      <c r="G812" s="631"/>
      <c r="H812" s="652"/>
      <c r="I812" s="631"/>
      <c r="J812" s="631"/>
      <c r="K812" s="631"/>
      <c r="L812" s="631"/>
      <c r="M812" s="631"/>
      <c r="N812" s="631"/>
      <c r="O812" s="631"/>
      <c r="P812" s="631"/>
      <c r="Q812" s="631"/>
      <c r="R812" s="631"/>
      <c r="S812" s="631"/>
      <c r="T812" s="631"/>
      <c r="U812" s="631"/>
      <c r="V812" s="631"/>
      <c r="W812" s="631"/>
      <c r="X812" s="631"/>
      <c r="Y812" s="631"/>
      <c r="Z812" s="631"/>
    </row>
    <row r="813" spans="1:26">
      <c r="A813" s="636" t="s">
        <v>3648</v>
      </c>
      <c r="B813" s="631"/>
      <c r="C813" s="631"/>
      <c r="D813" s="631"/>
      <c r="E813" s="631"/>
      <c r="F813" s="631"/>
      <c r="G813" s="631"/>
      <c r="H813" s="652"/>
      <c r="I813" s="631"/>
      <c r="J813" s="631"/>
      <c r="K813" s="631"/>
      <c r="L813" s="631"/>
      <c r="M813" s="631"/>
      <c r="N813" s="631"/>
      <c r="O813" s="631"/>
      <c r="P813" s="631"/>
      <c r="Q813" s="631"/>
      <c r="R813" s="631"/>
      <c r="S813" s="631"/>
      <c r="T813" s="631"/>
      <c r="U813" s="631"/>
      <c r="V813" s="631"/>
      <c r="W813" s="631"/>
      <c r="X813" s="631"/>
      <c r="Y813" s="631"/>
      <c r="Z813" s="631"/>
    </row>
    <row r="814" spans="1:26">
      <c r="A814" s="636" t="s">
        <v>3648</v>
      </c>
      <c r="B814" s="631"/>
      <c r="C814" s="631"/>
      <c r="D814" s="631"/>
      <c r="E814" s="631"/>
      <c r="F814" s="631"/>
      <c r="G814" s="631"/>
      <c r="H814" s="652"/>
      <c r="I814" s="631"/>
      <c r="J814" s="631"/>
      <c r="K814" s="631"/>
      <c r="L814" s="631"/>
      <c r="M814" s="631"/>
      <c r="N814" s="631"/>
      <c r="O814" s="631"/>
      <c r="P814" s="631"/>
      <c r="Q814" s="631"/>
      <c r="R814" s="631"/>
      <c r="S814" s="631"/>
      <c r="T814" s="631"/>
      <c r="U814" s="631"/>
      <c r="V814" s="631"/>
      <c r="W814" s="631"/>
      <c r="X814" s="631"/>
      <c r="Y814" s="631"/>
      <c r="Z814" s="631"/>
    </row>
    <row r="815" spans="1:26">
      <c r="A815" s="636" t="s">
        <v>3648</v>
      </c>
      <c r="B815" s="631"/>
      <c r="C815" s="631"/>
      <c r="D815" s="631"/>
      <c r="E815" s="631"/>
      <c r="F815" s="631"/>
      <c r="G815" s="631"/>
      <c r="H815" s="652"/>
      <c r="I815" s="631"/>
      <c r="J815" s="631"/>
      <c r="K815" s="631"/>
      <c r="L815" s="631"/>
      <c r="M815" s="631"/>
      <c r="N815" s="631"/>
      <c r="O815" s="631"/>
      <c r="P815" s="631"/>
      <c r="Q815" s="631"/>
      <c r="R815" s="631"/>
      <c r="S815" s="631"/>
      <c r="T815" s="631"/>
      <c r="U815" s="631"/>
      <c r="V815" s="631"/>
      <c r="W815" s="631"/>
      <c r="X815" s="631"/>
      <c r="Y815" s="631"/>
      <c r="Z815" s="631"/>
    </row>
    <row r="816" spans="1:26">
      <c r="A816" s="636" t="s">
        <v>3648</v>
      </c>
      <c r="B816" s="631"/>
      <c r="C816" s="631"/>
      <c r="D816" s="631"/>
      <c r="E816" s="631"/>
      <c r="F816" s="631"/>
      <c r="G816" s="631"/>
      <c r="H816" s="652"/>
      <c r="I816" s="631"/>
      <c r="J816" s="631"/>
      <c r="K816" s="631"/>
      <c r="L816" s="631"/>
      <c r="M816" s="631"/>
      <c r="N816" s="631"/>
      <c r="O816" s="631"/>
      <c r="P816" s="631"/>
      <c r="Q816" s="631"/>
      <c r="R816" s="631"/>
      <c r="S816" s="631"/>
      <c r="T816" s="631"/>
      <c r="U816" s="631"/>
      <c r="V816" s="631"/>
      <c r="W816" s="631"/>
      <c r="X816" s="631"/>
      <c r="Y816" s="631"/>
      <c r="Z816" s="631"/>
    </row>
    <row r="817" spans="1:26">
      <c r="A817" s="636" t="s">
        <v>3648</v>
      </c>
      <c r="B817" s="631"/>
      <c r="C817" s="631"/>
      <c r="D817" s="631"/>
      <c r="E817" s="631"/>
      <c r="F817" s="631"/>
      <c r="G817" s="631"/>
      <c r="H817" s="652"/>
      <c r="I817" s="631"/>
      <c r="J817" s="631"/>
      <c r="K817" s="631"/>
      <c r="L817" s="631"/>
      <c r="M817" s="631"/>
      <c r="N817" s="631"/>
      <c r="O817" s="631"/>
      <c r="P817" s="631"/>
      <c r="Q817" s="631"/>
      <c r="R817" s="631"/>
      <c r="S817" s="631"/>
      <c r="T817" s="631"/>
      <c r="U817" s="631"/>
      <c r="V817" s="631"/>
      <c r="W817" s="631"/>
      <c r="X817" s="631"/>
      <c r="Y817" s="631"/>
      <c r="Z817" s="631"/>
    </row>
    <row r="818" spans="1:26">
      <c r="A818" s="636" t="s">
        <v>3648</v>
      </c>
      <c r="B818" s="631"/>
      <c r="C818" s="631"/>
      <c r="D818" s="631"/>
      <c r="E818" s="631"/>
      <c r="F818" s="631"/>
      <c r="G818" s="631"/>
      <c r="H818" s="652"/>
      <c r="I818" s="631"/>
      <c r="J818" s="631"/>
      <c r="K818" s="631"/>
      <c r="L818" s="631"/>
      <c r="M818" s="631"/>
      <c r="N818" s="631"/>
      <c r="O818" s="631"/>
      <c r="P818" s="631"/>
      <c r="Q818" s="631"/>
      <c r="R818" s="631"/>
      <c r="S818" s="631"/>
      <c r="T818" s="631"/>
      <c r="U818" s="631"/>
      <c r="V818" s="631"/>
      <c r="W818" s="631"/>
      <c r="X818" s="631"/>
      <c r="Y818" s="631"/>
      <c r="Z818" s="631"/>
    </row>
    <row r="819" spans="1:26">
      <c r="A819" s="636" t="s">
        <v>3648</v>
      </c>
      <c r="B819" s="631"/>
      <c r="C819" s="631"/>
      <c r="D819" s="631"/>
      <c r="E819" s="631"/>
      <c r="F819" s="631"/>
      <c r="G819" s="631"/>
      <c r="H819" s="652"/>
      <c r="I819" s="631"/>
      <c r="J819" s="631"/>
      <c r="K819" s="631"/>
      <c r="L819" s="631"/>
      <c r="M819" s="631"/>
      <c r="N819" s="631"/>
      <c r="O819" s="631"/>
      <c r="P819" s="631"/>
      <c r="Q819" s="631"/>
      <c r="R819" s="631"/>
      <c r="S819" s="631"/>
      <c r="T819" s="631"/>
      <c r="U819" s="631"/>
      <c r="V819" s="631"/>
      <c r="W819" s="631"/>
      <c r="X819" s="631"/>
      <c r="Y819" s="631"/>
      <c r="Z819" s="631"/>
    </row>
    <row r="820" spans="1:26">
      <c r="A820" s="636" t="s">
        <v>3648</v>
      </c>
      <c r="B820" s="631"/>
      <c r="C820" s="631"/>
      <c r="D820" s="631"/>
      <c r="E820" s="631"/>
      <c r="F820" s="631"/>
      <c r="G820" s="631"/>
      <c r="H820" s="652"/>
      <c r="I820" s="631"/>
      <c r="J820" s="631"/>
      <c r="K820" s="631"/>
      <c r="L820" s="631"/>
      <c r="M820" s="631"/>
      <c r="N820" s="631"/>
      <c r="O820" s="631"/>
      <c r="P820" s="631"/>
      <c r="Q820" s="631"/>
      <c r="R820" s="631"/>
      <c r="S820" s="631"/>
      <c r="T820" s="631"/>
      <c r="U820" s="631"/>
      <c r="V820" s="631"/>
      <c r="W820" s="631"/>
      <c r="X820" s="631"/>
      <c r="Y820" s="631"/>
      <c r="Z820" s="631"/>
    </row>
    <row r="821" spans="1:26">
      <c r="A821" s="636" t="s">
        <v>3648</v>
      </c>
      <c r="B821" s="631"/>
      <c r="C821" s="631"/>
      <c r="D821" s="631"/>
      <c r="E821" s="631"/>
      <c r="F821" s="631"/>
      <c r="G821" s="631"/>
      <c r="H821" s="652"/>
      <c r="I821" s="631"/>
      <c r="J821" s="631"/>
      <c r="K821" s="631"/>
      <c r="L821" s="631"/>
      <c r="M821" s="631"/>
      <c r="N821" s="631"/>
      <c r="O821" s="631"/>
      <c r="P821" s="631"/>
      <c r="Q821" s="631"/>
      <c r="R821" s="631"/>
      <c r="S821" s="631"/>
      <c r="T821" s="631"/>
      <c r="U821" s="631"/>
      <c r="V821" s="631"/>
      <c r="W821" s="631"/>
      <c r="X821" s="631"/>
      <c r="Y821" s="631"/>
      <c r="Z821" s="631"/>
    </row>
    <row r="822" spans="1:26">
      <c r="A822" s="636" t="s">
        <v>3648</v>
      </c>
      <c r="B822" s="631"/>
      <c r="C822" s="631"/>
      <c r="D822" s="631"/>
      <c r="E822" s="631"/>
      <c r="F822" s="631"/>
      <c r="G822" s="631"/>
      <c r="H822" s="652"/>
      <c r="I822" s="631"/>
      <c r="J822" s="631"/>
      <c r="K822" s="631"/>
      <c r="L822" s="631"/>
      <c r="M822" s="631"/>
      <c r="N822" s="631"/>
      <c r="O822" s="631"/>
      <c r="P822" s="631"/>
      <c r="Q822" s="631"/>
      <c r="R822" s="631"/>
      <c r="S822" s="631"/>
      <c r="T822" s="631"/>
      <c r="U822" s="631"/>
      <c r="V822" s="631"/>
      <c r="W822" s="631"/>
      <c r="X822" s="631"/>
      <c r="Y822" s="631"/>
      <c r="Z822" s="631"/>
    </row>
    <row r="823" spans="1:26">
      <c r="A823" s="636" t="s">
        <v>3648</v>
      </c>
      <c r="B823" s="631"/>
      <c r="C823" s="631"/>
      <c r="D823" s="631"/>
      <c r="E823" s="631"/>
      <c r="F823" s="631"/>
      <c r="G823" s="631"/>
      <c r="H823" s="652"/>
      <c r="I823" s="631"/>
      <c r="J823" s="631"/>
      <c r="K823" s="631"/>
      <c r="L823" s="631"/>
      <c r="M823" s="631"/>
      <c r="N823" s="631"/>
      <c r="O823" s="631"/>
      <c r="P823" s="631"/>
      <c r="Q823" s="631"/>
      <c r="R823" s="631"/>
      <c r="S823" s="631"/>
      <c r="T823" s="631"/>
      <c r="U823" s="631"/>
      <c r="V823" s="631"/>
      <c r="W823" s="631"/>
      <c r="X823" s="631"/>
      <c r="Y823" s="631"/>
      <c r="Z823" s="631"/>
    </row>
    <row r="824" spans="1:26">
      <c r="A824" s="636" t="s">
        <v>3648</v>
      </c>
      <c r="B824" s="631"/>
      <c r="C824" s="631"/>
      <c r="D824" s="631"/>
      <c r="E824" s="631"/>
      <c r="F824" s="631"/>
      <c r="G824" s="631"/>
      <c r="H824" s="652"/>
      <c r="I824" s="631"/>
      <c r="J824" s="631"/>
      <c r="K824" s="631"/>
      <c r="L824" s="631"/>
      <c r="M824" s="631"/>
      <c r="N824" s="631"/>
      <c r="O824" s="631"/>
      <c r="P824" s="631"/>
      <c r="Q824" s="631"/>
      <c r="R824" s="631"/>
      <c r="S824" s="631"/>
      <c r="T824" s="631"/>
      <c r="U824" s="631"/>
      <c r="V824" s="631"/>
      <c r="W824" s="631"/>
      <c r="X824" s="631"/>
      <c r="Y824" s="631"/>
      <c r="Z824" s="631"/>
    </row>
    <row r="825" spans="1:26">
      <c r="A825" s="636" t="s">
        <v>3648</v>
      </c>
      <c r="B825" s="631"/>
      <c r="C825" s="631"/>
      <c r="D825" s="631"/>
      <c r="E825" s="631"/>
      <c r="F825" s="631"/>
      <c r="G825" s="631"/>
      <c r="H825" s="652"/>
      <c r="I825" s="631"/>
      <c r="J825" s="631"/>
      <c r="K825" s="631"/>
      <c r="L825" s="631"/>
      <c r="M825" s="631"/>
      <c r="N825" s="631"/>
      <c r="O825" s="631"/>
      <c r="P825" s="631"/>
      <c r="Q825" s="631"/>
      <c r="R825" s="631"/>
      <c r="S825" s="631"/>
      <c r="T825" s="631"/>
      <c r="U825" s="631"/>
      <c r="V825" s="631"/>
      <c r="W825" s="631"/>
      <c r="X825" s="631"/>
      <c r="Y825" s="631"/>
      <c r="Z825" s="631"/>
    </row>
    <row r="826" spans="1:26">
      <c r="A826" s="636" t="s">
        <v>3648</v>
      </c>
      <c r="B826" s="631"/>
      <c r="C826" s="631"/>
      <c r="D826" s="631"/>
      <c r="E826" s="631"/>
      <c r="F826" s="631"/>
      <c r="G826" s="631"/>
      <c r="H826" s="652"/>
      <c r="I826" s="631"/>
      <c r="J826" s="631"/>
      <c r="K826" s="631"/>
      <c r="L826" s="631"/>
      <c r="M826" s="631"/>
      <c r="N826" s="631"/>
      <c r="O826" s="631"/>
      <c r="P826" s="631"/>
      <c r="Q826" s="631"/>
      <c r="R826" s="631"/>
      <c r="S826" s="631"/>
      <c r="T826" s="631"/>
      <c r="U826" s="631"/>
      <c r="V826" s="631"/>
      <c r="W826" s="631"/>
      <c r="X826" s="631"/>
      <c r="Y826" s="631"/>
      <c r="Z826" s="631"/>
    </row>
    <row r="827" spans="1:26">
      <c r="A827" s="636" t="s">
        <v>3648</v>
      </c>
      <c r="B827" s="631"/>
      <c r="C827" s="631"/>
      <c r="D827" s="631"/>
      <c r="E827" s="631"/>
      <c r="F827" s="631"/>
      <c r="G827" s="631"/>
      <c r="H827" s="652"/>
      <c r="I827" s="631"/>
      <c r="J827" s="631"/>
      <c r="K827" s="631"/>
      <c r="L827" s="631"/>
      <c r="M827" s="631"/>
      <c r="N827" s="631"/>
      <c r="O827" s="631"/>
      <c r="P827" s="631"/>
      <c r="Q827" s="631"/>
      <c r="R827" s="631"/>
      <c r="S827" s="631"/>
      <c r="T827" s="631"/>
      <c r="U827" s="631"/>
      <c r="V827" s="631"/>
      <c r="W827" s="631"/>
      <c r="X827" s="631"/>
      <c r="Y827" s="631"/>
      <c r="Z827" s="631"/>
    </row>
    <row r="828" spans="1:26">
      <c r="A828" s="636" t="s">
        <v>3648</v>
      </c>
      <c r="B828" s="631"/>
      <c r="C828" s="631"/>
      <c r="D828" s="631"/>
      <c r="E828" s="631"/>
      <c r="F828" s="631"/>
      <c r="G828" s="631"/>
      <c r="H828" s="652"/>
      <c r="I828" s="631"/>
      <c r="J828" s="631"/>
      <c r="K828" s="631"/>
      <c r="L828" s="631"/>
      <c r="M828" s="631"/>
      <c r="N828" s="631"/>
      <c r="O828" s="631"/>
      <c r="P828" s="631"/>
      <c r="Q828" s="631"/>
      <c r="R828" s="631"/>
      <c r="S828" s="631"/>
      <c r="T828" s="631"/>
      <c r="U828" s="631"/>
      <c r="V828" s="631"/>
      <c r="W828" s="631"/>
      <c r="X828" s="631"/>
      <c r="Y828" s="631"/>
      <c r="Z828" s="631"/>
    </row>
    <row r="829" spans="1:26">
      <c r="A829" s="636" t="s">
        <v>3648</v>
      </c>
      <c r="B829" s="631"/>
      <c r="C829" s="631"/>
      <c r="D829" s="631"/>
      <c r="E829" s="631"/>
      <c r="F829" s="631"/>
      <c r="G829" s="631"/>
      <c r="H829" s="652"/>
      <c r="I829" s="631"/>
      <c r="J829" s="631"/>
      <c r="K829" s="631"/>
      <c r="L829" s="631"/>
      <c r="M829" s="631"/>
      <c r="N829" s="631"/>
      <c r="O829" s="631"/>
      <c r="P829" s="631"/>
      <c r="Q829" s="631"/>
      <c r="R829" s="631"/>
      <c r="S829" s="631"/>
      <c r="T829" s="631"/>
      <c r="U829" s="631"/>
      <c r="V829" s="631"/>
      <c r="W829" s="631"/>
      <c r="X829" s="631"/>
      <c r="Y829" s="631"/>
      <c r="Z829" s="631"/>
    </row>
    <row r="830" spans="1:26">
      <c r="A830" s="636" t="s">
        <v>3648</v>
      </c>
      <c r="B830" s="631"/>
      <c r="C830" s="631"/>
      <c r="D830" s="631"/>
      <c r="E830" s="631"/>
      <c r="F830" s="631"/>
      <c r="G830" s="631"/>
      <c r="H830" s="652"/>
      <c r="I830" s="631"/>
      <c r="J830" s="631"/>
      <c r="K830" s="631"/>
      <c r="L830" s="631"/>
      <c r="M830" s="631"/>
      <c r="N830" s="631"/>
      <c r="O830" s="631"/>
      <c r="P830" s="631"/>
      <c r="Q830" s="631"/>
      <c r="R830" s="631"/>
      <c r="S830" s="631"/>
      <c r="T830" s="631"/>
      <c r="U830" s="631"/>
      <c r="V830" s="631"/>
      <c r="W830" s="631"/>
      <c r="X830" s="631"/>
      <c r="Y830" s="631"/>
      <c r="Z830" s="631"/>
    </row>
    <row r="831" spans="1:26">
      <c r="A831" s="636" t="s">
        <v>3648</v>
      </c>
      <c r="B831" s="631"/>
      <c r="C831" s="631"/>
      <c r="D831" s="631"/>
      <c r="E831" s="631"/>
      <c r="F831" s="631"/>
      <c r="G831" s="631"/>
      <c r="H831" s="652"/>
      <c r="I831" s="631"/>
      <c r="J831" s="631"/>
      <c r="K831" s="631"/>
      <c r="L831" s="631"/>
      <c r="M831" s="631"/>
      <c r="N831" s="631"/>
      <c r="O831" s="631"/>
      <c r="P831" s="631"/>
      <c r="Q831" s="631"/>
      <c r="R831" s="631"/>
      <c r="S831" s="631"/>
      <c r="T831" s="631"/>
      <c r="U831" s="631"/>
      <c r="V831" s="631"/>
      <c r="W831" s="631"/>
      <c r="X831" s="631"/>
      <c r="Y831" s="631"/>
      <c r="Z831" s="631"/>
    </row>
    <row r="832" spans="1:26">
      <c r="A832" s="636" t="s">
        <v>3648</v>
      </c>
      <c r="B832" s="631"/>
      <c r="C832" s="631"/>
      <c r="D832" s="631"/>
      <c r="E832" s="631"/>
      <c r="F832" s="631"/>
      <c r="G832" s="631"/>
      <c r="H832" s="652"/>
      <c r="I832" s="631"/>
      <c r="J832" s="631"/>
      <c r="K832" s="631"/>
      <c r="L832" s="631"/>
      <c r="M832" s="631"/>
      <c r="N832" s="631"/>
      <c r="O832" s="631"/>
      <c r="P832" s="631"/>
      <c r="Q832" s="631"/>
      <c r="R832" s="631"/>
      <c r="S832" s="631"/>
      <c r="T832" s="631"/>
      <c r="U832" s="631"/>
      <c r="V832" s="631"/>
      <c r="W832" s="631"/>
      <c r="X832" s="631"/>
      <c r="Y832" s="631"/>
      <c r="Z832" s="631"/>
    </row>
    <row r="833" spans="1:26">
      <c r="A833" s="636" t="s">
        <v>3648</v>
      </c>
      <c r="B833" s="631"/>
      <c r="C833" s="631"/>
      <c r="D833" s="631"/>
      <c r="E833" s="631"/>
      <c r="F833" s="631"/>
      <c r="G833" s="631"/>
      <c r="H833" s="652"/>
      <c r="I833" s="631"/>
      <c r="J833" s="631"/>
      <c r="K833" s="631"/>
      <c r="L833" s="631"/>
      <c r="M833" s="631"/>
      <c r="N833" s="631"/>
      <c r="O833" s="631"/>
      <c r="P833" s="631"/>
      <c r="Q833" s="631"/>
      <c r="R833" s="631"/>
      <c r="S833" s="631"/>
      <c r="T833" s="631"/>
      <c r="U833" s="631"/>
      <c r="V833" s="631"/>
      <c r="W833" s="631"/>
      <c r="X833" s="631"/>
      <c r="Y833" s="631"/>
      <c r="Z833" s="631"/>
    </row>
    <row r="834" spans="1:26">
      <c r="A834" s="636" t="s">
        <v>3648</v>
      </c>
      <c r="B834" s="631"/>
      <c r="C834" s="631"/>
      <c r="D834" s="631"/>
      <c r="E834" s="631"/>
      <c r="F834" s="631"/>
      <c r="G834" s="631"/>
      <c r="H834" s="652"/>
      <c r="I834" s="631"/>
      <c r="J834" s="631"/>
      <c r="K834" s="631"/>
      <c r="L834" s="631"/>
      <c r="M834" s="631"/>
      <c r="N834" s="631"/>
      <c r="O834" s="631"/>
      <c r="P834" s="631"/>
      <c r="Q834" s="631"/>
      <c r="R834" s="631"/>
      <c r="S834" s="631"/>
      <c r="T834" s="631"/>
      <c r="U834" s="631"/>
      <c r="V834" s="631"/>
      <c r="W834" s="631"/>
      <c r="X834" s="631"/>
      <c r="Y834" s="631"/>
      <c r="Z834" s="631"/>
    </row>
    <row r="835" spans="1:26">
      <c r="A835" s="636" t="s">
        <v>3648</v>
      </c>
      <c r="B835" s="631"/>
      <c r="C835" s="631"/>
      <c r="D835" s="631"/>
      <c r="E835" s="631"/>
      <c r="F835" s="631"/>
      <c r="G835" s="631"/>
      <c r="H835" s="652"/>
      <c r="I835" s="631"/>
      <c r="J835" s="631"/>
      <c r="K835" s="631"/>
      <c r="L835" s="631"/>
      <c r="M835" s="631"/>
      <c r="N835" s="631"/>
      <c r="O835" s="631"/>
      <c r="P835" s="631"/>
      <c r="Q835" s="631"/>
      <c r="R835" s="631"/>
      <c r="S835" s="631"/>
      <c r="T835" s="631"/>
      <c r="U835" s="631"/>
      <c r="V835" s="631"/>
      <c r="W835" s="631"/>
      <c r="X835" s="631"/>
      <c r="Y835" s="631"/>
      <c r="Z835" s="631"/>
    </row>
    <row r="836" spans="1:26">
      <c r="A836" s="636" t="s">
        <v>3648</v>
      </c>
      <c r="B836" s="631"/>
      <c r="C836" s="631"/>
      <c r="D836" s="631"/>
      <c r="E836" s="631"/>
      <c r="F836" s="631"/>
      <c r="G836" s="631"/>
      <c r="H836" s="652"/>
      <c r="I836" s="631"/>
      <c r="J836" s="631"/>
      <c r="K836" s="631"/>
      <c r="L836" s="631"/>
      <c r="M836" s="631"/>
      <c r="N836" s="631"/>
      <c r="O836" s="631"/>
      <c r="P836" s="631"/>
      <c r="Q836" s="631"/>
      <c r="R836" s="631"/>
      <c r="S836" s="631"/>
      <c r="T836" s="631"/>
      <c r="U836" s="631"/>
      <c r="V836" s="631"/>
      <c r="W836" s="631"/>
      <c r="X836" s="631"/>
      <c r="Y836" s="631"/>
      <c r="Z836" s="631"/>
    </row>
    <row r="837" spans="1:26">
      <c r="A837" s="636" t="s">
        <v>3648</v>
      </c>
      <c r="B837" s="631"/>
      <c r="C837" s="631"/>
      <c r="D837" s="631"/>
      <c r="E837" s="631"/>
      <c r="F837" s="631"/>
      <c r="G837" s="631"/>
      <c r="H837" s="652"/>
      <c r="I837" s="631"/>
      <c r="J837" s="631"/>
      <c r="K837" s="631"/>
      <c r="L837" s="631"/>
      <c r="M837" s="631"/>
      <c r="N837" s="631"/>
      <c r="O837" s="631"/>
      <c r="P837" s="631"/>
      <c r="Q837" s="631"/>
      <c r="R837" s="631"/>
      <c r="S837" s="631"/>
      <c r="T837" s="631"/>
      <c r="U837" s="631"/>
      <c r="V837" s="631"/>
      <c r="W837" s="631"/>
      <c r="X837" s="631"/>
      <c r="Y837" s="631"/>
      <c r="Z837" s="631"/>
    </row>
    <row r="838" spans="1:26">
      <c r="A838" s="636" t="s">
        <v>3648</v>
      </c>
      <c r="B838" s="631"/>
      <c r="C838" s="631"/>
      <c r="D838" s="631"/>
      <c r="E838" s="631"/>
      <c r="F838" s="631"/>
      <c r="G838" s="631"/>
      <c r="H838" s="652"/>
      <c r="I838" s="631"/>
      <c r="J838" s="631"/>
      <c r="K838" s="631"/>
      <c r="L838" s="631"/>
      <c r="M838" s="631"/>
      <c r="N838" s="631"/>
      <c r="O838" s="631"/>
      <c r="P838" s="631"/>
      <c r="Q838" s="631"/>
      <c r="R838" s="631"/>
      <c r="S838" s="631"/>
      <c r="T838" s="631"/>
      <c r="U838" s="631"/>
      <c r="V838" s="631"/>
      <c r="W838" s="631"/>
      <c r="X838" s="631"/>
      <c r="Y838" s="631"/>
      <c r="Z838" s="631"/>
    </row>
    <row r="839" spans="1:26">
      <c r="A839" s="636" t="s">
        <v>3648</v>
      </c>
      <c r="B839" s="631"/>
      <c r="C839" s="631"/>
      <c r="D839" s="631"/>
      <c r="E839" s="631"/>
      <c r="F839" s="631"/>
      <c r="G839" s="631"/>
      <c r="H839" s="652"/>
      <c r="I839" s="631"/>
      <c r="J839" s="631"/>
      <c r="K839" s="631"/>
      <c r="L839" s="631"/>
      <c r="M839" s="631"/>
      <c r="N839" s="631"/>
      <c r="O839" s="631"/>
      <c r="P839" s="631"/>
      <c r="Q839" s="631"/>
      <c r="R839" s="631"/>
      <c r="S839" s="631"/>
      <c r="T839" s="631"/>
      <c r="U839" s="631"/>
      <c r="V839" s="631"/>
      <c r="W839" s="631"/>
      <c r="X839" s="631"/>
      <c r="Y839" s="631"/>
      <c r="Z839" s="631"/>
    </row>
    <row r="840" spans="1:26">
      <c r="A840" s="636" t="s">
        <v>3648</v>
      </c>
      <c r="B840" s="631"/>
      <c r="C840" s="631"/>
      <c r="D840" s="631"/>
      <c r="E840" s="631"/>
      <c r="F840" s="631"/>
      <c r="G840" s="631"/>
      <c r="H840" s="652"/>
      <c r="I840" s="631"/>
      <c r="J840" s="631"/>
      <c r="K840" s="631"/>
      <c r="L840" s="631"/>
      <c r="M840" s="631"/>
      <c r="N840" s="631"/>
      <c r="O840" s="631"/>
      <c r="P840" s="631"/>
      <c r="Q840" s="631"/>
      <c r="R840" s="631"/>
      <c r="S840" s="631"/>
      <c r="T840" s="631"/>
      <c r="U840" s="631"/>
      <c r="V840" s="631"/>
      <c r="W840" s="631"/>
      <c r="X840" s="631"/>
      <c r="Y840" s="631"/>
      <c r="Z840" s="631"/>
    </row>
    <row r="841" spans="1:26">
      <c r="A841" s="636" t="s">
        <v>3648</v>
      </c>
      <c r="B841" s="631"/>
      <c r="C841" s="631"/>
      <c r="D841" s="631"/>
      <c r="E841" s="631"/>
      <c r="F841" s="631"/>
      <c r="G841" s="631"/>
      <c r="H841" s="652"/>
      <c r="I841" s="631"/>
      <c r="J841" s="631"/>
      <c r="K841" s="631"/>
      <c r="L841" s="631"/>
      <c r="M841" s="631"/>
      <c r="N841" s="631"/>
      <c r="O841" s="631"/>
      <c r="P841" s="631"/>
      <c r="Q841" s="631"/>
      <c r="R841" s="631"/>
      <c r="S841" s="631"/>
      <c r="T841" s="631"/>
      <c r="U841" s="631"/>
      <c r="V841" s="631"/>
      <c r="W841" s="631"/>
      <c r="X841" s="631"/>
      <c r="Y841" s="631"/>
      <c r="Z841" s="631"/>
    </row>
    <row r="842" spans="1:26">
      <c r="A842" s="636" t="s">
        <v>3648</v>
      </c>
      <c r="B842" s="631"/>
      <c r="C842" s="631"/>
      <c r="D842" s="631"/>
      <c r="E842" s="631"/>
      <c r="F842" s="631"/>
      <c r="G842" s="631"/>
      <c r="H842" s="652"/>
      <c r="I842" s="631"/>
      <c r="J842" s="631"/>
      <c r="K842" s="631"/>
      <c r="L842" s="631"/>
      <c r="M842" s="631"/>
      <c r="N842" s="631"/>
      <c r="O842" s="631"/>
      <c r="P842" s="631"/>
      <c r="Q842" s="631"/>
      <c r="R842" s="631"/>
      <c r="S842" s="631"/>
      <c r="T842" s="631"/>
      <c r="U842" s="631"/>
      <c r="V842" s="631"/>
      <c r="W842" s="631"/>
      <c r="X842" s="631"/>
      <c r="Y842" s="631"/>
      <c r="Z842" s="631"/>
    </row>
    <row r="843" spans="1:26">
      <c r="A843" s="636" t="s">
        <v>3648</v>
      </c>
      <c r="B843" s="631"/>
      <c r="C843" s="631"/>
      <c r="D843" s="631"/>
      <c r="E843" s="631"/>
      <c r="F843" s="631"/>
      <c r="G843" s="631"/>
      <c r="H843" s="652"/>
      <c r="I843" s="631"/>
      <c r="J843" s="631"/>
      <c r="K843" s="631"/>
      <c r="L843" s="631"/>
      <c r="M843" s="631"/>
      <c r="N843" s="631"/>
      <c r="O843" s="631"/>
      <c r="P843" s="631"/>
      <c r="Q843" s="631"/>
      <c r="R843" s="631"/>
      <c r="S843" s="631"/>
      <c r="T843" s="631"/>
      <c r="U843" s="631"/>
      <c r="V843" s="631"/>
      <c r="W843" s="631"/>
      <c r="X843" s="631"/>
      <c r="Y843" s="631"/>
      <c r="Z843" s="631"/>
    </row>
    <row r="844" spans="1:26">
      <c r="A844" s="636" t="s">
        <v>3648</v>
      </c>
      <c r="B844" s="631"/>
      <c r="C844" s="631"/>
      <c r="D844" s="631"/>
      <c r="E844" s="631"/>
      <c r="F844" s="631"/>
      <c r="G844" s="631"/>
      <c r="H844" s="652"/>
      <c r="I844" s="631"/>
      <c r="J844" s="631"/>
      <c r="K844" s="631"/>
      <c r="L844" s="631"/>
      <c r="M844" s="631"/>
      <c r="N844" s="631"/>
      <c r="O844" s="631"/>
      <c r="P844" s="631"/>
      <c r="Q844" s="631"/>
      <c r="R844" s="631"/>
      <c r="S844" s="631"/>
      <c r="T844" s="631"/>
      <c r="U844" s="631"/>
      <c r="V844" s="631"/>
      <c r="W844" s="631"/>
      <c r="X844" s="631"/>
      <c r="Y844" s="631"/>
      <c r="Z844" s="631"/>
    </row>
    <row r="845" spans="1:26">
      <c r="A845" s="636" t="s">
        <v>3648</v>
      </c>
      <c r="B845" s="631"/>
      <c r="C845" s="631"/>
      <c r="D845" s="631"/>
      <c r="E845" s="631"/>
      <c r="F845" s="631"/>
      <c r="G845" s="631"/>
      <c r="H845" s="652"/>
      <c r="I845" s="631"/>
      <c r="J845" s="631"/>
      <c r="K845" s="631"/>
      <c r="L845" s="631"/>
      <c r="M845" s="631"/>
      <c r="N845" s="631"/>
      <c r="O845" s="631"/>
      <c r="P845" s="631"/>
      <c r="Q845" s="631"/>
      <c r="R845" s="631"/>
      <c r="S845" s="631"/>
      <c r="T845" s="631"/>
      <c r="U845" s="631"/>
      <c r="V845" s="631"/>
      <c r="W845" s="631"/>
      <c r="X845" s="631"/>
      <c r="Y845" s="631"/>
      <c r="Z845" s="631"/>
    </row>
    <row r="846" spans="1:26">
      <c r="A846" s="636" t="s">
        <v>3648</v>
      </c>
      <c r="B846" s="631"/>
      <c r="C846" s="631"/>
      <c r="D846" s="631"/>
      <c r="E846" s="631"/>
      <c r="F846" s="631"/>
      <c r="G846" s="631"/>
      <c r="H846" s="652"/>
      <c r="I846" s="631"/>
      <c r="J846" s="631"/>
      <c r="K846" s="631"/>
      <c r="L846" s="631"/>
      <c r="M846" s="631"/>
      <c r="N846" s="631"/>
      <c r="O846" s="631"/>
      <c r="P846" s="631"/>
      <c r="Q846" s="631"/>
      <c r="R846" s="631"/>
      <c r="S846" s="631"/>
      <c r="T846" s="631"/>
      <c r="U846" s="631"/>
      <c r="V846" s="631"/>
      <c r="W846" s="631"/>
      <c r="X846" s="631"/>
      <c r="Y846" s="631"/>
      <c r="Z846" s="631"/>
    </row>
    <row r="847" spans="1:26">
      <c r="A847" s="636" t="s">
        <v>3648</v>
      </c>
      <c r="B847" s="631"/>
      <c r="C847" s="631"/>
      <c r="D847" s="631"/>
      <c r="E847" s="631"/>
      <c r="F847" s="631"/>
      <c r="G847" s="631"/>
      <c r="H847" s="652"/>
      <c r="I847" s="631"/>
      <c r="J847" s="631"/>
      <c r="K847" s="631"/>
      <c r="L847" s="631"/>
      <c r="M847" s="631"/>
      <c r="N847" s="631"/>
      <c r="O847" s="631"/>
      <c r="P847" s="631"/>
      <c r="Q847" s="631"/>
      <c r="R847" s="631"/>
      <c r="S847" s="631"/>
      <c r="T847" s="631"/>
      <c r="U847" s="631"/>
      <c r="V847" s="631"/>
      <c r="W847" s="631"/>
      <c r="X847" s="631"/>
      <c r="Y847" s="631"/>
      <c r="Z847" s="631"/>
    </row>
    <row r="848" spans="1:26">
      <c r="A848" s="636" t="s">
        <v>3648</v>
      </c>
      <c r="B848" s="631"/>
      <c r="C848" s="631"/>
      <c r="D848" s="631"/>
      <c r="E848" s="631"/>
      <c r="F848" s="631"/>
      <c r="G848" s="631"/>
      <c r="H848" s="652"/>
      <c r="I848" s="631"/>
      <c r="J848" s="631"/>
      <c r="K848" s="631"/>
      <c r="L848" s="631"/>
      <c r="M848" s="631"/>
      <c r="N848" s="631"/>
      <c r="O848" s="631"/>
      <c r="P848" s="631"/>
      <c r="Q848" s="631"/>
      <c r="R848" s="631"/>
      <c r="S848" s="631"/>
      <c r="T848" s="631"/>
      <c r="U848" s="631"/>
      <c r="V848" s="631"/>
      <c r="W848" s="631"/>
      <c r="X848" s="631"/>
      <c r="Y848" s="631"/>
      <c r="Z848" s="631"/>
    </row>
    <row r="849" spans="1:26">
      <c r="A849" s="636" t="s">
        <v>3648</v>
      </c>
      <c r="B849" s="631"/>
      <c r="C849" s="631"/>
      <c r="D849" s="631"/>
      <c r="E849" s="631"/>
      <c r="F849" s="631"/>
      <c r="G849" s="631"/>
      <c r="H849" s="652"/>
      <c r="I849" s="631"/>
      <c r="J849" s="631"/>
      <c r="K849" s="631"/>
      <c r="L849" s="631"/>
      <c r="M849" s="631"/>
      <c r="N849" s="631"/>
      <c r="O849" s="631"/>
      <c r="P849" s="631"/>
      <c r="Q849" s="631"/>
      <c r="R849" s="631"/>
      <c r="S849" s="631"/>
      <c r="T849" s="631"/>
      <c r="U849" s="631"/>
      <c r="V849" s="631"/>
      <c r="W849" s="631"/>
      <c r="X849" s="631"/>
      <c r="Y849" s="631"/>
      <c r="Z849" s="631"/>
    </row>
    <row r="850" spans="1:26">
      <c r="A850" s="636" t="s">
        <v>3648</v>
      </c>
      <c r="B850" s="631"/>
      <c r="C850" s="631"/>
      <c r="D850" s="631"/>
      <c r="E850" s="631"/>
      <c r="F850" s="631"/>
      <c r="G850" s="631"/>
      <c r="H850" s="652"/>
      <c r="I850" s="631"/>
      <c r="J850" s="631"/>
      <c r="K850" s="631"/>
      <c r="L850" s="631"/>
      <c r="M850" s="631"/>
      <c r="N850" s="631"/>
      <c r="O850" s="631"/>
      <c r="P850" s="631"/>
      <c r="Q850" s="631"/>
      <c r="R850" s="631"/>
      <c r="S850" s="631"/>
      <c r="T850" s="631"/>
      <c r="U850" s="631"/>
      <c r="V850" s="631"/>
      <c r="W850" s="631"/>
      <c r="X850" s="631"/>
      <c r="Y850" s="631"/>
      <c r="Z850" s="631"/>
    </row>
    <row r="851" spans="1:26">
      <c r="A851" s="636" t="s">
        <v>3648</v>
      </c>
      <c r="B851" s="631"/>
      <c r="C851" s="631"/>
      <c r="D851" s="631"/>
      <c r="E851" s="631"/>
      <c r="F851" s="631"/>
      <c r="G851" s="631"/>
      <c r="H851" s="652"/>
      <c r="I851" s="631"/>
      <c r="J851" s="631"/>
      <c r="K851" s="631"/>
      <c r="L851" s="631"/>
      <c r="M851" s="631"/>
      <c r="N851" s="631"/>
      <c r="O851" s="631"/>
      <c r="P851" s="631"/>
      <c r="Q851" s="631"/>
      <c r="R851" s="631"/>
      <c r="S851" s="631"/>
      <c r="T851" s="631"/>
      <c r="U851" s="631"/>
      <c r="V851" s="631"/>
      <c r="W851" s="631"/>
      <c r="X851" s="631"/>
      <c r="Y851" s="631"/>
      <c r="Z851" s="631"/>
    </row>
    <row r="852" spans="1:26">
      <c r="A852" s="636" t="s">
        <v>3648</v>
      </c>
      <c r="B852" s="631"/>
      <c r="C852" s="631"/>
      <c r="D852" s="631"/>
      <c r="E852" s="631"/>
      <c r="F852" s="631"/>
      <c r="G852" s="631"/>
      <c r="H852" s="652"/>
      <c r="I852" s="631"/>
      <c r="J852" s="631"/>
      <c r="K852" s="631"/>
      <c r="L852" s="631"/>
      <c r="M852" s="631"/>
      <c r="N852" s="631"/>
      <c r="O852" s="631"/>
      <c r="P852" s="631"/>
      <c r="Q852" s="631"/>
      <c r="R852" s="631"/>
      <c r="S852" s="631"/>
      <c r="T852" s="631"/>
      <c r="U852" s="631"/>
      <c r="V852" s="631"/>
      <c r="W852" s="631"/>
      <c r="X852" s="631"/>
      <c r="Y852" s="631"/>
      <c r="Z852" s="631"/>
    </row>
    <row r="853" spans="1:26">
      <c r="A853" s="636" t="s">
        <v>3648</v>
      </c>
      <c r="B853" s="631"/>
      <c r="C853" s="631"/>
      <c r="D853" s="631"/>
      <c r="E853" s="631"/>
      <c r="F853" s="631"/>
      <c r="G853" s="631"/>
      <c r="H853" s="652"/>
      <c r="I853" s="631"/>
      <c r="J853" s="631"/>
      <c r="K853" s="631"/>
      <c r="L853" s="631"/>
      <c r="M853" s="631"/>
      <c r="N853" s="631"/>
      <c r="O853" s="631"/>
      <c r="P853" s="631"/>
      <c r="Q853" s="631"/>
      <c r="R853" s="631"/>
      <c r="S853" s="631"/>
      <c r="T853" s="631"/>
      <c r="U853" s="631"/>
      <c r="V853" s="631"/>
      <c r="W853" s="631"/>
      <c r="X853" s="631"/>
      <c r="Y853" s="631"/>
      <c r="Z853" s="631"/>
    </row>
    <row r="854" spans="1:26">
      <c r="A854" s="636" t="s">
        <v>3648</v>
      </c>
      <c r="B854" s="631"/>
      <c r="C854" s="631"/>
      <c r="D854" s="631"/>
      <c r="E854" s="631"/>
      <c r="F854" s="631"/>
      <c r="G854" s="631"/>
      <c r="H854" s="652"/>
      <c r="I854" s="631"/>
      <c r="J854" s="631"/>
      <c r="K854" s="631"/>
      <c r="L854" s="631"/>
      <c r="M854" s="631"/>
      <c r="N854" s="631"/>
      <c r="O854" s="631"/>
      <c r="P854" s="631"/>
      <c r="Q854" s="631"/>
      <c r="R854" s="631"/>
      <c r="S854" s="631"/>
      <c r="T854" s="631"/>
      <c r="U854" s="631"/>
      <c r="V854" s="631"/>
      <c r="W854" s="631"/>
      <c r="X854" s="631"/>
      <c r="Y854" s="631"/>
      <c r="Z854" s="631"/>
    </row>
    <row r="855" spans="1:26">
      <c r="A855" s="636" t="s">
        <v>3648</v>
      </c>
      <c r="B855" s="631"/>
      <c r="C855" s="631"/>
      <c r="D855" s="631"/>
      <c r="E855" s="631"/>
      <c r="F855" s="631"/>
      <c r="G855" s="631"/>
      <c r="H855" s="652"/>
      <c r="I855" s="631"/>
      <c r="J855" s="631"/>
      <c r="K855" s="631"/>
      <c r="L855" s="631"/>
      <c r="M855" s="631"/>
      <c r="N855" s="631"/>
      <c r="O855" s="631"/>
      <c r="P855" s="631"/>
      <c r="Q855" s="631"/>
      <c r="R855" s="631"/>
      <c r="S855" s="631"/>
      <c r="T855" s="631"/>
      <c r="U855" s="631"/>
      <c r="V855" s="631"/>
      <c r="W855" s="631"/>
      <c r="X855" s="631"/>
      <c r="Y855" s="631"/>
      <c r="Z855" s="631"/>
    </row>
    <row r="856" spans="1:26">
      <c r="A856" s="636" t="s">
        <v>3648</v>
      </c>
      <c r="B856" s="631"/>
      <c r="C856" s="631"/>
      <c r="D856" s="631"/>
      <c r="E856" s="631"/>
      <c r="F856" s="631"/>
      <c r="G856" s="631"/>
      <c r="H856" s="652"/>
      <c r="I856" s="631"/>
      <c r="J856" s="631"/>
      <c r="K856" s="631"/>
      <c r="L856" s="631"/>
      <c r="M856" s="631"/>
      <c r="N856" s="631"/>
      <c r="O856" s="631"/>
      <c r="P856" s="631"/>
      <c r="Q856" s="631"/>
      <c r="R856" s="631"/>
      <c r="S856" s="631"/>
      <c r="T856" s="631"/>
      <c r="U856" s="631"/>
      <c r="V856" s="631"/>
      <c r="W856" s="631"/>
      <c r="X856" s="631"/>
      <c r="Y856" s="631"/>
      <c r="Z856" s="631"/>
    </row>
    <row r="857" spans="1:26">
      <c r="A857" s="636" t="s">
        <v>3648</v>
      </c>
      <c r="B857" s="631"/>
      <c r="C857" s="631"/>
      <c r="D857" s="631"/>
      <c r="E857" s="631"/>
      <c r="F857" s="631"/>
      <c r="G857" s="631"/>
      <c r="H857" s="652"/>
      <c r="I857" s="631"/>
      <c r="J857" s="631"/>
      <c r="K857" s="631"/>
      <c r="L857" s="631"/>
      <c r="M857" s="631"/>
      <c r="N857" s="631"/>
      <c r="O857" s="631"/>
      <c r="P857" s="631"/>
      <c r="Q857" s="631"/>
      <c r="R857" s="631"/>
      <c r="S857" s="631"/>
      <c r="T857" s="631"/>
      <c r="U857" s="631"/>
      <c r="V857" s="631"/>
      <c r="W857" s="631"/>
      <c r="X857" s="631"/>
      <c r="Y857" s="631"/>
      <c r="Z857" s="631"/>
    </row>
    <row r="858" spans="1:26">
      <c r="A858" s="636" t="s">
        <v>3648</v>
      </c>
      <c r="B858" s="631"/>
      <c r="C858" s="631"/>
      <c r="D858" s="631"/>
      <c r="E858" s="631"/>
      <c r="F858" s="631"/>
      <c r="G858" s="631"/>
      <c r="H858" s="652"/>
      <c r="I858" s="631"/>
      <c r="J858" s="631"/>
      <c r="K858" s="631"/>
      <c r="L858" s="631"/>
      <c r="M858" s="631"/>
      <c r="N858" s="631"/>
      <c r="O858" s="631"/>
      <c r="P858" s="631"/>
      <c r="Q858" s="631"/>
      <c r="R858" s="631"/>
      <c r="S858" s="631"/>
      <c r="T858" s="631"/>
      <c r="U858" s="631"/>
      <c r="V858" s="631"/>
      <c r="W858" s="631"/>
      <c r="X858" s="631"/>
      <c r="Y858" s="631"/>
      <c r="Z858" s="631"/>
    </row>
    <row r="859" spans="1:26">
      <c r="A859" s="636" t="s">
        <v>3648</v>
      </c>
      <c r="B859" s="631"/>
      <c r="C859" s="631"/>
      <c r="D859" s="631"/>
      <c r="E859" s="631"/>
      <c r="F859" s="631"/>
      <c r="G859" s="631"/>
      <c r="H859" s="652"/>
      <c r="I859" s="631"/>
      <c r="J859" s="631"/>
      <c r="K859" s="631"/>
      <c r="L859" s="631"/>
      <c r="M859" s="631"/>
      <c r="N859" s="631"/>
      <c r="O859" s="631"/>
      <c r="P859" s="631"/>
      <c r="Q859" s="631"/>
      <c r="R859" s="631"/>
      <c r="S859" s="631"/>
      <c r="T859" s="631"/>
      <c r="U859" s="631"/>
      <c r="V859" s="631"/>
      <c r="W859" s="631"/>
      <c r="X859" s="631"/>
      <c r="Y859" s="631"/>
      <c r="Z859" s="631"/>
    </row>
    <row r="860" spans="1:26">
      <c r="A860" s="636" t="s">
        <v>3648</v>
      </c>
      <c r="B860" s="631"/>
      <c r="C860" s="631"/>
      <c r="D860" s="631"/>
      <c r="E860" s="631"/>
      <c r="F860" s="631"/>
      <c r="G860" s="631"/>
      <c r="H860" s="652"/>
      <c r="I860" s="631"/>
      <c r="J860" s="631"/>
      <c r="K860" s="631"/>
      <c r="L860" s="631"/>
      <c r="M860" s="631"/>
      <c r="N860" s="631"/>
      <c r="O860" s="631"/>
      <c r="P860" s="631"/>
      <c r="Q860" s="631"/>
      <c r="R860" s="631"/>
      <c r="S860" s="631"/>
      <c r="T860" s="631"/>
      <c r="U860" s="631"/>
      <c r="V860" s="631"/>
      <c r="W860" s="631"/>
      <c r="X860" s="631"/>
      <c r="Y860" s="631"/>
      <c r="Z860" s="631"/>
    </row>
    <row r="861" spans="1:26">
      <c r="A861" s="636" t="s">
        <v>3648</v>
      </c>
      <c r="B861" s="631"/>
      <c r="C861" s="631"/>
      <c r="D861" s="631"/>
      <c r="E861" s="631"/>
      <c r="F861" s="631"/>
      <c r="G861" s="631"/>
      <c r="H861" s="652"/>
      <c r="I861" s="631"/>
      <c r="J861" s="631"/>
      <c r="K861" s="631"/>
      <c r="L861" s="631"/>
      <c r="M861" s="631"/>
      <c r="N861" s="631"/>
      <c r="O861" s="631"/>
      <c r="P861" s="631"/>
      <c r="Q861" s="631"/>
      <c r="R861" s="631"/>
      <c r="S861" s="631"/>
      <c r="T861" s="631"/>
      <c r="U861" s="631"/>
      <c r="V861" s="631"/>
      <c r="W861" s="631"/>
      <c r="X861" s="631"/>
      <c r="Y861" s="631"/>
      <c r="Z861" s="631"/>
    </row>
    <row r="862" spans="1:26">
      <c r="A862" s="636" t="s">
        <v>3648</v>
      </c>
      <c r="B862" s="631"/>
      <c r="C862" s="631"/>
      <c r="D862" s="631"/>
      <c r="E862" s="631"/>
      <c r="F862" s="631"/>
      <c r="G862" s="631"/>
      <c r="H862" s="652"/>
      <c r="I862" s="631"/>
      <c r="J862" s="631"/>
      <c r="K862" s="631"/>
      <c r="L862" s="631"/>
      <c r="M862" s="631"/>
      <c r="N862" s="631"/>
      <c r="O862" s="631"/>
      <c r="P862" s="631"/>
      <c r="Q862" s="631"/>
      <c r="R862" s="631"/>
      <c r="S862" s="631"/>
      <c r="T862" s="631"/>
      <c r="U862" s="631"/>
      <c r="V862" s="631"/>
      <c r="W862" s="631"/>
      <c r="X862" s="631"/>
      <c r="Y862" s="631"/>
      <c r="Z862" s="631"/>
    </row>
    <row r="863" spans="1:26">
      <c r="A863" s="636" t="s">
        <v>3648</v>
      </c>
      <c r="B863" s="631"/>
      <c r="C863" s="631"/>
      <c r="D863" s="631"/>
      <c r="E863" s="631"/>
      <c r="F863" s="631"/>
      <c r="G863" s="631"/>
      <c r="H863" s="652"/>
      <c r="I863" s="631"/>
      <c r="J863" s="631"/>
      <c r="K863" s="631"/>
      <c r="L863" s="631"/>
      <c r="M863" s="631"/>
      <c r="N863" s="631"/>
      <c r="O863" s="631"/>
      <c r="P863" s="631"/>
      <c r="Q863" s="631"/>
      <c r="R863" s="631"/>
      <c r="S863" s="631"/>
      <c r="T863" s="631"/>
      <c r="U863" s="631"/>
      <c r="V863" s="631"/>
      <c r="W863" s="631"/>
      <c r="X863" s="631"/>
      <c r="Y863" s="631"/>
      <c r="Z863" s="631"/>
    </row>
    <row r="864" spans="1:26">
      <c r="A864" s="636" t="s">
        <v>3648</v>
      </c>
      <c r="B864" s="631"/>
      <c r="C864" s="631"/>
      <c r="D864" s="631"/>
      <c r="E864" s="631"/>
      <c r="F864" s="631"/>
      <c r="G864" s="631"/>
      <c r="H864" s="652"/>
      <c r="I864" s="631"/>
      <c r="J864" s="631"/>
      <c r="K864" s="631"/>
      <c r="L864" s="631"/>
      <c r="M864" s="631"/>
      <c r="N864" s="631"/>
      <c r="O864" s="631"/>
      <c r="P864" s="631"/>
      <c r="Q864" s="631"/>
      <c r="R864" s="631"/>
      <c r="S864" s="631"/>
      <c r="T864" s="631"/>
      <c r="U864" s="631"/>
      <c r="V864" s="631"/>
      <c r="W864" s="631"/>
      <c r="X864" s="631"/>
      <c r="Y864" s="631"/>
      <c r="Z864" s="631"/>
    </row>
    <row r="865" spans="1:26">
      <c r="A865" s="636" t="s">
        <v>3648</v>
      </c>
      <c r="B865" s="631"/>
      <c r="C865" s="631"/>
      <c r="D865" s="631"/>
      <c r="E865" s="631"/>
      <c r="F865" s="631"/>
      <c r="G865" s="631"/>
      <c r="H865" s="652"/>
      <c r="I865" s="631"/>
      <c r="J865" s="631"/>
      <c r="K865" s="631"/>
      <c r="L865" s="631"/>
      <c r="M865" s="631"/>
      <c r="N865" s="631"/>
      <c r="O865" s="631"/>
      <c r="P865" s="631"/>
      <c r="Q865" s="631"/>
      <c r="R865" s="631"/>
      <c r="S865" s="631"/>
      <c r="T865" s="631"/>
      <c r="U865" s="631"/>
      <c r="V865" s="631"/>
      <c r="W865" s="631"/>
      <c r="X865" s="631"/>
      <c r="Y865" s="631"/>
      <c r="Z865" s="631"/>
    </row>
    <row r="866" spans="1:26">
      <c r="A866" s="636" t="s">
        <v>3648</v>
      </c>
      <c r="B866" s="631"/>
      <c r="C866" s="631"/>
      <c r="D866" s="631"/>
      <c r="E866" s="631"/>
      <c r="F866" s="631"/>
      <c r="G866" s="631"/>
      <c r="H866" s="652"/>
      <c r="I866" s="631"/>
      <c r="J866" s="631"/>
      <c r="K866" s="631"/>
      <c r="L866" s="631"/>
      <c r="M866" s="631"/>
      <c r="N866" s="631"/>
      <c r="O866" s="631"/>
      <c r="P866" s="631"/>
      <c r="Q866" s="631"/>
      <c r="R866" s="631"/>
      <c r="S866" s="631"/>
      <c r="T866" s="631"/>
      <c r="U866" s="631"/>
      <c r="V866" s="631"/>
      <c r="W866" s="631"/>
      <c r="X866" s="631"/>
      <c r="Y866" s="631"/>
      <c r="Z866" s="631"/>
    </row>
    <row r="867" spans="1:26">
      <c r="A867" s="636" t="s">
        <v>3648</v>
      </c>
      <c r="B867" s="631"/>
      <c r="C867" s="631"/>
      <c r="D867" s="631"/>
      <c r="E867" s="631"/>
      <c r="F867" s="631"/>
      <c r="G867" s="631"/>
      <c r="H867" s="652"/>
      <c r="I867" s="631"/>
      <c r="J867" s="631"/>
      <c r="K867" s="631"/>
      <c r="L867" s="631"/>
      <c r="M867" s="631"/>
      <c r="N867" s="631"/>
      <c r="O867" s="631"/>
      <c r="P867" s="631"/>
      <c r="Q867" s="631"/>
      <c r="R867" s="631"/>
      <c r="S867" s="631"/>
      <c r="T867" s="631"/>
      <c r="U867" s="631"/>
      <c r="V867" s="631"/>
      <c r="W867" s="631"/>
      <c r="X867" s="631"/>
      <c r="Y867" s="631"/>
      <c r="Z867" s="631"/>
    </row>
    <row r="868" spans="1:26">
      <c r="A868" s="636" t="s">
        <v>3648</v>
      </c>
      <c r="B868" s="631"/>
      <c r="C868" s="631"/>
      <c r="D868" s="631"/>
      <c r="E868" s="631"/>
      <c r="F868" s="631"/>
      <c r="G868" s="631"/>
      <c r="H868" s="652"/>
      <c r="I868" s="631"/>
      <c r="J868" s="631"/>
      <c r="K868" s="631"/>
      <c r="L868" s="631"/>
      <c r="M868" s="631"/>
      <c r="N868" s="631"/>
      <c r="O868" s="631"/>
      <c r="P868" s="631"/>
      <c r="Q868" s="631"/>
      <c r="R868" s="631"/>
      <c r="S868" s="631"/>
      <c r="T868" s="631"/>
      <c r="U868" s="631"/>
      <c r="V868" s="631"/>
      <c r="W868" s="631"/>
      <c r="X868" s="631"/>
      <c r="Y868" s="631"/>
      <c r="Z868" s="631"/>
    </row>
    <row r="869" spans="1:26">
      <c r="A869" s="636" t="s">
        <v>3648</v>
      </c>
      <c r="B869" s="631"/>
      <c r="C869" s="631"/>
      <c r="D869" s="631"/>
      <c r="E869" s="631"/>
      <c r="F869" s="631"/>
      <c r="G869" s="631"/>
      <c r="H869" s="652"/>
      <c r="I869" s="631"/>
      <c r="J869" s="631"/>
      <c r="K869" s="631"/>
      <c r="L869" s="631"/>
      <c r="M869" s="631"/>
      <c r="N869" s="631"/>
      <c r="O869" s="631"/>
      <c r="P869" s="631"/>
      <c r="Q869" s="631"/>
      <c r="R869" s="631"/>
      <c r="S869" s="631"/>
      <c r="T869" s="631"/>
      <c r="U869" s="631"/>
      <c r="V869" s="631"/>
      <c r="W869" s="631"/>
      <c r="X869" s="631"/>
      <c r="Y869" s="631"/>
      <c r="Z869" s="631"/>
    </row>
    <row r="870" spans="1:26">
      <c r="A870" s="636" t="s">
        <v>3648</v>
      </c>
      <c r="B870" s="631"/>
      <c r="C870" s="631"/>
      <c r="D870" s="631"/>
      <c r="E870" s="631"/>
      <c r="F870" s="631"/>
      <c r="G870" s="631"/>
      <c r="H870" s="652"/>
      <c r="I870" s="631"/>
      <c r="J870" s="631"/>
      <c r="K870" s="631"/>
      <c r="L870" s="631"/>
      <c r="M870" s="631"/>
      <c r="N870" s="631"/>
      <c r="O870" s="631"/>
      <c r="P870" s="631"/>
      <c r="Q870" s="631"/>
      <c r="R870" s="631"/>
      <c r="S870" s="631"/>
      <c r="T870" s="631"/>
      <c r="U870" s="631"/>
      <c r="V870" s="631"/>
      <c r="W870" s="631"/>
      <c r="X870" s="631"/>
      <c r="Y870" s="631"/>
      <c r="Z870" s="631"/>
    </row>
    <row r="871" spans="1:26">
      <c r="A871" s="636" t="s">
        <v>3648</v>
      </c>
      <c r="B871" s="631"/>
      <c r="C871" s="631"/>
      <c r="D871" s="631"/>
      <c r="E871" s="631"/>
      <c r="F871" s="631"/>
      <c r="G871" s="631"/>
      <c r="H871" s="652"/>
      <c r="I871" s="631"/>
      <c r="J871" s="631"/>
      <c r="K871" s="631"/>
      <c r="L871" s="631"/>
      <c r="M871" s="631"/>
      <c r="N871" s="631"/>
      <c r="O871" s="631"/>
      <c r="P871" s="631"/>
      <c r="Q871" s="631"/>
      <c r="R871" s="631"/>
      <c r="S871" s="631"/>
      <c r="T871" s="631"/>
      <c r="U871" s="631"/>
      <c r="V871" s="631"/>
      <c r="W871" s="631"/>
      <c r="X871" s="631"/>
      <c r="Y871" s="631"/>
      <c r="Z871" s="631"/>
    </row>
    <row r="872" spans="1:26">
      <c r="A872" s="636" t="s">
        <v>3648</v>
      </c>
      <c r="B872" s="631"/>
      <c r="C872" s="631"/>
      <c r="D872" s="631"/>
      <c r="E872" s="631"/>
      <c r="F872" s="631"/>
      <c r="G872" s="631"/>
      <c r="H872" s="652"/>
      <c r="I872" s="631"/>
      <c r="J872" s="631"/>
      <c r="K872" s="631"/>
      <c r="L872" s="631"/>
      <c r="M872" s="631"/>
      <c r="N872" s="631"/>
      <c r="O872" s="631"/>
      <c r="P872" s="631"/>
      <c r="Q872" s="631"/>
      <c r="R872" s="631"/>
      <c r="S872" s="631"/>
      <c r="T872" s="631"/>
      <c r="U872" s="631"/>
      <c r="V872" s="631"/>
      <c r="W872" s="631"/>
      <c r="X872" s="631"/>
      <c r="Y872" s="631"/>
      <c r="Z872" s="631"/>
    </row>
    <row r="873" spans="1:26">
      <c r="A873" s="636" t="s">
        <v>3648</v>
      </c>
      <c r="B873" s="631"/>
      <c r="C873" s="631"/>
      <c r="D873" s="631"/>
      <c r="E873" s="631"/>
      <c r="F873" s="631"/>
      <c r="G873" s="631"/>
      <c r="H873" s="652"/>
      <c r="I873" s="631"/>
      <c r="J873" s="631"/>
      <c r="K873" s="631"/>
      <c r="L873" s="631"/>
      <c r="M873" s="631"/>
      <c r="N873" s="631"/>
      <c r="O873" s="631"/>
      <c r="P873" s="631"/>
      <c r="Q873" s="631"/>
      <c r="R873" s="631"/>
      <c r="S873" s="631"/>
      <c r="T873" s="631"/>
      <c r="U873" s="631"/>
      <c r="V873" s="631"/>
      <c r="W873" s="631"/>
      <c r="X873" s="631"/>
      <c r="Y873" s="631"/>
      <c r="Z873" s="631"/>
    </row>
    <row r="874" spans="1:26">
      <c r="A874" s="636" t="s">
        <v>3648</v>
      </c>
      <c r="B874" s="631"/>
      <c r="C874" s="631"/>
      <c r="D874" s="631"/>
      <c r="E874" s="631"/>
      <c r="F874" s="631"/>
      <c r="G874" s="631"/>
      <c r="H874" s="652"/>
      <c r="I874" s="631"/>
      <c r="J874" s="631"/>
      <c r="K874" s="631"/>
      <c r="L874" s="631"/>
      <c r="M874" s="631"/>
      <c r="N874" s="631"/>
      <c r="O874" s="631"/>
      <c r="P874" s="631"/>
      <c r="Q874" s="631"/>
      <c r="R874" s="631"/>
      <c r="S874" s="631"/>
      <c r="T874" s="631"/>
      <c r="U874" s="631"/>
      <c r="V874" s="631"/>
      <c r="W874" s="631"/>
      <c r="X874" s="631"/>
      <c r="Y874" s="631"/>
      <c r="Z874" s="631"/>
    </row>
    <row r="875" spans="1:26">
      <c r="A875" s="636" t="s">
        <v>3648</v>
      </c>
      <c r="B875" s="631"/>
      <c r="C875" s="631"/>
      <c r="D875" s="631"/>
      <c r="E875" s="631"/>
      <c r="F875" s="631"/>
      <c r="G875" s="631"/>
      <c r="H875" s="652"/>
      <c r="I875" s="631"/>
      <c r="J875" s="631"/>
      <c r="K875" s="631"/>
      <c r="L875" s="631"/>
      <c r="M875" s="631"/>
      <c r="N875" s="631"/>
      <c r="O875" s="631"/>
      <c r="P875" s="631"/>
      <c r="Q875" s="631"/>
      <c r="R875" s="631"/>
      <c r="S875" s="631"/>
      <c r="T875" s="631"/>
      <c r="U875" s="631"/>
      <c r="V875" s="631"/>
      <c r="W875" s="631"/>
      <c r="X875" s="631"/>
      <c r="Y875" s="631"/>
      <c r="Z875" s="631"/>
    </row>
    <row r="876" spans="1:26">
      <c r="A876" s="636" t="s">
        <v>3648</v>
      </c>
      <c r="B876" s="631"/>
      <c r="C876" s="631"/>
      <c r="D876" s="631"/>
      <c r="E876" s="631"/>
      <c r="F876" s="631"/>
      <c r="G876" s="631"/>
      <c r="H876" s="652"/>
      <c r="I876" s="631"/>
      <c r="J876" s="631"/>
      <c r="K876" s="631"/>
      <c r="L876" s="631"/>
      <c r="M876" s="631"/>
      <c r="N876" s="631"/>
      <c r="O876" s="631"/>
      <c r="P876" s="631"/>
      <c r="Q876" s="631"/>
      <c r="R876" s="631"/>
      <c r="S876" s="631"/>
      <c r="T876" s="631"/>
      <c r="U876" s="631"/>
      <c r="V876" s="631"/>
      <c r="W876" s="631"/>
      <c r="X876" s="631"/>
      <c r="Y876" s="631"/>
      <c r="Z876" s="631"/>
    </row>
    <row r="877" spans="1:26">
      <c r="A877" s="636" t="s">
        <v>3648</v>
      </c>
      <c r="B877" s="631"/>
      <c r="C877" s="631"/>
      <c r="D877" s="631"/>
      <c r="E877" s="631"/>
      <c r="F877" s="631"/>
      <c r="G877" s="631"/>
      <c r="H877" s="652"/>
      <c r="I877" s="631"/>
      <c r="J877" s="631"/>
      <c r="K877" s="631"/>
      <c r="L877" s="631"/>
      <c r="M877" s="631"/>
      <c r="N877" s="631"/>
      <c r="O877" s="631"/>
      <c r="P877" s="631"/>
      <c r="Q877" s="631"/>
      <c r="R877" s="631"/>
      <c r="S877" s="631"/>
      <c r="T877" s="631"/>
      <c r="U877" s="631"/>
      <c r="V877" s="631"/>
      <c r="W877" s="631"/>
      <c r="X877" s="631"/>
      <c r="Y877" s="631"/>
      <c r="Z877" s="631"/>
    </row>
    <row r="878" spans="1:26">
      <c r="A878" s="636" t="s">
        <v>3648</v>
      </c>
      <c r="B878" s="631"/>
      <c r="C878" s="631"/>
      <c r="D878" s="631"/>
      <c r="E878" s="631"/>
      <c r="F878" s="631"/>
      <c r="G878" s="631"/>
      <c r="H878" s="652"/>
      <c r="I878" s="631"/>
      <c r="J878" s="631"/>
      <c r="K878" s="631"/>
      <c r="L878" s="631"/>
      <c r="M878" s="631"/>
      <c r="N878" s="631"/>
      <c r="O878" s="631"/>
      <c r="P878" s="631"/>
      <c r="Q878" s="631"/>
      <c r="R878" s="631"/>
      <c r="S878" s="631"/>
      <c r="T878" s="631"/>
      <c r="U878" s="631"/>
      <c r="V878" s="631"/>
      <c r="W878" s="631"/>
      <c r="X878" s="631"/>
      <c r="Y878" s="631"/>
      <c r="Z878" s="631"/>
    </row>
    <row r="879" spans="1:26">
      <c r="A879" s="636" t="s">
        <v>3648</v>
      </c>
      <c r="B879" s="631"/>
      <c r="C879" s="631"/>
      <c r="D879" s="631"/>
      <c r="E879" s="631"/>
      <c r="F879" s="631"/>
      <c r="G879" s="631"/>
      <c r="H879" s="652"/>
      <c r="I879" s="631"/>
      <c r="J879" s="631"/>
      <c r="K879" s="631"/>
      <c r="L879" s="631"/>
      <c r="M879" s="631"/>
      <c r="N879" s="631"/>
      <c r="O879" s="631"/>
      <c r="P879" s="631"/>
      <c r="Q879" s="631"/>
      <c r="R879" s="631"/>
      <c r="S879" s="631"/>
      <c r="T879" s="631"/>
      <c r="U879" s="631"/>
      <c r="V879" s="631"/>
      <c r="W879" s="631"/>
      <c r="X879" s="631"/>
      <c r="Y879" s="631"/>
      <c r="Z879" s="631"/>
    </row>
    <row r="880" spans="1:26">
      <c r="A880" s="636" t="s">
        <v>3648</v>
      </c>
      <c r="B880" s="631"/>
      <c r="C880" s="631"/>
      <c r="D880" s="631"/>
      <c r="E880" s="631"/>
      <c r="F880" s="631"/>
      <c r="G880" s="631"/>
      <c r="H880" s="652"/>
      <c r="I880" s="631"/>
      <c r="J880" s="631"/>
      <c r="K880" s="631"/>
      <c r="L880" s="631"/>
      <c r="M880" s="631"/>
      <c r="N880" s="631"/>
      <c r="O880" s="631"/>
      <c r="P880" s="631"/>
      <c r="Q880" s="631"/>
      <c r="R880" s="631"/>
      <c r="S880" s="631"/>
      <c r="T880" s="631"/>
      <c r="U880" s="631"/>
      <c r="V880" s="631"/>
      <c r="W880" s="631"/>
      <c r="X880" s="631"/>
      <c r="Y880" s="631"/>
      <c r="Z880" s="631"/>
    </row>
    <row r="881" spans="1:26">
      <c r="A881" s="636" t="s">
        <v>3648</v>
      </c>
      <c r="B881" s="631"/>
      <c r="C881" s="631"/>
      <c r="D881" s="631"/>
      <c r="E881" s="631"/>
      <c r="F881" s="631"/>
      <c r="G881" s="631"/>
      <c r="H881" s="652"/>
      <c r="I881" s="631"/>
      <c r="J881" s="631"/>
      <c r="K881" s="631"/>
      <c r="L881" s="631"/>
      <c r="M881" s="631"/>
      <c r="N881" s="631"/>
      <c r="O881" s="631"/>
      <c r="P881" s="631"/>
      <c r="Q881" s="631"/>
      <c r="R881" s="631"/>
      <c r="S881" s="631"/>
      <c r="T881" s="631"/>
      <c r="U881" s="631"/>
      <c r="V881" s="631"/>
      <c r="W881" s="631"/>
      <c r="X881" s="631"/>
      <c r="Y881" s="631"/>
      <c r="Z881" s="631"/>
    </row>
    <row r="882" spans="1:26">
      <c r="A882" s="636" t="s">
        <v>3648</v>
      </c>
      <c r="B882" s="631"/>
      <c r="C882" s="631"/>
      <c r="D882" s="631"/>
      <c r="E882" s="631"/>
      <c r="F882" s="631"/>
      <c r="G882" s="631"/>
      <c r="H882" s="652"/>
      <c r="I882" s="631"/>
      <c r="J882" s="631"/>
      <c r="K882" s="631"/>
      <c r="L882" s="631"/>
      <c r="M882" s="631"/>
      <c r="N882" s="631"/>
      <c r="O882" s="631"/>
      <c r="P882" s="631"/>
      <c r="Q882" s="631"/>
      <c r="R882" s="631"/>
      <c r="S882" s="631"/>
      <c r="T882" s="631"/>
      <c r="U882" s="631"/>
      <c r="V882" s="631"/>
      <c r="W882" s="631"/>
      <c r="X882" s="631"/>
      <c r="Y882" s="631"/>
      <c r="Z882" s="631"/>
    </row>
    <row r="883" spans="1:26">
      <c r="A883" s="636" t="s">
        <v>3648</v>
      </c>
      <c r="B883" s="631"/>
      <c r="C883" s="631"/>
      <c r="D883" s="631"/>
      <c r="E883" s="631"/>
      <c r="F883" s="631"/>
      <c r="G883" s="631"/>
      <c r="H883" s="652"/>
      <c r="I883" s="631"/>
      <c r="J883" s="631"/>
      <c r="K883" s="631"/>
      <c r="L883" s="631"/>
      <c r="M883" s="631"/>
      <c r="N883" s="631"/>
      <c r="O883" s="631"/>
      <c r="P883" s="631"/>
      <c r="Q883" s="631"/>
      <c r="R883" s="631"/>
      <c r="S883" s="631"/>
      <c r="T883" s="631"/>
      <c r="U883" s="631"/>
      <c r="V883" s="631"/>
      <c r="W883" s="631"/>
      <c r="X883" s="631"/>
      <c r="Y883" s="631"/>
      <c r="Z883" s="631"/>
    </row>
    <row r="884" spans="1:26">
      <c r="A884" s="636" t="s">
        <v>3648</v>
      </c>
      <c r="B884" s="631"/>
      <c r="C884" s="631"/>
      <c r="D884" s="631"/>
      <c r="E884" s="631"/>
      <c r="F884" s="631"/>
      <c r="G884" s="631"/>
      <c r="H884" s="652"/>
      <c r="I884" s="631"/>
      <c r="J884" s="631"/>
      <c r="K884" s="631"/>
      <c r="L884" s="631"/>
      <c r="M884" s="631"/>
      <c r="N884" s="631"/>
      <c r="O884" s="631"/>
      <c r="P884" s="631"/>
      <c r="Q884" s="631"/>
      <c r="R884" s="631"/>
      <c r="S884" s="631"/>
      <c r="T884" s="631"/>
      <c r="U884" s="631"/>
      <c r="V884" s="631"/>
      <c r="W884" s="631"/>
      <c r="X884" s="631"/>
      <c r="Y884" s="631"/>
      <c r="Z884" s="631"/>
    </row>
    <row r="885" spans="1:26">
      <c r="A885" s="636" t="s">
        <v>3648</v>
      </c>
      <c r="B885" s="631"/>
      <c r="C885" s="631"/>
      <c r="D885" s="631"/>
      <c r="E885" s="631"/>
      <c r="F885" s="631"/>
      <c r="G885" s="631"/>
      <c r="H885" s="652"/>
      <c r="I885" s="631"/>
      <c r="J885" s="631"/>
      <c r="K885" s="631"/>
      <c r="L885" s="631"/>
      <c r="M885" s="631"/>
      <c r="N885" s="631"/>
      <c r="O885" s="631"/>
      <c r="P885" s="631"/>
      <c r="Q885" s="631"/>
      <c r="R885" s="631"/>
      <c r="S885" s="631"/>
      <c r="T885" s="631"/>
      <c r="U885" s="631"/>
      <c r="V885" s="631"/>
      <c r="W885" s="631"/>
      <c r="X885" s="631"/>
      <c r="Y885" s="631"/>
      <c r="Z885" s="631"/>
    </row>
    <row r="886" spans="1:26">
      <c r="A886" s="636" t="s">
        <v>3648</v>
      </c>
      <c r="B886" s="631"/>
      <c r="C886" s="631"/>
      <c r="D886" s="631"/>
      <c r="E886" s="631"/>
      <c r="F886" s="631"/>
      <c r="G886" s="631"/>
      <c r="H886" s="652"/>
      <c r="I886" s="631"/>
      <c r="J886" s="631"/>
      <c r="K886" s="631"/>
      <c r="L886" s="631"/>
      <c r="M886" s="631"/>
      <c r="N886" s="631"/>
      <c r="O886" s="631"/>
      <c r="P886" s="631"/>
      <c r="Q886" s="631"/>
      <c r="R886" s="631"/>
      <c r="S886" s="631"/>
      <c r="T886" s="631"/>
      <c r="U886" s="631"/>
      <c r="V886" s="631"/>
      <c r="W886" s="631"/>
      <c r="X886" s="631"/>
      <c r="Y886" s="631"/>
      <c r="Z886" s="631"/>
    </row>
    <row r="887" spans="1:26">
      <c r="A887" s="636" t="s">
        <v>3648</v>
      </c>
      <c r="B887" s="631"/>
      <c r="C887" s="631"/>
      <c r="D887" s="631"/>
      <c r="E887" s="631"/>
      <c r="F887" s="631"/>
      <c r="G887" s="631"/>
      <c r="H887" s="652"/>
      <c r="I887" s="631"/>
      <c r="J887" s="631"/>
      <c r="K887" s="631"/>
      <c r="L887" s="631"/>
      <c r="M887" s="631"/>
      <c r="N887" s="631"/>
      <c r="O887" s="631"/>
      <c r="P887" s="631"/>
      <c r="Q887" s="631"/>
      <c r="R887" s="631"/>
      <c r="S887" s="631"/>
      <c r="T887" s="631"/>
      <c r="U887" s="631"/>
      <c r="V887" s="631"/>
      <c r="W887" s="631"/>
      <c r="X887" s="631"/>
      <c r="Y887" s="631"/>
      <c r="Z887" s="631"/>
    </row>
    <row r="888" spans="1:26">
      <c r="A888" s="636" t="s">
        <v>3648</v>
      </c>
      <c r="B888" s="631"/>
      <c r="C888" s="631"/>
      <c r="D888" s="631"/>
      <c r="E888" s="631"/>
      <c r="F888" s="631"/>
      <c r="G888" s="631"/>
      <c r="H888" s="652"/>
      <c r="I888" s="631"/>
      <c r="J888" s="631"/>
      <c r="K888" s="631"/>
      <c r="L888" s="631"/>
      <c r="M888" s="631"/>
      <c r="N888" s="631"/>
      <c r="O888" s="631"/>
      <c r="P888" s="631"/>
      <c r="Q888" s="631"/>
      <c r="R888" s="631"/>
      <c r="S888" s="631"/>
      <c r="T888" s="631"/>
      <c r="U888" s="631"/>
      <c r="V888" s="631"/>
      <c r="W888" s="631"/>
      <c r="X888" s="631"/>
      <c r="Y888" s="631"/>
      <c r="Z888" s="631"/>
    </row>
    <row r="889" spans="1:26">
      <c r="A889" s="636" t="s">
        <v>3648</v>
      </c>
      <c r="B889" s="631"/>
      <c r="C889" s="631"/>
      <c r="D889" s="631"/>
      <c r="E889" s="631"/>
      <c r="F889" s="631"/>
      <c r="G889" s="631"/>
      <c r="H889" s="652"/>
      <c r="I889" s="631"/>
      <c r="J889" s="631"/>
      <c r="K889" s="631"/>
      <c r="L889" s="631"/>
      <c r="M889" s="631"/>
      <c r="N889" s="631"/>
      <c r="O889" s="631"/>
      <c r="P889" s="631"/>
      <c r="Q889" s="631"/>
      <c r="R889" s="631"/>
      <c r="S889" s="631"/>
      <c r="T889" s="631"/>
      <c r="U889" s="631"/>
      <c r="V889" s="631"/>
      <c r="W889" s="631"/>
      <c r="X889" s="631"/>
      <c r="Y889" s="631"/>
      <c r="Z889" s="631"/>
    </row>
    <row r="890" spans="1:26">
      <c r="A890" s="636" t="s">
        <v>3648</v>
      </c>
      <c r="B890" s="631"/>
      <c r="C890" s="631"/>
      <c r="D890" s="631"/>
      <c r="E890" s="631"/>
      <c r="F890" s="631"/>
      <c r="G890" s="631"/>
      <c r="H890" s="652"/>
      <c r="I890" s="631"/>
      <c r="J890" s="631"/>
      <c r="K890" s="631"/>
      <c r="L890" s="631"/>
      <c r="M890" s="631"/>
      <c r="N890" s="631"/>
      <c r="O890" s="631"/>
      <c r="P890" s="631"/>
      <c r="Q890" s="631"/>
      <c r="R890" s="631"/>
      <c r="S890" s="631"/>
      <c r="T890" s="631"/>
      <c r="U890" s="631"/>
      <c r="V890" s="631"/>
      <c r="W890" s="631"/>
      <c r="X890" s="631"/>
      <c r="Y890" s="631"/>
      <c r="Z890" s="631"/>
    </row>
    <row r="891" spans="1:26">
      <c r="A891" s="636" t="s">
        <v>3648</v>
      </c>
      <c r="B891" s="631"/>
      <c r="C891" s="631"/>
      <c r="D891" s="631"/>
      <c r="E891" s="631"/>
      <c r="F891" s="631"/>
      <c r="G891" s="631"/>
      <c r="H891" s="652"/>
      <c r="I891" s="631"/>
      <c r="J891" s="631"/>
      <c r="K891" s="631"/>
      <c r="L891" s="631"/>
      <c r="M891" s="631"/>
      <c r="N891" s="631"/>
      <c r="O891" s="631"/>
      <c r="P891" s="631"/>
      <c r="Q891" s="631"/>
      <c r="R891" s="631"/>
      <c r="S891" s="631"/>
      <c r="T891" s="631"/>
      <c r="U891" s="631"/>
      <c r="V891" s="631"/>
      <c r="W891" s="631"/>
      <c r="X891" s="631"/>
      <c r="Y891" s="631"/>
      <c r="Z891" s="631"/>
    </row>
    <row r="892" spans="1:26">
      <c r="A892" s="636" t="s">
        <v>3648</v>
      </c>
      <c r="B892" s="631"/>
      <c r="C892" s="631"/>
      <c r="D892" s="631"/>
      <c r="E892" s="631"/>
      <c r="F892" s="631"/>
      <c r="G892" s="631"/>
      <c r="H892" s="652"/>
      <c r="I892" s="631"/>
      <c r="J892" s="631"/>
      <c r="K892" s="631"/>
      <c r="L892" s="631"/>
      <c r="M892" s="631"/>
      <c r="N892" s="631"/>
      <c r="O892" s="631"/>
      <c r="P892" s="631"/>
      <c r="Q892" s="631"/>
      <c r="R892" s="631"/>
      <c r="S892" s="631"/>
      <c r="T892" s="631"/>
      <c r="U892" s="631"/>
      <c r="V892" s="631"/>
      <c r="W892" s="631"/>
      <c r="X892" s="631"/>
      <c r="Y892" s="631"/>
      <c r="Z892" s="631"/>
    </row>
    <row r="893" spans="1:26">
      <c r="A893" s="636" t="s">
        <v>3648</v>
      </c>
      <c r="B893" s="631"/>
      <c r="C893" s="631"/>
      <c r="D893" s="631"/>
      <c r="E893" s="631"/>
      <c r="F893" s="631"/>
      <c r="G893" s="631"/>
      <c r="H893" s="652"/>
      <c r="I893" s="631"/>
      <c r="J893" s="631"/>
      <c r="K893" s="631"/>
      <c r="L893" s="631"/>
      <c r="M893" s="631"/>
      <c r="N893" s="631"/>
      <c r="O893" s="631"/>
      <c r="P893" s="631"/>
      <c r="Q893" s="631"/>
      <c r="R893" s="631"/>
      <c r="S893" s="631"/>
      <c r="T893" s="631"/>
      <c r="U893" s="631"/>
      <c r="V893" s="631"/>
      <c r="W893" s="631"/>
      <c r="X893" s="631"/>
      <c r="Y893" s="631"/>
      <c r="Z893" s="631"/>
    </row>
    <row r="894" spans="1:26">
      <c r="A894" s="636" t="s">
        <v>3648</v>
      </c>
      <c r="B894" s="631"/>
      <c r="C894" s="631"/>
      <c r="D894" s="631"/>
      <c r="E894" s="631"/>
      <c r="F894" s="631"/>
      <c r="G894" s="631"/>
      <c r="H894" s="652"/>
      <c r="I894" s="631"/>
      <c r="J894" s="631"/>
      <c r="K894" s="631"/>
      <c r="L894" s="631"/>
      <c r="M894" s="631"/>
      <c r="N894" s="631"/>
      <c r="O894" s="631"/>
      <c r="P894" s="631"/>
      <c r="Q894" s="631"/>
      <c r="R894" s="631"/>
      <c r="S894" s="631"/>
      <c r="T894" s="631"/>
      <c r="U894" s="631"/>
      <c r="V894" s="631"/>
      <c r="W894" s="631"/>
      <c r="X894" s="631"/>
      <c r="Y894" s="631"/>
      <c r="Z894" s="631"/>
    </row>
    <row r="895" spans="1:26">
      <c r="A895" s="636" t="s">
        <v>3648</v>
      </c>
      <c r="B895" s="631"/>
      <c r="C895" s="631"/>
      <c r="D895" s="631"/>
      <c r="E895" s="631"/>
      <c r="F895" s="631"/>
      <c r="G895" s="631"/>
      <c r="H895" s="652"/>
      <c r="I895" s="631"/>
      <c r="J895" s="631"/>
      <c r="K895" s="631"/>
      <c r="L895" s="631"/>
      <c r="M895" s="631"/>
      <c r="N895" s="631"/>
      <c r="O895" s="631"/>
      <c r="P895" s="631"/>
      <c r="Q895" s="631"/>
      <c r="R895" s="631"/>
      <c r="S895" s="631"/>
      <c r="T895" s="631"/>
      <c r="U895" s="631"/>
      <c r="V895" s="631"/>
      <c r="W895" s="631"/>
      <c r="X895" s="631"/>
      <c r="Y895" s="631"/>
      <c r="Z895" s="631"/>
    </row>
    <row r="896" spans="1:26">
      <c r="A896" s="636" t="s">
        <v>3648</v>
      </c>
      <c r="B896" s="631"/>
      <c r="C896" s="631"/>
      <c r="D896" s="631"/>
      <c r="E896" s="631"/>
      <c r="F896" s="631"/>
      <c r="G896" s="631"/>
      <c r="H896" s="652"/>
      <c r="I896" s="631"/>
      <c r="J896" s="631"/>
      <c r="K896" s="631"/>
      <c r="L896" s="631"/>
      <c r="M896" s="631"/>
      <c r="N896" s="631"/>
      <c r="O896" s="631"/>
      <c r="P896" s="631"/>
      <c r="Q896" s="631"/>
      <c r="R896" s="631"/>
      <c r="S896" s="631"/>
      <c r="T896" s="631"/>
      <c r="U896" s="631"/>
      <c r="V896" s="631"/>
      <c r="W896" s="631"/>
      <c r="X896" s="631"/>
      <c r="Y896" s="631"/>
      <c r="Z896" s="631"/>
    </row>
    <row r="897" spans="1:26">
      <c r="A897" s="636" t="s">
        <v>3648</v>
      </c>
      <c r="B897" s="631"/>
      <c r="C897" s="631"/>
      <c r="D897" s="631"/>
      <c r="E897" s="631"/>
      <c r="F897" s="631"/>
      <c r="G897" s="631"/>
      <c r="H897" s="652"/>
      <c r="I897" s="631"/>
      <c r="J897" s="631"/>
      <c r="K897" s="631"/>
      <c r="L897" s="631"/>
      <c r="M897" s="631"/>
      <c r="N897" s="631"/>
      <c r="O897" s="631"/>
      <c r="P897" s="631"/>
      <c r="Q897" s="631"/>
      <c r="R897" s="631"/>
      <c r="S897" s="631"/>
      <c r="T897" s="631"/>
      <c r="U897" s="631"/>
      <c r="V897" s="631"/>
      <c r="W897" s="631"/>
      <c r="X897" s="631"/>
      <c r="Y897" s="631"/>
      <c r="Z897" s="631"/>
    </row>
    <row r="898" spans="1:26">
      <c r="A898" s="636" t="s">
        <v>3648</v>
      </c>
      <c r="B898" s="631"/>
      <c r="C898" s="631"/>
      <c r="D898" s="631"/>
      <c r="E898" s="631"/>
      <c r="F898" s="631"/>
      <c r="G898" s="631"/>
      <c r="H898" s="652"/>
      <c r="I898" s="631"/>
      <c r="J898" s="631"/>
      <c r="K898" s="631"/>
      <c r="L898" s="631"/>
      <c r="M898" s="631"/>
      <c r="N898" s="631"/>
      <c r="O898" s="631"/>
      <c r="P898" s="631"/>
      <c r="Q898" s="631"/>
      <c r="R898" s="631"/>
      <c r="S898" s="631"/>
      <c r="T898" s="631"/>
      <c r="U898" s="631"/>
      <c r="V898" s="631"/>
      <c r="W898" s="631"/>
      <c r="X898" s="631"/>
      <c r="Y898" s="631"/>
      <c r="Z898" s="631"/>
    </row>
    <row r="899" spans="1:26">
      <c r="A899" s="636" t="s">
        <v>3648</v>
      </c>
      <c r="B899" s="631"/>
      <c r="C899" s="631"/>
      <c r="D899" s="631"/>
      <c r="E899" s="631"/>
      <c r="F899" s="631"/>
      <c r="G899" s="631"/>
      <c r="H899" s="652"/>
      <c r="I899" s="631"/>
      <c r="J899" s="631"/>
      <c r="K899" s="631"/>
      <c r="L899" s="631"/>
      <c r="M899" s="631"/>
      <c r="N899" s="631"/>
      <c r="O899" s="631"/>
      <c r="P899" s="631"/>
      <c r="Q899" s="631"/>
      <c r="R899" s="631"/>
      <c r="S899" s="631"/>
      <c r="T899" s="631"/>
      <c r="U899" s="631"/>
      <c r="V899" s="631"/>
      <c r="W899" s="631"/>
      <c r="X899" s="631"/>
      <c r="Y899" s="631"/>
      <c r="Z899" s="631"/>
    </row>
    <row r="900" spans="1:26">
      <c r="A900" s="636" t="s">
        <v>3648</v>
      </c>
      <c r="B900" s="631"/>
      <c r="C900" s="631"/>
      <c r="D900" s="631"/>
      <c r="E900" s="631"/>
      <c r="F900" s="631"/>
      <c r="G900" s="631"/>
      <c r="H900" s="652"/>
      <c r="I900" s="631"/>
      <c r="J900" s="631"/>
      <c r="K900" s="631"/>
      <c r="L900" s="631"/>
      <c r="M900" s="631"/>
      <c r="N900" s="631"/>
      <c r="O900" s="631"/>
      <c r="P900" s="631"/>
      <c r="Q900" s="631"/>
      <c r="R900" s="631"/>
      <c r="S900" s="631"/>
      <c r="T900" s="631"/>
      <c r="U900" s="631"/>
      <c r="V900" s="631"/>
      <c r="W900" s="631"/>
      <c r="X900" s="631"/>
      <c r="Y900" s="631"/>
      <c r="Z900" s="631"/>
    </row>
    <row r="901" spans="1:26">
      <c r="A901" s="636" t="s">
        <v>3648</v>
      </c>
      <c r="B901" s="631"/>
      <c r="C901" s="631"/>
      <c r="D901" s="631"/>
      <c r="E901" s="631"/>
      <c r="F901" s="631"/>
      <c r="G901" s="631"/>
      <c r="H901" s="652"/>
      <c r="I901" s="631"/>
      <c r="J901" s="631"/>
      <c r="K901" s="631"/>
      <c r="L901" s="631"/>
      <c r="M901" s="631"/>
      <c r="N901" s="631"/>
      <c r="O901" s="631"/>
      <c r="P901" s="631"/>
      <c r="Q901" s="631"/>
      <c r="R901" s="631"/>
      <c r="S901" s="631"/>
      <c r="T901" s="631"/>
      <c r="U901" s="631"/>
      <c r="V901" s="631"/>
      <c r="W901" s="631"/>
      <c r="X901" s="631"/>
      <c r="Y901" s="631"/>
      <c r="Z901" s="631"/>
    </row>
    <row r="902" spans="1:26">
      <c r="A902" s="636" t="s">
        <v>3648</v>
      </c>
      <c r="B902" s="631"/>
      <c r="C902" s="631"/>
      <c r="D902" s="631"/>
      <c r="E902" s="631"/>
      <c r="F902" s="631"/>
      <c r="G902" s="631"/>
      <c r="H902" s="652"/>
      <c r="I902" s="631"/>
      <c r="J902" s="631"/>
      <c r="K902" s="631"/>
      <c r="L902" s="631"/>
      <c r="M902" s="631"/>
      <c r="N902" s="631"/>
      <c r="O902" s="631"/>
      <c r="P902" s="631"/>
      <c r="Q902" s="631"/>
      <c r="R902" s="631"/>
      <c r="S902" s="631"/>
      <c r="T902" s="631"/>
      <c r="U902" s="631"/>
      <c r="V902" s="631"/>
      <c r="W902" s="631"/>
      <c r="X902" s="631"/>
      <c r="Y902" s="631"/>
      <c r="Z902" s="631"/>
    </row>
    <row r="903" spans="1:26">
      <c r="A903" s="636" t="s">
        <v>3648</v>
      </c>
      <c r="B903" s="631"/>
      <c r="C903" s="631"/>
      <c r="D903" s="631"/>
      <c r="E903" s="631"/>
      <c r="F903" s="631"/>
      <c r="G903" s="631"/>
      <c r="H903" s="652"/>
      <c r="I903" s="631"/>
      <c r="J903" s="631"/>
      <c r="K903" s="631"/>
      <c r="L903" s="631"/>
      <c r="M903" s="631"/>
      <c r="N903" s="631"/>
      <c r="O903" s="631"/>
      <c r="P903" s="631"/>
      <c r="Q903" s="631"/>
      <c r="R903" s="631"/>
      <c r="S903" s="631"/>
      <c r="T903" s="631"/>
      <c r="U903" s="631"/>
      <c r="V903" s="631"/>
      <c r="W903" s="631"/>
      <c r="X903" s="631"/>
      <c r="Y903" s="631"/>
      <c r="Z903" s="631"/>
    </row>
    <row r="904" spans="1:26">
      <c r="A904" s="636" t="s">
        <v>3648</v>
      </c>
      <c r="B904" s="631"/>
      <c r="C904" s="631"/>
      <c r="D904" s="631"/>
      <c r="E904" s="631"/>
      <c r="F904" s="631"/>
      <c r="G904" s="631"/>
      <c r="H904" s="652"/>
      <c r="I904" s="631"/>
      <c r="J904" s="631"/>
      <c r="K904" s="631"/>
      <c r="L904" s="631"/>
      <c r="M904" s="631"/>
      <c r="N904" s="631"/>
      <c r="O904" s="631"/>
      <c r="P904" s="631"/>
      <c r="Q904" s="631"/>
      <c r="R904" s="631"/>
      <c r="S904" s="631"/>
      <c r="T904" s="631"/>
      <c r="U904" s="631"/>
      <c r="V904" s="631"/>
      <c r="W904" s="631"/>
      <c r="X904" s="631"/>
      <c r="Y904" s="631"/>
      <c r="Z904" s="631"/>
    </row>
    <row r="905" spans="1:26">
      <c r="A905" s="636" t="s">
        <v>3648</v>
      </c>
      <c r="B905" s="631"/>
      <c r="C905" s="631"/>
      <c r="D905" s="631"/>
      <c r="E905" s="631"/>
      <c r="F905" s="631"/>
      <c r="G905" s="631"/>
      <c r="H905" s="652"/>
      <c r="I905" s="631"/>
      <c r="J905" s="631"/>
      <c r="K905" s="631"/>
      <c r="L905" s="631"/>
      <c r="M905" s="631"/>
      <c r="N905" s="631"/>
      <c r="O905" s="631"/>
      <c r="P905" s="631"/>
      <c r="Q905" s="631"/>
      <c r="R905" s="631"/>
      <c r="S905" s="631"/>
      <c r="T905" s="631"/>
      <c r="U905" s="631"/>
      <c r="V905" s="631"/>
      <c r="W905" s="631"/>
      <c r="X905" s="631"/>
      <c r="Y905" s="631"/>
      <c r="Z905" s="631"/>
    </row>
    <row r="906" spans="1:26">
      <c r="A906" s="636" t="s">
        <v>3648</v>
      </c>
      <c r="B906" s="631"/>
      <c r="C906" s="631"/>
      <c r="D906" s="631"/>
      <c r="E906" s="631"/>
      <c r="F906" s="631"/>
      <c r="G906" s="631"/>
      <c r="H906" s="652"/>
      <c r="I906" s="631"/>
      <c r="J906" s="631"/>
      <c r="K906" s="631"/>
      <c r="L906" s="631"/>
      <c r="M906" s="631"/>
      <c r="N906" s="631"/>
      <c r="O906" s="631"/>
      <c r="P906" s="631"/>
      <c r="Q906" s="631"/>
      <c r="R906" s="631"/>
      <c r="S906" s="631"/>
      <c r="T906" s="631"/>
      <c r="U906" s="631"/>
      <c r="V906" s="631"/>
      <c r="W906" s="631"/>
      <c r="X906" s="631"/>
      <c r="Y906" s="631"/>
      <c r="Z906" s="631"/>
    </row>
    <row r="907" spans="1:26">
      <c r="A907" s="636" t="s">
        <v>3648</v>
      </c>
      <c r="B907" s="631"/>
      <c r="C907" s="631"/>
      <c r="D907" s="631"/>
      <c r="E907" s="631"/>
      <c r="F907" s="631"/>
      <c r="G907" s="631"/>
      <c r="H907" s="652"/>
      <c r="I907" s="631"/>
      <c r="J907" s="631"/>
      <c r="K907" s="631"/>
      <c r="L907" s="631"/>
      <c r="M907" s="631"/>
      <c r="N907" s="631"/>
      <c r="O907" s="631"/>
      <c r="P907" s="631"/>
      <c r="Q907" s="631"/>
      <c r="R907" s="631"/>
      <c r="S907" s="631"/>
      <c r="T907" s="631"/>
      <c r="U907" s="631"/>
      <c r="V907" s="631"/>
      <c r="W907" s="631"/>
      <c r="X907" s="631"/>
      <c r="Y907" s="631"/>
      <c r="Z907" s="631"/>
    </row>
    <row r="908" spans="1:26">
      <c r="A908" s="636" t="s">
        <v>3648</v>
      </c>
      <c r="B908" s="631"/>
      <c r="C908" s="631"/>
      <c r="D908" s="631"/>
      <c r="E908" s="631"/>
      <c r="F908" s="631"/>
      <c r="G908" s="631"/>
      <c r="H908" s="652"/>
      <c r="I908" s="631"/>
      <c r="J908" s="631"/>
      <c r="K908" s="631"/>
      <c r="L908" s="631"/>
      <c r="M908" s="631"/>
      <c r="N908" s="631"/>
      <c r="O908" s="631"/>
      <c r="P908" s="631"/>
      <c r="Q908" s="631"/>
      <c r="R908" s="631"/>
      <c r="S908" s="631"/>
      <c r="T908" s="631"/>
      <c r="U908" s="631"/>
      <c r="V908" s="631"/>
      <c r="W908" s="631"/>
      <c r="X908" s="631"/>
      <c r="Y908" s="631"/>
      <c r="Z908" s="631"/>
    </row>
    <row r="909" spans="1:26">
      <c r="A909" s="636" t="s">
        <v>3648</v>
      </c>
      <c r="B909" s="631"/>
      <c r="C909" s="631"/>
      <c r="D909" s="631"/>
      <c r="E909" s="631"/>
      <c r="F909" s="631"/>
      <c r="G909" s="631"/>
      <c r="H909" s="652"/>
      <c r="I909" s="631"/>
      <c r="J909" s="631"/>
      <c r="K909" s="631"/>
      <c r="L909" s="631"/>
      <c r="M909" s="631"/>
      <c r="N909" s="631"/>
      <c r="O909" s="631"/>
      <c r="P909" s="631"/>
      <c r="Q909" s="631"/>
      <c r="R909" s="631"/>
      <c r="S909" s="631"/>
      <c r="T909" s="631"/>
      <c r="U909" s="631"/>
      <c r="V909" s="631"/>
      <c r="W909" s="631"/>
      <c r="X909" s="631"/>
      <c r="Y909" s="631"/>
      <c r="Z909" s="631"/>
    </row>
    <row r="910" spans="1:26">
      <c r="A910" s="636" t="s">
        <v>3648</v>
      </c>
      <c r="B910" s="631"/>
      <c r="C910" s="631"/>
      <c r="D910" s="631"/>
      <c r="E910" s="631"/>
      <c r="F910" s="631"/>
      <c r="G910" s="631"/>
      <c r="H910" s="652"/>
      <c r="I910" s="631"/>
      <c r="J910" s="631"/>
      <c r="K910" s="631"/>
      <c r="L910" s="631"/>
      <c r="M910" s="631"/>
      <c r="N910" s="631"/>
      <c r="O910" s="631"/>
      <c r="P910" s="631"/>
      <c r="Q910" s="631"/>
      <c r="R910" s="631"/>
      <c r="S910" s="631"/>
      <c r="T910" s="631"/>
      <c r="U910" s="631"/>
      <c r="V910" s="631"/>
      <c r="W910" s="631"/>
      <c r="X910" s="631"/>
      <c r="Y910" s="631"/>
      <c r="Z910" s="631"/>
    </row>
    <row r="911" spans="1:26">
      <c r="A911" s="636" t="s">
        <v>3648</v>
      </c>
      <c r="B911" s="631"/>
      <c r="C911" s="631"/>
      <c r="D911" s="631"/>
      <c r="E911" s="631"/>
      <c r="F911" s="631"/>
      <c r="G911" s="631"/>
      <c r="H911" s="652"/>
      <c r="I911" s="631"/>
      <c r="J911" s="631"/>
      <c r="K911" s="631"/>
      <c r="L911" s="631"/>
      <c r="M911" s="631"/>
      <c r="N911" s="631"/>
      <c r="O911" s="631"/>
      <c r="P911" s="631"/>
      <c r="Q911" s="631"/>
      <c r="R911" s="631"/>
      <c r="S911" s="631"/>
      <c r="T911" s="631"/>
      <c r="U911" s="631"/>
      <c r="V911" s="631"/>
      <c r="W911" s="631"/>
      <c r="X911" s="631"/>
      <c r="Y911" s="631"/>
      <c r="Z911" s="631"/>
    </row>
    <row r="912" spans="1:26">
      <c r="A912" s="636" t="s">
        <v>3648</v>
      </c>
      <c r="B912" s="631"/>
      <c r="C912" s="631"/>
      <c r="D912" s="631"/>
      <c r="E912" s="631"/>
      <c r="F912" s="631"/>
      <c r="G912" s="631"/>
      <c r="H912" s="652"/>
      <c r="I912" s="631"/>
      <c r="J912" s="631"/>
      <c r="K912" s="631"/>
      <c r="L912" s="631"/>
      <c r="M912" s="631"/>
      <c r="N912" s="631"/>
      <c r="O912" s="631"/>
      <c r="P912" s="631"/>
      <c r="Q912" s="631"/>
      <c r="R912" s="631"/>
      <c r="S912" s="631"/>
      <c r="T912" s="631"/>
      <c r="U912" s="631"/>
      <c r="V912" s="631"/>
      <c r="W912" s="631"/>
      <c r="X912" s="631"/>
      <c r="Y912" s="631"/>
      <c r="Z912" s="631"/>
    </row>
    <row r="913" spans="1:26">
      <c r="A913" s="636" t="s">
        <v>3648</v>
      </c>
      <c r="B913" s="631"/>
      <c r="C913" s="631"/>
      <c r="D913" s="631"/>
      <c r="E913" s="631"/>
      <c r="F913" s="631"/>
      <c r="G913" s="631"/>
      <c r="H913" s="652"/>
      <c r="I913" s="631"/>
      <c r="J913" s="631"/>
      <c r="K913" s="631"/>
      <c r="L913" s="631"/>
      <c r="M913" s="631"/>
      <c r="N913" s="631"/>
      <c r="O913" s="631"/>
      <c r="P913" s="631"/>
      <c r="Q913" s="631"/>
      <c r="R913" s="631"/>
      <c r="S913" s="631"/>
      <c r="T913" s="631"/>
      <c r="U913" s="631"/>
      <c r="V913" s="631"/>
      <c r="W913" s="631"/>
      <c r="X913" s="631"/>
      <c r="Y913" s="631"/>
      <c r="Z913" s="631"/>
    </row>
    <row r="914" spans="1:26">
      <c r="A914" s="636" t="s">
        <v>3648</v>
      </c>
      <c r="B914" s="631"/>
      <c r="C914" s="631"/>
      <c r="D914" s="631"/>
      <c r="E914" s="631"/>
      <c r="F914" s="631"/>
      <c r="G914" s="631"/>
      <c r="H914" s="652"/>
      <c r="I914" s="631"/>
      <c r="J914" s="631"/>
      <c r="K914" s="631"/>
      <c r="L914" s="631"/>
      <c r="M914" s="631"/>
      <c r="N914" s="631"/>
      <c r="O914" s="631"/>
      <c r="P914" s="631"/>
      <c r="Q914" s="631"/>
      <c r="R914" s="631"/>
      <c r="S914" s="631"/>
      <c r="T914" s="631"/>
      <c r="U914" s="631"/>
      <c r="V914" s="631"/>
      <c r="W914" s="631"/>
      <c r="X914" s="631"/>
      <c r="Y914" s="631"/>
      <c r="Z914" s="631"/>
    </row>
    <row r="915" spans="1:26">
      <c r="A915" s="636" t="s">
        <v>3648</v>
      </c>
      <c r="B915" s="631"/>
      <c r="C915" s="631"/>
      <c r="D915" s="631"/>
      <c r="E915" s="631"/>
      <c r="F915" s="631"/>
      <c r="G915" s="631"/>
      <c r="H915" s="652"/>
      <c r="I915" s="631"/>
      <c r="J915" s="631"/>
      <c r="K915" s="631"/>
      <c r="L915" s="631"/>
      <c r="M915" s="631"/>
      <c r="N915" s="631"/>
      <c r="O915" s="631"/>
      <c r="P915" s="631"/>
      <c r="Q915" s="631"/>
      <c r="R915" s="631"/>
      <c r="S915" s="631"/>
      <c r="T915" s="631"/>
      <c r="U915" s="631"/>
      <c r="V915" s="631"/>
      <c r="W915" s="631"/>
      <c r="X915" s="631"/>
      <c r="Y915" s="631"/>
      <c r="Z915" s="631"/>
    </row>
    <row r="916" spans="1:26">
      <c r="A916" s="636" t="s">
        <v>3648</v>
      </c>
      <c r="B916" s="631"/>
      <c r="C916" s="631"/>
      <c r="D916" s="631"/>
      <c r="E916" s="631"/>
      <c r="F916" s="631"/>
      <c r="G916" s="631"/>
      <c r="H916" s="652"/>
      <c r="I916" s="631"/>
      <c r="J916" s="631"/>
      <c r="K916" s="631"/>
      <c r="L916" s="631"/>
      <c r="M916" s="631"/>
      <c r="N916" s="631"/>
      <c r="O916" s="631"/>
      <c r="P916" s="631"/>
      <c r="Q916" s="631"/>
      <c r="R916" s="631"/>
      <c r="S916" s="631"/>
      <c r="T916" s="631"/>
      <c r="U916" s="631"/>
      <c r="V916" s="631"/>
      <c r="W916" s="631"/>
      <c r="X916" s="631"/>
      <c r="Y916" s="631"/>
      <c r="Z916" s="631"/>
    </row>
    <row r="917" spans="1:26">
      <c r="A917" s="636" t="s">
        <v>3648</v>
      </c>
      <c r="B917" s="631"/>
      <c r="C917" s="631"/>
      <c r="D917" s="631"/>
      <c r="E917" s="631"/>
      <c r="F917" s="631"/>
      <c r="G917" s="631"/>
      <c r="H917" s="652"/>
      <c r="I917" s="631"/>
      <c r="J917" s="631"/>
      <c r="K917" s="631"/>
      <c r="L917" s="631"/>
      <c r="M917" s="631"/>
      <c r="N917" s="631"/>
      <c r="O917" s="631"/>
      <c r="P917" s="631"/>
      <c r="Q917" s="631"/>
      <c r="R917" s="631"/>
      <c r="S917" s="631"/>
      <c r="T917" s="631"/>
      <c r="U917" s="631"/>
      <c r="V917" s="631"/>
      <c r="W917" s="631"/>
      <c r="X917" s="631"/>
      <c r="Y917" s="631"/>
      <c r="Z917" s="631"/>
    </row>
    <row r="918" spans="1:26">
      <c r="A918" s="636" t="s">
        <v>3648</v>
      </c>
      <c r="B918" s="631"/>
      <c r="C918" s="631"/>
      <c r="D918" s="631"/>
      <c r="E918" s="631"/>
      <c r="F918" s="631"/>
      <c r="G918" s="631"/>
      <c r="H918" s="652"/>
      <c r="I918" s="631"/>
      <c r="J918" s="631"/>
      <c r="K918" s="631"/>
      <c r="L918" s="631"/>
      <c r="M918" s="631"/>
      <c r="N918" s="631"/>
      <c r="O918" s="631"/>
      <c r="P918" s="631"/>
      <c r="Q918" s="631"/>
      <c r="R918" s="631"/>
      <c r="S918" s="631"/>
      <c r="T918" s="631"/>
      <c r="U918" s="631"/>
      <c r="V918" s="631"/>
      <c r="W918" s="631"/>
      <c r="X918" s="631"/>
      <c r="Y918" s="631"/>
      <c r="Z918" s="631"/>
    </row>
    <row r="919" spans="1:26">
      <c r="A919" s="636" t="s">
        <v>3648</v>
      </c>
      <c r="B919" s="631"/>
      <c r="C919" s="631"/>
      <c r="D919" s="631"/>
      <c r="E919" s="631"/>
      <c r="F919" s="631"/>
      <c r="G919" s="631"/>
      <c r="H919" s="652"/>
      <c r="I919" s="631"/>
      <c r="J919" s="631"/>
      <c r="K919" s="631"/>
      <c r="L919" s="631"/>
      <c r="M919" s="631"/>
      <c r="N919" s="631"/>
      <c r="O919" s="631"/>
      <c r="P919" s="631"/>
      <c r="Q919" s="631"/>
      <c r="R919" s="631"/>
      <c r="S919" s="631"/>
      <c r="T919" s="631"/>
      <c r="U919" s="631"/>
      <c r="V919" s="631"/>
      <c r="W919" s="631"/>
      <c r="X919" s="631"/>
      <c r="Y919" s="631"/>
      <c r="Z919" s="631"/>
    </row>
    <row r="920" spans="1:26">
      <c r="A920" s="636" t="s">
        <v>3648</v>
      </c>
      <c r="B920" s="631"/>
      <c r="C920" s="631"/>
      <c r="D920" s="631"/>
      <c r="E920" s="631"/>
      <c r="F920" s="631"/>
      <c r="G920" s="631"/>
      <c r="H920" s="652"/>
      <c r="I920" s="631"/>
      <c r="J920" s="631"/>
      <c r="K920" s="631"/>
      <c r="L920" s="631"/>
      <c r="M920" s="631"/>
      <c r="N920" s="631"/>
      <c r="O920" s="631"/>
      <c r="P920" s="631"/>
      <c r="Q920" s="631"/>
      <c r="R920" s="631"/>
      <c r="S920" s="631"/>
      <c r="T920" s="631"/>
      <c r="U920" s="631"/>
      <c r="V920" s="631"/>
      <c r="W920" s="631"/>
      <c r="X920" s="631"/>
      <c r="Y920" s="631"/>
      <c r="Z920" s="631"/>
    </row>
    <row r="921" spans="1:26">
      <c r="A921" s="636" t="s">
        <v>3648</v>
      </c>
      <c r="B921" s="631"/>
      <c r="C921" s="631"/>
      <c r="D921" s="631"/>
      <c r="E921" s="631"/>
      <c r="F921" s="631"/>
      <c r="G921" s="631"/>
      <c r="H921" s="652"/>
      <c r="I921" s="631"/>
      <c r="J921" s="631"/>
      <c r="K921" s="631"/>
      <c r="L921" s="631"/>
      <c r="M921" s="631"/>
      <c r="N921" s="631"/>
      <c r="O921" s="631"/>
      <c r="P921" s="631"/>
      <c r="Q921" s="631"/>
      <c r="R921" s="631"/>
      <c r="S921" s="631"/>
      <c r="T921" s="631"/>
      <c r="U921" s="631"/>
      <c r="V921" s="631"/>
      <c r="W921" s="631"/>
      <c r="X921" s="631"/>
      <c r="Y921" s="631"/>
      <c r="Z921" s="631"/>
    </row>
    <row r="922" spans="1:26">
      <c r="A922" s="636" t="s">
        <v>3648</v>
      </c>
      <c r="B922" s="631"/>
      <c r="C922" s="631"/>
      <c r="D922" s="631"/>
      <c r="E922" s="631"/>
      <c r="F922" s="631"/>
      <c r="G922" s="631"/>
      <c r="H922" s="652"/>
      <c r="I922" s="631"/>
      <c r="J922" s="631"/>
      <c r="K922" s="631"/>
      <c r="L922" s="631"/>
      <c r="M922" s="631"/>
      <c r="N922" s="631"/>
      <c r="O922" s="631"/>
      <c r="P922" s="631"/>
      <c r="Q922" s="631"/>
      <c r="R922" s="631"/>
      <c r="S922" s="631"/>
      <c r="T922" s="631"/>
      <c r="U922" s="631"/>
      <c r="V922" s="631"/>
      <c r="W922" s="631"/>
      <c r="X922" s="631"/>
      <c r="Y922" s="631"/>
      <c r="Z922" s="631"/>
    </row>
    <row r="923" spans="1:26">
      <c r="A923" s="636" t="s">
        <v>3648</v>
      </c>
      <c r="B923" s="631"/>
      <c r="C923" s="631"/>
      <c r="D923" s="631"/>
      <c r="E923" s="631"/>
      <c r="F923" s="631"/>
      <c r="G923" s="631"/>
      <c r="H923" s="652"/>
      <c r="I923" s="631"/>
      <c r="J923" s="631"/>
      <c r="K923" s="631"/>
      <c r="L923" s="631"/>
      <c r="M923" s="631"/>
      <c r="N923" s="631"/>
      <c r="O923" s="631"/>
      <c r="P923" s="631"/>
      <c r="Q923" s="631"/>
      <c r="R923" s="631"/>
      <c r="S923" s="631"/>
      <c r="T923" s="631"/>
      <c r="U923" s="631"/>
      <c r="V923" s="631"/>
      <c r="W923" s="631"/>
      <c r="X923" s="631"/>
      <c r="Y923" s="631"/>
      <c r="Z923" s="631"/>
    </row>
    <row r="924" spans="1:26">
      <c r="A924" s="636" t="s">
        <v>3648</v>
      </c>
      <c r="B924" s="631"/>
      <c r="C924" s="631"/>
      <c r="D924" s="631"/>
      <c r="E924" s="631"/>
      <c r="F924" s="631"/>
      <c r="G924" s="631"/>
      <c r="H924" s="652"/>
      <c r="I924" s="631"/>
      <c r="J924" s="631"/>
      <c r="K924" s="631"/>
      <c r="L924" s="631"/>
      <c r="M924" s="631"/>
      <c r="N924" s="631"/>
      <c r="O924" s="631"/>
      <c r="P924" s="631"/>
      <c r="Q924" s="631"/>
      <c r="R924" s="631"/>
      <c r="S924" s="631"/>
      <c r="T924" s="631"/>
      <c r="U924" s="631"/>
      <c r="V924" s="631"/>
      <c r="W924" s="631"/>
      <c r="X924" s="631"/>
      <c r="Y924" s="631"/>
      <c r="Z924" s="631"/>
    </row>
    <row r="925" spans="1:26">
      <c r="A925" s="636" t="s">
        <v>3648</v>
      </c>
      <c r="B925" s="631"/>
      <c r="C925" s="631"/>
      <c r="D925" s="631"/>
      <c r="E925" s="631"/>
      <c r="F925" s="631"/>
      <c r="G925" s="631"/>
      <c r="H925" s="652"/>
      <c r="I925" s="631"/>
      <c r="J925" s="631"/>
      <c r="K925" s="631"/>
      <c r="L925" s="631"/>
      <c r="M925" s="631"/>
      <c r="N925" s="631"/>
      <c r="O925" s="631"/>
      <c r="P925" s="631"/>
      <c r="Q925" s="631"/>
      <c r="R925" s="631"/>
      <c r="S925" s="631"/>
      <c r="T925" s="631"/>
      <c r="U925" s="631"/>
      <c r="V925" s="631"/>
      <c r="W925" s="631"/>
      <c r="X925" s="631"/>
      <c r="Y925" s="631"/>
      <c r="Z925" s="631"/>
    </row>
    <row r="926" spans="1:26">
      <c r="A926" s="636" t="s">
        <v>3648</v>
      </c>
      <c r="B926" s="631"/>
      <c r="C926" s="631"/>
      <c r="D926" s="631"/>
      <c r="E926" s="631"/>
      <c r="F926" s="631"/>
      <c r="G926" s="631"/>
      <c r="H926" s="652"/>
      <c r="I926" s="631"/>
      <c r="J926" s="631"/>
      <c r="K926" s="631"/>
      <c r="L926" s="631"/>
      <c r="M926" s="631"/>
      <c r="N926" s="631"/>
      <c r="O926" s="631"/>
      <c r="P926" s="631"/>
      <c r="Q926" s="631"/>
      <c r="R926" s="631"/>
      <c r="S926" s="631"/>
      <c r="T926" s="631"/>
      <c r="U926" s="631"/>
      <c r="V926" s="631"/>
      <c r="W926" s="631"/>
      <c r="X926" s="631"/>
      <c r="Y926" s="631"/>
      <c r="Z926" s="631"/>
    </row>
    <row r="927" spans="1:26">
      <c r="A927" s="636" t="s">
        <v>3648</v>
      </c>
      <c r="B927" s="631"/>
      <c r="C927" s="631"/>
      <c r="D927" s="631"/>
      <c r="E927" s="631"/>
      <c r="F927" s="631"/>
      <c r="G927" s="631"/>
      <c r="H927" s="652"/>
      <c r="I927" s="631"/>
      <c r="J927" s="631"/>
      <c r="K927" s="631"/>
      <c r="L927" s="631"/>
      <c r="M927" s="631"/>
      <c r="N927" s="631"/>
      <c r="O927" s="631"/>
      <c r="P927" s="631"/>
      <c r="Q927" s="631"/>
      <c r="R927" s="631"/>
      <c r="S927" s="631"/>
      <c r="T927" s="631"/>
      <c r="U927" s="631"/>
      <c r="V927" s="631"/>
      <c r="W927" s="631"/>
      <c r="X927" s="631"/>
      <c r="Y927" s="631"/>
      <c r="Z927" s="631"/>
    </row>
    <row r="928" spans="1:26">
      <c r="A928" s="636" t="s">
        <v>3648</v>
      </c>
      <c r="B928" s="631"/>
      <c r="C928" s="631"/>
      <c r="D928" s="631"/>
      <c r="E928" s="631"/>
      <c r="F928" s="631"/>
      <c r="G928" s="631"/>
      <c r="H928" s="652"/>
      <c r="I928" s="631"/>
      <c r="J928" s="631"/>
      <c r="K928" s="631"/>
      <c r="L928" s="631"/>
      <c r="M928" s="631"/>
      <c r="N928" s="631"/>
      <c r="O928" s="631"/>
      <c r="P928" s="631"/>
      <c r="Q928" s="631"/>
      <c r="R928" s="631"/>
      <c r="S928" s="631"/>
      <c r="T928" s="631"/>
      <c r="U928" s="631"/>
      <c r="V928" s="631"/>
      <c r="W928" s="631"/>
      <c r="X928" s="631"/>
      <c r="Y928" s="631"/>
      <c r="Z928" s="631"/>
    </row>
    <row r="929" spans="1:26">
      <c r="A929" s="636" t="s">
        <v>3648</v>
      </c>
      <c r="B929" s="631"/>
      <c r="C929" s="631"/>
      <c r="D929" s="631"/>
      <c r="E929" s="631"/>
      <c r="F929" s="631"/>
      <c r="G929" s="631"/>
      <c r="H929" s="652"/>
      <c r="I929" s="631"/>
      <c r="J929" s="631"/>
      <c r="K929" s="631"/>
      <c r="L929" s="631"/>
      <c r="M929" s="631"/>
      <c r="N929" s="631"/>
      <c r="O929" s="631"/>
      <c r="P929" s="631"/>
      <c r="Q929" s="631"/>
      <c r="R929" s="631"/>
      <c r="S929" s="631"/>
      <c r="T929" s="631"/>
      <c r="U929" s="631"/>
      <c r="V929" s="631"/>
      <c r="W929" s="631"/>
      <c r="X929" s="631"/>
      <c r="Y929" s="631"/>
      <c r="Z929" s="631"/>
    </row>
    <row r="930" spans="1:26">
      <c r="A930" s="636" t="s">
        <v>3648</v>
      </c>
      <c r="B930" s="631"/>
      <c r="C930" s="631"/>
      <c r="D930" s="631"/>
      <c r="E930" s="631"/>
      <c r="F930" s="631"/>
      <c r="G930" s="631"/>
      <c r="H930" s="652"/>
      <c r="I930" s="631"/>
      <c r="J930" s="631"/>
      <c r="K930" s="631"/>
      <c r="L930" s="631"/>
      <c r="M930" s="631"/>
      <c r="N930" s="631"/>
      <c r="O930" s="631"/>
      <c r="P930" s="631"/>
      <c r="Q930" s="631"/>
      <c r="R930" s="631"/>
      <c r="S930" s="631"/>
      <c r="T930" s="631"/>
      <c r="U930" s="631"/>
      <c r="V930" s="631"/>
      <c r="W930" s="631"/>
      <c r="X930" s="631"/>
      <c r="Y930" s="631"/>
      <c r="Z930" s="631"/>
    </row>
    <row r="931" spans="1:26">
      <c r="A931" s="636" t="s">
        <v>3648</v>
      </c>
      <c r="B931" s="631"/>
      <c r="C931" s="631"/>
      <c r="D931" s="631"/>
      <c r="E931" s="631"/>
      <c r="F931" s="631"/>
      <c r="G931" s="631"/>
      <c r="H931" s="652"/>
      <c r="I931" s="631"/>
      <c r="J931" s="631"/>
      <c r="K931" s="631"/>
      <c r="L931" s="631"/>
      <c r="M931" s="631"/>
      <c r="N931" s="631"/>
      <c r="O931" s="631"/>
      <c r="P931" s="631"/>
      <c r="Q931" s="631"/>
      <c r="R931" s="631"/>
      <c r="S931" s="631"/>
      <c r="T931" s="631"/>
      <c r="U931" s="631"/>
      <c r="V931" s="631"/>
      <c r="W931" s="631"/>
      <c r="X931" s="631"/>
      <c r="Y931" s="631"/>
      <c r="Z931" s="631"/>
    </row>
    <row r="932" spans="1:26">
      <c r="A932" s="636" t="s">
        <v>3648</v>
      </c>
      <c r="B932" s="631"/>
      <c r="C932" s="631"/>
      <c r="D932" s="631"/>
      <c r="E932" s="631"/>
      <c r="F932" s="631"/>
      <c r="G932" s="631"/>
      <c r="H932" s="652"/>
      <c r="I932" s="631"/>
      <c r="J932" s="631"/>
      <c r="K932" s="631"/>
      <c r="L932" s="631"/>
      <c r="M932" s="631"/>
      <c r="N932" s="631"/>
      <c r="O932" s="631"/>
      <c r="P932" s="631"/>
      <c r="Q932" s="631"/>
      <c r="R932" s="631"/>
      <c r="S932" s="631"/>
      <c r="T932" s="631"/>
      <c r="U932" s="631"/>
      <c r="V932" s="631"/>
      <c r="W932" s="631"/>
      <c r="X932" s="631"/>
      <c r="Y932" s="631"/>
      <c r="Z932" s="631"/>
    </row>
    <row r="933" spans="1:26">
      <c r="A933" s="636" t="s">
        <v>3648</v>
      </c>
      <c r="B933" s="631"/>
      <c r="C933" s="631"/>
      <c r="D933" s="631"/>
      <c r="E933" s="631"/>
      <c r="F933" s="631"/>
      <c r="G933" s="631"/>
      <c r="H933" s="652"/>
      <c r="I933" s="631"/>
      <c r="J933" s="631"/>
      <c r="K933" s="631"/>
      <c r="L933" s="631"/>
      <c r="M933" s="631"/>
      <c r="N933" s="631"/>
      <c r="O933" s="631"/>
      <c r="P933" s="631"/>
      <c r="Q933" s="631"/>
      <c r="R933" s="631"/>
      <c r="S933" s="631"/>
      <c r="T933" s="631"/>
      <c r="U933" s="631"/>
      <c r="V933" s="631"/>
      <c r="W933" s="631"/>
      <c r="X933" s="631"/>
      <c r="Y933" s="631"/>
      <c r="Z933" s="631"/>
    </row>
    <row r="934" spans="1:26">
      <c r="A934" s="636" t="s">
        <v>3648</v>
      </c>
      <c r="B934" s="631"/>
      <c r="C934" s="631"/>
      <c r="D934" s="631"/>
      <c r="E934" s="631"/>
      <c r="F934" s="631"/>
      <c r="G934" s="631"/>
      <c r="H934" s="652"/>
      <c r="I934" s="631"/>
      <c r="J934" s="631"/>
      <c r="K934" s="631"/>
      <c r="L934" s="631"/>
      <c r="M934" s="631"/>
      <c r="N934" s="631"/>
      <c r="O934" s="631"/>
      <c r="P934" s="631"/>
      <c r="Q934" s="631"/>
      <c r="R934" s="631"/>
      <c r="S934" s="631"/>
      <c r="T934" s="631"/>
      <c r="U934" s="631"/>
      <c r="V934" s="631"/>
      <c r="W934" s="631"/>
      <c r="X934" s="631"/>
      <c r="Y934" s="631"/>
      <c r="Z934" s="631"/>
    </row>
    <row r="935" spans="1:26">
      <c r="A935" s="636" t="s">
        <v>3648</v>
      </c>
      <c r="B935" s="631"/>
      <c r="C935" s="631"/>
      <c r="D935" s="631"/>
      <c r="E935" s="631"/>
      <c r="F935" s="631"/>
      <c r="G935" s="631"/>
      <c r="H935" s="652"/>
      <c r="I935" s="631"/>
      <c r="J935" s="631"/>
      <c r="K935" s="631"/>
      <c r="L935" s="631"/>
      <c r="M935" s="631"/>
      <c r="N935" s="631"/>
      <c r="O935" s="631"/>
      <c r="P935" s="631"/>
      <c r="Q935" s="631"/>
      <c r="R935" s="631"/>
      <c r="S935" s="631"/>
      <c r="T935" s="631"/>
      <c r="U935" s="631"/>
      <c r="V935" s="631"/>
      <c r="W935" s="631"/>
      <c r="X935" s="631"/>
      <c r="Y935" s="631"/>
      <c r="Z935" s="631"/>
    </row>
    <row r="936" spans="1:26">
      <c r="A936" s="636" t="s">
        <v>3648</v>
      </c>
      <c r="B936" s="631"/>
      <c r="C936" s="631"/>
      <c r="D936" s="631"/>
      <c r="E936" s="631"/>
      <c r="F936" s="631"/>
      <c r="G936" s="631"/>
      <c r="H936" s="652"/>
      <c r="I936" s="631"/>
      <c r="J936" s="631"/>
      <c r="K936" s="631"/>
      <c r="L936" s="631"/>
      <c r="M936" s="631"/>
      <c r="N936" s="631"/>
      <c r="O936" s="631"/>
      <c r="P936" s="631"/>
      <c r="Q936" s="631"/>
      <c r="R936" s="631"/>
      <c r="S936" s="631"/>
      <c r="T936" s="631"/>
      <c r="U936" s="631"/>
      <c r="V936" s="631"/>
      <c r="W936" s="631"/>
      <c r="X936" s="631"/>
      <c r="Y936" s="631"/>
      <c r="Z936" s="631"/>
    </row>
    <row r="937" spans="1:26">
      <c r="A937" s="636" t="s">
        <v>3648</v>
      </c>
      <c r="B937" s="631"/>
      <c r="C937" s="631"/>
      <c r="D937" s="631"/>
      <c r="E937" s="631"/>
      <c r="F937" s="631"/>
      <c r="G937" s="631"/>
      <c r="H937" s="652"/>
      <c r="I937" s="631"/>
      <c r="J937" s="631"/>
      <c r="K937" s="631"/>
      <c r="L937" s="631"/>
      <c r="M937" s="631"/>
      <c r="N937" s="631"/>
      <c r="O937" s="631"/>
      <c r="P937" s="631"/>
      <c r="Q937" s="631"/>
      <c r="R937" s="631"/>
      <c r="S937" s="631"/>
      <c r="T937" s="631"/>
      <c r="U937" s="631"/>
      <c r="V937" s="631"/>
      <c r="W937" s="631"/>
      <c r="X937" s="631"/>
      <c r="Y937" s="631"/>
      <c r="Z937" s="631"/>
    </row>
    <row r="938" spans="1:26">
      <c r="A938" s="636" t="s">
        <v>3648</v>
      </c>
      <c r="B938" s="631"/>
      <c r="C938" s="631"/>
      <c r="D938" s="631"/>
      <c r="E938" s="631"/>
      <c r="F938" s="631"/>
      <c r="G938" s="631"/>
      <c r="H938" s="652"/>
      <c r="I938" s="631"/>
      <c r="J938" s="631"/>
      <c r="K938" s="631"/>
      <c r="L938" s="631"/>
      <c r="M938" s="631"/>
      <c r="N938" s="631"/>
      <c r="O938" s="631"/>
      <c r="P938" s="631"/>
      <c r="Q938" s="631"/>
      <c r="R938" s="631"/>
      <c r="S938" s="631"/>
      <c r="T938" s="631"/>
      <c r="U938" s="631"/>
      <c r="V938" s="631"/>
      <c r="W938" s="631"/>
      <c r="X938" s="631"/>
      <c r="Y938" s="631"/>
      <c r="Z938" s="631"/>
    </row>
    <row r="939" spans="1:26">
      <c r="A939" s="636" t="s">
        <v>3648</v>
      </c>
      <c r="B939" s="631"/>
      <c r="C939" s="631"/>
      <c r="D939" s="631"/>
      <c r="E939" s="631"/>
      <c r="F939" s="631"/>
      <c r="G939" s="631"/>
      <c r="H939" s="652"/>
      <c r="I939" s="631"/>
      <c r="J939" s="631"/>
      <c r="K939" s="631"/>
      <c r="L939" s="631"/>
      <c r="M939" s="631"/>
      <c r="N939" s="631"/>
      <c r="O939" s="631"/>
      <c r="P939" s="631"/>
      <c r="Q939" s="631"/>
      <c r="R939" s="631"/>
      <c r="S939" s="631"/>
      <c r="T939" s="631"/>
      <c r="U939" s="631"/>
      <c r="V939" s="631"/>
      <c r="W939" s="631"/>
      <c r="X939" s="631"/>
      <c r="Y939" s="631"/>
      <c r="Z939" s="631"/>
    </row>
    <row r="940" spans="1:26">
      <c r="A940" s="636" t="s">
        <v>3648</v>
      </c>
      <c r="B940" s="631"/>
      <c r="C940" s="631"/>
      <c r="D940" s="631"/>
      <c r="E940" s="631"/>
      <c r="F940" s="631"/>
      <c r="G940" s="631"/>
      <c r="H940" s="652"/>
      <c r="I940" s="631"/>
      <c r="J940" s="631"/>
      <c r="K940" s="631"/>
      <c r="L940" s="631"/>
      <c r="M940" s="631"/>
      <c r="N940" s="631"/>
      <c r="O940" s="631"/>
      <c r="P940" s="631"/>
      <c r="Q940" s="631"/>
      <c r="R940" s="631"/>
      <c r="S940" s="631"/>
      <c r="T940" s="631"/>
      <c r="U940" s="631"/>
      <c r="V940" s="631"/>
      <c r="W940" s="631"/>
      <c r="X940" s="631"/>
      <c r="Y940" s="631"/>
      <c r="Z940" s="631"/>
    </row>
    <row r="941" spans="1:26">
      <c r="A941" s="636" t="s">
        <v>3648</v>
      </c>
      <c r="B941" s="631"/>
      <c r="C941" s="631"/>
      <c r="D941" s="631"/>
      <c r="E941" s="631"/>
      <c r="F941" s="631"/>
      <c r="G941" s="631"/>
      <c r="H941" s="652"/>
      <c r="I941" s="631"/>
      <c r="J941" s="631"/>
      <c r="K941" s="631"/>
      <c r="L941" s="631"/>
      <c r="M941" s="631"/>
      <c r="N941" s="631"/>
      <c r="O941" s="631"/>
      <c r="P941" s="631"/>
      <c r="Q941" s="631"/>
      <c r="R941" s="631"/>
      <c r="S941" s="631"/>
      <c r="T941" s="631"/>
      <c r="U941" s="631"/>
      <c r="V941" s="631"/>
      <c r="W941" s="631"/>
      <c r="X941" s="631"/>
      <c r="Y941" s="631"/>
      <c r="Z941" s="631"/>
    </row>
    <row r="942" spans="1:26">
      <c r="A942" s="636" t="s">
        <v>3648</v>
      </c>
      <c r="B942" s="631"/>
      <c r="C942" s="631"/>
      <c r="D942" s="631"/>
      <c r="E942" s="631"/>
      <c r="F942" s="631"/>
      <c r="G942" s="631"/>
      <c r="H942" s="652"/>
      <c r="I942" s="631"/>
      <c r="J942" s="631"/>
      <c r="K942" s="631"/>
      <c r="L942" s="631"/>
      <c r="M942" s="631"/>
      <c r="N942" s="631"/>
      <c r="O942" s="631"/>
      <c r="P942" s="631"/>
      <c r="Q942" s="631"/>
      <c r="R942" s="631"/>
      <c r="S942" s="631"/>
      <c r="T942" s="631"/>
      <c r="U942" s="631"/>
      <c r="V942" s="631"/>
      <c r="W942" s="631"/>
      <c r="X942" s="631"/>
      <c r="Y942" s="631"/>
      <c r="Z942" s="631"/>
    </row>
    <row r="943" spans="1:26">
      <c r="A943" s="636" t="s">
        <v>3648</v>
      </c>
      <c r="B943" s="631"/>
      <c r="C943" s="631"/>
      <c r="D943" s="631"/>
      <c r="E943" s="631"/>
      <c r="F943" s="631"/>
      <c r="G943" s="631"/>
      <c r="H943" s="652"/>
      <c r="I943" s="631"/>
      <c r="J943" s="631"/>
      <c r="K943" s="631"/>
      <c r="L943" s="631"/>
      <c r="M943" s="631"/>
      <c r="N943" s="631"/>
      <c r="O943" s="631"/>
      <c r="P943" s="631"/>
      <c r="Q943" s="631"/>
      <c r="R943" s="631"/>
      <c r="S943" s="631"/>
      <c r="T943" s="631"/>
      <c r="U943" s="631"/>
      <c r="V943" s="631"/>
      <c r="W943" s="631"/>
      <c r="X943" s="631"/>
      <c r="Y943" s="631"/>
      <c r="Z943" s="631"/>
    </row>
    <row r="944" spans="1:26">
      <c r="A944" s="636" t="s">
        <v>3648</v>
      </c>
      <c r="B944" s="631"/>
      <c r="C944" s="631"/>
      <c r="D944" s="631"/>
      <c r="E944" s="631"/>
      <c r="F944" s="631"/>
      <c r="G944" s="631"/>
      <c r="H944" s="652"/>
      <c r="I944" s="631"/>
      <c r="J944" s="631"/>
      <c r="K944" s="631"/>
      <c r="L944" s="631"/>
      <c r="M944" s="631"/>
      <c r="N944" s="631"/>
      <c r="O944" s="631"/>
      <c r="P944" s="631"/>
      <c r="Q944" s="631"/>
      <c r="R944" s="631"/>
      <c r="S944" s="631"/>
      <c r="T944" s="631"/>
      <c r="U944" s="631"/>
      <c r="V944" s="631"/>
      <c r="W944" s="631"/>
      <c r="X944" s="631"/>
      <c r="Y944" s="631"/>
      <c r="Z944" s="631"/>
    </row>
    <row r="945" spans="1:26">
      <c r="A945" s="636" t="s">
        <v>3648</v>
      </c>
      <c r="B945" s="631"/>
      <c r="C945" s="631"/>
      <c r="D945" s="631"/>
      <c r="E945" s="631"/>
      <c r="F945" s="631"/>
      <c r="G945" s="631"/>
      <c r="H945" s="652"/>
      <c r="I945" s="631"/>
      <c r="J945" s="631"/>
      <c r="K945" s="631"/>
      <c r="L945" s="631"/>
      <c r="M945" s="631"/>
      <c r="N945" s="631"/>
      <c r="O945" s="631"/>
      <c r="P945" s="631"/>
      <c r="Q945" s="631"/>
      <c r="R945" s="631"/>
      <c r="S945" s="631"/>
      <c r="T945" s="631"/>
      <c r="U945" s="631"/>
      <c r="V945" s="631"/>
      <c r="W945" s="631"/>
      <c r="X945" s="631"/>
      <c r="Y945" s="631"/>
      <c r="Z945" s="631"/>
    </row>
    <row r="946" spans="1:26">
      <c r="A946" s="636" t="s">
        <v>3648</v>
      </c>
      <c r="B946" s="631"/>
      <c r="C946" s="631"/>
      <c r="D946" s="631"/>
      <c r="E946" s="631"/>
      <c r="F946" s="631"/>
      <c r="G946" s="631"/>
      <c r="H946" s="652"/>
      <c r="I946" s="631"/>
      <c r="J946" s="631"/>
      <c r="K946" s="631"/>
      <c r="L946" s="631"/>
      <c r="M946" s="631"/>
      <c r="N946" s="631"/>
      <c r="O946" s="631"/>
      <c r="P946" s="631"/>
      <c r="Q946" s="631"/>
      <c r="R946" s="631"/>
      <c r="S946" s="631"/>
      <c r="T946" s="631"/>
      <c r="U946" s="631"/>
      <c r="V946" s="631"/>
      <c r="W946" s="631"/>
      <c r="X946" s="631"/>
      <c r="Y946" s="631"/>
      <c r="Z946" s="631"/>
    </row>
    <row r="947" spans="1:26">
      <c r="A947" s="636" t="s">
        <v>3648</v>
      </c>
      <c r="B947" s="631"/>
      <c r="C947" s="631"/>
      <c r="D947" s="631"/>
      <c r="E947" s="631"/>
      <c r="F947" s="631"/>
      <c r="G947" s="631"/>
      <c r="H947" s="652"/>
      <c r="I947" s="631"/>
      <c r="J947" s="631"/>
      <c r="K947" s="631"/>
      <c r="L947" s="631"/>
      <c r="M947" s="631"/>
      <c r="N947" s="631"/>
      <c r="O947" s="631"/>
      <c r="P947" s="631"/>
      <c r="Q947" s="631"/>
      <c r="R947" s="631"/>
      <c r="S947" s="631"/>
      <c r="T947" s="631"/>
      <c r="U947" s="631"/>
      <c r="V947" s="631"/>
      <c r="W947" s="631"/>
      <c r="X947" s="631"/>
      <c r="Y947" s="631"/>
      <c r="Z947" s="631"/>
    </row>
    <row r="948" spans="1:26">
      <c r="A948" s="636" t="s">
        <v>3648</v>
      </c>
      <c r="B948" s="631"/>
      <c r="C948" s="631"/>
      <c r="D948" s="631"/>
      <c r="E948" s="631"/>
      <c r="F948" s="631"/>
      <c r="G948" s="631"/>
      <c r="H948" s="652"/>
      <c r="I948" s="631"/>
      <c r="J948" s="631"/>
      <c r="K948" s="631"/>
      <c r="L948" s="631"/>
      <c r="M948" s="631"/>
      <c r="N948" s="631"/>
      <c r="O948" s="631"/>
      <c r="P948" s="631"/>
      <c r="Q948" s="631"/>
      <c r="R948" s="631"/>
      <c r="S948" s="631"/>
      <c r="T948" s="631"/>
      <c r="U948" s="631"/>
      <c r="V948" s="631"/>
      <c r="W948" s="631"/>
      <c r="X948" s="631"/>
      <c r="Y948" s="631"/>
      <c r="Z948" s="631"/>
    </row>
    <row r="949" spans="1:26">
      <c r="A949" s="636" t="s">
        <v>3648</v>
      </c>
      <c r="B949" s="631"/>
      <c r="C949" s="631"/>
      <c r="D949" s="631"/>
      <c r="E949" s="631"/>
      <c r="F949" s="631"/>
      <c r="G949" s="631"/>
      <c r="H949" s="652"/>
      <c r="I949" s="631"/>
      <c r="J949" s="631"/>
      <c r="K949" s="631"/>
      <c r="L949" s="631"/>
      <c r="M949" s="631"/>
      <c r="N949" s="631"/>
      <c r="O949" s="631"/>
      <c r="P949" s="631"/>
      <c r="Q949" s="631"/>
      <c r="R949" s="631"/>
      <c r="S949" s="631"/>
      <c r="T949" s="631"/>
      <c r="U949" s="631"/>
      <c r="V949" s="631"/>
      <c r="W949" s="631"/>
      <c r="X949" s="631"/>
      <c r="Y949" s="631"/>
      <c r="Z949" s="631"/>
    </row>
    <row r="950" spans="1:26">
      <c r="A950" s="636" t="s">
        <v>3648</v>
      </c>
      <c r="B950" s="631"/>
      <c r="C950" s="631"/>
      <c r="D950" s="631"/>
      <c r="E950" s="631"/>
      <c r="F950" s="631"/>
      <c r="G950" s="631"/>
      <c r="H950" s="652"/>
      <c r="I950" s="631"/>
      <c r="J950" s="631"/>
      <c r="K950" s="631"/>
      <c r="L950" s="631"/>
      <c r="M950" s="631"/>
      <c r="N950" s="631"/>
      <c r="O950" s="631"/>
      <c r="P950" s="631"/>
      <c r="Q950" s="631"/>
      <c r="R950" s="631"/>
      <c r="S950" s="631"/>
      <c r="T950" s="631"/>
      <c r="U950" s="631"/>
      <c r="V950" s="631"/>
      <c r="W950" s="631"/>
      <c r="X950" s="631"/>
      <c r="Y950" s="631"/>
      <c r="Z950" s="631"/>
    </row>
    <row r="951" spans="1:26">
      <c r="A951" s="636" t="s">
        <v>3648</v>
      </c>
      <c r="B951" s="631"/>
      <c r="C951" s="631"/>
      <c r="D951" s="631"/>
      <c r="E951" s="631"/>
      <c r="F951" s="631"/>
      <c r="G951" s="631"/>
      <c r="H951" s="652"/>
      <c r="I951" s="631"/>
      <c r="J951" s="631"/>
      <c r="K951" s="631"/>
      <c r="L951" s="631"/>
      <c r="M951" s="631"/>
      <c r="N951" s="631"/>
      <c r="O951" s="631"/>
      <c r="P951" s="631"/>
      <c r="Q951" s="631"/>
      <c r="R951" s="631"/>
      <c r="S951" s="631"/>
      <c r="T951" s="631"/>
      <c r="U951" s="631"/>
      <c r="V951" s="631"/>
      <c r="W951" s="631"/>
      <c r="X951" s="631"/>
      <c r="Y951" s="631"/>
      <c r="Z951" s="631"/>
    </row>
    <row r="952" spans="1:26">
      <c r="A952" s="636" t="s">
        <v>3648</v>
      </c>
      <c r="B952" s="631"/>
      <c r="C952" s="631"/>
      <c r="D952" s="631"/>
      <c r="E952" s="631"/>
      <c r="F952" s="631"/>
      <c r="G952" s="631"/>
      <c r="H952" s="652"/>
      <c r="I952" s="631"/>
      <c r="J952" s="631"/>
      <c r="K952" s="631"/>
      <c r="L952" s="631"/>
      <c r="M952" s="631"/>
      <c r="N952" s="631"/>
      <c r="O952" s="631"/>
      <c r="P952" s="631"/>
      <c r="Q952" s="631"/>
      <c r="R952" s="631"/>
      <c r="S952" s="631"/>
      <c r="T952" s="631"/>
      <c r="U952" s="631"/>
      <c r="V952" s="631"/>
      <c r="W952" s="631"/>
      <c r="X952" s="631"/>
      <c r="Y952" s="631"/>
      <c r="Z952" s="631"/>
    </row>
    <row r="953" spans="1:26">
      <c r="A953" s="636" t="s">
        <v>3648</v>
      </c>
      <c r="B953" s="631"/>
      <c r="C953" s="631"/>
      <c r="D953" s="631"/>
      <c r="E953" s="631"/>
      <c r="F953" s="631"/>
      <c r="G953" s="631"/>
      <c r="H953" s="652"/>
      <c r="I953" s="631"/>
      <c r="J953" s="631"/>
      <c r="K953" s="631"/>
      <c r="L953" s="631"/>
      <c r="M953" s="631"/>
      <c r="N953" s="631"/>
      <c r="O953" s="631"/>
      <c r="P953" s="631"/>
      <c r="Q953" s="631"/>
      <c r="R953" s="631"/>
      <c r="S953" s="631"/>
      <c r="T953" s="631"/>
      <c r="U953" s="631"/>
      <c r="V953" s="631"/>
      <c r="W953" s="631"/>
      <c r="X953" s="631"/>
      <c r="Y953" s="631"/>
      <c r="Z953" s="631"/>
    </row>
    <row r="954" spans="1:26">
      <c r="A954" s="636" t="s">
        <v>3648</v>
      </c>
      <c r="B954" s="631"/>
      <c r="C954" s="631"/>
      <c r="D954" s="631"/>
      <c r="E954" s="631"/>
      <c r="F954" s="631"/>
      <c r="G954" s="631"/>
      <c r="H954" s="652"/>
      <c r="I954" s="631"/>
      <c r="J954" s="631"/>
      <c r="K954" s="631"/>
      <c r="L954" s="631"/>
      <c r="M954" s="631"/>
      <c r="N954" s="631"/>
      <c r="O954" s="631"/>
      <c r="P954" s="631"/>
      <c r="Q954" s="631"/>
      <c r="R954" s="631"/>
      <c r="S954" s="631"/>
      <c r="T954" s="631"/>
      <c r="U954" s="631"/>
      <c r="V954" s="631"/>
      <c r="W954" s="631"/>
      <c r="X954" s="631"/>
      <c r="Y954" s="631"/>
      <c r="Z954" s="631"/>
    </row>
    <row r="955" spans="1:26">
      <c r="A955" s="636" t="s">
        <v>3648</v>
      </c>
      <c r="B955" s="631"/>
      <c r="C955" s="631"/>
      <c r="D955" s="631"/>
      <c r="E955" s="631"/>
      <c r="F955" s="631"/>
      <c r="G955" s="631"/>
      <c r="H955" s="652"/>
      <c r="I955" s="631"/>
      <c r="J955" s="631"/>
      <c r="K955" s="631"/>
      <c r="L955" s="631"/>
      <c r="M955" s="631"/>
      <c r="N955" s="631"/>
      <c r="O955" s="631"/>
      <c r="P955" s="631"/>
      <c r="Q955" s="631"/>
      <c r="R955" s="631"/>
      <c r="S955" s="631"/>
      <c r="T955" s="631"/>
      <c r="U955" s="631"/>
      <c r="V955" s="631"/>
      <c r="W955" s="631"/>
      <c r="X955" s="631"/>
      <c r="Y955" s="631"/>
      <c r="Z955" s="631"/>
    </row>
    <row r="956" spans="1:26">
      <c r="A956" s="636" t="s">
        <v>3648</v>
      </c>
      <c r="B956" s="631"/>
      <c r="C956" s="631"/>
      <c r="D956" s="631"/>
      <c r="E956" s="631"/>
      <c r="F956" s="631"/>
      <c r="G956" s="631"/>
      <c r="H956" s="652"/>
      <c r="I956" s="631"/>
      <c r="J956" s="631"/>
      <c r="K956" s="631"/>
      <c r="L956" s="631"/>
      <c r="M956" s="631"/>
      <c r="N956" s="631"/>
      <c r="O956" s="631"/>
      <c r="P956" s="631"/>
      <c r="Q956" s="631"/>
      <c r="R956" s="631"/>
      <c r="S956" s="631"/>
      <c r="T956" s="631"/>
      <c r="U956" s="631"/>
      <c r="V956" s="631"/>
      <c r="W956" s="631"/>
      <c r="X956" s="631"/>
      <c r="Y956" s="631"/>
      <c r="Z956" s="631"/>
    </row>
    <row r="957" spans="1:26">
      <c r="A957" s="636" t="s">
        <v>3648</v>
      </c>
      <c r="B957" s="631"/>
      <c r="C957" s="631"/>
      <c r="D957" s="631"/>
      <c r="E957" s="631"/>
      <c r="F957" s="631"/>
      <c r="G957" s="631"/>
      <c r="H957" s="652"/>
      <c r="I957" s="631"/>
      <c r="J957" s="631"/>
      <c r="K957" s="631"/>
      <c r="L957" s="631"/>
      <c r="M957" s="631"/>
      <c r="N957" s="631"/>
      <c r="O957" s="631"/>
      <c r="P957" s="631"/>
      <c r="Q957" s="631"/>
      <c r="R957" s="631"/>
      <c r="S957" s="631"/>
      <c r="T957" s="631"/>
      <c r="U957" s="631"/>
      <c r="V957" s="631"/>
      <c r="W957" s="631"/>
      <c r="X957" s="631"/>
      <c r="Y957" s="631"/>
      <c r="Z957" s="631"/>
    </row>
    <row r="958" spans="1:26">
      <c r="A958" s="636" t="s">
        <v>3648</v>
      </c>
      <c r="B958" s="631"/>
      <c r="C958" s="631"/>
      <c r="D958" s="631"/>
      <c r="E958" s="631"/>
      <c r="F958" s="631"/>
      <c r="G958" s="631"/>
      <c r="H958" s="652"/>
      <c r="I958" s="631"/>
      <c r="J958" s="631"/>
      <c r="K958" s="631"/>
      <c r="L958" s="631"/>
      <c r="M958" s="631"/>
      <c r="N958" s="631"/>
      <c r="O958" s="631"/>
      <c r="P958" s="631"/>
      <c r="Q958" s="631"/>
      <c r="R958" s="631"/>
      <c r="S958" s="631"/>
      <c r="T958" s="631"/>
      <c r="U958" s="631"/>
      <c r="V958" s="631"/>
      <c r="W958" s="631"/>
      <c r="X958" s="631"/>
      <c r="Y958" s="631"/>
      <c r="Z958" s="631"/>
    </row>
    <row r="959" spans="1:26">
      <c r="A959" s="636" t="s">
        <v>3648</v>
      </c>
      <c r="B959" s="631"/>
      <c r="C959" s="631"/>
      <c r="D959" s="631"/>
      <c r="E959" s="631"/>
      <c r="F959" s="631"/>
      <c r="G959" s="631"/>
      <c r="H959" s="652"/>
      <c r="I959" s="631"/>
      <c r="J959" s="631"/>
      <c r="K959" s="631"/>
      <c r="L959" s="631"/>
      <c r="M959" s="631"/>
      <c r="N959" s="631"/>
      <c r="O959" s="631"/>
      <c r="P959" s="631"/>
      <c r="Q959" s="631"/>
      <c r="R959" s="631"/>
      <c r="S959" s="631"/>
      <c r="T959" s="631"/>
      <c r="U959" s="631"/>
      <c r="V959" s="631"/>
      <c r="W959" s="631"/>
      <c r="X959" s="631"/>
      <c r="Y959" s="631"/>
      <c r="Z959" s="631"/>
    </row>
    <row r="960" spans="1:26">
      <c r="A960" s="636" t="s">
        <v>3648</v>
      </c>
      <c r="B960" s="631"/>
      <c r="C960" s="631"/>
      <c r="D960" s="631"/>
      <c r="E960" s="631"/>
      <c r="F960" s="631"/>
      <c r="G960" s="631"/>
      <c r="H960" s="652"/>
      <c r="I960" s="631"/>
      <c r="J960" s="631"/>
      <c r="K960" s="631"/>
      <c r="L960" s="631"/>
      <c r="M960" s="631"/>
      <c r="N960" s="631"/>
      <c r="O960" s="631"/>
      <c r="P960" s="631"/>
      <c r="Q960" s="631"/>
      <c r="R960" s="631"/>
      <c r="S960" s="631"/>
      <c r="T960" s="631"/>
      <c r="U960" s="631"/>
      <c r="V960" s="631"/>
      <c r="W960" s="631"/>
      <c r="X960" s="631"/>
      <c r="Y960" s="631"/>
      <c r="Z960" s="631"/>
    </row>
    <row r="961" spans="1:26">
      <c r="A961" s="636" t="s">
        <v>3648</v>
      </c>
      <c r="B961" s="631"/>
      <c r="C961" s="631"/>
      <c r="D961" s="631"/>
      <c r="E961" s="631"/>
      <c r="F961" s="631"/>
      <c r="G961" s="631"/>
      <c r="H961" s="652"/>
      <c r="I961" s="631"/>
      <c r="J961" s="631"/>
      <c r="K961" s="631"/>
      <c r="L961" s="631"/>
      <c r="M961" s="631"/>
      <c r="N961" s="631"/>
      <c r="O961" s="631"/>
      <c r="P961" s="631"/>
      <c r="Q961" s="631"/>
      <c r="R961" s="631"/>
      <c r="S961" s="631"/>
      <c r="T961" s="631"/>
      <c r="U961" s="631"/>
      <c r="V961" s="631"/>
      <c r="W961" s="631"/>
      <c r="X961" s="631"/>
      <c r="Y961" s="631"/>
      <c r="Z961" s="631"/>
    </row>
    <row r="962" spans="1:26">
      <c r="A962" s="636" t="s">
        <v>3648</v>
      </c>
      <c r="B962" s="631"/>
      <c r="C962" s="631"/>
      <c r="D962" s="631"/>
      <c r="E962" s="631"/>
      <c r="F962" s="631"/>
      <c r="G962" s="631"/>
      <c r="H962" s="652"/>
      <c r="I962" s="631"/>
      <c r="J962" s="631"/>
      <c r="K962" s="631"/>
      <c r="L962" s="631"/>
      <c r="M962" s="631"/>
      <c r="N962" s="631"/>
      <c r="O962" s="631"/>
      <c r="P962" s="631"/>
      <c r="Q962" s="631"/>
      <c r="R962" s="631"/>
      <c r="S962" s="631"/>
      <c r="T962" s="631"/>
      <c r="U962" s="631"/>
      <c r="V962" s="631"/>
      <c r="W962" s="631"/>
      <c r="X962" s="631"/>
      <c r="Y962" s="631"/>
      <c r="Z962" s="631"/>
    </row>
    <row r="963" spans="1:26">
      <c r="A963" s="636" t="s">
        <v>3648</v>
      </c>
      <c r="B963" s="631"/>
      <c r="C963" s="631"/>
      <c r="D963" s="631"/>
      <c r="E963" s="631"/>
      <c r="F963" s="631"/>
      <c r="G963" s="631"/>
      <c r="H963" s="652"/>
      <c r="I963" s="631"/>
      <c r="J963" s="631"/>
      <c r="K963" s="631"/>
      <c r="L963" s="631"/>
      <c r="M963" s="631"/>
      <c r="N963" s="631"/>
      <c r="O963" s="631"/>
      <c r="P963" s="631"/>
      <c r="Q963" s="631"/>
      <c r="R963" s="631"/>
      <c r="S963" s="631"/>
      <c r="T963" s="631"/>
      <c r="U963" s="631"/>
      <c r="V963" s="631"/>
      <c r="W963" s="631"/>
      <c r="X963" s="631"/>
      <c r="Y963" s="631"/>
      <c r="Z963" s="631"/>
    </row>
    <row r="964" spans="1:26">
      <c r="A964" s="636" t="s">
        <v>3648</v>
      </c>
      <c r="B964" s="631"/>
      <c r="C964" s="631"/>
      <c r="D964" s="631"/>
      <c r="E964" s="631"/>
      <c r="F964" s="631"/>
      <c r="G964" s="631"/>
      <c r="H964" s="652"/>
      <c r="I964" s="631"/>
      <c r="J964" s="631"/>
      <c r="K964" s="631"/>
      <c r="L964" s="631"/>
      <c r="M964" s="631"/>
      <c r="N964" s="631"/>
      <c r="O964" s="631"/>
      <c r="P964" s="631"/>
      <c r="Q964" s="631"/>
      <c r="R964" s="631"/>
      <c r="S964" s="631"/>
      <c r="T964" s="631"/>
      <c r="U964" s="631"/>
      <c r="V964" s="631"/>
      <c r="W964" s="631"/>
      <c r="X964" s="631"/>
      <c r="Y964" s="631"/>
      <c r="Z964" s="631"/>
    </row>
    <row r="965" spans="1:26">
      <c r="A965" s="636" t="s">
        <v>3648</v>
      </c>
      <c r="B965" s="631"/>
      <c r="C965" s="631"/>
      <c r="D965" s="631"/>
      <c r="E965" s="631"/>
      <c r="F965" s="631"/>
      <c r="G965" s="631"/>
      <c r="H965" s="652"/>
      <c r="I965" s="631"/>
      <c r="J965" s="631"/>
      <c r="K965" s="631"/>
      <c r="L965" s="631"/>
      <c r="M965" s="631"/>
      <c r="N965" s="631"/>
      <c r="O965" s="631"/>
      <c r="P965" s="631"/>
      <c r="Q965" s="631"/>
      <c r="R965" s="631"/>
      <c r="S965" s="631"/>
      <c r="T965" s="631"/>
      <c r="U965" s="631"/>
      <c r="V965" s="631"/>
      <c r="W965" s="631"/>
      <c r="X965" s="631"/>
      <c r="Y965" s="631"/>
      <c r="Z965" s="631"/>
    </row>
    <row r="966" spans="1:26">
      <c r="A966" s="636" t="s">
        <v>3648</v>
      </c>
      <c r="B966" s="631"/>
      <c r="C966" s="631"/>
      <c r="D966" s="631"/>
      <c r="E966" s="631"/>
      <c r="F966" s="631"/>
      <c r="G966" s="631"/>
      <c r="H966" s="652"/>
      <c r="I966" s="631"/>
      <c r="J966" s="631"/>
      <c r="K966" s="631"/>
      <c r="L966" s="631"/>
      <c r="M966" s="631"/>
      <c r="N966" s="631"/>
      <c r="O966" s="631"/>
      <c r="P966" s="631"/>
      <c r="Q966" s="631"/>
      <c r="R966" s="631"/>
      <c r="S966" s="631"/>
      <c r="T966" s="631"/>
      <c r="U966" s="631"/>
      <c r="V966" s="631"/>
      <c r="W966" s="631"/>
      <c r="X966" s="631"/>
      <c r="Y966" s="631"/>
      <c r="Z966" s="631"/>
    </row>
    <row r="967" spans="1:26">
      <c r="A967" s="636" t="s">
        <v>3648</v>
      </c>
      <c r="B967" s="631"/>
      <c r="C967" s="631"/>
      <c r="D967" s="631"/>
      <c r="E967" s="631"/>
      <c r="F967" s="631"/>
      <c r="G967" s="631"/>
      <c r="H967" s="652"/>
      <c r="I967" s="631"/>
      <c r="J967" s="631"/>
      <c r="K967" s="631"/>
      <c r="L967" s="631"/>
      <c r="M967" s="631"/>
      <c r="N967" s="631"/>
      <c r="O967" s="631"/>
      <c r="P967" s="631"/>
      <c r="Q967" s="631"/>
      <c r="R967" s="631"/>
      <c r="S967" s="631"/>
      <c r="T967" s="631"/>
      <c r="U967" s="631"/>
      <c r="V967" s="631"/>
      <c r="W967" s="631"/>
      <c r="X967" s="631"/>
      <c r="Y967" s="631"/>
      <c r="Z967" s="631"/>
    </row>
    <row r="968" spans="1:26">
      <c r="A968" s="636" t="s">
        <v>3648</v>
      </c>
      <c r="B968" s="631"/>
      <c r="C968" s="631"/>
      <c r="D968" s="631"/>
      <c r="E968" s="631"/>
      <c r="F968" s="631"/>
      <c r="G968" s="631"/>
      <c r="H968" s="652"/>
      <c r="I968" s="631"/>
      <c r="J968" s="631"/>
      <c r="K968" s="631"/>
      <c r="L968" s="631"/>
      <c r="M968" s="631"/>
      <c r="N968" s="631"/>
      <c r="O968" s="631"/>
      <c r="P968" s="631"/>
      <c r="Q968" s="631"/>
      <c r="R968" s="631"/>
      <c r="S968" s="631"/>
      <c r="T968" s="631"/>
      <c r="U968" s="631"/>
      <c r="V968" s="631"/>
      <c r="W968" s="631"/>
      <c r="X968" s="631"/>
      <c r="Y968" s="631"/>
      <c r="Z968" s="631"/>
    </row>
    <row r="969" spans="1:26">
      <c r="A969" s="636" t="s">
        <v>3648</v>
      </c>
      <c r="B969" s="631"/>
      <c r="C969" s="631"/>
      <c r="D969" s="631"/>
      <c r="E969" s="631"/>
      <c r="F969" s="631"/>
      <c r="G969" s="631"/>
      <c r="H969" s="652"/>
      <c r="I969" s="631"/>
      <c r="J969" s="631"/>
      <c r="K969" s="631"/>
      <c r="L969" s="631"/>
      <c r="M969" s="631"/>
      <c r="N969" s="631"/>
      <c r="O969" s="631"/>
      <c r="P969" s="631"/>
      <c r="Q969" s="631"/>
      <c r="R969" s="631"/>
      <c r="S969" s="631"/>
      <c r="T969" s="631"/>
      <c r="U969" s="631"/>
      <c r="V969" s="631"/>
      <c r="W969" s="631"/>
      <c r="X969" s="631"/>
      <c r="Y969" s="631"/>
      <c r="Z969" s="631"/>
    </row>
    <row r="970" spans="1:26">
      <c r="A970" s="636" t="s">
        <v>3648</v>
      </c>
      <c r="B970" s="631"/>
      <c r="C970" s="631"/>
      <c r="D970" s="631"/>
      <c r="E970" s="631"/>
      <c r="F970" s="631"/>
      <c r="G970" s="631"/>
      <c r="H970" s="652"/>
      <c r="I970" s="631"/>
      <c r="J970" s="631"/>
      <c r="K970" s="631"/>
      <c r="L970" s="631"/>
      <c r="M970" s="631"/>
      <c r="N970" s="631"/>
      <c r="O970" s="631"/>
      <c r="P970" s="631"/>
      <c r="Q970" s="631"/>
      <c r="R970" s="631"/>
      <c r="S970" s="631"/>
      <c r="T970" s="631"/>
      <c r="U970" s="631"/>
      <c r="V970" s="631"/>
      <c r="W970" s="631"/>
      <c r="X970" s="631"/>
      <c r="Y970" s="631"/>
      <c r="Z970" s="631"/>
    </row>
    <row r="971" spans="1:26">
      <c r="A971" s="636" t="s">
        <v>3648</v>
      </c>
      <c r="B971" s="631"/>
      <c r="C971" s="631"/>
      <c r="D971" s="631"/>
      <c r="E971" s="631"/>
      <c r="F971" s="631"/>
      <c r="G971" s="631"/>
      <c r="H971" s="652"/>
      <c r="I971" s="631"/>
      <c r="J971" s="631"/>
      <c r="K971" s="631"/>
      <c r="L971" s="631"/>
      <c r="M971" s="631"/>
      <c r="N971" s="631"/>
      <c r="O971" s="631"/>
      <c r="P971" s="631"/>
      <c r="Q971" s="631"/>
      <c r="R971" s="631"/>
      <c r="S971" s="631"/>
      <c r="T971" s="631"/>
      <c r="U971" s="631"/>
      <c r="V971" s="631"/>
      <c r="W971" s="631"/>
      <c r="X971" s="631"/>
      <c r="Y971" s="631"/>
      <c r="Z971" s="631"/>
    </row>
    <row r="972" spans="1:26">
      <c r="A972" s="636" t="s">
        <v>3648</v>
      </c>
      <c r="B972" s="631"/>
      <c r="C972" s="631"/>
      <c r="D972" s="631"/>
      <c r="E972" s="631"/>
      <c r="F972" s="631"/>
      <c r="G972" s="631"/>
      <c r="H972" s="652"/>
      <c r="I972" s="631"/>
      <c r="J972" s="631"/>
      <c r="K972" s="631"/>
      <c r="L972" s="631"/>
      <c r="M972" s="631"/>
      <c r="N972" s="631"/>
      <c r="O972" s="631"/>
      <c r="P972" s="631"/>
      <c r="Q972" s="631"/>
      <c r="R972" s="631"/>
      <c r="S972" s="631"/>
      <c r="T972" s="631"/>
      <c r="U972" s="631"/>
      <c r="V972" s="631"/>
      <c r="W972" s="631"/>
      <c r="X972" s="631"/>
      <c r="Y972" s="631"/>
      <c r="Z972" s="631"/>
    </row>
    <row r="973" spans="1:26">
      <c r="A973" s="636" t="s">
        <v>3648</v>
      </c>
      <c r="B973" s="631"/>
      <c r="C973" s="631"/>
      <c r="D973" s="631"/>
      <c r="E973" s="631"/>
      <c r="F973" s="631"/>
      <c r="G973" s="631"/>
      <c r="H973" s="652"/>
      <c r="I973" s="631"/>
      <c r="J973" s="631"/>
      <c r="K973" s="631"/>
      <c r="L973" s="631"/>
      <c r="M973" s="631"/>
      <c r="N973" s="631"/>
      <c r="O973" s="631"/>
      <c r="P973" s="631"/>
      <c r="Q973" s="631"/>
      <c r="R973" s="631"/>
      <c r="S973" s="631"/>
      <c r="T973" s="631"/>
      <c r="U973" s="631"/>
      <c r="V973" s="631"/>
      <c r="W973" s="631"/>
      <c r="X973" s="631"/>
      <c r="Y973" s="631"/>
      <c r="Z973" s="631"/>
    </row>
    <row r="974" spans="1:26">
      <c r="A974" s="636" t="s">
        <v>3648</v>
      </c>
      <c r="B974" s="631"/>
      <c r="C974" s="631"/>
      <c r="D974" s="631"/>
      <c r="E974" s="631"/>
      <c r="F974" s="631"/>
      <c r="G974" s="631"/>
      <c r="H974" s="652"/>
      <c r="I974" s="631"/>
      <c r="J974" s="631"/>
      <c r="K974" s="631"/>
      <c r="L974" s="631"/>
      <c r="M974" s="631"/>
      <c r="N974" s="631"/>
      <c r="O974" s="631"/>
      <c r="P974" s="631"/>
      <c r="Q974" s="631"/>
      <c r="R974" s="631"/>
      <c r="S974" s="631"/>
      <c r="T974" s="631"/>
      <c r="U974" s="631"/>
      <c r="V974" s="631"/>
      <c r="W974" s="631"/>
      <c r="X974" s="631"/>
      <c r="Y974" s="631"/>
      <c r="Z974" s="631"/>
    </row>
    <row r="975" spans="1:26">
      <c r="A975" s="636" t="s">
        <v>3648</v>
      </c>
      <c r="B975" s="631"/>
      <c r="C975" s="631"/>
      <c r="D975" s="631"/>
      <c r="E975" s="631"/>
      <c r="F975" s="631"/>
      <c r="G975" s="631"/>
      <c r="H975" s="652"/>
      <c r="I975" s="631"/>
      <c r="J975" s="631"/>
      <c r="K975" s="631"/>
      <c r="L975" s="631"/>
      <c r="M975" s="631"/>
      <c r="N975" s="631"/>
      <c r="O975" s="631"/>
      <c r="P975" s="631"/>
      <c r="Q975" s="631"/>
      <c r="R975" s="631"/>
      <c r="S975" s="631"/>
      <c r="T975" s="631"/>
      <c r="U975" s="631"/>
      <c r="V975" s="631"/>
      <c r="W975" s="631"/>
      <c r="X975" s="631"/>
      <c r="Y975" s="631"/>
      <c r="Z975" s="631"/>
    </row>
    <row r="976" spans="1:26">
      <c r="A976" s="636" t="s">
        <v>3648</v>
      </c>
      <c r="B976" s="631"/>
      <c r="C976" s="631"/>
      <c r="D976" s="631"/>
      <c r="E976" s="631"/>
      <c r="F976" s="631"/>
      <c r="G976" s="631"/>
      <c r="H976" s="652"/>
      <c r="I976" s="631"/>
      <c r="J976" s="631"/>
      <c r="K976" s="631"/>
      <c r="L976" s="631"/>
      <c r="M976" s="631"/>
      <c r="N976" s="631"/>
      <c r="O976" s="631"/>
      <c r="P976" s="631"/>
      <c r="Q976" s="631"/>
      <c r="R976" s="631"/>
      <c r="S976" s="631"/>
      <c r="T976" s="631"/>
      <c r="U976" s="631"/>
      <c r="V976" s="631"/>
      <c r="W976" s="631"/>
      <c r="X976" s="631"/>
      <c r="Y976" s="631"/>
      <c r="Z976" s="631"/>
    </row>
    <row r="977" spans="1:26">
      <c r="A977" s="636" t="s">
        <v>3648</v>
      </c>
      <c r="B977" s="631"/>
      <c r="C977" s="631"/>
      <c r="D977" s="631"/>
      <c r="E977" s="631"/>
      <c r="F977" s="631"/>
      <c r="G977" s="631"/>
      <c r="H977" s="652"/>
      <c r="I977" s="631"/>
      <c r="J977" s="631"/>
      <c r="K977" s="631"/>
      <c r="L977" s="631"/>
      <c r="M977" s="631"/>
      <c r="N977" s="631"/>
      <c r="O977" s="631"/>
      <c r="P977" s="631"/>
      <c r="Q977" s="631"/>
      <c r="R977" s="631"/>
      <c r="S977" s="631"/>
      <c r="T977" s="631"/>
      <c r="U977" s="631"/>
      <c r="V977" s="631"/>
      <c r="W977" s="631"/>
      <c r="X977" s="631"/>
      <c r="Y977" s="631"/>
      <c r="Z977" s="631"/>
    </row>
    <row r="978" spans="1:26">
      <c r="A978" s="636" t="s">
        <v>3648</v>
      </c>
      <c r="B978" s="631"/>
      <c r="C978" s="631"/>
      <c r="D978" s="631"/>
      <c r="E978" s="631"/>
      <c r="F978" s="631"/>
      <c r="G978" s="631"/>
      <c r="H978" s="652"/>
      <c r="I978" s="631"/>
      <c r="J978" s="631"/>
      <c r="K978" s="631"/>
      <c r="L978" s="631"/>
      <c r="M978" s="631"/>
      <c r="N978" s="631"/>
      <c r="O978" s="631"/>
      <c r="P978" s="631"/>
      <c r="Q978" s="631"/>
      <c r="R978" s="631"/>
      <c r="S978" s="631"/>
      <c r="T978" s="631"/>
      <c r="U978" s="631"/>
      <c r="V978" s="631"/>
      <c r="W978" s="631"/>
      <c r="X978" s="631"/>
      <c r="Y978" s="631"/>
      <c r="Z978" s="631"/>
    </row>
    <row r="979" spans="1:26">
      <c r="A979" s="636" t="s">
        <v>3648</v>
      </c>
      <c r="B979" s="631"/>
      <c r="C979" s="631"/>
      <c r="D979" s="631"/>
      <c r="E979" s="631"/>
      <c r="F979" s="631"/>
      <c r="G979" s="631"/>
      <c r="H979" s="652"/>
      <c r="I979" s="631"/>
      <c r="J979" s="631"/>
      <c r="K979" s="631"/>
      <c r="L979" s="631"/>
      <c r="M979" s="631"/>
      <c r="N979" s="631"/>
      <c r="O979" s="631"/>
      <c r="P979" s="631"/>
      <c r="Q979" s="631"/>
      <c r="R979" s="631"/>
      <c r="S979" s="631"/>
      <c r="T979" s="631"/>
      <c r="U979" s="631"/>
      <c r="V979" s="631"/>
      <c r="W979" s="631"/>
      <c r="X979" s="631"/>
      <c r="Y979" s="631"/>
      <c r="Z979" s="631"/>
    </row>
    <row r="980" spans="1:26">
      <c r="A980" s="636" t="s">
        <v>3648</v>
      </c>
      <c r="B980" s="631"/>
      <c r="C980" s="631"/>
      <c r="D980" s="631"/>
      <c r="E980" s="631"/>
      <c r="F980" s="631"/>
      <c r="G980" s="631"/>
      <c r="H980" s="652"/>
      <c r="I980" s="631"/>
      <c r="J980" s="631"/>
      <c r="K980" s="631"/>
      <c r="L980" s="631"/>
      <c r="M980" s="631"/>
      <c r="N980" s="631"/>
      <c r="O980" s="631"/>
      <c r="P980" s="631"/>
      <c r="Q980" s="631"/>
      <c r="R980" s="631"/>
      <c r="S980" s="631"/>
      <c r="T980" s="631"/>
      <c r="U980" s="631"/>
      <c r="V980" s="631"/>
      <c r="W980" s="631"/>
      <c r="X980" s="631"/>
      <c r="Y980" s="631"/>
      <c r="Z980" s="631"/>
    </row>
    <row r="981" spans="1:26">
      <c r="A981" s="636" t="s">
        <v>3648</v>
      </c>
      <c r="B981" s="631"/>
      <c r="C981" s="631"/>
      <c r="D981" s="631"/>
      <c r="E981" s="631"/>
      <c r="F981" s="631"/>
      <c r="G981" s="631"/>
      <c r="H981" s="652"/>
      <c r="I981" s="631"/>
      <c r="J981" s="631"/>
      <c r="K981" s="631"/>
      <c r="L981" s="631"/>
      <c r="M981" s="631"/>
      <c r="N981" s="631"/>
      <c r="O981" s="631"/>
      <c r="P981" s="631"/>
      <c r="Q981" s="631"/>
      <c r="R981" s="631"/>
      <c r="S981" s="631"/>
      <c r="T981" s="631"/>
      <c r="U981" s="631"/>
      <c r="V981" s="631"/>
      <c r="W981" s="631"/>
      <c r="X981" s="631"/>
      <c r="Y981" s="631"/>
      <c r="Z981" s="631"/>
    </row>
    <row r="982" spans="1:26">
      <c r="A982" s="636" t="s">
        <v>3648</v>
      </c>
      <c r="B982" s="631"/>
      <c r="C982" s="631"/>
      <c r="D982" s="631"/>
      <c r="E982" s="631"/>
      <c r="F982" s="631"/>
      <c r="G982" s="631"/>
      <c r="H982" s="652"/>
      <c r="I982" s="631"/>
      <c r="J982" s="631"/>
      <c r="K982" s="631"/>
      <c r="L982" s="631"/>
      <c r="M982" s="631"/>
      <c r="N982" s="631"/>
      <c r="O982" s="631"/>
      <c r="P982" s="631"/>
      <c r="Q982" s="631"/>
      <c r="R982" s="631"/>
      <c r="S982" s="631"/>
      <c r="T982" s="631"/>
      <c r="U982" s="631"/>
      <c r="V982" s="631"/>
      <c r="W982" s="631"/>
      <c r="X982" s="631"/>
      <c r="Y982" s="631"/>
      <c r="Z982" s="631"/>
    </row>
    <row r="983" spans="1:26">
      <c r="A983" s="636" t="s">
        <v>3648</v>
      </c>
      <c r="B983" s="631"/>
      <c r="C983" s="631"/>
      <c r="D983" s="631"/>
      <c r="E983" s="631"/>
      <c r="F983" s="631"/>
      <c r="G983" s="631"/>
      <c r="H983" s="652"/>
      <c r="I983" s="631"/>
      <c r="J983" s="631"/>
      <c r="K983" s="631"/>
      <c r="L983" s="631"/>
      <c r="M983" s="631"/>
      <c r="N983" s="631"/>
      <c r="O983" s="631"/>
      <c r="P983" s="631"/>
      <c r="Q983" s="631"/>
      <c r="R983" s="631"/>
      <c r="S983" s="631"/>
      <c r="T983" s="631"/>
      <c r="U983" s="631"/>
      <c r="V983" s="631"/>
      <c r="W983" s="631"/>
      <c r="X983" s="631"/>
      <c r="Y983" s="631"/>
      <c r="Z983" s="631"/>
    </row>
    <row r="984" spans="1:26">
      <c r="A984" s="636" t="s">
        <v>3648</v>
      </c>
      <c r="B984" s="631"/>
      <c r="C984" s="631"/>
      <c r="D984" s="631"/>
      <c r="E984" s="631"/>
      <c r="F984" s="631"/>
      <c r="G984" s="631"/>
      <c r="H984" s="652"/>
      <c r="I984" s="631"/>
      <c r="J984" s="631"/>
      <c r="K984" s="631"/>
      <c r="L984" s="631"/>
      <c r="M984" s="631"/>
      <c r="N984" s="631"/>
      <c r="O984" s="631"/>
      <c r="P984" s="631"/>
      <c r="Q984" s="631"/>
      <c r="R984" s="631"/>
      <c r="S984" s="631"/>
      <c r="T984" s="631"/>
      <c r="U984" s="631"/>
      <c r="V984" s="631"/>
      <c r="W984" s="631"/>
      <c r="X984" s="631"/>
      <c r="Y984" s="631"/>
      <c r="Z984" s="631"/>
    </row>
    <row r="985" spans="1:26">
      <c r="A985" s="636" t="s">
        <v>3648</v>
      </c>
      <c r="B985" s="631"/>
      <c r="C985" s="631"/>
      <c r="D985" s="631"/>
      <c r="E985" s="631"/>
      <c r="F985" s="631"/>
      <c r="G985" s="631"/>
      <c r="H985" s="652"/>
      <c r="I985" s="631"/>
      <c r="J985" s="631"/>
      <c r="K985" s="631"/>
      <c r="L985" s="631"/>
      <c r="M985" s="631"/>
      <c r="N985" s="631"/>
      <c r="O985" s="631"/>
      <c r="P985" s="631"/>
      <c r="Q985" s="631"/>
      <c r="R985" s="631"/>
      <c r="S985" s="631"/>
      <c r="T985" s="631"/>
      <c r="U985" s="631"/>
      <c r="V985" s="631"/>
      <c r="W985" s="631"/>
      <c r="X985" s="631"/>
      <c r="Y985" s="631"/>
      <c r="Z985" s="631"/>
    </row>
    <row r="986" spans="1:26">
      <c r="A986" s="636" t="s">
        <v>3648</v>
      </c>
      <c r="B986" s="631"/>
      <c r="C986" s="631"/>
      <c r="D986" s="631"/>
      <c r="E986" s="631"/>
      <c r="F986" s="631"/>
      <c r="G986" s="631"/>
      <c r="H986" s="652"/>
      <c r="I986" s="631"/>
      <c r="J986" s="631"/>
      <c r="K986" s="631"/>
      <c r="L986" s="631"/>
      <c r="M986" s="631"/>
      <c r="N986" s="631"/>
      <c r="O986" s="631"/>
      <c r="P986" s="631"/>
      <c r="Q986" s="631"/>
      <c r="R986" s="631"/>
      <c r="S986" s="631"/>
      <c r="T986" s="631"/>
      <c r="U986" s="631"/>
      <c r="V986" s="631"/>
      <c r="W986" s="631"/>
      <c r="X986" s="631"/>
      <c r="Y986" s="631"/>
      <c r="Z986" s="631"/>
    </row>
    <row r="987" spans="1:26">
      <c r="A987" s="636" t="s">
        <v>3648</v>
      </c>
      <c r="B987" s="631"/>
      <c r="C987" s="631"/>
      <c r="D987" s="631"/>
      <c r="E987" s="631"/>
      <c r="F987" s="631"/>
      <c r="G987" s="631"/>
      <c r="H987" s="652"/>
      <c r="I987" s="631"/>
      <c r="J987" s="631"/>
      <c r="K987" s="631"/>
      <c r="L987" s="631"/>
      <c r="M987" s="631"/>
      <c r="N987" s="631"/>
      <c r="O987" s="631"/>
      <c r="P987" s="631"/>
      <c r="Q987" s="631"/>
      <c r="R987" s="631"/>
      <c r="S987" s="631"/>
      <c r="T987" s="631"/>
      <c r="U987" s="631"/>
      <c r="V987" s="631"/>
      <c r="W987" s="631"/>
      <c r="X987" s="631"/>
      <c r="Y987" s="631"/>
      <c r="Z987" s="631"/>
    </row>
    <row r="988" spans="1:26">
      <c r="A988" s="636" t="s">
        <v>3648</v>
      </c>
      <c r="B988" s="631"/>
      <c r="C988" s="631"/>
      <c r="D988" s="631"/>
      <c r="E988" s="631"/>
      <c r="F988" s="631"/>
      <c r="G988" s="631"/>
      <c r="H988" s="652"/>
      <c r="I988" s="631"/>
      <c r="J988" s="631"/>
      <c r="K988" s="631"/>
      <c r="L988" s="631"/>
      <c r="M988" s="631"/>
      <c r="N988" s="631"/>
      <c r="O988" s="631"/>
      <c r="P988" s="631"/>
      <c r="Q988" s="631"/>
      <c r="R988" s="631"/>
      <c r="S988" s="631"/>
      <c r="T988" s="631"/>
      <c r="U988" s="631"/>
      <c r="V988" s="631"/>
      <c r="W988" s="631"/>
      <c r="X988" s="631"/>
      <c r="Y988" s="631"/>
      <c r="Z988" s="631"/>
    </row>
    <row r="989" spans="1:26">
      <c r="A989" s="636" t="s">
        <v>3648</v>
      </c>
      <c r="B989" s="631"/>
      <c r="C989" s="631"/>
      <c r="D989" s="631"/>
      <c r="E989" s="631"/>
      <c r="F989" s="631"/>
      <c r="G989" s="631"/>
      <c r="H989" s="652"/>
      <c r="I989" s="631"/>
      <c r="J989" s="631"/>
      <c r="K989" s="631"/>
      <c r="L989" s="631"/>
      <c r="M989" s="631"/>
      <c r="N989" s="631"/>
      <c r="O989" s="631"/>
      <c r="P989" s="631"/>
      <c r="Q989" s="631"/>
      <c r="R989" s="631"/>
      <c r="S989" s="631"/>
      <c r="T989" s="631"/>
      <c r="U989" s="631"/>
      <c r="V989" s="631"/>
      <c r="W989" s="631"/>
      <c r="X989" s="631"/>
      <c r="Y989" s="631"/>
      <c r="Z989" s="631"/>
    </row>
    <row r="990" spans="1:26">
      <c r="A990" s="636" t="s">
        <v>3648</v>
      </c>
      <c r="B990" s="631"/>
      <c r="C990" s="631"/>
      <c r="D990" s="631"/>
      <c r="E990" s="631"/>
      <c r="F990" s="631"/>
      <c r="G990" s="631"/>
      <c r="H990" s="652"/>
      <c r="I990" s="631"/>
      <c r="J990" s="631"/>
      <c r="K990" s="631"/>
      <c r="L990" s="631"/>
      <c r="M990" s="631"/>
      <c r="N990" s="631"/>
      <c r="O990" s="631"/>
      <c r="P990" s="631"/>
      <c r="Q990" s="631"/>
      <c r="R990" s="631"/>
      <c r="S990" s="631"/>
      <c r="T990" s="631"/>
      <c r="U990" s="631"/>
      <c r="V990" s="631"/>
      <c r="W990" s="631"/>
      <c r="X990" s="631"/>
      <c r="Y990" s="631"/>
      <c r="Z990" s="631"/>
    </row>
    <row r="991" spans="1:26">
      <c r="A991" s="636" t="s">
        <v>3648</v>
      </c>
      <c r="B991" s="631"/>
      <c r="C991" s="631"/>
      <c r="D991" s="631"/>
      <c r="E991" s="631"/>
      <c r="F991" s="631"/>
      <c r="G991" s="631"/>
      <c r="H991" s="652"/>
      <c r="I991" s="631"/>
      <c r="J991" s="631"/>
      <c r="K991" s="631"/>
      <c r="L991" s="631"/>
      <c r="M991" s="631"/>
      <c r="N991" s="631"/>
      <c r="O991" s="631"/>
      <c r="P991" s="631"/>
      <c r="Q991" s="631"/>
      <c r="R991" s="631"/>
      <c r="S991" s="631"/>
      <c r="T991" s="631"/>
      <c r="U991" s="631"/>
      <c r="V991" s="631"/>
      <c r="W991" s="631"/>
      <c r="X991" s="631"/>
      <c r="Y991" s="631"/>
      <c r="Z991" s="631"/>
    </row>
    <row r="992" spans="1:26">
      <c r="A992" s="636" t="s">
        <v>3648</v>
      </c>
      <c r="B992" s="631"/>
      <c r="C992" s="631"/>
      <c r="D992" s="631"/>
      <c r="E992" s="631"/>
      <c r="F992" s="631"/>
      <c r="G992" s="631"/>
      <c r="H992" s="652"/>
      <c r="I992" s="631"/>
      <c r="J992" s="631"/>
      <c r="K992" s="631"/>
      <c r="L992" s="631"/>
      <c r="M992" s="631"/>
      <c r="N992" s="631"/>
      <c r="O992" s="631"/>
      <c r="P992" s="631"/>
      <c r="Q992" s="631"/>
      <c r="R992" s="631"/>
      <c r="S992" s="631"/>
      <c r="T992" s="631"/>
      <c r="U992" s="631"/>
      <c r="V992" s="631"/>
      <c r="W992" s="631"/>
      <c r="X992" s="631"/>
      <c r="Y992" s="631"/>
      <c r="Z992" s="631"/>
    </row>
    <row r="993" spans="1:26">
      <c r="A993" s="636" t="s">
        <v>3648</v>
      </c>
      <c r="B993" s="631"/>
      <c r="C993" s="631"/>
      <c r="D993" s="631"/>
      <c r="E993" s="631"/>
      <c r="F993" s="631"/>
      <c r="G993" s="631"/>
      <c r="H993" s="652"/>
      <c r="I993" s="631"/>
      <c r="J993" s="631"/>
      <c r="K993" s="631"/>
      <c r="L993" s="631"/>
      <c r="M993" s="631"/>
      <c r="N993" s="631"/>
      <c r="O993" s="631"/>
      <c r="P993" s="631"/>
      <c r="Q993" s="631"/>
      <c r="R993" s="631"/>
      <c r="S993" s="631"/>
      <c r="T993" s="631"/>
      <c r="U993" s="631"/>
      <c r="V993" s="631"/>
      <c r="W993" s="631"/>
      <c r="X993" s="631"/>
      <c r="Y993" s="631"/>
      <c r="Z993" s="631"/>
    </row>
    <row r="994" spans="1:26">
      <c r="A994" s="636" t="s">
        <v>3648</v>
      </c>
      <c r="B994" s="631"/>
      <c r="C994" s="631"/>
      <c r="D994" s="631"/>
      <c r="E994" s="631"/>
      <c r="F994" s="631"/>
      <c r="G994" s="631"/>
      <c r="H994" s="652"/>
      <c r="I994" s="631"/>
      <c r="J994" s="631"/>
      <c r="K994" s="631"/>
      <c r="L994" s="631"/>
      <c r="M994" s="631"/>
      <c r="N994" s="631"/>
      <c r="O994" s="631"/>
      <c r="P994" s="631"/>
      <c r="Q994" s="631"/>
      <c r="R994" s="631"/>
      <c r="S994" s="631"/>
      <c r="T994" s="631"/>
      <c r="U994" s="631"/>
      <c r="V994" s="631"/>
      <c r="W994" s="631"/>
      <c r="X994" s="631"/>
      <c r="Y994" s="631"/>
      <c r="Z994" s="631"/>
    </row>
    <row r="995" spans="1:26">
      <c r="A995" s="636" t="s">
        <v>3648</v>
      </c>
      <c r="B995" s="631"/>
      <c r="C995" s="631"/>
      <c r="D995" s="631"/>
      <c r="E995" s="631"/>
      <c r="F995" s="631"/>
      <c r="G995" s="631"/>
      <c r="H995" s="652"/>
      <c r="I995" s="631"/>
      <c r="J995" s="631"/>
      <c r="K995" s="631"/>
      <c r="L995" s="631"/>
      <c r="M995" s="631"/>
      <c r="N995" s="631"/>
      <c r="O995" s="631"/>
      <c r="P995" s="631"/>
      <c r="Q995" s="631"/>
      <c r="R995" s="631"/>
      <c r="S995" s="631"/>
      <c r="T995" s="631"/>
      <c r="U995" s="631"/>
      <c r="V995" s="631"/>
      <c r="W995" s="631"/>
      <c r="X995" s="631"/>
      <c r="Y995" s="631"/>
      <c r="Z995" s="631"/>
    </row>
    <row r="996" spans="1:26">
      <c r="A996" s="636" t="s">
        <v>3648</v>
      </c>
      <c r="B996" s="631"/>
      <c r="C996" s="631"/>
      <c r="D996" s="631"/>
      <c r="E996" s="631"/>
      <c r="F996" s="631"/>
      <c r="G996" s="631"/>
      <c r="H996" s="652"/>
      <c r="I996" s="631"/>
      <c r="J996" s="631"/>
      <c r="K996" s="631"/>
      <c r="L996" s="631"/>
      <c r="M996" s="631"/>
      <c r="N996" s="631"/>
      <c r="O996" s="631"/>
      <c r="P996" s="631"/>
      <c r="Q996" s="631"/>
      <c r="R996" s="631"/>
      <c r="S996" s="631"/>
      <c r="T996" s="631"/>
      <c r="U996" s="631"/>
      <c r="V996" s="631"/>
      <c r="W996" s="631"/>
      <c r="X996" s="631"/>
      <c r="Y996" s="631"/>
      <c r="Z996" s="631"/>
    </row>
    <row r="997" spans="1:26">
      <c r="A997" s="636" t="s">
        <v>3648</v>
      </c>
      <c r="B997" s="631"/>
      <c r="C997" s="631"/>
      <c r="D997" s="631"/>
      <c r="E997" s="631"/>
      <c r="F997" s="631"/>
      <c r="G997" s="631"/>
      <c r="H997" s="652"/>
      <c r="I997" s="631"/>
      <c r="J997" s="631"/>
      <c r="K997" s="631"/>
      <c r="L997" s="631"/>
      <c r="M997" s="631"/>
      <c r="N997" s="631"/>
      <c r="O997" s="631"/>
      <c r="P997" s="631"/>
      <c r="Q997" s="631"/>
      <c r="R997" s="631"/>
      <c r="S997" s="631"/>
      <c r="T997" s="631"/>
      <c r="U997" s="631"/>
      <c r="V997" s="631"/>
      <c r="W997" s="631"/>
      <c r="X997" s="631"/>
      <c r="Y997" s="631"/>
      <c r="Z997" s="631"/>
    </row>
    <row r="998" spans="1:26">
      <c r="A998" s="636" t="s">
        <v>3648</v>
      </c>
      <c r="B998" s="631"/>
      <c r="C998" s="631"/>
      <c r="D998" s="631"/>
      <c r="E998" s="631"/>
      <c r="F998" s="631"/>
      <c r="G998" s="631"/>
      <c r="H998" s="652"/>
      <c r="I998" s="631"/>
      <c r="J998" s="631"/>
      <c r="K998" s="631"/>
      <c r="L998" s="631"/>
      <c r="M998" s="631"/>
      <c r="N998" s="631"/>
      <c r="O998" s="631"/>
      <c r="P998" s="631"/>
      <c r="Q998" s="631"/>
      <c r="R998" s="631"/>
      <c r="S998" s="631"/>
      <c r="T998" s="631"/>
      <c r="U998" s="631"/>
      <c r="V998" s="631"/>
      <c r="W998" s="631"/>
      <c r="X998" s="631"/>
      <c r="Y998" s="631"/>
      <c r="Z998" s="631"/>
    </row>
    <row r="999" spans="1:26">
      <c r="A999" s="636" t="s">
        <v>3648</v>
      </c>
      <c r="B999" s="631"/>
      <c r="C999" s="631"/>
      <c r="D999" s="631"/>
      <c r="E999" s="631"/>
      <c r="F999" s="631"/>
      <c r="G999" s="631"/>
      <c r="H999" s="652"/>
      <c r="I999" s="631"/>
      <c r="J999" s="631"/>
      <c r="K999" s="631"/>
      <c r="L999" s="631"/>
      <c r="M999" s="631"/>
      <c r="N999" s="631"/>
      <c r="O999" s="631"/>
      <c r="P999" s="631"/>
      <c r="Q999" s="631"/>
      <c r="R999" s="631"/>
      <c r="S999" s="631"/>
      <c r="T999" s="631"/>
      <c r="U999" s="631"/>
      <c r="V999" s="631"/>
      <c r="W999" s="631"/>
      <c r="X999" s="631"/>
      <c r="Y999" s="631"/>
      <c r="Z999" s="631"/>
    </row>
    <row r="1000" spans="1:26">
      <c r="A1000" s="636" t="s">
        <v>3648</v>
      </c>
      <c r="B1000" s="631"/>
      <c r="C1000" s="631"/>
      <c r="D1000" s="631"/>
      <c r="E1000" s="631"/>
      <c r="F1000" s="631"/>
      <c r="G1000" s="631"/>
      <c r="H1000" s="652"/>
      <c r="I1000" s="631"/>
      <c r="J1000" s="631"/>
      <c r="K1000" s="631"/>
      <c r="L1000" s="631"/>
      <c r="M1000" s="631"/>
      <c r="N1000" s="631"/>
      <c r="O1000" s="631"/>
      <c r="P1000" s="631"/>
      <c r="Q1000" s="631"/>
      <c r="R1000" s="631"/>
      <c r="S1000" s="631"/>
      <c r="T1000" s="631"/>
      <c r="U1000" s="631"/>
      <c r="V1000" s="631"/>
      <c r="W1000" s="631"/>
      <c r="X1000" s="631"/>
      <c r="Y1000" s="631"/>
      <c r="Z1000" s="631"/>
    </row>
    <row r="1001" spans="1:26">
      <c r="A1001" s="636" t="s">
        <v>3648</v>
      </c>
      <c r="B1001" s="631"/>
      <c r="C1001" s="631"/>
      <c r="D1001" s="631"/>
      <c r="E1001" s="631"/>
      <c r="F1001" s="631"/>
      <c r="G1001" s="631"/>
      <c r="H1001" s="652"/>
      <c r="I1001" s="631"/>
      <c r="J1001" s="631"/>
      <c r="K1001" s="631"/>
      <c r="L1001" s="631"/>
      <c r="M1001" s="631"/>
      <c r="N1001" s="631"/>
      <c r="O1001" s="631"/>
      <c r="P1001" s="631"/>
      <c r="Q1001" s="631"/>
      <c r="R1001" s="631"/>
      <c r="S1001" s="631"/>
      <c r="T1001" s="631"/>
      <c r="U1001" s="631"/>
      <c r="V1001" s="631"/>
      <c r="W1001" s="631"/>
      <c r="X1001" s="631"/>
      <c r="Y1001" s="631"/>
      <c r="Z1001" s="631"/>
    </row>
    <row r="1002" spans="1:26">
      <c r="A1002" s="636" t="s">
        <v>3648</v>
      </c>
      <c r="B1002" s="631"/>
      <c r="C1002" s="631"/>
      <c r="D1002" s="631"/>
      <c r="E1002" s="631"/>
      <c r="F1002" s="631"/>
      <c r="G1002" s="631"/>
      <c r="H1002" s="652"/>
      <c r="I1002" s="631"/>
      <c r="J1002" s="631"/>
      <c r="K1002" s="631"/>
      <c r="L1002" s="631"/>
      <c r="M1002" s="631"/>
      <c r="N1002" s="631"/>
      <c r="O1002" s="631"/>
      <c r="P1002" s="631"/>
      <c r="Q1002" s="631"/>
      <c r="R1002" s="631"/>
      <c r="S1002" s="631"/>
      <c r="T1002" s="631"/>
      <c r="U1002" s="631"/>
      <c r="V1002" s="631"/>
      <c r="W1002" s="631"/>
      <c r="X1002" s="631"/>
      <c r="Y1002" s="631"/>
      <c r="Z1002" s="631"/>
    </row>
    <row r="1003" spans="1:26">
      <c r="A1003" s="636" t="s">
        <v>3648</v>
      </c>
      <c r="B1003" s="631"/>
      <c r="C1003" s="631"/>
      <c r="D1003" s="631"/>
      <c r="E1003" s="631"/>
      <c r="F1003" s="631"/>
      <c r="G1003" s="631"/>
      <c r="H1003" s="652"/>
      <c r="I1003" s="631"/>
      <c r="J1003" s="631"/>
      <c r="K1003" s="631"/>
      <c r="L1003" s="631"/>
      <c r="M1003" s="631"/>
      <c r="N1003" s="631"/>
      <c r="O1003" s="631"/>
      <c r="P1003" s="631"/>
      <c r="Q1003" s="631"/>
      <c r="R1003" s="631"/>
      <c r="S1003" s="631"/>
      <c r="T1003" s="631"/>
      <c r="U1003" s="631"/>
      <c r="V1003" s="631"/>
      <c r="W1003" s="631"/>
      <c r="X1003" s="631"/>
      <c r="Y1003" s="631"/>
      <c r="Z1003" s="631"/>
    </row>
  </sheetData>
  <autoFilter ref="A2:Z52" xr:uid="{1A5E0B19-4D5C-4B5D-9125-66F9D9D1401C}"/>
  <mergeCells count="2">
    <mergeCell ref="C1:F1"/>
    <mergeCell ref="G1:N1"/>
  </mergeCells>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B85DE5-9FC2-43C2-924C-0EF801B120D6}">
  <sheetPr filterMode="1"/>
  <dimension ref="A1:AD1000"/>
  <sheetViews>
    <sheetView topLeftCell="B1" workbookViewId="0">
      <pane xSplit="1" ySplit="3" topLeftCell="J32" activePane="bottomRight" state="frozen"/>
      <selection pane="topRight"/>
      <selection pane="bottomLeft"/>
      <selection pane="bottomRight" activeCell="J32" sqref="J32"/>
    </sheetView>
  </sheetViews>
  <sheetFormatPr defaultColWidth="9.1796875" defaultRowHeight="12.5"/>
  <cols>
    <col min="1" max="1" width="14.26953125" style="640" customWidth="1"/>
    <col min="2" max="2" width="34.81640625" style="640" customWidth="1"/>
    <col min="3" max="3" width="22.26953125" style="640" customWidth="1"/>
    <col min="4" max="4" width="9.1796875" style="640"/>
    <col min="5" max="5" width="8.453125" style="640" customWidth="1"/>
    <col min="6" max="6" width="32.1796875" style="640" customWidth="1"/>
    <col min="7" max="7" width="14.7265625" style="640" customWidth="1"/>
    <col min="8" max="8" width="47.54296875" style="640" customWidth="1"/>
    <col min="9" max="9" width="24.453125" style="640" customWidth="1"/>
    <col min="10" max="10" width="46.453125" style="640" customWidth="1"/>
    <col min="11" max="11" width="44.54296875" style="640" customWidth="1"/>
    <col min="12" max="12" width="42.81640625" style="640" customWidth="1"/>
    <col min="13" max="13" width="31.81640625" style="640" customWidth="1"/>
    <col min="14" max="14" width="85.81640625" style="640" customWidth="1"/>
    <col min="15" max="15" width="49.26953125" style="640" customWidth="1"/>
    <col min="16" max="16" width="9.1796875" style="640" bestFit="1" customWidth="1"/>
    <col min="17" max="16384" width="9.1796875" style="640"/>
  </cols>
  <sheetData>
    <row r="1" spans="1:28">
      <c r="B1" s="721" t="s">
        <v>5824</v>
      </c>
      <c r="C1" s="721"/>
      <c r="D1" s="721"/>
      <c r="E1" s="721"/>
      <c r="F1" s="721"/>
      <c r="G1" s="721"/>
      <c r="H1" s="721"/>
    </row>
    <row r="2" spans="1:28">
      <c r="B2" s="721" t="s">
        <v>5825</v>
      </c>
      <c r="C2" s="721"/>
      <c r="D2" s="721"/>
      <c r="E2" s="721"/>
      <c r="F2" s="721"/>
      <c r="G2" s="721"/>
      <c r="H2" s="721"/>
    </row>
    <row r="3" spans="1:28">
      <c r="A3" s="676" t="s">
        <v>3648</v>
      </c>
      <c r="B3" s="677" t="s">
        <v>3648</v>
      </c>
      <c r="C3" s="722" t="s">
        <v>3649</v>
      </c>
      <c r="D3" s="722"/>
      <c r="E3" s="722"/>
      <c r="F3" s="723"/>
      <c r="G3" s="724" t="s">
        <v>3650</v>
      </c>
      <c r="H3" s="724"/>
      <c r="I3" s="724"/>
      <c r="J3" s="724"/>
      <c r="K3" s="724"/>
      <c r="L3" s="724"/>
      <c r="M3" s="724"/>
      <c r="N3" s="725"/>
      <c r="O3" s="678"/>
      <c r="P3" s="639"/>
      <c r="Q3" s="639"/>
      <c r="R3" s="639"/>
      <c r="S3" s="639"/>
      <c r="T3" s="639"/>
      <c r="U3" s="639"/>
      <c r="V3" s="639"/>
      <c r="W3" s="639"/>
      <c r="X3" s="639"/>
      <c r="Y3" s="639"/>
      <c r="Z3" s="639"/>
      <c r="AA3" s="639"/>
      <c r="AB3" s="639"/>
    </row>
    <row r="4" spans="1:28">
      <c r="A4" s="641" t="s">
        <v>3652</v>
      </c>
      <c r="B4" s="642" t="s">
        <v>225</v>
      </c>
      <c r="C4" s="642" t="s">
        <v>226</v>
      </c>
      <c r="D4" s="642" t="s">
        <v>227</v>
      </c>
      <c r="E4" s="642" t="s">
        <v>1045</v>
      </c>
      <c r="F4" s="642" t="s">
        <v>3656</v>
      </c>
      <c r="G4" s="642" t="s">
        <v>1046</v>
      </c>
      <c r="H4" s="642" t="s">
        <v>100</v>
      </c>
      <c r="I4" s="642" t="s">
        <v>3657</v>
      </c>
      <c r="J4" s="642" t="s">
        <v>5763</v>
      </c>
      <c r="K4" s="642" t="s">
        <v>105</v>
      </c>
      <c r="L4" s="642" t="s">
        <v>2597</v>
      </c>
      <c r="M4" s="643" t="s">
        <v>5826</v>
      </c>
      <c r="P4" s="639"/>
      <c r="Q4" s="639"/>
      <c r="R4" s="639"/>
      <c r="S4" s="639"/>
      <c r="T4" s="639"/>
      <c r="U4" s="639"/>
      <c r="V4" s="639"/>
      <c r="W4" s="639"/>
      <c r="X4" s="639"/>
      <c r="Y4" s="639"/>
      <c r="Z4" s="639"/>
      <c r="AA4" s="639"/>
      <c r="AB4" s="639"/>
    </row>
    <row r="5" spans="1:28" ht="25" hidden="1">
      <c r="A5" s="679" t="s">
        <v>55</v>
      </c>
      <c r="B5" s="679" t="s">
        <v>5408</v>
      </c>
      <c r="C5" s="679" t="s">
        <v>1853</v>
      </c>
      <c r="D5" s="679" t="s">
        <v>243</v>
      </c>
      <c r="E5" s="679">
        <v>29</v>
      </c>
      <c r="F5" s="679" t="s">
        <v>5827</v>
      </c>
      <c r="G5" s="679"/>
      <c r="H5" s="638" t="s">
        <v>5828</v>
      </c>
      <c r="I5" s="680" t="s">
        <v>3648</v>
      </c>
      <c r="J5" s="680"/>
      <c r="K5" s="679"/>
      <c r="L5" s="679" t="s">
        <v>5409</v>
      </c>
      <c r="M5" s="679"/>
      <c r="P5" s="679"/>
      <c r="Q5" s="679"/>
      <c r="R5" s="679"/>
      <c r="S5" s="679"/>
      <c r="T5" s="679"/>
      <c r="U5" s="679"/>
      <c r="V5" s="679"/>
      <c r="W5" s="679"/>
      <c r="X5" s="679"/>
      <c r="Y5" s="679"/>
      <c r="Z5" s="679"/>
      <c r="AA5" s="679"/>
      <c r="AB5" s="679"/>
    </row>
    <row r="6" spans="1:28">
      <c r="A6" s="679" t="s">
        <v>63</v>
      </c>
      <c r="B6" s="679" t="s">
        <v>1406</v>
      </c>
      <c r="C6" s="679" t="s">
        <v>535</v>
      </c>
      <c r="D6" s="679" t="s">
        <v>243</v>
      </c>
      <c r="E6" s="679">
        <v>19</v>
      </c>
      <c r="F6" s="679" t="s">
        <v>5827</v>
      </c>
      <c r="G6" s="679" t="s">
        <v>682</v>
      </c>
      <c r="H6" s="638" t="s">
        <v>5828</v>
      </c>
      <c r="I6" s="681" t="s">
        <v>5829</v>
      </c>
      <c r="J6" s="680" t="s">
        <v>5830</v>
      </c>
      <c r="K6" s="679"/>
      <c r="L6" s="679" t="s">
        <v>1190</v>
      </c>
      <c r="M6" s="679"/>
      <c r="P6" s="679"/>
      <c r="Q6" s="679"/>
      <c r="R6" s="679"/>
      <c r="S6" s="679"/>
      <c r="T6" s="679"/>
      <c r="U6" s="679"/>
      <c r="V6" s="679"/>
      <c r="W6" s="679"/>
      <c r="X6" s="679"/>
      <c r="Y6" s="679"/>
      <c r="Z6" s="679"/>
      <c r="AA6" s="679"/>
      <c r="AB6" s="679"/>
    </row>
    <row r="7" spans="1:28">
      <c r="A7" s="679" t="s">
        <v>53</v>
      </c>
      <c r="B7" s="679" t="s">
        <v>5416</v>
      </c>
      <c r="C7" s="679" t="s">
        <v>432</v>
      </c>
      <c r="D7" s="679" t="s">
        <v>243</v>
      </c>
      <c r="E7" s="679">
        <v>33</v>
      </c>
      <c r="F7" s="679" t="s">
        <v>5827</v>
      </c>
      <c r="G7" s="679" t="s">
        <v>682</v>
      </c>
      <c r="H7" s="638" t="s">
        <v>5828</v>
      </c>
      <c r="I7" s="681" t="s">
        <v>5829</v>
      </c>
      <c r="J7" s="680" t="s">
        <v>5831</v>
      </c>
      <c r="K7" s="679"/>
      <c r="L7" s="679" t="s">
        <v>1190</v>
      </c>
      <c r="M7" s="679"/>
      <c r="P7" s="679"/>
      <c r="Q7" s="679"/>
      <c r="R7" s="679"/>
      <c r="S7" s="679"/>
      <c r="T7" s="679"/>
      <c r="U7" s="679"/>
      <c r="V7" s="679"/>
      <c r="W7" s="679"/>
      <c r="X7" s="679"/>
      <c r="Y7" s="679"/>
      <c r="Z7" s="679"/>
      <c r="AA7" s="679"/>
      <c r="AB7" s="679"/>
    </row>
    <row r="8" spans="1:28" ht="28.5" customHeight="1">
      <c r="A8" s="679" t="s">
        <v>55</v>
      </c>
      <c r="B8" s="679" t="s">
        <v>1956</v>
      </c>
      <c r="C8" s="679" t="s">
        <v>252</v>
      </c>
      <c r="D8" s="679" t="s">
        <v>243</v>
      </c>
      <c r="E8" s="679">
        <v>9</v>
      </c>
      <c r="F8" s="679" t="s">
        <v>5827</v>
      </c>
      <c r="G8" s="679" t="s">
        <v>682</v>
      </c>
      <c r="H8" s="638" t="s">
        <v>5828</v>
      </c>
      <c r="I8" s="681" t="s">
        <v>5829</v>
      </c>
      <c r="J8" s="680" t="s">
        <v>5832</v>
      </c>
      <c r="K8" s="679" t="s">
        <v>5833</v>
      </c>
      <c r="L8" s="679"/>
      <c r="M8" s="679"/>
      <c r="P8" s="679"/>
      <c r="Q8" s="679"/>
      <c r="R8" s="679"/>
      <c r="S8" s="679"/>
      <c r="T8" s="679"/>
      <c r="U8" s="679"/>
      <c r="V8" s="679"/>
      <c r="W8" s="679"/>
      <c r="X8" s="679"/>
      <c r="Y8" s="679"/>
      <c r="Z8" s="679"/>
      <c r="AA8" s="679"/>
      <c r="AB8" s="679"/>
    </row>
    <row r="9" spans="1:28">
      <c r="A9" s="679" t="s">
        <v>55</v>
      </c>
      <c r="B9" s="679" t="s">
        <v>1957</v>
      </c>
      <c r="C9" s="679" t="s">
        <v>252</v>
      </c>
      <c r="D9" s="679" t="s">
        <v>243</v>
      </c>
      <c r="E9" s="679">
        <v>10</v>
      </c>
      <c r="F9" s="679" t="s">
        <v>5827</v>
      </c>
      <c r="G9" s="679" t="s">
        <v>682</v>
      </c>
      <c r="H9" s="638" t="s">
        <v>5828</v>
      </c>
      <c r="I9" s="681" t="s">
        <v>5829</v>
      </c>
      <c r="J9" s="680" t="s">
        <v>5834</v>
      </c>
      <c r="K9" s="679"/>
      <c r="L9" s="679"/>
      <c r="M9" s="679"/>
      <c r="P9" s="679"/>
      <c r="Q9" s="679"/>
      <c r="R9" s="679"/>
      <c r="S9" s="679"/>
      <c r="T9" s="679"/>
      <c r="U9" s="679"/>
      <c r="V9" s="679"/>
      <c r="W9" s="679"/>
      <c r="X9" s="679"/>
      <c r="Y9" s="679"/>
      <c r="Z9" s="679"/>
      <c r="AA9" s="679"/>
      <c r="AB9" s="679"/>
    </row>
    <row r="10" spans="1:28" ht="87.75" customHeight="1">
      <c r="A10" s="679" t="s">
        <v>55</v>
      </c>
      <c r="B10" s="679" t="s">
        <v>3275</v>
      </c>
      <c r="C10" s="679" t="s">
        <v>1853</v>
      </c>
      <c r="D10" s="679" t="s">
        <v>243</v>
      </c>
      <c r="E10" s="679">
        <v>38</v>
      </c>
      <c r="F10" s="679" t="s">
        <v>5827</v>
      </c>
      <c r="G10" s="679" t="s">
        <v>682</v>
      </c>
      <c r="H10" s="638" t="s">
        <v>5828</v>
      </c>
      <c r="I10" s="681" t="s">
        <v>5829</v>
      </c>
      <c r="J10" s="680" t="s">
        <v>5835</v>
      </c>
      <c r="K10" s="679" t="s">
        <v>5836</v>
      </c>
      <c r="L10" s="679"/>
      <c r="M10" s="679" t="s">
        <v>5837</v>
      </c>
      <c r="P10" s="679"/>
      <c r="Q10" s="679"/>
      <c r="R10" s="679"/>
      <c r="S10" s="679"/>
      <c r="T10" s="679"/>
      <c r="U10" s="679"/>
      <c r="V10" s="679"/>
      <c r="W10" s="679"/>
      <c r="X10" s="679"/>
      <c r="Y10" s="679"/>
      <c r="Z10" s="679"/>
      <c r="AA10" s="679"/>
      <c r="AB10" s="679"/>
    </row>
    <row r="11" spans="1:28" hidden="1">
      <c r="A11" s="679" t="s">
        <v>55</v>
      </c>
      <c r="B11" s="679" t="s">
        <v>5168</v>
      </c>
      <c r="C11" s="679" t="s">
        <v>324</v>
      </c>
      <c r="D11" s="679" t="s">
        <v>243</v>
      </c>
      <c r="E11" s="679">
        <v>12</v>
      </c>
      <c r="F11" s="679" t="s">
        <v>5827</v>
      </c>
      <c r="G11" s="679"/>
      <c r="H11" s="638" t="s">
        <v>5828</v>
      </c>
      <c r="I11" s="680" t="s">
        <v>3648</v>
      </c>
      <c r="J11" s="680"/>
      <c r="K11" s="679"/>
      <c r="L11" s="679"/>
      <c r="M11" s="679"/>
      <c r="P11" s="679"/>
      <c r="Q11" s="679"/>
      <c r="R11" s="679"/>
      <c r="S11" s="679"/>
      <c r="T11" s="679"/>
      <c r="U11" s="679"/>
      <c r="V11" s="679"/>
      <c r="W11" s="679"/>
      <c r="X11" s="679"/>
      <c r="Y11" s="679"/>
      <c r="Z11" s="679"/>
      <c r="AA11" s="679"/>
      <c r="AB11" s="679"/>
    </row>
    <row r="12" spans="1:28" hidden="1">
      <c r="A12" s="679" t="s">
        <v>224</v>
      </c>
      <c r="B12" s="679" t="s">
        <v>5406</v>
      </c>
      <c r="C12" s="679" t="s">
        <v>252</v>
      </c>
      <c r="D12" s="679" t="s">
        <v>243</v>
      </c>
      <c r="E12" s="679">
        <v>28</v>
      </c>
      <c r="F12" s="679" t="s">
        <v>5827</v>
      </c>
      <c r="G12" s="679"/>
      <c r="H12" s="638" t="s">
        <v>5828</v>
      </c>
      <c r="I12" s="681" t="s">
        <v>3648</v>
      </c>
      <c r="J12" s="680"/>
      <c r="K12" s="679"/>
      <c r="L12" s="679" t="s">
        <v>5407</v>
      </c>
      <c r="M12" s="679"/>
      <c r="P12" s="679"/>
      <c r="Q12" s="679"/>
      <c r="R12" s="679"/>
      <c r="S12" s="679"/>
      <c r="T12" s="679"/>
      <c r="U12" s="679"/>
      <c r="V12" s="679"/>
      <c r="W12" s="679"/>
      <c r="X12" s="679"/>
      <c r="Y12" s="679"/>
      <c r="Z12" s="679"/>
      <c r="AA12" s="679"/>
      <c r="AB12" s="679"/>
    </row>
    <row r="13" spans="1:28" hidden="1">
      <c r="A13" s="679"/>
      <c r="B13" s="679" t="s">
        <v>5838</v>
      </c>
      <c r="C13" s="679" t="s">
        <v>5765</v>
      </c>
      <c r="D13" s="679" t="s">
        <v>243</v>
      </c>
      <c r="E13" s="679">
        <v>2</v>
      </c>
      <c r="F13" s="679" t="s">
        <v>5827</v>
      </c>
      <c r="G13" s="679"/>
      <c r="H13" s="638" t="s">
        <v>5828</v>
      </c>
      <c r="I13" s="680" t="s">
        <v>3648</v>
      </c>
      <c r="J13" s="680"/>
      <c r="K13" s="679"/>
      <c r="L13" s="679" t="s">
        <v>5839</v>
      </c>
      <c r="M13" s="679"/>
      <c r="P13" s="679"/>
      <c r="Q13" s="679"/>
      <c r="R13" s="679"/>
      <c r="S13" s="679"/>
      <c r="T13" s="679"/>
      <c r="U13" s="679"/>
      <c r="V13" s="679"/>
      <c r="W13" s="679"/>
      <c r="X13" s="679"/>
      <c r="Y13" s="679"/>
      <c r="Z13" s="679"/>
      <c r="AA13" s="679"/>
      <c r="AB13" s="679"/>
    </row>
    <row r="14" spans="1:28" ht="50.25" customHeight="1">
      <c r="A14" s="679" t="s">
        <v>55</v>
      </c>
      <c r="B14" s="679" t="s">
        <v>5412</v>
      </c>
      <c r="C14" s="679" t="s">
        <v>247</v>
      </c>
      <c r="D14" s="679" t="s">
        <v>243</v>
      </c>
      <c r="E14" s="679">
        <v>31</v>
      </c>
      <c r="F14" s="679" t="s">
        <v>5827</v>
      </c>
      <c r="G14" s="679" t="s">
        <v>682</v>
      </c>
      <c r="H14" s="638" t="s">
        <v>5828</v>
      </c>
      <c r="I14" s="681" t="s">
        <v>5829</v>
      </c>
      <c r="J14" s="680" t="s">
        <v>5840</v>
      </c>
      <c r="K14" s="679" t="s">
        <v>5841</v>
      </c>
      <c r="L14" s="679" t="s">
        <v>5413</v>
      </c>
      <c r="M14" s="679"/>
      <c r="P14" s="679"/>
      <c r="Q14" s="679"/>
      <c r="R14" s="679"/>
      <c r="S14" s="679"/>
      <c r="T14" s="679"/>
      <c r="U14" s="679"/>
      <c r="V14" s="679"/>
      <c r="W14" s="679"/>
      <c r="X14" s="679"/>
      <c r="Y14" s="679"/>
      <c r="Z14" s="679"/>
      <c r="AA14" s="679"/>
      <c r="AB14" s="679"/>
    </row>
    <row r="15" spans="1:28" ht="55.5" customHeight="1">
      <c r="A15" s="679" t="s">
        <v>55</v>
      </c>
      <c r="B15" s="679" t="s">
        <v>5414</v>
      </c>
      <c r="C15" s="679" t="s">
        <v>247</v>
      </c>
      <c r="D15" s="679" t="s">
        <v>243</v>
      </c>
      <c r="E15" s="679">
        <v>32</v>
      </c>
      <c r="F15" s="679" t="s">
        <v>5827</v>
      </c>
      <c r="G15" s="679" t="s">
        <v>682</v>
      </c>
      <c r="H15" s="638" t="s">
        <v>5828</v>
      </c>
      <c r="I15" s="680" t="s">
        <v>5842</v>
      </c>
      <c r="J15" s="680"/>
      <c r="K15" s="679" t="s">
        <v>5843</v>
      </c>
      <c r="L15" s="679" t="s">
        <v>5415</v>
      </c>
      <c r="M15" s="679"/>
      <c r="P15" s="679"/>
      <c r="Q15" s="679"/>
      <c r="R15" s="679"/>
      <c r="S15" s="679"/>
      <c r="T15" s="679"/>
      <c r="U15" s="679"/>
      <c r="V15" s="679"/>
      <c r="W15" s="679"/>
      <c r="X15" s="679"/>
      <c r="Y15" s="679"/>
      <c r="Z15" s="679"/>
      <c r="AA15" s="679"/>
      <c r="AB15" s="679"/>
    </row>
    <row r="16" spans="1:28" ht="25" hidden="1">
      <c r="A16" s="679" t="s">
        <v>55</v>
      </c>
      <c r="B16" s="679" t="s">
        <v>5410</v>
      </c>
      <c r="C16" s="679" t="s">
        <v>247</v>
      </c>
      <c r="D16" s="679" t="s">
        <v>243</v>
      </c>
      <c r="E16" s="679">
        <v>30</v>
      </c>
      <c r="F16" s="679" t="s">
        <v>5827</v>
      </c>
      <c r="G16" s="679"/>
      <c r="H16" s="638" t="s">
        <v>5828</v>
      </c>
      <c r="I16" s="680" t="s">
        <v>3648</v>
      </c>
      <c r="J16" s="680"/>
      <c r="K16" s="679"/>
      <c r="L16" s="679" t="s">
        <v>5411</v>
      </c>
      <c r="M16" s="679"/>
      <c r="P16" s="679"/>
      <c r="Q16" s="679"/>
      <c r="R16" s="679"/>
      <c r="S16" s="679"/>
      <c r="T16" s="679"/>
      <c r="U16" s="679"/>
      <c r="V16" s="679"/>
      <c r="W16" s="679"/>
      <c r="X16" s="679"/>
      <c r="Y16" s="679"/>
      <c r="Z16" s="679"/>
      <c r="AA16" s="679"/>
      <c r="AB16" s="679"/>
    </row>
    <row r="17" spans="1:30" hidden="1">
      <c r="A17" s="679" t="s">
        <v>55</v>
      </c>
      <c r="B17" s="679" t="s">
        <v>5844</v>
      </c>
      <c r="C17" s="679" t="s">
        <v>995</v>
      </c>
      <c r="D17" s="679" t="s">
        <v>243</v>
      </c>
      <c r="E17" s="679">
        <v>41</v>
      </c>
      <c r="F17" s="679" t="s">
        <v>5827</v>
      </c>
      <c r="G17" s="679"/>
      <c r="H17" s="638" t="s">
        <v>5828</v>
      </c>
      <c r="I17" s="680" t="s">
        <v>3648</v>
      </c>
      <c r="J17" s="680"/>
      <c r="K17" s="679"/>
      <c r="L17" s="679"/>
      <c r="M17" s="679"/>
      <c r="P17" s="679"/>
      <c r="Q17" s="679"/>
      <c r="R17" s="679"/>
      <c r="S17" s="679"/>
      <c r="T17" s="679"/>
      <c r="U17" s="679"/>
      <c r="V17" s="679"/>
      <c r="W17" s="679"/>
      <c r="X17" s="679"/>
      <c r="Y17" s="679"/>
      <c r="Z17" s="679"/>
      <c r="AA17" s="679"/>
      <c r="AB17" s="679"/>
    </row>
    <row r="18" spans="1:30">
      <c r="A18" s="679" t="s">
        <v>53</v>
      </c>
      <c r="B18" s="679" t="s">
        <v>5389</v>
      </c>
      <c r="C18" s="679" t="s">
        <v>264</v>
      </c>
      <c r="D18" s="679" t="s">
        <v>903</v>
      </c>
      <c r="E18" s="679">
        <v>13</v>
      </c>
      <c r="F18" s="679" t="s">
        <v>5827</v>
      </c>
      <c r="G18" s="679" t="s">
        <v>682</v>
      </c>
      <c r="H18" s="638" t="s">
        <v>5828</v>
      </c>
      <c r="I18" s="681" t="s">
        <v>5829</v>
      </c>
      <c r="J18" s="680" t="s">
        <v>5845</v>
      </c>
      <c r="K18" s="679" t="s">
        <v>5846</v>
      </c>
      <c r="L18" s="682" t="s">
        <v>5390</v>
      </c>
      <c r="M18" s="679"/>
      <c r="P18" s="679"/>
      <c r="Q18" s="679"/>
      <c r="R18" s="679"/>
      <c r="S18" s="679"/>
      <c r="T18" s="679"/>
      <c r="U18" s="679"/>
      <c r="V18" s="679"/>
      <c r="W18" s="679"/>
      <c r="X18" s="679"/>
      <c r="Y18" s="679"/>
      <c r="Z18" s="679"/>
      <c r="AA18" s="679"/>
      <c r="AB18" s="679"/>
    </row>
    <row r="19" spans="1:30" ht="37.5">
      <c r="A19" s="679" t="s">
        <v>224</v>
      </c>
      <c r="B19" s="679" t="s">
        <v>5391</v>
      </c>
      <c r="C19" s="679" t="s">
        <v>264</v>
      </c>
      <c r="D19" s="679" t="s">
        <v>903</v>
      </c>
      <c r="E19" s="679">
        <v>14</v>
      </c>
      <c r="F19" s="679" t="s">
        <v>5827</v>
      </c>
      <c r="G19" s="679" t="s">
        <v>682</v>
      </c>
      <c r="H19" s="638" t="s">
        <v>5828</v>
      </c>
      <c r="I19" s="681" t="s">
        <v>5829</v>
      </c>
      <c r="J19" s="680" t="s">
        <v>5847</v>
      </c>
      <c r="K19" s="679" t="s">
        <v>5848</v>
      </c>
      <c r="L19" s="679" t="s">
        <v>5849</v>
      </c>
      <c r="M19" s="679"/>
      <c r="P19" s="683"/>
      <c r="Q19" s="683"/>
      <c r="R19" s="683"/>
      <c r="S19" s="679"/>
      <c r="T19" s="679"/>
      <c r="U19" s="679"/>
      <c r="V19" s="679"/>
      <c r="W19" s="679"/>
      <c r="X19" s="679"/>
      <c r="Y19" s="679"/>
      <c r="Z19" s="679"/>
      <c r="AA19" s="679"/>
      <c r="AB19" s="679"/>
      <c r="AC19" s="679"/>
      <c r="AD19" s="679"/>
    </row>
    <row r="20" spans="1:30" hidden="1">
      <c r="A20" s="679" t="s">
        <v>55</v>
      </c>
      <c r="B20" s="679" t="s">
        <v>5850</v>
      </c>
      <c r="C20" s="679" t="s">
        <v>1853</v>
      </c>
      <c r="D20" s="679" t="s">
        <v>243</v>
      </c>
      <c r="E20" s="679">
        <v>37</v>
      </c>
      <c r="F20" s="679" t="s">
        <v>5827</v>
      </c>
      <c r="G20" s="679"/>
      <c r="H20" s="638" t="s">
        <v>5828</v>
      </c>
      <c r="I20" s="680" t="s">
        <v>3648</v>
      </c>
      <c r="J20" s="680"/>
      <c r="K20" s="679"/>
      <c r="L20" s="679"/>
      <c r="M20" s="679"/>
      <c r="P20" s="679"/>
      <c r="Q20" s="679"/>
      <c r="R20" s="679"/>
      <c r="S20" s="679"/>
      <c r="T20" s="679"/>
      <c r="U20" s="679"/>
      <c r="V20" s="679"/>
      <c r="W20" s="679"/>
      <c r="X20" s="679"/>
      <c r="Y20" s="679"/>
      <c r="Z20" s="679"/>
      <c r="AA20" s="679"/>
      <c r="AB20" s="679"/>
    </row>
    <row r="21" spans="1:30" ht="50">
      <c r="A21" s="679" t="s">
        <v>55</v>
      </c>
      <c r="B21" s="679" t="s">
        <v>5402</v>
      </c>
      <c r="C21" s="679" t="s">
        <v>242</v>
      </c>
      <c r="D21" s="679" t="s">
        <v>243</v>
      </c>
      <c r="E21" s="679">
        <v>26</v>
      </c>
      <c r="F21" s="679" t="s">
        <v>5827</v>
      </c>
      <c r="G21" s="679" t="s">
        <v>682</v>
      </c>
      <c r="H21" s="638" t="s">
        <v>5828</v>
      </c>
      <c r="I21" s="681" t="s">
        <v>5829</v>
      </c>
      <c r="J21" s="680" t="s">
        <v>5851</v>
      </c>
      <c r="K21" s="679" t="s">
        <v>5852</v>
      </c>
      <c r="L21" s="679" t="s">
        <v>5403</v>
      </c>
      <c r="M21" s="679" t="s">
        <v>5853</v>
      </c>
      <c r="P21" s="679"/>
      <c r="Q21" s="679"/>
      <c r="R21" s="679"/>
      <c r="S21" s="679"/>
      <c r="T21" s="679"/>
      <c r="U21" s="679"/>
      <c r="V21" s="679"/>
      <c r="W21" s="679"/>
      <c r="X21" s="679"/>
      <c r="Y21" s="679"/>
      <c r="Z21" s="679"/>
      <c r="AA21" s="679"/>
      <c r="AB21" s="679"/>
    </row>
    <row r="22" spans="1:30" ht="52.5" customHeight="1">
      <c r="A22" s="679" t="s">
        <v>55</v>
      </c>
      <c r="B22" s="679" t="s">
        <v>5404</v>
      </c>
      <c r="C22" s="679" t="s">
        <v>264</v>
      </c>
      <c r="D22" s="679" t="s">
        <v>243</v>
      </c>
      <c r="E22" s="679">
        <v>27</v>
      </c>
      <c r="F22" s="679" t="s">
        <v>5827</v>
      </c>
      <c r="G22" s="679" t="s">
        <v>682</v>
      </c>
      <c r="H22" s="638" t="s">
        <v>5828</v>
      </c>
      <c r="I22" s="681" t="s">
        <v>5829</v>
      </c>
      <c r="J22" s="680" t="s">
        <v>5854</v>
      </c>
      <c r="K22" s="679" t="s">
        <v>5855</v>
      </c>
      <c r="L22" s="679" t="s">
        <v>5405</v>
      </c>
      <c r="M22" s="679"/>
      <c r="P22" s="679"/>
      <c r="Q22" s="679"/>
      <c r="R22" s="679"/>
      <c r="S22" s="679"/>
      <c r="T22" s="679"/>
      <c r="U22" s="679"/>
      <c r="V22" s="679"/>
      <c r="W22" s="679"/>
      <c r="X22" s="679"/>
      <c r="Y22" s="679"/>
      <c r="Z22" s="679"/>
      <c r="AA22" s="679"/>
      <c r="AB22" s="679"/>
    </row>
    <row r="23" spans="1:30" hidden="1">
      <c r="A23" s="679" t="s">
        <v>55</v>
      </c>
      <c r="B23" s="679" t="s">
        <v>5781</v>
      </c>
      <c r="C23" s="679" t="s">
        <v>5765</v>
      </c>
      <c r="D23" s="679" t="s">
        <v>243</v>
      </c>
      <c r="E23" s="679">
        <v>35</v>
      </c>
      <c r="F23" s="679" t="s">
        <v>5827</v>
      </c>
      <c r="G23" s="679"/>
      <c r="H23" s="638" t="s">
        <v>5828</v>
      </c>
      <c r="I23" s="680" t="s">
        <v>3648</v>
      </c>
      <c r="J23" s="680"/>
      <c r="K23" s="679"/>
      <c r="L23" s="679"/>
      <c r="M23" s="679"/>
      <c r="P23" s="679"/>
      <c r="Q23" s="679"/>
      <c r="R23" s="679"/>
      <c r="S23" s="679"/>
      <c r="T23" s="679"/>
      <c r="U23" s="679"/>
      <c r="V23" s="679"/>
      <c r="W23" s="679"/>
      <c r="X23" s="679"/>
      <c r="Y23" s="679"/>
      <c r="Z23" s="679"/>
      <c r="AA23" s="679"/>
      <c r="AB23" s="679"/>
    </row>
    <row r="24" spans="1:30" ht="25">
      <c r="A24" s="679" t="s">
        <v>224</v>
      </c>
      <c r="B24" s="679" t="s">
        <v>5104</v>
      </c>
      <c r="C24" s="679" t="s">
        <v>5765</v>
      </c>
      <c r="D24" s="679" t="s">
        <v>243</v>
      </c>
      <c r="E24" s="679">
        <v>15</v>
      </c>
      <c r="F24" s="679" t="s">
        <v>5827</v>
      </c>
      <c r="G24" s="679" t="s">
        <v>682</v>
      </c>
      <c r="H24" s="638" t="s">
        <v>5828</v>
      </c>
      <c r="I24" s="680" t="s">
        <v>5856</v>
      </c>
      <c r="J24" s="680"/>
      <c r="K24" s="679" t="s">
        <v>5857</v>
      </c>
      <c r="L24" s="679" t="s">
        <v>5393</v>
      </c>
      <c r="M24" s="679" t="s">
        <v>5858</v>
      </c>
      <c r="P24" s="679"/>
      <c r="Q24" s="679"/>
      <c r="R24" s="679"/>
      <c r="S24" s="679"/>
      <c r="T24" s="679"/>
      <c r="U24" s="679"/>
      <c r="V24" s="679"/>
      <c r="W24" s="679"/>
      <c r="X24" s="679"/>
      <c r="Y24" s="679"/>
      <c r="Z24" s="679"/>
      <c r="AA24" s="679"/>
      <c r="AB24" s="679"/>
    </row>
    <row r="25" spans="1:30" ht="25">
      <c r="A25" s="679" t="s">
        <v>224</v>
      </c>
      <c r="B25" s="679" t="s">
        <v>5106</v>
      </c>
      <c r="C25" s="679" t="s">
        <v>5765</v>
      </c>
      <c r="D25" s="679" t="s">
        <v>243</v>
      </c>
      <c r="E25" s="679">
        <v>16</v>
      </c>
      <c r="F25" s="679" t="s">
        <v>5827</v>
      </c>
      <c r="G25" s="679" t="s">
        <v>682</v>
      </c>
      <c r="H25" s="638" t="s">
        <v>5828</v>
      </c>
      <c r="I25" s="680" t="s">
        <v>5859</v>
      </c>
      <c r="J25" s="680"/>
      <c r="K25" s="679" t="s">
        <v>5860</v>
      </c>
      <c r="L25" s="679" t="s">
        <v>5394</v>
      </c>
      <c r="M25" s="679" t="s">
        <v>5861</v>
      </c>
      <c r="P25" s="679"/>
      <c r="Q25" s="679"/>
      <c r="R25" s="679"/>
      <c r="S25" s="679"/>
      <c r="T25" s="679"/>
      <c r="U25" s="679"/>
      <c r="V25" s="679"/>
      <c r="W25" s="679"/>
      <c r="X25" s="679"/>
      <c r="Y25" s="679"/>
      <c r="Z25" s="679"/>
      <c r="AA25" s="679"/>
      <c r="AB25" s="679"/>
    </row>
    <row r="26" spans="1:30" ht="37.5" hidden="1">
      <c r="A26" s="679" t="s">
        <v>63</v>
      </c>
      <c r="B26" s="679" t="s">
        <v>5401</v>
      </c>
      <c r="C26" s="679" t="s">
        <v>1853</v>
      </c>
      <c r="D26" s="679" t="s">
        <v>243</v>
      </c>
      <c r="E26" s="679">
        <v>25</v>
      </c>
      <c r="F26" s="679" t="s">
        <v>5827</v>
      </c>
      <c r="G26" s="679"/>
      <c r="H26" s="638" t="s">
        <v>5828</v>
      </c>
      <c r="I26" s="680" t="s">
        <v>3648</v>
      </c>
      <c r="J26" s="680"/>
      <c r="K26" s="679"/>
      <c r="L26" s="679" t="s">
        <v>5365</v>
      </c>
      <c r="M26" s="679"/>
      <c r="P26" s="679"/>
      <c r="Q26" s="679"/>
      <c r="R26" s="679"/>
      <c r="S26" s="679"/>
      <c r="T26" s="679"/>
      <c r="U26" s="679"/>
      <c r="V26" s="679"/>
      <c r="W26" s="679"/>
      <c r="X26" s="679"/>
      <c r="Y26" s="679"/>
      <c r="Z26" s="679"/>
      <c r="AA26" s="679"/>
      <c r="AB26" s="679"/>
    </row>
    <row r="27" spans="1:30" ht="37.5" customHeight="1">
      <c r="A27" s="679" t="s">
        <v>224</v>
      </c>
      <c r="B27" s="679" t="s">
        <v>1868</v>
      </c>
      <c r="C27" s="679" t="s">
        <v>1853</v>
      </c>
      <c r="D27" s="679" t="s">
        <v>903</v>
      </c>
      <c r="E27" s="679">
        <v>20</v>
      </c>
      <c r="F27" s="679" t="s">
        <v>5827</v>
      </c>
      <c r="G27" s="679" t="s">
        <v>682</v>
      </c>
      <c r="H27" s="638" t="s">
        <v>5828</v>
      </c>
      <c r="I27" s="681" t="s">
        <v>5829</v>
      </c>
      <c r="J27" s="680" t="s">
        <v>5862</v>
      </c>
      <c r="K27" s="679" t="s">
        <v>5863</v>
      </c>
      <c r="L27" s="679" t="s">
        <v>5397</v>
      </c>
      <c r="M27" s="679"/>
      <c r="P27" s="679"/>
      <c r="Q27" s="679"/>
      <c r="R27" s="679"/>
      <c r="S27" s="679"/>
      <c r="T27" s="679"/>
      <c r="U27" s="679"/>
      <c r="V27" s="679"/>
      <c r="W27" s="679"/>
      <c r="X27" s="679"/>
      <c r="Y27" s="679"/>
      <c r="Z27" s="679"/>
      <c r="AA27" s="679"/>
      <c r="AB27" s="679"/>
    </row>
    <row r="28" spans="1:30">
      <c r="A28" s="679" t="s">
        <v>55</v>
      </c>
      <c r="B28" s="679" t="s">
        <v>920</v>
      </c>
      <c r="C28" s="679" t="s">
        <v>242</v>
      </c>
      <c r="D28" s="679" t="s">
        <v>243</v>
      </c>
      <c r="E28" s="679">
        <v>17</v>
      </c>
      <c r="F28" s="679" t="s">
        <v>5827</v>
      </c>
      <c r="G28" s="679" t="s">
        <v>682</v>
      </c>
      <c r="H28" s="638" t="s">
        <v>5828</v>
      </c>
      <c r="I28" s="680" t="s">
        <v>5799</v>
      </c>
      <c r="J28" s="680"/>
      <c r="K28" s="679" t="s">
        <v>5864</v>
      </c>
      <c r="L28" s="679" t="s">
        <v>5395</v>
      </c>
      <c r="M28" s="679" t="s">
        <v>5865</v>
      </c>
      <c r="P28" s="679"/>
      <c r="Q28" s="679"/>
      <c r="R28" s="679"/>
      <c r="S28" s="679"/>
      <c r="T28" s="679"/>
      <c r="U28" s="679"/>
      <c r="V28" s="679"/>
      <c r="W28" s="679"/>
      <c r="X28" s="679"/>
      <c r="Y28" s="679"/>
      <c r="Z28" s="679"/>
      <c r="AA28" s="679"/>
      <c r="AB28" s="679"/>
    </row>
    <row r="29" spans="1:30" ht="25" hidden="1">
      <c r="A29" s="679" t="s">
        <v>55</v>
      </c>
      <c r="B29" s="679" t="s">
        <v>2352</v>
      </c>
      <c r="C29" s="679" t="s">
        <v>1853</v>
      </c>
      <c r="D29" s="679" t="s">
        <v>243</v>
      </c>
      <c r="E29" s="679">
        <v>21</v>
      </c>
      <c r="F29" s="679" t="s">
        <v>5827</v>
      </c>
      <c r="G29" s="679"/>
      <c r="H29" s="638" t="s">
        <v>5828</v>
      </c>
      <c r="I29" s="680" t="s">
        <v>3648</v>
      </c>
      <c r="J29" s="680"/>
      <c r="K29" s="679"/>
      <c r="L29" s="679" t="s">
        <v>5398</v>
      </c>
      <c r="M29" s="679"/>
      <c r="P29" s="679"/>
      <c r="Q29" s="679"/>
      <c r="R29" s="679"/>
      <c r="S29" s="679"/>
      <c r="T29" s="679"/>
      <c r="U29" s="679"/>
      <c r="V29" s="679"/>
      <c r="W29" s="679"/>
      <c r="X29" s="679"/>
      <c r="Y29" s="679"/>
      <c r="Z29" s="679"/>
      <c r="AA29" s="679"/>
      <c r="AB29" s="679"/>
    </row>
    <row r="30" spans="1:30" hidden="1">
      <c r="A30" s="679" t="s">
        <v>55</v>
      </c>
      <c r="B30" s="679" t="s">
        <v>5399</v>
      </c>
      <c r="C30" s="679" t="s">
        <v>1853</v>
      </c>
      <c r="D30" s="679" t="s">
        <v>243</v>
      </c>
      <c r="E30" s="679">
        <v>22</v>
      </c>
      <c r="F30" s="679" t="s">
        <v>5827</v>
      </c>
      <c r="G30" s="679"/>
      <c r="H30" s="638" t="s">
        <v>5828</v>
      </c>
      <c r="I30" s="680" t="s">
        <v>3648</v>
      </c>
      <c r="J30" s="680"/>
      <c r="K30" s="679"/>
      <c r="L30" s="679" t="s">
        <v>5866</v>
      </c>
      <c r="M30" s="679"/>
      <c r="P30" s="679"/>
      <c r="Q30" s="679"/>
      <c r="R30" s="679"/>
      <c r="S30" s="679"/>
      <c r="T30" s="679"/>
      <c r="U30" s="679"/>
      <c r="V30" s="679"/>
      <c r="W30" s="679"/>
      <c r="X30" s="679"/>
      <c r="Y30" s="679"/>
      <c r="Z30" s="679"/>
      <c r="AA30" s="679"/>
      <c r="AB30" s="679"/>
    </row>
    <row r="31" spans="1:30" ht="124.5" customHeight="1">
      <c r="A31" s="679" t="s">
        <v>63</v>
      </c>
      <c r="B31" s="679" t="s">
        <v>5400</v>
      </c>
      <c r="C31" s="679" t="s">
        <v>1853</v>
      </c>
      <c r="D31" s="679" t="s">
        <v>243</v>
      </c>
      <c r="E31" s="679">
        <v>24</v>
      </c>
      <c r="F31" s="679" t="s">
        <v>5827</v>
      </c>
      <c r="G31" s="679" t="s">
        <v>682</v>
      </c>
      <c r="H31" s="638" t="s">
        <v>5828</v>
      </c>
      <c r="I31" s="681" t="s">
        <v>5829</v>
      </c>
      <c r="J31" s="680" t="s">
        <v>5867</v>
      </c>
      <c r="K31" s="679" t="s">
        <v>5868</v>
      </c>
      <c r="L31" s="679"/>
      <c r="M31" s="679" t="s">
        <v>5869</v>
      </c>
      <c r="P31" s="679"/>
      <c r="Q31" s="679"/>
      <c r="R31" s="679"/>
      <c r="S31" s="679"/>
      <c r="T31" s="679"/>
      <c r="U31" s="679"/>
      <c r="V31" s="679"/>
      <c r="W31" s="679"/>
      <c r="X31" s="679"/>
      <c r="Y31" s="679"/>
      <c r="Z31" s="679"/>
      <c r="AA31" s="679"/>
      <c r="AB31" s="679"/>
    </row>
    <row r="32" spans="1:30" ht="122.25" customHeight="1">
      <c r="A32" s="644" t="s">
        <v>5810</v>
      </c>
      <c r="B32" s="644" t="s">
        <v>1290</v>
      </c>
      <c r="C32" s="679" t="s">
        <v>432</v>
      </c>
      <c r="D32" s="679" t="s">
        <v>243</v>
      </c>
      <c r="E32" s="679"/>
      <c r="F32" s="679" t="s">
        <v>5827</v>
      </c>
      <c r="G32" s="679" t="s">
        <v>682</v>
      </c>
      <c r="H32" s="638" t="s">
        <v>5828</v>
      </c>
      <c r="I32" s="680" t="s">
        <v>1290</v>
      </c>
      <c r="J32" s="680" t="s">
        <v>5870</v>
      </c>
      <c r="K32" s="679"/>
      <c r="L32" s="644" t="s">
        <v>5671</v>
      </c>
      <c r="M32" s="679" t="s">
        <v>5813</v>
      </c>
      <c r="P32" s="679"/>
      <c r="Q32" s="679"/>
      <c r="R32" s="679"/>
      <c r="S32" s="679"/>
      <c r="T32" s="679"/>
      <c r="U32" s="679"/>
      <c r="V32" s="679"/>
      <c r="W32" s="679"/>
      <c r="X32" s="679"/>
      <c r="Y32" s="679"/>
      <c r="Z32" s="679"/>
      <c r="AA32" s="679"/>
      <c r="AB32" s="679"/>
    </row>
    <row r="33" spans="1:28" ht="29.25" customHeight="1">
      <c r="A33" s="679" t="s">
        <v>224</v>
      </c>
      <c r="B33" s="679" t="s">
        <v>5108</v>
      </c>
      <c r="C33" s="679" t="s">
        <v>5765</v>
      </c>
      <c r="D33" s="679" t="s">
        <v>243</v>
      </c>
      <c r="E33" s="679">
        <v>18</v>
      </c>
      <c r="F33" s="679" t="s">
        <v>5827</v>
      </c>
      <c r="G33" s="679" t="s">
        <v>682</v>
      </c>
      <c r="H33" s="638" t="s">
        <v>5828</v>
      </c>
      <c r="I33" s="680" t="s">
        <v>5871</v>
      </c>
      <c r="J33" s="680"/>
      <c r="K33" s="679" t="s">
        <v>5872</v>
      </c>
      <c r="L33" s="679" t="s">
        <v>5396</v>
      </c>
      <c r="M33" s="679" t="s">
        <v>5873</v>
      </c>
      <c r="P33" s="679"/>
      <c r="Q33" s="679"/>
      <c r="R33" s="679"/>
      <c r="S33" s="679"/>
      <c r="T33" s="679"/>
      <c r="U33" s="679"/>
      <c r="V33" s="679"/>
      <c r="W33" s="679"/>
      <c r="X33" s="679"/>
      <c r="Y33" s="679"/>
      <c r="Z33" s="679"/>
      <c r="AA33" s="679"/>
      <c r="AB33" s="679"/>
    </row>
    <row r="34" spans="1:28" hidden="1">
      <c r="A34" s="679" t="s">
        <v>55</v>
      </c>
      <c r="B34" s="679" t="s">
        <v>5874</v>
      </c>
      <c r="C34" s="679" t="s">
        <v>5765</v>
      </c>
      <c r="D34" s="679" t="s">
        <v>243</v>
      </c>
      <c r="E34" s="679">
        <v>39</v>
      </c>
      <c r="F34" s="679" t="s">
        <v>5827</v>
      </c>
      <c r="G34" s="679"/>
      <c r="H34" s="679" t="s">
        <v>3648</v>
      </c>
      <c r="I34" s="679" t="s">
        <v>3648</v>
      </c>
      <c r="J34" s="679"/>
      <c r="K34" s="679"/>
      <c r="L34" s="679"/>
      <c r="M34" s="679"/>
      <c r="P34" s="679"/>
      <c r="Q34" s="679"/>
      <c r="R34" s="679"/>
      <c r="S34" s="679"/>
      <c r="T34" s="679"/>
      <c r="U34" s="679"/>
      <c r="V34" s="679"/>
      <c r="W34" s="679"/>
      <c r="X34" s="679"/>
      <c r="Y34" s="679"/>
      <c r="Z34" s="679"/>
      <c r="AA34" s="679"/>
      <c r="AB34" s="679"/>
    </row>
    <row r="35" spans="1:28" ht="25">
      <c r="A35" s="679" t="s">
        <v>63</v>
      </c>
      <c r="B35" s="679" t="s">
        <v>123</v>
      </c>
      <c r="C35" s="679" t="s">
        <v>1853</v>
      </c>
      <c r="D35" s="679" t="s">
        <v>243</v>
      </c>
      <c r="E35" s="679">
        <v>23</v>
      </c>
      <c r="F35" s="679" t="s">
        <v>5827</v>
      </c>
      <c r="G35" s="679" t="s">
        <v>682</v>
      </c>
      <c r="H35" s="638" t="s">
        <v>5828</v>
      </c>
      <c r="I35" s="681" t="s">
        <v>5829</v>
      </c>
      <c r="J35" s="680" t="s">
        <v>5816</v>
      </c>
      <c r="K35" s="679"/>
      <c r="L35" s="679" t="s">
        <v>1190</v>
      </c>
      <c r="M35" s="679"/>
      <c r="P35" s="679"/>
      <c r="Q35" s="679"/>
      <c r="R35" s="679"/>
      <c r="S35" s="679"/>
      <c r="T35" s="679"/>
      <c r="U35" s="679"/>
      <c r="V35" s="679"/>
      <c r="W35" s="679"/>
      <c r="X35" s="679"/>
      <c r="Y35" s="679"/>
      <c r="Z35" s="679"/>
      <c r="AA35" s="679"/>
      <c r="AB35" s="679"/>
    </row>
    <row r="36" spans="1:28" hidden="1">
      <c r="A36" s="679" t="s">
        <v>55</v>
      </c>
      <c r="B36" s="679" t="s">
        <v>5819</v>
      </c>
      <c r="C36" s="679" t="s">
        <v>249</v>
      </c>
      <c r="D36" s="679" t="s">
        <v>243</v>
      </c>
      <c r="E36" s="679">
        <v>36</v>
      </c>
      <c r="F36" s="679" t="s">
        <v>5827</v>
      </c>
      <c r="G36" s="679"/>
      <c r="H36" s="679" t="s">
        <v>3648</v>
      </c>
      <c r="I36" s="679" t="s">
        <v>3648</v>
      </c>
      <c r="J36" s="679"/>
      <c r="K36" s="679"/>
      <c r="L36" s="679"/>
      <c r="M36" s="679"/>
      <c r="P36" s="679"/>
      <c r="Q36" s="679"/>
      <c r="R36" s="679"/>
      <c r="S36" s="679"/>
      <c r="T36" s="679"/>
      <c r="U36" s="679"/>
      <c r="V36" s="679"/>
      <c r="W36" s="679"/>
      <c r="X36" s="679"/>
      <c r="Y36" s="679"/>
      <c r="Z36" s="679"/>
      <c r="AA36" s="679"/>
      <c r="AB36" s="679"/>
    </row>
    <row r="37" spans="1:28" hidden="1">
      <c r="A37" s="679" t="s">
        <v>55</v>
      </c>
      <c r="B37" s="679" t="s">
        <v>5875</v>
      </c>
      <c r="C37" s="679" t="s">
        <v>1876</v>
      </c>
      <c r="D37" s="679" t="s">
        <v>243</v>
      </c>
      <c r="E37" s="679">
        <v>40</v>
      </c>
      <c r="F37" s="679" t="s">
        <v>5827</v>
      </c>
      <c r="G37" s="679"/>
      <c r="H37" s="679" t="s">
        <v>3648</v>
      </c>
      <c r="I37" s="679" t="s">
        <v>3648</v>
      </c>
      <c r="J37" s="679"/>
      <c r="K37" s="679"/>
      <c r="L37" s="679"/>
      <c r="M37" s="679"/>
      <c r="P37" s="679"/>
      <c r="Q37" s="679"/>
      <c r="R37" s="679"/>
      <c r="S37" s="679"/>
      <c r="T37" s="679"/>
      <c r="U37" s="679"/>
      <c r="V37" s="679"/>
      <c r="W37" s="679"/>
      <c r="X37" s="679"/>
      <c r="Y37" s="679"/>
      <c r="Z37" s="679"/>
      <c r="AA37" s="679"/>
      <c r="AB37" s="679"/>
    </row>
    <row r="38" spans="1:28" hidden="1">
      <c r="A38" s="679" t="s">
        <v>55</v>
      </c>
      <c r="B38" s="679" t="s">
        <v>5820</v>
      </c>
      <c r="C38" s="679" t="s">
        <v>5765</v>
      </c>
      <c r="D38" s="679" t="s">
        <v>243</v>
      </c>
      <c r="E38" s="679">
        <v>34</v>
      </c>
      <c r="F38" s="679" t="s">
        <v>5827</v>
      </c>
      <c r="G38" s="679"/>
      <c r="H38" s="679" t="s">
        <v>3648</v>
      </c>
      <c r="I38" s="679" t="s">
        <v>3648</v>
      </c>
      <c r="J38" s="679"/>
      <c r="K38" s="679"/>
      <c r="L38" s="679"/>
      <c r="M38" s="679"/>
      <c r="P38" s="679"/>
      <c r="Q38" s="679"/>
      <c r="R38" s="679"/>
      <c r="S38" s="679"/>
      <c r="T38" s="679"/>
      <c r="U38" s="679"/>
      <c r="V38" s="679"/>
      <c r="W38" s="679"/>
      <c r="X38" s="679"/>
      <c r="Y38" s="679"/>
      <c r="Z38" s="679"/>
      <c r="AA38" s="679"/>
      <c r="AB38" s="679"/>
    </row>
    <row r="39" spans="1:28" ht="16">
      <c r="A39" s="645"/>
      <c r="B39" s="645"/>
      <c r="C39" s="645"/>
      <c r="D39" s="645"/>
      <c r="E39" s="645"/>
      <c r="F39" s="684"/>
      <c r="G39" s="684"/>
      <c r="H39" s="639"/>
      <c r="I39" s="639"/>
      <c r="J39" s="639"/>
      <c r="K39" s="639"/>
      <c r="L39" s="639"/>
      <c r="M39" s="684"/>
      <c r="P39" s="639"/>
      <c r="Q39" s="639"/>
      <c r="R39" s="639"/>
      <c r="S39" s="639"/>
      <c r="T39" s="639"/>
      <c r="U39" s="639"/>
      <c r="V39" s="639"/>
      <c r="W39" s="639"/>
      <c r="X39" s="639"/>
      <c r="Y39" s="639"/>
      <c r="Z39" s="639"/>
      <c r="AA39" s="639"/>
      <c r="AB39" s="639"/>
    </row>
    <row r="40" spans="1:28" ht="187.5">
      <c r="A40" s="646"/>
      <c r="B40" s="647" t="s">
        <v>5876</v>
      </c>
      <c r="C40" s="645"/>
      <c r="D40" s="645"/>
      <c r="E40" s="645"/>
      <c r="F40" s="684"/>
      <c r="G40" s="684"/>
      <c r="H40" s="684"/>
      <c r="I40" s="639"/>
      <c r="J40" s="639"/>
      <c r="K40" s="639"/>
      <c r="L40" s="639"/>
      <c r="M40" s="639"/>
      <c r="N40" s="639"/>
      <c r="O40" s="639"/>
      <c r="P40" s="639"/>
      <c r="Q40" s="639"/>
      <c r="R40" s="639"/>
      <c r="S40" s="639"/>
      <c r="T40" s="639"/>
      <c r="U40" s="639"/>
      <c r="V40" s="639"/>
      <c r="W40" s="639"/>
      <c r="X40" s="639"/>
      <c r="Y40" s="639"/>
      <c r="Z40" s="639"/>
      <c r="AA40" s="639"/>
      <c r="AB40" s="639"/>
    </row>
    <row r="41" spans="1:28" ht="16">
      <c r="A41" s="645"/>
      <c r="B41" s="645"/>
      <c r="C41" s="645"/>
      <c r="D41" s="645"/>
      <c r="E41" s="645"/>
      <c r="F41" s="684"/>
      <c r="G41" s="684"/>
      <c r="H41" s="684"/>
      <c r="I41" s="639"/>
      <c r="J41" s="639"/>
      <c r="K41" s="639"/>
      <c r="L41" s="639"/>
      <c r="M41" s="639"/>
      <c r="N41" s="639"/>
      <c r="O41" s="639"/>
      <c r="P41" s="639"/>
      <c r="Q41" s="639"/>
      <c r="R41" s="639"/>
      <c r="S41" s="639"/>
      <c r="T41" s="639"/>
      <c r="U41" s="639"/>
      <c r="V41" s="639"/>
      <c r="W41" s="639"/>
      <c r="X41" s="639"/>
      <c r="Y41" s="639"/>
      <c r="Z41" s="639"/>
      <c r="AA41" s="639"/>
      <c r="AB41" s="639"/>
    </row>
    <row r="42" spans="1:28" ht="16">
      <c r="A42" s="639"/>
      <c r="B42" s="639"/>
      <c r="C42" s="639"/>
      <c r="D42" s="639"/>
      <c r="E42" s="639"/>
      <c r="F42" s="684"/>
      <c r="G42" s="684"/>
      <c r="H42" s="684"/>
      <c r="I42" s="639"/>
      <c r="J42" s="639"/>
      <c r="K42" s="639"/>
      <c r="L42" s="639"/>
      <c r="M42" s="639"/>
      <c r="N42" s="639"/>
      <c r="O42" s="639"/>
      <c r="P42" s="639"/>
      <c r="Q42" s="639"/>
      <c r="R42" s="639"/>
      <c r="S42" s="639"/>
      <c r="T42" s="639"/>
      <c r="U42" s="639"/>
      <c r="V42" s="639"/>
      <c r="W42" s="639"/>
      <c r="X42" s="639"/>
      <c r="Y42" s="639"/>
      <c r="Z42" s="639"/>
      <c r="AA42" s="639"/>
      <c r="AB42" s="639"/>
    </row>
    <row r="43" spans="1:28" ht="16">
      <c r="A43" s="639"/>
      <c r="B43" s="639"/>
      <c r="C43" s="639"/>
      <c r="D43" s="639"/>
      <c r="E43" s="639"/>
      <c r="F43" s="639"/>
      <c r="G43" s="684"/>
      <c r="H43" s="684"/>
      <c r="I43" s="639"/>
      <c r="J43" s="639"/>
      <c r="K43" s="639"/>
      <c r="L43" s="639"/>
      <c r="M43" s="639"/>
      <c r="N43" s="639"/>
      <c r="O43" s="639"/>
      <c r="P43" s="639"/>
      <c r="Q43" s="639"/>
      <c r="R43" s="639"/>
      <c r="S43" s="639"/>
      <c r="T43" s="639"/>
      <c r="U43" s="639"/>
      <c r="V43" s="639"/>
      <c r="W43" s="639"/>
      <c r="X43" s="639"/>
      <c r="Y43" s="639"/>
      <c r="Z43" s="639"/>
      <c r="AA43" s="639"/>
      <c r="AB43" s="639"/>
    </row>
    <row r="44" spans="1:28" ht="16">
      <c r="A44" s="639"/>
      <c r="B44" s="639"/>
      <c r="C44" s="639"/>
      <c r="D44" s="639"/>
      <c r="E44" s="639"/>
      <c r="F44" s="639"/>
      <c r="G44" s="684"/>
      <c r="H44" s="684"/>
      <c r="I44" s="639"/>
      <c r="J44" s="639"/>
      <c r="K44" s="639"/>
      <c r="L44" s="639"/>
      <c r="M44" s="639"/>
      <c r="N44" s="639"/>
      <c r="O44" s="639"/>
      <c r="P44" s="639"/>
      <c r="Q44" s="639"/>
      <c r="R44" s="639"/>
      <c r="S44" s="639"/>
      <c r="T44" s="639"/>
      <c r="U44" s="639"/>
      <c r="V44" s="639"/>
      <c r="W44" s="639"/>
      <c r="X44" s="639"/>
      <c r="Y44" s="639"/>
      <c r="Z44" s="639"/>
      <c r="AA44" s="639"/>
      <c r="AB44" s="639"/>
    </row>
    <row r="45" spans="1:28" ht="16">
      <c r="A45" s="639"/>
      <c r="B45" s="639"/>
      <c r="C45" s="639"/>
      <c r="D45" s="639"/>
      <c r="E45" s="639"/>
      <c r="F45" s="639"/>
      <c r="G45" s="684"/>
      <c r="H45" s="684"/>
      <c r="I45" s="639"/>
      <c r="J45" s="639"/>
      <c r="K45" s="639"/>
      <c r="L45" s="639"/>
      <c r="M45" s="639"/>
      <c r="N45" s="639"/>
      <c r="O45" s="639"/>
      <c r="P45" s="639"/>
      <c r="Q45" s="639"/>
      <c r="R45" s="639"/>
      <c r="S45" s="639"/>
      <c r="T45" s="639"/>
      <c r="U45" s="639"/>
      <c r="V45" s="639"/>
      <c r="W45" s="639"/>
      <c r="X45" s="639"/>
      <c r="Y45" s="639"/>
      <c r="Z45" s="639"/>
      <c r="AA45" s="639"/>
      <c r="AB45" s="639"/>
    </row>
    <row r="46" spans="1:28" ht="16">
      <c r="A46" s="639"/>
      <c r="B46" s="639"/>
      <c r="C46" s="639"/>
      <c r="D46" s="639"/>
      <c r="E46" s="639"/>
      <c r="F46" s="639"/>
      <c r="G46" s="684"/>
      <c r="H46" s="684"/>
      <c r="I46" s="639"/>
      <c r="J46" s="639"/>
      <c r="K46" s="639"/>
      <c r="L46" s="639"/>
      <c r="M46" s="639"/>
      <c r="N46" s="639"/>
      <c r="O46" s="639"/>
      <c r="P46" s="639"/>
      <c r="Q46" s="639"/>
      <c r="R46" s="639"/>
      <c r="S46" s="639"/>
      <c r="T46" s="639"/>
      <c r="U46" s="639"/>
      <c r="V46" s="639"/>
      <c r="W46" s="639"/>
      <c r="X46" s="639"/>
      <c r="Y46" s="639"/>
      <c r="Z46" s="639"/>
      <c r="AA46" s="639"/>
      <c r="AB46" s="639"/>
    </row>
    <row r="47" spans="1:28" ht="16">
      <c r="A47" s="639"/>
      <c r="B47" s="639"/>
      <c r="C47" s="639"/>
      <c r="D47" s="639"/>
      <c r="E47" s="639"/>
      <c r="F47" s="639"/>
      <c r="G47" s="684"/>
      <c r="H47" s="684"/>
      <c r="I47" s="639"/>
      <c r="J47" s="639"/>
      <c r="K47" s="639"/>
      <c r="L47" s="639"/>
      <c r="M47" s="639"/>
      <c r="N47" s="639"/>
      <c r="O47" s="639"/>
      <c r="P47" s="639"/>
      <c r="Q47" s="639"/>
      <c r="R47" s="639"/>
      <c r="S47" s="639"/>
      <c r="T47" s="639"/>
      <c r="U47" s="639"/>
      <c r="V47" s="639"/>
      <c r="W47" s="639"/>
      <c r="X47" s="639"/>
      <c r="Y47" s="639"/>
      <c r="Z47" s="639"/>
      <c r="AA47" s="639"/>
      <c r="AB47" s="639"/>
    </row>
    <row r="48" spans="1:28" ht="16">
      <c r="A48" s="639"/>
      <c r="B48" s="639"/>
      <c r="C48" s="639"/>
      <c r="D48" s="639"/>
      <c r="E48" s="639"/>
      <c r="F48" s="639"/>
      <c r="G48" s="684"/>
      <c r="H48" s="684"/>
      <c r="I48" s="639"/>
      <c r="J48" s="639"/>
      <c r="K48" s="639"/>
      <c r="L48" s="639"/>
      <c r="M48" s="639"/>
      <c r="N48" s="639"/>
      <c r="O48" s="639"/>
      <c r="P48" s="639"/>
      <c r="Q48" s="639"/>
      <c r="R48" s="639"/>
      <c r="S48" s="639"/>
      <c r="T48" s="639"/>
      <c r="U48" s="639"/>
      <c r="V48" s="639"/>
      <c r="W48" s="639"/>
      <c r="X48" s="639"/>
      <c r="Y48" s="639"/>
      <c r="Z48" s="639"/>
      <c r="AA48" s="639"/>
      <c r="AB48" s="639"/>
    </row>
    <row r="49" spans="1:28" ht="16">
      <c r="A49" s="639"/>
      <c r="B49" s="639"/>
      <c r="C49" s="639"/>
      <c r="D49" s="639"/>
      <c r="E49" s="639"/>
      <c r="F49" s="639"/>
      <c r="G49" s="684"/>
      <c r="H49" s="684"/>
      <c r="I49" s="639"/>
      <c r="J49" s="639"/>
      <c r="K49" s="639"/>
      <c r="L49" s="639"/>
      <c r="M49" s="639"/>
      <c r="N49" s="639"/>
      <c r="O49" s="639"/>
      <c r="P49" s="639"/>
      <c r="Q49" s="639"/>
      <c r="R49" s="639"/>
      <c r="S49" s="639"/>
      <c r="T49" s="639"/>
      <c r="U49" s="639"/>
      <c r="V49" s="639"/>
      <c r="W49" s="639"/>
      <c r="X49" s="639"/>
      <c r="Y49" s="639"/>
      <c r="Z49" s="639"/>
      <c r="AA49" s="639"/>
      <c r="AB49" s="639"/>
    </row>
    <row r="50" spans="1:28" ht="16">
      <c r="A50" s="639"/>
      <c r="B50" s="639"/>
      <c r="C50" s="639"/>
      <c r="D50" s="639"/>
      <c r="E50" s="639"/>
      <c r="F50" s="639"/>
      <c r="G50" s="684"/>
      <c r="H50" s="684"/>
      <c r="I50" s="639"/>
      <c r="J50" s="639"/>
      <c r="K50" s="639"/>
      <c r="L50" s="639"/>
      <c r="M50" s="639"/>
      <c r="N50" s="639"/>
      <c r="O50" s="639"/>
      <c r="P50" s="639"/>
      <c r="Q50" s="639"/>
      <c r="R50" s="639"/>
      <c r="S50" s="639"/>
      <c r="T50" s="639"/>
      <c r="U50" s="639"/>
      <c r="V50" s="639"/>
      <c r="W50" s="639"/>
      <c r="X50" s="639"/>
      <c r="Y50" s="639"/>
      <c r="Z50" s="639"/>
      <c r="AA50" s="639"/>
      <c r="AB50" s="639"/>
    </row>
    <row r="51" spans="1:28" ht="16">
      <c r="A51" s="639"/>
      <c r="B51" s="639"/>
      <c r="C51" s="639"/>
      <c r="D51" s="639"/>
      <c r="E51" s="639"/>
      <c r="F51" s="639"/>
      <c r="G51" s="684"/>
      <c r="H51" s="684"/>
      <c r="I51" s="639"/>
      <c r="J51" s="639"/>
      <c r="K51" s="639"/>
      <c r="L51" s="639"/>
      <c r="M51" s="639"/>
      <c r="N51" s="639"/>
      <c r="O51" s="639"/>
      <c r="P51" s="639"/>
      <c r="Q51" s="639"/>
      <c r="R51" s="639"/>
      <c r="S51" s="639"/>
      <c r="T51" s="639"/>
      <c r="U51" s="639"/>
      <c r="V51" s="639"/>
      <c r="W51" s="639"/>
      <c r="X51" s="639"/>
      <c r="Y51" s="639"/>
      <c r="Z51" s="639"/>
      <c r="AA51" s="639"/>
      <c r="AB51" s="639"/>
    </row>
    <row r="52" spans="1:28" ht="16">
      <c r="A52" s="639"/>
      <c r="B52" s="639"/>
      <c r="C52" s="639"/>
      <c r="D52" s="639"/>
      <c r="E52" s="639"/>
      <c r="F52" s="639"/>
      <c r="G52" s="684"/>
      <c r="H52" s="684"/>
      <c r="I52" s="639"/>
      <c r="J52" s="639"/>
      <c r="K52" s="639"/>
      <c r="L52" s="639"/>
      <c r="M52" s="639"/>
      <c r="N52" s="639"/>
      <c r="O52" s="639"/>
      <c r="P52" s="639"/>
      <c r="Q52" s="639"/>
      <c r="R52" s="639"/>
      <c r="S52" s="639"/>
      <c r="T52" s="639"/>
      <c r="U52" s="639"/>
      <c r="V52" s="639"/>
      <c r="W52" s="639"/>
      <c r="X52" s="639"/>
      <c r="Y52" s="639"/>
      <c r="Z52" s="639"/>
      <c r="AA52" s="639"/>
      <c r="AB52" s="639"/>
    </row>
    <row r="53" spans="1:28" ht="16">
      <c r="A53" s="639"/>
      <c r="B53" s="639"/>
      <c r="C53" s="639"/>
      <c r="D53" s="639"/>
      <c r="E53" s="639"/>
      <c r="F53" s="639"/>
      <c r="G53" s="684"/>
      <c r="H53" s="684"/>
      <c r="I53" s="639"/>
      <c r="J53" s="639"/>
      <c r="K53" s="639"/>
      <c r="L53" s="639"/>
      <c r="M53" s="639"/>
      <c r="N53" s="639"/>
      <c r="O53" s="639"/>
      <c r="P53" s="639"/>
      <c r="Q53" s="639"/>
      <c r="R53" s="639"/>
      <c r="S53" s="639"/>
      <c r="T53" s="639"/>
      <c r="U53" s="639"/>
      <c r="V53" s="639"/>
      <c r="W53" s="639"/>
      <c r="X53" s="639"/>
      <c r="Y53" s="639"/>
      <c r="Z53" s="639"/>
      <c r="AA53" s="639"/>
      <c r="AB53" s="639"/>
    </row>
    <row r="54" spans="1:28" ht="16">
      <c r="A54" s="639"/>
      <c r="B54" s="639"/>
      <c r="C54" s="639"/>
      <c r="D54" s="639"/>
      <c r="E54" s="639"/>
      <c r="F54" s="639"/>
      <c r="G54" s="684"/>
      <c r="H54" s="684"/>
      <c r="I54" s="639"/>
      <c r="J54" s="639"/>
      <c r="K54" s="639"/>
      <c r="L54" s="639"/>
      <c r="M54" s="639"/>
      <c r="N54" s="639"/>
      <c r="O54" s="639"/>
      <c r="P54" s="639"/>
      <c r="Q54" s="639"/>
      <c r="R54" s="639"/>
      <c r="S54" s="639"/>
      <c r="T54" s="639"/>
      <c r="U54" s="639"/>
      <c r="V54" s="639"/>
      <c r="W54" s="639"/>
      <c r="X54" s="639"/>
      <c r="Y54" s="639"/>
      <c r="Z54" s="639"/>
      <c r="AA54" s="639"/>
      <c r="AB54" s="639"/>
    </row>
    <row r="55" spans="1:28" ht="16">
      <c r="A55" s="639"/>
      <c r="B55" s="639"/>
      <c r="C55" s="639"/>
      <c r="D55" s="639"/>
      <c r="E55" s="639"/>
      <c r="F55" s="639"/>
      <c r="G55" s="684"/>
      <c r="H55" s="684"/>
      <c r="I55" s="639"/>
      <c r="J55" s="639"/>
      <c r="K55" s="639"/>
      <c r="L55" s="639"/>
      <c r="M55" s="639"/>
      <c r="N55" s="639"/>
      <c r="O55" s="639"/>
      <c r="P55" s="639"/>
      <c r="Q55" s="639"/>
      <c r="R55" s="639"/>
      <c r="S55" s="639"/>
      <c r="T55" s="639"/>
      <c r="U55" s="639"/>
      <c r="V55" s="639"/>
      <c r="W55" s="639"/>
      <c r="X55" s="639"/>
      <c r="Y55" s="639"/>
      <c r="Z55" s="639"/>
      <c r="AA55" s="639"/>
      <c r="AB55" s="639"/>
    </row>
    <row r="56" spans="1:28" ht="16">
      <c r="A56" s="639"/>
      <c r="B56" s="639"/>
      <c r="C56" s="639"/>
      <c r="D56" s="639"/>
      <c r="E56" s="639"/>
      <c r="F56" s="639"/>
      <c r="G56" s="684"/>
      <c r="H56" s="684"/>
      <c r="I56" s="639"/>
      <c r="J56" s="639"/>
      <c r="K56" s="639"/>
      <c r="L56" s="639"/>
      <c r="M56" s="639"/>
      <c r="N56" s="639"/>
      <c r="O56" s="639"/>
      <c r="P56" s="639"/>
      <c r="Q56" s="639"/>
      <c r="R56" s="639"/>
      <c r="S56" s="639"/>
      <c r="T56" s="639"/>
      <c r="U56" s="639"/>
      <c r="V56" s="639"/>
      <c r="W56" s="639"/>
      <c r="X56" s="639"/>
      <c r="Y56" s="639"/>
      <c r="Z56" s="639"/>
      <c r="AA56" s="639"/>
      <c r="AB56" s="639"/>
    </row>
    <row r="57" spans="1:28" ht="16">
      <c r="A57" s="639"/>
      <c r="B57" s="639"/>
      <c r="C57" s="639"/>
      <c r="D57" s="639"/>
      <c r="E57" s="639"/>
      <c r="F57" s="639"/>
      <c r="G57" s="684"/>
      <c r="H57" s="684"/>
      <c r="I57" s="639"/>
      <c r="J57" s="639"/>
      <c r="K57" s="639"/>
      <c r="L57" s="639"/>
      <c r="M57" s="639"/>
      <c r="N57" s="639"/>
      <c r="O57" s="639"/>
      <c r="P57" s="639"/>
      <c r="Q57" s="639"/>
      <c r="R57" s="639"/>
      <c r="S57" s="639"/>
      <c r="T57" s="639"/>
      <c r="U57" s="639"/>
      <c r="V57" s="639"/>
      <c r="W57" s="639"/>
      <c r="X57" s="639"/>
      <c r="Y57" s="639"/>
      <c r="Z57" s="639"/>
      <c r="AA57" s="639"/>
      <c r="AB57" s="639"/>
    </row>
    <row r="58" spans="1:28" ht="16">
      <c r="A58" s="639"/>
      <c r="B58" s="639"/>
      <c r="C58" s="639"/>
      <c r="D58" s="639"/>
      <c r="E58" s="639"/>
      <c r="F58" s="639"/>
      <c r="G58" s="684"/>
      <c r="H58" s="684"/>
      <c r="I58" s="639"/>
      <c r="J58" s="639"/>
      <c r="K58" s="639"/>
      <c r="L58" s="639"/>
      <c r="M58" s="639"/>
      <c r="N58" s="639"/>
      <c r="O58" s="639"/>
      <c r="P58" s="639"/>
      <c r="Q58" s="639"/>
      <c r="R58" s="639"/>
      <c r="S58" s="639"/>
      <c r="T58" s="639"/>
      <c r="U58" s="639"/>
      <c r="V58" s="639"/>
      <c r="W58" s="639"/>
      <c r="X58" s="639"/>
      <c r="Y58" s="639"/>
      <c r="Z58" s="639"/>
      <c r="AA58" s="639"/>
      <c r="AB58" s="639"/>
    </row>
    <row r="59" spans="1:28">
      <c r="A59" s="639"/>
      <c r="B59" s="639"/>
      <c r="C59" s="639"/>
      <c r="D59" s="639"/>
      <c r="E59" s="639"/>
      <c r="F59" s="639"/>
      <c r="G59" s="639"/>
      <c r="H59" s="639"/>
      <c r="I59" s="639"/>
      <c r="J59" s="639"/>
      <c r="K59" s="639"/>
      <c r="L59" s="639"/>
      <c r="M59" s="639"/>
      <c r="N59" s="639"/>
      <c r="O59" s="639"/>
      <c r="P59" s="639"/>
      <c r="Q59" s="639"/>
      <c r="R59" s="639"/>
      <c r="S59" s="639"/>
      <c r="T59" s="639"/>
      <c r="U59" s="639"/>
      <c r="V59" s="639"/>
      <c r="W59" s="639"/>
      <c r="X59" s="639"/>
      <c r="Y59" s="639"/>
      <c r="Z59" s="639"/>
      <c r="AA59" s="639"/>
      <c r="AB59" s="639"/>
    </row>
    <row r="60" spans="1:28">
      <c r="A60" s="639"/>
      <c r="B60" s="639"/>
      <c r="C60" s="639"/>
      <c r="D60" s="639"/>
      <c r="E60" s="639"/>
      <c r="F60" s="639"/>
      <c r="G60" s="639"/>
      <c r="H60" s="639"/>
      <c r="I60" s="639"/>
      <c r="J60" s="639"/>
      <c r="K60" s="639"/>
      <c r="L60" s="639"/>
      <c r="M60" s="639"/>
      <c r="N60" s="639"/>
      <c r="O60" s="639"/>
      <c r="P60" s="639"/>
      <c r="Q60" s="639"/>
      <c r="R60" s="639"/>
      <c r="S60" s="639"/>
      <c r="T60" s="639"/>
      <c r="U60" s="639"/>
      <c r="V60" s="639"/>
      <c r="W60" s="639"/>
      <c r="X60" s="639"/>
      <c r="Y60" s="639"/>
      <c r="Z60" s="639"/>
      <c r="AA60" s="639"/>
      <c r="AB60" s="639"/>
    </row>
    <row r="61" spans="1:28">
      <c r="A61" s="639"/>
      <c r="B61" s="639"/>
      <c r="C61" s="639"/>
      <c r="D61" s="639"/>
      <c r="E61" s="639"/>
      <c r="F61" s="639"/>
      <c r="G61" s="639"/>
      <c r="H61" s="639"/>
      <c r="I61" s="639"/>
      <c r="J61" s="639"/>
      <c r="K61" s="639"/>
      <c r="L61" s="639"/>
      <c r="M61" s="639"/>
      <c r="N61" s="639"/>
      <c r="O61" s="639"/>
      <c r="P61" s="639"/>
      <c r="Q61" s="639"/>
      <c r="R61" s="639"/>
      <c r="S61" s="639"/>
      <c r="T61" s="639"/>
      <c r="U61" s="639"/>
      <c r="V61" s="639"/>
      <c r="W61" s="639"/>
      <c r="X61" s="639"/>
      <c r="Y61" s="639"/>
      <c r="Z61" s="639"/>
      <c r="AA61" s="639"/>
      <c r="AB61" s="639"/>
    </row>
    <row r="62" spans="1:28">
      <c r="A62" s="639"/>
      <c r="B62" s="639"/>
      <c r="C62" s="639"/>
      <c r="D62" s="639"/>
      <c r="E62" s="639"/>
      <c r="F62" s="639"/>
      <c r="G62" s="639"/>
      <c r="H62" s="639"/>
      <c r="I62" s="639"/>
      <c r="J62" s="639"/>
      <c r="K62" s="639"/>
      <c r="L62" s="639"/>
      <c r="M62" s="639"/>
      <c r="N62" s="639"/>
      <c r="O62" s="639"/>
      <c r="P62" s="639"/>
      <c r="Q62" s="639"/>
      <c r="R62" s="639"/>
      <c r="S62" s="639"/>
      <c r="T62" s="639"/>
      <c r="U62" s="639"/>
      <c r="V62" s="639"/>
      <c r="W62" s="639"/>
      <c r="X62" s="639"/>
      <c r="Y62" s="639"/>
      <c r="Z62" s="639"/>
      <c r="AA62" s="639"/>
      <c r="AB62" s="639"/>
    </row>
    <row r="63" spans="1:28">
      <c r="A63" s="639"/>
      <c r="B63" s="639"/>
      <c r="C63" s="639"/>
      <c r="D63" s="639"/>
      <c r="E63" s="639"/>
      <c r="F63" s="639"/>
      <c r="G63" s="639"/>
      <c r="H63" s="639"/>
      <c r="I63" s="639"/>
      <c r="J63" s="639"/>
      <c r="K63" s="639"/>
      <c r="L63" s="639"/>
      <c r="M63" s="639"/>
      <c r="N63" s="639"/>
      <c r="O63" s="639"/>
      <c r="P63" s="639"/>
      <c r="Q63" s="639"/>
      <c r="R63" s="639"/>
      <c r="S63" s="639"/>
      <c r="T63" s="639"/>
      <c r="U63" s="639"/>
      <c r="V63" s="639"/>
      <c r="W63" s="639"/>
      <c r="X63" s="639"/>
      <c r="Y63" s="639"/>
      <c r="Z63" s="639"/>
      <c r="AA63" s="639"/>
      <c r="AB63" s="639"/>
    </row>
    <row r="64" spans="1:28">
      <c r="A64" s="639"/>
      <c r="B64" s="639"/>
      <c r="C64" s="639"/>
      <c r="D64" s="639"/>
      <c r="E64" s="639"/>
      <c r="F64" s="639"/>
      <c r="G64" s="639"/>
      <c r="H64" s="639"/>
      <c r="I64" s="639"/>
      <c r="J64" s="639"/>
      <c r="K64" s="639"/>
      <c r="L64" s="639"/>
      <c r="M64" s="639"/>
      <c r="N64" s="639"/>
      <c r="O64" s="639"/>
      <c r="P64" s="639"/>
      <c r="Q64" s="639"/>
      <c r="R64" s="639"/>
      <c r="S64" s="639"/>
      <c r="T64" s="639"/>
      <c r="U64" s="639"/>
      <c r="V64" s="639"/>
      <c r="W64" s="639"/>
      <c r="X64" s="639"/>
      <c r="Y64" s="639"/>
      <c r="Z64" s="639"/>
      <c r="AA64" s="639"/>
      <c r="AB64" s="639"/>
    </row>
    <row r="65" spans="1:28">
      <c r="A65" s="639"/>
      <c r="B65" s="639"/>
      <c r="C65" s="639"/>
      <c r="D65" s="639"/>
      <c r="E65" s="639"/>
      <c r="F65" s="639"/>
      <c r="G65" s="639"/>
      <c r="H65" s="639"/>
      <c r="I65" s="639"/>
      <c r="J65" s="639"/>
      <c r="K65" s="639"/>
      <c r="L65" s="639"/>
      <c r="M65" s="639"/>
      <c r="N65" s="639"/>
      <c r="O65" s="639"/>
      <c r="P65" s="639"/>
      <c r="Q65" s="639"/>
      <c r="R65" s="639"/>
      <c r="S65" s="639"/>
      <c r="T65" s="639"/>
      <c r="U65" s="639"/>
      <c r="V65" s="639"/>
      <c r="W65" s="639"/>
      <c r="X65" s="639"/>
      <c r="Y65" s="639"/>
      <c r="Z65" s="639"/>
      <c r="AA65" s="639"/>
      <c r="AB65" s="639"/>
    </row>
    <row r="66" spans="1:28">
      <c r="A66" s="639"/>
      <c r="B66" s="639"/>
      <c r="C66" s="639"/>
      <c r="D66" s="639"/>
      <c r="E66" s="639"/>
      <c r="F66" s="639"/>
      <c r="G66" s="639"/>
      <c r="H66" s="639"/>
      <c r="I66" s="639"/>
      <c r="J66" s="639"/>
      <c r="K66" s="639"/>
      <c r="L66" s="639"/>
      <c r="M66" s="639"/>
      <c r="N66" s="639"/>
      <c r="O66" s="639"/>
      <c r="P66" s="639"/>
      <c r="Q66" s="639"/>
      <c r="R66" s="639"/>
      <c r="S66" s="639"/>
      <c r="T66" s="639"/>
      <c r="U66" s="639"/>
      <c r="V66" s="639"/>
      <c r="W66" s="639"/>
      <c r="X66" s="639"/>
      <c r="Y66" s="639"/>
      <c r="Z66" s="639"/>
      <c r="AA66" s="639"/>
      <c r="AB66" s="639"/>
    </row>
    <row r="67" spans="1:28">
      <c r="A67" s="639"/>
      <c r="B67" s="639"/>
      <c r="C67" s="639"/>
      <c r="D67" s="639"/>
      <c r="E67" s="639"/>
      <c r="F67" s="639"/>
      <c r="G67" s="639"/>
      <c r="H67" s="639"/>
      <c r="I67" s="639"/>
      <c r="J67" s="639"/>
      <c r="K67" s="639"/>
      <c r="L67" s="639"/>
      <c r="M67" s="639"/>
      <c r="N67" s="639"/>
      <c r="O67" s="639"/>
      <c r="P67" s="639"/>
      <c r="Q67" s="639"/>
      <c r="R67" s="639"/>
      <c r="S67" s="639"/>
      <c r="T67" s="639"/>
      <c r="U67" s="639"/>
      <c r="V67" s="639"/>
      <c r="W67" s="639"/>
      <c r="X67" s="639"/>
      <c r="Y67" s="639"/>
      <c r="Z67" s="639"/>
      <c r="AA67" s="639"/>
      <c r="AB67" s="639"/>
    </row>
    <row r="68" spans="1:28">
      <c r="A68" s="639"/>
      <c r="B68" s="639"/>
      <c r="C68" s="639"/>
      <c r="D68" s="639"/>
      <c r="E68" s="639"/>
      <c r="F68" s="639"/>
      <c r="G68" s="639"/>
      <c r="H68" s="639"/>
      <c r="I68" s="639"/>
      <c r="J68" s="639"/>
      <c r="K68" s="639"/>
      <c r="L68" s="639"/>
      <c r="M68" s="639"/>
      <c r="N68" s="639"/>
      <c r="O68" s="639"/>
      <c r="P68" s="639"/>
      <c r="Q68" s="639"/>
      <c r="R68" s="639"/>
      <c r="S68" s="639"/>
      <c r="T68" s="639"/>
      <c r="U68" s="639"/>
      <c r="V68" s="639"/>
      <c r="W68" s="639"/>
      <c r="X68" s="639"/>
      <c r="Y68" s="639"/>
      <c r="Z68" s="639"/>
      <c r="AA68" s="639"/>
      <c r="AB68" s="639"/>
    </row>
    <row r="69" spans="1:28">
      <c r="A69" s="639"/>
      <c r="B69" s="639"/>
      <c r="C69" s="639"/>
      <c r="D69" s="639"/>
      <c r="E69" s="639"/>
      <c r="F69" s="639"/>
      <c r="G69" s="639"/>
      <c r="H69" s="639"/>
      <c r="I69" s="639"/>
      <c r="J69" s="639"/>
      <c r="K69" s="639"/>
      <c r="L69" s="639"/>
      <c r="M69" s="639"/>
      <c r="N69" s="639"/>
      <c r="O69" s="639"/>
      <c r="P69" s="639"/>
      <c r="Q69" s="639"/>
      <c r="R69" s="639"/>
      <c r="S69" s="639"/>
      <c r="T69" s="639"/>
      <c r="U69" s="639"/>
      <c r="V69" s="639"/>
      <c r="W69" s="639"/>
      <c r="X69" s="639"/>
      <c r="Y69" s="639"/>
      <c r="Z69" s="639"/>
      <c r="AA69" s="639"/>
      <c r="AB69" s="639"/>
    </row>
    <row r="70" spans="1:28">
      <c r="A70" s="639"/>
      <c r="B70" s="639"/>
      <c r="C70" s="639"/>
      <c r="D70" s="639"/>
      <c r="E70" s="639"/>
      <c r="F70" s="639"/>
      <c r="G70" s="639"/>
      <c r="H70" s="639"/>
      <c r="I70" s="639"/>
      <c r="J70" s="639"/>
      <c r="K70" s="639"/>
      <c r="L70" s="639"/>
      <c r="M70" s="639"/>
      <c r="N70" s="639"/>
      <c r="O70" s="639"/>
      <c r="P70" s="639"/>
      <c r="Q70" s="639"/>
      <c r="R70" s="639"/>
      <c r="S70" s="639"/>
      <c r="T70" s="639"/>
      <c r="U70" s="639"/>
      <c r="V70" s="639"/>
      <c r="W70" s="639"/>
      <c r="X70" s="639"/>
      <c r="Y70" s="639"/>
      <c r="Z70" s="639"/>
      <c r="AA70" s="639"/>
      <c r="AB70" s="639"/>
    </row>
    <row r="71" spans="1:28">
      <c r="A71" s="639"/>
      <c r="B71" s="639"/>
      <c r="C71" s="639"/>
      <c r="D71" s="639"/>
      <c r="E71" s="639"/>
      <c r="F71" s="639"/>
      <c r="G71" s="639"/>
      <c r="H71" s="639"/>
      <c r="I71" s="639"/>
      <c r="J71" s="639"/>
      <c r="K71" s="639"/>
      <c r="L71" s="639"/>
      <c r="M71" s="639"/>
      <c r="N71" s="639"/>
      <c r="O71" s="639"/>
      <c r="P71" s="639"/>
      <c r="Q71" s="639"/>
      <c r="R71" s="639"/>
      <c r="S71" s="639"/>
      <c r="T71" s="639"/>
      <c r="U71" s="639"/>
      <c r="V71" s="639"/>
      <c r="W71" s="639"/>
      <c r="X71" s="639"/>
      <c r="Y71" s="639"/>
      <c r="Z71" s="639"/>
      <c r="AA71" s="639"/>
      <c r="AB71" s="639"/>
    </row>
    <row r="72" spans="1:28">
      <c r="A72" s="639"/>
      <c r="B72" s="639"/>
      <c r="C72" s="639"/>
      <c r="D72" s="639"/>
      <c r="E72" s="639"/>
      <c r="F72" s="639"/>
      <c r="G72" s="639"/>
      <c r="H72" s="639"/>
      <c r="I72" s="639"/>
      <c r="J72" s="639"/>
      <c r="K72" s="639"/>
      <c r="L72" s="639"/>
      <c r="M72" s="639"/>
      <c r="N72" s="639"/>
      <c r="O72" s="639"/>
      <c r="P72" s="639"/>
      <c r="Q72" s="639"/>
      <c r="R72" s="639"/>
      <c r="S72" s="639"/>
      <c r="T72" s="639"/>
      <c r="U72" s="639"/>
      <c r="V72" s="639"/>
      <c r="W72" s="639"/>
      <c r="X72" s="639"/>
      <c r="Y72" s="639"/>
      <c r="Z72" s="639"/>
      <c r="AA72" s="639"/>
      <c r="AB72" s="639"/>
    </row>
    <row r="73" spans="1:28">
      <c r="A73" s="639"/>
      <c r="B73" s="639"/>
      <c r="C73" s="639"/>
      <c r="D73" s="639"/>
      <c r="E73" s="639"/>
      <c r="F73" s="639"/>
      <c r="G73" s="639"/>
      <c r="H73" s="639"/>
      <c r="I73" s="639"/>
      <c r="J73" s="639"/>
      <c r="K73" s="639"/>
      <c r="L73" s="639"/>
      <c r="M73" s="639"/>
      <c r="N73" s="639"/>
      <c r="O73" s="639"/>
      <c r="P73" s="639"/>
      <c r="Q73" s="639"/>
      <c r="R73" s="639"/>
      <c r="S73" s="639"/>
      <c r="T73" s="639"/>
      <c r="U73" s="639"/>
      <c r="V73" s="639"/>
      <c r="W73" s="639"/>
      <c r="X73" s="639"/>
      <c r="Y73" s="639"/>
      <c r="Z73" s="639"/>
      <c r="AA73" s="639"/>
      <c r="AB73" s="639"/>
    </row>
    <row r="74" spans="1:28">
      <c r="A74" s="639"/>
      <c r="B74" s="639"/>
      <c r="C74" s="639"/>
      <c r="D74" s="639"/>
      <c r="E74" s="639"/>
      <c r="F74" s="639"/>
      <c r="G74" s="639"/>
      <c r="H74" s="639"/>
      <c r="I74" s="639"/>
      <c r="J74" s="639"/>
      <c r="K74" s="639"/>
      <c r="L74" s="639"/>
      <c r="M74" s="639"/>
      <c r="N74" s="639"/>
      <c r="O74" s="639"/>
      <c r="P74" s="639"/>
      <c r="Q74" s="639"/>
      <c r="R74" s="639"/>
      <c r="S74" s="639"/>
      <c r="T74" s="639"/>
      <c r="U74" s="639"/>
      <c r="V74" s="639"/>
      <c r="W74" s="639"/>
      <c r="X74" s="639"/>
      <c r="Y74" s="639"/>
      <c r="Z74" s="639"/>
      <c r="AA74" s="639"/>
      <c r="AB74" s="639"/>
    </row>
    <row r="75" spans="1:28">
      <c r="A75" s="639"/>
      <c r="B75" s="639"/>
      <c r="C75" s="639"/>
      <c r="D75" s="639"/>
      <c r="E75" s="639"/>
      <c r="F75" s="639"/>
      <c r="G75" s="639"/>
      <c r="H75" s="639"/>
      <c r="I75" s="639"/>
      <c r="J75" s="639"/>
      <c r="K75" s="639"/>
      <c r="L75" s="639"/>
      <c r="M75" s="639"/>
      <c r="N75" s="639"/>
      <c r="O75" s="639"/>
      <c r="P75" s="639"/>
      <c r="Q75" s="639"/>
      <c r="R75" s="639"/>
      <c r="S75" s="639"/>
      <c r="T75" s="639"/>
      <c r="U75" s="639"/>
      <c r="V75" s="639"/>
      <c r="W75" s="639"/>
      <c r="X75" s="639"/>
      <c r="Y75" s="639"/>
      <c r="Z75" s="639"/>
      <c r="AA75" s="639"/>
      <c r="AB75" s="639"/>
    </row>
    <row r="76" spans="1:28">
      <c r="A76" s="639"/>
      <c r="B76" s="639"/>
      <c r="C76" s="639"/>
      <c r="D76" s="639"/>
      <c r="E76" s="639"/>
      <c r="F76" s="639"/>
      <c r="G76" s="639"/>
      <c r="H76" s="639"/>
      <c r="I76" s="639"/>
      <c r="J76" s="639"/>
      <c r="K76" s="639"/>
      <c r="L76" s="639"/>
      <c r="M76" s="639"/>
      <c r="N76" s="639"/>
      <c r="O76" s="639"/>
      <c r="P76" s="639"/>
      <c r="Q76" s="639"/>
      <c r="R76" s="639"/>
      <c r="S76" s="639"/>
      <c r="T76" s="639"/>
      <c r="U76" s="639"/>
      <c r="V76" s="639"/>
      <c r="W76" s="639"/>
      <c r="X76" s="639"/>
      <c r="Y76" s="639"/>
      <c r="Z76" s="639"/>
      <c r="AA76" s="639"/>
      <c r="AB76" s="639"/>
    </row>
    <row r="77" spans="1:28">
      <c r="A77" s="639"/>
      <c r="B77" s="639"/>
      <c r="C77" s="639"/>
      <c r="D77" s="639"/>
      <c r="E77" s="639"/>
      <c r="F77" s="639"/>
      <c r="G77" s="639"/>
      <c r="H77" s="639"/>
      <c r="I77" s="639"/>
      <c r="J77" s="639"/>
      <c r="K77" s="639"/>
      <c r="L77" s="639"/>
      <c r="M77" s="639"/>
      <c r="N77" s="639"/>
      <c r="O77" s="639"/>
      <c r="P77" s="639"/>
      <c r="Q77" s="639"/>
      <c r="R77" s="639"/>
      <c r="S77" s="639"/>
      <c r="T77" s="639"/>
      <c r="U77" s="639"/>
      <c r="V77" s="639"/>
      <c r="W77" s="639"/>
      <c r="X77" s="639"/>
      <c r="Y77" s="639"/>
      <c r="Z77" s="639"/>
      <c r="AA77" s="639"/>
      <c r="AB77" s="639"/>
    </row>
    <row r="78" spans="1:28">
      <c r="A78" s="639"/>
      <c r="B78" s="639"/>
      <c r="C78" s="639"/>
      <c r="D78" s="639"/>
      <c r="E78" s="639"/>
      <c r="F78" s="639"/>
      <c r="G78" s="639"/>
      <c r="H78" s="639"/>
      <c r="I78" s="639"/>
      <c r="J78" s="639"/>
      <c r="K78" s="639"/>
      <c r="L78" s="639"/>
      <c r="M78" s="639"/>
      <c r="N78" s="639"/>
      <c r="O78" s="639"/>
      <c r="P78" s="639"/>
      <c r="Q78" s="639"/>
      <c r="R78" s="639"/>
      <c r="S78" s="639"/>
      <c r="T78" s="639"/>
      <c r="U78" s="639"/>
      <c r="V78" s="639"/>
      <c r="W78" s="639"/>
      <c r="X78" s="639"/>
      <c r="Y78" s="639"/>
      <c r="Z78" s="639"/>
      <c r="AA78" s="639"/>
      <c r="AB78" s="639"/>
    </row>
    <row r="79" spans="1:28">
      <c r="A79" s="639"/>
      <c r="B79" s="639"/>
      <c r="C79" s="639"/>
      <c r="D79" s="639"/>
      <c r="E79" s="639"/>
      <c r="F79" s="639"/>
      <c r="G79" s="639"/>
      <c r="H79" s="639"/>
      <c r="I79" s="639"/>
      <c r="J79" s="639"/>
      <c r="K79" s="639"/>
      <c r="L79" s="639"/>
      <c r="M79" s="639"/>
      <c r="N79" s="639"/>
      <c r="O79" s="639"/>
      <c r="P79" s="639"/>
      <c r="Q79" s="639"/>
      <c r="R79" s="639"/>
      <c r="S79" s="639"/>
      <c r="T79" s="639"/>
      <c r="U79" s="639"/>
      <c r="V79" s="639"/>
      <c r="W79" s="639"/>
      <c r="X79" s="639"/>
      <c r="Y79" s="639"/>
      <c r="Z79" s="639"/>
      <c r="AA79" s="639"/>
      <c r="AB79" s="639"/>
    </row>
    <row r="80" spans="1:28">
      <c r="A80" s="639"/>
      <c r="B80" s="639"/>
      <c r="C80" s="639"/>
      <c r="D80" s="639"/>
      <c r="E80" s="639"/>
      <c r="F80" s="639"/>
      <c r="G80" s="639"/>
      <c r="H80" s="639"/>
      <c r="I80" s="639"/>
      <c r="J80" s="639"/>
      <c r="K80" s="639"/>
      <c r="L80" s="639"/>
      <c r="M80" s="639"/>
      <c r="N80" s="639"/>
      <c r="O80" s="639"/>
      <c r="P80" s="639"/>
      <c r="Q80" s="639"/>
      <c r="R80" s="639"/>
      <c r="S80" s="639"/>
      <c r="T80" s="639"/>
      <c r="U80" s="639"/>
      <c r="V80" s="639"/>
      <c r="W80" s="639"/>
      <c r="X80" s="639"/>
      <c r="Y80" s="639"/>
      <c r="Z80" s="639"/>
      <c r="AA80" s="639"/>
      <c r="AB80" s="639"/>
    </row>
    <row r="81" spans="1:28">
      <c r="A81" s="639"/>
      <c r="B81" s="639"/>
      <c r="C81" s="639"/>
      <c r="D81" s="639"/>
      <c r="E81" s="639"/>
      <c r="F81" s="639"/>
      <c r="G81" s="639"/>
      <c r="H81" s="639"/>
      <c r="I81" s="639"/>
      <c r="J81" s="639"/>
      <c r="K81" s="639"/>
      <c r="L81" s="639"/>
      <c r="M81" s="639"/>
      <c r="N81" s="639"/>
      <c r="O81" s="639"/>
      <c r="P81" s="639"/>
      <c r="Q81" s="639"/>
      <c r="R81" s="639"/>
      <c r="S81" s="639"/>
      <c r="T81" s="639"/>
      <c r="U81" s="639"/>
      <c r="V81" s="639"/>
      <c r="W81" s="639"/>
      <c r="X81" s="639"/>
      <c r="Y81" s="639"/>
      <c r="Z81" s="639"/>
      <c r="AA81" s="639"/>
      <c r="AB81" s="639"/>
    </row>
    <row r="82" spans="1:28">
      <c r="A82" s="639"/>
      <c r="B82" s="639"/>
      <c r="C82" s="639"/>
      <c r="D82" s="639"/>
      <c r="E82" s="639"/>
      <c r="F82" s="639"/>
      <c r="G82" s="639"/>
      <c r="H82" s="639"/>
      <c r="I82" s="639"/>
      <c r="J82" s="639"/>
      <c r="K82" s="639"/>
      <c r="L82" s="639"/>
      <c r="M82" s="639"/>
      <c r="N82" s="639"/>
      <c r="O82" s="639"/>
      <c r="P82" s="639"/>
      <c r="Q82" s="639"/>
      <c r="R82" s="639"/>
      <c r="S82" s="639"/>
      <c r="T82" s="639"/>
      <c r="U82" s="639"/>
      <c r="V82" s="639"/>
      <c r="W82" s="639"/>
      <c r="X82" s="639"/>
      <c r="Y82" s="639"/>
      <c r="Z82" s="639"/>
      <c r="AA82" s="639"/>
      <c r="AB82" s="639"/>
    </row>
    <row r="83" spans="1:28">
      <c r="A83" s="639"/>
      <c r="B83" s="639"/>
      <c r="C83" s="639"/>
      <c r="D83" s="639"/>
      <c r="E83" s="639"/>
      <c r="F83" s="639"/>
      <c r="G83" s="639"/>
      <c r="H83" s="639"/>
      <c r="I83" s="639"/>
      <c r="J83" s="639"/>
      <c r="K83" s="639"/>
      <c r="L83" s="639"/>
      <c r="M83" s="639"/>
      <c r="N83" s="639"/>
      <c r="O83" s="639"/>
      <c r="P83" s="639"/>
      <c r="Q83" s="639"/>
      <c r="R83" s="639"/>
      <c r="S83" s="639"/>
      <c r="T83" s="639"/>
      <c r="U83" s="639"/>
      <c r="V83" s="639"/>
      <c r="W83" s="639"/>
      <c r="X83" s="639"/>
      <c r="Y83" s="639"/>
      <c r="Z83" s="639"/>
      <c r="AA83" s="639"/>
      <c r="AB83" s="639"/>
    </row>
    <row r="84" spans="1:28">
      <c r="A84" s="639"/>
      <c r="B84" s="639"/>
      <c r="C84" s="639"/>
      <c r="D84" s="639"/>
      <c r="E84" s="639"/>
      <c r="F84" s="639"/>
      <c r="G84" s="639"/>
      <c r="H84" s="639"/>
      <c r="I84" s="639"/>
      <c r="J84" s="639"/>
      <c r="K84" s="639"/>
      <c r="L84" s="639"/>
      <c r="M84" s="639"/>
      <c r="N84" s="639"/>
      <c r="O84" s="639"/>
      <c r="P84" s="639"/>
      <c r="Q84" s="639"/>
      <c r="R84" s="639"/>
      <c r="S84" s="639"/>
      <c r="T84" s="639"/>
      <c r="U84" s="639"/>
      <c r="V84" s="639"/>
      <c r="W84" s="639"/>
      <c r="X84" s="639"/>
      <c r="Y84" s="639"/>
      <c r="Z84" s="639"/>
      <c r="AA84" s="639"/>
      <c r="AB84" s="639"/>
    </row>
    <row r="85" spans="1:28">
      <c r="A85" s="639"/>
      <c r="B85" s="639"/>
      <c r="C85" s="639"/>
      <c r="D85" s="639"/>
      <c r="E85" s="639"/>
      <c r="F85" s="639"/>
      <c r="G85" s="639"/>
      <c r="H85" s="639"/>
      <c r="I85" s="639"/>
      <c r="J85" s="639"/>
      <c r="K85" s="639"/>
      <c r="L85" s="639"/>
      <c r="M85" s="639"/>
      <c r="N85" s="639"/>
      <c r="O85" s="639"/>
      <c r="P85" s="639"/>
      <c r="Q85" s="639"/>
      <c r="R85" s="639"/>
      <c r="S85" s="639"/>
      <c r="T85" s="639"/>
      <c r="U85" s="639"/>
      <c r="V85" s="639"/>
      <c r="W85" s="639"/>
      <c r="X85" s="639"/>
      <c r="Y85" s="639"/>
      <c r="Z85" s="639"/>
      <c r="AA85" s="639"/>
      <c r="AB85" s="639"/>
    </row>
    <row r="86" spans="1:28">
      <c r="A86" s="639"/>
      <c r="B86" s="639"/>
      <c r="C86" s="639"/>
      <c r="D86" s="639"/>
      <c r="E86" s="639"/>
      <c r="F86" s="639"/>
      <c r="G86" s="639"/>
      <c r="H86" s="639"/>
      <c r="I86" s="639"/>
      <c r="J86" s="639"/>
      <c r="K86" s="639"/>
      <c r="L86" s="639"/>
      <c r="M86" s="639"/>
      <c r="N86" s="639"/>
      <c r="O86" s="639"/>
      <c r="P86" s="639"/>
      <c r="Q86" s="639"/>
      <c r="R86" s="639"/>
      <c r="S86" s="639"/>
      <c r="T86" s="639"/>
      <c r="U86" s="639"/>
      <c r="V86" s="639"/>
      <c r="W86" s="639"/>
      <c r="X86" s="639"/>
      <c r="Y86" s="639"/>
      <c r="Z86" s="639"/>
      <c r="AA86" s="639"/>
      <c r="AB86" s="639"/>
    </row>
    <row r="87" spans="1:28">
      <c r="A87" s="639"/>
      <c r="B87" s="639"/>
      <c r="C87" s="639"/>
      <c r="D87" s="639"/>
      <c r="E87" s="639"/>
      <c r="F87" s="639"/>
      <c r="G87" s="639"/>
      <c r="H87" s="639"/>
      <c r="I87" s="639"/>
      <c r="J87" s="639"/>
      <c r="K87" s="639"/>
      <c r="L87" s="639"/>
      <c r="M87" s="639"/>
      <c r="N87" s="639"/>
      <c r="O87" s="639"/>
      <c r="P87" s="639"/>
      <c r="Q87" s="639"/>
      <c r="R87" s="639"/>
      <c r="S87" s="639"/>
      <c r="T87" s="639"/>
      <c r="U87" s="639"/>
      <c r="V87" s="639"/>
      <c r="W87" s="639"/>
      <c r="X87" s="639"/>
      <c r="Y87" s="639"/>
      <c r="Z87" s="639"/>
      <c r="AA87" s="639"/>
      <c r="AB87" s="639"/>
    </row>
    <row r="88" spans="1:28">
      <c r="A88" s="639"/>
      <c r="B88" s="639"/>
      <c r="C88" s="639"/>
      <c r="D88" s="639"/>
      <c r="E88" s="639"/>
      <c r="F88" s="639"/>
      <c r="G88" s="639"/>
      <c r="H88" s="639"/>
      <c r="I88" s="639"/>
      <c r="J88" s="639"/>
      <c r="K88" s="639"/>
      <c r="L88" s="639"/>
      <c r="M88" s="639"/>
      <c r="N88" s="639"/>
      <c r="O88" s="639"/>
      <c r="P88" s="639"/>
      <c r="Q88" s="639"/>
      <c r="R88" s="639"/>
      <c r="S88" s="639"/>
      <c r="T88" s="639"/>
      <c r="U88" s="639"/>
      <c r="V88" s="639"/>
      <c r="W88" s="639"/>
      <c r="X88" s="639"/>
      <c r="Y88" s="639"/>
      <c r="Z88" s="639"/>
      <c r="AA88" s="639"/>
      <c r="AB88" s="639"/>
    </row>
    <row r="89" spans="1:28">
      <c r="A89" s="639"/>
      <c r="B89" s="639"/>
      <c r="C89" s="639"/>
      <c r="D89" s="639"/>
      <c r="E89" s="639"/>
      <c r="F89" s="639"/>
      <c r="G89" s="639"/>
      <c r="H89" s="639"/>
      <c r="I89" s="639"/>
      <c r="J89" s="639"/>
      <c r="K89" s="639"/>
      <c r="L89" s="639"/>
      <c r="M89" s="639"/>
      <c r="N89" s="639"/>
      <c r="O89" s="639"/>
      <c r="P89" s="639"/>
      <c r="Q89" s="639"/>
      <c r="R89" s="639"/>
      <c r="S89" s="639"/>
      <c r="T89" s="639"/>
      <c r="U89" s="639"/>
      <c r="V89" s="639"/>
      <c r="W89" s="639"/>
      <c r="X89" s="639"/>
      <c r="Y89" s="639"/>
      <c r="Z89" s="639"/>
      <c r="AA89" s="639"/>
      <c r="AB89" s="639"/>
    </row>
    <row r="90" spans="1:28">
      <c r="A90" s="639"/>
      <c r="B90" s="639"/>
      <c r="C90" s="639"/>
      <c r="D90" s="639"/>
      <c r="E90" s="639"/>
      <c r="F90" s="639"/>
      <c r="G90" s="639"/>
      <c r="H90" s="639"/>
      <c r="I90" s="639"/>
      <c r="J90" s="639"/>
      <c r="K90" s="639"/>
      <c r="L90" s="639"/>
      <c r="M90" s="639"/>
      <c r="N90" s="639"/>
      <c r="O90" s="639"/>
      <c r="P90" s="639"/>
      <c r="Q90" s="639"/>
      <c r="R90" s="639"/>
      <c r="S90" s="639"/>
      <c r="T90" s="639"/>
      <c r="U90" s="639"/>
      <c r="V90" s="639"/>
      <c r="W90" s="639"/>
      <c r="X90" s="639"/>
      <c r="Y90" s="639"/>
      <c r="Z90" s="639"/>
      <c r="AA90" s="639"/>
      <c r="AB90" s="639"/>
    </row>
    <row r="91" spans="1:28">
      <c r="A91" s="639"/>
      <c r="B91" s="639"/>
      <c r="C91" s="639"/>
      <c r="D91" s="639"/>
      <c r="E91" s="639"/>
      <c r="F91" s="639"/>
      <c r="G91" s="639"/>
      <c r="H91" s="639"/>
      <c r="I91" s="639"/>
      <c r="J91" s="639"/>
      <c r="K91" s="639"/>
      <c r="L91" s="639"/>
      <c r="M91" s="639"/>
      <c r="N91" s="639"/>
      <c r="O91" s="639"/>
      <c r="P91" s="639"/>
      <c r="Q91" s="639"/>
      <c r="R91" s="639"/>
      <c r="S91" s="639"/>
      <c r="T91" s="639"/>
      <c r="U91" s="639"/>
      <c r="V91" s="639"/>
      <c r="W91" s="639"/>
      <c r="X91" s="639"/>
      <c r="Y91" s="639"/>
      <c r="Z91" s="639"/>
      <c r="AA91" s="639"/>
      <c r="AB91" s="639"/>
    </row>
    <row r="92" spans="1:28">
      <c r="A92" s="639"/>
      <c r="B92" s="639"/>
      <c r="C92" s="639"/>
      <c r="D92" s="639"/>
      <c r="E92" s="639"/>
      <c r="F92" s="639"/>
      <c r="G92" s="639"/>
      <c r="H92" s="639"/>
      <c r="I92" s="639"/>
      <c r="J92" s="639"/>
      <c r="K92" s="639"/>
      <c r="L92" s="639"/>
      <c r="M92" s="639"/>
      <c r="N92" s="639"/>
      <c r="O92" s="639"/>
      <c r="P92" s="639"/>
      <c r="Q92" s="639"/>
      <c r="R92" s="639"/>
      <c r="S92" s="639"/>
      <c r="T92" s="639"/>
      <c r="U92" s="639"/>
      <c r="V92" s="639"/>
      <c r="W92" s="639"/>
      <c r="X92" s="639"/>
      <c r="Y92" s="639"/>
      <c r="Z92" s="639"/>
      <c r="AA92" s="639"/>
      <c r="AB92" s="639"/>
    </row>
    <row r="93" spans="1:28">
      <c r="A93" s="639"/>
      <c r="B93" s="639"/>
      <c r="C93" s="639"/>
      <c r="D93" s="639"/>
      <c r="E93" s="639"/>
      <c r="F93" s="639"/>
      <c r="G93" s="639"/>
      <c r="H93" s="639"/>
      <c r="I93" s="639"/>
      <c r="J93" s="639"/>
      <c r="K93" s="639"/>
      <c r="L93" s="639"/>
      <c r="M93" s="639"/>
      <c r="N93" s="639"/>
      <c r="O93" s="639"/>
      <c r="P93" s="639"/>
      <c r="Q93" s="639"/>
      <c r="R93" s="639"/>
      <c r="S93" s="639"/>
      <c r="T93" s="639"/>
      <c r="U93" s="639"/>
      <c r="V93" s="639"/>
      <c r="W93" s="639"/>
      <c r="X93" s="639"/>
      <c r="Y93" s="639"/>
      <c r="Z93" s="639"/>
      <c r="AA93" s="639"/>
      <c r="AB93" s="639"/>
    </row>
    <row r="94" spans="1:28">
      <c r="A94" s="639"/>
      <c r="B94" s="639"/>
      <c r="C94" s="639"/>
      <c r="D94" s="639"/>
      <c r="E94" s="639"/>
      <c r="F94" s="639"/>
      <c r="G94" s="639"/>
      <c r="H94" s="639"/>
      <c r="I94" s="639"/>
      <c r="J94" s="639"/>
      <c r="K94" s="639"/>
      <c r="L94" s="639"/>
      <c r="M94" s="639"/>
      <c r="N94" s="639"/>
      <c r="O94" s="639"/>
      <c r="P94" s="639"/>
      <c r="Q94" s="639"/>
      <c r="R94" s="639"/>
      <c r="S94" s="639"/>
      <c r="T94" s="639"/>
      <c r="U94" s="639"/>
      <c r="V94" s="639"/>
      <c r="W94" s="639"/>
      <c r="X94" s="639"/>
      <c r="Y94" s="639"/>
      <c r="Z94" s="639"/>
      <c r="AA94" s="639"/>
      <c r="AB94" s="639"/>
    </row>
    <row r="95" spans="1:28">
      <c r="A95" s="639"/>
      <c r="B95" s="639"/>
      <c r="C95" s="639"/>
      <c r="D95" s="639"/>
      <c r="E95" s="639"/>
      <c r="F95" s="639"/>
      <c r="G95" s="639"/>
      <c r="H95" s="639"/>
      <c r="I95" s="639"/>
      <c r="J95" s="639"/>
      <c r="K95" s="639"/>
      <c r="L95" s="639"/>
      <c r="M95" s="639"/>
      <c r="N95" s="639"/>
      <c r="O95" s="639"/>
      <c r="P95" s="639"/>
      <c r="Q95" s="639"/>
      <c r="R95" s="639"/>
      <c r="S95" s="639"/>
      <c r="T95" s="639"/>
      <c r="U95" s="639"/>
      <c r="V95" s="639"/>
      <c r="W95" s="639"/>
      <c r="X95" s="639"/>
      <c r="Y95" s="639"/>
      <c r="Z95" s="639"/>
      <c r="AA95" s="639"/>
      <c r="AB95" s="639"/>
    </row>
    <row r="96" spans="1:28">
      <c r="A96" s="639"/>
      <c r="B96" s="639"/>
      <c r="C96" s="639"/>
      <c r="D96" s="639"/>
      <c r="E96" s="639"/>
      <c r="F96" s="639"/>
      <c r="G96" s="639"/>
      <c r="H96" s="639"/>
      <c r="I96" s="639"/>
      <c r="J96" s="639"/>
      <c r="K96" s="639"/>
      <c r="L96" s="639"/>
      <c r="M96" s="639"/>
      <c r="N96" s="639"/>
      <c r="O96" s="639"/>
      <c r="P96" s="639"/>
      <c r="Q96" s="639"/>
      <c r="R96" s="639"/>
      <c r="S96" s="639"/>
      <c r="T96" s="639"/>
      <c r="U96" s="639"/>
      <c r="V96" s="639"/>
      <c r="W96" s="639"/>
      <c r="X96" s="639"/>
      <c r="Y96" s="639"/>
      <c r="Z96" s="639"/>
      <c r="AA96" s="639"/>
      <c r="AB96" s="639"/>
    </row>
    <row r="97" spans="1:28">
      <c r="A97" s="639"/>
      <c r="B97" s="639"/>
      <c r="C97" s="639"/>
      <c r="D97" s="639"/>
      <c r="E97" s="639"/>
      <c r="F97" s="639"/>
      <c r="G97" s="639"/>
      <c r="H97" s="639"/>
      <c r="I97" s="639"/>
      <c r="J97" s="639"/>
      <c r="K97" s="639"/>
      <c r="L97" s="639"/>
      <c r="M97" s="639"/>
      <c r="N97" s="639"/>
      <c r="O97" s="639"/>
      <c r="P97" s="639"/>
      <c r="Q97" s="639"/>
      <c r="R97" s="639"/>
      <c r="S97" s="639"/>
      <c r="T97" s="639"/>
      <c r="U97" s="639"/>
      <c r="V97" s="639"/>
      <c r="W97" s="639"/>
      <c r="X97" s="639"/>
      <c r="Y97" s="639"/>
      <c r="Z97" s="639"/>
      <c r="AA97" s="639"/>
      <c r="AB97" s="639"/>
    </row>
    <row r="98" spans="1:28">
      <c r="A98" s="639"/>
      <c r="B98" s="639"/>
      <c r="C98" s="639"/>
      <c r="D98" s="639"/>
      <c r="E98" s="639"/>
      <c r="F98" s="639"/>
      <c r="G98" s="639"/>
      <c r="H98" s="639"/>
      <c r="I98" s="639"/>
      <c r="J98" s="639"/>
      <c r="K98" s="639"/>
      <c r="L98" s="639"/>
      <c r="M98" s="639"/>
      <c r="N98" s="639"/>
      <c r="O98" s="639"/>
      <c r="P98" s="639"/>
      <c r="Q98" s="639"/>
      <c r="R98" s="639"/>
      <c r="S98" s="639"/>
      <c r="T98" s="639"/>
      <c r="U98" s="639"/>
      <c r="V98" s="639"/>
      <c r="W98" s="639"/>
      <c r="X98" s="639"/>
      <c r="Y98" s="639"/>
      <c r="Z98" s="639"/>
      <c r="AA98" s="639"/>
      <c r="AB98" s="639"/>
    </row>
    <row r="99" spans="1:28">
      <c r="A99" s="639"/>
      <c r="B99" s="639"/>
      <c r="C99" s="639"/>
      <c r="D99" s="639"/>
      <c r="E99" s="639"/>
      <c r="F99" s="639"/>
      <c r="G99" s="639"/>
      <c r="H99" s="639"/>
      <c r="I99" s="639"/>
      <c r="J99" s="639"/>
      <c r="K99" s="639"/>
      <c r="L99" s="639"/>
      <c r="M99" s="639"/>
      <c r="N99" s="639"/>
      <c r="O99" s="639"/>
      <c r="P99" s="639"/>
      <c r="Q99" s="639"/>
      <c r="R99" s="639"/>
      <c r="S99" s="639"/>
      <c r="T99" s="639"/>
      <c r="U99" s="639"/>
      <c r="V99" s="639"/>
      <c r="W99" s="639"/>
      <c r="X99" s="639"/>
      <c r="Y99" s="639"/>
      <c r="Z99" s="639"/>
      <c r="AA99" s="639"/>
      <c r="AB99" s="639"/>
    </row>
    <row r="100" spans="1:28">
      <c r="A100" s="639"/>
      <c r="B100" s="639"/>
      <c r="C100" s="639"/>
      <c r="D100" s="639"/>
      <c r="E100" s="639"/>
      <c r="F100" s="639"/>
      <c r="G100" s="639"/>
      <c r="H100" s="639"/>
      <c r="I100" s="639"/>
      <c r="J100" s="639"/>
      <c r="K100" s="639"/>
      <c r="L100" s="639"/>
      <c r="M100" s="639"/>
      <c r="N100" s="639"/>
      <c r="O100" s="639"/>
      <c r="P100" s="639"/>
      <c r="Q100" s="639"/>
      <c r="R100" s="639"/>
      <c r="S100" s="639"/>
      <c r="T100" s="639"/>
      <c r="U100" s="639"/>
      <c r="V100" s="639"/>
      <c r="W100" s="639"/>
      <c r="X100" s="639"/>
      <c r="Y100" s="639"/>
      <c r="Z100" s="639"/>
      <c r="AA100" s="639"/>
      <c r="AB100" s="639"/>
    </row>
    <row r="101" spans="1:28">
      <c r="A101" s="639"/>
      <c r="B101" s="639"/>
      <c r="C101" s="639"/>
      <c r="D101" s="639"/>
      <c r="E101" s="639"/>
      <c r="F101" s="639"/>
      <c r="G101" s="639"/>
      <c r="H101" s="639"/>
      <c r="I101" s="639"/>
      <c r="J101" s="639"/>
      <c r="K101" s="639"/>
      <c r="L101" s="639"/>
      <c r="M101" s="639"/>
      <c r="N101" s="639"/>
      <c r="O101" s="639"/>
      <c r="P101" s="639"/>
      <c r="Q101" s="639"/>
      <c r="R101" s="639"/>
      <c r="S101" s="639"/>
      <c r="T101" s="639"/>
      <c r="U101" s="639"/>
      <c r="V101" s="639"/>
      <c r="W101" s="639"/>
      <c r="X101" s="639"/>
      <c r="Y101" s="639"/>
      <c r="Z101" s="639"/>
      <c r="AA101" s="639"/>
      <c r="AB101" s="639"/>
    </row>
    <row r="102" spans="1:28">
      <c r="A102" s="639"/>
      <c r="B102" s="639"/>
      <c r="C102" s="639"/>
      <c r="D102" s="639"/>
      <c r="E102" s="639"/>
      <c r="F102" s="639"/>
      <c r="G102" s="639"/>
      <c r="H102" s="639"/>
      <c r="I102" s="639"/>
      <c r="J102" s="639"/>
      <c r="K102" s="639"/>
      <c r="L102" s="639"/>
      <c r="M102" s="639"/>
      <c r="N102" s="639"/>
      <c r="O102" s="639"/>
      <c r="P102" s="639"/>
      <c r="Q102" s="639"/>
      <c r="R102" s="639"/>
      <c r="S102" s="639"/>
      <c r="T102" s="639"/>
      <c r="U102" s="639"/>
      <c r="V102" s="639"/>
      <c r="W102" s="639"/>
      <c r="X102" s="639"/>
      <c r="Y102" s="639"/>
      <c r="Z102" s="639"/>
      <c r="AA102" s="639"/>
      <c r="AB102" s="639"/>
    </row>
    <row r="103" spans="1:28">
      <c r="A103" s="639"/>
      <c r="B103" s="639"/>
      <c r="C103" s="639"/>
      <c r="D103" s="639"/>
      <c r="E103" s="639"/>
      <c r="F103" s="639"/>
      <c r="G103" s="639"/>
      <c r="H103" s="639"/>
      <c r="I103" s="639"/>
      <c r="J103" s="639"/>
      <c r="K103" s="639"/>
      <c r="L103" s="639"/>
      <c r="M103" s="639"/>
      <c r="N103" s="639"/>
      <c r="O103" s="639"/>
      <c r="P103" s="639"/>
      <c r="Q103" s="639"/>
      <c r="R103" s="639"/>
      <c r="S103" s="639"/>
      <c r="T103" s="639"/>
      <c r="U103" s="639"/>
      <c r="V103" s="639"/>
      <c r="W103" s="639"/>
      <c r="X103" s="639"/>
      <c r="Y103" s="639"/>
      <c r="Z103" s="639"/>
      <c r="AA103" s="639"/>
      <c r="AB103" s="639"/>
    </row>
    <row r="104" spans="1:28">
      <c r="A104" s="639"/>
      <c r="B104" s="639"/>
      <c r="C104" s="639"/>
      <c r="D104" s="639"/>
      <c r="E104" s="639"/>
      <c r="F104" s="639"/>
      <c r="G104" s="639"/>
      <c r="H104" s="639"/>
      <c r="I104" s="639"/>
      <c r="J104" s="639"/>
      <c r="K104" s="639"/>
      <c r="L104" s="639"/>
      <c r="M104" s="639"/>
      <c r="N104" s="639"/>
      <c r="O104" s="639"/>
      <c r="P104" s="639"/>
      <c r="Q104" s="639"/>
      <c r="R104" s="639"/>
      <c r="S104" s="639"/>
      <c r="T104" s="639"/>
      <c r="U104" s="639"/>
      <c r="V104" s="639"/>
      <c r="W104" s="639"/>
      <c r="X104" s="639"/>
      <c r="Y104" s="639"/>
      <c r="Z104" s="639"/>
      <c r="AA104" s="639"/>
      <c r="AB104" s="639"/>
    </row>
    <row r="105" spans="1:28">
      <c r="A105" s="639"/>
      <c r="B105" s="639"/>
      <c r="C105" s="639"/>
      <c r="D105" s="639"/>
      <c r="E105" s="639"/>
      <c r="F105" s="639"/>
      <c r="G105" s="639"/>
      <c r="H105" s="639"/>
      <c r="I105" s="639"/>
      <c r="J105" s="639"/>
      <c r="K105" s="639"/>
      <c r="L105" s="639"/>
      <c r="M105" s="639"/>
      <c r="N105" s="639"/>
      <c r="O105" s="639"/>
      <c r="P105" s="639"/>
      <c r="Q105" s="639"/>
      <c r="R105" s="639"/>
      <c r="S105" s="639"/>
      <c r="T105" s="639"/>
      <c r="U105" s="639"/>
      <c r="V105" s="639"/>
      <c r="W105" s="639"/>
      <c r="X105" s="639"/>
      <c r="Y105" s="639"/>
      <c r="Z105" s="639"/>
      <c r="AA105" s="639"/>
      <c r="AB105" s="639"/>
    </row>
    <row r="106" spans="1:28">
      <c r="A106" s="639"/>
      <c r="B106" s="639"/>
      <c r="C106" s="639"/>
      <c r="D106" s="639"/>
      <c r="E106" s="639"/>
      <c r="F106" s="639"/>
      <c r="G106" s="639"/>
      <c r="H106" s="639"/>
      <c r="I106" s="639"/>
      <c r="J106" s="639"/>
      <c r="K106" s="639"/>
      <c r="L106" s="639"/>
      <c r="M106" s="639"/>
      <c r="N106" s="639"/>
      <c r="O106" s="639"/>
      <c r="P106" s="639"/>
      <c r="Q106" s="639"/>
      <c r="R106" s="639"/>
      <c r="S106" s="639"/>
      <c r="T106" s="639"/>
      <c r="U106" s="639"/>
      <c r="V106" s="639"/>
      <c r="W106" s="639"/>
      <c r="X106" s="639"/>
      <c r="Y106" s="639"/>
      <c r="Z106" s="639"/>
      <c r="AA106" s="639"/>
      <c r="AB106" s="639"/>
    </row>
    <row r="107" spans="1:28">
      <c r="A107" s="639"/>
      <c r="B107" s="639"/>
      <c r="C107" s="639"/>
      <c r="D107" s="639"/>
      <c r="E107" s="639"/>
      <c r="F107" s="639"/>
      <c r="G107" s="639"/>
      <c r="H107" s="639"/>
      <c r="I107" s="639"/>
      <c r="J107" s="639"/>
      <c r="K107" s="639"/>
      <c r="L107" s="639"/>
      <c r="M107" s="639"/>
      <c r="N107" s="639"/>
      <c r="O107" s="639"/>
      <c r="P107" s="639"/>
      <c r="Q107" s="639"/>
      <c r="R107" s="639"/>
      <c r="S107" s="639"/>
      <c r="T107" s="639"/>
      <c r="U107" s="639"/>
      <c r="V107" s="639"/>
      <c r="W107" s="639"/>
      <c r="X107" s="639"/>
      <c r="Y107" s="639"/>
      <c r="Z107" s="639"/>
      <c r="AA107" s="639"/>
      <c r="AB107" s="639"/>
    </row>
    <row r="108" spans="1:28">
      <c r="A108" s="639"/>
      <c r="B108" s="639"/>
      <c r="C108" s="639"/>
      <c r="D108" s="639"/>
      <c r="E108" s="639"/>
      <c r="F108" s="639"/>
      <c r="G108" s="639"/>
      <c r="H108" s="639"/>
      <c r="I108" s="639"/>
      <c r="J108" s="639"/>
      <c r="K108" s="639"/>
      <c r="L108" s="639"/>
      <c r="M108" s="639"/>
      <c r="N108" s="639"/>
      <c r="O108" s="639"/>
      <c r="P108" s="639"/>
      <c r="Q108" s="639"/>
      <c r="R108" s="639"/>
      <c r="S108" s="639"/>
      <c r="T108" s="639"/>
      <c r="U108" s="639"/>
      <c r="V108" s="639"/>
      <c r="W108" s="639"/>
      <c r="X108" s="639"/>
      <c r="Y108" s="639"/>
      <c r="Z108" s="639"/>
      <c r="AA108" s="639"/>
      <c r="AB108" s="639"/>
    </row>
    <row r="109" spans="1:28">
      <c r="A109" s="639"/>
      <c r="B109" s="639"/>
      <c r="C109" s="639"/>
      <c r="D109" s="639"/>
      <c r="E109" s="639"/>
      <c r="F109" s="639"/>
      <c r="G109" s="639"/>
      <c r="H109" s="639"/>
      <c r="I109" s="639"/>
      <c r="J109" s="639"/>
      <c r="K109" s="639"/>
      <c r="L109" s="639"/>
      <c r="M109" s="639"/>
      <c r="N109" s="639"/>
      <c r="O109" s="639"/>
      <c r="P109" s="639"/>
      <c r="Q109" s="639"/>
      <c r="R109" s="639"/>
      <c r="S109" s="639"/>
      <c r="T109" s="639"/>
      <c r="U109" s="639"/>
      <c r="V109" s="639"/>
      <c r="W109" s="639"/>
      <c r="X109" s="639"/>
      <c r="Y109" s="639"/>
      <c r="Z109" s="639"/>
      <c r="AA109" s="639"/>
      <c r="AB109" s="639"/>
    </row>
    <row r="110" spans="1:28">
      <c r="A110" s="639"/>
      <c r="B110" s="639"/>
      <c r="C110" s="639"/>
      <c r="D110" s="639"/>
      <c r="E110" s="639"/>
      <c r="F110" s="639"/>
      <c r="G110" s="639"/>
      <c r="H110" s="639"/>
      <c r="I110" s="639"/>
      <c r="J110" s="639"/>
      <c r="K110" s="639"/>
      <c r="L110" s="639"/>
      <c r="M110" s="639"/>
      <c r="N110" s="639"/>
      <c r="O110" s="639"/>
      <c r="P110" s="639"/>
      <c r="Q110" s="639"/>
      <c r="R110" s="639"/>
      <c r="S110" s="639"/>
      <c r="T110" s="639"/>
      <c r="U110" s="639"/>
      <c r="V110" s="639"/>
      <c r="W110" s="639"/>
      <c r="X110" s="639"/>
      <c r="Y110" s="639"/>
      <c r="Z110" s="639"/>
      <c r="AA110" s="639"/>
      <c r="AB110" s="639"/>
    </row>
    <row r="111" spans="1:28">
      <c r="A111" s="639"/>
      <c r="B111" s="639"/>
      <c r="C111" s="639"/>
      <c r="D111" s="639"/>
      <c r="E111" s="639"/>
      <c r="F111" s="639"/>
      <c r="G111" s="639"/>
      <c r="H111" s="639"/>
      <c r="I111" s="639"/>
      <c r="J111" s="639"/>
      <c r="K111" s="639"/>
      <c r="L111" s="639"/>
      <c r="M111" s="639"/>
      <c r="N111" s="639"/>
      <c r="O111" s="639"/>
      <c r="P111" s="639"/>
      <c r="Q111" s="639"/>
      <c r="R111" s="639"/>
      <c r="S111" s="639"/>
      <c r="T111" s="639"/>
      <c r="U111" s="639"/>
      <c r="V111" s="639"/>
      <c r="W111" s="639"/>
      <c r="X111" s="639"/>
      <c r="Y111" s="639"/>
      <c r="Z111" s="639"/>
      <c r="AA111" s="639"/>
      <c r="AB111" s="639"/>
    </row>
    <row r="112" spans="1:28">
      <c r="A112" s="639"/>
      <c r="B112" s="639"/>
      <c r="C112" s="639"/>
      <c r="D112" s="639"/>
      <c r="E112" s="639"/>
      <c r="F112" s="639"/>
      <c r="G112" s="639"/>
      <c r="H112" s="639"/>
      <c r="I112" s="639"/>
      <c r="J112" s="639"/>
      <c r="K112" s="639"/>
      <c r="L112" s="639"/>
      <c r="M112" s="639"/>
      <c r="N112" s="639"/>
      <c r="O112" s="639"/>
      <c r="P112" s="639"/>
      <c r="Q112" s="639"/>
      <c r="R112" s="639"/>
      <c r="S112" s="639"/>
      <c r="T112" s="639"/>
      <c r="U112" s="639"/>
      <c r="V112" s="639"/>
      <c r="W112" s="639"/>
      <c r="X112" s="639"/>
      <c r="Y112" s="639"/>
      <c r="Z112" s="639"/>
      <c r="AA112" s="639"/>
      <c r="AB112" s="639"/>
    </row>
    <row r="113" spans="1:28">
      <c r="A113" s="639"/>
      <c r="B113" s="639"/>
      <c r="C113" s="639"/>
      <c r="D113" s="639"/>
      <c r="E113" s="639"/>
      <c r="F113" s="639"/>
      <c r="G113" s="639"/>
      <c r="H113" s="639"/>
      <c r="I113" s="639"/>
      <c r="J113" s="639"/>
      <c r="K113" s="639"/>
      <c r="L113" s="639"/>
      <c r="M113" s="639"/>
      <c r="N113" s="639"/>
      <c r="O113" s="639"/>
      <c r="P113" s="639"/>
      <c r="Q113" s="639"/>
      <c r="R113" s="639"/>
      <c r="S113" s="639"/>
      <c r="T113" s="639"/>
      <c r="U113" s="639"/>
      <c r="V113" s="639"/>
      <c r="W113" s="639"/>
      <c r="X113" s="639"/>
      <c r="Y113" s="639"/>
      <c r="Z113" s="639"/>
      <c r="AA113" s="639"/>
      <c r="AB113" s="639"/>
    </row>
    <row r="114" spans="1:28">
      <c r="A114" s="639"/>
      <c r="B114" s="639"/>
      <c r="C114" s="639"/>
      <c r="D114" s="639"/>
      <c r="E114" s="639"/>
      <c r="F114" s="639"/>
      <c r="G114" s="639"/>
      <c r="H114" s="639"/>
      <c r="I114" s="639"/>
      <c r="J114" s="639"/>
      <c r="K114" s="639"/>
      <c r="L114" s="639"/>
      <c r="M114" s="639"/>
      <c r="N114" s="639"/>
      <c r="O114" s="639"/>
      <c r="P114" s="639"/>
      <c r="Q114" s="639"/>
      <c r="R114" s="639"/>
      <c r="S114" s="639"/>
      <c r="T114" s="639"/>
      <c r="U114" s="639"/>
      <c r="V114" s="639"/>
      <c r="W114" s="639"/>
      <c r="X114" s="639"/>
      <c r="Y114" s="639"/>
      <c r="Z114" s="639"/>
      <c r="AA114" s="639"/>
      <c r="AB114" s="639"/>
    </row>
    <row r="115" spans="1:28">
      <c r="A115" s="639"/>
      <c r="B115" s="639"/>
      <c r="C115" s="639"/>
      <c r="D115" s="639"/>
      <c r="E115" s="639"/>
      <c r="F115" s="639"/>
      <c r="G115" s="639"/>
      <c r="H115" s="639"/>
      <c r="I115" s="639"/>
      <c r="J115" s="639"/>
      <c r="K115" s="639"/>
      <c r="L115" s="639"/>
      <c r="M115" s="639"/>
      <c r="N115" s="639"/>
      <c r="O115" s="639"/>
      <c r="P115" s="639"/>
      <c r="Q115" s="639"/>
      <c r="R115" s="639"/>
      <c r="S115" s="639"/>
      <c r="T115" s="639"/>
      <c r="U115" s="639"/>
      <c r="V115" s="639"/>
      <c r="W115" s="639"/>
      <c r="X115" s="639"/>
      <c r="Y115" s="639"/>
      <c r="Z115" s="639"/>
      <c r="AA115" s="639"/>
      <c r="AB115" s="639"/>
    </row>
    <row r="116" spans="1:28">
      <c r="A116" s="639"/>
      <c r="B116" s="639"/>
      <c r="C116" s="639"/>
      <c r="D116" s="639"/>
      <c r="E116" s="639"/>
      <c r="F116" s="639"/>
      <c r="G116" s="639"/>
      <c r="H116" s="639"/>
      <c r="I116" s="639"/>
      <c r="J116" s="639"/>
      <c r="K116" s="639"/>
      <c r="L116" s="639"/>
      <c r="M116" s="639"/>
      <c r="N116" s="639"/>
      <c r="O116" s="639"/>
      <c r="P116" s="639"/>
      <c r="Q116" s="639"/>
      <c r="R116" s="639"/>
      <c r="S116" s="639"/>
      <c r="T116" s="639"/>
      <c r="U116" s="639"/>
      <c r="V116" s="639"/>
      <c r="W116" s="639"/>
      <c r="X116" s="639"/>
      <c r="Y116" s="639"/>
      <c r="Z116" s="639"/>
      <c r="AA116" s="639"/>
      <c r="AB116" s="639"/>
    </row>
    <row r="117" spans="1:28">
      <c r="A117" s="639"/>
      <c r="B117" s="639"/>
      <c r="C117" s="639"/>
      <c r="D117" s="639"/>
      <c r="E117" s="639"/>
      <c r="F117" s="639"/>
      <c r="G117" s="639"/>
      <c r="H117" s="639"/>
      <c r="I117" s="639"/>
      <c r="J117" s="639"/>
      <c r="K117" s="639"/>
      <c r="L117" s="639"/>
      <c r="M117" s="639"/>
      <c r="N117" s="639"/>
      <c r="O117" s="639"/>
      <c r="P117" s="639"/>
      <c r="Q117" s="639"/>
      <c r="R117" s="639"/>
      <c r="S117" s="639"/>
      <c r="T117" s="639"/>
      <c r="U117" s="639"/>
      <c r="V117" s="639"/>
      <c r="W117" s="639"/>
      <c r="X117" s="639"/>
      <c r="Y117" s="639"/>
      <c r="Z117" s="639"/>
      <c r="AA117" s="639"/>
      <c r="AB117" s="639"/>
    </row>
    <row r="118" spans="1:28">
      <c r="A118" s="639"/>
      <c r="B118" s="639"/>
      <c r="C118" s="639"/>
      <c r="D118" s="639"/>
      <c r="E118" s="639"/>
      <c r="F118" s="639"/>
      <c r="G118" s="639"/>
      <c r="H118" s="639"/>
      <c r="I118" s="639"/>
      <c r="J118" s="639"/>
      <c r="K118" s="639"/>
      <c r="L118" s="639"/>
      <c r="M118" s="639"/>
      <c r="N118" s="639"/>
      <c r="O118" s="639"/>
      <c r="P118" s="639"/>
      <c r="Q118" s="639"/>
      <c r="R118" s="639"/>
      <c r="S118" s="639"/>
      <c r="T118" s="639"/>
      <c r="U118" s="639"/>
      <c r="V118" s="639"/>
      <c r="W118" s="639"/>
      <c r="X118" s="639"/>
      <c r="Y118" s="639"/>
      <c r="Z118" s="639"/>
      <c r="AA118" s="639"/>
      <c r="AB118" s="639"/>
    </row>
    <row r="119" spans="1:28">
      <c r="A119" s="639"/>
      <c r="B119" s="639"/>
      <c r="C119" s="639"/>
      <c r="D119" s="639"/>
      <c r="E119" s="639"/>
      <c r="F119" s="639"/>
      <c r="G119" s="639"/>
      <c r="H119" s="639"/>
      <c r="I119" s="639"/>
      <c r="J119" s="639"/>
      <c r="K119" s="639"/>
      <c r="L119" s="639"/>
      <c r="M119" s="639"/>
      <c r="N119" s="639"/>
      <c r="O119" s="639"/>
      <c r="P119" s="639"/>
      <c r="Q119" s="639"/>
      <c r="R119" s="639"/>
      <c r="S119" s="639"/>
      <c r="T119" s="639"/>
      <c r="U119" s="639"/>
      <c r="V119" s="639"/>
      <c r="W119" s="639"/>
      <c r="X119" s="639"/>
      <c r="Y119" s="639"/>
      <c r="Z119" s="639"/>
      <c r="AA119" s="639"/>
      <c r="AB119" s="639"/>
    </row>
    <row r="120" spans="1:28">
      <c r="A120" s="639"/>
      <c r="B120" s="639"/>
      <c r="C120" s="639"/>
      <c r="D120" s="639"/>
      <c r="E120" s="639"/>
      <c r="F120" s="639"/>
      <c r="G120" s="639"/>
      <c r="H120" s="639"/>
      <c r="I120" s="639"/>
      <c r="J120" s="639"/>
      <c r="K120" s="639"/>
      <c r="L120" s="639"/>
      <c r="M120" s="639"/>
      <c r="N120" s="639"/>
      <c r="O120" s="639"/>
      <c r="P120" s="639"/>
      <c r="Q120" s="639"/>
      <c r="R120" s="639"/>
      <c r="S120" s="639"/>
      <c r="T120" s="639"/>
      <c r="U120" s="639"/>
      <c r="V120" s="639"/>
      <c r="W120" s="639"/>
      <c r="X120" s="639"/>
      <c r="Y120" s="639"/>
      <c r="Z120" s="639"/>
      <c r="AA120" s="639"/>
      <c r="AB120" s="639"/>
    </row>
    <row r="121" spans="1:28">
      <c r="A121" s="639"/>
      <c r="B121" s="639"/>
      <c r="C121" s="639"/>
      <c r="D121" s="639"/>
      <c r="E121" s="639"/>
      <c r="F121" s="639"/>
      <c r="G121" s="639"/>
      <c r="H121" s="639"/>
      <c r="I121" s="639"/>
      <c r="J121" s="639"/>
      <c r="K121" s="639"/>
      <c r="L121" s="639"/>
      <c r="M121" s="639"/>
      <c r="N121" s="639"/>
      <c r="O121" s="639"/>
      <c r="P121" s="639"/>
      <c r="Q121" s="639"/>
      <c r="R121" s="639"/>
      <c r="S121" s="639"/>
      <c r="T121" s="639"/>
      <c r="U121" s="639"/>
      <c r="V121" s="639"/>
      <c r="W121" s="639"/>
      <c r="X121" s="639"/>
      <c r="Y121" s="639"/>
      <c r="Z121" s="639"/>
      <c r="AA121" s="639"/>
      <c r="AB121" s="639"/>
    </row>
    <row r="122" spans="1:28">
      <c r="A122" s="639"/>
      <c r="B122" s="639"/>
      <c r="C122" s="639"/>
      <c r="D122" s="639"/>
      <c r="E122" s="639"/>
      <c r="F122" s="639"/>
      <c r="G122" s="639"/>
      <c r="H122" s="639"/>
      <c r="I122" s="639"/>
      <c r="J122" s="639"/>
      <c r="K122" s="639"/>
      <c r="L122" s="639"/>
      <c r="M122" s="639"/>
      <c r="N122" s="639"/>
      <c r="O122" s="639"/>
      <c r="P122" s="639"/>
      <c r="Q122" s="639"/>
      <c r="R122" s="639"/>
      <c r="S122" s="639"/>
      <c r="T122" s="639"/>
      <c r="U122" s="639"/>
      <c r="V122" s="639"/>
      <c r="W122" s="639"/>
      <c r="X122" s="639"/>
      <c r="Y122" s="639"/>
      <c r="Z122" s="639"/>
      <c r="AA122" s="639"/>
      <c r="AB122" s="639"/>
    </row>
    <row r="123" spans="1:28">
      <c r="A123" s="639"/>
      <c r="B123" s="639"/>
      <c r="C123" s="639"/>
      <c r="D123" s="639"/>
      <c r="E123" s="639"/>
      <c r="F123" s="639"/>
      <c r="G123" s="639"/>
      <c r="H123" s="639"/>
      <c r="I123" s="639"/>
      <c r="J123" s="639"/>
      <c r="K123" s="639"/>
      <c r="L123" s="639"/>
      <c r="M123" s="639"/>
      <c r="N123" s="639"/>
      <c r="O123" s="639"/>
      <c r="P123" s="639"/>
      <c r="Q123" s="639"/>
      <c r="R123" s="639"/>
      <c r="S123" s="639"/>
      <c r="T123" s="639"/>
      <c r="U123" s="639"/>
      <c r="V123" s="639"/>
      <c r="W123" s="639"/>
      <c r="X123" s="639"/>
      <c r="Y123" s="639"/>
      <c r="Z123" s="639"/>
      <c r="AA123" s="639"/>
      <c r="AB123" s="639"/>
    </row>
    <row r="124" spans="1:28">
      <c r="A124" s="639"/>
      <c r="B124" s="639"/>
      <c r="C124" s="639"/>
      <c r="D124" s="639"/>
      <c r="E124" s="639"/>
      <c r="F124" s="639"/>
      <c r="G124" s="639"/>
      <c r="H124" s="639"/>
      <c r="I124" s="639"/>
      <c r="J124" s="639"/>
      <c r="K124" s="639"/>
      <c r="L124" s="639"/>
      <c r="M124" s="639"/>
      <c r="N124" s="639"/>
      <c r="O124" s="639"/>
      <c r="P124" s="639"/>
      <c r="Q124" s="639"/>
      <c r="R124" s="639"/>
      <c r="S124" s="639"/>
      <c r="T124" s="639"/>
      <c r="U124" s="639"/>
      <c r="V124" s="639"/>
      <c r="W124" s="639"/>
      <c r="X124" s="639"/>
      <c r="Y124" s="639"/>
      <c r="Z124" s="639"/>
      <c r="AA124" s="639"/>
      <c r="AB124" s="639"/>
    </row>
    <row r="125" spans="1:28">
      <c r="A125" s="639"/>
      <c r="B125" s="639"/>
      <c r="C125" s="639"/>
      <c r="D125" s="639"/>
      <c r="E125" s="639"/>
      <c r="F125" s="639"/>
      <c r="G125" s="639"/>
      <c r="H125" s="639"/>
      <c r="I125" s="639"/>
      <c r="J125" s="639"/>
      <c r="K125" s="639"/>
      <c r="L125" s="639"/>
      <c r="M125" s="639"/>
      <c r="N125" s="639"/>
      <c r="O125" s="639"/>
      <c r="P125" s="639"/>
      <c r="Q125" s="639"/>
      <c r="R125" s="639"/>
      <c r="S125" s="639"/>
      <c r="T125" s="639"/>
      <c r="U125" s="639"/>
      <c r="V125" s="639"/>
      <c r="W125" s="639"/>
      <c r="X125" s="639"/>
      <c r="Y125" s="639"/>
      <c r="Z125" s="639"/>
      <c r="AA125" s="639"/>
      <c r="AB125" s="639"/>
    </row>
    <row r="126" spans="1:28">
      <c r="A126" s="639"/>
      <c r="B126" s="639"/>
      <c r="C126" s="639"/>
      <c r="D126" s="639"/>
      <c r="E126" s="639"/>
      <c r="F126" s="639"/>
      <c r="G126" s="639"/>
      <c r="H126" s="639"/>
      <c r="I126" s="639"/>
      <c r="J126" s="639"/>
      <c r="K126" s="639"/>
      <c r="L126" s="639"/>
      <c r="M126" s="639"/>
      <c r="N126" s="639"/>
      <c r="O126" s="639"/>
      <c r="P126" s="639"/>
      <c r="Q126" s="639"/>
      <c r="R126" s="639"/>
      <c r="S126" s="639"/>
      <c r="T126" s="639"/>
      <c r="U126" s="639"/>
      <c r="V126" s="639"/>
      <c r="W126" s="639"/>
      <c r="X126" s="639"/>
      <c r="Y126" s="639"/>
      <c r="Z126" s="639"/>
      <c r="AA126" s="639"/>
      <c r="AB126" s="639"/>
    </row>
    <row r="127" spans="1:28">
      <c r="A127" s="639"/>
      <c r="B127" s="639"/>
      <c r="C127" s="639"/>
      <c r="D127" s="639"/>
      <c r="E127" s="639"/>
      <c r="F127" s="639"/>
      <c r="G127" s="639"/>
      <c r="H127" s="639"/>
      <c r="I127" s="639"/>
      <c r="J127" s="639"/>
      <c r="K127" s="639"/>
      <c r="L127" s="639"/>
      <c r="M127" s="639"/>
      <c r="N127" s="639"/>
      <c r="O127" s="639"/>
      <c r="P127" s="639"/>
      <c r="Q127" s="639"/>
      <c r="R127" s="639"/>
      <c r="S127" s="639"/>
      <c r="T127" s="639"/>
      <c r="U127" s="639"/>
      <c r="V127" s="639"/>
      <c r="W127" s="639"/>
      <c r="X127" s="639"/>
      <c r="Y127" s="639"/>
      <c r="Z127" s="639"/>
      <c r="AA127" s="639"/>
      <c r="AB127" s="639"/>
    </row>
    <row r="128" spans="1:28">
      <c r="A128" s="639"/>
      <c r="B128" s="639"/>
      <c r="C128" s="639"/>
      <c r="D128" s="639"/>
      <c r="E128" s="639"/>
      <c r="F128" s="639"/>
      <c r="G128" s="639"/>
      <c r="H128" s="639"/>
      <c r="I128" s="639"/>
      <c r="J128" s="639"/>
      <c r="K128" s="639"/>
      <c r="L128" s="639"/>
      <c r="M128" s="639"/>
      <c r="N128" s="639"/>
      <c r="O128" s="639"/>
      <c r="P128" s="639"/>
      <c r="Q128" s="639"/>
      <c r="R128" s="639"/>
      <c r="S128" s="639"/>
      <c r="T128" s="639"/>
      <c r="U128" s="639"/>
      <c r="V128" s="639"/>
      <c r="W128" s="639"/>
      <c r="X128" s="639"/>
      <c r="Y128" s="639"/>
      <c r="Z128" s="639"/>
      <c r="AA128" s="639"/>
      <c r="AB128" s="639"/>
    </row>
    <row r="129" spans="1:28">
      <c r="A129" s="639"/>
      <c r="B129" s="639"/>
      <c r="C129" s="639"/>
      <c r="D129" s="639"/>
      <c r="E129" s="639"/>
      <c r="F129" s="639"/>
      <c r="G129" s="639"/>
      <c r="H129" s="639"/>
      <c r="I129" s="639"/>
      <c r="J129" s="639"/>
      <c r="K129" s="639"/>
      <c r="L129" s="639"/>
      <c r="M129" s="639"/>
      <c r="N129" s="639"/>
      <c r="O129" s="639"/>
      <c r="P129" s="639"/>
      <c r="Q129" s="639"/>
      <c r="R129" s="639"/>
      <c r="S129" s="639"/>
      <c r="T129" s="639"/>
      <c r="U129" s="639"/>
      <c r="V129" s="639"/>
      <c r="W129" s="639"/>
      <c r="X129" s="639"/>
      <c r="Y129" s="639"/>
      <c r="Z129" s="639"/>
      <c r="AA129" s="639"/>
      <c r="AB129" s="639"/>
    </row>
    <row r="130" spans="1:28">
      <c r="A130" s="639"/>
      <c r="B130" s="639"/>
      <c r="C130" s="639"/>
      <c r="D130" s="639"/>
      <c r="E130" s="639"/>
      <c r="F130" s="639"/>
      <c r="G130" s="639"/>
      <c r="H130" s="639"/>
      <c r="I130" s="639"/>
      <c r="J130" s="639"/>
      <c r="K130" s="639"/>
      <c r="L130" s="639"/>
      <c r="M130" s="639"/>
      <c r="N130" s="639"/>
      <c r="O130" s="639"/>
      <c r="P130" s="639"/>
      <c r="Q130" s="639"/>
      <c r="R130" s="639"/>
      <c r="S130" s="639"/>
      <c r="T130" s="639"/>
      <c r="U130" s="639"/>
      <c r="V130" s="639"/>
      <c r="W130" s="639"/>
      <c r="X130" s="639"/>
      <c r="Y130" s="639"/>
      <c r="Z130" s="639"/>
      <c r="AA130" s="639"/>
      <c r="AB130" s="639"/>
    </row>
    <row r="131" spans="1:28">
      <c r="A131" s="639"/>
      <c r="B131" s="639"/>
      <c r="C131" s="639"/>
      <c r="D131" s="639"/>
      <c r="E131" s="639"/>
      <c r="F131" s="639"/>
      <c r="G131" s="639"/>
      <c r="H131" s="639"/>
      <c r="I131" s="639"/>
      <c r="J131" s="639"/>
      <c r="K131" s="639"/>
      <c r="L131" s="639"/>
      <c r="M131" s="639"/>
      <c r="N131" s="639"/>
      <c r="O131" s="639"/>
      <c r="P131" s="639"/>
      <c r="Q131" s="639"/>
      <c r="R131" s="639"/>
      <c r="S131" s="639"/>
      <c r="T131" s="639"/>
      <c r="U131" s="639"/>
      <c r="V131" s="639"/>
      <c r="W131" s="639"/>
      <c r="X131" s="639"/>
      <c r="Y131" s="639"/>
      <c r="Z131" s="639"/>
      <c r="AA131" s="639"/>
      <c r="AB131" s="639"/>
    </row>
    <row r="132" spans="1:28">
      <c r="A132" s="639"/>
      <c r="B132" s="639"/>
      <c r="C132" s="639"/>
      <c r="D132" s="639"/>
      <c r="E132" s="639"/>
      <c r="F132" s="639"/>
      <c r="G132" s="639"/>
      <c r="H132" s="639"/>
      <c r="I132" s="639"/>
      <c r="J132" s="639"/>
      <c r="K132" s="639"/>
      <c r="L132" s="639"/>
      <c r="M132" s="639"/>
      <c r="N132" s="639"/>
      <c r="O132" s="639"/>
      <c r="P132" s="639"/>
      <c r="Q132" s="639"/>
      <c r="R132" s="639"/>
      <c r="S132" s="639"/>
      <c r="T132" s="639"/>
      <c r="U132" s="639"/>
      <c r="V132" s="639"/>
      <c r="W132" s="639"/>
      <c r="X132" s="639"/>
      <c r="Y132" s="639"/>
      <c r="Z132" s="639"/>
      <c r="AA132" s="639"/>
      <c r="AB132" s="639"/>
    </row>
    <row r="133" spans="1:28">
      <c r="A133" s="639"/>
      <c r="B133" s="639"/>
      <c r="C133" s="639"/>
      <c r="D133" s="639"/>
      <c r="E133" s="639"/>
      <c r="F133" s="639"/>
      <c r="G133" s="639"/>
      <c r="H133" s="639"/>
      <c r="I133" s="639"/>
      <c r="J133" s="639"/>
      <c r="K133" s="639"/>
      <c r="L133" s="639"/>
      <c r="M133" s="639"/>
      <c r="N133" s="639"/>
      <c r="O133" s="639"/>
      <c r="P133" s="639"/>
      <c r="Q133" s="639"/>
      <c r="R133" s="639"/>
      <c r="S133" s="639"/>
      <c r="T133" s="639"/>
      <c r="U133" s="639"/>
      <c r="V133" s="639"/>
      <c r="W133" s="639"/>
      <c r="X133" s="639"/>
      <c r="Y133" s="639"/>
      <c r="Z133" s="639"/>
      <c r="AA133" s="639"/>
      <c r="AB133" s="639"/>
    </row>
    <row r="134" spans="1:28">
      <c r="A134" s="639"/>
      <c r="B134" s="639"/>
      <c r="C134" s="639"/>
      <c r="D134" s="639"/>
      <c r="E134" s="639"/>
      <c r="F134" s="639"/>
      <c r="G134" s="639"/>
      <c r="H134" s="639"/>
      <c r="I134" s="639"/>
      <c r="J134" s="639"/>
      <c r="K134" s="639"/>
      <c r="L134" s="639"/>
      <c r="M134" s="639"/>
      <c r="N134" s="639"/>
      <c r="O134" s="639"/>
      <c r="P134" s="639"/>
      <c r="Q134" s="639"/>
      <c r="R134" s="639"/>
      <c r="S134" s="639"/>
      <c r="T134" s="639"/>
      <c r="U134" s="639"/>
      <c r="V134" s="639"/>
      <c r="W134" s="639"/>
      <c r="X134" s="639"/>
      <c r="Y134" s="639"/>
      <c r="Z134" s="639"/>
      <c r="AA134" s="639"/>
      <c r="AB134" s="639"/>
    </row>
    <row r="135" spans="1:28">
      <c r="A135" s="639"/>
      <c r="B135" s="639"/>
      <c r="C135" s="639"/>
      <c r="D135" s="639"/>
      <c r="E135" s="639"/>
      <c r="F135" s="639"/>
      <c r="G135" s="639"/>
      <c r="H135" s="639"/>
      <c r="I135" s="639"/>
      <c r="J135" s="639"/>
      <c r="K135" s="639"/>
      <c r="L135" s="639"/>
      <c r="M135" s="639"/>
      <c r="N135" s="639"/>
      <c r="O135" s="639"/>
      <c r="P135" s="639"/>
      <c r="Q135" s="639"/>
      <c r="R135" s="639"/>
      <c r="S135" s="639"/>
      <c r="T135" s="639"/>
      <c r="U135" s="639"/>
      <c r="V135" s="639"/>
      <c r="W135" s="639"/>
      <c r="X135" s="639"/>
      <c r="Y135" s="639"/>
      <c r="Z135" s="639"/>
      <c r="AA135" s="639"/>
      <c r="AB135" s="639"/>
    </row>
    <row r="136" spans="1:28">
      <c r="A136" s="639"/>
      <c r="B136" s="639"/>
      <c r="C136" s="639"/>
      <c r="D136" s="639"/>
      <c r="E136" s="639"/>
      <c r="F136" s="639"/>
      <c r="G136" s="639"/>
      <c r="H136" s="639"/>
      <c r="I136" s="639"/>
      <c r="J136" s="639"/>
      <c r="K136" s="639"/>
      <c r="L136" s="639"/>
      <c r="M136" s="639"/>
      <c r="N136" s="639"/>
      <c r="O136" s="639"/>
      <c r="P136" s="639"/>
      <c r="Q136" s="639"/>
      <c r="R136" s="639"/>
      <c r="S136" s="639"/>
      <c r="T136" s="639"/>
      <c r="U136" s="639"/>
      <c r="V136" s="639"/>
      <c r="W136" s="639"/>
      <c r="X136" s="639"/>
      <c r="Y136" s="639"/>
      <c r="Z136" s="639"/>
      <c r="AA136" s="639"/>
      <c r="AB136" s="639"/>
    </row>
    <row r="137" spans="1:28">
      <c r="A137" s="639"/>
      <c r="B137" s="639"/>
      <c r="C137" s="639"/>
      <c r="D137" s="639"/>
      <c r="E137" s="639"/>
      <c r="F137" s="639"/>
      <c r="G137" s="639"/>
      <c r="H137" s="639"/>
      <c r="I137" s="639"/>
      <c r="J137" s="639"/>
      <c r="K137" s="639"/>
      <c r="L137" s="639"/>
      <c r="M137" s="639"/>
      <c r="N137" s="639"/>
      <c r="O137" s="639"/>
      <c r="P137" s="639"/>
      <c r="Q137" s="639"/>
      <c r="R137" s="639"/>
      <c r="S137" s="639"/>
      <c r="T137" s="639"/>
      <c r="U137" s="639"/>
      <c r="V137" s="639"/>
      <c r="W137" s="639"/>
      <c r="X137" s="639"/>
      <c r="Y137" s="639"/>
      <c r="Z137" s="639"/>
      <c r="AA137" s="639"/>
      <c r="AB137" s="639"/>
    </row>
    <row r="138" spans="1:28">
      <c r="A138" s="639"/>
      <c r="B138" s="639"/>
      <c r="C138" s="639"/>
      <c r="D138" s="639"/>
      <c r="E138" s="639"/>
      <c r="F138" s="639"/>
      <c r="G138" s="639"/>
      <c r="H138" s="639"/>
      <c r="I138" s="639"/>
      <c r="J138" s="639"/>
      <c r="K138" s="639"/>
      <c r="L138" s="639"/>
      <c r="M138" s="639"/>
      <c r="N138" s="639"/>
      <c r="O138" s="639"/>
      <c r="P138" s="639"/>
      <c r="Q138" s="639"/>
      <c r="R138" s="639"/>
      <c r="S138" s="639"/>
      <c r="T138" s="639"/>
      <c r="U138" s="639"/>
      <c r="V138" s="639"/>
      <c r="W138" s="639"/>
      <c r="X138" s="639"/>
      <c r="Y138" s="639"/>
      <c r="Z138" s="639"/>
      <c r="AA138" s="639"/>
      <c r="AB138" s="639"/>
    </row>
    <row r="139" spans="1:28">
      <c r="A139" s="639"/>
      <c r="B139" s="639"/>
      <c r="C139" s="639"/>
      <c r="D139" s="639"/>
      <c r="E139" s="639"/>
      <c r="F139" s="639"/>
      <c r="G139" s="639"/>
      <c r="H139" s="639"/>
      <c r="I139" s="639"/>
      <c r="J139" s="639"/>
      <c r="K139" s="639"/>
      <c r="L139" s="639"/>
      <c r="M139" s="639"/>
      <c r="N139" s="639"/>
      <c r="O139" s="639"/>
      <c r="P139" s="639"/>
      <c r="Q139" s="639"/>
      <c r="R139" s="639"/>
      <c r="S139" s="639"/>
      <c r="T139" s="639"/>
      <c r="U139" s="639"/>
      <c r="V139" s="639"/>
      <c r="W139" s="639"/>
      <c r="X139" s="639"/>
      <c r="Y139" s="639"/>
      <c r="Z139" s="639"/>
      <c r="AA139" s="639"/>
      <c r="AB139" s="639"/>
    </row>
    <row r="140" spans="1:28">
      <c r="A140" s="639"/>
      <c r="B140" s="639"/>
      <c r="C140" s="639"/>
      <c r="D140" s="639"/>
      <c r="E140" s="639"/>
      <c r="F140" s="639"/>
      <c r="G140" s="639"/>
      <c r="H140" s="639"/>
      <c r="I140" s="639"/>
      <c r="J140" s="639"/>
      <c r="K140" s="639"/>
      <c r="L140" s="639"/>
      <c r="M140" s="639"/>
      <c r="N140" s="639"/>
      <c r="O140" s="639"/>
      <c r="P140" s="639"/>
      <c r="Q140" s="639"/>
      <c r="R140" s="639"/>
      <c r="S140" s="639"/>
      <c r="T140" s="639"/>
      <c r="U140" s="639"/>
      <c r="V140" s="639"/>
      <c r="W140" s="639"/>
      <c r="X140" s="639"/>
      <c r="Y140" s="639"/>
      <c r="Z140" s="639"/>
      <c r="AA140" s="639"/>
      <c r="AB140" s="639"/>
    </row>
    <row r="141" spans="1:28">
      <c r="A141" s="639"/>
      <c r="B141" s="639"/>
      <c r="C141" s="639"/>
      <c r="D141" s="639"/>
      <c r="E141" s="639"/>
      <c r="F141" s="639"/>
      <c r="G141" s="639"/>
      <c r="H141" s="639"/>
      <c r="I141" s="639"/>
      <c r="J141" s="639"/>
      <c r="K141" s="639"/>
      <c r="L141" s="639"/>
      <c r="M141" s="639"/>
      <c r="N141" s="639"/>
      <c r="O141" s="639"/>
      <c r="P141" s="639"/>
      <c r="Q141" s="639"/>
      <c r="R141" s="639"/>
      <c r="S141" s="639"/>
      <c r="T141" s="639"/>
      <c r="U141" s="639"/>
      <c r="V141" s="639"/>
      <c r="W141" s="639"/>
      <c r="X141" s="639"/>
      <c r="Y141" s="639"/>
      <c r="Z141" s="639"/>
      <c r="AA141" s="639"/>
      <c r="AB141" s="639"/>
    </row>
    <row r="142" spans="1:28">
      <c r="A142" s="639"/>
      <c r="B142" s="639"/>
      <c r="C142" s="639"/>
      <c r="D142" s="639"/>
      <c r="E142" s="639"/>
      <c r="F142" s="639"/>
      <c r="G142" s="639"/>
      <c r="H142" s="639"/>
      <c r="I142" s="639"/>
      <c r="J142" s="639"/>
      <c r="K142" s="639"/>
      <c r="L142" s="639"/>
      <c r="M142" s="639"/>
      <c r="N142" s="639"/>
      <c r="O142" s="639"/>
      <c r="P142" s="639"/>
      <c r="Q142" s="639"/>
      <c r="R142" s="639"/>
      <c r="S142" s="639"/>
      <c r="T142" s="639"/>
      <c r="U142" s="639"/>
      <c r="V142" s="639"/>
      <c r="W142" s="639"/>
      <c r="X142" s="639"/>
      <c r="Y142" s="639"/>
      <c r="Z142" s="639"/>
      <c r="AA142" s="639"/>
      <c r="AB142" s="639"/>
    </row>
    <row r="143" spans="1:28">
      <c r="A143" s="639"/>
      <c r="B143" s="639"/>
      <c r="C143" s="639"/>
      <c r="D143" s="639"/>
      <c r="E143" s="639"/>
      <c r="F143" s="639"/>
      <c r="G143" s="639"/>
      <c r="H143" s="639"/>
      <c r="I143" s="639"/>
      <c r="J143" s="639"/>
      <c r="K143" s="639"/>
      <c r="L143" s="639"/>
      <c r="M143" s="639"/>
      <c r="N143" s="639"/>
      <c r="O143" s="639"/>
      <c r="P143" s="639"/>
      <c r="Q143" s="639"/>
      <c r="R143" s="639"/>
      <c r="S143" s="639"/>
      <c r="T143" s="639"/>
      <c r="U143" s="639"/>
      <c r="V143" s="639"/>
      <c r="W143" s="639"/>
      <c r="X143" s="639"/>
      <c r="Y143" s="639"/>
      <c r="Z143" s="639"/>
      <c r="AA143" s="639"/>
      <c r="AB143" s="639"/>
    </row>
    <row r="144" spans="1:28">
      <c r="A144" s="639"/>
      <c r="B144" s="639"/>
      <c r="C144" s="639"/>
      <c r="D144" s="639"/>
      <c r="E144" s="639"/>
      <c r="F144" s="639"/>
      <c r="G144" s="639"/>
      <c r="H144" s="639"/>
      <c r="I144" s="639"/>
      <c r="J144" s="639"/>
      <c r="K144" s="639"/>
      <c r="L144" s="639"/>
      <c r="M144" s="639"/>
      <c r="N144" s="639"/>
      <c r="O144" s="639"/>
      <c r="P144" s="639"/>
      <c r="Q144" s="639"/>
      <c r="R144" s="639"/>
      <c r="S144" s="639"/>
      <c r="T144" s="639"/>
      <c r="U144" s="639"/>
      <c r="V144" s="639"/>
      <c r="W144" s="639"/>
      <c r="X144" s="639"/>
      <c r="Y144" s="639"/>
      <c r="Z144" s="639"/>
      <c r="AA144" s="639"/>
      <c r="AB144" s="639"/>
    </row>
    <row r="145" spans="1:28">
      <c r="A145" s="639"/>
      <c r="B145" s="639"/>
      <c r="C145" s="639"/>
      <c r="D145" s="639"/>
      <c r="E145" s="639"/>
      <c r="F145" s="639"/>
      <c r="G145" s="639"/>
      <c r="H145" s="639"/>
      <c r="I145" s="639"/>
      <c r="J145" s="639"/>
      <c r="K145" s="639"/>
      <c r="L145" s="639"/>
      <c r="M145" s="639"/>
      <c r="N145" s="639"/>
      <c r="O145" s="639"/>
      <c r="P145" s="639"/>
      <c r="Q145" s="639"/>
      <c r="R145" s="639"/>
      <c r="S145" s="639"/>
      <c r="T145" s="639"/>
      <c r="U145" s="639"/>
      <c r="V145" s="639"/>
      <c r="W145" s="639"/>
      <c r="X145" s="639"/>
      <c r="Y145" s="639"/>
      <c r="Z145" s="639"/>
      <c r="AA145" s="639"/>
      <c r="AB145" s="639"/>
    </row>
    <row r="146" spans="1:28">
      <c r="A146" s="639"/>
      <c r="B146" s="639"/>
      <c r="C146" s="639"/>
      <c r="D146" s="639"/>
      <c r="E146" s="639"/>
      <c r="F146" s="639"/>
      <c r="G146" s="639"/>
      <c r="H146" s="639"/>
      <c r="I146" s="639"/>
      <c r="J146" s="639"/>
      <c r="K146" s="639"/>
      <c r="L146" s="639"/>
      <c r="M146" s="639"/>
      <c r="N146" s="639"/>
      <c r="O146" s="639"/>
      <c r="P146" s="639"/>
      <c r="Q146" s="639"/>
      <c r="R146" s="639"/>
      <c r="S146" s="639"/>
      <c r="T146" s="639"/>
      <c r="U146" s="639"/>
      <c r="V146" s="639"/>
      <c r="W146" s="639"/>
      <c r="X146" s="639"/>
      <c r="Y146" s="639"/>
      <c r="Z146" s="639"/>
      <c r="AA146" s="639"/>
      <c r="AB146" s="639"/>
    </row>
    <row r="147" spans="1:28">
      <c r="A147" s="639"/>
      <c r="B147" s="639"/>
      <c r="C147" s="639"/>
      <c r="D147" s="639"/>
      <c r="E147" s="639"/>
      <c r="F147" s="639"/>
      <c r="G147" s="639"/>
      <c r="H147" s="639"/>
      <c r="I147" s="639"/>
      <c r="J147" s="639"/>
      <c r="K147" s="639"/>
      <c r="L147" s="639"/>
      <c r="M147" s="639"/>
      <c r="N147" s="639"/>
      <c r="O147" s="639"/>
      <c r="P147" s="639"/>
      <c r="Q147" s="639"/>
      <c r="R147" s="639"/>
      <c r="S147" s="639"/>
      <c r="T147" s="639"/>
      <c r="U147" s="639"/>
      <c r="V147" s="639"/>
      <c r="W147" s="639"/>
      <c r="X147" s="639"/>
      <c r="Y147" s="639"/>
      <c r="Z147" s="639"/>
      <c r="AA147" s="639"/>
      <c r="AB147" s="639"/>
    </row>
    <row r="148" spans="1:28">
      <c r="A148" s="639"/>
      <c r="B148" s="639"/>
      <c r="C148" s="639"/>
      <c r="D148" s="639"/>
      <c r="E148" s="639"/>
      <c r="F148" s="639"/>
      <c r="G148" s="639"/>
      <c r="H148" s="639"/>
      <c r="I148" s="639"/>
      <c r="J148" s="639"/>
      <c r="K148" s="639"/>
      <c r="L148" s="639"/>
      <c r="M148" s="639"/>
      <c r="N148" s="639"/>
      <c r="O148" s="639"/>
      <c r="P148" s="639"/>
      <c r="Q148" s="639"/>
      <c r="R148" s="639"/>
      <c r="S148" s="639"/>
      <c r="T148" s="639"/>
      <c r="U148" s="639"/>
      <c r="V148" s="639"/>
      <c r="W148" s="639"/>
      <c r="X148" s="639"/>
      <c r="Y148" s="639"/>
      <c r="Z148" s="639"/>
      <c r="AA148" s="639"/>
      <c r="AB148" s="639"/>
    </row>
    <row r="149" spans="1:28">
      <c r="A149" s="639"/>
      <c r="B149" s="639"/>
      <c r="C149" s="639"/>
      <c r="D149" s="639"/>
      <c r="E149" s="639"/>
      <c r="F149" s="639"/>
      <c r="G149" s="639"/>
      <c r="H149" s="639"/>
      <c r="I149" s="639"/>
      <c r="J149" s="639"/>
      <c r="K149" s="639"/>
      <c r="L149" s="639"/>
      <c r="M149" s="639"/>
      <c r="N149" s="639"/>
      <c r="O149" s="639"/>
      <c r="P149" s="639"/>
      <c r="Q149" s="639"/>
      <c r="R149" s="639"/>
      <c r="S149" s="639"/>
      <c r="T149" s="639"/>
      <c r="U149" s="639"/>
      <c r="V149" s="639"/>
      <c r="W149" s="639"/>
      <c r="X149" s="639"/>
      <c r="Y149" s="639"/>
      <c r="Z149" s="639"/>
      <c r="AA149" s="639"/>
      <c r="AB149" s="639"/>
    </row>
    <row r="150" spans="1:28">
      <c r="A150" s="639"/>
      <c r="B150" s="639"/>
      <c r="C150" s="639"/>
      <c r="D150" s="639"/>
      <c r="E150" s="639"/>
      <c r="F150" s="639"/>
      <c r="G150" s="639"/>
      <c r="H150" s="639"/>
      <c r="I150" s="639"/>
      <c r="J150" s="639"/>
      <c r="K150" s="639"/>
      <c r="L150" s="639"/>
      <c r="M150" s="639"/>
      <c r="N150" s="639"/>
      <c r="O150" s="639"/>
      <c r="P150" s="639"/>
      <c r="Q150" s="639"/>
      <c r="R150" s="639"/>
      <c r="S150" s="639"/>
      <c r="T150" s="639"/>
      <c r="U150" s="639"/>
      <c r="V150" s="639"/>
      <c r="W150" s="639"/>
      <c r="X150" s="639"/>
      <c r="Y150" s="639"/>
      <c r="Z150" s="639"/>
      <c r="AA150" s="639"/>
      <c r="AB150" s="639"/>
    </row>
    <row r="151" spans="1:28">
      <c r="A151" s="639"/>
      <c r="B151" s="639"/>
      <c r="C151" s="639"/>
      <c r="D151" s="639"/>
      <c r="E151" s="639"/>
      <c r="F151" s="639"/>
      <c r="G151" s="639"/>
      <c r="H151" s="639"/>
      <c r="I151" s="639"/>
      <c r="J151" s="639"/>
      <c r="K151" s="639"/>
      <c r="L151" s="639"/>
      <c r="M151" s="639"/>
      <c r="N151" s="639"/>
      <c r="O151" s="639"/>
      <c r="P151" s="639"/>
      <c r="Q151" s="639"/>
      <c r="R151" s="639"/>
      <c r="S151" s="639"/>
      <c r="T151" s="639"/>
      <c r="U151" s="639"/>
      <c r="V151" s="639"/>
      <c r="W151" s="639"/>
      <c r="X151" s="639"/>
      <c r="Y151" s="639"/>
      <c r="Z151" s="639"/>
      <c r="AA151" s="639"/>
      <c r="AB151" s="639"/>
    </row>
    <row r="152" spans="1:28">
      <c r="A152" s="639"/>
      <c r="B152" s="639"/>
      <c r="C152" s="639"/>
      <c r="D152" s="639"/>
      <c r="E152" s="639"/>
      <c r="F152" s="639"/>
      <c r="G152" s="639"/>
      <c r="H152" s="639"/>
      <c r="I152" s="639"/>
      <c r="J152" s="639"/>
      <c r="K152" s="639"/>
      <c r="L152" s="639"/>
      <c r="M152" s="639"/>
      <c r="N152" s="639"/>
      <c r="O152" s="639"/>
      <c r="P152" s="639"/>
      <c r="Q152" s="639"/>
      <c r="R152" s="639"/>
      <c r="S152" s="639"/>
      <c r="T152" s="639"/>
      <c r="U152" s="639"/>
      <c r="V152" s="639"/>
      <c r="W152" s="639"/>
      <c r="X152" s="639"/>
      <c r="Y152" s="639"/>
      <c r="Z152" s="639"/>
      <c r="AA152" s="639"/>
      <c r="AB152" s="639"/>
    </row>
    <row r="153" spans="1:28">
      <c r="A153" s="639"/>
      <c r="B153" s="639"/>
      <c r="C153" s="639"/>
      <c r="D153" s="639"/>
      <c r="E153" s="639"/>
      <c r="F153" s="639"/>
      <c r="G153" s="639"/>
      <c r="H153" s="639"/>
      <c r="I153" s="639"/>
      <c r="J153" s="639"/>
      <c r="K153" s="639"/>
      <c r="L153" s="639"/>
      <c r="M153" s="639"/>
      <c r="N153" s="639"/>
      <c r="O153" s="639"/>
      <c r="P153" s="639"/>
      <c r="Q153" s="639"/>
      <c r="R153" s="639"/>
      <c r="S153" s="639"/>
      <c r="T153" s="639"/>
      <c r="U153" s="639"/>
      <c r="V153" s="639"/>
      <c r="W153" s="639"/>
      <c r="X153" s="639"/>
      <c r="Y153" s="639"/>
      <c r="Z153" s="639"/>
      <c r="AA153" s="639"/>
      <c r="AB153" s="639"/>
    </row>
    <row r="154" spans="1:28">
      <c r="A154" s="639"/>
      <c r="B154" s="639"/>
      <c r="C154" s="639"/>
      <c r="D154" s="639"/>
      <c r="E154" s="639"/>
      <c r="F154" s="639"/>
      <c r="G154" s="639"/>
      <c r="H154" s="639"/>
      <c r="I154" s="639"/>
      <c r="J154" s="639"/>
      <c r="K154" s="639"/>
      <c r="L154" s="639"/>
      <c r="M154" s="639"/>
      <c r="N154" s="639"/>
      <c r="O154" s="639"/>
      <c r="P154" s="639"/>
      <c r="Q154" s="639"/>
      <c r="R154" s="639"/>
      <c r="S154" s="639"/>
      <c r="T154" s="639"/>
      <c r="U154" s="639"/>
      <c r="V154" s="639"/>
      <c r="W154" s="639"/>
      <c r="X154" s="639"/>
      <c r="Y154" s="639"/>
      <c r="Z154" s="639"/>
      <c r="AA154" s="639"/>
      <c r="AB154" s="639"/>
    </row>
    <row r="155" spans="1:28">
      <c r="A155" s="639"/>
      <c r="B155" s="639"/>
      <c r="C155" s="639"/>
      <c r="D155" s="639"/>
      <c r="E155" s="639"/>
      <c r="F155" s="639"/>
      <c r="G155" s="639"/>
      <c r="H155" s="639"/>
      <c r="I155" s="639"/>
      <c r="J155" s="639"/>
      <c r="K155" s="639"/>
      <c r="L155" s="639"/>
      <c r="M155" s="639"/>
      <c r="N155" s="639"/>
      <c r="O155" s="639"/>
      <c r="P155" s="639"/>
      <c r="Q155" s="639"/>
      <c r="R155" s="639"/>
      <c r="S155" s="639"/>
      <c r="T155" s="639"/>
      <c r="U155" s="639"/>
      <c r="V155" s="639"/>
      <c r="W155" s="639"/>
      <c r="X155" s="639"/>
      <c r="Y155" s="639"/>
      <c r="Z155" s="639"/>
      <c r="AA155" s="639"/>
      <c r="AB155" s="639"/>
    </row>
    <row r="156" spans="1:28">
      <c r="A156" s="639"/>
      <c r="B156" s="639"/>
      <c r="C156" s="639"/>
      <c r="D156" s="639"/>
      <c r="E156" s="639"/>
      <c r="F156" s="639"/>
      <c r="G156" s="639"/>
      <c r="H156" s="639"/>
      <c r="I156" s="639"/>
      <c r="J156" s="639"/>
      <c r="K156" s="639"/>
      <c r="L156" s="639"/>
      <c r="M156" s="639"/>
      <c r="N156" s="639"/>
      <c r="O156" s="639"/>
      <c r="P156" s="639"/>
      <c r="Q156" s="639"/>
      <c r="R156" s="639"/>
      <c r="S156" s="639"/>
      <c r="T156" s="639"/>
      <c r="U156" s="639"/>
      <c r="V156" s="639"/>
      <c r="W156" s="639"/>
      <c r="X156" s="639"/>
      <c r="Y156" s="639"/>
      <c r="Z156" s="639"/>
      <c r="AA156" s="639"/>
      <c r="AB156" s="639"/>
    </row>
    <row r="157" spans="1:28">
      <c r="A157" s="639"/>
      <c r="B157" s="639"/>
      <c r="C157" s="639"/>
      <c r="D157" s="639"/>
      <c r="E157" s="639"/>
      <c r="F157" s="639"/>
      <c r="G157" s="639"/>
      <c r="H157" s="639"/>
      <c r="I157" s="639"/>
      <c r="J157" s="639"/>
      <c r="K157" s="639"/>
      <c r="L157" s="639"/>
      <c r="M157" s="639"/>
      <c r="N157" s="639"/>
      <c r="O157" s="639"/>
      <c r="P157" s="639"/>
      <c r="Q157" s="639"/>
      <c r="R157" s="639"/>
      <c r="S157" s="639"/>
      <c r="T157" s="639"/>
      <c r="U157" s="639"/>
      <c r="V157" s="639"/>
      <c r="W157" s="639"/>
      <c r="X157" s="639"/>
      <c r="Y157" s="639"/>
      <c r="Z157" s="639"/>
      <c r="AA157" s="639"/>
      <c r="AB157" s="639"/>
    </row>
    <row r="158" spans="1:28">
      <c r="A158" s="639"/>
      <c r="B158" s="639"/>
      <c r="C158" s="639"/>
      <c r="D158" s="639"/>
      <c r="E158" s="639"/>
      <c r="F158" s="639"/>
      <c r="G158" s="639"/>
      <c r="H158" s="639"/>
      <c r="I158" s="639"/>
      <c r="J158" s="639"/>
      <c r="K158" s="639"/>
      <c r="L158" s="639"/>
      <c r="M158" s="639"/>
      <c r="N158" s="639"/>
      <c r="O158" s="639"/>
      <c r="P158" s="639"/>
      <c r="Q158" s="639"/>
      <c r="R158" s="639"/>
      <c r="S158" s="639"/>
      <c r="T158" s="639"/>
      <c r="U158" s="639"/>
      <c r="V158" s="639"/>
      <c r="W158" s="639"/>
      <c r="X158" s="639"/>
      <c r="Y158" s="639"/>
      <c r="Z158" s="639"/>
      <c r="AA158" s="639"/>
      <c r="AB158" s="639"/>
    </row>
    <row r="159" spans="1:28">
      <c r="A159" s="639"/>
      <c r="B159" s="639"/>
      <c r="C159" s="639"/>
      <c r="D159" s="639"/>
      <c r="E159" s="639"/>
      <c r="F159" s="639"/>
      <c r="G159" s="639"/>
      <c r="H159" s="639"/>
      <c r="I159" s="639"/>
      <c r="J159" s="639"/>
      <c r="K159" s="639"/>
      <c r="L159" s="639"/>
      <c r="M159" s="639"/>
      <c r="N159" s="639"/>
      <c r="O159" s="639"/>
      <c r="P159" s="639"/>
      <c r="Q159" s="639"/>
      <c r="R159" s="639"/>
      <c r="S159" s="639"/>
      <c r="T159" s="639"/>
      <c r="U159" s="639"/>
      <c r="V159" s="639"/>
      <c r="W159" s="639"/>
      <c r="X159" s="639"/>
      <c r="Y159" s="639"/>
      <c r="Z159" s="639"/>
      <c r="AA159" s="639"/>
      <c r="AB159" s="639"/>
    </row>
    <row r="160" spans="1:28">
      <c r="A160" s="639"/>
      <c r="B160" s="639"/>
      <c r="C160" s="639"/>
      <c r="D160" s="639"/>
      <c r="E160" s="639"/>
      <c r="F160" s="639"/>
      <c r="G160" s="639"/>
      <c r="H160" s="639"/>
      <c r="I160" s="639"/>
      <c r="J160" s="639"/>
      <c r="K160" s="639"/>
      <c r="L160" s="639"/>
      <c r="M160" s="639"/>
      <c r="N160" s="639"/>
      <c r="O160" s="639"/>
      <c r="P160" s="639"/>
      <c r="Q160" s="639"/>
      <c r="R160" s="639"/>
      <c r="S160" s="639"/>
      <c r="T160" s="639"/>
      <c r="U160" s="639"/>
      <c r="V160" s="639"/>
      <c r="W160" s="639"/>
      <c r="X160" s="639"/>
      <c r="Y160" s="639"/>
      <c r="Z160" s="639"/>
      <c r="AA160" s="639"/>
      <c r="AB160" s="639"/>
    </row>
    <row r="161" spans="1:28">
      <c r="A161" s="639"/>
      <c r="B161" s="639"/>
      <c r="C161" s="639"/>
      <c r="D161" s="639"/>
      <c r="E161" s="639"/>
      <c r="F161" s="639"/>
      <c r="G161" s="639"/>
      <c r="H161" s="639"/>
      <c r="I161" s="639"/>
      <c r="J161" s="639"/>
      <c r="K161" s="639"/>
      <c r="L161" s="639"/>
      <c r="M161" s="639"/>
      <c r="N161" s="639"/>
      <c r="O161" s="639"/>
      <c r="P161" s="639"/>
      <c r="Q161" s="639"/>
      <c r="R161" s="639"/>
      <c r="S161" s="639"/>
      <c r="T161" s="639"/>
      <c r="U161" s="639"/>
      <c r="V161" s="639"/>
      <c r="W161" s="639"/>
      <c r="X161" s="639"/>
      <c r="Y161" s="639"/>
      <c r="Z161" s="639"/>
      <c r="AA161" s="639"/>
      <c r="AB161" s="639"/>
    </row>
    <row r="162" spans="1:28">
      <c r="A162" s="639"/>
      <c r="B162" s="639"/>
      <c r="C162" s="639"/>
      <c r="D162" s="639"/>
      <c r="E162" s="639"/>
      <c r="F162" s="639"/>
      <c r="G162" s="639"/>
      <c r="H162" s="639"/>
      <c r="I162" s="639"/>
      <c r="J162" s="639"/>
      <c r="K162" s="639"/>
      <c r="L162" s="639"/>
      <c r="M162" s="639"/>
      <c r="N162" s="639"/>
      <c r="O162" s="639"/>
      <c r="P162" s="639"/>
      <c r="Q162" s="639"/>
      <c r="R162" s="639"/>
      <c r="S162" s="639"/>
      <c r="T162" s="639"/>
      <c r="U162" s="639"/>
      <c r="V162" s="639"/>
      <c r="W162" s="639"/>
      <c r="X162" s="639"/>
      <c r="Y162" s="639"/>
      <c r="Z162" s="639"/>
      <c r="AA162" s="639"/>
      <c r="AB162" s="639"/>
    </row>
    <row r="163" spans="1:28">
      <c r="A163" s="639"/>
      <c r="B163" s="639"/>
      <c r="C163" s="639"/>
      <c r="D163" s="639"/>
      <c r="E163" s="639"/>
      <c r="F163" s="639"/>
      <c r="G163" s="639"/>
      <c r="H163" s="639"/>
      <c r="I163" s="639"/>
      <c r="J163" s="639"/>
      <c r="K163" s="639"/>
      <c r="L163" s="639"/>
      <c r="M163" s="639"/>
      <c r="N163" s="639"/>
      <c r="O163" s="639"/>
      <c r="P163" s="639"/>
      <c r="Q163" s="639"/>
      <c r="R163" s="639"/>
      <c r="S163" s="639"/>
      <c r="T163" s="639"/>
      <c r="U163" s="639"/>
      <c r="V163" s="639"/>
      <c r="W163" s="639"/>
      <c r="X163" s="639"/>
      <c r="Y163" s="639"/>
      <c r="Z163" s="639"/>
      <c r="AA163" s="639"/>
      <c r="AB163" s="639"/>
    </row>
    <row r="164" spans="1:28">
      <c r="A164" s="639"/>
      <c r="B164" s="639"/>
      <c r="C164" s="639"/>
      <c r="D164" s="639"/>
      <c r="E164" s="639"/>
      <c r="F164" s="639"/>
      <c r="G164" s="639"/>
      <c r="H164" s="639"/>
      <c r="I164" s="639"/>
      <c r="J164" s="639"/>
      <c r="K164" s="639"/>
      <c r="L164" s="639"/>
      <c r="M164" s="639"/>
      <c r="N164" s="639"/>
      <c r="O164" s="639"/>
      <c r="P164" s="639"/>
      <c r="Q164" s="639"/>
      <c r="R164" s="639"/>
      <c r="S164" s="639"/>
      <c r="T164" s="639"/>
      <c r="U164" s="639"/>
      <c r="V164" s="639"/>
      <c r="W164" s="639"/>
      <c r="X164" s="639"/>
      <c r="Y164" s="639"/>
      <c r="Z164" s="639"/>
      <c r="AA164" s="639"/>
      <c r="AB164" s="639"/>
    </row>
    <row r="165" spans="1:28">
      <c r="A165" s="639"/>
      <c r="B165" s="639"/>
      <c r="C165" s="639"/>
      <c r="D165" s="639"/>
      <c r="E165" s="639"/>
      <c r="F165" s="639"/>
      <c r="G165" s="639"/>
      <c r="H165" s="639"/>
      <c r="I165" s="639"/>
      <c r="J165" s="639"/>
      <c r="K165" s="639"/>
      <c r="L165" s="639"/>
      <c r="M165" s="639"/>
      <c r="N165" s="639"/>
      <c r="O165" s="639"/>
      <c r="P165" s="639"/>
      <c r="Q165" s="639"/>
      <c r="R165" s="639"/>
      <c r="S165" s="639"/>
      <c r="T165" s="639"/>
      <c r="U165" s="639"/>
      <c r="V165" s="639"/>
      <c r="W165" s="639"/>
      <c r="X165" s="639"/>
      <c r="Y165" s="639"/>
      <c r="Z165" s="639"/>
      <c r="AA165" s="639"/>
      <c r="AB165" s="639"/>
    </row>
    <row r="166" spans="1:28">
      <c r="A166" s="639"/>
      <c r="B166" s="639"/>
      <c r="C166" s="639"/>
      <c r="D166" s="639"/>
      <c r="E166" s="639"/>
      <c r="F166" s="639"/>
      <c r="G166" s="639"/>
      <c r="H166" s="639"/>
      <c r="I166" s="639"/>
      <c r="J166" s="639"/>
      <c r="K166" s="639"/>
      <c r="L166" s="639"/>
      <c r="M166" s="639"/>
      <c r="N166" s="639"/>
      <c r="O166" s="639"/>
      <c r="P166" s="639"/>
      <c r="Q166" s="639"/>
      <c r="R166" s="639"/>
      <c r="S166" s="639"/>
      <c r="T166" s="639"/>
      <c r="U166" s="639"/>
      <c r="V166" s="639"/>
      <c r="W166" s="639"/>
      <c r="X166" s="639"/>
      <c r="Y166" s="639"/>
      <c r="Z166" s="639"/>
      <c r="AA166" s="639"/>
      <c r="AB166" s="639"/>
    </row>
    <row r="167" spans="1:28">
      <c r="A167" s="639"/>
      <c r="B167" s="639"/>
      <c r="C167" s="639"/>
      <c r="D167" s="639"/>
      <c r="E167" s="639"/>
      <c r="F167" s="639"/>
      <c r="G167" s="639"/>
      <c r="H167" s="639"/>
      <c r="I167" s="639"/>
      <c r="J167" s="639"/>
      <c r="K167" s="639"/>
      <c r="L167" s="639"/>
      <c r="M167" s="639"/>
      <c r="N167" s="639"/>
      <c r="O167" s="639"/>
      <c r="P167" s="639"/>
      <c r="Q167" s="639"/>
      <c r="R167" s="639"/>
      <c r="S167" s="639"/>
      <c r="T167" s="639"/>
      <c r="U167" s="639"/>
      <c r="V167" s="639"/>
      <c r="W167" s="639"/>
      <c r="X167" s="639"/>
      <c r="Y167" s="639"/>
      <c r="Z167" s="639"/>
      <c r="AA167" s="639"/>
      <c r="AB167" s="639"/>
    </row>
    <row r="168" spans="1:28">
      <c r="A168" s="639"/>
      <c r="B168" s="639"/>
      <c r="C168" s="639"/>
      <c r="D168" s="639"/>
      <c r="E168" s="639"/>
      <c r="F168" s="639"/>
      <c r="G168" s="639"/>
      <c r="H168" s="639"/>
      <c r="I168" s="639"/>
      <c r="J168" s="639"/>
      <c r="K168" s="639"/>
      <c r="L168" s="639"/>
      <c r="M168" s="639"/>
      <c r="N168" s="639"/>
      <c r="O168" s="639"/>
      <c r="P168" s="639"/>
      <c r="Q168" s="639"/>
      <c r="R168" s="639"/>
      <c r="S168" s="639"/>
      <c r="T168" s="639"/>
      <c r="U168" s="639"/>
      <c r="V168" s="639"/>
      <c r="W168" s="639"/>
      <c r="X168" s="639"/>
      <c r="Y168" s="639"/>
      <c r="Z168" s="639"/>
      <c r="AA168" s="639"/>
      <c r="AB168" s="639"/>
    </row>
    <row r="169" spans="1:28">
      <c r="A169" s="639"/>
      <c r="B169" s="639"/>
      <c r="C169" s="639"/>
      <c r="D169" s="639"/>
      <c r="E169" s="639"/>
      <c r="F169" s="639"/>
      <c r="G169" s="639"/>
      <c r="H169" s="639"/>
      <c r="I169" s="639"/>
      <c r="J169" s="639"/>
      <c r="K169" s="639"/>
      <c r="L169" s="639"/>
      <c r="M169" s="639"/>
      <c r="N169" s="639"/>
      <c r="O169" s="639"/>
      <c r="P169" s="639"/>
      <c r="Q169" s="639"/>
      <c r="R169" s="639"/>
      <c r="S169" s="639"/>
      <c r="T169" s="639"/>
      <c r="U169" s="639"/>
      <c r="V169" s="639"/>
      <c r="W169" s="639"/>
      <c r="X169" s="639"/>
      <c r="Y169" s="639"/>
      <c r="Z169" s="639"/>
      <c r="AA169" s="639"/>
      <c r="AB169" s="639"/>
    </row>
    <row r="170" spans="1:28">
      <c r="A170" s="639"/>
      <c r="B170" s="639"/>
      <c r="C170" s="639"/>
      <c r="D170" s="639"/>
      <c r="E170" s="639"/>
      <c r="F170" s="639"/>
      <c r="G170" s="639"/>
      <c r="H170" s="639"/>
      <c r="I170" s="639"/>
      <c r="J170" s="639"/>
      <c r="K170" s="639"/>
      <c r="L170" s="639"/>
      <c r="M170" s="639"/>
      <c r="N170" s="639"/>
      <c r="O170" s="639"/>
      <c r="P170" s="639"/>
      <c r="Q170" s="639"/>
      <c r="R170" s="639"/>
      <c r="S170" s="639"/>
      <c r="T170" s="639"/>
      <c r="U170" s="639"/>
      <c r="V170" s="639"/>
      <c r="W170" s="639"/>
      <c r="X170" s="639"/>
      <c r="Y170" s="639"/>
      <c r="Z170" s="639"/>
      <c r="AA170" s="639"/>
      <c r="AB170" s="639"/>
    </row>
    <row r="171" spans="1:28">
      <c r="A171" s="639"/>
      <c r="B171" s="639"/>
      <c r="C171" s="639"/>
      <c r="D171" s="639"/>
      <c r="E171" s="639"/>
      <c r="F171" s="639"/>
      <c r="G171" s="639"/>
      <c r="H171" s="639"/>
      <c r="I171" s="639"/>
      <c r="J171" s="639"/>
      <c r="K171" s="639"/>
      <c r="L171" s="639"/>
      <c r="M171" s="639"/>
      <c r="N171" s="639"/>
      <c r="O171" s="639"/>
      <c r="P171" s="639"/>
      <c r="Q171" s="639"/>
      <c r="R171" s="639"/>
      <c r="S171" s="639"/>
      <c r="T171" s="639"/>
      <c r="U171" s="639"/>
      <c r="V171" s="639"/>
      <c r="W171" s="639"/>
      <c r="X171" s="639"/>
      <c r="Y171" s="639"/>
      <c r="Z171" s="639"/>
      <c r="AA171" s="639"/>
      <c r="AB171" s="639"/>
    </row>
    <row r="172" spans="1:28">
      <c r="A172" s="639"/>
      <c r="B172" s="639"/>
      <c r="C172" s="639"/>
      <c r="D172" s="639"/>
      <c r="E172" s="639"/>
      <c r="F172" s="639"/>
      <c r="G172" s="639"/>
      <c r="H172" s="639"/>
      <c r="I172" s="639"/>
      <c r="J172" s="639"/>
      <c r="K172" s="639"/>
      <c r="L172" s="639"/>
      <c r="M172" s="639"/>
      <c r="N172" s="639"/>
      <c r="O172" s="639"/>
      <c r="P172" s="639"/>
      <c r="Q172" s="639"/>
      <c r="R172" s="639"/>
      <c r="S172" s="639"/>
      <c r="T172" s="639"/>
      <c r="U172" s="639"/>
      <c r="V172" s="639"/>
      <c r="W172" s="639"/>
      <c r="X172" s="639"/>
      <c r="Y172" s="639"/>
      <c r="Z172" s="639"/>
      <c r="AA172" s="639"/>
      <c r="AB172" s="639"/>
    </row>
    <row r="173" spans="1:28">
      <c r="A173" s="639"/>
      <c r="B173" s="639"/>
      <c r="C173" s="639"/>
      <c r="D173" s="639"/>
      <c r="E173" s="639"/>
      <c r="F173" s="639"/>
      <c r="G173" s="639"/>
      <c r="H173" s="639"/>
      <c r="I173" s="639"/>
      <c r="J173" s="639"/>
      <c r="K173" s="639"/>
      <c r="L173" s="639"/>
      <c r="M173" s="639"/>
      <c r="N173" s="639"/>
      <c r="O173" s="639"/>
      <c r="P173" s="639"/>
      <c r="Q173" s="639"/>
      <c r="R173" s="639"/>
      <c r="S173" s="639"/>
      <c r="T173" s="639"/>
      <c r="U173" s="639"/>
      <c r="V173" s="639"/>
      <c r="W173" s="639"/>
      <c r="X173" s="639"/>
      <c r="Y173" s="639"/>
      <c r="Z173" s="639"/>
      <c r="AA173" s="639"/>
      <c r="AB173" s="639"/>
    </row>
    <row r="174" spans="1:28">
      <c r="A174" s="639"/>
      <c r="B174" s="639"/>
      <c r="C174" s="639"/>
      <c r="D174" s="639"/>
      <c r="E174" s="639"/>
      <c r="F174" s="639"/>
      <c r="G174" s="639"/>
      <c r="H174" s="639"/>
      <c r="I174" s="639"/>
      <c r="J174" s="639"/>
      <c r="K174" s="639"/>
      <c r="L174" s="639"/>
      <c r="M174" s="639"/>
      <c r="N174" s="639"/>
      <c r="O174" s="639"/>
      <c r="P174" s="639"/>
      <c r="Q174" s="639"/>
      <c r="R174" s="639"/>
      <c r="S174" s="639"/>
      <c r="T174" s="639"/>
      <c r="U174" s="639"/>
      <c r="V174" s="639"/>
      <c r="W174" s="639"/>
      <c r="X174" s="639"/>
      <c r="Y174" s="639"/>
      <c r="Z174" s="639"/>
      <c r="AA174" s="639"/>
      <c r="AB174" s="639"/>
    </row>
    <row r="175" spans="1:28">
      <c r="A175" s="639"/>
      <c r="B175" s="639"/>
      <c r="C175" s="639"/>
      <c r="D175" s="639"/>
      <c r="E175" s="639"/>
      <c r="F175" s="639"/>
      <c r="G175" s="639"/>
      <c r="H175" s="639"/>
      <c r="I175" s="639"/>
      <c r="J175" s="639"/>
      <c r="K175" s="639"/>
      <c r="L175" s="639"/>
      <c r="M175" s="639"/>
      <c r="N175" s="639"/>
      <c r="O175" s="639"/>
      <c r="P175" s="639"/>
      <c r="Q175" s="639"/>
      <c r="R175" s="639"/>
      <c r="S175" s="639"/>
      <c r="T175" s="639"/>
      <c r="U175" s="639"/>
      <c r="V175" s="639"/>
      <c r="W175" s="639"/>
      <c r="X175" s="639"/>
      <c r="Y175" s="639"/>
      <c r="Z175" s="639"/>
      <c r="AA175" s="639"/>
      <c r="AB175" s="639"/>
    </row>
    <row r="176" spans="1:28">
      <c r="A176" s="639"/>
      <c r="B176" s="639"/>
      <c r="C176" s="639"/>
      <c r="D176" s="639"/>
      <c r="E176" s="639"/>
      <c r="F176" s="639"/>
      <c r="G176" s="639"/>
      <c r="H176" s="639"/>
      <c r="I176" s="639"/>
      <c r="J176" s="639"/>
      <c r="K176" s="639"/>
      <c r="L176" s="639"/>
      <c r="M176" s="639"/>
      <c r="N176" s="639"/>
      <c r="O176" s="639"/>
      <c r="P176" s="639"/>
      <c r="Q176" s="639"/>
      <c r="R176" s="639"/>
      <c r="S176" s="639"/>
      <c r="T176" s="639"/>
      <c r="U176" s="639"/>
      <c r="V176" s="639"/>
      <c r="W176" s="639"/>
      <c r="X176" s="639"/>
      <c r="Y176" s="639"/>
      <c r="Z176" s="639"/>
      <c r="AA176" s="639"/>
      <c r="AB176" s="639"/>
    </row>
    <row r="177" spans="1:28">
      <c r="A177" s="639"/>
      <c r="B177" s="639"/>
      <c r="C177" s="639"/>
      <c r="D177" s="639"/>
      <c r="E177" s="639"/>
      <c r="F177" s="639"/>
      <c r="G177" s="639"/>
      <c r="H177" s="639"/>
      <c r="I177" s="639"/>
      <c r="J177" s="639"/>
      <c r="K177" s="639"/>
      <c r="L177" s="639"/>
      <c r="M177" s="639"/>
      <c r="N177" s="639"/>
      <c r="O177" s="639"/>
      <c r="P177" s="639"/>
      <c r="Q177" s="639"/>
      <c r="R177" s="639"/>
      <c r="S177" s="639"/>
      <c r="T177" s="639"/>
      <c r="U177" s="639"/>
      <c r="V177" s="639"/>
      <c r="W177" s="639"/>
      <c r="X177" s="639"/>
      <c r="Y177" s="639"/>
      <c r="Z177" s="639"/>
      <c r="AA177" s="639"/>
      <c r="AB177" s="639"/>
    </row>
    <row r="178" spans="1:28">
      <c r="A178" s="639"/>
      <c r="B178" s="639"/>
      <c r="C178" s="639"/>
      <c r="D178" s="639"/>
      <c r="E178" s="639"/>
      <c r="F178" s="639"/>
      <c r="G178" s="639"/>
      <c r="H178" s="639"/>
      <c r="I178" s="639"/>
      <c r="J178" s="639"/>
      <c r="K178" s="639"/>
      <c r="L178" s="639"/>
      <c r="M178" s="639"/>
      <c r="N178" s="639"/>
      <c r="O178" s="639"/>
      <c r="P178" s="639"/>
      <c r="Q178" s="639"/>
      <c r="R178" s="639"/>
      <c r="S178" s="639"/>
      <c r="T178" s="639"/>
      <c r="U178" s="639"/>
      <c r="V178" s="639"/>
      <c r="W178" s="639"/>
      <c r="X178" s="639"/>
      <c r="Y178" s="639"/>
      <c r="Z178" s="639"/>
      <c r="AA178" s="639"/>
      <c r="AB178" s="639"/>
    </row>
    <row r="179" spans="1:28">
      <c r="A179" s="639"/>
      <c r="B179" s="639"/>
      <c r="C179" s="639"/>
      <c r="D179" s="639"/>
      <c r="E179" s="639"/>
      <c r="F179" s="639"/>
      <c r="G179" s="639"/>
      <c r="H179" s="639"/>
      <c r="I179" s="639"/>
      <c r="J179" s="639"/>
      <c r="K179" s="639"/>
      <c r="L179" s="639"/>
      <c r="M179" s="639"/>
      <c r="N179" s="639"/>
      <c r="O179" s="639"/>
      <c r="P179" s="639"/>
      <c r="Q179" s="639"/>
      <c r="R179" s="639"/>
      <c r="S179" s="639"/>
      <c r="T179" s="639"/>
      <c r="U179" s="639"/>
      <c r="V179" s="639"/>
      <c r="W179" s="639"/>
      <c r="X179" s="639"/>
      <c r="Y179" s="639"/>
      <c r="Z179" s="639"/>
      <c r="AA179" s="639"/>
      <c r="AB179" s="639"/>
    </row>
    <row r="180" spans="1:28">
      <c r="A180" s="639"/>
      <c r="B180" s="639"/>
      <c r="C180" s="639"/>
      <c r="D180" s="639"/>
      <c r="E180" s="639"/>
      <c r="F180" s="639"/>
      <c r="G180" s="639"/>
      <c r="H180" s="639"/>
      <c r="I180" s="639"/>
      <c r="J180" s="639"/>
      <c r="K180" s="639"/>
      <c r="L180" s="639"/>
      <c r="M180" s="639"/>
      <c r="N180" s="639"/>
      <c r="O180" s="639"/>
      <c r="P180" s="639"/>
      <c r="Q180" s="639"/>
      <c r="R180" s="639"/>
      <c r="S180" s="639"/>
      <c r="T180" s="639"/>
      <c r="U180" s="639"/>
      <c r="V180" s="639"/>
      <c r="W180" s="639"/>
      <c r="X180" s="639"/>
      <c r="Y180" s="639"/>
      <c r="Z180" s="639"/>
      <c r="AA180" s="639"/>
      <c r="AB180" s="639"/>
    </row>
    <row r="181" spans="1:28">
      <c r="A181" s="639"/>
      <c r="B181" s="639"/>
      <c r="C181" s="639"/>
      <c r="D181" s="639"/>
      <c r="E181" s="639"/>
      <c r="F181" s="639"/>
      <c r="G181" s="639"/>
      <c r="H181" s="639"/>
      <c r="I181" s="639"/>
      <c r="J181" s="639"/>
      <c r="K181" s="639"/>
      <c r="L181" s="639"/>
      <c r="M181" s="639"/>
      <c r="N181" s="639"/>
      <c r="O181" s="639"/>
      <c r="P181" s="639"/>
      <c r="Q181" s="639"/>
      <c r="R181" s="639"/>
      <c r="S181" s="639"/>
      <c r="T181" s="639"/>
      <c r="U181" s="639"/>
      <c r="V181" s="639"/>
      <c r="W181" s="639"/>
      <c r="X181" s="639"/>
      <c r="Y181" s="639"/>
      <c r="Z181" s="639"/>
      <c r="AA181" s="639"/>
      <c r="AB181" s="639"/>
    </row>
    <row r="182" spans="1:28">
      <c r="A182" s="639"/>
      <c r="B182" s="639"/>
      <c r="C182" s="639"/>
      <c r="D182" s="639"/>
      <c r="E182" s="639"/>
      <c r="F182" s="639"/>
      <c r="G182" s="639"/>
      <c r="H182" s="639"/>
      <c r="I182" s="639"/>
      <c r="J182" s="639"/>
      <c r="K182" s="639"/>
      <c r="L182" s="639"/>
      <c r="M182" s="639"/>
      <c r="N182" s="639"/>
      <c r="O182" s="639"/>
      <c r="P182" s="639"/>
      <c r="Q182" s="639"/>
      <c r="R182" s="639"/>
      <c r="S182" s="639"/>
      <c r="T182" s="639"/>
      <c r="U182" s="639"/>
      <c r="V182" s="639"/>
      <c r="W182" s="639"/>
      <c r="X182" s="639"/>
      <c r="Y182" s="639"/>
      <c r="Z182" s="639"/>
      <c r="AA182" s="639"/>
      <c r="AB182" s="639"/>
    </row>
    <row r="183" spans="1:28">
      <c r="A183" s="639"/>
      <c r="B183" s="639"/>
      <c r="C183" s="639"/>
      <c r="D183" s="639"/>
      <c r="E183" s="639"/>
      <c r="F183" s="639"/>
      <c r="G183" s="639"/>
      <c r="H183" s="639"/>
      <c r="I183" s="639"/>
      <c r="J183" s="639"/>
      <c r="K183" s="639"/>
      <c r="L183" s="639"/>
      <c r="M183" s="639"/>
      <c r="N183" s="639"/>
      <c r="O183" s="639"/>
      <c r="P183" s="639"/>
      <c r="Q183" s="639"/>
      <c r="R183" s="639"/>
      <c r="S183" s="639"/>
      <c r="T183" s="639"/>
      <c r="U183" s="639"/>
      <c r="V183" s="639"/>
      <c r="W183" s="639"/>
      <c r="X183" s="639"/>
      <c r="Y183" s="639"/>
      <c r="Z183" s="639"/>
      <c r="AA183" s="639"/>
      <c r="AB183" s="639"/>
    </row>
    <row r="184" spans="1:28">
      <c r="A184" s="639"/>
      <c r="B184" s="639"/>
      <c r="C184" s="639"/>
      <c r="D184" s="639"/>
      <c r="E184" s="639"/>
      <c r="F184" s="639"/>
      <c r="G184" s="639"/>
      <c r="H184" s="639"/>
      <c r="I184" s="639"/>
      <c r="J184" s="639"/>
      <c r="K184" s="639"/>
      <c r="L184" s="639"/>
      <c r="M184" s="639"/>
      <c r="N184" s="639"/>
      <c r="O184" s="639"/>
      <c r="P184" s="639"/>
      <c r="Q184" s="639"/>
      <c r="R184" s="639"/>
      <c r="S184" s="639"/>
      <c r="T184" s="639"/>
      <c r="U184" s="639"/>
      <c r="V184" s="639"/>
      <c r="W184" s="639"/>
      <c r="X184" s="639"/>
      <c r="Y184" s="639"/>
      <c r="Z184" s="639"/>
      <c r="AA184" s="639"/>
      <c r="AB184" s="639"/>
    </row>
    <row r="185" spans="1:28">
      <c r="A185" s="639"/>
      <c r="B185" s="639"/>
      <c r="C185" s="639"/>
      <c r="D185" s="639"/>
      <c r="E185" s="639"/>
      <c r="F185" s="639"/>
      <c r="G185" s="639"/>
      <c r="H185" s="639"/>
      <c r="I185" s="639"/>
      <c r="J185" s="639"/>
      <c r="K185" s="639"/>
      <c r="L185" s="639"/>
      <c r="M185" s="639"/>
      <c r="N185" s="639"/>
      <c r="O185" s="639"/>
      <c r="P185" s="639"/>
      <c r="Q185" s="639"/>
      <c r="R185" s="639"/>
      <c r="S185" s="639"/>
      <c r="T185" s="639"/>
      <c r="U185" s="639"/>
      <c r="V185" s="639"/>
      <c r="W185" s="639"/>
      <c r="X185" s="639"/>
      <c r="Y185" s="639"/>
      <c r="Z185" s="639"/>
      <c r="AA185" s="639"/>
      <c r="AB185" s="639"/>
    </row>
    <row r="186" spans="1:28">
      <c r="A186" s="639"/>
      <c r="B186" s="639"/>
      <c r="C186" s="639"/>
      <c r="D186" s="639"/>
      <c r="E186" s="639"/>
      <c r="F186" s="639"/>
      <c r="G186" s="639"/>
      <c r="H186" s="639"/>
      <c r="I186" s="639"/>
      <c r="J186" s="639"/>
      <c r="K186" s="639"/>
      <c r="L186" s="639"/>
      <c r="M186" s="639"/>
      <c r="N186" s="639"/>
      <c r="O186" s="639"/>
      <c r="P186" s="639"/>
      <c r="Q186" s="639"/>
      <c r="R186" s="639"/>
      <c r="S186" s="639"/>
      <c r="T186" s="639"/>
      <c r="U186" s="639"/>
      <c r="V186" s="639"/>
      <c r="W186" s="639"/>
      <c r="X186" s="639"/>
      <c r="Y186" s="639"/>
      <c r="Z186" s="639"/>
      <c r="AA186" s="639"/>
      <c r="AB186" s="639"/>
    </row>
    <row r="187" spans="1:28">
      <c r="A187" s="639"/>
      <c r="B187" s="639"/>
      <c r="C187" s="639"/>
      <c r="D187" s="639"/>
      <c r="E187" s="639"/>
      <c r="F187" s="639"/>
      <c r="G187" s="639"/>
      <c r="H187" s="639"/>
      <c r="I187" s="639"/>
      <c r="J187" s="639"/>
      <c r="K187" s="639"/>
      <c r="L187" s="639"/>
      <c r="M187" s="639"/>
      <c r="N187" s="639"/>
      <c r="O187" s="639"/>
      <c r="P187" s="639"/>
      <c r="Q187" s="639"/>
      <c r="R187" s="639"/>
      <c r="S187" s="639"/>
      <c r="T187" s="639"/>
      <c r="U187" s="639"/>
      <c r="V187" s="639"/>
      <c r="W187" s="639"/>
      <c r="X187" s="639"/>
      <c r="Y187" s="639"/>
      <c r="Z187" s="639"/>
      <c r="AA187" s="639"/>
      <c r="AB187" s="639"/>
    </row>
    <row r="188" spans="1:28">
      <c r="A188" s="639"/>
      <c r="B188" s="639"/>
      <c r="C188" s="639"/>
      <c r="D188" s="639"/>
      <c r="E188" s="639"/>
      <c r="F188" s="639"/>
      <c r="G188" s="639"/>
      <c r="H188" s="639"/>
      <c r="I188" s="639"/>
      <c r="J188" s="639"/>
      <c r="K188" s="639"/>
      <c r="L188" s="639"/>
      <c r="M188" s="639"/>
      <c r="N188" s="639"/>
      <c r="O188" s="639"/>
      <c r="P188" s="639"/>
      <c r="Q188" s="639"/>
      <c r="R188" s="639"/>
      <c r="S188" s="639"/>
      <c r="T188" s="639"/>
      <c r="U188" s="639"/>
      <c r="V188" s="639"/>
      <c r="W188" s="639"/>
      <c r="X188" s="639"/>
      <c r="Y188" s="639"/>
      <c r="Z188" s="639"/>
      <c r="AA188" s="639"/>
      <c r="AB188" s="639"/>
    </row>
    <row r="189" spans="1:28">
      <c r="A189" s="639"/>
      <c r="B189" s="639"/>
      <c r="C189" s="639"/>
      <c r="D189" s="639"/>
      <c r="E189" s="639"/>
      <c r="F189" s="639"/>
      <c r="G189" s="639"/>
      <c r="H189" s="639"/>
      <c r="I189" s="639"/>
      <c r="J189" s="639"/>
      <c r="K189" s="639"/>
      <c r="L189" s="639"/>
      <c r="M189" s="639"/>
      <c r="N189" s="639"/>
      <c r="O189" s="639"/>
      <c r="P189" s="639"/>
      <c r="Q189" s="639"/>
      <c r="R189" s="639"/>
      <c r="S189" s="639"/>
      <c r="T189" s="639"/>
      <c r="U189" s="639"/>
      <c r="V189" s="639"/>
      <c r="W189" s="639"/>
      <c r="X189" s="639"/>
      <c r="Y189" s="639"/>
      <c r="Z189" s="639"/>
      <c r="AA189" s="639"/>
      <c r="AB189" s="639"/>
    </row>
    <row r="190" spans="1:28">
      <c r="A190" s="639"/>
      <c r="B190" s="639"/>
      <c r="C190" s="639"/>
      <c r="D190" s="639"/>
      <c r="E190" s="639"/>
      <c r="F190" s="639"/>
      <c r="G190" s="639"/>
      <c r="H190" s="639"/>
      <c r="I190" s="639"/>
      <c r="J190" s="639"/>
      <c r="K190" s="639"/>
      <c r="L190" s="639"/>
      <c r="M190" s="639"/>
      <c r="N190" s="639"/>
      <c r="O190" s="639"/>
      <c r="P190" s="639"/>
      <c r="Q190" s="639"/>
      <c r="R190" s="639"/>
      <c r="S190" s="639"/>
      <c r="T190" s="639"/>
      <c r="U190" s="639"/>
      <c r="V190" s="639"/>
      <c r="W190" s="639"/>
      <c r="X190" s="639"/>
      <c r="Y190" s="639"/>
      <c r="Z190" s="639"/>
      <c r="AA190" s="639"/>
      <c r="AB190" s="639"/>
    </row>
    <row r="191" spans="1:28">
      <c r="A191" s="639"/>
      <c r="B191" s="639"/>
      <c r="C191" s="639"/>
      <c r="D191" s="639"/>
      <c r="E191" s="639"/>
      <c r="F191" s="639"/>
      <c r="G191" s="639"/>
      <c r="H191" s="639"/>
      <c r="I191" s="639"/>
      <c r="J191" s="639"/>
      <c r="K191" s="639"/>
      <c r="L191" s="639"/>
      <c r="M191" s="639"/>
      <c r="N191" s="639"/>
      <c r="O191" s="639"/>
      <c r="P191" s="639"/>
      <c r="Q191" s="639"/>
      <c r="R191" s="639"/>
      <c r="S191" s="639"/>
      <c r="T191" s="639"/>
      <c r="U191" s="639"/>
      <c r="V191" s="639"/>
      <c r="W191" s="639"/>
      <c r="X191" s="639"/>
      <c r="Y191" s="639"/>
      <c r="Z191" s="639"/>
      <c r="AA191" s="639"/>
      <c r="AB191" s="639"/>
    </row>
    <row r="192" spans="1:28">
      <c r="A192" s="639"/>
      <c r="B192" s="639"/>
      <c r="C192" s="639"/>
      <c r="D192" s="639"/>
      <c r="E192" s="639"/>
      <c r="F192" s="639"/>
      <c r="G192" s="639"/>
      <c r="H192" s="639"/>
      <c r="I192" s="639"/>
      <c r="J192" s="639"/>
      <c r="K192" s="639"/>
      <c r="L192" s="639"/>
      <c r="M192" s="639"/>
      <c r="N192" s="639"/>
      <c r="O192" s="639"/>
      <c r="P192" s="639"/>
      <c r="Q192" s="639"/>
      <c r="R192" s="639"/>
      <c r="S192" s="639"/>
      <c r="T192" s="639"/>
      <c r="U192" s="639"/>
      <c r="V192" s="639"/>
      <c r="W192" s="639"/>
      <c r="X192" s="639"/>
      <c r="Y192" s="639"/>
      <c r="Z192" s="639"/>
      <c r="AA192" s="639"/>
      <c r="AB192" s="639"/>
    </row>
    <row r="193" spans="1:28">
      <c r="A193" s="639"/>
      <c r="B193" s="639"/>
      <c r="C193" s="639"/>
      <c r="D193" s="639"/>
      <c r="E193" s="639"/>
      <c r="F193" s="639"/>
      <c r="G193" s="639"/>
      <c r="H193" s="639"/>
      <c r="I193" s="639"/>
      <c r="J193" s="639"/>
      <c r="K193" s="639"/>
      <c r="L193" s="639"/>
      <c r="M193" s="639"/>
      <c r="N193" s="639"/>
      <c r="O193" s="639"/>
      <c r="P193" s="639"/>
      <c r="Q193" s="639"/>
      <c r="R193" s="639"/>
      <c r="S193" s="639"/>
      <c r="T193" s="639"/>
      <c r="U193" s="639"/>
      <c r="V193" s="639"/>
      <c r="W193" s="639"/>
      <c r="X193" s="639"/>
      <c r="Y193" s="639"/>
      <c r="Z193" s="639"/>
      <c r="AA193" s="639"/>
      <c r="AB193" s="639"/>
    </row>
    <row r="194" spans="1:28">
      <c r="A194" s="639"/>
      <c r="B194" s="639"/>
      <c r="C194" s="639"/>
      <c r="D194" s="639"/>
      <c r="E194" s="639"/>
      <c r="F194" s="639"/>
      <c r="G194" s="639"/>
      <c r="H194" s="639"/>
      <c r="I194" s="639"/>
      <c r="J194" s="639"/>
      <c r="K194" s="639"/>
      <c r="L194" s="639"/>
      <c r="M194" s="639"/>
      <c r="N194" s="639"/>
      <c r="O194" s="639"/>
      <c r="P194" s="639"/>
      <c r="Q194" s="639"/>
      <c r="R194" s="639"/>
      <c r="S194" s="639"/>
      <c r="T194" s="639"/>
      <c r="U194" s="639"/>
      <c r="V194" s="639"/>
      <c r="W194" s="639"/>
      <c r="X194" s="639"/>
      <c r="Y194" s="639"/>
      <c r="Z194" s="639"/>
      <c r="AA194" s="639"/>
      <c r="AB194" s="639"/>
    </row>
    <row r="195" spans="1:28">
      <c r="A195" s="639"/>
      <c r="B195" s="639"/>
      <c r="C195" s="639"/>
      <c r="D195" s="639"/>
      <c r="E195" s="639"/>
      <c r="F195" s="639"/>
      <c r="G195" s="639"/>
      <c r="H195" s="639"/>
      <c r="I195" s="639"/>
      <c r="J195" s="639"/>
      <c r="K195" s="639"/>
      <c r="L195" s="639"/>
      <c r="M195" s="639"/>
      <c r="N195" s="639"/>
      <c r="O195" s="639"/>
      <c r="P195" s="639"/>
      <c r="Q195" s="639"/>
      <c r="R195" s="639"/>
      <c r="S195" s="639"/>
      <c r="T195" s="639"/>
      <c r="U195" s="639"/>
      <c r="V195" s="639"/>
      <c r="W195" s="639"/>
      <c r="X195" s="639"/>
      <c r="Y195" s="639"/>
      <c r="Z195" s="639"/>
      <c r="AA195" s="639"/>
      <c r="AB195" s="639"/>
    </row>
    <row r="196" spans="1:28">
      <c r="A196" s="639"/>
      <c r="B196" s="639"/>
      <c r="C196" s="639"/>
      <c r="D196" s="639"/>
      <c r="E196" s="639"/>
      <c r="F196" s="639"/>
      <c r="G196" s="639"/>
      <c r="H196" s="639"/>
      <c r="I196" s="639"/>
      <c r="J196" s="639"/>
      <c r="K196" s="639"/>
      <c r="L196" s="639"/>
      <c r="M196" s="639"/>
      <c r="N196" s="639"/>
      <c r="O196" s="639"/>
      <c r="P196" s="639"/>
      <c r="Q196" s="639"/>
      <c r="R196" s="639"/>
      <c r="S196" s="639"/>
      <c r="T196" s="639"/>
      <c r="U196" s="639"/>
      <c r="V196" s="639"/>
      <c r="W196" s="639"/>
      <c r="X196" s="639"/>
      <c r="Y196" s="639"/>
      <c r="Z196" s="639"/>
      <c r="AA196" s="639"/>
      <c r="AB196" s="639"/>
    </row>
    <row r="197" spans="1:28">
      <c r="A197" s="639"/>
      <c r="B197" s="639"/>
      <c r="C197" s="639"/>
      <c r="D197" s="639"/>
      <c r="E197" s="639"/>
      <c r="F197" s="639"/>
      <c r="G197" s="639"/>
      <c r="H197" s="639"/>
      <c r="I197" s="639"/>
      <c r="J197" s="639"/>
      <c r="K197" s="639"/>
      <c r="L197" s="639"/>
      <c r="M197" s="639"/>
      <c r="N197" s="639"/>
      <c r="O197" s="639"/>
      <c r="P197" s="639"/>
      <c r="Q197" s="639"/>
      <c r="R197" s="639"/>
      <c r="S197" s="639"/>
      <c r="T197" s="639"/>
      <c r="U197" s="639"/>
      <c r="V197" s="639"/>
      <c r="W197" s="639"/>
      <c r="X197" s="639"/>
      <c r="Y197" s="639"/>
      <c r="Z197" s="639"/>
      <c r="AA197" s="639"/>
      <c r="AB197" s="639"/>
    </row>
    <row r="198" spans="1:28">
      <c r="A198" s="639"/>
      <c r="B198" s="639"/>
      <c r="C198" s="639"/>
      <c r="D198" s="639"/>
      <c r="E198" s="639"/>
      <c r="F198" s="639"/>
      <c r="G198" s="639"/>
      <c r="H198" s="639"/>
      <c r="I198" s="639"/>
      <c r="J198" s="639"/>
      <c r="K198" s="639"/>
      <c r="L198" s="639"/>
      <c r="M198" s="639"/>
      <c r="N198" s="639"/>
      <c r="O198" s="639"/>
      <c r="P198" s="639"/>
      <c r="Q198" s="639"/>
      <c r="R198" s="639"/>
      <c r="S198" s="639"/>
      <c r="T198" s="639"/>
      <c r="U198" s="639"/>
      <c r="V198" s="639"/>
      <c r="W198" s="639"/>
      <c r="X198" s="639"/>
      <c r="Y198" s="639"/>
      <c r="Z198" s="639"/>
      <c r="AA198" s="639"/>
      <c r="AB198" s="639"/>
    </row>
    <row r="199" spans="1:28">
      <c r="A199" s="639"/>
      <c r="B199" s="639"/>
      <c r="C199" s="639"/>
      <c r="D199" s="639"/>
      <c r="E199" s="639"/>
      <c r="F199" s="639"/>
      <c r="G199" s="639"/>
      <c r="H199" s="639"/>
      <c r="I199" s="639"/>
      <c r="J199" s="639"/>
      <c r="K199" s="639"/>
      <c r="L199" s="639"/>
      <c r="M199" s="639"/>
      <c r="N199" s="639"/>
      <c r="O199" s="639"/>
      <c r="P199" s="639"/>
      <c r="Q199" s="639"/>
      <c r="R199" s="639"/>
      <c r="S199" s="639"/>
      <c r="T199" s="639"/>
      <c r="U199" s="639"/>
      <c r="V199" s="639"/>
      <c r="W199" s="639"/>
      <c r="X199" s="639"/>
      <c r="Y199" s="639"/>
      <c r="Z199" s="639"/>
      <c r="AA199" s="639"/>
      <c r="AB199" s="639"/>
    </row>
    <row r="200" spans="1:28">
      <c r="A200" s="639"/>
      <c r="B200" s="639"/>
      <c r="C200" s="639"/>
      <c r="D200" s="639"/>
      <c r="E200" s="639"/>
      <c r="F200" s="639"/>
      <c r="G200" s="639"/>
      <c r="H200" s="639"/>
      <c r="I200" s="639"/>
      <c r="J200" s="639"/>
      <c r="K200" s="639"/>
      <c r="L200" s="639"/>
      <c r="M200" s="639"/>
      <c r="N200" s="639"/>
      <c r="O200" s="639"/>
      <c r="P200" s="639"/>
      <c r="Q200" s="639"/>
      <c r="R200" s="639"/>
      <c r="S200" s="639"/>
      <c r="T200" s="639"/>
      <c r="U200" s="639"/>
      <c r="V200" s="639"/>
      <c r="W200" s="639"/>
      <c r="X200" s="639"/>
      <c r="Y200" s="639"/>
      <c r="Z200" s="639"/>
      <c r="AA200" s="639"/>
      <c r="AB200" s="639"/>
    </row>
    <row r="201" spans="1:28">
      <c r="A201" s="639"/>
      <c r="B201" s="639"/>
      <c r="C201" s="639"/>
      <c r="D201" s="639"/>
      <c r="E201" s="639"/>
      <c r="F201" s="639"/>
      <c r="G201" s="639"/>
      <c r="H201" s="639"/>
      <c r="I201" s="639"/>
      <c r="J201" s="639"/>
      <c r="K201" s="639"/>
      <c r="L201" s="639"/>
      <c r="M201" s="639"/>
      <c r="N201" s="639"/>
      <c r="O201" s="639"/>
      <c r="P201" s="639"/>
      <c r="Q201" s="639"/>
      <c r="R201" s="639"/>
      <c r="S201" s="639"/>
      <c r="T201" s="639"/>
      <c r="U201" s="639"/>
      <c r="V201" s="639"/>
      <c r="W201" s="639"/>
      <c r="X201" s="639"/>
      <c r="Y201" s="639"/>
      <c r="Z201" s="639"/>
      <c r="AA201" s="639"/>
      <c r="AB201" s="639"/>
    </row>
    <row r="202" spans="1:28">
      <c r="A202" s="639"/>
      <c r="B202" s="639"/>
      <c r="C202" s="639"/>
      <c r="D202" s="639"/>
      <c r="E202" s="639"/>
      <c r="F202" s="639"/>
      <c r="G202" s="639"/>
      <c r="H202" s="639"/>
      <c r="I202" s="639"/>
      <c r="J202" s="639"/>
      <c r="K202" s="639"/>
      <c r="L202" s="639"/>
      <c r="M202" s="639"/>
      <c r="N202" s="639"/>
      <c r="O202" s="639"/>
      <c r="P202" s="639"/>
      <c r="Q202" s="639"/>
      <c r="R202" s="639"/>
      <c r="S202" s="639"/>
      <c r="T202" s="639"/>
      <c r="U202" s="639"/>
      <c r="V202" s="639"/>
      <c r="W202" s="639"/>
      <c r="X202" s="639"/>
      <c r="Y202" s="639"/>
      <c r="Z202" s="639"/>
      <c r="AA202" s="639"/>
      <c r="AB202" s="639"/>
    </row>
    <row r="203" spans="1:28">
      <c r="A203" s="639"/>
      <c r="B203" s="639"/>
      <c r="C203" s="639"/>
      <c r="D203" s="639"/>
      <c r="E203" s="639"/>
      <c r="F203" s="639"/>
      <c r="G203" s="639"/>
      <c r="H203" s="639"/>
      <c r="I203" s="639"/>
      <c r="J203" s="639"/>
      <c r="K203" s="639"/>
      <c r="L203" s="639"/>
      <c r="M203" s="639"/>
      <c r="N203" s="639"/>
      <c r="O203" s="639"/>
      <c r="P203" s="639"/>
      <c r="Q203" s="639"/>
      <c r="R203" s="639"/>
      <c r="S203" s="639"/>
      <c r="T203" s="639"/>
      <c r="U203" s="639"/>
      <c r="V203" s="639"/>
      <c r="W203" s="639"/>
      <c r="X203" s="639"/>
      <c r="Y203" s="639"/>
      <c r="Z203" s="639"/>
      <c r="AA203" s="639"/>
      <c r="AB203" s="639"/>
    </row>
    <row r="204" spans="1:28">
      <c r="A204" s="639"/>
      <c r="B204" s="639"/>
      <c r="C204" s="639"/>
      <c r="D204" s="639"/>
      <c r="E204" s="639"/>
      <c r="F204" s="639"/>
      <c r="G204" s="639"/>
      <c r="H204" s="639"/>
      <c r="I204" s="639"/>
      <c r="J204" s="639"/>
      <c r="K204" s="639"/>
      <c r="L204" s="639"/>
      <c r="M204" s="639"/>
      <c r="N204" s="639"/>
      <c r="O204" s="639"/>
      <c r="P204" s="639"/>
      <c r="Q204" s="639"/>
      <c r="R204" s="639"/>
      <c r="S204" s="639"/>
      <c r="T204" s="639"/>
      <c r="U204" s="639"/>
      <c r="V204" s="639"/>
      <c r="W204" s="639"/>
      <c r="X204" s="639"/>
      <c r="Y204" s="639"/>
      <c r="Z204" s="639"/>
      <c r="AA204" s="639"/>
      <c r="AB204" s="639"/>
    </row>
    <row r="205" spans="1:28">
      <c r="A205" s="639"/>
      <c r="B205" s="639"/>
      <c r="C205" s="639"/>
      <c r="D205" s="639"/>
      <c r="E205" s="639"/>
      <c r="F205" s="639"/>
      <c r="G205" s="639"/>
      <c r="H205" s="639"/>
      <c r="I205" s="639"/>
      <c r="J205" s="639"/>
      <c r="K205" s="639"/>
      <c r="L205" s="639"/>
      <c r="M205" s="639"/>
      <c r="N205" s="639"/>
      <c r="O205" s="639"/>
      <c r="P205" s="639"/>
      <c r="Q205" s="639"/>
      <c r="R205" s="639"/>
      <c r="S205" s="639"/>
      <c r="T205" s="639"/>
      <c r="U205" s="639"/>
      <c r="V205" s="639"/>
      <c r="W205" s="639"/>
      <c r="X205" s="639"/>
      <c r="Y205" s="639"/>
      <c r="Z205" s="639"/>
      <c r="AA205" s="639"/>
      <c r="AB205" s="639"/>
    </row>
    <row r="206" spans="1:28">
      <c r="A206" s="639"/>
      <c r="B206" s="639"/>
      <c r="C206" s="639"/>
      <c r="D206" s="639"/>
      <c r="E206" s="639"/>
      <c r="F206" s="639"/>
      <c r="G206" s="639"/>
      <c r="H206" s="639"/>
      <c r="I206" s="639"/>
      <c r="J206" s="639"/>
      <c r="K206" s="639"/>
      <c r="L206" s="639"/>
      <c r="M206" s="639"/>
      <c r="N206" s="639"/>
      <c r="O206" s="639"/>
      <c r="P206" s="639"/>
      <c r="Q206" s="639"/>
      <c r="R206" s="639"/>
      <c r="S206" s="639"/>
      <c r="T206" s="639"/>
      <c r="U206" s="639"/>
      <c r="V206" s="639"/>
      <c r="W206" s="639"/>
      <c r="X206" s="639"/>
      <c r="Y206" s="639"/>
      <c r="Z206" s="639"/>
      <c r="AA206" s="639"/>
      <c r="AB206" s="639"/>
    </row>
    <row r="207" spans="1:28">
      <c r="A207" s="639"/>
      <c r="B207" s="639"/>
      <c r="C207" s="639"/>
      <c r="D207" s="639"/>
      <c r="E207" s="639"/>
      <c r="F207" s="639"/>
      <c r="G207" s="639"/>
      <c r="H207" s="639"/>
      <c r="I207" s="639"/>
      <c r="J207" s="639"/>
      <c r="K207" s="639"/>
      <c r="L207" s="639"/>
      <c r="M207" s="639"/>
      <c r="N207" s="639"/>
      <c r="O207" s="639"/>
      <c r="P207" s="639"/>
      <c r="Q207" s="639"/>
      <c r="R207" s="639"/>
      <c r="S207" s="639"/>
      <c r="T207" s="639"/>
      <c r="U207" s="639"/>
      <c r="V207" s="639"/>
      <c r="W207" s="639"/>
      <c r="X207" s="639"/>
      <c r="Y207" s="639"/>
      <c r="Z207" s="639"/>
      <c r="AA207" s="639"/>
      <c r="AB207" s="639"/>
    </row>
    <row r="208" spans="1:28">
      <c r="A208" s="639"/>
      <c r="B208" s="639"/>
      <c r="C208" s="639"/>
      <c r="D208" s="639"/>
      <c r="E208" s="639"/>
      <c r="F208" s="639"/>
      <c r="G208" s="639"/>
      <c r="H208" s="639"/>
      <c r="I208" s="639"/>
      <c r="J208" s="639"/>
      <c r="K208" s="639"/>
      <c r="L208" s="639"/>
      <c r="M208" s="639"/>
      <c r="N208" s="639"/>
      <c r="O208" s="639"/>
      <c r="P208" s="639"/>
      <c r="Q208" s="639"/>
      <c r="R208" s="639"/>
      <c r="S208" s="639"/>
      <c r="T208" s="639"/>
      <c r="U208" s="639"/>
      <c r="V208" s="639"/>
      <c r="W208" s="639"/>
      <c r="X208" s="639"/>
      <c r="Y208" s="639"/>
      <c r="Z208" s="639"/>
      <c r="AA208" s="639"/>
      <c r="AB208" s="639"/>
    </row>
    <row r="209" spans="1:28">
      <c r="A209" s="639"/>
      <c r="B209" s="639"/>
      <c r="C209" s="639"/>
      <c r="D209" s="639"/>
      <c r="E209" s="639"/>
      <c r="F209" s="639"/>
      <c r="G209" s="639"/>
      <c r="H209" s="639"/>
      <c r="I209" s="639"/>
      <c r="J209" s="639"/>
      <c r="K209" s="639"/>
      <c r="L209" s="639"/>
      <c r="M209" s="639"/>
      <c r="N209" s="639"/>
      <c r="O209" s="639"/>
      <c r="P209" s="639"/>
      <c r="Q209" s="639"/>
      <c r="R209" s="639"/>
      <c r="S209" s="639"/>
      <c r="T209" s="639"/>
      <c r="U209" s="639"/>
      <c r="V209" s="639"/>
      <c r="W209" s="639"/>
      <c r="X209" s="639"/>
      <c r="Y209" s="639"/>
      <c r="Z209" s="639"/>
      <c r="AA209" s="639"/>
      <c r="AB209" s="639"/>
    </row>
    <row r="210" spans="1:28">
      <c r="A210" s="639"/>
      <c r="B210" s="639"/>
      <c r="C210" s="639"/>
      <c r="D210" s="639"/>
      <c r="E210" s="639"/>
      <c r="F210" s="639"/>
      <c r="G210" s="639"/>
      <c r="H210" s="639"/>
      <c r="I210" s="639"/>
      <c r="J210" s="639"/>
      <c r="K210" s="639"/>
      <c r="L210" s="639"/>
      <c r="M210" s="639"/>
      <c r="N210" s="639"/>
      <c r="O210" s="639"/>
      <c r="P210" s="639"/>
      <c r="Q210" s="639"/>
      <c r="R210" s="639"/>
      <c r="S210" s="639"/>
      <c r="T210" s="639"/>
      <c r="U210" s="639"/>
      <c r="V210" s="639"/>
      <c r="W210" s="639"/>
      <c r="X210" s="639"/>
      <c r="Y210" s="639"/>
      <c r="Z210" s="639"/>
      <c r="AA210" s="639"/>
      <c r="AB210" s="639"/>
    </row>
    <row r="211" spans="1:28">
      <c r="A211" s="639"/>
      <c r="B211" s="639"/>
      <c r="C211" s="639"/>
      <c r="D211" s="639"/>
      <c r="E211" s="639"/>
      <c r="F211" s="639"/>
      <c r="G211" s="639"/>
      <c r="H211" s="639"/>
      <c r="I211" s="639"/>
      <c r="J211" s="639"/>
      <c r="K211" s="639"/>
      <c r="L211" s="639"/>
      <c r="M211" s="639"/>
      <c r="N211" s="639"/>
      <c r="O211" s="639"/>
      <c r="P211" s="639"/>
      <c r="Q211" s="639"/>
      <c r="R211" s="639"/>
      <c r="S211" s="639"/>
      <c r="T211" s="639"/>
      <c r="U211" s="639"/>
      <c r="V211" s="639"/>
      <c r="W211" s="639"/>
      <c r="X211" s="639"/>
      <c r="Y211" s="639"/>
      <c r="Z211" s="639"/>
      <c r="AA211" s="639"/>
      <c r="AB211" s="639"/>
    </row>
    <row r="212" spans="1:28">
      <c r="A212" s="639"/>
      <c r="B212" s="639"/>
      <c r="C212" s="639"/>
      <c r="D212" s="639"/>
      <c r="E212" s="639"/>
      <c r="F212" s="639"/>
      <c r="G212" s="639"/>
      <c r="H212" s="639"/>
      <c r="I212" s="639"/>
      <c r="J212" s="639"/>
      <c r="K212" s="639"/>
      <c r="L212" s="639"/>
      <c r="M212" s="639"/>
      <c r="N212" s="639"/>
      <c r="O212" s="639"/>
      <c r="P212" s="639"/>
      <c r="Q212" s="639"/>
      <c r="R212" s="639"/>
      <c r="S212" s="639"/>
      <c r="T212" s="639"/>
      <c r="U212" s="639"/>
      <c r="V212" s="639"/>
      <c r="W212" s="639"/>
      <c r="X212" s="639"/>
      <c r="Y212" s="639"/>
      <c r="Z212" s="639"/>
      <c r="AA212" s="639"/>
      <c r="AB212" s="639"/>
    </row>
    <row r="213" spans="1:28">
      <c r="A213" s="639"/>
      <c r="B213" s="639"/>
      <c r="C213" s="639"/>
      <c r="D213" s="639"/>
      <c r="E213" s="639"/>
      <c r="F213" s="639"/>
      <c r="G213" s="639"/>
      <c r="H213" s="639"/>
      <c r="I213" s="639"/>
      <c r="J213" s="639"/>
      <c r="K213" s="639"/>
      <c r="L213" s="639"/>
      <c r="M213" s="639"/>
      <c r="N213" s="639"/>
      <c r="O213" s="639"/>
      <c r="P213" s="639"/>
      <c r="Q213" s="639"/>
      <c r="R213" s="639"/>
      <c r="S213" s="639"/>
      <c r="T213" s="639"/>
      <c r="U213" s="639"/>
      <c r="V213" s="639"/>
      <c r="W213" s="639"/>
      <c r="X213" s="639"/>
      <c r="Y213" s="639"/>
      <c r="Z213" s="639"/>
      <c r="AA213" s="639"/>
      <c r="AB213" s="639"/>
    </row>
    <row r="214" spans="1:28">
      <c r="A214" s="639"/>
      <c r="B214" s="639"/>
      <c r="C214" s="639"/>
      <c r="D214" s="639"/>
      <c r="E214" s="639"/>
      <c r="F214" s="639"/>
      <c r="G214" s="639"/>
      <c r="H214" s="639"/>
      <c r="I214" s="639"/>
      <c r="J214" s="639"/>
      <c r="K214" s="639"/>
      <c r="L214" s="639"/>
      <c r="M214" s="639"/>
      <c r="N214" s="639"/>
      <c r="O214" s="639"/>
      <c r="P214" s="639"/>
      <c r="Q214" s="639"/>
      <c r="R214" s="639"/>
      <c r="S214" s="639"/>
      <c r="T214" s="639"/>
      <c r="U214" s="639"/>
      <c r="V214" s="639"/>
      <c r="W214" s="639"/>
      <c r="X214" s="639"/>
      <c r="Y214" s="639"/>
      <c r="Z214" s="639"/>
      <c r="AA214" s="639"/>
      <c r="AB214" s="639"/>
    </row>
    <row r="215" spans="1:28">
      <c r="A215" s="639"/>
      <c r="B215" s="639"/>
      <c r="C215" s="639"/>
      <c r="D215" s="639"/>
      <c r="E215" s="639"/>
      <c r="F215" s="639"/>
      <c r="G215" s="639"/>
      <c r="H215" s="639"/>
      <c r="I215" s="639"/>
      <c r="J215" s="639"/>
      <c r="K215" s="639"/>
      <c r="L215" s="639"/>
      <c r="M215" s="639"/>
      <c r="N215" s="639"/>
      <c r="O215" s="639"/>
      <c r="P215" s="639"/>
      <c r="Q215" s="639"/>
      <c r="R215" s="639"/>
      <c r="S215" s="639"/>
      <c r="T215" s="639"/>
      <c r="U215" s="639"/>
      <c r="V215" s="639"/>
      <c r="W215" s="639"/>
      <c r="X215" s="639"/>
      <c r="Y215" s="639"/>
      <c r="Z215" s="639"/>
      <c r="AA215" s="639"/>
      <c r="AB215" s="639"/>
    </row>
    <row r="216" spans="1:28">
      <c r="A216" s="639"/>
      <c r="B216" s="639"/>
      <c r="C216" s="639"/>
      <c r="D216" s="639"/>
      <c r="E216" s="639"/>
      <c r="F216" s="639"/>
      <c r="G216" s="639"/>
      <c r="H216" s="639"/>
      <c r="I216" s="639"/>
      <c r="J216" s="639"/>
      <c r="K216" s="639"/>
      <c r="L216" s="639"/>
      <c r="M216" s="639"/>
      <c r="N216" s="639"/>
      <c r="O216" s="639"/>
      <c r="P216" s="639"/>
      <c r="Q216" s="639"/>
      <c r="R216" s="639"/>
      <c r="S216" s="639"/>
      <c r="T216" s="639"/>
      <c r="U216" s="639"/>
      <c r="V216" s="639"/>
      <c r="W216" s="639"/>
      <c r="X216" s="639"/>
      <c r="Y216" s="639"/>
      <c r="Z216" s="639"/>
      <c r="AA216" s="639"/>
      <c r="AB216" s="639"/>
    </row>
    <row r="217" spans="1:28">
      <c r="A217" s="639"/>
      <c r="B217" s="639"/>
      <c r="C217" s="639"/>
      <c r="D217" s="639"/>
      <c r="E217" s="639"/>
      <c r="F217" s="639"/>
      <c r="G217" s="639"/>
      <c r="H217" s="639"/>
      <c r="I217" s="639"/>
      <c r="J217" s="639"/>
      <c r="K217" s="639"/>
      <c r="L217" s="639"/>
      <c r="M217" s="639"/>
      <c r="N217" s="639"/>
      <c r="O217" s="639"/>
      <c r="P217" s="639"/>
      <c r="Q217" s="639"/>
      <c r="R217" s="639"/>
      <c r="S217" s="639"/>
      <c r="T217" s="639"/>
      <c r="U217" s="639"/>
      <c r="V217" s="639"/>
      <c r="W217" s="639"/>
      <c r="X217" s="639"/>
      <c r="Y217" s="639"/>
      <c r="Z217" s="639"/>
      <c r="AA217" s="639"/>
      <c r="AB217" s="639"/>
    </row>
    <row r="218" spans="1:28">
      <c r="A218" s="639"/>
      <c r="B218" s="639"/>
      <c r="C218" s="639"/>
      <c r="D218" s="639"/>
      <c r="E218" s="639"/>
      <c r="F218" s="639"/>
      <c r="G218" s="639"/>
      <c r="H218" s="639"/>
      <c r="I218" s="639"/>
      <c r="J218" s="639"/>
      <c r="K218" s="639"/>
      <c r="L218" s="639"/>
      <c r="M218" s="639"/>
      <c r="N218" s="639"/>
      <c r="O218" s="639"/>
      <c r="P218" s="639"/>
      <c r="Q218" s="639"/>
      <c r="R218" s="639"/>
      <c r="S218" s="639"/>
      <c r="T218" s="639"/>
      <c r="U218" s="639"/>
      <c r="V218" s="639"/>
      <c r="W218" s="639"/>
      <c r="X218" s="639"/>
      <c r="Y218" s="639"/>
      <c r="Z218" s="639"/>
      <c r="AA218" s="639"/>
      <c r="AB218" s="639"/>
    </row>
    <row r="219" spans="1:28">
      <c r="A219" s="639"/>
      <c r="B219" s="639"/>
      <c r="C219" s="639"/>
      <c r="D219" s="639"/>
      <c r="E219" s="639"/>
      <c r="F219" s="639"/>
      <c r="G219" s="639"/>
      <c r="H219" s="639"/>
      <c r="I219" s="639"/>
      <c r="J219" s="639"/>
      <c r="K219" s="639"/>
      <c r="L219" s="639"/>
      <c r="M219" s="639"/>
      <c r="N219" s="639"/>
      <c r="O219" s="639"/>
      <c r="P219" s="639"/>
      <c r="Q219" s="639"/>
      <c r="R219" s="639"/>
      <c r="S219" s="639"/>
      <c r="T219" s="639"/>
      <c r="U219" s="639"/>
      <c r="V219" s="639"/>
      <c r="W219" s="639"/>
      <c r="X219" s="639"/>
      <c r="Y219" s="639"/>
      <c r="Z219" s="639"/>
      <c r="AA219" s="639"/>
      <c r="AB219" s="639"/>
    </row>
    <row r="220" spans="1:28">
      <c r="A220" s="639"/>
      <c r="B220" s="639"/>
      <c r="C220" s="639"/>
      <c r="D220" s="639"/>
      <c r="E220" s="639"/>
      <c r="F220" s="639"/>
      <c r="G220" s="639"/>
      <c r="H220" s="639"/>
      <c r="I220" s="639"/>
      <c r="J220" s="639"/>
      <c r="K220" s="639"/>
      <c r="L220" s="639"/>
      <c r="M220" s="639"/>
      <c r="N220" s="639"/>
      <c r="O220" s="639"/>
      <c r="P220" s="639"/>
      <c r="Q220" s="639"/>
      <c r="R220" s="639"/>
      <c r="S220" s="639"/>
      <c r="T220" s="639"/>
      <c r="U220" s="639"/>
      <c r="V220" s="639"/>
      <c r="W220" s="639"/>
      <c r="X220" s="639"/>
      <c r="Y220" s="639"/>
      <c r="Z220" s="639"/>
      <c r="AA220" s="639"/>
      <c r="AB220" s="639"/>
    </row>
    <row r="221" spans="1:28">
      <c r="A221" s="639"/>
      <c r="B221" s="639"/>
      <c r="C221" s="639"/>
      <c r="D221" s="639"/>
      <c r="E221" s="639"/>
      <c r="F221" s="639"/>
      <c r="G221" s="639"/>
      <c r="H221" s="639"/>
      <c r="I221" s="639"/>
      <c r="J221" s="639"/>
      <c r="K221" s="639"/>
      <c r="L221" s="639"/>
      <c r="M221" s="639"/>
      <c r="N221" s="639"/>
      <c r="O221" s="639"/>
      <c r="P221" s="639"/>
      <c r="Q221" s="639"/>
      <c r="R221" s="639"/>
      <c r="S221" s="639"/>
      <c r="T221" s="639"/>
      <c r="U221" s="639"/>
      <c r="V221" s="639"/>
      <c r="W221" s="639"/>
      <c r="X221" s="639"/>
      <c r="Y221" s="639"/>
      <c r="Z221" s="639"/>
      <c r="AA221" s="639"/>
      <c r="AB221" s="639"/>
    </row>
    <row r="222" spans="1:28">
      <c r="A222" s="639"/>
      <c r="B222" s="639"/>
      <c r="C222" s="639"/>
      <c r="D222" s="639"/>
      <c r="E222" s="639"/>
      <c r="F222" s="639"/>
      <c r="G222" s="639"/>
      <c r="H222" s="639"/>
      <c r="I222" s="639"/>
      <c r="J222" s="639"/>
      <c r="K222" s="639"/>
      <c r="L222" s="639"/>
      <c r="M222" s="639"/>
      <c r="N222" s="639"/>
      <c r="O222" s="639"/>
      <c r="P222" s="639"/>
      <c r="Q222" s="639"/>
      <c r="R222" s="639"/>
      <c r="S222" s="639"/>
      <c r="T222" s="639"/>
      <c r="U222" s="639"/>
      <c r="V222" s="639"/>
      <c r="W222" s="639"/>
      <c r="X222" s="639"/>
      <c r="Y222" s="639"/>
      <c r="Z222" s="639"/>
      <c r="AA222" s="639"/>
      <c r="AB222" s="639"/>
    </row>
    <row r="223" spans="1:28">
      <c r="A223" s="639"/>
      <c r="B223" s="639"/>
      <c r="C223" s="639"/>
      <c r="D223" s="639"/>
      <c r="E223" s="639"/>
      <c r="F223" s="639"/>
      <c r="G223" s="639"/>
      <c r="H223" s="639"/>
      <c r="I223" s="639"/>
      <c r="J223" s="639"/>
      <c r="K223" s="639"/>
      <c r="L223" s="639"/>
      <c r="M223" s="639"/>
      <c r="N223" s="639"/>
      <c r="O223" s="639"/>
      <c r="P223" s="639"/>
      <c r="Q223" s="639"/>
      <c r="R223" s="639"/>
      <c r="S223" s="639"/>
      <c r="T223" s="639"/>
      <c r="U223" s="639"/>
      <c r="V223" s="639"/>
      <c r="W223" s="639"/>
      <c r="X223" s="639"/>
      <c r="Y223" s="639"/>
      <c r="Z223" s="639"/>
      <c r="AA223" s="639"/>
      <c r="AB223" s="639"/>
    </row>
    <row r="224" spans="1:28">
      <c r="A224" s="639"/>
      <c r="B224" s="639"/>
      <c r="C224" s="639"/>
      <c r="D224" s="639"/>
      <c r="E224" s="639"/>
      <c r="F224" s="639"/>
      <c r="G224" s="639"/>
      <c r="H224" s="639"/>
      <c r="I224" s="639"/>
      <c r="J224" s="639"/>
      <c r="K224" s="639"/>
      <c r="L224" s="639"/>
      <c r="M224" s="639"/>
      <c r="N224" s="639"/>
      <c r="O224" s="639"/>
      <c r="P224" s="639"/>
      <c r="Q224" s="639"/>
      <c r="R224" s="639"/>
      <c r="S224" s="639"/>
      <c r="T224" s="639"/>
      <c r="U224" s="639"/>
      <c r="V224" s="639"/>
      <c r="W224" s="639"/>
      <c r="X224" s="639"/>
      <c r="Y224" s="639"/>
      <c r="Z224" s="639"/>
      <c r="AA224" s="639"/>
      <c r="AB224" s="639"/>
    </row>
    <row r="225" spans="1:28">
      <c r="A225" s="639"/>
      <c r="B225" s="639"/>
      <c r="C225" s="639"/>
      <c r="D225" s="639"/>
      <c r="E225" s="639"/>
      <c r="F225" s="639"/>
      <c r="G225" s="639"/>
      <c r="H225" s="639"/>
      <c r="I225" s="639"/>
      <c r="J225" s="639"/>
      <c r="K225" s="639"/>
      <c r="L225" s="639"/>
      <c r="M225" s="639"/>
      <c r="N225" s="639"/>
      <c r="O225" s="639"/>
      <c r="P225" s="639"/>
      <c r="Q225" s="639"/>
      <c r="R225" s="639"/>
      <c r="S225" s="639"/>
      <c r="T225" s="639"/>
      <c r="U225" s="639"/>
      <c r="V225" s="639"/>
      <c r="W225" s="639"/>
      <c r="X225" s="639"/>
      <c r="Y225" s="639"/>
      <c r="Z225" s="639"/>
      <c r="AA225" s="639"/>
      <c r="AB225" s="639"/>
    </row>
    <row r="226" spans="1:28">
      <c r="A226" s="639"/>
      <c r="B226" s="639"/>
      <c r="C226" s="639"/>
      <c r="D226" s="639"/>
      <c r="E226" s="639"/>
      <c r="F226" s="639"/>
      <c r="G226" s="639"/>
      <c r="H226" s="639"/>
      <c r="I226" s="639"/>
      <c r="J226" s="639"/>
      <c r="K226" s="639"/>
      <c r="L226" s="639"/>
      <c r="M226" s="639"/>
      <c r="N226" s="639"/>
      <c r="O226" s="639"/>
      <c r="P226" s="639"/>
      <c r="Q226" s="639"/>
      <c r="R226" s="639"/>
      <c r="S226" s="639"/>
      <c r="T226" s="639"/>
      <c r="U226" s="639"/>
      <c r="V226" s="639"/>
      <c r="W226" s="639"/>
      <c r="X226" s="639"/>
      <c r="Y226" s="639"/>
      <c r="Z226" s="639"/>
      <c r="AA226" s="639"/>
      <c r="AB226" s="639"/>
    </row>
    <row r="227" spans="1:28">
      <c r="A227" s="639"/>
      <c r="B227" s="639"/>
      <c r="C227" s="639"/>
      <c r="D227" s="639"/>
      <c r="E227" s="639"/>
      <c r="F227" s="639"/>
      <c r="G227" s="639"/>
      <c r="H227" s="639"/>
      <c r="I227" s="639"/>
      <c r="J227" s="639"/>
      <c r="K227" s="639"/>
      <c r="L227" s="639"/>
      <c r="M227" s="639"/>
      <c r="N227" s="639"/>
      <c r="O227" s="639"/>
      <c r="P227" s="639"/>
      <c r="Q227" s="639"/>
      <c r="R227" s="639"/>
      <c r="S227" s="639"/>
      <c r="T227" s="639"/>
      <c r="U227" s="639"/>
      <c r="V227" s="639"/>
      <c r="W227" s="639"/>
      <c r="X227" s="639"/>
      <c r="Y227" s="639"/>
      <c r="Z227" s="639"/>
      <c r="AA227" s="639"/>
      <c r="AB227" s="639"/>
    </row>
    <row r="228" spans="1:28">
      <c r="A228" s="639"/>
      <c r="B228" s="639"/>
      <c r="C228" s="639"/>
      <c r="D228" s="639"/>
      <c r="E228" s="639"/>
      <c r="F228" s="639"/>
      <c r="G228" s="639"/>
      <c r="H228" s="639"/>
      <c r="I228" s="639"/>
      <c r="J228" s="639"/>
      <c r="K228" s="639"/>
      <c r="L228" s="639"/>
      <c r="M228" s="639"/>
      <c r="N228" s="639"/>
      <c r="O228" s="639"/>
      <c r="P228" s="639"/>
      <c r="Q228" s="639"/>
      <c r="R228" s="639"/>
      <c r="S228" s="639"/>
      <c r="T228" s="639"/>
      <c r="U228" s="639"/>
      <c r="V228" s="639"/>
      <c r="W228" s="639"/>
      <c r="X228" s="639"/>
      <c r="Y228" s="639"/>
      <c r="Z228" s="639"/>
      <c r="AA228" s="639"/>
      <c r="AB228" s="639"/>
    </row>
    <row r="229" spans="1:28">
      <c r="A229" s="639"/>
      <c r="B229" s="639"/>
      <c r="C229" s="639"/>
      <c r="D229" s="639"/>
      <c r="E229" s="639"/>
      <c r="F229" s="639"/>
      <c r="G229" s="639"/>
      <c r="H229" s="639"/>
      <c r="I229" s="639"/>
      <c r="J229" s="639"/>
      <c r="K229" s="639"/>
      <c r="L229" s="639"/>
      <c r="M229" s="639"/>
      <c r="N229" s="639"/>
      <c r="O229" s="639"/>
      <c r="P229" s="639"/>
      <c r="Q229" s="639"/>
      <c r="R229" s="639"/>
      <c r="S229" s="639"/>
      <c r="T229" s="639"/>
      <c r="U229" s="639"/>
      <c r="V229" s="639"/>
      <c r="W229" s="639"/>
      <c r="X229" s="639"/>
      <c r="Y229" s="639"/>
      <c r="Z229" s="639"/>
      <c r="AA229" s="639"/>
      <c r="AB229" s="639"/>
    </row>
    <row r="230" spans="1:28">
      <c r="A230" s="639"/>
      <c r="B230" s="639"/>
      <c r="C230" s="639"/>
      <c r="D230" s="639"/>
      <c r="E230" s="639"/>
      <c r="F230" s="639"/>
      <c r="G230" s="639"/>
      <c r="H230" s="639"/>
      <c r="I230" s="639"/>
      <c r="J230" s="639"/>
      <c r="K230" s="639"/>
      <c r="L230" s="639"/>
      <c r="M230" s="639"/>
      <c r="N230" s="639"/>
      <c r="O230" s="639"/>
      <c r="P230" s="639"/>
      <c r="Q230" s="639"/>
      <c r="R230" s="639"/>
      <c r="S230" s="639"/>
      <c r="T230" s="639"/>
      <c r="U230" s="639"/>
      <c r="V230" s="639"/>
      <c r="W230" s="639"/>
      <c r="X230" s="639"/>
      <c r="Y230" s="639"/>
      <c r="Z230" s="639"/>
      <c r="AA230" s="639"/>
      <c r="AB230" s="639"/>
    </row>
    <row r="231" spans="1:28">
      <c r="A231" s="639"/>
      <c r="B231" s="639"/>
      <c r="C231" s="639"/>
      <c r="D231" s="639"/>
      <c r="E231" s="639"/>
      <c r="F231" s="639"/>
      <c r="G231" s="639"/>
      <c r="H231" s="639"/>
      <c r="I231" s="639"/>
      <c r="J231" s="639"/>
      <c r="K231" s="639"/>
      <c r="L231" s="639"/>
      <c r="M231" s="639"/>
      <c r="N231" s="639"/>
      <c r="O231" s="639"/>
      <c r="P231" s="639"/>
      <c r="Q231" s="639"/>
      <c r="R231" s="639"/>
      <c r="S231" s="639"/>
      <c r="T231" s="639"/>
      <c r="U231" s="639"/>
      <c r="V231" s="639"/>
      <c r="W231" s="639"/>
      <c r="X231" s="639"/>
      <c r="Y231" s="639"/>
      <c r="Z231" s="639"/>
      <c r="AA231" s="639"/>
      <c r="AB231" s="639"/>
    </row>
    <row r="232" spans="1:28">
      <c r="A232" s="639"/>
      <c r="B232" s="639"/>
      <c r="C232" s="639"/>
      <c r="D232" s="639"/>
      <c r="E232" s="639"/>
      <c r="F232" s="639"/>
      <c r="G232" s="639"/>
      <c r="H232" s="639"/>
      <c r="I232" s="639"/>
      <c r="J232" s="639"/>
      <c r="K232" s="639"/>
      <c r="L232" s="639"/>
      <c r="M232" s="639"/>
      <c r="N232" s="639"/>
      <c r="O232" s="639"/>
      <c r="P232" s="639"/>
      <c r="Q232" s="639"/>
      <c r="R232" s="639"/>
      <c r="S232" s="639"/>
      <c r="T232" s="639"/>
      <c r="U232" s="639"/>
      <c r="V232" s="639"/>
      <c r="W232" s="639"/>
      <c r="X232" s="639"/>
      <c r="Y232" s="639"/>
      <c r="Z232" s="639"/>
      <c r="AA232" s="639"/>
      <c r="AB232" s="639"/>
    </row>
    <row r="233" spans="1:28">
      <c r="A233" s="639"/>
      <c r="B233" s="639"/>
      <c r="C233" s="639"/>
      <c r="D233" s="639"/>
      <c r="E233" s="639"/>
      <c r="F233" s="639"/>
      <c r="G233" s="639"/>
      <c r="H233" s="639"/>
      <c r="I233" s="639"/>
      <c r="J233" s="639"/>
      <c r="K233" s="639"/>
      <c r="L233" s="639"/>
      <c r="M233" s="639"/>
      <c r="N233" s="639"/>
      <c r="O233" s="639"/>
      <c r="P233" s="639"/>
      <c r="Q233" s="639"/>
      <c r="R233" s="639"/>
      <c r="S233" s="639"/>
      <c r="T233" s="639"/>
      <c r="U233" s="639"/>
      <c r="V233" s="639"/>
      <c r="W233" s="639"/>
      <c r="X233" s="639"/>
      <c r="Y233" s="639"/>
      <c r="Z233" s="639"/>
      <c r="AA233" s="639"/>
      <c r="AB233" s="639"/>
    </row>
    <row r="234" spans="1:28">
      <c r="A234" s="639"/>
      <c r="B234" s="639"/>
      <c r="C234" s="639"/>
      <c r="D234" s="639"/>
      <c r="E234" s="639"/>
      <c r="F234" s="639"/>
      <c r="G234" s="639"/>
      <c r="H234" s="639"/>
      <c r="I234" s="639"/>
      <c r="J234" s="639"/>
      <c r="K234" s="639"/>
      <c r="L234" s="639"/>
      <c r="M234" s="639"/>
      <c r="N234" s="639"/>
      <c r="O234" s="639"/>
      <c r="P234" s="639"/>
      <c r="Q234" s="639"/>
      <c r="R234" s="639"/>
      <c r="S234" s="639"/>
      <c r="T234" s="639"/>
      <c r="U234" s="639"/>
      <c r="V234" s="639"/>
      <c r="W234" s="639"/>
      <c r="X234" s="639"/>
      <c r="Y234" s="639"/>
      <c r="Z234" s="639"/>
      <c r="AA234" s="639"/>
      <c r="AB234" s="639"/>
    </row>
    <row r="235" spans="1:28">
      <c r="A235" s="639"/>
      <c r="B235" s="639"/>
      <c r="C235" s="639"/>
      <c r="D235" s="639"/>
      <c r="E235" s="639"/>
      <c r="F235" s="639"/>
      <c r="G235" s="639"/>
      <c r="H235" s="639"/>
      <c r="I235" s="639"/>
      <c r="J235" s="639"/>
      <c r="K235" s="639"/>
      <c r="L235" s="639"/>
      <c r="M235" s="639"/>
      <c r="N235" s="639"/>
      <c r="O235" s="639"/>
      <c r="P235" s="639"/>
      <c r="Q235" s="639"/>
      <c r="R235" s="639"/>
      <c r="S235" s="639"/>
      <c r="T235" s="639"/>
      <c r="U235" s="639"/>
      <c r="V235" s="639"/>
      <c r="W235" s="639"/>
      <c r="X235" s="639"/>
      <c r="Y235" s="639"/>
      <c r="Z235" s="639"/>
      <c r="AA235" s="639"/>
      <c r="AB235" s="639"/>
    </row>
    <row r="236" spans="1:28">
      <c r="A236" s="639"/>
      <c r="B236" s="639"/>
      <c r="C236" s="639"/>
      <c r="D236" s="639"/>
      <c r="E236" s="639"/>
      <c r="F236" s="639"/>
      <c r="G236" s="639"/>
      <c r="H236" s="639"/>
      <c r="I236" s="639"/>
      <c r="J236" s="639"/>
      <c r="K236" s="639"/>
      <c r="L236" s="639"/>
      <c r="M236" s="639"/>
      <c r="N236" s="639"/>
      <c r="O236" s="639"/>
      <c r="P236" s="639"/>
      <c r="Q236" s="639"/>
      <c r="R236" s="639"/>
      <c r="S236" s="639"/>
      <c r="T236" s="639"/>
      <c r="U236" s="639"/>
      <c r="V236" s="639"/>
      <c r="W236" s="639"/>
      <c r="X236" s="639"/>
      <c r="Y236" s="639"/>
      <c r="Z236" s="639"/>
      <c r="AA236" s="639"/>
      <c r="AB236" s="639"/>
    </row>
    <row r="237" spans="1:28">
      <c r="A237" s="639"/>
      <c r="B237" s="639"/>
      <c r="C237" s="639"/>
      <c r="D237" s="639"/>
      <c r="E237" s="639"/>
      <c r="F237" s="639"/>
      <c r="G237" s="639"/>
      <c r="H237" s="639"/>
      <c r="I237" s="639"/>
      <c r="J237" s="639"/>
      <c r="K237" s="639"/>
      <c r="L237" s="639"/>
      <c r="M237" s="639"/>
      <c r="N237" s="639"/>
      <c r="O237" s="639"/>
      <c r="P237" s="639"/>
      <c r="Q237" s="639"/>
      <c r="R237" s="639"/>
      <c r="S237" s="639"/>
      <c r="T237" s="639"/>
      <c r="U237" s="639"/>
      <c r="V237" s="639"/>
      <c r="W237" s="639"/>
      <c r="X237" s="639"/>
      <c r="Y237" s="639"/>
      <c r="Z237" s="639"/>
      <c r="AA237" s="639"/>
      <c r="AB237" s="639"/>
    </row>
    <row r="238" spans="1:28">
      <c r="A238" s="639"/>
      <c r="B238" s="639"/>
      <c r="C238" s="639"/>
      <c r="D238" s="639"/>
      <c r="E238" s="639"/>
      <c r="F238" s="639"/>
      <c r="G238" s="639"/>
      <c r="H238" s="639"/>
      <c r="I238" s="639"/>
      <c r="J238" s="639"/>
      <c r="K238" s="639"/>
      <c r="L238" s="639"/>
      <c r="M238" s="639"/>
      <c r="N238" s="639"/>
      <c r="O238" s="639"/>
      <c r="P238" s="639"/>
      <c r="Q238" s="639"/>
      <c r="R238" s="639"/>
      <c r="S238" s="639"/>
      <c r="T238" s="639"/>
      <c r="U238" s="639"/>
      <c r="V238" s="639"/>
      <c r="W238" s="639"/>
      <c r="X238" s="639"/>
      <c r="Y238" s="639"/>
      <c r="Z238" s="639"/>
      <c r="AA238" s="639"/>
      <c r="AB238" s="639"/>
    </row>
    <row r="239" spans="1:28">
      <c r="A239" s="639"/>
      <c r="B239" s="639"/>
      <c r="C239" s="639"/>
      <c r="D239" s="639"/>
      <c r="E239" s="639"/>
      <c r="F239" s="639"/>
      <c r="G239" s="639"/>
      <c r="H239" s="639"/>
      <c r="I239" s="639"/>
      <c r="J239" s="639"/>
      <c r="K239" s="639"/>
      <c r="L239" s="639"/>
      <c r="M239" s="639"/>
      <c r="N239" s="639"/>
      <c r="O239" s="639"/>
      <c r="P239" s="639"/>
      <c r="Q239" s="639"/>
      <c r="R239" s="639"/>
      <c r="S239" s="639"/>
      <c r="T239" s="639"/>
      <c r="U239" s="639"/>
      <c r="V239" s="639"/>
      <c r="W239" s="639"/>
      <c r="X239" s="639"/>
      <c r="Y239" s="639"/>
      <c r="Z239" s="639"/>
      <c r="AA239" s="639"/>
      <c r="AB239" s="639"/>
    </row>
    <row r="240" spans="1:28">
      <c r="A240" s="639"/>
      <c r="B240" s="639"/>
      <c r="C240" s="639"/>
      <c r="D240" s="639"/>
      <c r="E240" s="639"/>
      <c r="F240" s="639"/>
      <c r="G240" s="639"/>
      <c r="H240" s="639"/>
      <c r="I240" s="639"/>
      <c r="J240" s="639"/>
      <c r="K240" s="639"/>
      <c r="L240" s="639"/>
      <c r="M240" s="639"/>
      <c r="N240" s="639"/>
      <c r="O240" s="639"/>
      <c r="P240" s="639"/>
      <c r="Q240" s="639"/>
      <c r="R240" s="639"/>
      <c r="S240" s="639"/>
      <c r="T240" s="639"/>
      <c r="U240" s="639"/>
      <c r="V240" s="639"/>
      <c r="W240" s="639"/>
      <c r="X240" s="639"/>
      <c r="Y240" s="639"/>
      <c r="Z240" s="639"/>
      <c r="AA240" s="639"/>
      <c r="AB240" s="639"/>
    </row>
    <row r="241" spans="1:28">
      <c r="A241" s="639"/>
      <c r="B241" s="639"/>
      <c r="C241" s="639"/>
      <c r="D241" s="639"/>
      <c r="E241" s="639"/>
      <c r="F241" s="639"/>
      <c r="G241" s="639"/>
      <c r="H241" s="639"/>
      <c r="I241" s="639"/>
      <c r="J241" s="639"/>
      <c r="K241" s="639"/>
      <c r="L241" s="639"/>
      <c r="M241" s="639"/>
      <c r="N241" s="639"/>
      <c r="O241" s="639"/>
      <c r="P241" s="639"/>
      <c r="Q241" s="639"/>
      <c r="R241" s="639"/>
      <c r="S241" s="639"/>
      <c r="T241" s="639"/>
      <c r="U241" s="639"/>
      <c r="V241" s="639"/>
      <c r="W241" s="639"/>
      <c r="X241" s="639"/>
      <c r="Y241" s="639"/>
      <c r="Z241" s="639"/>
      <c r="AA241" s="639"/>
      <c r="AB241" s="639"/>
    </row>
    <row r="242" spans="1:28">
      <c r="A242" s="639"/>
      <c r="B242" s="639"/>
      <c r="C242" s="639"/>
      <c r="D242" s="639"/>
      <c r="E242" s="639"/>
      <c r="F242" s="639"/>
      <c r="G242" s="639"/>
      <c r="H242" s="639"/>
      <c r="I242" s="639"/>
      <c r="J242" s="639"/>
      <c r="K242" s="639"/>
      <c r="L242" s="639"/>
      <c r="M242" s="639"/>
      <c r="N242" s="639"/>
      <c r="O242" s="639"/>
      <c r="P242" s="639"/>
      <c r="Q242" s="639"/>
      <c r="R242" s="639"/>
      <c r="S242" s="639"/>
      <c r="T242" s="639"/>
      <c r="U242" s="639"/>
      <c r="V242" s="639"/>
      <c r="W242" s="639"/>
      <c r="X242" s="639"/>
      <c r="Y242" s="639"/>
      <c r="Z242" s="639"/>
      <c r="AA242" s="639"/>
      <c r="AB242" s="639"/>
    </row>
    <row r="243" spans="1:28">
      <c r="A243" s="639"/>
      <c r="B243" s="639"/>
      <c r="C243" s="639"/>
      <c r="D243" s="639"/>
      <c r="E243" s="639"/>
      <c r="F243" s="639"/>
      <c r="G243" s="639"/>
      <c r="H243" s="639"/>
      <c r="I243" s="639"/>
      <c r="J243" s="639"/>
      <c r="K243" s="639"/>
      <c r="L243" s="639"/>
      <c r="M243" s="639"/>
      <c r="N243" s="639"/>
      <c r="O243" s="639"/>
      <c r="P243" s="639"/>
      <c r="Q243" s="639"/>
      <c r="R243" s="639"/>
      <c r="S243" s="639"/>
      <c r="T243" s="639"/>
      <c r="U243" s="639"/>
      <c r="V243" s="639"/>
      <c r="W243" s="639"/>
      <c r="X243" s="639"/>
      <c r="Y243" s="639"/>
      <c r="Z243" s="639"/>
      <c r="AA243" s="639"/>
      <c r="AB243" s="639"/>
    </row>
    <row r="244" spans="1:28">
      <c r="A244" s="639"/>
      <c r="B244" s="639"/>
      <c r="C244" s="639"/>
      <c r="D244" s="639"/>
      <c r="E244" s="639"/>
      <c r="F244" s="639"/>
      <c r="G244" s="639"/>
      <c r="H244" s="639"/>
      <c r="I244" s="639"/>
      <c r="J244" s="639"/>
      <c r="K244" s="639"/>
      <c r="L244" s="639"/>
      <c r="M244" s="639"/>
      <c r="N244" s="639"/>
      <c r="O244" s="639"/>
      <c r="P244" s="639"/>
      <c r="Q244" s="639"/>
      <c r="R244" s="639"/>
      <c r="S244" s="639"/>
      <c r="T244" s="639"/>
      <c r="U244" s="639"/>
      <c r="V244" s="639"/>
      <c r="W244" s="639"/>
      <c r="X244" s="639"/>
      <c r="Y244" s="639"/>
      <c r="Z244" s="639"/>
      <c r="AA244" s="639"/>
      <c r="AB244" s="639"/>
    </row>
    <row r="245" spans="1:28">
      <c r="A245" s="639"/>
      <c r="B245" s="639"/>
      <c r="C245" s="639"/>
      <c r="D245" s="639"/>
      <c r="E245" s="639"/>
      <c r="F245" s="639"/>
      <c r="G245" s="639"/>
      <c r="H245" s="639"/>
      <c r="I245" s="639"/>
      <c r="J245" s="639"/>
      <c r="K245" s="639"/>
      <c r="L245" s="639"/>
      <c r="M245" s="639"/>
      <c r="N245" s="639"/>
      <c r="O245" s="639"/>
      <c r="P245" s="639"/>
      <c r="Q245" s="639"/>
      <c r="R245" s="639"/>
      <c r="S245" s="639"/>
      <c r="T245" s="639"/>
      <c r="U245" s="639"/>
      <c r="V245" s="639"/>
      <c r="W245" s="639"/>
      <c r="X245" s="639"/>
      <c r="Y245" s="639"/>
      <c r="Z245" s="639"/>
      <c r="AA245" s="639"/>
      <c r="AB245" s="639"/>
    </row>
    <row r="246" spans="1:28">
      <c r="A246" s="639"/>
      <c r="B246" s="639"/>
      <c r="C246" s="639"/>
      <c r="D246" s="639"/>
      <c r="E246" s="639"/>
      <c r="F246" s="639"/>
      <c r="G246" s="639"/>
      <c r="H246" s="639"/>
      <c r="I246" s="639"/>
      <c r="J246" s="639"/>
      <c r="K246" s="639"/>
      <c r="L246" s="639"/>
      <c r="M246" s="639"/>
      <c r="N246" s="639"/>
      <c r="O246" s="639"/>
      <c r="P246" s="639"/>
      <c r="Q246" s="639"/>
      <c r="R246" s="639"/>
      <c r="S246" s="639"/>
      <c r="T246" s="639"/>
      <c r="U246" s="639"/>
      <c r="V246" s="639"/>
      <c r="W246" s="639"/>
      <c r="X246" s="639"/>
      <c r="Y246" s="639"/>
      <c r="Z246" s="639"/>
      <c r="AA246" s="639"/>
      <c r="AB246" s="639"/>
    </row>
    <row r="247" spans="1:28">
      <c r="A247" s="639"/>
      <c r="B247" s="639"/>
      <c r="C247" s="639"/>
      <c r="D247" s="639"/>
      <c r="E247" s="639"/>
      <c r="F247" s="639"/>
      <c r="G247" s="639"/>
      <c r="H247" s="639"/>
      <c r="I247" s="639"/>
      <c r="J247" s="639"/>
      <c r="K247" s="639"/>
      <c r="L247" s="639"/>
      <c r="M247" s="639"/>
      <c r="N247" s="639"/>
      <c r="O247" s="639"/>
      <c r="P247" s="639"/>
      <c r="Q247" s="639"/>
      <c r="R247" s="639"/>
      <c r="S247" s="639"/>
      <c r="T247" s="639"/>
      <c r="U247" s="639"/>
      <c r="V247" s="639"/>
      <c r="W247" s="639"/>
      <c r="X247" s="639"/>
      <c r="Y247" s="639"/>
      <c r="Z247" s="639"/>
      <c r="AA247" s="639"/>
      <c r="AB247" s="639"/>
    </row>
    <row r="248" spans="1:28">
      <c r="A248" s="639"/>
      <c r="B248" s="639"/>
      <c r="C248" s="639"/>
      <c r="D248" s="639"/>
      <c r="E248" s="639"/>
      <c r="F248" s="639"/>
      <c r="G248" s="639"/>
      <c r="H248" s="639"/>
      <c r="I248" s="639"/>
      <c r="J248" s="639"/>
      <c r="K248" s="639"/>
      <c r="L248" s="639"/>
      <c r="M248" s="639"/>
      <c r="N248" s="639"/>
      <c r="O248" s="639"/>
      <c r="P248" s="639"/>
      <c r="Q248" s="639"/>
      <c r="R248" s="639"/>
      <c r="S248" s="639"/>
      <c r="T248" s="639"/>
      <c r="U248" s="639"/>
      <c r="V248" s="639"/>
      <c r="W248" s="639"/>
      <c r="X248" s="639"/>
      <c r="Y248" s="639"/>
      <c r="Z248" s="639"/>
      <c r="AA248" s="639"/>
      <c r="AB248" s="639"/>
    </row>
    <row r="249" spans="1:28">
      <c r="A249" s="639"/>
      <c r="B249" s="639"/>
      <c r="C249" s="639"/>
      <c r="D249" s="639"/>
      <c r="E249" s="639"/>
      <c r="F249" s="639"/>
      <c r="G249" s="639"/>
      <c r="H249" s="639"/>
      <c r="I249" s="639"/>
      <c r="J249" s="639"/>
      <c r="K249" s="639"/>
      <c r="L249" s="639"/>
      <c r="M249" s="639"/>
      <c r="N249" s="639"/>
      <c r="O249" s="639"/>
      <c r="P249" s="639"/>
      <c r="Q249" s="639"/>
      <c r="R249" s="639"/>
      <c r="S249" s="639"/>
      <c r="T249" s="639"/>
      <c r="U249" s="639"/>
      <c r="V249" s="639"/>
      <c r="W249" s="639"/>
      <c r="X249" s="639"/>
      <c r="Y249" s="639"/>
      <c r="Z249" s="639"/>
      <c r="AA249" s="639"/>
      <c r="AB249" s="639"/>
    </row>
    <row r="250" spans="1:28">
      <c r="A250" s="639"/>
      <c r="B250" s="639"/>
      <c r="C250" s="639"/>
      <c r="D250" s="639"/>
      <c r="E250" s="639"/>
      <c r="F250" s="639"/>
      <c r="G250" s="639"/>
      <c r="H250" s="639"/>
      <c r="I250" s="639"/>
      <c r="J250" s="639"/>
      <c r="K250" s="639"/>
      <c r="L250" s="639"/>
      <c r="M250" s="639"/>
      <c r="N250" s="639"/>
      <c r="O250" s="639"/>
      <c r="P250" s="639"/>
      <c r="Q250" s="639"/>
      <c r="R250" s="639"/>
      <c r="S250" s="639"/>
      <c r="T250" s="639"/>
      <c r="U250" s="639"/>
      <c r="V250" s="639"/>
      <c r="W250" s="639"/>
      <c r="X250" s="639"/>
      <c r="Y250" s="639"/>
      <c r="Z250" s="639"/>
      <c r="AA250" s="639"/>
      <c r="AB250" s="639"/>
    </row>
    <row r="251" spans="1:28">
      <c r="A251" s="639"/>
      <c r="B251" s="639"/>
      <c r="C251" s="639"/>
      <c r="D251" s="639"/>
      <c r="E251" s="639"/>
      <c r="F251" s="639"/>
      <c r="G251" s="639"/>
      <c r="H251" s="639"/>
      <c r="I251" s="639"/>
      <c r="J251" s="639"/>
      <c r="K251" s="639"/>
      <c r="L251" s="639"/>
      <c r="M251" s="639"/>
      <c r="N251" s="639"/>
      <c r="O251" s="639"/>
      <c r="P251" s="639"/>
      <c r="Q251" s="639"/>
      <c r="R251" s="639"/>
      <c r="S251" s="639"/>
      <c r="T251" s="639"/>
      <c r="U251" s="639"/>
      <c r="V251" s="639"/>
      <c r="W251" s="639"/>
      <c r="X251" s="639"/>
      <c r="Y251" s="639"/>
      <c r="Z251" s="639"/>
      <c r="AA251" s="639"/>
      <c r="AB251" s="639"/>
    </row>
    <row r="252" spans="1:28">
      <c r="A252" s="639"/>
      <c r="B252" s="639"/>
      <c r="C252" s="639"/>
      <c r="D252" s="639"/>
      <c r="E252" s="639"/>
      <c r="F252" s="639"/>
      <c r="G252" s="639"/>
      <c r="H252" s="639"/>
      <c r="I252" s="639"/>
      <c r="J252" s="639"/>
      <c r="K252" s="639"/>
      <c r="L252" s="639"/>
      <c r="M252" s="639"/>
      <c r="N252" s="639"/>
      <c r="O252" s="639"/>
      <c r="P252" s="639"/>
      <c r="Q252" s="639"/>
      <c r="R252" s="639"/>
      <c r="S252" s="639"/>
      <c r="T252" s="639"/>
      <c r="U252" s="639"/>
      <c r="V252" s="639"/>
      <c r="W252" s="639"/>
      <c r="X252" s="639"/>
      <c r="Y252" s="639"/>
      <c r="Z252" s="639"/>
      <c r="AA252" s="639"/>
      <c r="AB252" s="639"/>
    </row>
    <row r="253" spans="1:28">
      <c r="A253" s="639"/>
      <c r="B253" s="639"/>
      <c r="C253" s="639"/>
      <c r="D253" s="639"/>
      <c r="E253" s="639"/>
      <c r="F253" s="639"/>
      <c r="G253" s="639"/>
      <c r="H253" s="639"/>
      <c r="I253" s="639"/>
      <c r="J253" s="639"/>
      <c r="K253" s="639"/>
      <c r="L253" s="639"/>
      <c r="M253" s="639"/>
      <c r="N253" s="639"/>
      <c r="O253" s="639"/>
      <c r="P253" s="639"/>
      <c r="Q253" s="639"/>
      <c r="R253" s="639"/>
      <c r="S253" s="639"/>
      <c r="T253" s="639"/>
      <c r="U253" s="639"/>
      <c r="V253" s="639"/>
      <c r="W253" s="639"/>
      <c r="X253" s="639"/>
      <c r="Y253" s="639"/>
      <c r="Z253" s="639"/>
      <c r="AA253" s="639"/>
      <c r="AB253" s="639"/>
    </row>
    <row r="254" spans="1:28">
      <c r="A254" s="639"/>
      <c r="B254" s="639"/>
      <c r="C254" s="639"/>
      <c r="D254" s="639"/>
      <c r="E254" s="639"/>
      <c r="F254" s="639"/>
      <c r="G254" s="639"/>
      <c r="H254" s="639"/>
      <c r="I254" s="639"/>
      <c r="J254" s="639"/>
      <c r="K254" s="639"/>
      <c r="L254" s="639"/>
      <c r="M254" s="639"/>
      <c r="N254" s="639"/>
      <c r="O254" s="639"/>
      <c r="P254" s="639"/>
      <c r="Q254" s="639"/>
      <c r="R254" s="639"/>
      <c r="S254" s="639"/>
      <c r="T254" s="639"/>
      <c r="U254" s="639"/>
      <c r="V254" s="639"/>
      <c r="W254" s="639"/>
      <c r="X254" s="639"/>
      <c r="Y254" s="639"/>
      <c r="Z254" s="639"/>
      <c r="AA254" s="639"/>
      <c r="AB254" s="639"/>
    </row>
    <row r="255" spans="1:28">
      <c r="A255" s="639"/>
      <c r="B255" s="639"/>
      <c r="C255" s="639"/>
      <c r="D255" s="639"/>
      <c r="E255" s="639"/>
      <c r="F255" s="639"/>
      <c r="G255" s="639"/>
      <c r="H255" s="639"/>
      <c r="I255" s="639"/>
      <c r="J255" s="639"/>
      <c r="K255" s="639"/>
      <c r="L255" s="639"/>
      <c r="M255" s="639"/>
      <c r="N255" s="639"/>
      <c r="O255" s="639"/>
      <c r="P255" s="639"/>
      <c r="Q255" s="639"/>
      <c r="R255" s="639"/>
      <c r="S255" s="639"/>
      <c r="T255" s="639"/>
      <c r="U255" s="639"/>
      <c r="V255" s="639"/>
      <c r="W255" s="639"/>
      <c r="X255" s="639"/>
      <c r="Y255" s="639"/>
      <c r="Z255" s="639"/>
      <c r="AA255" s="639"/>
      <c r="AB255" s="639"/>
    </row>
    <row r="256" spans="1:28">
      <c r="A256" s="639"/>
      <c r="B256" s="639"/>
      <c r="C256" s="639"/>
      <c r="D256" s="639"/>
      <c r="E256" s="639"/>
      <c r="F256" s="639"/>
      <c r="G256" s="639"/>
      <c r="H256" s="639"/>
      <c r="I256" s="639"/>
      <c r="J256" s="639"/>
      <c r="K256" s="639"/>
      <c r="L256" s="639"/>
      <c r="M256" s="639"/>
      <c r="N256" s="639"/>
      <c r="O256" s="639"/>
      <c r="P256" s="639"/>
      <c r="Q256" s="639"/>
      <c r="R256" s="639"/>
      <c r="S256" s="639"/>
      <c r="T256" s="639"/>
      <c r="U256" s="639"/>
      <c r="V256" s="639"/>
      <c r="W256" s="639"/>
      <c r="X256" s="639"/>
      <c r="Y256" s="639"/>
      <c r="Z256" s="639"/>
      <c r="AA256" s="639"/>
      <c r="AB256" s="639"/>
    </row>
    <row r="257" spans="1:28">
      <c r="A257" s="639"/>
      <c r="B257" s="639"/>
      <c r="C257" s="639"/>
      <c r="D257" s="639"/>
      <c r="E257" s="639"/>
      <c r="F257" s="639"/>
      <c r="G257" s="639"/>
      <c r="H257" s="639"/>
      <c r="I257" s="639"/>
      <c r="J257" s="639"/>
      <c r="K257" s="639"/>
      <c r="L257" s="639"/>
      <c r="M257" s="639"/>
      <c r="N257" s="639"/>
      <c r="O257" s="639"/>
      <c r="P257" s="639"/>
      <c r="Q257" s="639"/>
      <c r="R257" s="639"/>
      <c r="S257" s="639"/>
      <c r="T257" s="639"/>
      <c r="U257" s="639"/>
      <c r="V257" s="639"/>
      <c r="W257" s="639"/>
      <c r="X257" s="639"/>
      <c r="Y257" s="639"/>
      <c r="Z257" s="639"/>
      <c r="AA257" s="639"/>
      <c r="AB257" s="639"/>
    </row>
    <row r="258" spans="1:28">
      <c r="A258" s="639"/>
      <c r="B258" s="639"/>
      <c r="C258" s="639"/>
      <c r="D258" s="639"/>
      <c r="E258" s="639"/>
      <c r="F258" s="639"/>
      <c r="G258" s="639"/>
      <c r="H258" s="639"/>
      <c r="I258" s="639"/>
      <c r="J258" s="639"/>
      <c r="K258" s="639"/>
      <c r="L258" s="639"/>
      <c r="M258" s="639"/>
      <c r="N258" s="639"/>
      <c r="O258" s="639"/>
      <c r="P258" s="639"/>
      <c r="Q258" s="639"/>
      <c r="R258" s="639"/>
      <c r="S258" s="639"/>
      <c r="T258" s="639"/>
      <c r="U258" s="639"/>
      <c r="V258" s="639"/>
      <c r="W258" s="639"/>
      <c r="X258" s="639"/>
      <c r="Y258" s="639"/>
      <c r="Z258" s="639"/>
      <c r="AA258" s="639"/>
      <c r="AB258" s="639"/>
    </row>
    <row r="259" spans="1:28">
      <c r="A259" s="639"/>
      <c r="B259" s="639"/>
      <c r="C259" s="639"/>
      <c r="D259" s="639"/>
      <c r="E259" s="639"/>
      <c r="F259" s="639"/>
      <c r="G259" s="639"/>
      <c r="H259" s="639"/>
      <c r="I259" s="639"/>
      <c r="J259" s="639"/>
      <c r="K259" s="639"/>
      <c r="L259" s="639"/>
      <c r="M259" s="639"/>
      <c r="N259" s="639"/>
      <c r="O259" s="639"/>
      <c r="P259" s="639"/>
      <c r="Q259" s="639"/>
      <c r="R259" s="639"/>
      <c r="S259" s="639"/>
      <c r="T259" s="639"/>
      <c r="U259" s="639"/>
      <c r="V259" s="639"/>
      <c r="W259" s="639"/>
      <c r="X259" s="639"/>
      <c r="Y259" s="639"/>
      <c r="Z259" s="639"/>
      <c r="AA259" s="639"/>
      <c r="AB259" s="639"/>
    </row>
    <row r="260" spans="1:28">
      <c r="A260" s="639"/>
      <c r="B260" s="639"/>
      <c r="C260" s="639"/>
      <c r="D260" s="639"/>
      <c r="E260" s="639"/>
      <c r="F260" s="639"/>
      <c r="G260" s="639"/>
      <c r="H260" s="639"/>
      <c r="I260" s="639"/>
      <c r="J260" s="639"/>
      <c r="K260" s="639"/>
      <c r="L260" s="639"/>
      <c r="M260" s="639"/>
      <c r="N260" s="639"/>
      <c r="O260" s="639"/>
      <c r="P260" s="639"/>
      <c r="Q260" s="639"/>
      <c r="R260" s="639"/>
      <c r="S260" s="639"/>
      <c r="T260" s="639"/>
      <c r="U260" s="639"/>
      <c r="V260" s="639"/>
      <c r="W260" s="639"/>
      <c r="X260" s="639"/>
      <c r="Y260" s="639"/>
      <c r="Z260" s="639"/>
      <c r="AA260" s="639"/>
      <c r="AB260" s="639"/>
    </row>
    <row r="261" spans="1:28">
      <c r="A261" s="639"/>
      <c r="B261" s="639"/>
      <c r="C261" s="639"/>
      <c r="D261" s="639"/>
      <c r="E261" s="639"/>
      <c r="F261" s="639"/>
      <c r="G261" s="639"/>
      <c r="H261" s="639"/>
      <c r="I261" s="639"/>
      <c r="J261" s="639"/>
      <c r="K261" s="639"/>
      <c r="L261" s="639"/>
      <c r="M261" s="639"/>
      <c r="N261" s="639"/>
      <c r="O261" s="639"/>
      <c r="P261" s="639"/>
      <c r="Q261" s="639"/>
      <c r="R261" s="639"/>
      <c r="S261" s="639"/>
      <c r="T261" s="639"/>
      <c r="U261" s="639"/>
      <c r="V261" s="639"/>
      <c r="W261" s="639"/>
      <c r="X261" s="639"/>
      <c r="Y261" s="639"/>
      <c r="Z261" s="639"/>
      <c r="AA261" s="639"/>
      <c r="AB261" s="639"/>
    </row>
    <row r="262" spans="1:28">
      <c r="A262" s="639"/>
      <c r="B262" s="639"/>
      <c r="C262" s="639"/>
      <c r="D262" s="639"/>
      <c r="E262" s="639"/>
      <c r="F262" s="639"/>
      <c r="G262" s="639"/>
      <c r="H262" s="639"/>
      <c r="I262" s="639"/>
      <c r="J262" s="639"/>
      <c r="K262" s="639"/>
      <c r="L262" s="639"/>
      <c r="M262" s="639"/>
      <c r="N262" s="639"/>
      <c r="O262" s="639"/>
      <c r="P262" s="639"/>
      <c r="Q262" s="639"/>
      <c r="R262" s="639"/>
      <c r="S262" s="639"/>
      <c r="T262" s="639"/>
      <c r="U262" s="639"/>
      <c r="V262" s="639"/>
      <c r="W262" s="639"/>
      <c r="X262" s="639"/>
      <c r="Y262" s="639"/>
      <c r="Z262" s="639"/>
      <c r="AA262" s="639"/>
      <c r="AB262" s="639"/>
    </row>
    <row r="263" spans="1:28">
      <c r="A263" s="639"/>
      <c r="B263" s="639"/>
      <c r="C263" s="639"/>
      <c r="D263" s="639"/>
      <c r="E263" s="639"/>
      <c r="F263" s="639"/>
      <c r="G263" s="639"/>
      <c r="H263" s="639"/>
      <c r="I263" s="639"/>
      <c r="J263" s="639"/>
      <c r="K263" s="639"/>
      <c r="L263" s="639"/>
      <c r="M263" s="639"/>
      <c r="N263" s="639"/>
      <c r="O263" s="639"/>
      <c r="P263" s="639"/>
      <c r="Q263" s="639"/>
      <c r="R263" s="639"/>
      <c r="S263" s="639"/>
      <c r="T263" s="639"/>
      <c r="U263" s="639"/>
      <c r="V263" s="639"/>
      <c r="W263" s="639"/>
      <c r="X263" s="639"/>
      <c r="Y263" s="639"/>
      <c r="Z263" s="639"/>
      <c r="AA263" s="639"/>
      <c r="AB263" s="639"/>
    </row>
    <row r="264" spans="1:28">
      <c r="A264" s="639"/>
      <c r="B264" s="639"/>
      <c r="C264" s="639"/>
      <c r="D264" s="639"/>
      <c r="E264" s="639"/>
      <c r="F264" s="639"/>
      <c r="G264" s="639"/>
      <c r="H264" s="639"/>
      <c r="I264" s="639"/>
      <c r="J264" s="639"/>
      <c r="K264" s="639"/>
      <c r="L264" s="639"/>
      <c r="M264" s="639"/>
      <c r="N264" s="639"/>
      <c r="O264" s="639"/>
      <c r="P264" s="639"/>
      <c r="Q264" s="639"/>
      <c r="R264" s="639"/>
      <c r="S264" s="639"/>
      <c r="T264" s="639"/>
      <c r="U264" s="639"/>
      <c r="V264" s="639"/>
      <c r="W264" s="639"/>
      <c r="X264" s="639"/>
      <c r="Y264" s="639"/>
      <c r="Z264" s="639"/>
      <c r="AA264" s="639"/>
      <c r="AB264" s="639"/>
    </row>
    <row r="265" spans="1:28">
      <c r="A265" s="639"/>
      <c r="B265" s="639"/>
      <c r="C265" s="639"/>
      <c r="D265" s="639"/>
      <c r="E265" s="639"/>
      <c r="F265" s="639"/>
      <c r="G265" s="639"/>
      <c r="H265" s="639"/>
      <c r="I265" s="639"/>
      <c r="J265" s="639"/>
      <c r="K265" s="639"/>
      <c r="L265" s="639"/>
      <c r="M265" s="639"/>
      <c r="N265" s="639"/>
      <c r="O265" s="639"/>
      <c r="P265" s="639"/>
      <c r="Q265" s="639"/>
      <c r="R265" s="639"/>
      <c r="S265" s="639"/>
      <c r="T265" s="639"/>
      <c r="U265" s="639"/>
      <c r="V265" s="639"/>
      <c r="W265" s="639"/>
      <c r="X265" s="639"/>
      <c r="Y265" s="639"/>
      <c r="Z265" s="639"/>
      <c r="AA265" s="639"/>
      <c r="AB265" s="639"/>
    </row>
    <row r="266" spans="1:28">
      <c r="A266" s="639"/>
      <c r="B266" s="639"/>
      <c r="C266" s="639"/>
      <c r="D266" s="639"/>
      <c r="E266" s="639"/>
      <c r="F266" s="639"/>
      <c r="G266" s="639"/>
      <c r="H266" s="639"/>
      <c r="I266" s="639"/>
      <c r="J266" s="639"/>
      <c r="K266" s="639"/>
      <c r="L266" s="639"/>
      <c r="M266" s="639"/>
      <c r="N266" s="639"/>
      <c r="O266" s="639"/>
      <c r="P266" s="639"/>
      <c r="Q266" s="639"/>
      <c r="R266" s="639"/>
      <c r="S266" s="639"/>
      <c r="T266" s="639"/>
      <c r="U266" s="639"/>
      <c r="V266" s="639"/>
      <c r="W266" s="639"/>
      <c r="X266" s="639"/>
      <c r="Y266" s="639"/>
      <c r="Z266" s="639"/>
      <c r="AA266" s="639"/>
      <c r="AB266" s="639"/>
    </row>
    <row r="267" spans="1:28">
      <c r="A267" s="639"/>
      <c r="B267" s="639"/>
      <c r="C267" s="639"/>
      <c r="D267" s="639"/>
      <c r="E267" s="639"/>
      <c r="F267" s="639"/>
      <c r="G267" s="639"/>
      <c r="H267" s="639"/>
      <c r="I267" s="639"/>
      <c r="J267" s="639"/>
      <c r="K267" s="639"/>
      <c r="L267" s="639"/>
      <c r="M267" s="639"/>
      <c r="N267" s="639"/>
      <c r="O267" s="639"/>
      <c r="P267" s="639"/>
      <c r="Q267" s="639"/>
      <c r="R267" s="639"/>
      <c r="S267" s="639"/>
      <c r="T267" s="639"/>
      <c r="U267" s="639"/>
      <c r="V267" s="639"/>
      <c r="W267" s="639"/>
      <c r="X267" s="639"/>
      <c r="Y267" s="639"/>
      <c r="Z267" s="639"/>
      <c r="AA267" s="639"/>
      <c r="AB267" s="639"/>
    </row>
    <row r="268" spans="1:28">
      <c r="A268" s="639"/>
      <c r="B268" s="639"/>
      <c r="C268" s="639"/>
      <c r="D268" s="639"/>
      <c r="E268" s="639"/>
      <c r="F268" s="639"/>
      <c r="G268" s="639"/>
      <c r="H268" s="639"/>
      <c r="I268" s="639"/>
      <c r="J268" s="639"/>
      <c r="K268" s="639"/>
      <c r="L268" s="639"/>
      <c r="M268" s="639"/>
      <c r="N268" s="639"/>
      <c r="O268" s="639"/>
      <c r="P268" s="639"/>
      <c r="Q268" s="639"/>
      <c r="R268" s="639"/>
      <c r="S268" s="639"/>
      <c r="T268" s="639"/>
      <c r="U268" s="639"/>
      <c r="V268" s="639"/>
      <c r="W268" s="639"/>
      <c r="X268" s="639"/>
      <c r="Y268" s="639"/>
      <c r="Z268" s="639"/>
      <c r="AA268" s="639"/>
      <c r="AB268" s="639"/>
    </row>
    <row r="269" spans="1:28">
      <c r="A269" s="639"/>
      <c r="B269" s="639"/>
      <c r="C269" s="639"/>
      <c r="D269" s="639"/>
      <c r="E269" s="639"/>
      <c r="F269" s="639"/>
      <c r="G269" s="639"/>
      <c r="H269" s="639"/>
      <c r="I269" s="639"/>
      <c r="J269" s="639"/>
      <c r="K269" s="639"/>
      <c r="L269" s="639"/>
      <c r="M269" s="639"/>
      <c r="N269" s="639"/>
      <c r="O269" s="639"/>
      <c r="P269" s="639"/>
      <c r="Q269" s="639"/>
      <c r="R269" s="639"/>
      <c r="S269" s="639"/>
      <c r="T269" s="639"/>
      <c r="U269" s="639"/>
      <c r="V269" s="639"/>
      <c r="W269" s="639"/>
      <c r="X269" s="639"/>
      <c r="Y269" s="639"/>
      <c r="Z269" s="639"/>
      <c r="AA269" s="639"/>
      <c r="AB269" s="639"/>
    </row>
    <row r="270" spans="1:28">
      <c r="A270" s="639"/>
      <c r="B270" s="639"/>
      <c r="C270" s="639"/>
      <c r="D270" s="639"/>
      <c r="E270" s="639"/>
      <c r="F270" s="639"/>
      <c r="G270" s="639"/>
      <c r="H270" s="639"/>
      <c r="I270" s="639"/>
      <c r="J270" s="639"/>
      <c r="K270" s="639"/>
      <c r="L270" s="639"/>
      <c r="M270" s="639"/>
      <c r="N270" s="639"/>
      <c r="O270" s="639"/>
      <c r="P270" s="639"/>
      <c r="Q270" s="639"/>
      <c r="R270" s="639"/>
      <c r="S270" s="639"/>
      <c r="T270" s="639"/>
      <c r="U270" s="639"/>
      <c r="V270" s="639"/>
      <c r="W270" s="639"/>
      <c r="X270" s="639"/>
      <c r="Y270" s="639"/>
      <c r="Z270" s="639"/>
      <c r="AA270" s="639"/>
      <c r="AB270" s="639"/>
    </row>
    <row r="271" spans="1:28">
      <c r="A271" s="639"/>
      <c r="B271" s="639"/>
      <c r="C271" s="639"/>
      <c r="D271" s="639"/>
      <c r="E271" s="639"/>
      <c r="F271" s="639"/>
      <c r="G271" s="639"/>
      <c r="H271" s="639"/>
      <c r="I271" s="639"/>
      <c r="J271" s="639"/>
      <c r="K271" s="639"/>
      <c r="L271" s="639"/>
      <c r="M271" s="639"/>
      <c r="N271" s="639"/>
      <c r="O271" s="639"/>
      <c r="P271" s="639"/>
      <c r="Q271" s="639"/>
      <c r="R271" s="639"/>
      <c r="S271" s="639"/>
      <c r="T271" s="639"/>
      <c r="U271" s="639"/>
      <c r="V271" s="639"/>
      <c r="W271" s="639"/>
      <c r="X271" s="639"/>
      <c r="Y271" s="639"/>
      <c r="Z271" s="639"/>
      <c r="AA271" s="639"/>
      <c r="AB271" s="639"/>
    </row>
    <row r="272" spans="1:28">
      <c r="A272" s="639"/>
      <c r="B272" s="639"/>
      <c r="C272" s="639"/>
      <c r="D272" s="639"/>
      <c r="E272" s="639"/>
      <c r="F272" s="639"/>
      <c r="G272" s="639"/>
      <c r="H272" s="639"/>
      <c r="I272" s="639"/>
      <c r="J272" s="639"/>
      <c r="K272" s="639"/>
      <c r="L272" s="639"/>
      <c r="M272" s="639"/>
      <c r="N272" s="639"/>
      <c r="O272" s="639"/>
      <c r="P272" s="639"/>
      <c r="Q272" s="639"/>
      <c r="R272" s="639"/>
      <c r="S272" s="639"/>
      <c r="T272" s="639"/>
      <c r="U272" s="639"/>
      <c r="V272" s="639"/>
      <c r="W272" s="639"/>
      <c r="X272" s="639"/>
      <c r="Y272" s="639"/>
      <c r="Z272" s="639"/>
      <c r="AA272" s="639"/>
      <c r="AB272" s="639"/>
    </row>
    <row r="273" spans="1:28">
      <c r="A273" s="639"/>
      <c r="B273" s="639"/>
      <c r="C273" s="639"/>
      <c r="D273" s="639"/>
      <c r="E273" s="639"/>
      <c r="F273" s="639"/>
      <c r="G273" s="639"/>
      <c r="H273" s="639"/>
      <c r="I273" s="639"/>
      <c r="J273" s="639"/>
      <c r="K273" s="639"/>
      <c r="L273" s="639"/>
      <c r="M273" s="639"/>
      <c r="N273" s="639"/>
      <c r="O273" s="639"/>
      <c r="P273" s="639"/>
      <c r="Q273" s="639"/>
      <c r="R273" s="639"/>
      <c r="S273" s="639"/>
      <c r="T273" s="639"/>
      <c r="U273" s="639"/>
      <c r="V273" s="639"/>
      <c r="W273" s="639"/>
      <c r="X273" s="639"/>
      <c r="Y273" s="639"/>
      <c r="Z273" s="639"/>
      <c r="AA273" s="639"/>
      <c r="AB273" s="639"/>
    </row>
    <row r="274" spans="1:28">
      <c r="A274" s="639"/>
      <c r="B274" s="639"/>
      <c r="C274" s="639"/>
      <c r="D274" s="639"/>
      <c r="E274" s="639"/>
      <c r="F274" s="639"/>
      <c r="G274" s="639"/>
      <c r="H274" s="639"/>
      <c r="I274" s="639"/>
      <c r="J274" s="639"/>
      <c r="K274" s="639"/>
      <c r="L274" s="639"/>
      <c r="M274" s="639"/>
      <c r="N274" s="639"/>
      <c r="O274" s="639"/>
      <c r="P274" s="639"/>
      <c r="Q274" s="639"/>
      <c r="R274" s="639"/>
      <c r="S274" s="639"/>
      <c r="T274" s="639"/>
      <c r="U274" s="639"/>
      <c r="V274" s="639"/>
      <c r="W274" s="639"/>
      <c r="X274" s="639"/>
      <c r="Y274" s="639"/>
      <c r="Z274" s="639"/>
      <c r="AA274" s="639"/>
      <c r="AB274" s="639"/>
    </row>
    <row r="275" spans="1:28">
      <c r="A275" s="639"/>
      <c r="B275" s="639"/>
      <c r="C275" s="639"/>
      <c r="D275" s="639"/>
      <c r="E275" s="639"/>
      <c r="F275" s="639"/>
      <c r="G275" s="639"/>
      <c r="H275" s="639"/>
      <c r="I275" s="639"/>
      <c r="J275" s="639"/>
      <c r="K275" s="639"/>
      <c r="L275" s="639"/>
      <c r="M275" s="639"/>
      <c r="N275" s="639"/>
      <c r="O275" s="639"/>
      <c r="P275" s="639"/>
      <c r="Q275" s="639"/>
      <c r="R275" s="639"/>
      <c r="S275" s="639"/>
      <c r="T275" s="639"/>
      <c r="U275" s="639"/>
      <c r="V275" s="639"/>
      <c r="W275" s="639"/>
      <c r="X275" s="639"/>
      <c r="Y275" s="639"/>
      <c r="Z275" s="639"/>
      <c r="AA275" s="639"/>
      <c r="AB275" s="639"/>
    </row>
    <row r="276" spans="1:28">
      <c r="A276" s="639"/>
      <c r="B276" s="639"/>
      <c r="C276" s="639"/>
      <c r="D276" s="639"/>
      <c r="E276" s="639"/>
      <c r="F276" s="639"/>
      <c r="G276" s="639"/>
      <c r="H276" s="639"/>
      <c r="I276" s="639"/>
      <c r="J276" s="639"/>
      <c r="K276" s="639"/>
      <c r="L276" s="639"/>
      <c r="M276" s="639"/>
      <c r="N276" s="639"/>
      <c r="O276" s="639"/>
      <c r="P276" s="639"/>
      <c r="Q276" s="639"/>
      <c r="R276" s="639"/>
      <c r="S276" s="639"/>
      <c r="T276" s="639"/>
      <c r="U276" s="639"/>
      <c r="V276" s="639"/>
      <c r="W276" s="639"/>
      <c r="X276" s="639"/>
      <c r="Y276" s="639"/>
      <c r="Z276" s="639"/>
      <c r="AA276" s="639"/>
      <c r="AB276" s="639"/>
    </row>
    <row r="277" spans="1:28">
      <c r="A277" s="639"/>
      <c r="B277" s="639"/>
      <c r="C277" s="639"/>
      <c r="D277" s="639"/>
      <c r="E277" s="639"/>
      <c r="F277" s="639"/>
      <c r="G277" s="639"/>
      <c r="H277" s="639"/>
      <c r="I277" s="639"/>
      <c r="J277" s="639"/>
      <c r="K277" s="639"/>
      <c r="L277" s="639"/>
      <c r="M277" s="639"/>
      <c r="N277" s="639"/>
      <c r="O277" s="639"/>
      <c r="P277" s="639"/>
      <c r="Q277" s="639"/>
      <c r="R277" s="639"/>
      <c r="S277" s="639"/>
      <c r="T277" s="639"/>
      <c r="U277" s="639"/>
      <c r="V277" s="639"/>
      <c r="W277" s="639"/>
      <c r="X277" s="639"/>
      <c r="Y277" s="639"/>
      <c r="Z277" s="639"/>
      <c r="AA277" s="639"/>
      <c r="AB277" s="639"/>
    </row>
    <row r="278" spans="1:28">
      <c r="A278" s="639"/>
      <c r="B278" s="639"/>
      <c r="C278" s="639"/>
      <c r="D278" s="639"/>
      <c r="E278" s="639"/>
      <c r="F278" s="639"/>
      <c r="G278" s="639"/>
      <c r="H278" s="639"/>
      <c r="I278" s="639"/>
      <c r="J278" s="639"/>
      <c r="K278" s="639"/>
      <c r="L278" s="639"/>
      <c r="M278" s="639"/>
      <c r="N278" s="639"/>
      <c r="O278" s="639"/>
      <c r="P278" s="639"/>
      <c r="Q278" s="639"/>
      <c r="R278" s="639"/>
      <c r="S278" s="639"/>
      <c r="T278" s="639"/>
      <c r="U278" s="639"/>
      <c r="V278" s="639"/>
      <c r="W278" s="639"/>
      <c r="X278" s="639"/>
      <c r="Y278" s="639"/>
      <c r="Z278" s="639"/>
      <c r="AA278" s="639"/>
      <c r="AB278" s="639"/>
    </row>
    <row r="279" spans="1:28">
      <c r="A279" s="639"/>
      <c r="B279" s="639"/>
      <c r="C279" s="639"/>
      <c r="D279" s="639"/>
      <c r="E279" s="639"/>
      <c r="F279" s="639"/>
      <c r="G279" s="639"/>
      <c r="H279" s="639"/>
      <c r="I279" s="639"/>
      <c r="J279" s="639"/>
      <c r="K279" s="639"/>
      <c r="L279" s="639"/>
      <c r="M279" s="639"/>
      <c r="N279" s="639"/>
      <c r="O279" s="639"/>
      <c r="P279" s="639"/>
      <c r="Q279" s="639"/>
      <c r="R279" s="639"/>
      <c r="S279" s="639"/>
      <c r="T279" s="639"/>
      <c r="U279" s="639"/>
      <c r="V279" s="639"/>
      <c r="W279" s="639"/>
      <c r="X279" s="639"/>
      <c r="Y279" s="639"/>
      <c r="Z279" s="639"/>
      <c r="AA279" s="639"/>
      <c r="AB279" s="639"/>
    </row>
    <row r="280" spans="1:28">
      <c r="A280" s="639"/>
      <c r="B280" s="639"/>
      <c r="C280" s="639"/>
      <c r="D280" s="639"/>
      <c r="E280" s="639"/>
      <c r="F280" s="639"/>
      <c r="G280" s="639"/>
      <c r="H280" s="639"/>
      <c r="I280" s="639"/>
      <c r="J280" s="639"/>
      <c r="K280" s="639"/>
      <c r="L280" s="639"/>
      <c r="M280" s="639"/>
      <c r="N280" s="639"/>
      <c r="O280" s="639"/>
      <c r="P280" s="639"/>
      <c r="Q280" s="639"/>
      <c r="R280" s="639"/>
      <c r="S280" s="639"/>
      <c r="T280" s="639"/>
      <c r="U280" s="639"/>
      <c r="V280" s="639"/>
      <c r="W280" s="639"/>
      <c r="X280" s="639"/>
      <c r="Y280" s="639"/>
      <c r="Z280" s="639"/>
      <c r="AA280" s="639"/>
      <c r="AB280" s="639"/>
    </row>
    <row r="281" spans="1:28">
      <c r="A281" s="639"/>
      <c r="B281" s="639"/>
      <c r="C281" s="639"/>
      <c r="D281" s="639"/>
      <c r="E281" s="639"/>
      <c r="F281" s="639"/>
      <c r="G281" s="639"/>
      <c r="H281" s="639"/>
      <c r="I281" s="639"/>
      <c r="J281" s="639"/>
      <c r="K281" s="639"/>
      <c r="L281" s="639"/>
      <c r="M281" s="639"/>
      <c r="N281" s="639"/>
      <c r="O281" s="639"/>
      <c r="P281" s="639"/>
      <c r="Q281" s="639"/>
      <c r="R281" s="639"/>
      <c r="S281" s="639"/>
      <c r="T281" s="639"/>
      <c r="U281" s="639"/>
      <c r="V281" s="639"/>
      <c r="W281" s="639"/>
      <c r="X281" s="639"/>
      <c r="Y281" s="639"/>
      <c r="Z281" s="639"/>
      <c r="AA281" s="639"/>
      <c r="AB281" s="639"/>
    </row>
    <row r="282" spans="1:28">
      <c r="A282" s="639"/>
      <c r="B282" s="639"/>
      <c r="C282" s="639"/>
      <c r="D282" s="639"/>
      <c r="E282" s="639"/>
      <c r="F282" s="639"/>
      <c r="G282" s="639"/>
      <c r="H282" s="639"/>
      <c r="I282" s="639"/>
      <c r="J282" s="639"/>
      <c r="K282" s="639"/>
      <c r="L282" s="639"/>
      <c r="M282" s="639"/>
      <c r="N282" s="639"/>
      <c r="O282" s="639"/>
      <c r="P282" s="639"/>
      <c r="Q282" s="639"/>
      <c r="R282" s="639"/>
      <c r="S282" s="639"/>
      <c r="T282" s="639"/>
      <c r="U282" s="639"/>
      <c r="V282" s="639"/>
      <c r="W282" s="639"/>
      <c r="X282" s="639"/>
      <c r="Y282" s="639"/>
      <c r="Z282" s="639"/>
      <c r="AA282" s="639"/>
      <c r="AB282" s="639"/>
    </row>
    <row r="283" spans="1:28">
      <c r="A283" s="639"/>
      <c r="B283" s="639"/>
      <c r="C283" s="639"/>
      <c r="D283" s="639"/>
      <c r="E283" s="639"/>
      <c r="F283" s="639"/>
      <c r="G283" s="639"/>
      <c r="H283" s="639"/>
      <c r="I283" s="639"/>
      <c r="J283" s="639"/>
      <c r="K283" s="639"/>
      <c r="L283" s="639"/>
      <c r="M283" s="639"/>
      <c r="N283" s="639"/>
      <c r="O283" s="639"/>
      <c r="P283" s="639"/>
      <c r="Q283" s="639"/>
      <c r="R283" s="639"/>
      <c r="S283" s="639"/>
      <c r="T283" s="639"/>
      <c r="U283" s="639"/>
      <c r="V283" s="639"/>
      <c r="W283" s="639"/>
      <c r="X283" s="639"/>
      <c r="Y283" s="639"/>
      <c r="Z283" s="639"/>
      <c r="AA283" s="639"/>
      <c r="AB283" s="639"/>
    </row>
    <row r="284" spans="1:28">
      <c r="A284" s="639"/>
      <c r="B284" s="639"/>
      <c r="C284" s="639"/>
      <c r="D284" s="639"/>
      <c r="E284" s="639"/>
      <c r="F284" s="639"/>
      <c r="G284" s="639"/>
      <c r="H284" s="639"/>
      <c r="I284" s="639"/>
      <c r="J284" s="639"/>
      <c r="K284" s="639"/>
      <c r="L284" s="639"/>
      <c r="M284" s="639"/>
      <c r="N284" s="639"/>
      <c r="O284" s="639"/>
      <c r="P284" s="639"/>
      <c r="Q284" s="639"/>
      <c r="R284" s="639"/>
      <c r="S284" s="639"/>
      <c r="T284" s="639"/>
      <c r="U284" s="639"/>
      <c r="V284" s="639"/>
      <c r="W284" s="639"/>
      <c r="X284" s="639"/>
      <c r="Y284" s="639"/>
      <c r="Z284" s="639"/>
      <c r="AA284" s="639"/>
      <c r="AB284" s="639"/>
    </row>
    <row r="285" spans="1:28">
      <c r="A285" s="639"/>
      <c r="B285" s="639"/>
      <c r="C285" s="639"/>
      <c r="D285" s="639"/>
      <c r="E285" s="639"/>
      <c r="F285" s="639"/>
      <c r="G285" s="639"/>
      <c r="H285" s="639"/>
      <c r="I285" s="639"/>
      <c r="J285" s="639"/>
      <c r="K285" s="639"/>
      <c r="L285" s="639"/>
      <c r="M285" s="639"/>
      <c r="N285" s="639"/>
      <c r="O285" s="639"/>
      <c r="P285" s="639"/>
      <c r="Q285" s="639"/>
      <c r="R285" s="639"/>
      <c r="S285" s="639"/>
      <c r="T285" s="639"/>
      <c r="U285" s="639"/>
      <c r="V285" s="639"/>
      <c r="W285" s="639"/>
      <c r="X285" s="639"/>
      <c r="Y285" s="639"/>
      <c r="Z285" s="639"/>
      <c r="AA285" s="639"/>
      <c r="AB285" s="639"/>
    </row>
    <row r="286" spans="1:28">
      <c r="A286" s="639"/>
      <c r="B286" s="639"/>
      <c r="C286" s="639"/>
      <c r="D286" s="639"/>
      <c r="E286" s="639"/>
      <c r="F286" s="639"/>
      <c r="G286" s="639"/>
      <c r="H286" s="639"/>
      <c r="I286" s="639"/>
      <c r="J286" s="639"/>
      <c r="K286" s="639"/>
      <c r="L286" s="639"/>
      <c r="M286" s="639"/>
      <c r="N286" s="639"/>
      <c r="O286" s="639"/>
      <c r="P286" s="639"/>
      <c r="Q286" s="639"/>
      <c r="R286" s="639"/>
      <c r="S286" s="639"/>
      <c r="T286" s="639"/>
      <c r="U286" s="639"/>
      <c r="V286" s="639"/>
      <c r="W286" s="639"/>
      <c r="X286" s="639"/>
      <c r="Y286" s="639"/>
      <c r="Z286" s="639"/>
      <c r="AA286" s="639"/>
      <c r="AB286" s="639"/>
    </row>
    <row r="287" spans="1:28">
      <c r="A287" s="639"/>
      <c r="B287" s="639"/>
      <c r="C287" s="639"/>
      <c r="D287" s="639"/>
      <c r="E287" s="639"/>
      <c r="F287" s="639"/>
      <c r="G287" s="639"/>
      <c r="H287" s="639"/>
      <c r="I287" s="639"/>
      <c r="J287" s="639"/>
      <c r="K287" s="639"/>
      <c r="L287" s="639"/>
      <c r="M287" s="639"/>
      <c r="N287" s="639"/>
      <c r="O287" s="639"/>
      <c r="P287" s="639"/>
      <c r="Q287" s="639"/>
      <c r="R287" s="639"/>
      <c r="S287" s="639"/>
      <c r="T287" s="639"/>
      <c r="U287" s="639"/>
      <c r="V287" s="639"/>
      <c r="W287" s="639"/>
      <c r="X287" s="639"/>
      <c r="Y287" s="639"/>
      <c r="Z287" s="639"/>
      <c r="AA287" s="639"/>
      <c r="AB287" s="639"/>
    </row>
    <row r="288" spans="1:28">
      <c r="A288" s="639"/>
      <c r="B288" s="639"/>
      <c r="C288" s="639"/>
      <c r="D288" s="639"/>
      <c r="E288" s="639"/>
      <c r="F288" s="639"/>
      <c r="G288" s="639"/>
      <c r="H288" s="639"/>
      <c r="I288" s="639"/>
      <c r="J288" s="639"/>
      <c r="K288" s="639"/>
      <c r="L288" s="639"/>
      <c r="M288" s="639"/>
      <c r="N288" s="639"/>
      <c r="O288" s="639"/>
      <c r="P288" s="639"/>
      <c r="Q288" s="639"/>
      <c r="R288" s="639"/>
      <c r="S288" s="639"/>
      <c r="T288" s="639"/>
      <c r="U288" s="639"/>
      <c r="V288" s="639"/>
      <c r="W288" s="639"/>
      <c r="X288" s="639"/>
      <c r="Y288" s="639"/>
      <c r="Z288" s="639"/>
      <c r="AA288" s="639"/>
      <c r="AB288" s="639"/>
    </row>
    <row r="289" spans="1:28">
      <c r="A289" s="639"/>
      <c r="B289" s="639"/>
      <c r="C289" s="639"/>
      <c r="D289" s="639"/>
      <c r="E289" s="639"/>
      <c r="F289" s="639"/>
      <c r="G289" s="639"/>
      <c r="H289" s="639"/>
      <c r="I289" s="639"/>
      <c r="J289" s="639"/>
      <c r="K289" s="639"/>
      <c r="L289" s="639"/>
      <c r="M289" s="639"/>
      <c r="N289" s="639"/>
      <c r="O289" s="639"/>
      <c r="P289" s="639"/>
      <c r="Q289" s="639"/>
      <c r="R289" s="639"/>
      <c r="S289" s="639"/>
      <c r="T289" s="639"/>
      <c r="U289" s="639"/>
      <c r="V289" s="639"/>
      <c r="W289" s="639"/>
      <c r="X289" s="639"/>
      <c r="Y289" s="639"/>
      <c r="Z289" s="639"/>
      <c r="AA289" s="639"/>
      <c r="AB289" s="639"/>
    </row>
    <row r="290" spans="1:28">
      <c r="A290" s="639"/>
      <c r="B290" s="639"/>
      <c r="C290" s="639"/>
      <c r="D290" s="639"/>
      <c r="E290" s="639"/>
      <c r="F290" s="639"/>
      <c r="G290" s="639"/>
      <c r="H290" s="639"/>
      <c r="I290" s="639"/>
      <c r="J290" s="639"/>
      <c r="K290" s="639"/>
      <c r="L290" s="639"/>
      <c r="M290" s="639"/>
      <c r="N290" s="639"/>
      <c r="O290" s="639"/>
      <c r="P290" s="639"/>
      <c r="Q290" s="639"/>
      <c r="R290" s="639"/>
      <c r="S290" s="639"/>
      <c r="T290" s="639"/>
      <c r="U290" s="639"/>
      <c r="V290" s="639"/>
      <c r="W290" s="639"/>
      <c r="X290" s="639"/>
      <c r="Y290" s="639"/>
      <c r="Z290" s="639"/>
      <c r="AA290" s="639"/>
      <c r="AB290" s="639"/>
    </row>
    <row r="291" spans="1:28">
      <c r="A291" s="639"/>
      <c r="B291" s="639"/>
      <c r="C291" s="639"/>
      <c r="D291" s="639"/>
      <c r="E291" s="639"/>
      <c r="F291" s="639"/>
      <c r="G291" s="639"/>
      <c r="H291" s="639"/>
      <c r="I291" s="639"/>
      <c r="J291" s="639"/>
      <c r="K291" s="639"/>
      <c r="L291" s="639"/>
      <c r="M291" s="639"/>
      <c r="N291" s="639"/>
      <c r="O291" s="639"/>
      <c r="P291" s="639"/>
      <c r="Q291" s="639"/>
      <c r="R291" s="639"/>
      <c r="S291" s="639"/>
      <c r="T291" s="639"/>
      <c r="U291" s="639"/>
      <c r="V291" s="639"/>
      <c r="W291" s="639"/>
      <c r="X291" s="639"/>
      <c r="Y291" s="639"/>
      <c r="Z291" s="639"/>
      <c r="AA291" s="639"/>
      <c r="AB291" s="639"/>
    </row>
    <row r="292" spans="1:28">
      <c r="A292" s="639"/>
      <c r="B292" s="639"/>
      <c r="C292" s="639"/>
      <c r="D292" s="639"/>
      <c r="E292" s="639"/>
      <c r="F292" s="639"/>
      <c r="G292" s="639"/>
      <c r="H292" s="639"/>
      <c r="I292" s="639"/>
      <c r="J292" s="639"/>
      <c r="K292" s="639"/>
      <c r="L292" s="639"/>
      <c r="M292" s="639"/>
      <c r="N292" s="639"/>
      <c r="O292" s="639"/>
      <c r="P292" s="639"/>
      <c r="Q292" s="639"/>
      <c r="R292" s="639"/>
      <c r="S292" s="639"/>
      <c r="T292" s="639"/>
      <c r="U292" s="639"/>
      <c r="V292" s="639"/>
      <c r="W292" s="639"/>
      <c r="X292" s="639"/>
      <c r="Y292" s="639"/>
      <c r="Z292" s="639"/>
      <c r="AA292" s="639"/>
      <c r="AB292" s="639"/>
    </row>
    <row r="293" spans="1:28">
      <c r="A293" s="639"/>
      <c r="B293" s="639"/>
      <c r="C293" s="639"/>
      <c r="D293" s="639"/>
      <c r="E293" s="639"/>
      <c r="F293" s="639"/>
      <c r="G293" s="639"/>
      <c r="H293" s="639"/>
      <c r="I293" s="639"/>
      <c r="J293" s="639"/>
      <c r="K293" s="639"/>
      <c r="L293" s="639"/>
      <c r="M293" s="639"/>
      <c r="N293" s="639"/>
      <c r="O293" s="639"/>
      <c r="P293" s="639"/>
      <c r="Q293" s="639"/>
      <c r="R293" s="639"/>
      <c r="S293" s="639"/>
      <c r="T293" s="639"/>
      <c r="U293" s="639"/>
      <c r="V293" s="639"/>
      <c r="W293" s="639"/>
      <c r="X293" s="639"/>
      <c r="Y293" s="639"/>
      <c r="Z293" s="639"/>
      <c r="AA293" s="639"/>
      <c r="AB293" s="639"/>
    </row>
    <row r="294" spans="1:28">
      <c r="A294" s="639"/>
      <c r="B294" s="639"/>
      <c r="C294" s="639"/>
      <c r="D294" s="639"/>
      <c r="E294" s="639"/>
      <c r="F294" s="639"/>
      <c r="G294" s="639"/>
      <c r="H294" s="639"/>
      <c r="I294" s="639"/>
      <c r="J294" s="639"/>
      <c r="K294" s="639"/>
      <c r="L294" s="639"/>
      <c r="M294" s="639"/>
      <c r="N294" s="639"/>
      <c r="O294" s="639"/>
      <c r="P294" s="639"/>
      <c r="Q294" s="639"/>
      <c r="R294" s="639"/>
      <c r="S294" s="639"/>
      <c r="T294" s="639"/>
      <c r="U294" s="639"/>
      <c r="V294" s="639"/>
      <c r="W294" s="639"/>
      <c r="X294" s="639"/>
      <c r="Y294" s="639"/>
      <c r="Z294" s="639"/>
      <c r="AA294" s="639"/>
      <c r="AB294" s="639"/>
    </row>
    <row r="295" spans="1:28">
      <c r="A295" s="639"/>
      <c r="B295" s="639"/>
      <c r="C295" s="639"/>
      <c r="D295" s="639"/>
      <c r="E295" s="639"/>
      <c r="F295" s="639"/>
      <c r="G295" s="639"/>
      <c r="H295" s="639"/>
      <c r="I295" s="639"/>
      <c r="J295" s="639"/>
      <c r="K295" s="639"/>
      <c r="L295" s="639"/>
      <c r="M295" s="639"/>
      <c r="N295" s="639"/>
      <c r="O295" s="639"/>
      <c r="P295" s="639"/>
      <c r="Q295" s="639"/>
      <c r="R295" s="639"/>
      <c r="S295" s="639"/>
      <c r="T295" s="639"/>
      <c r="U295" s="639"/>
      <c r="V295" s="639"/>
      <c r="W295" s="639"/>
      <c r="X295" s="639"/>
      <c r="Y295" s="639"/>
      <c r="Z295" s="639"/>
      <c r="AA295" s="639"/>
      <c r="AB295" s="639"/>
    </row>
    <row r="296" spans="1:28">
      <c r="A296" s="639"/>
      <c r="B296" s="639"/>
      <c r="C296" s="639"/>
      <c r="D296" s="639"/>
      <c r="E296" s="639"/>
      <c r="F296" s="639"/>
      <c r="G296" s="639"/>
      <c r="H296" s="639"/>
      <c r="I296" s="639"/>
      <c r="J296" s="639"/>
      <c r="K296" s="639"/>
      <c r="L296" s="639"/>
      <c r="M296" s="639"/>
      <c r="N296" s="639"/>
      <c r="O296" s="639"/>
      <c r="P296" s="639"/>
      <c r="Q296" s="639"/>
      <c r="R296" s="639"/>
      <c r="S296" s="639"/>
      <c r="T296" s="639"/>
      <c r="U296" s="639"/>
      <c r="V296" s="639"/>
      <c r="W296" s="639"/>
      <c r="X296" s="639"/>
      <c r="Y296" s="639"/>
      <c r="Z296" s="639"/>
      <c r="AA296" s="639"/>
      <c r="AB296" s="639"/>
    </row>
    <row r="297" spans="1:28">
      <c r="A297" s="639"/>
      <c r="B297" s="639"/>
      <c r="C297" s="639"/>
      <c r="D297" s="639"/>
      <c r="E297" s="639"/>
      <c r="F297" s="639"/>
      <c r="G297" s="639"/>
      <c r="H297" s="639"/>
      <c r="I297" s="639"/>
      <c r="J297" s="639"/>
      <c r="K297" s="639"/>
      <c r="L297" s="639"/>
      <c r="M297" s="639"/>
      <c r="N297" s="639"/>
      <c r="O297" s="639"/>
      <c r="P297" s="639"/>
      <c r="Q297" s="639"/>
      <c r="R297" s="639"/>
      <c r="S297" s="639"/>
      <c r="T297" s="639"/>
      <c r="U297" s="639"/>
      <c r="V297" s="639"/>
      <c r="W297" s="639"/>
      <c r="X297" s="639"/>
      <c r="Y297" s="639"/>
      <c r="Z297" s="639"/>
      <c r="AA297" s="639"/>
      <c r="AB297" s="639"/>
    </row>
    <row r="298" spans="1:28">
      <c r="A298" s="639"/>
      <c r="B298" s="639"/>
      <c r="C298" s="639"/>
      <c r="D298" s="639"/>
      <c r="E298" s="639"/>
      <c r="F298" s="639"/>
      <c r="G298" s="639"/>
      <c r="H298" s="639"/>
      <c r="I298" s="639"/>
      <c r="J298" s="639"/>
      <c r="K298" s="639"/>
      <c r="L298" s="639"/>
      <c r="M298" s="639"/>
      <c r="N298" s="639"/>
      <c r="O298" s="639"/>
      <c r="P298" s="639"/>
      <c r="Q298" s="639"/>
      <c r="R298" s="639"/>
      <c r="S298" s="639"/>
      <c r="T298" s="639"/>
      <c r="U298" s="639"/>
      <c r="V298" s="639"/>
      <c r="W298" s="639"/>
      <c r="X298" s="639"/>
      <c r="Y298" s="639"/>
      <c r="Z298" s="639"/>
      <c r="AA298" s="639"/>
      <c r="AB298" s="639"/>
    </row>
    <row r="299" spans="1:28">
      <c r="A299" s="639"/>
      <c r="B299" s="639"/>
      <c r="C299" s="639"/>
      <c r="D299" s="639"/>
      <c r="E299" s="639"/>
      <c r="F299" s="639"/>
      <c r="G299" s="639"/>
      <c r="H299" s="639"/>
      <c r="I299" s="639"/>
      <c r="J299" s="639"/>
      <c r="K299" s="639"/>
      <c r="L299" s="639"/>
      <c r="M299" s="639"/>
      <c r="N299" s="639"/>
      <c r="O299" s="639"/>
      <c r="P299" s="639"/>
      <c r="Q299" s="639"/>
      <c r="R299" s="639"/>
      <c r="S299" s="639"/>
      <c r="T299" s="639"/>
      <c r="U299" s="639"/>
      <c r="V299" s="639"/>
      <c r="W299" s="639"/>
      <c r="X299" s="639"/>
      <c r="Y299" s="639"/>
      <c r="Z299" s="639"/>
      <c r="AA299" s="639"/>
      <c r="AB299" s="639"/>
    </row>
    <row r="300" spans="1:28">
      <c r="A300" s="639"/>
      <c r="B300" s="639"/>
      <c r="C300" s="639"/>
      <c r="D300" s="639"/>
      <c r="E300" s="639"/>
      <c r="F300" s="639"/>
      <c r="G300" s="639"/>
      <c r="H300" s="639"/>
      <c r="I300" s="639"/>
      <c r="J300" s="639"/>
      <c r="K300" s="639"/>
      <c r="L300" s="639"/>
      <c r="M300" s="639"/>
      <c r="N300" s="639"/>
      <c r="O300" s="639"/>
      <c r="P300" s="639"/>
      <c r="Q300" s="639"/>
      <c r="R300" s="639"/>
      <c r="S300" s="639"/>
      <c r="T300" s="639"/>
      <c r="U300" s="639"/>
      <c r="V300" s="639"/>
      <c r="W300" s="639"/>
      <c r="X300" s="639"/>
      <c r="Y300" s="639"/>
      <c r="Z300" s="639"/>
      <c r="AA300" s="639"/>
      <c r="AB300" s="639"/>
    </row>
    <row r="301" spans="1:28">
      <c r="A301" s="639"/>
      <c r="B301" s="639"/>
      <c r="C301" s="639"/>
      <c r="D301" s="639"/>
      <c r="E301" s="639"/>
      <c r="F301" s="639"/>
      <c r="G301" s="639"/>
      <c r="H301" s="639"/>
      <c r="I301" s="639"/>
      <c r="J301" s="639"/>
      <c r="K301" s="639"/>
      <c r="L301" s="639"/>
      <c r="M301" s="639"/>
      <c r="N301" s="639"/>
      <c r="O301" s="639"/>
      <c r="P301" s="639"/>
      <c r="Q301" s="639"/>
      <c r="R301" s="639"/>
      <c r="S301" s="639"/>
      <c r="T301" s="639"/>
      <c r="U301" s="639"/>
      <c r="V301" s="639"/>
      <c r="W301" s="639"/>
      <c r="X301" s="639"/>
      <c r="Y301" s="639"/>
      <c r="Z301" s="639"/>
      <c r="AA301" s="639"/>
      <c r="AB301" s="639"/>
    </row>
    <row r="302" spans="1:28">
      <c r="A302" s="639"/>
      <c r="B302" s="639"/>
      <c r="C302" s="639"/>
      <c r="D302" s="639"/>
      <c r="E302" s="639"/>
      <c r="F302" s="639"/>
      <c r="G302" s="639"/>
      <c r="H302" s="639"/>
      <c r="I302" s="639"/>
      <c r="J302" s="639"/>
      <c r="K302" s="639"/>
      <c r="L302" s="639"/>
      <c r="M302" s="639"/>
      <c r="N302" s="639"/>
      <c r="O302" s="639"/>
      <c r="P302" s="639"/>
      <c r="Q302" s="639"/>
      <c r="R302" s="639"/>
      <c r="S302" s="639"/>
      <c r="T302" s="639"/>
      <c r="U302" s="639"/>
      <c r="V302" s="639"/>
      <c r="W302" s="639"/>
      <c r="X302" s="639"/>
      <c r="Y302" s="639"/>
      <c r="Z302" s="639"/>
      <c r="AA302" s="639"/>
      <c r="AB302" s="639"/>
    </row>
    <row r="303" spans="1:28">
      <c r="A303" s="639"/>
      <c r="B303" s="639"/>
      <c r="C303" s="639"/>
      <c r="D303" s="639"/>
      <c r="E303" s="639"/>
      <c r="F303" s="639"/>
      <c r="G303" s="639"/>
      <c r="H303" s="639"/>
      <c r="I303" s="639"/>
      <c r="J303" s="639"/>
      <c r="K303" s="639"/>
      <c r="L303" s="639"/>
      <c r="M303" s="639"/>
      <c r="N303" s="639"/>
      <c r="O303" s="639"/>
      <c r="P303" s="639"/>
      <c r="Q303" s="639"/>
      <c r="R303" s="639"/>
      <c r="S303" s="639"/>
      <c r="T303" s="639"/>
      <c r="U303" s="639"/>
      <c r="V303" s="639"/>
      <c r="W303" s="639"/>
      <c r="X303" s="639"/>
      <c r="Y303" s="639"/>
      <c r="Z303" s="639"/>
      <c r="AA303" s="639"/>
      <c r="AB303" s="639"/>
    </row>
    <row r="304" spans="1:28">
      <c r="A304" s="639"/>
      <c r="B304" s="639"/>
      <c r="C304" s="639"/>
      <c r="D304" s="639"/>
      <c r="E304" s="639"/>
      <c r="F304" s="639"/>
      <c r="G304" s="639"/>
      <c r="H304" s="639"/>
      <c r="I304" s="639"/>
      <c r="J304" s="639"/>
      <c r="K304" s="639"/>
      <c r="L304" s="639"/>
      <c r="M304" s="639"/>
      <c r="N304" s="639"/>
      <c r="O304" s="639"/>
      <c r="P304" s="639"/>
      <c r="Q304" s="639"/>
      <c r="R304" s="639"/>
      <c r="S304" s="639"/>
      <c r="T304" s="639"/>
      <c r="U304" s="639"/>
      <c r="V304" s="639"/>
      <c r="W304" s="639"/>
      <c r="X304" s="639"/>
      <c r="Y304" s="639"/>
      <c r="Z304" s="639"/>
      <c r="AA304" s="639"/>
      <c r="AB304" s="639"/>
    </row>
    <row r="305" spans="1:28">
      <c r="A305" s="639"/>
      <c r="B305" s="639"/>
      <c r="C305" s="639"/>
      <c r="D305" s="639"/>
      <c r="E305" s="639"/>
      <c r="F305" s="639"/>
      <c r="G305" s="639"/>
      <c r="H305" s="639"/>
      <c r="I305" s="639"/>
      <c r="J305" s="639"/>
      <c r="K305" s="639"/>
      <c r="L305" s="639"/>
      <c r="M305" s="639"/>
      <c r="N305" s="639"/>
      <c r="O305" s="639"/>
      <c r="P305" s="639"/>
      <c r="Q305" s="639"/>
      <c r="R305" s="639"/>
      <c r="S305" s="639"/>
      <c r="T305" s="639"/>
      <c r="U305" s="639"/>
      <c r="V305" s="639"/>
      <c r="W305" s="639"/>
      <c r="X305" s="639"/>
      <c r="Y305" s="639"/>
      <c r="Z305" s="639"/>
      <c r="AA305" s="639"/>
      <c r="AB305" s="639"/>
    </row>
    <row r="306" spans="1:28">
      <c r="A306" s="639"/>
      <c r="B306" s="639"/>
      <c r="C306" s="639"/>
      <c r="D306" s="639"/>
      <c r="E306" s="639"/>
      <c r="F306" s="639"/>
      <c r="G306" s="639"/>
      <c r="H306" s="639"/>
      <c r="I306" s="639"/>
      <c r="J306" s="639"/>
      <c r="K306" s="639"/>
      <c r="L306" s="639"/>
      <c r="M306" s="639"/>
      <c r="N306" s="639"/>
      <c r="O306" s="639"/>
      <c r="P306" s="639"/>
      <c r="Q306" s="639"/>
      <c r="R306" s="639"/>
      <c r="S306" s="639"/>
      <c r="T306" s="639"/>
      <c r="U306" s="639"/>
      <c r="V306" s="639"/>
      <c r="W306" s="639"/>
      <c r="X306" s="639"/>
      <c r="Y306" s="639"/>
      <c r="Z306" s="639"/>
      <c r="AA306" s="639"/>
      <c r="AB306" s="639"/>
    </row>
    <row r="307" spans="1:28">
      <c r="A307" s="639"/>
      <c r="B307" s="639"/>
      <c r="C307" s="639"/>
      <c r="D307" s="639"/>
      <c r="E307" s="639"/>
      <c r="F307" s="639"/>
      <c r="G307" s="639"/>
      <c r="H307" s="639"/>
      <c r="I307" s="639"/>
      <c r="J307" s="639"/>
      <c r="K307" s="639"/>
      <c r="L307" s="639"/>
      <c r="M307" s="639"/>
      <c r="N307" s="639"/>
      <c r="O307" s="639"/>
      <c r="P307" s="639"/>
      <c r="Q307" s="639"/>
      <c r="R307" s="639"/>
      <c r="S307" s="639"/>
      <c r="T307" s="639"/>
      <c r="U307" s="639"/>
      <c r="V307" s="639"/>
      <c r="W307" s="639"/>
      <c r="X307" s="639"/>
      <c r="Y307" s="639"/>
      <c r="Z307" s="639"/>
      <c r="AA307" s="639"/>
      <c r="AB307" s="639"/>
    </row>
    <row r="308" spans="1:28">
      <c r="A308" s="639"/>
      <c r="B308" s="639"/>
      <c r="C308" s="639"/>
      <c r="D308" s="639"/>
      <c r="E308" s="639"/>
      <c r="F308" s="639"/>
      <c r="G308" s="639"/>
      <c r="H308" s="639"/>
      <c r="I308" s="639"/>
      <c r="J308" s="639"/>
      <c r="K308" s="639"/>
      <c r="L308" s="639"/>
      <c r="M308" s="639"/>
      <c r="N308" s="639"/>
      <c r="O308" s="639"/>
      <c r="P308" s="639"/>
      <c r="Q308" s="639"/>
      <c r="R308" s="639"/>
      <c r="S308" s="639"/>
      <c r="T308" s="639"/>
      <c r="U308" s="639"/>
      <c r="V308" s="639"/>
      <c r="W308" s="639"/>
      <c r="X308" s="639"/>
      <c r="Y308" s="639"/>
      <c r="Z308" s="639"/>
      <c r="AA308" s="639"/>
      <c r="AB308" s="639"/>
    </row>
    <row r="309" spans="1:28">
      <c r="A309" s="639"/>
      <c r="B309" s="639"/>
      <c r="C309" s="639"/>
      <c r="D309" s="639"/>
      <c r="E309" s="639"/>
      <c r="F309" s="639"/>
      <c r="G309" s="639"/>
      <c r="H309" s="639"/>
      <c r="I309" s="639"/>
      <c r="J309" s="639"/>
      <c r="K309" s="639"/>
      <c r="L309" s="639"/>
      <c r="M309" s="639"/>
      <c r="N309" s="639"/>
      <c r="O309" s="639"/>
      <c r="P309" s="639"/>
      <c r="Q309" s="639"/>
      <c r="R309" s="639"/>
      <c r="S309" s="639"/>
      <c r="T309" s="639"/>
      <c r="U309" s="639"/>
      <c r="V309" s="639"/>
      <c r="W309" s="639"/>
      <c r="X309" s="639"/>
      <c r="Y309" s="639"/>
      <c r="Z309" s="639"/>
      <c r="AA309" s="639"/>
      <c r="AB309" s="639"/>
    </row>
    <row r="310" spans="1:28">
      <c r="A310" s="639"/>
      <c r="B310" s="639"/>
      <c r="C310" s="639"/>
      <c r="D310" s="639"/>
      <c r="E310" s="639"/>
      <c r="F310" s="639"/>
      <c r="G310" s="639"/>
      <c r="H310" s="639"/>
      <c r="I310" s="639"/>
      <c r="J310" s="639"/>
      <c r="K310" s="639"/>
      <c r="L310" s="639"/>
      <c r="M310" s="639"/>
      <c r="N310" s="639"/>
      <c r="O310" s="639"/>
      <c r="P310" s="639"/>
      <c r="Q310" s="639"/>
      <c r="R310" s="639"/>
      <c r="S310" s="639"/>
      <c r="T310" s="639"/>
      <c r="U310" s="639"/>
      <c r="V310" s="639"/>
      <c r="W310" s="639"/>
      <c r="X310" s="639"/>
      <c r="Y310" s="639"/>
      <c r="Z310" s="639"/>
      <c r="AA310" s="639"/>
      <c r="AB310" s="639"/>
    </row>
    <row r="311" spans="1:28">
      <c r="A311" s="639"/>
      <c r="B311" s="639"/>
      <c r="C311" s="639"/>
      <c r="D311" s="639"/>
      <c r="E311" s="639"/>
      <c r="F311" s="639"/>
      <c r="G311" s="639"/>
      <c r="H311" s="639"/>
      <c r="I311" s="639"/>
      <c r="J311" s="639"/>
      <c r="K311" s="639"/>
      <c r="L311" s="639"/>
      <c r="M311" s="639"/>
      <c r="N311" s="639"/>
      <c r="O311" s="639"/>
      <c r="P311" s="639"/>
      <c r="Q311" s="639"/>
      <c r="R311" s="639"/>
      <c r="S311" s="639"/>
      <c r="T311" s="639"/>
      <c r="U311" s="639"/>
      <c r="V311" s="639"/>
      <c r="W311" s="639"/>
      <c r="X311" s="639"/>
      <c r="Y311" s="639"/>
      <c r="Z311" s="639"/>
      <c r="AA311" s="639"/>
      <c r="AB311" s="639"/>
    </row>
    <row r="312" spans="1:28">
      <c r="A312" s="639"/>
      <c r="B312" s="639"/>
      <c r="C312" s="639"/>
      <c r="D312" s="639"/>
      <c r="E312" s="639"/>
      <c r="F312" s="639"/>
      <c r="G312" s="639"/>
      <c r="H312" s="639"/>
      <c r="I312" s="639"/>
      <c r="J312" s="639"/>
      <c r="K312" s="639"/>
      <c r="L312" s="639"/>
      <c r="M312" s="639"/>
      <c r="N312" s="639"/>
      <c r="O312" s="639"/>
      <c r="P312" s="639"/>
      <c r="Q312" s="639"/>
      <c r="R312" s="639"/>
      <c r="S312" s="639"/>
      <c r="T312" s="639"/>
      <c r="U312" s="639"/>
      <c r="V312" s="639"/>
      <c r="W312" s="639"/>
      <c r="X312" s="639"/>
      <c r="Y312" s="639"/>
      <c r="Z312" s="639"/>
      <c r="AA312" s="639"/>
      <c r="AB312" s="639"/>
    </row>
    <row r="313" spans="1:28">
      <c r="A313" s="639"/>
      <c r="B313" s="639"/>
      <c r="C313" s="639"/>
      <c r="D313" s="639"/>
      <c r="E313" s="639"/>
      <c r="F313" s="639"/>
      <c r="G313" s="639"/>
      <c r="H313" s="639"/>
      <c r="I313" s="639"/>
      <c r="J313" s="639"/>
      <c r="K313" s="639"/>
      <c r="L313" s="639"/>
      <c r="M313" s="639"/>
      <c r="N313" s="639"/>
      <c r="O313" s="639"/>
      <c r="P313" s="639"/>
      <c r="Q313" s="639"/>
      <c r="R313" s="639"/>
      <c r="S313" s="639"/>
      <c r="T313" s="639"/>
      <c r="U313" s="639"/>
      <c r="V313" s="639"/>
      <c r="W313" s="639"/>
      <c r="X313" s="639"/>
      <c r="Y313" s="639"/>
      <c r="Z313" s="639"/>
      <c r="AA313" s="639"/>
      <c r="AB313" s="639"/>
    </row>
    <row r="314" spans="1:28">
      <c r="A314" s="639"/>
      <c r="B314" s="639"/>
      <c r="C314" s="639"/>
      <c r="D314" s="639"/>
      <c r="E314" s="639"/>
      <c r="F314" s="639"/>
      <c r="G314" s="639"/>
      <c r="H314" s="639"/>
      <c r="I314" s="639"/>
      <c r="J314" s="639"/>
      <c r="K314" s="639"/>
      <c r="L314" s="639"/>
      <c r="M314" s="639"/>
      <c r="N314" s="639"/>
      <c r="O314" s="639"/>
      <c r="P314" s="639"/>
      <c r="Q314" s="639"/>
      <c r="R314" s="639"/>
      <c r="S314" s="639"/>
      <c r="T314" s="639"/>
      <c r="U314" s="639"/>
      <c r="V314" s="639"/>
      <c r="W314" s="639"/>
      <c r="X314" s="639"/>
      <c r="Y314" s="639"/>
      <c r="Z314" s="639"/>
      <c r="AA314" s="639"/>
      <c r="AB314" s="639"/>
    </row>
    <row r="315" spans="1:28">
      <c r="A315" s="639"/>
      <c r="B315" s="639"/>
      <c r="C315" s="639"/>
      <c r="D315" s="639"/>
      <c r="E315" s="639"/>
      <c r="F315" s="639"/>
      <c r="G315" s="639"/>
      <c r="H315" s="639"/>
      <c r="I315" s="639"/>
      <c r="J315" s="639"/>
      <c r="K315" s="639"/>
      <c r="L315" s="639"/>
      <c r="M315" s="639"/>
      <c r="N315" s="639"/>
      <c r="O315" s="639"/>
      <c r="P315" s="639"/>
      <c r="Q315" s="639"/>
      <c r="R315" s="639"/>
      <c r="S315" s="639"/>
      <c r="T315" s="639"/>
      <c r="U315" s="639"/>
      <c r="V315" s="639"/>
      <c r="W315" s="639"/>
      <c r="X315" s="639"/>
      <c r="Y315" s="639"/>
      <c r="Z315" s="639"/>
      <c r="AA315" s="639"/>
      <c r="AB315" s="639"/>
    </row>
    <row r="316" spans="1:28">
      <c r="A316" s="639"/>
      <c r="B316" s="639"/>
      <c r="C316" s="639"/>
      <c r="D316" s="639"/>
      <c r="E316" s="639"/>
      <c r="F316" s="639"/>
      <c r="G316" s="639"/>
      <c r="H316" s="639"/>
      <c r="I316" s="639"/>
      <c r="J316" s="639"/>
      <c r="K316" s="639"/>
      <c r="L316" s="639"/>
      <c r="M316" s="639"/>
      <c r="N316" s="639"/>
      <c r="O316" s="639"/>
      <c r="P316" s="639"/>
      <c r="Q316" s="639"/>
      <c r="R316" s="639"/>
      <c r="S316" s="639"/>
      <c r="T316" s="639"/>
      <c r="U316" s="639"/>
      <c r="V316" s="639"/>
      <c r="W316" s="639"/>
      <c r="X316" s="639"/>
      <c r="Y316" s="639"/>
      <c r="Z316" s="639"/>
      <c r="AA316" s="639"/>
      <c r="AB316" s="639"/>
    </row>
    <row r="317" spans="1:28">
      <c r="A317" s="639"/>
      <c r="B317" s="639"/>
      <c r="C317" s="639"/>
      <c r="D317" s="639"/>
      <c r="E317" s="639"/>
      <c r="F317" s="639"/>
      <c r="G317" s="639"/>
      <c r="H317" s="639"/>
      <c r="I317" s="639"/>
      <c r="J317" s="639"/>
      <c r="K317" s="639"/>
      <c r="L317" s="639"/>
      <c r="M317" s="639"/>
      <c r="N317" s="639"/>
      <c r="O317" s="639"/>
      <c r="P317" s="639"/>
      <c r="Q317" s="639"/>
      <c r="R317" s="639"/>
      <c r="S317" s="639"/>
      <c r="T317" s="639"/>
      <c r="U317" s="639"/>
      <c r="V317" s="639"/>
      <c r="W317" s="639"/>
      <c r="X317" s="639"/>
      <c r="Y317" s="639"/>
      <c r="Z317" s="639"/>
      <c r="AA317" s="639"/>
      <c r="AB317" s="639"/>
    </row>
    <row r="318" spans="1:28">
      <c r="A318" s="639"/>
      <c r="B318" s="639"/>
      <c r="C318" s="639"/>
      <c r="D318" s="639"/>
      <c r="E318" s="639"/>
      <c r="F318" s="639"/>
      <c r="G318" s="639"/>
      <c r="H318" s="639"/>
      <c r="I318" s="639"/>
      <c r="J318" s="639"/>
      <c r="K318" s="639"/>
      <c r="L318" s="639"/>
      <c r="M318" s="639"/>
      <c r="N318" s="639"/>
      <c r="O318" s="639"/>
      <c r="P318" s="639"/>
      <c r="Q318" s="639"/>
      <c r="R318" s="639"/>
      <c r="S318" s="639"/>
      <c r="T318" s="639"/>
      <c r="U318" s="639"/>
      <c r="V318" s="639"/>
      <c r="W318" s="639"/>
      <c r="X318" s="639"/>
      <c r="Y318" s="639"/>
      <c r="Z318" s="639"/>
      <c r="AA318" s="639"/>
      <c r="AB318" s="639"/>
    </row>
    <row r="319" spans="1:28">
      <c r="A319" s="639"/>
      <c r="B319" s="639"/>
      <c r="C319" s="639"/>
      <c r="D319" s="639"/>
      <c r="E319" s="639"/>
      <c r="F319" s="639"/>
      <c r="G319" s="639"/>
      <c r="H319" s="639"/>
      <c r="I319" s="639"/>
      <c r="J319" s="639"/>
      <c r="K319" s="639"/>
      <c r="L319" s="639"/>
      <c r="M319" s="639"/>
      <c r="N319" s="639"/>
      <c r="O319" s="639"/>
      <c r="P319" s="639"/>
      <c r="Q319" s="639"/>
      <c r="R319" s="639"/>
      <c r="S319" s="639"/>
      <c r="T319" s="639"/>
      <c r="U319" s="639"/>
      <c r="V319" s="639"/>
      <c r="W319" s="639"/>
      <c r="X319" s="639"/>
      <c r="Y319" s="639"/>
      <c r="Z319" s="639"/>
      <c r="AA319" s="639"/>
      <c r="AB319" s="639"/>
    </row>
    <row r="320" spans="1:28">
      <c r="A320" s="639"/>
      <c r="B320" s="639"/>
      <c r="C320" s="639"/>
      <c r="D320" s="639"/>
      <c r="E320" s="639"/>
      <c r="F320" s="639"/>
      <c r="G320" s="639"/>
      <c r="H320" s="639"/>
      <c r="I320" s="639"/>
      <c r="J320" s="639"/>
      <c r="K320" s="639"/>
      <c r="L320" s="639"/>
      <c r="M320" s="639"/>
      <c r="N320" s="639"/>
      <c r="O320" s="639"/>
      <c r="P320" s="639"/>
      <c r="Q320" s="639"/>
      <c r="R320" s="639"/>
      <c r="S320" s="639"/>
      <c r="T320" s="639"/>
      <c r="U320" s="639"/>
      <c r="V320" s="639"/>
      <c r="W320" s="639"/>
      <c r="X320" s="639"/>
      <c r="Y320" s="639"/>
      <c r="Z320" s="639"/>
      <c r="AA320" s="639"/>
      <c r="AB320" s="639"/>
    </row>
    <row r="321" spans="1:28">
      <c r="A321" s="639"/>
      <c r="B321" s="639"/>
      <c r="C321" s="639"/>
      <c r="D321" s="639"/>
      <c r="E321" s="639"/>
      <c r="F321" s="639"/>
      <c r="G321" s="639"/>
      <c r="H321" s="639"/>
      <c r="I321" s="639"/>
      <c r="J321" s="639"/>
      <c r="K321" s="639"/>
      <c r="L321" s="639"/>
      <c r="M321" s="639"/>
      <c r="N321" s="639"/>
      <c r="O321" s="639"/>
      <c r="P321" s="639"/>
      <c r="Q321" s="639"/>
      <c r="R321" s="639"/>
      <c r="S321" s="639"/>
      <c r="T321" s="639"/>
      <c r="U321" s="639"/>
      <c r="V321" s="639"/>
      <c r="W321" s="639"/>
      <c r="X321" s="639"/>
      <c r="Y321" s="639"/>
      <c r="Z321" s="639"/>
      <c r="AA321" s="639"/>
      <c r="AB321" s="639"/>
    </row>
    <row r="322" spans="1:28">
      <c r="A322" s="639"/>
      <c r="B322" s="639"/>
      <c r="C322" s="639"/>
      <c r="D322" s="639"/>
      <c r="E322" s="639"/>
      <c r="F322" s="639"/>
      <c r="G322" s="639"/>
      <c r="H322" s="639"/>
      <c r="I322" s="639"/>
      <c r="J322" s="639"/>
      <c r="K322" s="639"/>
      <c r="L322" s="639"/>
      <c r="M322" s="639"/>
      <c r="N322" s="639"/>
      <c r="O322" s="639"/>
      <c r="P322" s="639"/>
      <c r="Q322" s="639"/>
      <c r="R322" s="639"/>
      <c r="S322" s="639"/>
      <c r="T322" s="639"/>
      <c r="U322" s="639"/>
      <c r="V322" s="639"/>
      <c r="W322" s="639"/>
      <c r="X322" s="639"/>
      <c r="Y322" s="639"/>
      <c r="Z322" s="639"/>
      <c r="AA322" s="639"/>
      <c r="AB322" s="639"/>
    </row>
    <row r="323" spans="1:28">
      <c r="A323" s="639"/>
      <c r="B323" s="639"/>
      <c r="C323" s="639"/>
      <c r="D323" s="639"/>
      <c r="E323" s="639"/>
      <c r="F323" s="639"/>
      <c r="G323" s="639"/>
      <c r="H323" s="639"/>
      <c r="I323" s="639"/>
      <c r="J323" s="639"/>
      <c r="K323" s="639"/>
      <c r="L323" s="639"/>
      <c r="M323" s="639"/>
      <c r="N323" s="639"/>
      <c r="O323" s="639"/>
      <c r="P323" s="639"/>
      <c r="Q323" s="639"/>
      <c r="R323" s="639"/>
      <c r="S323" s="639"/>
      <c r="T323" s="639"/>
      <c r="U323" s="639"/>
      <c r="V323" s="639"/>
      <c r="W323" s="639"/>
      <c r="X323" s="639"/>
      <c r="Y323" s="639"/>
      <c r="Z323" s="639"/>
      <c r="AA323" s="639"/>
      <c r="AB323" s="639"/>
    </row>
    <row r="324" spans="1:28">
      <c r="A324" s="639"/>
      <c r="B324" s="639"/>
      <c r="C324" s="639"/>
      <c r="D324" s="639"/>
      <c r="E324" s="639"/>
      <c r="F324" s="639"/>
      <c r="G324" s="639"/>
      <c r="H324" s="639"/>
      <c r="I324" s="639"/>
      <c r="J324" s="639"/>
      <c r="K324" s="639"/>
      <c r="L324" s="639"/>
      <c r="M324" s="639"/>
      <c r="N324" s="639"/>
      <c r="O324" s="639"/>
      <c r="P324" s="639"/>
      <c r="Q324" s="639"/>
      <c r="R324" s="639"/>
      <c r="S324" s="639"/>
      <c r="T324" s="639"/>
      <c r="U324" s="639"/>
      <c r="V324" s="639"/>
      <c r="W324" s="639"/>
      <c r="X324" s="639"/>
      <c r="Y324" s="639"/>
      <c r="Z324" s="639"/>
      <c r="AA324" s="639"/>
      <c r="AB324" s="639"/>
    </row>
    <row r="325" spans="1:28">
      <c r="A325" s="639"/>
      <c r="B325" s="639"/>
      <c r="C325" s="639"/>
      <c r="D325" s="639"/>
      <c r="E325" s="639"/>
      <c r="F325" s="639"/>
      <c r="G325" s="639"/>
      <c r="H325" s="639"/>
      <c r="I325" s="639"/>
      <c r="J325" s="639"/>
      <c r="K325" s="639"/>
      <c r="L325" s="639"/>
      <c r="M325" s="639"/>
      <c r="N325" s="639"/>
      <c r="O325" s="639"/>
      <c r="P325" s="639"/>
      <c r="Q325" s="639"/>
      <c r="R325" s="639"/>
      <c r="S325" s="639"/>
      <c r="T325" s="639"/>
      <c r="U325" s="639"/>
      <c r="V325" s="639"/>
      <c r="W325" s="639"/>
      <c r="X325" s="639"/>
      <c r="Y325" s="639"/>
      <c r="Z325" s="639"/>
      <c r="AA325" s="639"/>
      <c r="AB325" s="639"/>
    </row>
    <row r="326" spans="1:28">
      <c r="A326" s="639"/>
      <c r="B326" s="639"/>
      <c r="C326" s="639"/>
      <c r="D326" s="639"/>
      <c r="E326" s="639"/>
      <c r="F326" s="639"/>
      <c r="G326" s="639"/>
      <c r="H326" s="639"/>
      <c r="I326" s="639"/>
      <c r="J326" s="639"/>
      <c r="K326" s="639"/>
      <c r="L326" s="639"/>
      <c r="M326" s="639"/>
      <c r="N326" s="639"/>
      <c r="O326" s="639"/>
      <c r="P326" s="639"/>
      <c r="Q326" s="639"/>
      <c r="R326" s="639"/>
      <c r="S326" s="639"/>
      <c r="T326" s="639"/>
      <c r="U326" s="639"/>
      <c r="V326" s="639"/>
      <c r="W326" s="639"/>
      <c r="X326" s="639"/>
      <c r="Y326" s="639"/>
      <c r="Z326" s="639"/>
      <c r="AA326" s="639"/>
      <c r="AB326" s="639"/>
    </row>
    <row r="327" spans="1:28">
      <c r="A327" s="639"/>
      <c r="B327" s="639"/>
      <c r="C327" s="639"/>
      <c r="D327" s="639"/>
      <c r="E327" s="639"/>
      <c r="F327" s="639"/>
      <c r="G327" s="639"/>
      <c r="H327" s="639"/>
      <c r="I327" s="639"/>
      <c r="J327" s="639"/>
      <c r="K327" s="639"/>
      <c r="L327" s="639"/>
      <c r="M327" s="639"/>
      <c r="N327" s="639"/>
      <c r="O327" s="639"/>
      <c r="P327" s="639"/>
      <c r="Q327" s="639"/>
      <c r="R327" s="639"/>
      <c r="S327" s="639"/>
      <c r="T327" s="639"/>
      <c r="U327" s="639"/>
      <c r="V327" s="639"/>
      <c r="W327" s="639"/>
      <c r="X327" s="639"/>
      <c r="Y327" s="639"/>
      <c r="Z327" s="639"/>
      <c r="AA327" s="639"/>
      <c r="AB327" s="639"/>
    </row>
    <row r="328" spans="1:28">
      <c r="A328" s="639"/>
      <c r="B328" s="639"/>
      <c r="C328" s="639"/>
      <c r="D328" s="639"/>
      <c r="E328" s="639"/>
      <c r="F328" s="639"/>
      <c r="G328" s="639"/>
      <c r="H328" s="639"/>
      <c r="I328" s="639"/>
      <c r="J328" s="639"/>
      <c r="K328" s="639"/>
      <c r="L328" s="639"/>
      <c r="M328" s="639"/>
      <c r="N328" s="639"/>
      <c r="O328" s="639"/>
      <c r="P328" s="639"/>
      <c r="Q328" s="639"/>
      <c r="R328" s="639"/>
      <c r="S328" s="639"/>
      <c r="T328" s="639"/>
      <c r="U328" s="639"/>
      <c r="V328" s="639"/>
      <c r="W328" s="639"/>
      <c r="X328" s="639"/>
      <c r="Y328" s="639"/>
      <c r="Z328" s="639"/>
      <c r="AA328" s="639"/>
      <c r="AB328" s="639"/>
    </row>
    <row r="329" spans="1:28">
      <c r="A329" s="639"/>
      <c r="B329" s="639"/>
      <c r="C329" s="639"/>
      <c r="D329" s="639"/>
      <c r="E329" s="639"/>
      <c r="F329" s="639"/>
      <c r="G329" s="639"/>
      <c r="H329" s="639"/>
      <c r="I329" s="639"/>
      <c r="J329" s="639"/>
      <c r="K329" s="639"/>
      <c r="L329" s="639"/>
      <c r="M329" s="639"/>
      <c r="N329" s="639"/>
      <c r="O329" s="639"/>
      <c r="P329" s="639"/>
      <c r="Q329" s="639"/>
      <c r="R329" s="639"/>
      <c r="S329" s="639"/>
      <c r="T329" s="639"/>
      <c r="U329" s="639"/>
      <c r="V329" s="639"/>
      <c r="W329" s="639"/>
      <c r="X329" s="639"/>
      <c r="Y329" s="639"/>
      <c r="Z329" s="639"/>
      <c r="AA329" s="639"/>
      <c r="AB329" s="639"/>
    </row>
    <row r="330" spans="1:28">
      <c r="A330" s="639"/>
      <c r="B330" s="639"/>
      <c r="C330" s="639"/>
      <c r="D330" s="639"/>
      <c r="E330" s="639"/>
      <c r="F330" s="639"/>
      <c r="G330" s="639"/>
      <c r="H330" s="639"/>
      <c r="I330" s="639"/>
      <c r="J330" s="639"/>
      <c r="K330" s="639"/>
      <c r="L330" s="639"/>
      <c r="M330" s="639"/>
      <c r="N330" s="639"/>
      <c r="O330" s="639"/>
      <c r="P330" s="639"/>
      <c r="Q330" s="639"/>
      <c r="R330" s="639"/>
      <c r="S330" s="639"/>
      <c r="T330" s="639"/>
      <c r="U330" s="639"/>
      <c r="V330" s="639"/>
      <c r="W330" s="639"/>
      <c r="X330" s="639"/>
      <c r="Y330" s="639"/>
      <c r="Z330" s="639"/>
      <c r="AA330" s="639"/>
      <c r="AB330" s="639"/>
    </row>
    <row r="331" spans="1:28">
      <c r="A331" s="639"/>
      <c r="B331" s="639"/>
      <c r="C331" s="639"/>
      <c r="D331" s="639"/>
      <c r="E331" s="639"/>
      <c r="F331" s="639"/>
      <c r="G331" s="639"/>
      <c r="H331" s="639"/>
      <c r="I331" s="639"/>
      <c r="J331" s="639"/>
      <c r="K331" s="639"/>
      <c r="L331" s="639"/>
      <c r="M331" s="639"/>
      <c r="N331" s="639"/>
      <c r="O331" s="639"/>
      <c r="P331" s="639"/>
      <c r="Q331" s="639"/>
      <c r="R331" s="639"/>
      <c r="S331" s="639"/>
      <c r="T331" s="639"/>
      <c r="U331" s="639"/>
      <c r="V331" s="639"/>
      <c r="W331" s="639"/>
      <c r="X331" s="639"/>
      <c r="Y331" s="639"/>
      <c r="Z331" s="639"/>
      <c r="AA331" s="639"/>
      <c r="AB331" s="639"/>
    </row>
    <row r="332" spans="1:28">
      <c r="A332" s="639"/>
      <c r="B332" s="639"/>
      <c r="C332" s="639"/>
      <c r="D332" s="639"/>
      <c r="E332" s="639"/>
      <c r="F332" s="639"/>
      <c r="G332" s="639"/>
      <c r="H332" s="639"/>
      <c r="I332" s="639"/>
      <c r="J332" s="639"/>
      <c r="K332" s="639"/>
      <c r="L332" s="639"/>
      <c r="M332" s="639"/>
      <c r="N332" s="639"/>
      <c r="O332" s="639"/>
      <c r="P332" s="639"/>
      <c r="Q332" s="639"/>
      <c r="R332" s="639"/>
      <c r="S332" s="639"/>
      <c r="T332" s="639"/>
      <c r="U332" s="639"/>
      <c r="V332" s="639"/>
      <c r="W332" s="639"/>
      <c r="X332" s="639"/>
      <c r="Y332" s="639"/>
      <c r="Z332" s="639"/>
      <c r="AA332" s="639"/>
      <c r="AB332" s="639"/>
    </row>
    <row r="333" spans="1:28">
      <c r="A333" s="639"/>
      <c r="B333" s="639"/>
      <c r="C333" s="639"/>
      <c r="D333" s="639"/>
      <c r="E333" s="639"/>
      <c r="F333" s="639"/>
      <c r="G333" s="639"/>
      <c r="H333" s="639"/>
      <c r="I333" s="639"/>
      <c r="J333" s="639"/>
      <c r="K333" s="639"/>
      <c r="L333" s="639"/>
      <c r="M333" s="639"/>
      <c r="N333" s="639"/>
      <c r="O333" s="639"/>
      <c r="P333" s="639"/>
      <c r="Q333" s="639"/>
      <c r="R333" s="639"/>
      <c r="S333" s="639"/>
      <c r="T333" s="639"/>
      <c r="U333" s="639"/>
      <c r="V333" s="639"/>
      <c r="W333" s="639"/>
      <c r="X333" s="639"/>
      <c r="Y333" s="639"/>
      <c r="Z333" s="639"/>
      <c r="AA333" s="639"/>
      <c r="AB333" s="639"/>
    </row>
    <row r="334" spans="1:28">
      <c r="A334" s="639"/>
      <c r="B334" s="639"/>
      <c r="C334" s="639"/>
      <c r="D334" s="639"/>
      <c r="E334" s="639"/>
      <c r="F334" s="639"/>
      <c r="G334" s="639"/>
      <c r="H334" s="639"/>
      <c r="I334" s="639"/>
      <c r="J334" s="639"/>
      <c r="K334" s="639"/>
      <c r="L334" s="639"/>
      <c r="M334" s="639"/>
      <c r="N334" s="639"/>
      <c r="O334" s="639"/>
      <c r="P334" s="639"/>
      <c r="Q334" s="639"/>
      <c r="R334" s="639"/>
      <c r="S334" s="639"/>
      <c r="T334" s="639"/>
      <c r="U334" s="639"/>
      <c r="V334" s="639"/>
      <c r="W334" s="639"/>
      <c r="X334" s="639"/>
      <c r="Y334" s="639"/>
      <c r="Z334" s="639"/>
      <c r="AA334" s="639"/>
      <c r="AB334" s="639"/>
    </row>
    <row r="335" spans="1:28">
      <c r="A335" s="639"/>
      <c r="B335" s="639"/>
      <c r="C335" s="639"/>
      <c r="D335" s="639"/>
      <c r="E335" s="639"/>
      <c r="F335" s="639"/>
      <c r="G335" s="639"/>
      <c r="H335" s="639"/>
      <c r="I335" s="639"/>
      <c r="J335" s="639"/>
      <c r="K335" s="639"/>
      <c r="L335" s="639"/>
      <c r="M335" s="639"/>
      <c r="N335" s="639"/>
      <c r="O335" s="639"/>
      <c r="P335" s="639"/>
      <c r="Q335" s="639"/>
      <c r="R335" s="639"/>
      <c r="S335" s="639"/>
      <c r="T335" s="639"/>
      <c r="U335" s="639"/>
      <c r="V335" s="639"/>
      <c r="W335" s="639"/>
      <c r="X335" s="639"/>
      <c r="Y335" s="639"/>
      <c r="Z335" s="639"/>
      <c r="AA335" s="639"/>
      <c r="AB335" s="639"/>
    </row>
    <row r="336" spans="1:28">
      <c r="A336" s="639"/>
      <c r="B336" s="639"/>
      <c r="C336" s="639"/>
      <c r="D336" s="639"/>
      <c r="E336" s="639"/>
      <c r="F336" s="639"/>
      <c r="G336" s="639"/>
      <c r="H336" s="639"/>
      <c r="I336" s="639"/>
      <c r="J336" s="639"/>
      <c r="K336" s="639"/>
      <c r="L336" s="639"/>
      <c r="M336" s="639"/>
      <c r="N336" s="639"/>
      <c r="O336" s="639"/>
      <c r="P336" s="639"/>
      <c r="Q336" s="639"/>
      <c r="R336" s="639"/>
      <c r="S336" s="639"/>
      <c r="T336" s="639"/>
      <c r="U336" s="639"/>
      <c r="V336" s="639"/>
      <c r="W336" s="639"/>
      <c r="X336" s="639"/>
      <c r="Y336" s="639"/>
      <c r="Z336" s="639"/>
      <c r="AA336" s="639"/>
      <c r="AB336" s="639"/>
    </row>
    <row r="337" spans="1:28">
      <c r="A337" s="639"/>
      <c r="B337" s="639"/>
      <c r="C337" s="639"/>
      <c r="D337" s="639"/>
      <c r="E337" s="639"/>
      <c r="F337" s="639"/>
      <c r="G337" s="639"/>
      <c r="H337" s="639"/>
      <c r="I337" s="639"/>
      <c r="J337" s="639"/>
      <c r="K337" s="639"/>
      <c r="L337" s="639"/>
      <c r="M337" s="639"/>
      <c r="N337" s="639"/>
      <c r="O337" s="639"/>
      <c r="P337" s="639"/>
      <c r="Q337" s="639"/>
      <c r="R337" s="639"/>
      <c r="S337" s="639"/>
      <c r="T337" s="639"/>
      <c r="U337" s="639"/>
      <c r="V337" s="639"/>
      <c r="W337" s="639"/>
      <c r="X337" s="639"/>
      <c r="Y337" s="639"/>
      <c r="Z337" s="639"/>
      <c r="AA337" s="639"/>
      <c r="AB337" s="639"/>
    </row>
    <row r="338" spans="1:28">
      <c r="A338" s="639"/>
      <c r="B338" s="639"/>
      <c r="C338" s="639"/>
      <c r="D338" s="639"/>
      <c r="E338" s="639"/>
      <c r="F338" s="639"/>
      <c r="G338" s="639"/>
      <c r="H338" s="639"/>
      <c r="I338" s="639"/>
      <c r="J338" s="639"/>
      <c r="K338" s="639"/>
      <c r="L338" s="639"/>
      <c r="M338" s="639"/>
      <c r="N338" s="639"/>
      <c r="O338" s="639"/>
      <c r="P338" s="639"/>
      <c r="Q338" s="639"/>
      <c r="R338" s="639"/>
      <c r="S338" s="639"/>
      <c r="T338" s="639"/>
      <c r="U338" s="639"/>
      <c r="V338" s="639"/>
      <c r="W338" s="639"/>
      <c r="X338" s="639"/>
      <c r="Y338" s="639"/>
      <c r="Z338" s="639"/>
      <c r="AA338" s="639"/>
      <c r="AB338" s="639"/>
    </row>
    <row r="339" spans="1:28">
      <c r="A339" s="639"/>
      <c r="B339" s="639"/>
      <c r="C339" s="639"/>
      <c r="D339" s="639"/>
      <c r="E339" s="639"/>
      <c r="F339" s="639"/>
      <c r="G339" s="639"/>
      <c r="H339" s="639"/>
      <c r="I339" s="639"/>
      <c r="J339" s="639"/>
      <c r="K339" s="639"/>
      <c r="L339" s="639"/>
      <c r="M339" s="639"/>
      <c r="N339" s="639"/>
      <c r="O339" s="639"/>
      <c r="P339" s="639"/>
      <c r="Q339" s="639"/>
      <c r="R339" s="639"/>
      <c r="S339" s="639"/>
      <c r="T339" s="639"/>
      <c r="U339" s="639"/>
      <c r="V339" s="639"/>
      <c r="W339" s="639"/>
      <c r="X339" s="639"/>
      <c r="Y339" s="639"/>
      <c r="Z339" s="639"/>
      <c r="AA339" s="639"/>
      <c r="AB339" s="639"/>
    </row>
    <row r="340" spans="1:28">
      <c r="A340" s="639"/>
      <c r="B340" s="639"/>
      <c r="C340" s="639"/>
      <c r="D340" s="639"/>
      <c r="E340" s="639"/>
      <c r="F340" s="639"/>
      <c r="G340" s="639"/>
      <c r="H340" s="639"/>
      <c r="I340" s="639"/>
      <c r="J340" s="639"/>
      <c r="K340" s="639"/>
      <c r="L340" s="639"/>
      <c r="M340" s="639"/>
      <c r="N340" s="639"/>
      <c r="O340" s="639"/>
      <c r="P340" s="639"/>
      <c r="Q340" s="639"/>
      <c r="R340" s="639"/>
      <c r="S340" s="639"/>
      <c r="T340" s="639"/>
      <c r="U340" s="639"/>
      <c r="V340" s="639"/>
      <c r="W340" s="639"/>
      <c r="X340" s="639"/>
      <c r="Y340" s="639"/>
      <c r="Z340" s="639"/>
      <c r="AA340" s="639"/>
      <c r="AB340" s="639"/>
    </row>
    <row r="341" spans="1:28">
      <c r="A341" s="639"/>
      <c r="B341" s="639"/>
      <c r="C341" s="639"/>
      <c r="D341" s="639"/>
      <c r="E341" s="639"/>
      <c r="F341" s="639"/>
      <c r="G341" s="639"/>
      <c r="H341" s="639"/>
      <c r="I341" s="639"/>
      <c r="J341" s="639"/>
      <c r="K341" s="639"/>
      <c r="L341" s="639"/>
      <c r="M341" s="639"/>
      <c r="N341" s="639"/>
      <c r="O341" s="639"/>
      <c r="P341" s="639"/>
      <c r="Q341" s="639"/>
      <c r="R341" s="639"/>
      <c r="S341" s="639"/>
      <c r="T341" s="639"/>
      <c r="U341" s="639"/>
      <c r="V341" s="639"/>
      <c r="W341" s="639"/>
      <c r="X341" s="639"/>
      <c r="Y341" s="639"/>
      <c r="Z341" s="639"/>
      <c r="AA341" s="639"/>
      <c r="AB341" s="639"/>
    </row>
    <row r="342" spans="1:28">
      <c r="A342" s="639"/>
      <c r="B342" s="639"/>
      <c r="C342" s="639"/>
      <c r="D342" s="639"/>
      <c r="E342" s="639"/>
      <c r="F342" s="639"/>
      <c r="G342" s="639"/>
      <c r="H342" s="639"/>
      <c r="I342" s="639"/>
      <c r="J342" s="639"/>
      <c r="K342" s="639"/>
      <c r="L342" s="639"/>
      <c r="M342" s="639"/>
      <c r="N342" s="639"/>
      <c r="O342" s="639"/>
      <c r="P342" s="639"/>
      <c r="Q342" s="639"/>
      <c r="R342" s="639"/>
      <c r="S342" s="639"/>
      <c r="T342" s="639"/>
      <c r="U342" s="639"/>
      <c r="V342" s="639"/>
      <c r="W342" s="639"/>
      <c r="X342" s="639"/>
      <c r="Y342" s="639"/>
      <c r="Z342" s="639"/>
      <c r="AA342" s="639"/>
      <c r="AB342" s="639"/>
    </row>
    <row r="343" spans="1:28">
      <c r="A343" s="639"/>
      <c r="B343" s="639"/>
      <c r="C343" s="639"/>
      <c r="D343" s="639"/>
      <c r="E343" s="639"/>
      <c r="F343" s="639"/>
      <c r="G343" s="639"/>
      <c r="H343" s="639"/>
      <c r="I343" s="639"/>
      <c r="J343" s="639"/>
      <c r="K343" s="639"/>
      <c r="L343" s="639"/>
      <c r="M343" s="639"/>
      <c r="N343" s="639"/>
      <c r="O343" s="639"/>
      <c r="P343" s="639"/>
      <c r="Q343" s="639"/>
      <c r="R343" s="639"/>
      <c r="S343" s="639"/>
      <c r="T343" s="639"/>
      <c r="U343" s="639"/>
      <c r="V343" s="639"/>
      <c r="W343" s="639"/>
      <c r="X343" s="639"/>
      <c r="Y343" s="639"/>
      <c r="Z343" s="639"/>
      <c r="AA343" s="639"/>
      <c r="AB343" s="639"/>
    </row>
    <row r="344" spans="1:28">
      <c r="A344" s="639"/>
      <c r="B344" s="639"/>
      <c r="C344" s="639"/>
      <c r="D344" s="639"/>
      <c r="E344" s="639"/>
      <c r="F344" s="639"/>
      <c r="G344" s="639"/>
      <c r="H344" s="639"/>
      <c r="I344" s="639"/>
      <c r="J344" s="639"/>
      <c r="K344" s="639"/>
      <c r="L344" s="639"/>
      <c r="M344" s="639"/>
      <c r="N344" s="639"/>
      <c r="O344" s="639"/>
      <c r="P344" s="639"/>
      <c r="Q344" s="639"/>
      <c r="R344" s="639"/>
      <c r="S344" s="639"/>
      <c r="T344" s="639"/>
      <c r="U344" s="639"/>
      <c r="V344" s="639"/>
      <c r="W344" s="639"/>
      <c r="X344" s="639"/>
      <c r="Y344" s="639"/>
      <c r="Z344" s="639"/>
      <c r="AA344" s="639"/>
      <c r="AB344" s="639"/>
    </row>
    <row r="345" spans="1:28">
      <c r="A345" s="639"/>
      <c r="B345" s="639"/>
      <c r="C345" s="639"/>
      <c r="D345" s="639"/>
      <c r="E345" s="639"/>
      <c r="F345" s="639"/>
      <c r="G345" s="639"/>
      <c r="H345" s="639"/>
      <c r="I345" s="639"/>
      <c r="J345" s="639"/>
      <c r="K345" s="639"/>
      <c r="L345" s="639"/>
      <c r="M345" s="639"/>
      <c r="N345" s="639"/>
      <c r="O345" s="639"/>
      <c r="P345" s="639"/>
      <c r="Q345" s="639"/>
      <c r="R345" s="639"/>
      <c r="S345" s="639"/>
      <c r="T345" s="639"/>
      <c r="U345" s="639"/>
      <c r="V345" s="639"/>
      <c r="W345" s="639"/>
      <c r="X345" s="639"/>
      <c r="Y345" s="639"/>
      <c r="Z345" s="639"/>
      <c r="AA345" s="639"/>
      <c r="AB345" s="639"/>
    </row>
    <row r="346" spans="1:28">
      <c r="A346" s="639"/>
      <c r="B346" s="639"/>
      <c r="C346" s="639"/>
      <c r="D346" s="639"/>
      <c r="E346" s="639"/>
      <c r="F346" s="639"/>
      <c r="G346" s="639"/>
      <c r="H346" s="639"/>
      <c r="I346" s="639"/>
      <c r="J346" s="639"/>
      <c r="K346" s="639"/>
      <c r="L346" s="639"/>
      <c r="M346" s="639"/>
      <c r="N346" s="639"/>
      <c r="O346" s="639"/>
      <c r="P346" s="639"/>
      <c r="Q346" s="639"/>
      <c r="R346" s="639"/>
      <c r="S346" s="639"/>
      <c r="T346" s="639"/>
      <c r="U346" s="639"/>
      <c r="V346" s="639"/>
      <c r="W346" s="639"/>
      <c r="X346" s="639"/>
      <c r="Y346" s="639"/>
      <c r="Z346" s="639"/>
      <c r="AA346" s="639"/>
      <c r="AB346" s="639"/>
    </row>
    <row r="347" spans="1:28">
      <c r="A347" s="639"/>
      <c r="B347" s="639"/>
      <c r="C347" s="639"/>
      <c r="D347" s="639"/>
      <c r="E347" s="639"/>
      <c r="F347" s="639"/>
      <c r="G347" s="639"/>
      <c r="H347" s="639"/>
      <c r="I347" s="639"/>
      <c r="J347" s="639"/>
      <c r="K347" s="639"/>
      <c r="L347" s="639"/>
      <c r="M347" s="639"/>
      <c r="N347" s="639"/>
      <c r="O347" s="639"/>
      <c r="P347" s="639"/>
      <c r="Q347" s="639"/>
      <c r="R347" s="639"/>
      <c r="S347" s="639"/>
      <c r="T347" s="639"/>
      <c r="U347" s="639"/>
      <c r="V347" s="639"/>
      <c r="W347" s="639"/>
      <c r="X347" s="639"/>
      <c r="Y347" s="639"/>
      <c r="Z347" s="639"/>
      <c r="AA347" s="639"/>
      <c r="AB347" s="639"/>
    </row>
    <row r="348" spans="1:28">
      <c r="A348" s="639"/>
      <c r="B348" s="639"/>
      <c r="C348" s="639"/>
      <c r="D348" s="639"/>
      <c r="E348" s="639"/>
      <c r="F348" s="639"/>
      <c r="G348" s="639"/>
      <c r="H348" s="639"/>
      <c r="I348" s="639"/>
      <c r="J348" s="639"/>
      <c r="K348" s="639"/>
      <c r="L348" s="639"/>
      <c r="M348" s="639"/>
      <c r="N348" s="639"/>
      <c r="O348" s="639"/>
      <c r="P348" s="639"/>
      <c r="Q348" s="639"/>
      <c r="R348" s="639"/>
      <c r="S348" s="639"/>
      <c r="T348" s="639"/>
      <c r="U348" s="639"/>
      <c r="V348" s="639"/>
      <c r="W348" s="639"/>
      <c r="X348" s="639"/>
      <c r="Y348" s="639"/>
      <c r="Z348" s="639"/>
      <c r="AA348" s="639"/>
      <c r="AB348" s="639"/>
    </row>
    <row r="349" spans="1:28">
      <c r="A349" s="639"/>
      <c r="B349" s="639"/>
      <c r="C349" s="639"/>
      <c r="D349" s="639"/>
      <c r="E349" s="639"/>
      <c r="F349" s="639"/>
      <c r="G349" s="639"/>
      <c r="H349" s="639"/>
      <c r="I349" s="639"/>
      <c r="J349" s="639"/>
      <c r="K349" s="639"/>
      <c r="L349" s="639"/>
      <c r="M349" s="639"/>
      <c r="N349" s="639"/>
      <c r="O349" s="639"/>
      <c r="P349" s="639"/>
      <c r="Q349" s="639"/>
      <c r="R349" s="639"/>
      <c r="S349" s="639"/>
      <c r="T349" s="639"/>
      <c r="U349" s="639"/>
      <c r="V349" s="639"/>
      <c r="W349" s="639"/>
      <c r="X349" s="639"/>
      <c r="Y349" s="639"/>
      <c r="Z349" s="639"/>
      <c r="AA349" s="639"/>
      <c r="AB349" s="639"/>
    </row>
    <row r="350" spans="1:28">
      <c r="A350" s="639"/>
      <c r="B350" s="639"/>
      <c r="C350" s="639"/>
      <c r="D350" s="639"/>
      <c r="E350" s="639"/>
      <c r="F350" s="639"/>
      <c r="G350" s="639"/>
      <c r="H350" s="639"/>
      <c r="I350" s="639"/>
      <c r="J350" s="639"/>
      <c r="K350" s="639"/>
      <c r="L350" s="639"/>
      <c r="M350" s="639"/>
      <c r="N350" s="639"/>
      <c r="O350" s="639"/>
      <c r="P350" s="639"/>
      <c r="Q350" s="639"/>
      <c r="R350" s="639"/>
      <c r="S350" s="639"/>
      <c r="T350" s="639"/>
      <c r="U350" s="639"/>
      <c r="V350" s="639"/>
      <c r="W350" s="639"/>
      <c r="X350" s="639"/>
      <c r="Y350" s="639"/>
      <c r="Z350" s="639"/>
      <c r="AA350" s="639"/>
      <c r="AB350" s="639"/>
    </row>
    <row r="351" spans="1:28">
      <c r="A351" s="639"/>
      <c r="B351" s="639"/>
      <c r="C351" s="639"/>
      <c r="D351" s="639"/>
      <c r="E351" s="639"/>
      <c r="F351" s="639"/>
      <c r="G351" s="639"/>
      <c r="H351" s="639"/>
      <c r="I351" s="639"/>
      <c r="J351" s="639"/>
      <c r="K351" s="639"/>
      <c r="L351" s="639"/>
      <c r="M351" s="639"/>
      <c r="N351" s="639"/>
      <c r="O351" s="639"/>
      <c r="P351" s="639"/>
      <c r="Q351" s="639"/>
      <c r="R351" s="639"/>
      <c r="S351" s="639"/>
      <c r="T351" s="639"/>
      <c r="U351" s="639"/>
      <c r="V351" s="639"/>
      <c r="W351" s="639"/>
      <c r="X351" s="639"/>
      <c r="Y351" s="639"/>
      <c r="Z351" s="639"/>
      <c r="AA351" s="639"/>
      <c r="AB351" s="639"/>
    </row>
    <row r="352" spans="1:28">
      <c r="A352" s="639"/>
      <c r="B352" s="639"/>
      <c r="C352" s="639"/>
      <c r="D352" s="639"/>
      <c r="E352" s="639"/>
      <c r="F352" s="639"/>
      <c r="G352" s="639"/>
      <c r="H352" s="639"/>
      <c r="I352" s="639"/>
      <c r="J352" s="639"/>
      <c r="K352" s="639"/>
      <c r="L352" s="639"/>
      <c r="M352" s="639"/>
      <c r="N352" s="639"/>
      <c r="O352" s="639"/>
      <c r="P352" s="639"/>
      <c r="Q352" s="639"/>
      <c r="R352" s="639"/>
      <c r="S352" s="639"/>
      <c r="T352" s="639"/>
      <c r="U352" s="639"/>
      <c r="V352" s="639"/>
      <c r="W352" s="639"/>
      <c r="X352" s="639"/>
      <c r="Y352" s="639"/>
      <c r="Z352" s="639"/>
      <c r="AA352" s="639"/>
      <c r="AB352" s="639"/>
    </row>
    <row r="353" spans="1:28">
      <c r="A353" s="639"/>
      <c r="B353" s="639"/>
      <c r="C353" s="639"/>
      <c r="D353" s="639"/>
      <c r="E353" s="639"/>
      <c r="F353" s="639"/>
      <c r="G353" s="639"/>
      <c r="H353" s="639"/>
      <c r="I353" s="639"/>
      <c r="J353" s="639"/>
      <c r="K353" s="639"/>
      <c r="L353" s="639"/>
      <c r="M353" s="639"/>
      <c r="N353" s="639"/>
      <c r="O353" s="639"/>
      <c r="P353" s="639"/>
      <c r="Q353" s="639"/>
      <c r="R353" s="639"/>
      <c r="S353" s="639"/>
      <c r="T353" s="639"/>
      <c r="U353" s="639"/>
      <c r="V353" s="639"/>
      <c r="W353" s="639"/>
      <c r="X353" s="639"/>
      <c r="Y353" s="639"/>
      <c r="Z353" s="639"/>
      <c r="AA353" s="639"/>
      <c r="AB353" s="639"/>
    </row>
    <row r="354" spans="1:28">
      <c r="A354" s="639"/>
      <c r="B354" s="639"/>
      <c r="C354" s="639"/>
      <c r="D354" s="639"/>
      <c r="E354" s="639"/>
      <c r="F354" s="639"/>
      <c r="G354" s="639"/>
      <c r="H354" s="639"/>
      <c r="I354" s="639"/>
      <c r="J354" s="639"/>
      <c r="K354" s="639"/>
      <c r="L354" s="639"/>
      <c r="M354" s="639"/>
      <c r="N354" s="639"/>
      <c r="O354" s="639"/>
      <c r="P354" s="639"/>
      <c r="Q354" s="639"/>
      <c r="R354" s="639"/>
      <c r="S354" s="639"/>
      <c r="T354" s="639"/>
      <c r="U354" s="639"/>
      <c r="V354" s="639"/>
      <c r="W354" s="639"/>
      <c r="X354" s="639"/>
      <c r="Y354" s="639"/>
      <c r="Z354" s="639"/>
      <c r="AA354" s="639"/>
      <c r="AB354" s="639"/>
    </row>
    <row r="355" spans="1:28">
      <c r="A355" s="639"/>
      <c r="B355" s="639"/>
      <c r="C355" s="639"/>
      <c r="D355" s="639"/>
      <c r="E355" s="639"/>
      <c r="F355" s="639"/>
      <c r="G355" s="639"/>
      <c r="H355" s="639"/>
      <c r="I355" s="639"/>
      <c r="J355" s="639"/>
      <c r="K355" s="639"/>
      <c r="L355" s="639"/>
      <c r="M355" s="639"/>
      <c r="N355" s="639"/>
      <c r="O355" s="639"/>
      <c r="P355" s="639"/>
      <c r="Q355" s="639"/>
      <c r="R355" s="639"/>
      <c r="S355" s="639"/>
      <c r="T355" s="639"/>
      <c r="U355" s="639"/>
      <c r="V355" s="639"/>
      <c r="W355" s="639"/>
      <c r="X355" s="639"/>
      <c r="Y355" s="639"/>
      <c r="Z355" s="639"/>
      <c r="AA355" s="639"/>
      <c r="AB355" s="639"/>
    </row>
    <row r="356" spans="1:28">
      <c r="A356" s="639"/>
      <c r="B356" s="639"/>
      <c r="C356" s="639"/>
      <c r="D356" s="639"/>
      <c r="E356" s="639"/>
      <c r="F356" s="639"/>
      <c r="G356" s="639"/>
      <c r="H356" s="639"/>
      <c r="I356" s="639"/>
      <c r="J356" s="639"/>
      <c r="K356" s="639"/>
      <c r="L356" s="639"/>
      <c r="M356" s="639"/>
      <c r="N356" s="639"/>
      <c r="O356" s="639"/>
      <c r="P356" s="639"/>
      <c r="Q356" s="639"/>
      <c r="R356" s="639"/>
      <c r="S356" s="639"/>
      <c r="T356" s="639"/>
      <c r="U356" s="639"/>
      <c r="V356" s="639"/>
      <c r="W356" s="639"/>
      <c r="X356" s="639"/>
      <c r="Y356" s="639"/>
      <c r="Z356" s="639"/>
      <c r="AA356" s="639"/>
      <c r="AB356" s="639"/>
    </row>
    <row r="357" spans="1:28">
      <c r="A357" s="639"/>
      <c r="B357" s="639"/>
      <c r="C357" s="639"/>
      <c r="D357" s="639"/>
      <c r="E357" s="639"/>
      <c r="F357" s="639"/>
      <c r="G357" s="639"/>
      <c r="H357" s="639"/>
      <c r="I357" s="639"/>
      <c r="J357" s="639"/>
      <c r="K357" s="639"/>
      <c r="L357" s="639"/>
      <c r="M357" s="639"/>
      <c r="N357" s="639"/>
      <c r="O357" s="639"/>
      <c r="P357" s="639"/>
      <c r="Q357" s="639"/>
      <c r="R357" s="639"/>
      <c r="S357" s="639"/>
      <c r="T357" s="639"/>
      <c r="U357" s="639"/>
      <c r="V357" s="639"/>
      <c r="W357" s="639"/>
      <c r="X357" s="639"/>
      <c r="Y357" s="639"/>
      <c r="Z357" s="639"/>
      <c r="AA357" s="639"/>
      <c r="AB357" s="639"/>
    </row>
    <row r="358" spans="1:28">
      <c r="A358" s="639"/>
      <c r="B358" s="639"/>
      <c r="C358" s="639"/>
      <c r="D358" s="639"/>
      <c r="E358" s="639"/>
      <c r="F358" s="639"/>
      <c r="G358" s="639"/>
      <c r="H358" s="639"/>
      <c r="I358" s="639"/>
      <c r="J358" s="639"/>
      <c r="K358" s="639"/>
      <c r="L358" s="639"/>
      <c r="M358" s="639"/>
      <c r="N358" s="639"/>
      <c r="O358" s="639"/>
      <c r="P358" s="639"/>
      <c r="Q358" s="639"/>
      <c r="R358" s="639"/>
      <c r="S358" s="639"/>
      <c r="T358" s="639"/>
      <c r="U358" s="639"/>
      <c r="V358" s="639"/>
      <c r="W358" s="639"/>
      <c r="X358" s="639"/>
      <c r="Y358" s="639"/>
      <c r="Z358" s="639"/>
      <c r="AA358" s="639"/>
      <c r="AB358" s="639"/>
    </row>
    <row r="359" spans="1:28">
      <c r="A359" s="639"/>
      <c r="B359" s="639"/>
      <c r="C359" s="639"/>
      <c r="D359" s="639"/>
      <c r="E359" s="639"/>
      <c r="F359" s="639"/>
      <c r="G359" s="639"/>
      <c r="H359" s="639"/>
      <c r="I359" s="639"/>
      <c r="J359" s="639"/>
      <c r="K359" s="639"/>
      <c r="L359" s="639"/>
      <c r="M359" s="639"/>
      <c r="N359" s="639"/>
      <c r="O359" s="639"/>
      <c r="P359" s="639"/>
      <c r="Q359" s="639"/>
      <c r="R359" s="639"/>
      <c r="S359" s="639"/>
      <c r="T359" s="639"/>
      <c r="U359" s="639"/>
      <c r="V359" s="639"/>
      <c r="W359" s="639"/>
      <c r="X359" s="639"/>
      <c r="Y359" s="639"/>
      <c r="Z359" s="639"/>
      <c r="AA359" s="639"/>
      <c r="AB359" s="639"/>
    </row>
    <row r="360" spans="1:28">
      <c r="A360" s="639"/>
      <c r="B360" s="639"/>
      <c r="C360" s="639"/>
      <c r="D360" s="639"/>
      <c r="E360" s="639"/>
      <c r="F360" s="639"/>
      <c r="G360" s="639"/>
      <c r="H360" s="639"/>
      <c r="I360" s="639"/>
      <c r="J360" s="639"/>
      <c r="K360" s="639"/>
      <c r="L360" s="639"/>
      <c r="M360" s="639"/>
      <c r="N360" s="639"/>
      <c r="O360" s="639"/>
      <c r="P360" s="639"/>
      <c r="Q360" s="639"/>
      <c r="R360" s="639"/>
      <c r="S360" s="639"/>
      <c r="T360" s="639"/>
      <c r="U360" s="639"/>
      <c r="V360" s="639"/>
      <c r="W360" s="639"/>
      <c r="X360" s="639"/>
      <c r="Y360" s="639"/>
      <c r="Z360" s="639"/>
      <c r="AA360" s="639"/>
      <c r="AB360" s="639"/>
    </row>
    <row r="361" spans="1:28">
      <c r="A361" s="639"/>
      <c r="B361" s="639"/>
      <c r="C361" s="639"/>
      <c r="D361" s="639"/>
      <c r="E361" s="639"/>
      <c r="F361" s="639"/>
      <c r="G361" s="639"/>
      <c r="H361" s="639"/>
      <c r="I361" s="639"/>
      <c r="J361" s="639"/>
      <c r="K361" s="639"/>
      <c r="L361" s="639"/>
      <c r="M361" s="639"/>
      <c r="N361" s="639"/>
      <c r="O361" s="639"/>
      <c r="P361" s="639"/>
      <c r="Q361" s="639"/>
      <c r="R361" s="639"/>
      <c r="S361" s="639"/>
      <c r="T361" s="639"/>
      <c r="U361" s="639"/>
      <c r="V361" s="639"/>
      <c r="W361" s="639"/>
      <c r="X361" s="639"/>
      <c r="Y361" s="639"/>
      <c r="Z361" s="639"/>
      <c r="AA361" s="639"/>
      <c r="AB361" s="639"/>
    </row>
    <row r="362" spans="1:28">
      <c r="A362" s="639"/>
      <c r="B362" s="639"/>
      <c r="C362" s="639"/>
      <c r="D362" s="639"/>
      <c r="E362" s="639"/>
      <c r="F362" s="639"/>
      <c r="G362" s="639"/>
      <c r="H362" s="639"/>
      <c r="I362" s="639"/>
      <c r="J362" s="639"/>
      <c r="K362" s="639"/>
      <c r="L362" s="639"/>
      <c r="M362" s="639"/>
      <c r="N362" s="639"/>
      <c r="O362" s="639"/>
      <c r="P362" s="639"/>
      <c r="Q362" s="639"/>
      <c r="R362" s="639"/>
      <c r="S362" s="639"/>
      <c r="T362" s="639"/>
      <c r="U362" s="639"/>
      <c r="V362" s="639"/>
      <c r="W362" s="639"/>
      <c r="X362" s="639"/>
      <c r="Y362" s="639"/>
      <c r="Z362" s="639"/>
      <c r="AA362" s="639"/>
      <c r="AB362" s="639"/>
    </row>
    <row r="363" spans="1:28">
      <c r="A363" s="639"/>
      <c r="B363" s="639"/>
      <c r="C363" s="639"/>
      <c r="D363" s="639"/>
      <c r="E363" s="639"/>
      <c r="F363" s="639"/>
      <c r="G363" s="639"/>
      <c r="H363" s="639"/>
      <c r="I363" s="639"/>
      <c r="J363" s="639"/>
      <c r="K363" s="639"/>
      <c r="L363" s="639"/>
      <c r="M363" s="639"/>
      <c r="N363" s="639"/>
      <c r="O363" s="639"/>
      <c r="P363" s="639"/>
      <c r="Q363" s="639"/>
      <c r="R363" s="639"/>
      <c r="S363" s="639"/>
      <c r="T363" s="639"/>
      <c r="U363" s="639"/>
      <c r="V363" s="639"/>
      <c r="W363" s="639"/>
      <c r="X363" s="639"/>
      <c r="Y363" s="639"/>
      <c r="Z363" s="639"/>
      <c r="AA363" s="639"/>
      <c r="AB363" s="639"/>
    </row>
    <row r="364" spans="1:28">
      <c r="A364" s="639"/>
      <c r="B364" s="639"/>
      <c r="C364" s="639"/>
      <c r="D364" s="639"/>
      <c r="E364" s="639"/>
      <c r="F364" s="639"/>
      <c r="G364" s="639"/>
      <c r="H364" s="639"/>
      <c r="I364" s="639"/>
      <c r="J364" s="639"/>
      <c r="K364" s="639"/>
      <c r="L364" s="639"/>
      <c r="M364" s="639"/>
      <c r="N364" s="639"/>
      <c r="O364" s="639"/>
      <c r="P364" s="639"/>
      <c r="Q364" s="639"/>
      <c r="R364" s="639"/>
      <c r="S364" s="639"/>
      <c r="T364" s="639"/>
      <c r="U364" s="639"/>
      <c r="V364" s="639"/>
      <c r="W364" s="639"/>
      <c r="X364" s="639"/>
      <c r="Y364" s="639"/>
      <c r="Z364" s="639"/>
      <c r="AA364" s="639"/>
      <c r="AB364" s="639"/>
    </row>
    <row r="365" spans="1:28">
      <c r="A365" s="639"/>
      <c r="B365" s="639"/>
      <c r="C365" s="639"/>
      <c r="D365" s="639"/>
      <c r="E365" s="639"/>
      <c r="F365" s="639"/>
      <c r="G365" s="639"/>
      <c r="H365" s="639"/>
      <c r="I365" s="639"/>
      <c r="J365" s="639"/>
      <c r="K365" s="639"/>
      <c r="L365" s="639"/>
      <c r="M365" s="639"/>
      <c r="N365" s="639"/>
      <c r="O365" s="639"/>
      <c r="P365" s="639"/>
      <c r="Q365" s="639"/>
      <c r="R365" s="639"/>
      <c r="S365" s="639"/>
      <c r="T365" s="639"/>
      <c r="U365" s="639"/>
      <c r="V365" s="639"/>
      <c r="W365" s="639"/>
      <c r="X365" s="639"/>
      <c r="Y365" s="639"/>
      <c r="Z365" s="639"/>
      <c r="AA365" s="639"/>
      <c r="AB365" s="639"/>
    </row>
    <row r="366" spans="1:28">
      <c r="A366" s="639"/>
      <c r="B366" s="639"/>
      <c r="C366" s="639"/>
      <c r="D366" s="639"/>
      <c r="E366" s="639"/>
      <c r="F366" s="639"/>
      <c r="G366" s="639"/>
      <c r="H366" s="639"/>
      <c r="I366" s="639"/>
      <c r="J366" s="639"/>
      <c r="K366" s="639"/>
      <c r="L366" s="639"/>
      <c r="M366" s="639"/>
      <c r="N366" s="639"/>
      <c r="O366" s="639"/>
      <c r="P366" s="639"/>
      <c r="Q366" s="639"/>
      <c r="R366" s="639"/>
      <c r="S366" s="639"/>
      <c r="T366" s="639"/>
      <c r="U366" s="639"/>
      <c r="V366" s="639"/>
      <c r="W366" s="639"/>
      <c r="X366" s="639"/>
      <c r="Y366" s="639"/>
      <c r="Z366" s="639"/>
      <c r="AA366" s="639"/>
      <c r="AB366" s="639"/>
    </row>
    <row r="367" spans="1:28">
      <c r="A367" s="639"/>
      <c r="B367" s="639"/>
      <c r="C367" s="639"/>
      <c r="D367" s="639"/>
      <c r="E367" s="639"/>
      <c r="F367" s="639"/>
      <c r="G367" s="639"/>
      <c r="H367" s="639"/>
      <c r="I367" s="639"/>
      <c r="J367" s="639"/>
      <c r="K367" s="639"/>
      <c r="L367" s="639"/>
      <c r="M367" s="639"/>
      <c r="N367" s="639"/>
      <c r="O367" s="639"/>
      <c r="P367" s="639"/>
      <c r="Q367" s="639"/>
      <c r="R367" s="639"/>
      <c r="S367" s="639"/>
      <c r="T367" s="639"/>
      <c r="U367" s="639"/>
      <c r="V367" s="639"/>
      <c r="W367" s="639"/>
      <c r="X367" s="639"/>
      <c r="Y367" s="639"/>
      <c r="Z367" s="639"/>
      <c r="AA367" s="639"/>
      <c r="AB367" s="639"/>
    </row>
    <row r="368" spans="1:28">
      <c r="A368" s="639"/>
      <c r="B368" s="639"/>
      <c r="C368" s="639"/>
      <c r="D368" s="639"/>
      <c r="E368" s="639"/>
      <c r="F368" s="639"/>
      <c r="G368" s="639"/>
      <c r="H368" s="639"/>
      <c r="I368" s="639"/>
      <c r="J368" s="639"/>
      <c r="K368" s="639"/>
      <c r="L368" s="639"/>
      <c r="M368" s="639"/>
      <c r="N368" s="639"/>
      <c r="O368" s="639"/>
      <c r="P368" s="639"/>
      <c r="Q368" s="639"/>
      <c r="R368" s="639"/>
      <c r="S368" s="639"/>
      <c r="T368" s="639"/>
      <c r="U368" s="639"/>
      <c r="V368" s="639"/>
      <c r="W368" s="639"/>
      <c r="X368" s="639"/>
      <c r="Y368" s="639"/>
      <c r="Z368" s="639"/>
      <c r="AA368" s="639"/>
      <c r="AB368" s="639"/>
    </row>
    <row r="369" spans="1:28">
      <c r="A369" s="639"/>
      <c r="B369" s="639"/>
      <c r="C369" s="639"/>
      <c r="D369" s="639"/>
      <c r="E369" s="639"/>
      <c r="F369" s="639"/>
      <c r="G369" s="639"/>
      <c r="H369" s="639"/>
      <c r="I369" s="639"/>
      <c r="J369" s="639"/>
      <c r="K369" s="639"/>
      <c r="L369" s="639"/>
      <c r="M369" s="639"/>
      <c r="N369" s="639"/>
      <c r="O369" s="639"/>
      <c r="P369" s="639"/>
      <c r="Q369" s="639"/>
      <c r="R369" s="639"/>
      <c r="S369" s="639"/>
      <c r="T369" s="639"/>
      <c r="U369" s="639"/>
      <c r="V369" s="639"/>
      <c r="W369" s="639"/>
      <c r="X369" s="639"/>
      <c r="Y369" s="639"/>
      <c r="Z369" s="639"/>
      <c r="AA369" s="639"/>
      <c r="AB369" s="639"/>
    </row>
    <row r="370" spans="1:28">
      <c r="A370" s="639"/>
      <c r="B370" s="639"/>
      <c r="C370" s="639"/>
      <c r="D370" s="639"/>
      <c r="E370" s="639"/>
      <c r="F370" s="639"/>
      <c r="G370" s="639"/>
      <c r="H370" s="639"/>
      <c r="I370" s="639"/>
      <c r="J370" s="639"/>
      <c r="K370" s="639"/>
      <c r="L370" s="639"/>
      <c r="M370" s="639"/>
      <c r="N370" s="639"/>
      <c r="O370" s="639"/>
      <c r="P370" s="639"/>
      <c r="Q370" s="639"/>
      <c r="R370" s="639"/>
      <c r="S370" s="639"/>
      <c r="T370" s="639"/>
      <c r="U370" s="639"/>
      <c r="V370" s="639"/>
      <c r="W370" s="639"/>
      <c r="X370" s="639"/>
      <c r="Y370" s="639"/>
      <c r="Z370" s="639"/>
      <c r="AA370" s="639"/>
      <c r="AB370" s="639"/>
    </row>
    <row r="371" spans="1:28">
      <c r="A371" s="639"/>
      <c r="B371" s="639"/>
      <c r="C371" s="639"/>
      <c r="D371" s="639"/>
      <c r="E371" s="639"/>
      <c r="F371" s="639"/>
      <c r="G371" s="639"/>
      <c r="H371" s="639"/>
      <c r="I371" s="639"/>
      <c r="J371" s="639"/>
      <c r="K371" s="639"/>
      <c r="L371" s="639"/>
      <c r="M371" s="639"/>
      <c r="N371" s="639"/>
      <c r="O371" s="639"/>
      <c r="P371" s="639"/>
      <c r="Q371" s="639"/>
      <c r="R371" s="639"/>
      <c r="S371" s="639"/>
      <c r="T371" s="639"/>
      <c r="U371" s="639"/>
      <c r="V371" s="639"/>
      <c r="W371" s="639"/>
      <c r="X371" s="639"/>
      <c r="Y371" s="639"/>
      <c r="Z371" s="639"/>
      <c r="AA371" s="639"/>
      <c r="AB371" s="639"/>
    </row>
    <row r="372" spans="1:28">
      <c r="A372" s="639"/>
      <c r="B372" s="639"/>
      <c r="C372" s="639"/>
      <c r="D372" s="639"/>
      <c r="E372" s="639"/>
      <c r="F372" s="639"/>
      <c r="G372" s="639"/>
      <c r="H372" s="639"/>
      <c r="I372" s="639"/>
      <c r="J372" s="639"/>
      <c r="K372" s="639"/>
      <c r="L372" s="639"/>
      <c r="M372" s="639"/>
      <c r="N372" s="639"/>
      <c r="O372" s="639"/>
      <c r="P372" s="639"/>
      <c r="Q372" s="639"/>
      <c r="R372" s="639"/>
      <c r="S372" s="639"/>
      <c r="T372" s="639"/>
      <c r="U372" s="639"/>
      <c r="V372" s="639"/>
      <c r="W372" s="639"/>
      <c r="X372" s="639"/>
      <c r="Y372" s="639"/>
      <c r="Z372" s="639"/>
      <c r="AA372" s="639"/>
      <c r="AB372" s="639"/>
    </row>
    <row r="373" spans="1:28">
      <c r="A373" s="639"/>
      <c r="B373" s="639"/>
      <c r="C373" s="639"/>
      <c r="D373" s="639"/>
      <c r="E373" s="639"/>
      <c r="F373" s="639"/>
      <c r="G373" s="639"/>
      <c r="H373" s="639"/>
      <c r="I373" s="639"/>
      <c r="J373" s="639"/>
      <c r="K373" s="639"/>
      <c r="L373" s="639"/>
      <c r="M373" s="639"/>
      <c r="N373" s="639"/>
      <c r="O373" s="639"/>
      <c r="P373" s="639"/>
      <c r="Q373" s="639"/>
      <c r="R373" s="639"/>
      <c r="S373" s="639"/>
      <c r="T373" s="639"/>
      <c r="U373" s="639"/>
      <c r="V373" s="639"/>
      <c r="W373" s="639"/>
      <c r="X373" s="639"/>
      <c r="Y373" s="639"/>
      <c r="Z373" s="639"/>
      <c r="AA373" s="639"/>
      <c r="AB373" s="639"/>
    </row>
    <row r="374" spans="1:28">
      <c r="A374" s="639"/>
      <c r="B374" s="639"/>
      <c r="C374" s="639"/>
      <c r="D374" s="639"/>
      <c r="E374" s="639"/>
      <c r="F374" s="639"/>
      <c r="G374" s="639"/>
      <c r="H374" s="639"/>
      <c r="I374" s="639"/>
      <c r="J374" s="639"/>
      <c r="K374" s="639"/>
      <c r="L374" s="639"/>
      <c r="M374" s="639"/>
      <c r="N374" s="639"/>
      <c r="O374" s="639"/>
      <c r="P374" s="639"/>
      <c r="Q374" s="639"/>
      <c r="R374" s="639"/>
      <c r="S374" s="639"/>
      <c r="T374" s="639"/>
      <c r="U374" s="639"/>
      <c r="V374" s="639"/>
      <c r="W374" s="639"/>
      <c r="X374" s="639"/>
      <c r="Y374" s="639"/>
      <c r="Z374" s="639"/>
      <c r="AA374" s="639"/>
      <c r="AB374" s="639"/>
    </row>
    <row r="375" spans="1:28">
      <c r="A375" s="639"/>
      <c r="B375" s="639"/>
      <c r="C375" s="639"/>
      <c r="D375" s="639"/>
      <c r="E375" s="639"/>
      <c r="F375" s="639"/>
      <c r="G375" s="639"/>
      <c r="H375" s="639"/>
      <c r="I375" s="639"/>
      <c r="J375" s="639"/>
      <c r="K375" s="639"/>
      <c r="L375" s="639"/>
      <c r="M375" s="639"/>
      <c r="N375" s="639"/>
      <c r="O375" s="639"/>
      <c r="P375" s="639"/>
      <c r="Q375" s="639"/>
      <c r="R375" s="639"/>
      <c r="S375" s="639"/>
      <c r="T375" s="639"/>
      <c r="U375" s="639"/>
      <c r="V375" s="639"/>
      <c r="W375" s="639"/>
      <c r="X375" s="639"/>
      <c r="Y375" s="639"/>
      <c r="Z375" s="639"/>
      <c r="AA375" s="639"/>
      <c r="AB375" s="639"/>
    </row>
    <row r="376" spans="1:28">
      <c r="A376" s="639"/>
      <c r="B376" s="639"/>
      <c r="C376" s="639"/>
      <c r="D376" s="639"/>
      <c r="E376" s="639"/>
      <c r="F376" s="639"/>
      <c r="G376" s="639"/>
      <c r="H376" s="639"/>
      <c r="I376" s="639"/>
      <c r="J376" s="639"/>
      <c r="K376" s="639"/>
      <c r="L376" s="639"/>
      <c r="M376" s="639"/>
      <c r="N376" s="639"/>
      <c r="O376" s="639"/>
      <c r="P376" s="639"/>
      <c r="Q376" s="639"/>
      <c r="R376" s="639"/>
      <c r="S376" s="639"/>
      <c r="T376" s="639"/>
      <c r="U376" s="639"/>
      <c r="V376" s="639"/>
      <c r="W376" s="639"/>
      <c r="X376" s="639"/>
      <c r="Y376" s="639"/>
      <c r="Z376" s="639"/>
      <c r="AA376" s="639"/>
      <c r="AB376" s="639"/>
    </row>
    <row r="377" spans="1:28">
      <c r="A377" s="639"/>
      <c r="B377" s="639"/>
      <c r="C377" s="639"/>
      <c r="D377" s="639"/>
      <c r="E377" s="639"/>
      <c r="F377" s="639"/>
      <c r="G377" s="639"/>
      <c r="H377" s="639"/>
      <c r="I377" s="639"/>
      <c r="J377" s="639"/>
      <c r="K377" s="639"/>
      <c r="L377" s="639"/>
      <c r="M377" s="639"/>
      <c r="N377" s="639"/>
      <c r="O377" s="639"/>
      <c r="P377" s="639"/>
      <c r="Q377" s="639"/>
      <c r="R377" s="639"/>
      <c r="S377" s="639"/>
      <c r="T377" s="639"/>
      <c r="U377" s="639"/>
      <c r="V377" s="639"/>
      <c r="W377" s="639"/>
      <c r="X377" s="639"/>
      <c r="Y377" s="639"/>
      <c r="Z377" s="639"/>
      <c r="AA377" s="639"/>
      <c r="AB377" s="639"/>
    </row>
    <row r="378" spans="1:28">
      <c r="A378" s="639"/>
      <c r="B378" s="639"/>
      <c r="C378" s="639"/>
      <c r="D378" s="639"/>
      <c r="E378" s="639"/>
      <c r="F378" s="639"/>
      <c r="G378" s="639"/>
      <c r="H378" s="639"/>
      <c r="I378" s="639"/>
      <c r="J378" s="639"/>
      <c r="K378" s="639"/>
      <c r="L378" s="639"/>
      <c r="M378" s="639"/>
      <c r="N378" s="639"/>
      <c r="O378" s="639"/>
      <c r="P378" s="639"/>
      <c r="Q378" s="639"/>
      <c r="R378" s="639"/>
      <c r="S378" s="639"/>
      <c r="T378" s="639"/>
      <c r="U378" s="639"/>
      <c r="V378" s="639"/>
      <c r="W378" s="639"/>
      <c r="X378" s="639"/>
      <c r="Y378" s="639"/>
      <c r="Z378" s="639"/>
      <c r="AA378" s="639"/>
      <c r="AB378" s="639"/>
    </row>
    <row r="379" spans="1:28">
      <c r="A379" s="639"/>
      <c r="B379" s="639"/>
      <c r="C379" s="639"/>
      <c r="D379" s="639"/>
      <c r="E379" s="639"/>
      <c r="F379" s="639"/>
      <c r="G379" s="639"/>
      <c r="H379" s="639"/>
      <c r="I379" s="639"/>
      <c r="J379" s="639"/>
      <c r="K379" s="639"/>
      <c r="L379" s="639"/>
      <c r="M379" s="639"/>
      <c r="N379" s="639"/>
      <c r="O379" s="639"/>
      <c r="P379" s="639"/>
      <c r="Q379" s="639"/>
      <c r="R379" s="639"/>
      <c r="S379" s="639"/>
      <c r="T379" s="639"/>
      <c r="U379" s="639"/>
      <c r="V379" s="639"/>
      <c r="W379" s="639"/>
      <c r="X379" s="639"/>
      <c r="Y379" s="639"/>
      <c r="Z379" s="639"/>
      <c r="AA379" s="639"/>
      <c r="AB379" s="639"/>
    </row>
    <row r="380" spans="1:28">
      <c r="A380" s="639"/>
      <c r="B380" s="639"/>
      <c r="C380" s="639"/>
      <c r="D380" s="639"/>
      <c r="E380" s="639"/>
      <c r="F380" s="639"/>
      <c r="G380" s="639"/>
      <c r="H380" s="639"/>
      <c r="I380" s="639"/>
      <c r="J380" s="639"/>
      <c r="K380" s="639"/>
      <c r="L380" s="639"/>
      <c r="M380" s="639"/>
      <c r="N380" s="639"/>
      <c r="O380" s="639"/>
      <c r="P380" s="639"/>
      <c r="Q380" s="639"/>
      <c r="R380" s="639"/>
      <c r="S380" s="639"/>
      <c r="T380" s="639"/>
      <c r="U380" s="639"/>
      <c r="V380" s="639"/>
      <c r="W380" s="639"/>
      <c r="X380" s="639"/>
      <c r="Y380" s="639"/>
      <c r="Z380" s="639"/>
      <c r="AA380" s="639"/>
      <c r="AB380" s="639"/>
    </row>
    <row r="381" spans="1:28">
      <c r="A381" s="639"/>
      <c r="B381" s="639"/>
      <c r="C381" s="639"/>
      <c r="D381" s="639"/>
      <c r="E381" s="639"/>
      <c r="F381" s="639"/>
      <c r="G381" s="639"/>
      <c r="H381" s="639"/>
      <c r="I381" s="639"/>
      <c r="J381" s="639"/>
      <c r="K381" s="639"/>
      <c r="L381" s="639"/>
      <c r="M381" s="639"/>
      <c r="N381" s="639"/>
      <c r="O381" s="639"/>
      <c r="P381" s="639"/>
      <c r="Q381" s="639"/>
      <c r="R381" s="639"/>
      <c r="S381" s="639"/>
      <c r="T381" s="639"/>
      <c r="U381" s="639"/>
      <c r="V381" s="639"/>
      <c r="W381" s="639"/>
      <c r="X381" s="639"/>
      <c r="Y381" s="639"/>
      <c r="Z381" s="639"/>
      <c r="AA381" s="639"/>
      <c r="AB381" s="639"/>
    </row>
    <row r="382" spans="1:28">
      <c r="A382" s="639"/>
      <c r="B382" s="639"/>
      <c r="C382" s="639"/>
      <c r="D382" s="639"/>
      <c r="E382" s="639"/>
      <c r="F382" s="639"/>
      <c r="G382" s="639"/>
      <c r="H382" s="639"/>
      <c r="I382" s="639"/>
      <c r="J382" s="639"/>
      <c r="K382" s="639"/>
      <c r="L382" s="639"/>
      <c r="M382" s="639"/>
      <c r="N382" s="639"/>
      <c r="O382" s="639"/>
      <c r="P382" s="639"/>
      <c r="Q382" s="639"/>
      <c r="R382" s="639"/>
      <c r="S382" s="639"/>
      <c r="T382" s="639"/>
      <c r="U382" s="639"/>
      <c r="V382" s="639"/>
      <c r="W382" s="639"/>
      <c r="X382" s="639"/>
      <c r="Y382" s="639"/>
      <c r="Z382" s="639"/>
      <c r="AA382" s="639"/>
      <c r="AB382" s="639"/>
    </row>
    <row r="383" spans="1:28">
      <c r="A383" s="639"/>
      <c r="B383" s="639"/>
      <c r="C383" s="639"/>
      <c r="D383" s="639"/>
      <c r="E383" s="639"/>
      <c r="F383" s="639"/>
      <c r="G383" s="639"/>
      <c r="H383" s="639"/>
      <c r="I383" s="639"/>
      <c r="J383" s="639"/>
      <c r="K383" s="639"/>
      <c r="L383" s="639"/>
      <c r="M383" s="639"/>
      <c r="N383" s="639"/>
      <c r="O383" s="639"/>
      <c r="P383" s="639"/>
      <c r="Q383" s="639"/>
      <c r="R383" s="639"/>
      <c r="S383" s="639"/>
      <c r="T383" s="639"/>
      <c r="U383" s="639"/>
      <c r="V383" s="639"/>
      <c r="W383" s="639"/>
      <c r="X383" s="639"/>
      <c r="Y383" s="639"/>
      <c r="Z383" s="639"/>
      <c r="AA383" s="639"/>
      <c r="AB383" s="639"/>
    </row>
    <row r="384" spans="1:28">
      <c r="A384" s="639"/>
      <c r="B384" s="639"/>
      <c r="C384" s="639"/>
      <c r="D384" s="639"/>
      <c r="E384" s="639"/>
      <c r="F384" s="639"/>
      <c r="G384" s="639"/>
      <c r="H384" s="639"/>
      <c r="I384" s="639"/>
      <c r="J384" s="639"/>
      <c r="K384" s="639"/>
      <c r="L384" s="639"/>
      <c r="M384" s="639"/>
      <c r="N384" s="639"/>
      <c r="O384" s="639"/>
      <c r="P384" s="639"/>
      <c r="Q384" s="639"/>
      <c r="R384" s="639"/>
      <c r="S384" s="639"/>
      <c r="T384" s="639"/>
      <c r="U384" s="639"/>
      <c r="V384" s="639"/>
      <c r="W384" s="639"/>
      <c r="X384" s="639"/>
      <c r="Y384" s="639"/>
      <c r="Z384" s="639"/>
      <c r="AA384" s="639"/>
      <c r="AB384" s="639"/>
    </row>
    <row r="385" spans="1:28">
      <c r="A385" s="639"/>
      <c r="B385" s="639"/>
      <c r="C385" s="639"/>
      <c r="D385" s="639"/>
      <c r="E385" s="639"/>
      <c r="F385" s="639"/>
      <c r="G385" s="639"/>
      <c r="H385" s="639"/>
      <c r="I385" s="639"/>
      <c r="J385" s="639"/>
      <c r="K385" s="639"/>
      <c r="L385" s="639"/>
      <c r="M385" s="639"/>
      <c r="N385" s="639"/>
      <c r="O385" s="639"/>
      <c r="P385" s="639"/>
      <c r="Q385" s="639"/>
      <c r="R385" s="639"/>
      <c r="S385" s="639"/>
      <c r="T385" s="639"/>
      <c r="U385" s="639"/>
      <c r="V385" s="639"/>
      <c r="W385" s="639"/>
      <c r="X385" s="639"/>
      <c r="Y385" s="639"/>
      <c r="Z385" s="639"/>
      <c r="AA385" s="639"/>
      <c r="AB385" s="639"/>
    </row>
    <row r="386" spans="1:28">
      <c r="A386" s="639"/>
      <c r="B386" s="639"/>
      <c r="C386" s="639"/>
      <c r="D386" s="639"/>
      <c r="E386" s="639"/>
      <c r="F386" s="639"/>
      <c r="G386" s="639"/>
      <c r="H386" s="639"/>
      <c r="I386" s="639"/>
      <c r="J386" s="639"/>
      <c r="K386" s="639"/>
      <c r="L386" s="639"/>
      <c r="M386" s="639"/>
      <c r="N386" s="639"/>
      <c r="O386" s="639"/>
      <c r="P386" s="639"/>
      <c r="Q386" s="639"/>
      <c r="R386" s="639"/>
      <c r="S386" s="639"/>
      <c r="T386" s="639"/>
      <c r="U386" s="639"/>
      <c r="V386" s="639"/>
      <c r="W386" s="639"/>
      <c r="X386" s="639"/>
      <c r="Y386" s="639"/>
      <c r="Z386" s="639"/>
      <c r="AA386" s="639"/>
      <c r="AB386" s="639"/>
    </row>
    <row r="387" spans="1:28">
      <c r="A387" s="639"/>
      <c r="B387" s="639"/>
      <c r="C387" s="639"/>
      <c r="D387" s="639"/>
      <c r="E387" s="639"/>
      <c r="F387" s="639"/>
      <c r="G387" s="639"/>
      <c r="H387" s="639"/>
      <c r="I387" s="639"/>
      <c r="J387" s="639"/>
      <c r="K387" s="639"/>
      <c r="L387" s="639"/>
      <c r="M387" s="639"/>
      <c r="N387" s="639"/>
      <c r="O387" s="639"/>
      <c r="P387" s="639"/>
      <c r="Q387" s="639"/>
      <c r="R387" s="639"/>
      <c r="S387" s="639"/>
      <c r="T387" s="639"/>
      <c r="U387" s="639"/>
      <c r="V387" s="639"/>
      <c r="W387" s="639"/>
      <c r="X387" s="639"/>
      <c r="Y387" s="639"/>
      <c r="Z387" s="639"/>
      <c r="AA387" s="639"/>
      <c r="AB387" s="639"/>
    </row>
    <row r="388" spans="1:28">
      <c r="A388" s="639"/>
      <c r="B388" s="639"/>
      <c r="C388" s="639"/>
      <c r="D388" s="639"/>
      <c r="E388" s="639"/>
      <c r="F388" s="639"/>
      <c r="G388" s="639"/>
      <c r="H388" s="639"/>
      <c r="I388" s="639"/>
      <c r="J388" s="639"/>
      <c r="K388" s="639"/>
      <c r="L388" s="639"/>
      <c r="M388" s="639"/>
      <c r="N388" s="639"/>
      <c r="O388" s="639"/>
      <c r="P388" s="639"/>
      <c r="Q388" s="639"/>
      <c r="R388" s="639"/>
      <c r="S388" s="639"/>
      <c r="T388" s="639"/>
      <c r="U388" s="639"/>
      <c r="V388" s="639"/>
      <c r="W388" s="639"/>
      <c r="X388" s="639"/>
      <c r="Y388" s="639"/>
      <c r="Z388" s="639"/>
      <c r="AA388" s="639"/>
      <c r="AB388" s="639"/>
    </row>
    <row r="389" spans="1:28">
      <c r="A389" s="639"/>
      <c r="B389" s="639"/>
      <c r="C389" s="639"/>
      <c r="D389" s="639"/>
      <c r="E389" s="639"/>
      <c r="F389" s="639"/>
      <c r="G389" s="639"/>
      <c r="H389" s="639"/>
      <c r="I389" s="639"/>
      <c r="J389" s="639"/>
      <c r="K389" s="639"/>
      <c r="L389" s="639"/>
      <c r="M389" s="639"/>
      <c r="N389" s="639"/>
      <c r="O389" s="639"/>
      <c r="P389" s="639"/>
      <c r="Q389" s="639"/>
      <c r="R389" s="639"/>
      <c r="S389" s="639"/>
      <c r="T389" s="639"/>
      <c r="U389" s="639"/>
      <c r="V389" s="639"/>
      <c r="W389" s="639"/>
      <c r="X389" s="639"/>
      <c r="Y389" s="639"/>
      <c r="Z389" s="639"/>
      <c r="AA389" s="639"/>
      <c r="AB389" s="639"/>
    </row>
    <row r="390" spans="1:28">
      <c r="A390" s="639"/>
      <c r="B390" s="639"/>
      <c r="C390" s="639"/>
      <c r="D390" s="639"/>
      <c r="E390" s="639"/>
      <c r="F390" s="639"/>
      <c r="G390" s="639"/>
      <c r="H390" s="639"/>
      <c r="I390" s="639"/>
      <c r="J390" s="639"/>
      <c r="K390" s="639"/>
      <c r="L390" s="639"/>
      <c r="M390" s="639"/>
      <c r="N390" s="639"/>
      <c r="O390" s="639"/>
      <c r="P390" s="639"/>
      <c r="Q390" s="639"/>
      <c r="R390" s="639"/>
      <c r="S390" s="639"/>
      <c r="T390" s="639"/>
      <c r="U390" s="639"/>
      <c r="V390" s="639"/>
      <c r="W390" s="639"/>
      <c r="X390" s="639"/>
      <c r="Y390" s="639"/>
      <c r="Z390" s="639"/>
      <c r="AA390" s="639"/>
      <c r="AB390" s="639"/>
    </row>
    <row r="391" spans="1:28">
      <c r="A391" s="639"/>
      <c r="B391" s="639"/>
      <c r="C391" s="639"/>
      <c r="D391" s="639"/>
      <c r="E391" s="639"/>
      <c r="F391" s="639"/>
      <c r="G391" s="639"/>
      <c r="H391" s="639"/>
      <c r="I391" s="639"/>
      <c r="J391" s="639"/>
      <c r="K391" s="639"/>
      <c r="L391" s="639"/>
      <c r="M391" s="639"/>
      <c r="N391" s="639"/>
      <c r="O391" s="639"/>
      <c r="P391" s="639"/>
      <c r="Q391" s="639"/>
      <c r="R391" s="639"/>
      <c r="S391" s="639"/>
      <c r="T391" s="639"/>
      <c r="U391" s="639"/>
      <c r="V391" s="639"/>
      <c r="W391" s="639"/>
      <c r="X391" s="639"/>
      <c r="Y391" s="639"/>
      <c r="Z391" s="639"/>
      <c r="AA391" s="639"/>
      <c r="AB391" s="639"/>
    </row>
    <row r="392" spans="1:28">
      <c r="A392" s="639"/>
      <c r="B392" s="639"/>
      <c r="C392" s="639"/>
      <c r="D392" s="639"/>
      <c r="E392" s="639"/>
      <c r="F392" s="639"/>
      <c r="G392" s="639"/>
      <c r="H392" s="639"/>
      <c r="I392" s="639"/>
      <c r="J392" s="639"/>
      <c r="K392" s="639"/>
      <c r="L392" s="639"/>
      <c r="M392" s="639"/>
      <c r="N392" s="639"/>
      <c r="O392" s="639"/>
      <c r="P392" s="639"/>
      <c r="Q392" s="639"/>
      <c r="R392" s="639"/>
      <c r="S392" s="639"/>
      <c r="T392" s="639"/>
      <c r="U392" s="639"/>
      <c r="V392" s="639"/>
      <c r="W392" s="639"/>
      <c r="X392" s="639"/>
      <c r="Y392" s="639"/>
      <c r="Z392" s="639"/>
      <c r="AA392" s="639"/>
      <c r="AB392" s="639"/>
    </row>
    <row r="393" spans="1:28">
      <c r="A393" s="639"/>
      <c r="B393" s="639"/>
      <c r="C393" s="639"/>
      <c r="D393" s="639"/>
      <c r="E393" s="639"/>
      <c r="F393" s="639"/>
      <c r="G393" s="639"/>
      <c r="H393" s="639"/>
      <c r="I393" s="639"/>
      <c r="J393" s="639"/>
      <c r="K393" s="639"/>
      <c r="L393" s="639"/>
      <c r="M393" s="639"/>
      <c r="N393" s="639"/>
      <c r="O393" s="639"/>
      <c r="P393" s="639"/>
      <c r="Q393" s="639"/>
      <c r="R393" s="639"/>
      <c r="S393" s="639"/>
      <c r="T393" s="639"/>
      <c r="U393" s="639"/>
      <c r="V393" s="639"/>
      <c r="W393" s="639"/>
      <c r="X393" s="639"/>
      <c r="Y393" s="639"/>
      <c r="Z393" s="639"/>
      <c r="AA393" s="639"/>
      <c r="AB393" s="639"/>
    </row>
    <row r="394" spans="1:28">
      <c r="A394" s="639"/>
      <c r="B394" s="639"/>
      <c r="C394" s="639"/>
      <c r="D394" s="639"/>
      <c r="E394" s="639"/>
      <c r="F394" s="639"/>
      <c r="G394" s="639"/>
      <c r="H394" s="639"/>
      <c r="I394" s="639"/>
      <c r="J394" s="639"/>
      <c r="K394" s="639"/>
      <c r="L394" s="639"/>
      <c r="M394" s="639"/>
      <c r="N394" s="639"/>
      <c r="O394" s="639"/>
      <c r="P394" s="639"/>
      <c r="Q394" s="639"/>
      <c r="R394" s="639"/>
      <c r="S394" s="639"/>
      <c r="T394" s="639"/>
      <c r="U394" s="639"/>
      <c r="V394" s="639"/>
      <c r="W394" s="639"/>
      <c r="X394" s="639"/>
      <c r="Y394" s="639"/>
      <c r="Z394" s="639"/>
      <c r="AA394" s="639"/>
      <c r="AB394" s="639"/>
    </row>
    <row r="395" spans="1:28">
      <c r="A395" s="639"/>
      <c r="B395" s="639"/>
      <c r="C395" s="639"/>
      <c r="D395" s="639"/>
      <c r="E395" s="639"/>
      <c r="F395" s="639"/>
      <c r="G395" s="639"/>
      <c r="H395" s="639"/>
      <c r="I395" s="639"/>
      <c r="J395" s="639"/>
      <c r="K395" s="639"/>
      <c r="L395" s="639"/>
      <c r="M395" s="639"/>
      <c r="N395" s="639"/>
      <c r="O395" s="639"/>
      <c r="P395" s="639"/>
      <c r="Q395" s="639"/>
      <c r="R395" s="639"/>
      <c r="S395" s="639"/>
      <c r="T395" s="639"/>
      <c r="U395" s="639"/>
      <c r="V395" s="639"/>
      <c r="W395" s="639"/>
      <c r="X395" s="639"/>
      <c r="Y395" s="639"/>
      <c r="Z395" s="639"/>
      <c r="AA395" s="639"/>
      <c r="AB395" s="639"/>
    </row>
    <row r="396" spans="1:28">
      <c r="A396" s="639"/>
      <c r="B396" s="639"/>
      <c r="C396" s="639"/>
      <c r="D396" s="639"/>
      <c r="E396" s="639"/>
      <c r="F396" s="639"/>
      <c r="G396" s="639"/>
      <c r="H396" s="639"/>
      <c r="I396" s="639"/>
      <c r="J396" s="639"/>
      <c r="K396" s="639"/>
      <c r="L396" s="639"/>
      <c r="M396" s="639"/>
      <c r="N396" s="639"/>
      <c r="O396" s="639"/>
      <c r="P396" s="639"/>
      <c r="Q396" s="639"/>
      <c r="R396" s="639"/>
      <c r="S396" s="639"/>
      <c r="T396" s="639"/>
      <c r="U396" s="639"/>
      <c r="V396" s="639"/>
      <c r="W396" s="639"/>
      <c r="X396" s="639"/>
      <c r="Y396" s="639"/>
      <c r="Z396" s="639"/>
      <c r="AA396" s="639"/>
      <c r="AB396" s="639"/>
    </row>
    <row r="397" spans="1:28">
      <c r="A397" s="639"/>
      <c r="B397" s="639"/>
      <c r="C397" s="639"/>
      <c r="D397" s="639"/>
      <c r="E397" s="639"/>
      <c r="F397" s="639"/>
      <c r="G397" s="639"/>
      <c r="H397" s="639"/>
      <c r="I397" s="639"/>
      <c r="J397" s="639"/>
      <c r="K397" s="639"/>
      <c r="L397" s="639"/>
      <c r="M397" s="639"/>
      <c r="N397" s="639"/>
      <c r="O397" s="639"/>
      <c r="P397" s="639"/>
      <c r="Q397" s="639"/>
      <c r="R397" s="639"/>
      <c r="S397" s="639"/>
      <c r="T397" s="639"/>
      <c r="U397" s="639"/>
      <c r="V397" s="639"/>
      <c r="W397" s="639"/>
      <c r="X397" s="639"/>
      <c r="Y397" s="639"/>
      <c r="Z397" s="639"/>
      <c r="AA397" s="639"/>
      <c r="AB397" s="639"/>
    </row>
    <row r="398" spans="1:28">
      <c r="A398" s="639"/>
      <c r="B398" s="639"/>
      <c r="C398" s="639"/>
      <c r="D398" s="639"/>
      <c r="E398" s="639"/>
      <c r="F398" s="639"/>
      <c r="G398" s="639"/>
      <c r="H398" s="639"/>
      <c r="I398" s="639"/>
      <c r="J398" s="639"/>
      <c r="K398" s="639"/>
      <c r="L398" s="639"/>
      <c r="M398" s="639"/>
      <c r="N398" s="639"/>
      <c r="O398" s="639"/>
      <c r="P398" s="639"/>
      <c r="Q398" s="639"/>
      <c r="R398" s="639"/>
      <c r="S398" s="639"/>
      <c r="T398" s="639"/>
      <c r="U398" s="639"/>
      <c r="V398" s="639"/>
      <c r="W398" s="639"/>
      <c r="X398" s="639"/>
      <c r="Y398" s="639"/>
      <c r="Z398" s="639"/>
      <c r="AA398" s="639"/>
      <c r="AB398" s="639"/>
    </row>
    <row r="399" spans="1:28">
      <c r="A399" s="639"/>
      <c r="B399" s="639"/>
      <c r="C399" s="639"/>
      <c r="D399" s="639"/>
      <c r="E399" s="639"/>
      <c r="F399" s="639"/>
      <c r="G399" s="639"/>
      <c r="H399" s="639"/>
      <c r="I399" s="639"/>
      <c r="J399" s="639"/>
      <c r="K399" s="639"/>
      <c r="L399" s="639"/>
      <c r="M399" s="639"/>
      <c r="N399" s="639"/>
      <c r="O399" s="639"/>
      <c r="P399" s="639"/>
      <c r="Q399" s="639"/>
      <c r="R399" s="639"/>
      <c r="S399" s="639"/>
      <c r="T399" s="639"/>
      <c r="U399" s="639"/>
      <c r="V399" s="639"/>
      <c r="W399" s="639"/>
      <c r="X399" s="639"/>
      <c r="Y399" s="639"/>
      <c r="Z399" s="639"/>
      <c r="AA399" s="639"/>
      <c r="AB399" s="639"/>
    </row>
    <row r="400" spans="1:28">
      <c r="A400" s="639"/>
      <c r="B400" s="639"/>
      <c r="C400" s="639"/>
      <c r="D400" s="639"/>
      <c r="E400" s="639"/>
      <c r="F400" s="639"/>
      <c r="G400" s="639"/>
      <c r="H400" s="639"/>
      <c r="I400" s="639"/>
      <c r="J400" s="639"/>
      <c r="K400" s="639"/>
      <c r="L400" s="639"/>
      <c r="M400" s="639"/>
      <c r="N400" s="639"/>
      <c r="O400" s="639"/>
      <c r="P400" s="639"/>
      <c r="Q400" s="639"/>
      <c r="R400" s="639"/>
      <c r="S400" s="639"/>
      <c r="T400" s="639"/>
      <c r="U400" s="639"/>
      <c r="V400" s="639"/>
      <c r="W400" s="639"/>
      <c r="X400" s="639"/>
      <c r="Y400" s="639"/>
      <c r="Z400" s="639"/>
      <c r="AA400" s="639"/>
      <c r="AB400" s="639"/>
    </row>
    <row r="401" spans="1:28">
      <c r="A401" s="639"/>
      <c r="B401" s="639"/>
      <c r="C401" s="639"/>
      <c r="D401" s="639"/>
      <c r="E401" s="639"/>
      <c r="F401" s="639"/>
      <c r="G401" s="639"/>
      <c r="H401" s="639"/>
      <c r="I401" s="639"/>
      <c r="J401" s="639"/>
      <c r="K401" s="639"/>
      <c r="L401" s="639"/>
      <c r="M401" s="639"/>
      <c r="N401" s="639"/>
      <c r="O401" s="639"/>
      <c r="P401" s="639"/>
      <c r="Q401" s="639"/>
      <c r="R401" s="639"/>
      <c r="S401" s="639"/>
      <c r="T401" s="639"/>
      <c r="U401" s="639"/>
      <c r="V401" s="639"/>
      <c r="W401" s="639"/>
      <c r="X401" s="639"/>
      <c r="Y401" s="639"/>
      <c r="Z401" s="639"/>
      <c r="AA401" s="639"/>
      <c r="AB401" s="639"/>
    </row>
    <row r="402" spans="1:28">
      <c r="A402" s="639"/>
      <c r="B402" s="639"/>
      <c r="C402" s="639"/>
      <c r="D402" s="639"/>
      <c r="E402" s="639"/>
      <c r="F402" s="639"/>
      <c r="G402" s="639"/>
      <c r="H402" s="639"/>
      <c r="I402" s="639"/>
      <c r="J402" s="639"/>
      <c r="K402" s="639"/>
      <c r="L402" s="639"/>
      <c r="M402" s="639"/>
      <c r="N402" s="639"/>
      <c r="O402" s="639"/>
      <c r="P402" s="639"/>
      <c r="Q402" s="639"/>
      <c r="R402" s="639"/>
      <c r="S402" s="639"/>
      <c r="T402" s="639"/>
      <c r="U402" s="639"/>
      <c r="V402" s="639"/>
      <c r="W402" s="639"/>
      <c r="X402" s="639"/>
      <c r="Y402" s="639"/>
      <c r="Z402" s="639"/>
      <c r="AA402" s="639"/>
      <c r="AB402" s="639"/>
    </row>
    <row r="403" spans="1:28">
      <c r="A403" s="639"/>
      <c r="B403" s="639"/>
      <c r="C403" s="639"/>
      <c r="D403" s="639"/>
      <c r="E403" s="639"/>
      <c r="F403" s="639"/>
      <c r="G403" s="639"/>
      <c r="H403" s="639"/>
      <c r="I403" s="639"/>
      <c r="J403" s="639"/>
      <c r="K403" s="639"/>
      <c r="L403" s="639"/>
      <c r="M403" s="639"/>
      <c r="N403" s="639"/>
      <c r="O403" s="639"/>
      <c r="P403" s="639"/>
      <c r="Q403" s="639"/>
      <c r="R403" s="639"/>
      <c r="S403" s="639"/>
      <c r="T403" s="639"/>
      <c r="U403" s="639"/>
      <c r="V403" s="639"/>
      <c r="W403" s="639"/>
      <c r="X403" s="639"/>
      <c r="Y403" s="639"/>
      <c r="Z403" s="639"/>
      <c r="AA403" s="639"/>
      <c r="AB403" s="639"/>
    </row>
    <row r="404" spans="1:28">
      <c r="A404" s="639"/>
      <c r="B404" s="639"/>
      <c r="C404" s="639"/>
      <c r="D404" s="639"/>
      <c r="E404" s="639"/>
      <c r="F404" s="639"/>
      <c r="G404" s="639"/>
      <c r="H404" s="639"/>
      <c r="I404" s="639"/>
      <c r="J404" s="639"/>
      <c r="K404" s="639"/>
      <c r="L404" s="639"/>
      <c r="M404" s="639"/>
      <c r="N404" s="639"/>
      <c r="O404" s="639"/>
      <c r="P404" s="639"/>
      <c r="Q404" s="639"/>
      <c r="R404" s="639"/>
      <c r="S404" s="639"/>
      <c r="T404" s="639"/>
      <c r="U404" s="639"/>
      <c r="V404" s="639"/>
      <c r="W404" s="639"/>
      <c r="X404" s="639"/>
      <c r="Y404" s="639"/>
      <c r="Z404" s="639"/>
      <c r="AA404" s="639"/>
      <c r="AB404" s="639"/>
    </row>
    <row r="405" spans="1:28">
      <c r="A405" s="639"/>
      <c r="B405" s="639"/>
      <c r="C405" s="639"/>
      <c r="D405" s="639"/>
      <c r="E405" s="639"/>
      <c r="F405" s="639"/>
      <c r="G405" s="639"/>
      <c r="H405" s="639"/>
      <c r="I405" s="639"/>
      <c r="J405" s="639"/>
      <c r="K405" s="639"/>
      <c r="L405" s="639"/>
      <c r="M405" s="639"/>
      <c r="N405" s="639"/>
      <c r="O405" s="639"/>
      <c r="P405" s="639"/>
      <c r="Q405" s="639"/>
      <c r="R405" s="639"/>
      <c r="S405" s="639"/>
      <c r="T405" s="639"/>
      <c r="U405" s="639"/>
      <c r="V405" s="639"/>
      <c r="W405" s="639"/>
      <c r="X405" s="639"/>
      <c r="Y405" s="639"/>
      <c r="Z405" s="639"/>
      <c r="AA405" s="639"/>
      <c r="AB405" s="639"/>
    </row>
    <row r="406" spans="1:28">
      <c r="A406" s="639"/>
      <c r="B406" s="639"/>
      <c r="C406" s="639"/>
      <c r="D406" s="639"/>
      <c r="E406" s="639"/>
      <c r="F406" s="639"/>
      <c r="G406" s="639"/>
      <c r="H406" s="639"/>
      <c r="I406" s="639"/>
      <c r="J406" s="639"/>
      <c r="K406" s="639"/>
      <c r="L406" s="639"/>
      <c r="M406" s="639"/>
      <c r="N406" s="639"/>
      <c r="O406" s="639"/>
      <c r="P406" s="639"/>
      <c r="Q406" s="639"/>
      <c r="R406" s="639"/>
      <c r="S406" s="639"/>
      <c r="T406" s="639"/>
      <c r="U406" s="639"/>
      <c r="V406" s="639"/>
      <c r="W406" s="639"/>
      <c r="X406" s="639"/>
      <c r="Y406" s="639"/>
      <c r="Z406" s="639"/>
      <c r="AA406" s="639"/>
      <c r="AB406" s="639"/>
    </row>
    <row r="407" spans="1:28">
      <c r="A407" s="639"/>
      <c r="B407" s="639"/>
      <c r="C407" s="639"/>
      <c r="D407" s="639"/>
      <c r="E407" s="639"/>
      <c r="F407" s="639"/>
      <c r="G407" s="639"/>
      <c r="H407" s="639"/>
      <c r="I407" s="639"/>
      <c r="J407" s="639"/>
      <c r="K407" s="639"/>
      <c r="L407" s="639"/>
      <c r="M407" s="639"/>
      <c r="N407" s="639"/>
      <c r="O407" s="639"/>
      <c r="P407" s="639"/>
      <c r="Q407" s="639"/>
      <c r="R407" s="639"/>
      <c r="S407" s="639"/>
      <c r="T407" s="639"/>
      <c r="U407" s="639"/>
      <c r="V407" s="639"/>
      <c r="W407" s="639"/>
      <c r="X407" s="639"/>
      <c r="Y407" s="639"/>
      <c r="Z407" s="639"/>
      <c r="AA407" s="639"/>
      <c r="AB407" s="639"/>
    </row>
    <row r="408" spans="1:28">
      <c r="A408" s="639"/>
      <c r="B408" s="639"/>
      <c r="C408" s="639"/>
      <c r="D408" s="639"/>
      <c r="E408" s="639"/>
      <c r="F408" s="639"/>
      <c r="G408" s="639"/>
      <c r="H408" s="639"/>
      <c r="I408" s="639"/>
      <c r="J408" s="639"/>
      <c r="K408" s="639"/>
      <c r="L408" s="639"/>
      <c r="M408" s="639"/>
      <c r="N408" s="639"/>
      <c r="O408" s="639"/>
      <c r="P408" s="639"/>
      <c r="Q408" s="639"/>
      <c r="R408" s="639"/>
      <c r="S408" s="639"/>
      <c r="T408" s="639"/>
      <c r="U408" s="639"/>
      <c r="V408" s="639"/>
      <c r="W408" s="639"/>
      <c r="X408" s="639"/>
      <c r="Y408" s="639"/>
      <c r="Z408" s="639"/>
      <c r="AA408" s="639"/>
      <c r="AB408" s="639"/>
    </row>
    <row r="409" spans="1:28">
      <c r="A409" s="639"/>
      <c r="B409" s="639"/>
      <c r="C409" s="639"/>
      <c r="D409" s="639"/>
      <c r="E409" s="639"/>
      <c r="F409" s="639"/>
      <c r="G409" s="639"/>
      <c r="H409" s="639"/>
      <c r="I409" s="639"/>
      <c r="J409" s="639"/>
      <c r="K409" s="639"/>
      <c r="L409" s="639"/>
      <c r="M409" s="639"/>
      <c r="N409" s="639"/>
      <c r="O409" s="639"/>
      <c r="P409" s="639"/>
      <c r="Q409" s="639"/>
      <c r="R409" s="639"/>
      <c r="S409" s="639"/>
      <c r="T409" s="639"/>
      <c r="U409" s="639"/>
      <c r="V409" s="639"/>
      <c r="W409" s="639"/>
      <c r="X409" s="639"/>
      <c r="Y409" s="639"/>
      <c r="Z409" s="639"/>
      <c r="AA409" s="639"/>
      <c r="AB409" s="639"/>
    </row>
    <row r="410" spans="1:28">
      <c r="A410" s="639"/>
      <c r="B410" s="639"/>
      <c r="C410" s="639"/>
      <c r="D410" s="639"/>
      <c r="E410" s="639"/>
      <c r="F410" s="639"/>
      <c r="G410" s="639"/>
      <c r="H410" s="639"/>
      <c r="I410" s="639"/>
      <c r="J410" s="639"/>
      <c r="K410" s="639"/>
      <c r="L410" s="639"/>
      <c r="M410" s="639"/>
      <c r="N410" s="639"/>
      <c r="O410" s="639"/>
      <c r="P410" s="639"/>
      <c r="Q410" s="639"/>
      <c r="R410" s="639"/>
      <c r="S410" s="639"/>
      <c r="T410" s="639"/>
      <c r="U410" s="639"/>
      <c r="V410" s="639"/>
      <c r="W410" s="639"/>
      <c r="X410" s="639"/>
      <c r="Y410" s="639"/>
      <c r="Z410" s="639"/>
      <c r="AA410" s="639"/>
      <c r="AB410" s="639"/>
    </row>
    <row r="411" spans="1:28">
      <c r="A411" s="639"/>
      <c r="B411" s="639"/>
      <c r="C411" s="639"/>
      <c r="D411" s="639"/>
      <c r="E411" s="639"/>
      <c r="F411" s="639"/>
      <c r="G411" s="639"/>
      <c r="H411" s="639"/>
      <c r="I411" s="639"/>
      <c r="J411" s="639"/>
      <c r="K411" s="639"/>
      <c r="L411" s="639"/>
      <c r="M411" s="639"/>
      <c r="N411" s="639"/>
      <c r="O411" s="639"/>
      <c r="P411" s="639"/>
      <c r="Q411" s="639"/>
      <c r="R411" s="639"/>
      <c r="S411" s="639"/>
      <c r="T411" s="639"/>
      <c r="U411" s="639"/>
      <c r="V411" s="639"/>
      <c r="W411" s="639"/>
      <c r="X411" s="639"/>
      <c r="Y411" s="639"/>
      <c r="Z411" s="639"/>
      <c r="AA411" s="639"/>
      <c r="AB411" s="639"/>
    </row>
    <row r="412" spans="1:28">
      <c r="A412" s="639"/>
      <c r="B412" s="639"/>
      <c r="C412" s="639"/>
      <c r="D412" s="639"/>
      <c r="E412" s="639"/>
      <c r="F412" s="639"/>
      <c r="G412" s="639"/>
      <c r="H412" s="639"/>
      <c r="I412" s="639"/>
      <c r="J412" s="639"/>
      <c r="K412" s="639"/>
      <c r="L412" s="639"/>
      <c r="M412" s="639"/>
      <c r="N412" s="639"/>
      <c r="O412" s="639"/>
      <c r="P412" s="639"/>
      <c r="Q412" s="639"/>
      <c r="R412" s="639"/>
      <c r="S412" s="639"/>
      <c r="T412" s="639"/>
      <c r="U412" s="639"/>
      <c r="V412" s="639"/>
      <c r="W412" s="639"/>
      <c r="X412" s="639"/>
      <c r="Y412" s="639"/>
      <c r="Z412" s="639"/>
      <c r="AA412" s="639"/>
      <c r="AB412" s="639"/>
    </row>
    <row r="413" spans="1:28">
      <c r="A413" s="639"/>
      <c r="B413" s="639"/>
      <c r="C413" s="639"/>
      <c r="D413" s="639"/>
      <c r="E413" s="639"/>
      <c r="F413" s="639"/>
      <c r="G413" s="639"/>
      <c r="H413" s="639"/>
      <c r="I413" s="639"/>
      <c r="J413" s="639"/>
      <c r="K413" s="639"/>
      <c r="L413" s="639"/>
      <c r="M413" s="639"/>
      <c r="N413" s="639"/>
      <c r="O413" s="639"/>
      <c r="P413" s="639"/>
      <c r="Q413" s="639"/>
      <c r="R413" s="639"/>
      <c r="S413" s="639"/>
      <c r="T413" s="639"/>
      <c r="U413" s="639"/>
      <c r="V413" s="639"/>
      <c r="W413" s="639"/>
      <c r="X413" s="639"/>
      <c r="Y413" s="639"/>
      <c r="Z413" s="639"/>
      <c r="AA413" s="639"/>
      <c r="AB413" s="639"/>
    </row>
    <row r="414" spans="1:28">
      <c r="A414" s="639"/>
      <c r="B414" s="639"/>
      <c r="C414" s="639"/>
      <c r="D414" s="639"/>
      <c r="E414" s="639"/>
      <c r="F414" s="639"/>
      <c r="G414" s="639"/>
      <c r="H414" s="639"/>
      <c r="I414" s="639"/>
      <c r="J414" s="639"/>
      <c r="K414" s="639"/>
      <c r="L414" s="639"/>
      <c r="M414" s="639"/>
      <c r="N414" s="639"/>
      <c r="O414" s="639"/>
      <c r="P414" s="639"/>
      <c r="Q414" s="639"/>
      <c r="R414" s="639"/>
      <c r="S414" s="639"/>
      <c r="T414" s="639"/>
      <c r="U414" s="639"/>
      <c r="V414" s="639"/>
      <c r="W414" s="639"/>
      <c r="X414" s="639"/>
      <c r="Y414" s="639"/>
      <c r="Z414" s="639"/>
      <c r="AA414" s="639"/>
      <c r="AB414" s="639"/>
    </row>
    <row r="415" spans="1:28">
      <c r="A415" s="639"/>
      <c r="B415" s="639"/>
      <c r="C415" s="639"/>
      <c r="D415" s="639"/>
      <c r="E415" s="639"/>
      <c r="F415" s="639"/>
      <c r="G415" s="639"/>
      <c r="H415" s="639"/>
      <c r="I415" s="639"/>
      <c r="J415" s="639"/>
      <c r="K415" s="639"/>
      <c r="L415" s="639"/>
      <c r="M415" s="639"/>
      <c r="N415" s="639"/>
      <c r="O415" s="639"/>
      <c r="P415" s="639"/>
      <c r="Q415" s="639"/>
      <c r="R415" s="639"/>
      <c r="S415" s="639"/>
      <c r="T415" s="639"/>
      <c r="U415" s="639"/>
      <c r="V415" s="639"/>
      <c r="W415" s="639"/>
      <c r="X415" s="639"/>
      <c r="Y415" s="639"/>
      <c r="Z415" s="639"/>
      <c r="AA415" s="639"/>
      <c r="AB415" s="639"/>
    </row>
    <row r="416" spans="1:28">
      <c r="A416" s="639"/>
      <c r="B416" s="639"/>
      <c r="C416" s="639"/>
      <c r="D416" s="639"/>
      <c r="E416" s="639"/>
      <c r="F416" s="639"/>
      <c r="G416" s="639"/>
      <c r="H416" s="639"/>
      <c r="I416" s="639"/>
      <c r="J416" s="639"/>
      <c r="K416" s="639"/>
      <c r="L416" s="639"/>
      <c r="M416" s="639"/>
      <c r="N416" s="639"/>
      <c r="O416" s="639"/>
      <c r="P416" s="639"/>
      <c r="Q416" s="639"/>
      <c r="R416" s="639"/>
      <c r="S416" s="639"/>
      <c r="T416" s="639"/>
      <c r="U416" s="639"/>
      <c r="V416" s="639"/>
      <c r="W416" s="639"/>
      <c r="X416" s="639"/>
      <c r="Y416" s="639"/>
      <c r="Z416" s="639"/>
      <c r="AA416" s="639"/>
      <c r="AB416" s="639"/>
    </row>
    <row r="417" spans="1:28">
      <c r="A417" s="639"/>
      <c r="B417" s="639"/>
      <c r="C417" s="639"/>
      <c r="D417" s="639"/>
      <c r="E417" s="639"/>
      <c r="F417" s="639"/>
      <c r="G417" s="639"/>
      <c r="H417" s="639"/>
      <c r="I417" s="639"/>
      <c r="J417" s="639"/>
      <c r="K417" s="639"/>
      <c r="L417" s="639"/>
      <c r="M417" s="639"/>
      <c r="N417" s="639"/>
      <c r="O417" s="639"/>
      <c r="P417" s="639"/>
      <c r="Q417" s="639"/>
      <c r="R417" s="639"/>
      <c r="S417" s="639"/>
      <c r="T417" s="639"/>
      <c r="U417" s="639"/>
      <c r="V417" s="639"/>
      <c r="W417" s="639"/>
      <c r="X417" s="639"/>
      <c r="Y417" s="639"/>
      <c r="Z417" s="639"/>
      <c r="AA417" s="639"/>
      <c r="AB417" s="639"/>
    </row>
    <row r="418" spans="1:28">
      <c r="A418" s="639"/>
      <c r="B418" s="639"/>
      <c r="C418" s="639"/>
      <c r="D418" s="639"/>
      <c r="E418" s="639"/>
      <c r="F418" s="639"/>
      <c r="G418" s="639"/>
      <c r="H418" s="639"/>
      <c r="I418" s="639"/>
      <c r="J418" s="639"/>
      <c r="K418" s="639"/>
      <c r="L418" s="639"/>
      <c r="M418" s="639"/>
      <c r="N418" s="639"/>
      <c r="O418" s="639"/>
      <c r="P418" s="639"/>
      <c r="Q418" s="639"/>
      <c r="R418" s="639"/>
      <c r="S418" s="639"/>
      <c r="T418" s="639"/>
      <c r="U418" s="639"/>
      <c r="V418" s="639"/>
      <c r="W418" s="639"/>
      <c r="X418" s="639"/>
      <c r="Y418" s="639"/>
      <c r="Z418" s="639"/>
      <c r="AA418" s="639"/>
      <c r="AB418" s="639"/>
    </row>
    <row r="419" spans="1:28">
      <c r="A419" s="639"/>
      <c r="B419" s="639"/>
      <c r="C419" s="639"/>
      <c r="D419" s="639"/>
      <c r="E419" s="639"/>
      <c r="F419" s="639"/>
      <c r="G419" s="639"/>
      <c r="H419" s="639"/>
      <c r="I419" s="639"/>
      <c r="J419" s="639"/>
      <c r="K419" s="639"/>
      <c r="L419" s="639"/>
      <c r="M419" s="639"/>
      <c r="N419" s="639"/>
      <c r="O419" s="639"/>
      <c r="P419" s="639"/>
      <c r="Q419" s="639"/>
      <c r="R419" s="639"/>
      <c r="S419" s="639"/>
      <c r="T419" s="639"/>
      <c r="U419" s="639"/>
      <c r="V419" s="639"/>
      <c r="W419" s="639"/>
      <c r="X419" s="639"/>
      <c r="Y419" s="639"/>
      <c r="Z419" s="639"/>
      <c r="AA419" s="639"/>
      <c r="AB419" s="639"/>
    </row>
    <row r="420" spans="1:28">
      <c r="A420" s="639"/>
      <c r="B420" s="639"/>
      <c r="C420" s="639"/>
      <c r="D420" s="639"/>
      <c r="E420" s="639"/>
      <c r="F420" s="639"/>
      <c r="G420" s="639"/>
      <c r="H420" s="639"/>
      <c r="I420" s="639"/>
      <c r="J420" s="639"/>
      <c r="K420" s="639"/>
      <c r="L420" s="639"/>
      <c r="M420" s="639"/>
      <c r="N420" s="639"/>
      <c r="O420" s="639"/>
      <c r="P420" s="639"/>
      <c r="Q420" s="639"/>
      <c r="R420" s="639"/>
      <c r="S420" s="639"/>
      <c r="T420" s="639"/>
      <c r="U420" s="639"/>
      <c r="V420" s="639"/>
      <c r="W420" s="639"/>
      <c r="X420" s="639"/>
      <c r="Y420" s="639"/>
      <c r="Z420" s="639"/>
      <c r="AA420" s="639"/>
      <c r="AB420" s="639"/>
    </row>
    <row r="421" spans="1:28">
      <c r="A421" s="639"/>
      <c r="B421" s="639"/>
      <c r="C421" s="639"/>
      <c r="D421" s="639"/>
      <c r="E421" s="639"/>
      <c r="F421" s="639"/>
      <c r="G421" s="639"/>
      <c r="H421" s="639"/>
      <c r="I421" s="639"/>
      <c r="J421" s="639"/>
      <c r="K421" s="639"/>
      <c r="L421" s="639"/>
      <c r="M421" s="639"/>
      <c r="N421" s="639"/>
      <c r="O421" s="639"/>
      <c r="P421" s="639"/>
      <c r="Q421" s="639"/>
      <c r="R421" s="639"/>
      <c r="S421" s="639"/>
      <c r="T421" s="639"/>
      <c r="U421" s="639"/>
      <c r="V421" s="639"/>
      <c r="W421" s="639"/>
      <c r="X421" s="639"/>
      <c r="Y421" s="639"/>
      <c r="Z421" s="639"/>
      <c r="AA421" s="639"/>
      <c r="AB421" s="639"/>
    </row>
    <row r="422" spans="1:28">
      <c r="A422" s="639"/>
      <c r="B422" s="639"/>
      <c r="C422" s="639"/>
      <c r="D422" s="639"/>
      <c r="E422" s="639"/>
      <c r="F422" s="639"/>
      <c r="G422" s="639"/>
      <c r="H422" s="639"/>
      <c r="I422" s="639"/>
      <c r="J422" s="639"/>
      <c r="K422" s="639"/>
      <c r="L422" s="639"/>
      <c r="M422" s="639"/>
      <c r="N422" s="639"/>
      <c r="O422" s="639"/>
      <c r="P422" s="639"/>
      <c r="Q422" s="639"/>
      <c r="R422" s="639"/>
      <c r="S422" s="639"/>
      <c r="T422" s="639"/>
      <c r="U422" s="639"/>
      <c r="V422" s="639"/>
      <c r="W422" s="639"/>
      <c r="X422" s="639"/>
      <c r="Y422" s="639"/>
      <c r="Z422" s="639"/>
      <c r="AA422" s="639"/>
      <c r="AB422" s="639"/>
    </row>
    <row r="423" spans="1:28">
      <c r="A423" s="639"/>
      <c r="B423" s="639"/>
      <c r="C423" s="639"/>
      <c r="D423" s="639"/>
      <c r="E423" s="639"/>
      <c r="F423" s="639"/>
      <c r="G423" s="639"/>
      <c r="H423" s="639"/>
      <c r="I423" s="639"/>
      <c r="J423" s="639"/>
      <c r="K423" s="639"/>
      <c r="L423" s="639"/>
      <c r="M423" s="639"/>
      <c r="N423" s="639"/>
      <c r="O423" s="639"/>
      <c r="P423" s="639"/>
      <c r="Q423" s="639"/>
      <c r="R423" s="639"/>
      <c r="S423" s="639"/>
      <c r="T423" s="639"/>
      <c r="U423" s="639"/>
      <c r="V423" s="639"/>
      <c r="W423" s="639"/>
      <c r="X423" s="639"/>
      <c r="Y423" s="639"/>
      <c r="Z423" s="639"/>
      <c r="AA423" s="639"/>
      <c r="AB423" s="639"/>
    </row>
    <row r="424" spans="1:28">
      <c r="A424" s="639"/>
      <c r="B424" s="639"/>
      <c r="C424" s="639"/>
      <c r="D424" s="639"/>
      <c r="E424" s="639"/>
      <c r="F424" s="639"/>
      <c r="G424" s="639"/>
      <c r="H424" s="639"/>
      <c r="I424" s="639"/>
      <c r="J424" s="639"/>
      <c r="K424" s="639"/>
      <c r="L424" s="639"/>
      <c r="M424" s="639"/>
      <c r="N424" s="639"/>
      <c r="O424" s="639"/>
      <c r="P424" s="639"/>
      <c r="Q424" s="639"/>
      <c r="R424" s="639"/>
      <c r="S424" s="639"/>
      <c r="T424" s="639"/>
      <c r="U424" s="639"/>
      <c r="V424" s="639"/>
      <c r="W424" s="639"/>
      <c r="X424" s="639"/>
      <c r="Y424" s="639"/>
      <c r="Z424" s="639"/>
      <c r="AA424" s="639"/>
      <c r="AB424" s="639"/>
    </row>
    <row r="425" spans="1:28">
      <c r="A425" s="639"/>
      <c r="B425" s="639"/>
      <c r="C425" s="639"/>
      <c r="D425" s="639"/>
      <c r="E425" s="639"/>
      <c r="F425" s="639"/>
      <c r="G425" s="639"/>
      <c r="H425" s="639"/>
      <c r="I425" s="639"/>
      <c r="J425" s="639"/>
      <c r="K425" s="639"/>
      <c r="L425" s="639"/>
      <c r="M425" s="639"/>
      <c r="N425" s="639"/>
      <c r="O425" s="639"/>
      <c r="P425" s="639"/>
      <c r="Q425" s="639"/>
      <c r="R425" s="639"/>
      <c r="S425" s="639"/>
      <c r="T425" s="639"/>
      <c r="U425" s="639"/>
      <c r="V425" s="639"/>
      <c r="W425" s="639"/>
      <c r="X425" s="639"/>
      <c r="Y425" s="639"/>
      <c r="Z425" s="639"/>
      <c r="AA425" s="639"/>
      <c r="AB425" s="639"/>
    </row>
    <row r="426" spans="1:28">
      <c r="A426" s="639"/>
      <c r="B426" s="639"/>
      <c r="C426" s="639"/>
      <c r="D426" s="639"/>
      <c r="E426" s="639"/>
      <c r="F426" s="639"/>
      <c r="G426" s="639"/>
      <c r="H426" s="639"/>
      <c r="I426" s="639"/>
      <c r="J426" s="639"/>
      <c r="K426" s="639"/>
      <c r="L426" s="639"/>
      <c r="M426" s="639"/>
      <c r="N426" s="639"/>
      <c r="O426" s="639"/>
      <c r="P426" s="639"/>
      <c r="Q426" s="639"/>
      <c r="R426" s="639"/>
      <c r="S426" s="639"/>
      <c r="T426" s="639"/>
      <c r="U426" s="639"/>
      <c r="V426" s="639"/>
      <c r="W426" s="639"/>
      <c r="X426" s="639"/>
      <c r="Y426" s="639"/>
      <c r="Z426" s="639"/>
      <c r="AA426" s="639"/>
      <c r="AB426" s="639"/>
    </row>
    <row r="427" spans="1:28">
      <c r="A427" s="639"/>
      <c r="B427" s="639"/>
      <c r="C427" s="639"/>
      <c r="D427" s="639"/>
      <c r="E427" s="639"/>
      <c r="F427" s="639"/>
      <c r="G427" s="639"/>
      <c r="H427" s="639"/>
      <c r="I427" s="639"/>
      <c r="J427" s="639"/>
      <c r="K427" s="639"/>
      <c r="L427" s="639"/>
      <c r="M427" s="639"/>
      <c r="N427" s="639"/>
      <c r="O427" s="639"/>
      <c r="P427" s="639"/>
      <c r="Q427" s="639"/>
      <c r="R427" s="639"/>
      <c r="S427" s="639"/>
      <c r="T427" s="639"/>
      <c r="U427" s="639"/>
      <c r="V427" s="639"/>
      <c r="W427" s="639"/>
      <c r="X427" s="639"/>
      <c r="Y427" s="639"/>
      <c r="Z427" s="639"/>
      <c r="AA427" s="639"/>
      <c r="AB427" s="639"/>
    </row>
    <row r="428" spans="1:28">
      <c r="A428" s="639"/>
      <c r="B428" s="639"/>
      <c r="C428" s="639"/>
      <c r="D428" s="639"/>
      <c r="E428" s="639"/>
      <c r="F428" s="639"/>
      <c r="G428" s="639"/>
      <c r="H428" s="639"/>
      <c r="I428" s="639"/>
      <c r="J428" s="639"/>
      <c r="K428" s="639"/>
      <c r="L428" s="639"/>
      <c r="M428" s="639"/>
      <c r="N428" s="639"/>
      <c r="O428" s="639"/>
      <c r="P428" s="639"/>
      <c r="Q428" s="639"/>
      <c r="R428" s="639"/>
      <c r="S428" s="639"/>
      <c r="T428" s="639"/>
      <c r="U428" s="639"/>
      <c r="V428" s="639"/>
      <c r="W428" s="639"/>
      <c r="X428" s="639"/>
      <c r="Y428" s="639"/>
      <c r="Z428" s="639"/>
      <c r="AA428" s="639"/>
      <c r="AB428" s="639"/>
    </row>
    <row r="429" spans="1:28">
      <c r="A429" s="639"/>
      <c r="B429" s="639"/>
      <c r="C429" s="639"/>
      <c r="D429" s="639"/>
      <c r="E429" s="639"/>
      <c r="F429" s="639"/>
      <c r="G429" s="639"/>
      <c r="H429" s="639"/>
      <c r="I429" s="639"/>
      <c r="J429" s="639"/>
      <c r="K429" s="639"/>
      <c r="L429" s="639"/>
      <c r="M429" s="639"/>
      <c r="N429" s="639"/>
      <c r="O429" s="639"/>
      <c r="P429" s="639"/>
      <c r="Q429" s="639"/>
      <c r="R429" s="639"/>
      <c r="S429" s="639"/>
      <c r="T429" s="639"/>
      <c r="U429" s="639"/>
      <c r="V429" s="639"/>
      <c r="W429" s="639"/>
      <c r="X429" s="639"/>
      <c r="Y429" s="639"/>
      <c r="Z429" s="639"/>
      <c r="AA429" s="639"/>
      <c r="AB429" s="639"/>
    </row>
    <row r="430" spans="1:28">
      <c r="A430" s="639"/>
      <c r="B430" s="639"/>
      <c r="C430" s="639"/>
      <c r="D430" s="639"/>
      <c r="E430" s="639"/>
      <c r="F430" s="639"/>
      <c r="G430" s="639"/>
      <c r="H430" s="639"/>
      <c r="I430" s="639"/>
      <c r="J430" s="639"/>
      <c r="K430" s="639"/>
      <c r="L430" s="639"/>
      <c r="M430" s="639"/>
      <c r="N430" s="639"/>
      <c r="O430" s="639"/>
      <c r="P430" s="639"/>
      <c r="Q430" s="639"/>
      <c r="R430" s="639"/>
      <c r="S430" s="639"/>
      <c r="T430" s="639"/>
      <c r="U430" s="639"/>
      <c r="V430" s="639"/>
      <c r="W430" s="639"/>
      <c r="X430" s="639"/>
      <c r="Y430" s="639"/>
      <c r="Z430" s="639"/>
      <c r="AA430" s="639"/>
      <c r="AB430" s="639"/>
    </row>
    <row r="431" spans="1:28">
      <c r="A431" s="639"/>
      <c r="B431" s="639"/>
      <c r="C431" s="639"/>
      <c r="D431" s="639"/>
      <c r="E431" s="639"/>
      <c r="F431" s="639"/>
      <c r="G431" s="639"/>
      <c r="H431" s="639"/>
      <c r="I431" s="639"/>
      <c r="J431" s="639"/>
      <c r="K431" s="639"/>
      <c r="L431" s="639"/>
      <c r="M431" s="639"/>
      <c r="N431" s="639"/>
      <c r="O431" s="639"/>
      <c r="P431" s="639"/>
      <c r="Q431" s="639"/>
      <c r="R431" s="639"/>
      <c r="S431" s="639"/>
      <c r="T431" s="639"/>
      <c r="U431" s="639"/>
      <c r="V431" s="639"/>
      <c r="W431" s="639"/>
      <c r="X431" s="639"/>
      <c r="Y431" s="639"/>
      <c r="Z431" s="639"/>
      <c r="AA431" s="639"/>
      <c r="AB431" s="639"/>
    </row>
    <row r="432" spans="1:28">
      <c r="A432" s="639"/>
      <c r="B432" s="639"/>
      <c r="C432" s="639"/>
      <c r="D432" s="639"/>
      <c r="E432" s="639"/>
      <c r="F432" s="639"/>
      <c r="G432" s="639"/>
      <c r="H432" s="639"/>
      <c r="I432" s="639"/>
      <c r="J432" s="639"/>
      <c r="K432" s="639"/>
      <c r="L432" s="639"/>
      <c r="M432" s="639"/>
      <c r="N432" s="639"/>
      <c r="O432" s="639"/>
      <c r="P432" s="639"/>
      <c r="Q432" s="639"/>
      <c r="R432" s="639"/>
      <c r="S432" s="639"/>
      <c r="T432" s="639"/>
      <c r="U432" s="639"/>
      <c r="V432" s="639"/>
      <c r="W432" s="639"/>
      <c r="X432" s="639"/>
      <c r="Y432" s="639"/>
      <c r="Z432" s="639"/>
      <c r="AA432" s="639"/>
      <c r="AB432" s="639"/>
    </row>
    <row r="433" spans="1:28">
      <c r="A433" s="639"/>
      <c r="B433" s="639"/>
      <c r="C433" s="639"/>
      <c r="D433" s="639"/>
      <c r="E433" s="639"/>
      <c r="F433" s="639"/>
      <c r="G433" s="639"/>
      <c r="H433" s="639"/>
      <c r="I433" s="639"/>
      <c r="J433" s="639"/>
      <c r="K433" s="639"/>
      <c r="L433" s="639"/>
      <c r="M433" s="639"/>
      <c r="N433" s="639"/>
      <c r="O433" s="639"/>
      <c r="P433" s="639"/>
      <c r="Q433" s="639"/>
      <c r="R433" s="639"/>
      <c r="S433" s="639"/>
      <c r="T433" s="639"/>
      <c r="U433" s="639"/>
      <c r="V433" s="639"/>
      <c r="W433" s="639"/>
      <c r="X433" s="639"/>
      <c r="Y433" s="639"/>
      <c r="Z433" s="639"/>
      <c r="AA433" s="639"/>
      <c r="AB433" s="639"/>
    </row>
    <row r="434" spans="1:28">
      <c r="A434" s="639"/>
      <c r="B434" s="639"/>
      <c r="C434" s="639"/>
      <c r="D434" s="639"/>
      <c r="E434" s="639"/>
      <c r="F434" s="639"/>
      <c r="G434" s="639"/>
      <c r="H434" s="639"/>
      <c r="I434" s="639"/>
      <c r="J434" s="639"/>
      <c r="K434" s="639"/>
      <c r="L434" s="639"/>
      <c r="M434" s="639"/>
      <c r="N434" s="639"/>
      <c r="O434" s="639"/>
      <c r="P434" s="639"/>
      <c r="Q434" s="639"/>
      <c r="R434" s="639"/>
      <c r="S434" s="639"/>
      <c r="T434" s="639"/>
      <c r="U434" s="639"/>
      <c r="V434" s="639"/>
      <c r="W434" s="639"/>
      <c r="X434" s="639"/>
      <c r="Y434" s="639"/>
      <c r="Z434" s="639"/>
      <c r="AA434" s="639"/>
      <c r="AB434" s="639"/>
    </row>
    <row r="435" spans="1:28">
      <c r="A435" s="639"/>
      <c r="B435" s="639"/>
      <c r="C435" s="639"/>
      <c r="D435" s="639"/>
      <c r="E435" s="639"/>
      <c r="F435" s="639"/>
      <c r="G435" s="639"/>
      <c r="H435" s="639"/>
      <c r="I435" s="639"/>
      <c r="J435" s="639"/>
      <c r="K435" s="639"/>
      <c r="L435" s="639"/>
      <c r="M435" s="639"/>
      <c r="N435" s="639"/>
      <c r="O435" s="639"/>
      <c r="P435" s="639"/>
      <c r="Q435" s="639"/>
      <c r="R435" s="639"/>
      <c r="S435" s="639"/>
      <c r="T435" s="639"/>
      <c r="U435" s="639"/>
      <c r="V435" s="639"/>
      <c r="W435" s="639"/>
      <c r="X435" s="639"/>
      <c r="Y435" s="639"/>
      <c r="Z435" s="639"/>
      <c r="AA435" s="639"/>
      <c r="AB435" s="639"/>
    </row>
    <row r="436" spans="1:28">
      <c r="A436" s="639"/>
      <c r="B436" s="639"/>
      <c r="C436" s="639"/>
      <c r="D436" s="639"/>
      <c r="E436" s="639"/>
      <c r="F436" s="639"/>
      <c r="G436" s="639"/>
      <c r="H436" s="639"/>
      <c r="I436" s="639"/>
      <c r="J436" s="639"/>
      <c r="K436" s="639"/>
      <c r="L436" s="639"/>
      <c r="M436" s="639"/>
      <c r="N436" s="639"/>
      <c r="O436" s="639"/>
      <c r="P436" s="639"/>
      <c r="Q436" s="639"/>
      <c r="R436" s="639"/>
      <c r="S436" s="639"/>
      <c r="T436" s="639"/>
      <c r="U436" s="639"/>
      <c r="V436" s="639"/>
      <c r="W436" s="639"/>
      <c r="X436" s="639"/>
      <c r="Y436" s="639"/>
      <c r="Z436" s="639"/>
      <c r="AA436" s="639"/>
      <c r="AB436" s="639"/>
    </row>
    <row r="437" spans="1:28">
      <c r="A437" s="639"/>
      <c r="B437" s="639"/>
      <c r="C437" s="639"/>
      <c r="D437" s="639"/>
      <c r="E437" s="639"/>
      <c r="F437" s="639"/>
      <c r="G437" s="639"/>
      <c r="H437" s="639"/>
      <c r="I437" s="639"/>
      <c r="J437" s="639"/>
      <c r="K437" s="639"/>
      <c r="L437" s="639"/>
      <c r="M437" s="639"/>
      <c r="N437" s="639"/>
      <c r="O437" s="639"/>
      <c r="P437" s="639"/>
      <c r="Q437" s="639"/>
      <c r="R437" s="639"/>
      <c r="S437" s="639"/>
      <c r="T437" s="639"/>
      <c r="U437" s="639"/>
      <c r="V437" s="639"/>
      <c r="W437" s="639"/>
      <c r="X437" s="639"/>
      <c r="Y437" s="639"/>
      <c r="Z437" s="639"/>
      <c r="AA437" s="639"/>
      <c r="AB437" s="639"/>
    </row>
    <row r="438" spans="1:28">
      <c r="A438" s="639"/>
      <c r="B438" s="639"/>
      <c r="C438" s="639"/>
      <c r="D438" s="639"/>
      <c r="E438" s="639"/>
      <c r="F438" s="639"/>
      <c r="G438" s="639"/>
      <c r="H438" s="639"/>
      <c r="I438" s="639"/>
      <c r="J438" s="639"/>
      <c r="K438" s="639"/>
      <c r="L438" s="639"/>
      <c r="M438" s="639"/>
      <c r="N438" s="639"/>
      <c r="O438" s="639"/>
      <c r="P438" s="639"/>
      <c r="Q438" s="639"/>
      <c r="R438" s="639"/>
      <c r="S438" s="639"/>
      <c r="T438" s="639"/>
      <c r="U438" s="639"/>
      <c r="V438" s="639"/>
      <c r="W438" s="639"/>
      <c r="X438" s="639"/>
      <c r="Y438" s="639"/>
      <c r="Z438" s="639"/>
      <c r="AA438" s="639"/>
      <c r="AB438" s="639"/>
    </row>
    <row r="439" spans="1:28">
      <c r="A439" s="639"/>
      <c r="B439" s="639"/>
      <c r="C439" s="639"/>
      <c r="D439" s="639"/>
      <c r="E439" s="639"/>
      <c r="F439" s="639"/>
      <c r="G439" s="639"/>
      <c r="H439" s="639"/>
      <c r="I439" s="639"/>
      <c r="J439" s="639"/>
      <c r="K439" s="639"/>
      <c r="L439" s="639"/>
      <c r="M439" s="639"/>
      <c r="N439" s="639"/>
      <c r="O439" s="639"/>
      <c r="P439" s="639"/>
      <c r="Q439" s="639"/>
      <c r="R439" s="639"/>
      <c r="S439" s="639"/>
      <c r="T439" s="639"/>
      <c r="U439" s="639"/>
      <c r="V439" s="639"/>
      <c r="W439" s="639"/>
      <c r="X439" s="639"/>
      <c r="Y439" s="639"/>
      <c r="Z439" s="639"/>
      <c r="AA439" s="639"/>
      <c r="AB439" s="639"/>
    </row>
    <row r="440" spans="1:28">
      <c r="A440" s="639"/>
      <c r="B440" s="639"/>
      <c r="C440" s="639"/>
      <c r="D440" s="639"/>
      <c r="E440" s="639"/>
      <c r="F440" s="639"/>
      <c r="G440" s="639"/>
      <c r="H440" s="639"/>
      <c r="I440" s="639"/>
      <c r="J440" s="639"/>
      <c r="K440" s="639"/>
      <c r="L440" s="639"/>
      <c r="M440" s="639"/>
      <c r="N440" s="639"/>
      <c r="O440" s="639"/>
      <c r="P440" s="639"/>
      <c r="Q440" s="639"/>
      <c r="R440" s="639"/>
      <c r="S440" s="639"/>
      <c r="T440" s="639"/>
      <c r="U440" s="639"/>
      <c r="V440" s="639"/>
      <c r="W440" s="639"/>
      <c r="X440" s="639"/>
      <c r="Y440" s="639"/>
      <c r="Z440" s="639"/>
      <c r="AA440" s="639"/>
      <c r="AB440" s="639"/>
    </row>
    <row r="441" spans="1:28">
      <c r="A441" s="639"/>
      <c r="B441" s="639"/>
      <c r="C441" s="639"/>
      <c r="D441" s="639"/>
      <c r="E441" s="639"/>
      <c r="F441" s="639"/>
      <c r="G441" s="639"/>
      <c r="H441" s="639"/>
      <c r="I441" s="639"/>
      <c r="J441" s="639"/>
      <c r="K441" s="639"/>
      <c r="L441" s="639"/>
      <c r="M441" s="639"/>
      <c r="N441" s="639"/>
      <c r="O441" s="639"/>
      <c r="P441" s="639"/>
      <c r="Q441" s="639"/>
      <c r="R441" s="639"/>
      <c r="S441" s="639"/>
      <c r="T441" s="639"/>
      <c r="U441" s="639"/>
      <c r="V441" s="639"/>
      <c r="W441" s="639"/>
      <c r="X441" s="639"/>
      <c r="Y441" s="639"/>
      <c r="Z441" s="639"/>
      <c r="AA441" s="639"/>
      <c r="AB441" s="639"/>
    </row>
    <row r="442" spans="1:28">
      <c r="A442" s="639"/>
      <c r="B442" s="639"/>
      <c r="C442" s="639"/>
      <c r="D442" s="639"/>
      <c r="E442" s="639"/>
      <c r="F442" s="639"/>
      <c r="G442" s="639"/>
      <c r="H442" s="639"/>
      <c r="I442" s="639"/>
      <c r="J442" s="639"/>
      <c r="K442" s="639"/>
      <c r="L442" s="639"/>
      <c r="M442" s="639"/>
      <c r="N442" s="639"/>
      <c r="O442" s="639"/>
      <c r="P442" s="639"/>
      <c r="Q442" s="639"/>
      <c r="R442" s="639"/>
      <c r="S442" s="639"/>
      <c r="T442" s="639"/>
      <c r="U442" s="639"/>
      <c r="V442" s="639"/>
      <c r="W442" s="639"/>
      <c r="X442" s="639"/>
      <c r="Y442" s="639"/>
      <c r="Z442" s="639"/>
      <c r="AA442" s="639"/>
      <c r="AB442" s="639"/>
    </row>
    <row r="443" spans="1:28">
      <c r="A443" s="639"/>
      <c r="B443" s="639"/>
      <c r="C443" s="639"/>
      <c r="D443" s="639"/>
      <c r="E443" s="639"/>
      <c r="F443" s="639"/>
      <c r="G443" s="639"/>
      <c r="H443" s="639"/>
      <c r="I443" s="639"/>
      <c r="J443" s="639"/>
      <c r="K443" s="639"/>
      <c r="L443" s="639"/>
      <c r="M443" s="639"/>
      <c r="N443" s="639"/>
      <c r="O443" s="639"/>
      <c r="P443" s="639"/>
      <c r="Q443" s="639"/>
      <c r="R443" s="639"/>
      <c r="S443" s="639"/>
      <c r="T443" s="639"/>
      <c r="U443" s="639"/>
      <c r="V443" s="639"/>
      <c r="W443" s="639"/>
      <c r="X443" s="639"/>
      <c r="Y443" s="639"/>
      <c r="Z443" s="639"/>
      <c r="AA443" s="639"/>
      <c r="AB443" s="639"/>
    </row>
    <row r="444" spans="1:28">
      <c r="A444" s="639"/>
      <c r="B444" s="639"/>
      <c r="C444" s="639"/>
      <c r="D444" s="639"/>
      <c r="E444" s="639"/>
      <c r="F444" s="639"/>
      <c r="G444" s="639"/>
      <c r="H444" s="639"/>
      <c r="I444" s="639"/>
      <c r="J444" s="639"/>
      <c r="K444" s="639"/>
      <c r="L444" s="639"/>
      <c r="M444" s="639"/>
      <c r="N444" s="639"/>
      <c r="O444" s="639"/>
      <c r="P444" s="639"/>
      <c r="Q444" s="639"/>
      <c r="R444" s="639"/>
      <c r="S444" s="639"/>
      <c r="T444" s="639"/>
      <c r="U444" s="639"/>
      <c r="V444" s="639"/>
      <c r="W444" s="639"/>
      <c r="X444" s="639"/>
      <c r="Y444" s="639"/>
      <c r="Z444" s="639"/>
      <c r="AA444" s="639"/>
      <c r="AB444" s="639"/>
    </row>
    <row r="445" spans="1:28">
      <c r="A445" s="639"/>
      <c r="B445" s="639"/>
      <c r="C445" s="639"/>
      <c r="D445" s="639"/>
      <c r="E445" s="639"/>
      <c r="F445" s="639"/>
      <c r="G445" s="639"/>
      <c r="H445" s="639"/>
      <c r="I445" s="639"/>
      <c r="J445" s="639"/>
      <c r="K445" s="639"/>
      <c r="L445" s="639"/>
      <c r="M445" s="639"/>
      <c r="N445" s="639"/>
      <c r="O445" s="639"/>
      <c r="P445" s="639"/>
      <c r="Q445" s="639"/>
      <c r="R445" s="639"/>
      <c r="S445" s="639"/>
      <c r="T445" s="639"/>
      <c r="U445" s="639"/>
      <c r="V445" s="639"/>
      <c r="W445" s="639"/>
      <c r="X445" s="639"/>
      <c r="Y445" s="639"/>
      <c r="Z445" s="639"/>
      <c r="AA445" s="639"/>
      <c r="AB445" s="639"/>
    </row>
    <row r="446" spans="1:28">
      <c r="A446" s="639"/>
      <c r="B446" s="639"/>
      <c r="C446" s="639"/>
      <c r="D446" s="639"/>
      <c r="E446" s="639"/>
      <c r="F446" s="639"/>
      <c r="G446" s="639"/>
      <c r="H446" s="639"/>
      <c r="I446" s="639"/>
      <c r="J446" s="639"/>
      <c r="K446" s="639"/>
      <c r="L446" s="639"/>
      <c r="M446" s="639"/>
      <c r="N446" s="639"/>
      <c r="O446" s="639"/>
      <c r="P446" s="639"/>
      <c r="Q446" s="639"/>
      <c r="R446" s="639"/>
      <c r="S446" s="639"/>
      <c r="T446" s="639"/>
      <c r="U446" s="639"/>
      <c r="V446" s="639"/>
      <c r="W446" s="639"/>
      <c r="X446" s="639"/>
      <c r="Y446" s="639"/>
      <c r="Z446" s="639"/>
      <c r="AA446" s="639"/>
      <c r="AB446" s="639"/>
    </row>
    <row r="447" spans="1:28">
      <c r="A447" s="639"/>
      <c r="B447" s="639"/>
      <c r="C447" s="639"/>
      <c r="D447" s="639"/>
      <c r="E447" s="639"/>
      <c r="F447" s="639"/>
      <c r="G447" s="639"/>
      <c r="H447" s="639"/>
      <c r="I447" s="639"/>
      <c r="J447" s="639"/>
      <c r="K447" s="639"/>
      <c r="L447" s="639"/>
      <c r="M447" s="639"/>
      <c r="N447" s="639"/>
      <c r="O447" s="639"/>
      <c r="P447" s="639"/>
      <c r="Q447" s="639"/>
      <c r="R447" s="639"/>
      <c r="S447" s="639"/>
      <c r="T447" s="639"/>
      <c r="U447" s="639"/>
      <c r="V447" s="639"/>
      <c r="W447" s="639"/>
      <c r="X447" s="639"/>
      <c r="Y447" s="639"/>
      <c r="Z447" s="639"/>
      <c r="AA447" s="639"/>
      <c r="AB447" s="639"/>
    </row>
    <row r="448" spans="1:28">
      <c r="A448" s="639"/>
      <c r="B448" s="639"/>
      <c r="C448" s="639"/>
      <c r="D448" s="639"/>
      <c r="E448" s="639"/>
      <c r="F448" s="639"/>
      <c r="G448" s="639"/>
      <c r="H448" s="639"/>
      <c r="I448" s="639"/>
      <c r="J448" s="639"/>
      <c r="K448" s="639"/>
      <c r="L448" s="639"/>
      <c r="M448" s="639"/>
      <c r="N448" s="639"/>
      <c r="O448" s="639"/>
      <c r="P448" s="639"/>
      <c r="Q448" s="639"/>
      <c r="R448" s="639"/>
      <c r="S448" s="639"/>
      <c r="T448" s="639"/>
      <c r="U448" s="639"/>
      <c r="V448" s="639"/>
      <c r="W448" s="639"/>
      <c r="X448" s="639"/>
      <c r="Y448" s="639"/>
      <c r="Z448" s="639"/>
      <c r="AA448" s="639"/>
      <c r="AB448" s="639"/>
    </row>
    <row r="449" spans="1:28">
      <c r="A449" s="639"/>
      <c r="B449" s="639"/>
      <c r="C449" s="639"/>
      <c r="D449" s="639"/>
      <c r="E449" s="639"/>
      <c r="F449" s="639"/>
      <c r="G449" s="639"/>
      <c r="H449" s="639"/>
      <c r="I449" s="639"/>
      <c r="J449" s="639"/>
      <c r="K449" s="639"/>
      <c r="L449" s="639"/>
      <c r="M449" s="639"/>
      <c r="N449" s="639"/>
      <c r="O449" s="639"/>
      <c r="P449" s="639"/>
      <c r="Q449" s="639"/>
      <c r="R449" s="639"/>
      <c r="S449" s="639"/>
      <c r="T449" s="639"/>
      <c r="U449" s="639"/>
      <c r="V449" s="639"/>
      <c r="W449" s="639"/>
      <c r="X449" s="639"/>
      <c r="Y449" s="639"/>
      <c r="Z449" s="639"/>
      <c r="AA449" s="639"/>
      <c r="AB449" s="639"/>
    </row>
    <row r="450" spans="1:28">
      <c r="A450" s="639"/>
      <c r="B450" s="639"/>
      <c r="C450" s="639"/>
      <c r="D450" s="639"/>
      <c r="E450" s="639"/>
      <c r="F450" s="639"/>
      <c r="G450" s="639"/>
      <c r="H450" s="639"/>
      <c r="I450" s="639"/>
      <c r="J450" s="639"/>
      <c r="K450" s="639"/>
      <c r="L450" s="639"/>
      <c r="M450" s="639"/>
      <c r="N450" s="639"/>
      <c r="O450" s="639"/>
      <c r="P450" s="639"/>
      <c r="Q450" s="639"/>
      <c r="R450" s="639"/>
      <c r="S450" s="639"/>
      <c r="T450" s="639"/>
      <c r="U450" s="639"/>
      <c r="V450" s="639"/>
      <c r="W450" s="639"/>
      <c r="X450" s="639"/>
      <c r="Y450" s="639"/>
      <c r="Z450" s="639"/>
      <c r="AA450" s="639"/>
      <c r="AB450" s="639"/>
    </row>
    <row r="451" spans="1:28">
      <c r="A451" s="639"/>
      <c r="B451" s="639"/>
      <c r="C451" s="639"/>
      <c r="D451" s="639"/>
      <c r="E451" s="639"/>
      <c r="F451" s="639"/>
      <c r="G451" s="639"/>
      <c r="H451" s="639"/>
      <c r="I451" s="639"/>
      <c r="J451" s="639"/>
      <c r="K451" s="639"/>
      <c r="L451" s="639"/>
      <c r="M451" s="639"/>
      <c r="N451" s="639"/>
      <c r="O451" s="639"/>
      <c r="P451" s="639"/>
      <c r="Q451" s="639"/>
      <c r="R451" s="639"/>
      <c r="S451" s="639"/>
      <c r="T451" s="639"/>
      <c r="U451" s="639"/>
      <c r="V451" s="639"/>
      <c r="W451" s="639"/>
      <c r="X451" s="639"/>
      <c r="Y451" s="639"/>
      <c r="Z451" s="639"/>
      <c r="AA451" s="639"/>
      <c r="AB451" s="639"/>
    </row>
    <row r="452" spans="1:28">
      <c r="A452" s="639"/>
      <c r="B452" s="639"/>
      <c r="C452" s="639"/>
      <c r="D452" s="639"/>
      <c r="E452" s="639"/>
      <c r="F452" s="639"/>
      <c r="G452" s="639"/>
      <c r="H452" s="639"/>
      <c r="I452" s="639"/>
      <c r="J452" s="639"/>
      <c r="K452" s="639"/>
      <c r="L452" s="639"/>
      <c r="M452" s="639"/>
      <c r="N452" s="639"/>
      <c r="O452" s="639"/>
      <c r="P452" s="639"/>
      <c r="Q452" s="639"/>
      <c r="R452" s="639"/>
      <c r="S452" s="639"/>
      <c r="T452" s="639"/>
      <c r="U452" s="639"/>
      <c r="V452" s="639"/>
      <c r="W452" s="639"/>
      <c r="X452" s="639"/>
      <c r="Y452" s="639"/>
      <c r="Z452" s="639"/>
      <c r="AA452" s="639"/>
      <c r="AB452" s="639"/>
    </row>
    <row r="453" spans="1:28">
      <c r="A453" s="639"/>
      <c r="B453" s="639"/>
      <c r="C453" s="639"/>
      <c r="D453" s="639"/>
      <c r="E453" s="639"/>
      <c r="F453" s="639"/>
      <c r="G453" s="639"/>
      <c r="H453" s="639"/>
      <c r="I453" s="639"/>
      <c r="J453" s="639"/>
      <c r="K453" s="639"/>
      <c r="L453" s="639"/>
      <c r="M453" s="639"/>
      <c r="N453" s="639"/>
      <c r="O453" s="639"/>
      <c r="P453" s="639"/>
      <c r="Q453" s="639"/>
      <c r="R453" s="639"/>
      <c r="S453" s="639"/>
      <c r="T453" s="639"/>
      <c r="U453" s="639"/>
      <c r="V453" s="639"/>
      <c r="W453" s="639"/>
      <c r="X453" s="639"/>
      <c r="Y453" s="639"/>
      <c r="Z453" s="639"/>
      <c r="AA453" s="639"/>
      <c r="AB453" s="639"/>
    </row>
    <row r="454" spans="1:28">
      <c r="A454" s="639"/>
      <c r="B454" s="639"/>
      <c r="C454" s="639"/>
      <c r="D454" s="639"/>
      <c r="E454" s="639"/>
      <c r="F454" s="639"/>
      <c r="G454" s="639"/>
      <c r="H454" s="639"/>
      <c r="I454" s="639"/>
      <c r="J454" s="639"/>
      <c r="K454" s="639"/>
      <c r="L454" s="639"/>
      <c r="M454" s="639"/>
      <c r="N454" s="639"/>
      <c r="O454" s="639"/>
      <c r="P454" s="639"/>
      <c r="Q454" s="639"/>
      <c r="R454" s="639"/>
      <c r="S454" s="639"/>
      <c r="T454" s="639"/>
      <c r="U454" s="639"/>
      <c r="V454" s="639"/>
      <c r="W454" s="639"/>
      <c r="X454" s="639"/>
      <c r="Y454" s="639"/>
      <c r="Z454" s="639"/>
      <c r="AA454" s="639"/>
      <c r="AB454" s="639"/>
    </row>
    <row r="455" spans="1:28">
      <c r="A455" s="639"/>
      <c r="B455" s="639"/>
      <c r="C455" s="639"/>
      <c r="D455" s="639"/>
      <c r="E455" s="639"/>
      <c r="F455" s="639"/>
      <c r="G455" s="639"/>
      <c r="H455" s="639"/>
      <c r="I455" s="639"/>
      <c r="J455" s="639"/>
      <c r="K455" s="639"/>
      <c r="L455" s="639"/>
      <c r="M455" s="639"/>
      <c r="N455" s="639"/>
      <c r="O455" s="639"/>
      <c r="P455" s="639"/>
      <c r="Q455" s="639"/>
      <c r="R455" s="639"/>
      <c r="S455" s="639"/>
      <c r="T455" s="639"/>
      <c r="U455" s="639"/>
      <c r="V455" s="639"/>
      <c r="W455" s="639"/>
      <c r="X455" s="639"/>
      <c r="Y455" s="639"/>
      <c r="Z455" s="639"/>
      <c r="AA455" s="639"/>
      <c r="AB455" s="639"/>
    </row>
    <row r="456" spans="1:28">
      <c r="A456" s="639"/>
      <c r="B456" s="639"/>
      <c r="C456" s="639"/>
      <c r="D456" s="639"/>
      <c r="E456" s="639"/>
      <c r="F456" s="639"/>
      <c r="G456" s="639"/>
      <c r="H456" s="639"/>
      <c r="I456" s="639"/>
      <c r="J456" s="639"/>
      <c r="K456" s="639"/>
      <c r="L456" s="639"/>
      <c r="M456" s="639"/>
      <c r="N456" s="639"/>
      <c r="O456" s="639"/>
      <c r="P456" s="639"/>
      <c r="Q456" s="639"/>
      <c r="R456" s="639"/>
      <c r="S456" s="639"/>
      <c r="T456" s="639"/>
      <c r="U456" s="639"/>
      <c r="V456" s="639"/>
      <c r="W456" s="639"/>
      <c r="X456" s="639"/>
      <c r="Y456" s="639"/>
      <c r="Z456" s="639"/>
      <c r="AA456" s="639"/>
      <c r="AB456" s="639"/>
    </row>
    <row r="457" spans="1:28">
      <c r="A457" s="639"/>
      <c r="B457" s="639"/>
      <c r="C457" s="639"/>
      <c r="D457" s="639"/>
      <c r="E457" s="639"/>
      <c r="F457" s="639"/>
      <c r="G457" s="639"/>
      <c r="H457" s="639"/>
      <c r="I457" s="639"/>
      <c r="J457" s="639"/>
      <c r="K457" s="639"/>
      <c r="L457" s="639"/>
      <c r="M457" s="639"/>
      <c r="N457" s="639"/>
      <c r="O457" s="639"/>
      <c r="P457" s="639"/>
      <c r="Q457" s="639"/>
      <c r="R457" s="639"/>
      <c r="S457" s="639"/>
      <c r="T457" s="639"/>
      <c r="U457" s="639"/>
      <c r="V457" s="639"/>
      <c r="W457" s="639"/>
      <c r="X457" s="639"/>
      <c r="Y457" s="639"/>
      <c r="Z457" s="639"/>
      <c r="AA457" s="639"/>
      <c r="AB457" s="639"/>
    </row>
    <row r="458" spans="1:28">
      <c r="A458" s="639"/>
      <c r="B458" s="639"/>
      <c r="C458" s="639"/>
      <c r="D458" s="639"/>
      <c r="E458" s="639"/>
      <c r="F458" s="639"/>
      <c r="G458" s="639"/>
      <c r="H458" s="639"/>
      <c r="I458" s="639"/>
      <c r="J458" s="639"/>
      <c r="K458" s="639"/>
      <c r="L458" s="639"/>
      <c r="M458" s="639"/>
      <c r="N458" s="639"/>
      <c r="O458" s="639"/>
      <c r="P458" s="639"/>
      <c r="Q458" s="639"/>
      <c r="R458" s="639"/>
      <c r="S458" s="639"/>
      <c r="T458" s="639"/>
      <c r="U458" s="639"/>
      <c r="V458" s="639"/>
      <c r="W458" s="639"/>
      <c r="X458" s="639"/>
      <c r="Y458" s="639"/>
      <c r="Z458" s="639"/>
      <c r="AA458" s="639"/>
      <c r="AB458" s="639"/>
    </row>
    <row r="459" spans="1:28">
      <c r="A459" s="639"/>
      <c r="B459" s="639"/>
      <c r="C459" s="639"/>
      <c r="D459" s="639"/>
      <c r="E459" s="639"/>
      <c r="F459" s="639"/>
      <c r="G459" s="639"/>
      <c r="H459" s="639"/>
      <c r="I459" s="639"/>
      <c r="J459" s="639"/>
      <c r="K459" s="639"/>
      <c r="L459" s="639"/>
      <c r="M459" s="639"/>
      <c r="N459" s="639"/>
      <c r="O459" s="639"/>
      <c r="P459" s="639"/>
      <c r="Q459" s="639"/>
      <c r="R459" s="639"/>
      <c r="S459" s="639"/>
      <c r="T459" s="639"/>
      <c r="U459" s="639"/>
      <c r="V459" s="639"/>
      <c r="W459" s="639"/>
      <c r="X459" s="639"/>
      <c r="Y459" s="639"/>
      <c r="Z459" s="639"/>
      <c r="AA459" s="639"/>
      <c r="AB459" s="639"/>
    </row>
    <row r="460" spans="1:28">
      <c r="A460" s="639"/>
      <c r="B460" s="639"/>
      <c r="C460" s="639"/>
      <c r="D460" s="639"/>
      <c r="E460" s="639"/>
      <c r="F460" s="639"/>
      <c r="G460" s="639"/>
      <c r="H460" s="639"/>
      <c r="I460" s="639"/>
      <c r="J460" s="639"/>
      <c r="K460" s="639"/>
      <c r="L460" s="639"/>
      <c r="M460" s="639"/>
      <c r="N460" s="639"/>
      <c r="O460" s="639"/>
      <c r="P460" s="639"/>
      <c r="Q460" s="639"/>
      <c r="R460" s="639"/>
      <c r="S460" s="639"/>
      <c r="T460" s="639"/>
      <c r="U460" s="639"/>
      <c r="V460" s="639"/>
      <c r="W460" s="639"/>
      <c r="X460" s="639"/>
      <c r="Y460" s="639"/>
      <c r="Z460" s="639"/>
      <c r="AA460" s="639"/>
      <c r="AB460" s="639"/>
    </row>
    <row r="461" spans="1:28">
      <c r="A461" s="639"/>
      <c r="B461" s="639"/>
      <c r="C461" s="639"/>
      <c r="D461" s="639"/>
      <c r="E461" s="639"/>
      <c r="F461" s="639"/>
      <c r="G461" s="639"/>
      <c r="H461" s="639"/>
      <c r="I461" s="639"/>
      <c r="J461" s="639"/>
      <c r="K461" s="639"/>
      <c r="L461" s="639"/>
      <c r="M461" s="639"/>
      <c r="N461" s="639"/>
      <c r="O461" s="639"/>
      <c r="P461" s="639"/>
      <c r="Q461" s="639"/>
      <c r="R461" s="639"/>
      <c r="S461" s="639"/>
      <c r="T461" s="639"/>
      <c r="U461" s="639"/>
      <c r="V461" s="639"/>
      <c r="W461" s="639"/>
      <c r="X461" s="639"/>
      <c r="Y461" s="639"/>
      <c r="Z461" s="639"/>
      <c r="AA461" s="639"/>
      <c r="AB461" s="639"/>
    </row>
    <row r="462" spans="1:28">
      <c r="A462" s="639"/>
      <c r="B462" s="639"/>
      <c r="C462" s="639"/>
      <c r="D462" s="639"/>
      <c r="E462" s="639"/>
      <c r="F462" s="639"/>
      <c r="G462" s="639"/>
      <c r="H462" s="639"/>
      <c r="I462" s="639"/>
      <c r="J462" s="639"/>
      <c r="K462" s="639"/>
      <c r="L462" s="639"/>
      <c r="M462" s="639"/>
      <c r="N462" s="639"/>
      <c r="O462" s="639"/>
      <c r="P462" s="639"/>
      <c r="Q462" s="639"/>
      <c r="R462" s="639"/>
      <c r="S462" s="639"/>
      <c r="T462" s="639"/>
      <c r="U462" s="639"/>
      <c r="V462" s="639"/>
      <c r="W462" s="639"/>
      <c r="X462" s="639"/>
      <c r="Y462" s="639"/>
      <c r="Z462" s="639"/>
      <c r="AA462" s="639"/>
      <c r="AB462" s="639"/>
    </row>
    <row r="463" spans="1:28">
      <c r="A463" s="639"/>
      <c r="B463" s="639"/>
      <c r="C463" s="639"/>
      <c r="D463" s="639"/>
      <c r="E463" s="639"/>
      <c r="F463" s="639"/>
      <c r="G463" s="639"/>
      <c r="H463" s="639"/>
      <c r="I463" s="639"/>
      <c r="J463" s="639"/>
      <c r="K463" s="639"/>
      <c r="L463" s="639"/>
      <c r="M463" s="639"/>
      <c r="N463" s="639"/>
      <c r="O463" s="639"/>
      <c r="P463" s="639"/>
      <c r="Q463" s="639"/>
      <c r="R463" s="639"/>
      <c r="S463" s="639"/>
      <c r="T463" s="639"/>
      <c r="U463" s="639"/>
      <c r="V463" s="639"/>
      <c r="W463" s="639"/>
      <c r="X463" s="639"/>
      <c r="Y463" s="639"/>
      <c r="Z463" s="639"/>
      <c r="AA463" s="639"/>
      <c r="AB463" s="639"/>
    </row>
    <row r="464" spans="1:28">
      <c r="A464" s="639"/>
      <c r="B464" s="639"/>
      <c r="C464" s="639"/>
      <c r="D464" s="639"/>
      <c r="E464" s="639"/>
      <c r="F464" s="639"/>
      <c r="G464" s="639"/>
      <c r="H464" s="639"/>
      <c r="I464" s="639"/>
      <c r="J464" s="639"/>
      <c r="K464" s="639"/>
      <c r="L464" s="639"/>
      <c r="M464" s="639"/>
      <c r="N464" s="639"/>
      <c r="O464" s="639"/>
      <c r="P464" s="639"/>
      <c r="Q464" s="639"/>
      <c r="R464" s="639"/>
      <c r="S464" s="639"/>
      <c r="T464" s="639"/>
      <c r="U464" s="639"/>
      <c r="V464" s="639"/>
      <c r="W464" s="639"/>
      <c r="X464" s="639"/>
      <c r="Y464" s="639"/>
      <c r="Z464" s="639"/>
      <c r="AA464" s="639"/>
      <c r="AB464" s="639"/>
    </row>
    <row r="465" spans="1:28">
      <c r="A465" s="639"/>
      <c r="B465" s="639"/>
      <c r="C465" s="639"/>
      <c r="D465" s="639"/>
      <c r="E465" s="639"/>
      <c r="F465" s="639"/>
      <c r="G465" s="639"/>
      <c r="H465" s="639"/>
      <c r="I465" s="639"/>
      <c r="J465" s="639"/>
      <c r="K465" s="639"/>
      <c r="L465" s="639"/>
      <c r="M465" s="639"/>
      <c r="N465" s="639"/>
      <c r="O465" s="639"/>
      <c r="P465" s="639"/>
      <c r="Q465" s="639"/>
      <c r="R465" s="639"/>
      <c r="S465" s="639"/>
      <c r="T465" s="639"/>
      <c r="U465" s="639"/>
      <c r="V465" s="639"/>
      <c r="W465" s="639"/>
      <c r="X465" s="639"/>
      <c r="Y465" s="639"/>
      <c r="Z465" s="639"/>
      <c r="AA465" s="639"/>
      <c r="AB465" s="639"/>
    </row>
    <row r="466" spans="1:28">
      <c r="A466" s="639"/>
      <c r="B466" s="639"/>
      <c r="C466" s="639"/>
      <c r="D466" s="639"/>
      <c r="E466" s="639"/>
      <c r="F466" s="639"/>
      <c r="G466" s="639"/>
      <c r="H466" s="639"/>
      <c r="I466" s="639"/>
      <c r="J466" s="639"/>
      <c r="K466" s="639"/>
      <c r="L466" s="639"/>
      <c r="M466" s="639"/>
      <c r="N466" s="639"/>
      <c r="O466" s="639"/>
      <c r="P466" s="639"/>
      <c r="Q466" s="639"/>
      <c r="R466" s="639"/>
      <c r="S466" s="639"/>
      <c r="T466" s="639"/>
      <c r="U466" s="639"/>
      <c r="V466" s="639"/>
      <c r="W466" s="639"/>
      <c r="X466" s="639"/>
      <c r="Y466" s="639"/>
      <c r="Z466" s="639"/>
      <c r="AA466" s="639"/>
      <c r="AB466" s="639"/>
    </row>
    <row r="467" spans="1:28">
      <c r="A467" s="639"/>
      <c r="B467" s="639"/>
      <c r="C467" s="639"/>
      <c r="D467" s="639"/>
      <c r="E467" s="639"/>
      <c r="F467" s="639"/>
      <c r="G467" s="639"/>
      <c r="H467" s="639"/>
      <c r="I467" s="639"/>
      <c r="J467" s="639"/>
      <c r="K467" s="639"/>
      <c r="L467" s="639"/>
      <c r="M467" s="639"/>
      <c r="N467" s="639"/>
      <c r="O467" s="639"/>
      <c r="P467" s="639"/>
      <c r="Q467" s="639"/>
      <c r="R467" s="639"/>
      <c r="S467" s="639"/>
      <c r="T467" s="639"/>
      <c r="U467" s="639"/>
      <c r="V467" s="639"/>
      <c r="W467" s="639"/>
      <c r="X467" s="639"/>
      <c r="Y467" s="639"/>
      <c r="Z467" s="639"/>
      <c r="AA467" s="639"/>
      <c r="AB467" s="639"/>
    </row>
    <row r="468" spans="1:28">
      <c r="A468" s="639"/>
      <c r="B468" s="639"/>
      <c r="C468" s="639"/>
      <c r="D468" s="639"/>
      <c r="E468" s="639"/>
      <c r="F468" s="639"/>
      <c r="G468" s="639"/>
      <c r="H468" s="639"/>
      <c r="I468" s="639"/>
      <c r="J468" s="639"/>
      <c r="K468" s="639"/>
      <c r="L468" s="639"/>
      <c r="M468" s="639"/>
      <c r="N468" s="639"/>
      <c r="O468" s="639"/>
      <c r="P468" s="639"/>
      <c r="Q468" s="639"/>
      <c r="R468" s="639"/>
      <c r="S468" s="639"/>
      <c r="T468" s="639"/>
      <c r="U468" s="639"/>
      <c r="V468" s="639"/>
      <c r="W468" s="639"/>
      <c r="X468" s="639"/>
      <c r="Y468" s="639"/>
      <c r="Z468" s="639"/>
      <c r="AA468" s="639"/>
      <c r="AB468" s="639"/>
    </row>
    <row r="469" spans="1:28">
      <c r="A469" s="639"/>
      <c r="B469" s="639"/>
      <c r="C469" s="639"/>
      <c r="D469" s="639"/>
      <c r="E469" s="639"/>
      <c r="F469" s="639"/>
      <c r="G469" s="639"/>
      <c r="H469" s="639"/>
      <c r="I469" s="639"/>
      <c r="J469" s="639"/>
      <c r="K469" s="639"/>
      <c r="L469" s="639"/>
      <c r="M469" s="639"/>
      <c r="N469" s="639"/>
      <c r="O469" s="639"/>
      <c r="P469" s="639"/>
      <c r="Q469" s="639"/>
      <c r="R469" s="639"/>
      <c r="S469" s="639"/>
      <c r="T469" s="639"/>
      <c r="U469" s="639"/>
      <c r="V469" s="639"/>
      <c r="W469" s="639"/>
      <c r="X469" s="639"/>
      <c r="Y469" s="639"/>
      <c r="Z469" s="639"/>
      <c r="AA469" s="639"/>
      <c r="AB469" s="639"/>
    </row>
    <row r="470" spans="1:28">
      <c r="A470" s="639"/>
      <c r="B470" s="639"/>
      <c r="C470" s="639"/>
      <c r="D470" s="639"/>
      <c r="E470" s="639"/>
      <c r="F470" s="639"/>
      <c r="G470" s="639"/>
      <c r="H470" s="639"/>
      <c r="I470" s="639"/>
      <c r="J470" s="639"/>
      <c r="K470" s="639"/>
      <c r="L470" s="639"/>
      <c r="M470" s="639"/>
      <c r="N470" s="639"/>
      <c r="O470" s="639"/>
      <c r="P470" s="639"/>
      <c r="Q470" s="639"/>
      <c r="R470" s="639"/>
      <c r="S470" s="639"/>
      <c r="T470" s="639"/>
      <c r="U470" s="639"/>
      <c r="V470" s="639"/>
      <c r="W470" s="639"/>
      <c r="X470" s="639"/>
      <c r="Y470" s="639"/>
      <c r="Z470" s="639"/>
      <c r="AA470" s="639"/>
      <c r="AB470" s="639"/>
    </row>
    <row r="471" spans="1:28">
      <c r="A471" s="639"/>
      <c r="B471" s="639"/>
      <c r="C471" s="639"/>
      <c r="D471" s="639"/>
      <c r="E471" s="639"/>
      <c r="F471" s="639"/>
      <c r="G471" s="639"/>
      <c r="H471" s="639"/>
      <c r="I471" s="639"/>
      <c r="J471" s="639"/>
      <c r="K471" s="639"/>
      <c r="L471" s="639"/>
      <c r="M471" s="639"/>
      <c r="N471" s="639"/>
      <c r="O471" s="639"/>
      <c r="P471" s="639"/>
      <c r="Q471" s="639"/>
      <c r="R471" s="639"/>
      <c r="S471" s="639"/>
      <c r="T471" s="639"/>
      <c r="U471" s="639"/>
      <c r="V471" s="639"/>
      <c r="W471" s="639"/>
      <c r="X471" s="639"/>
      <c r="Y471" s="639"/>
      <c r="Z471" s="639"/>
      <c r="AA471" s="639"/>
      <c r="AB471" s="639"/>
    </row>
    <row r="472" spans="1:28">
      <c r="A472" s="639"/>
      <c r="B472" s="639"/>
      <c r="C472" s="639"/>
      <c r="D472" s="639"/>
      <c r="E472" s="639"/>
      <c r="F472" s="639"/>
      <c r="G472" s="639"/>
      <c r="H472" s="639"/>
      <c r="I472" s="639"/>
      <c r="J472" s="639"/>
      <c r="K472" s="639"/>
      <c r="L472" s="639"/>
      <c r="M472" s="639"/>
      <c r="N472" s="639"/>
      <c r="O472" s="639"/>
      <c r="P472" s="639"/>
      <c r="Q472" s="639"/>
      <c r="R472" s="639"/>
      <c r="S472" s="639"/>
      <c r="T472" s="639"/>
      <c r="U472" s="639"/>
      <c r="V472" s="639"/>
      <c r="W472" s="639"/>
      <c r="X472" s="639"/>
      <c r="Y472" s="639"/>
      <c r="Z472" s="639"/>
      <c r="AA472" s="639"/>
      <c r="AB472" s="639"/>
    </row>
    <row r="473" spans="1:28">
      <c r="A473" s="639"/>
      <c r="B473" s="639"/>
      <c r="C473" s="639"/>
      <c r="D473" s="639"/>
      <c r="E473" s="639"/>
      <c r="F473" s="639"/>
      <c r="G473" s="639"/>
      <c r="H473" s="639"/>
      <c r="I473" s="639"/>
      <c r="J473" s="639"/>
      <c r="K473" s="639"/>
      <c r="L473" s="639"/>
      <c r="M473" s="639"/>
      <c r="N473" s="639"/>
      <c r="O473" s="639"/>
      <c r="P473" s="639"/>
      <c r="Q473" s="639"/>
      <c r="R473" s="639"/>
      <c r="S473" s="639"/>
      <c r="T473" s="639"/>
      <c r="U473" s="639"/>
      <c r="V473" s="639"/>
      <c r="W473" s="639"/>
      <c r="X473" s="639"/>
      <c r="Y473" s="639"/>
      <c r="Z473" s="639"/>
      <c r="AA473" s="639"/>
      <c r="AB473" s="639"/>
    </row>
    <row r="474" spans="1:28">
      <c r="A474" s="639"/>
      <c r="B474" s="639"/>
      <c r="C474" s="639"/>
      <c r="D474" s="639"/>
      <c r="E474" s="639"/>
      <c r="F474" s="639"/>
      <c r="G474" s="639"/>
      <c r="H474" s="639"/>
      <c r="I474" s="639"/>
      <c r="J474" s="639"/>
      <c r="K474" s="639"/>
      <c r="L474" s="639"/>
      <c r="M474" s="639"/>
      <c r="N474" s="639"/>
      <c r="O474" s="639"/>
      <c r="P474" s="639"/>
      <c r="Q474" s="639"/>
      <c r="R474" s="639"/>
      <c r="S474" s="639"/>
      <c r="T474" s="639"/>
      <c r="U474" s="639"/>
      <c r="V474" s="639"/>
      <c r="W474" s="639"/>
      <c r="X474" s="639"/>
      <c r="Y474" s="639"/>
      <c r="Z474" s="639"/>
      <c r="AA474" s="639"/>
      <c r="AB474" s="639"/>
    </row>
    <row r="475" spans="1:28">
      <c r="A475" s="639"/>
      <c r="B475" s="639"/>
      <c r="C475" s="639"/>
      <c r="D475" s="639"/>
      <c r="E475" s="639"/>
      <c r="F475" s="639"/>
      <c r="G475" s="639"/>
      <c r="H475" s="639"/>
      <c r="I475" s="639"/>
      <c r="J475" s="639"/>
      <c r="K475" s="639"/>
      <c r="L475" s="639"/>
      <c r="M475" s="639"/>
      <c r="N475" s="639"/>
      <c r="O475" s="639"/>
      <c r="P475" s="639"/>
      <c r="Q475" s="639"/>
      <c r="R475" s="639"/>
      <c r="S475" s="639"/>
      <c r="T475" s="639"/>
      <c r="U475" s="639"/>
      <c r="V475" s="639"/>
      <c r="W475" s="639"/>
      <c r="X475" s="639"/>
      <c r="Y475" s="639"/>
      <c r="Z475" s="639"/>
      <c r="AA475" s="639"/>
      <c r="AB475" s="639"/>
    </row>
    <row r="476" spans="1:28">
      <c r="A476" s="639"/>
      <c r="B476" s="639"/>
      <c r="C476" s="639"/>
      <c r="D476" s="639"/>
      <c r="E476" s="639"/>
      <c r="F476" s="639"/>
      <c r="G476" s="639"/>
      <c r="H476" s="639"/>
      <c r="I476" s="639"/>
      <c r="J476" s="639"/>
      <c r="K476" s="639"/>
      <c r="L476" s="639"/>
      <c r="M476" s="639"/>
      <c r="N476" s="639"/>
      <c r="O476" s="639"/>
      <c r="P476" s="639"/>
      <c r="Q476" s="639"/>
      <c r="R476" s="639"/>
      <c r="S476" s="639"/>
      <c r="T476" s="639"/>
      <c r="U476" s="639"/>
      <c r="V476" s="639"/>
      <c r="W476" s="639"/>
      <c r="X476" s="639"/>
      <c r="Y476" s="639"/>
      <c r="Z476" s="639"/>
      <c r="AA476" s="639"/>
      <c r="AB476" s="639"/>
    </row>
    <row r="477" spans="1:28">
      <c r="A477" s="639"/>
      <c r="B477" s="639"/>
      <c r="C477" s="639"/>
      <c r="D477" s="639"/>
      <c r="E477" s="639"/>
      <c r="F477" s="639"/>
      <c r="G477" s="639"/>
      <c r="H477" s="639"/>
      <c r="I477" s="639"/>
      <c r="J477" s="639"/>
      <c r="K477" s="639"/>
      <c r="L477" s="639"/>
      <c r="M477" s="639"/>
      <c r="N477" s="639"/>
      <c r="O477" s="639"/>
      <c r="P477" s="639"/>
      <c r="Q477" s="639"/>
      <c r="R477" s="639"/>
      <c r="S477" s="639"/>
      <c r="T477" s="639"/>
      <c r="U477" s="639"/>
      <c r="V477" s="639"/>
      <c r="W477" s="639"/>
      <c r="X477" s="639"/>
      <c r="Y477" s="639"/>
      <c r="Z477" s="639"/>
      <c r="AA477" s="639"/>
      <c r="AB477" s="639"/>
    </row>
    <row r="478" spans="1:28">
      <c r="A478" s="639"/>
      <c r="B478" s="639"/>
      <c r="C478" s="639"/>
      <c r="D478" s="639"/>
      <c r="E478" s="639"/>
      <c r="F478" s="639"/>
      <c r="G478" s="639"/>
      <c r="H478" s="639"/>
      <c r="I478" s="639"/>
      <c r="J478" s="639"/>
      <c r="K478" s="639"/>
      <c r="L478" s="639"/>
      <c r="M478" s="639"/>
      <c r="N478" s="639"/>
      <c r="O478" s="639"/>
      <c r="P478" s="639"/>
      <c r="Q478" s="639"/>
      <c r="R478" s="639"/>
      <c r="S478" s="639"/>
      <c r="T478" s="639"/>
      <c r="U478" s="639"/>
      <c r="V478" s="639"/>
      <c r="W478" s="639"/>
      <c r="X478" s="639"/>
      <c r="Y478" s="639"/>
      <c r="Z478" s="639"/>
      <c r="AA478" s="639"/>
      <c r="AB478" s="639"/>
    </row>
    <row r="479" spans="1:28">
      <c r="A479" s="639"/>
      <c r="B479" s="639"/>
      <c r="C479" s="639"/>
      <c r="D479" s="639"/>
      <c r="E479" s="639"/>
      <c r="F479" s="639"/>
      <c r="G479" s="639"/>
      <c r="H479" s="639"/>
      <c r="I479" s="639"/>
      <c r="J479" s="639"/>
      <c r="K479" s="639"/>
      <c r="L479" s="639"/>
      <c r="M479" s="639"/>
      <c r="N479" s="639"/>
      <c r="O479" s="639"/>
      <c r="P479" s="639"/>
      <c r="Q479" s="639"/>
      <c r="R479" s="639"/>
      <c r="S479" s="639"/>
      <c r="T479" s="639"/>
      <c r="U479" s="639"/>
      <c r="V479" s="639"/>
      <c r="W479" s="639"/>
      <c r="X479" s="639"/>
      <c r="Y479" s="639"/>
      <c r="Z479" s="639"/>
      <c r="AA479" s="639"/>
      <c r="AB479" s="639"/>
    </row>
    <row r="480" spans="1:28">
      <c r="A480" s="639"/>
      <c r="B480" s="639"/>
      <c r="C480" s="639"/>
      <c r="D480" s="639"/>
      <c r="E480" s="639"/>
      <c r="F480" s="639"/>
      <c r="G480" s="639"/>
      <c r="H480" s="639"/>
      <c r="I480" s="639"/>
      <c r="J480" s="639"/>
      <c r="K480" s="639"/>
      <c r="L480" s="639"/>
      <c r="M480" s="639"/>
      <c r="N480" s="639"/>
      <c r="O480" s="639"/>
      <c r="P480" s="639"/>
      <c r="Q480" s="639"/>
      <c r="R480" s="639"/>
      <c r="S480" s="639"/>
      <c r="T480" s="639"/>
      <c r="U480" s="639"/>
      <c r="V480" s="639"/>
      <c r="W480" s="639"/>
      <c r="X480" s="639"/>
      <c r="Y480" s="639"/>
      <c r="Z480" s="639"/>
      <c r="AA480" s="639"/>
      <c r="AB480" s="639"/>
    </row>
    <row r="481" spans="1:28">
      <c r="A481" s="639"/>
      <c r="B481" s="639"/>
      <c r="C481" s="639"/>
      <c r="D481" s="639"/>
      <c r="E481" s="639"/>
      <c r="F481" s="639"/>
      <c r="G481" s="639"/>
      <c r="H481" s="639"/>
      <c r="I481" s="639"/>
      <c r="J481" s="639"/>
      <c r="K481" s="639"/>
      <c r="L481" s="639"/>
      <c r="M481" s="639"/>
      <c r="N481" s="639"/>
      <c r="O481" s="639"/>
      <c r="P481" s="639"/>
      <c r="Q481" s="639"/>
      <c r="R481" s="639"/>
      <c r="S481" s="639"/>
      <c r="T481" s="639"/>
      <c r="U481" s="639"/>
      <c r="V481" s="639"/>
      <c r="W481" s="639"/>
      <c r="X481" s="639"/>
      <c r="Y481" s="639"/>
      <c r="Z481" s="639"/>
      <c r="AA481" s="639"/>
      <c r="AB481" s="639"/>
    </row>
    <row r="482" spans="1:28">
      <c r="A482" s="639"/>
      <c r="B482" s="639"/>
      <c r="C482" s="639"/>
      <c r="D482" s="639"/>
      <c r="E482" s="639"/>
      <c r="F482" s="639"/>
      <c r="G482" s="639"/>
      <c r="H482" s="639"/>
      <c r="I482" s="639"/>
      <c r="J482" s="639"/>
      <c r="K482" s="639"/>
      <c r="L482" s="639"/>
      <c r="M482" s="639"/>
      <c r="N482" s="639"/>
      <c r="O482" s="639"/>
      <c r="P482" s="639"/>
      <c r="Q482" s="639"/>
      <c r="R482" s="639"/>
      <c r="S482" s="639"/>
      <c r="T482" s="639"/>
      <c r="U482" s="639"/>
      <c r="V482" s="639"/>
      <c r="W482" s="639"/>
      <c r="X482" s="639"/>
      <c r="Y482" s="639"/>
      <c r="Z482" s="639"/>
      <c r="AA482" s="639"/>
      <c r="AB482" s="639"/>
    </row>
    <row r="483" spans="1:28">
      <c r="A483" s="639"/>
      <c r="B483" s="639"/>
      <c r="C483" s="639"/>
      <c r="D483" s="639"/>
      <c r="E483" s="639"/>
      <c r="F483" s="639"/>
      <c r="G483" s="639"/>
      <c r="H483" s="639"/>
      <c r="I483" s="639"/>
      <c r="J483" s="639"/>
      <c r="K483" s="639"/>
      <c r="L483" s="639"/>
      <c r="M483" s="639"/>
      <c r="N483" s="639"/>
      <c r="O483" s="639"/>
      <c r="P483" s="639"/>
      <c r="Q483" s="639"/>
      <c r="R483" s="639"/>
      <c r="S483" s="639"/>
      <c r="T483" s="639"/>
      <c r="U483" s="639"/>
      <c r="V483" s="639"/>
      <c r="W483" s="639"/>
      <c r="X483" s="639"/>
      <c r="Y483" s="639"/>
      <c r="Z483" s="639"/>
      <c r="AA483" s="639"/>
      <c r="AB483" s="639"/>
    </row>
    <row r="484" spans="1:28">
      <c r="A484" s="639"/>
      <c r="B484" s="639"/>
      <c r="C484" s="639"/>
      <c r="D484" s="639"/>
      <c r="E484" s="639"/>
      <c r="F484" s="639"/>
      <c r="G484" s="639"/>
      <c r="H484" s="639"/>
      <c r="I484" s="639"/>
      <c r="J484" s="639"/>
      <c r="K484" s="639"/>
      <c r="L484" s="639"/>
      <c r="M484" s="639"/>
      <c r="N484" s="639"/>
      <c r="O484" s="639"/>
      <c r="P484" s="639"/>
      <c r="Q484" s="639"/>
      <c r="R484" s="639"/>
      <c r="S484" s="639"/>
      <c r="T484" s="639"/>
      <c r="U484" s="639"/>
      <c r="V484" s="639"/>
      <c r="W484" s="639"/>
      <c r="X484" s="639"/>
      <c r="Y484" s="639"/>
      <c r="Z484" s="639"/>
      <c r="AA484" s="639"/>
      <c r="AB484" s="639"/>
    </row>
    <row r="485" spans="1:28">
      <c r="A485" s="639"/>
      <c r="B485" s="639"/>
      <c r="C485" s="639"/>
      <c r="D485" s="639"/>
      <c r="E485" s="639"/>
      <c r="F485" s="639"/>
      <c r="G485" s="639"/>
      <c r="H485" s="639"/>
      <c r="I485" s="639"/>
      <c r="J485" s="639"/>
      <c r="K485" s="639"/>
      <c r="L485" s="639"/>
      <c r="M485" s="639"/>
      <c r="N485" s="639"/>
      <c r="O485" s="639"/>
      <c r="P485" s="639"/>
      <c r="Q485" s="639"/>
      <c r="R485" s="639"/>
      <c r="S485" s="639"/>
      <c r="T485" s="639"/>
      <c r="U485" s="639"/>
      <c r="V485" s="639"/>
      <c r="W485" s="639"/>
      <c r="X485" s="639"/>
      <c r="Y485" s="639"/>
      <c r="Z485" s="639"/>
      <c r="AA485" s="639"/>
      <c r="AB485" s="639"/>
    </row>
    <row r="486" spans="1:28">
      <c r="A486" s="639"/>
      <c r="B486" s="639"/>
      <c r="C486" s="639"/>
      <c r="D486" s="639"/>
      <c r="E486" s="639"/>
      <c r="F486" s="639"/>
      <c r="G486" s="639"/>
      <c r="H486" s="639"/>
      <c r="I486" s="639"/>
      <c r="J486" s="639"/>
      <c r="K486" s="639"/>
      <c r="L486" s="639"/>
      <c r="M486" s="639"/>
      <c r="N486" s="639"/>
      <c r="O486" s="639"/>
      <c r="P486" s="639"/>
      <c r="Q486" s="639"/>
      <c r="R486" s="639"/>
      <c r="S486" s="639"/>
      <c r="T486" s="639"/>
      <c r="U486" s="639"/>
      <c r="V486" s="639"/>
      <c r="W486" s="639"/>
      <c r="X486" s="639"/>
      <c r="Y486" s="639"/>
      <c r="Z486" s="639"/>
      <c r="AA486" s="639"/>
      <c r="AB486" s="639"/>
    </row>
    <row r="487" spans="1:28">
      <c r="A487" s="639"/>
      <c r="B487" s="639"/>
      <c r="C487" s="639"/>
      <c r="D487" s="639"/>
      <c r="E487" s="639"/>
      <c r="F487" s="639"/>
      <c r="G487" s="639"/>
      <c r="H487" s="639"/>
      <c r="I487" s="639"/>
      <c r="J487" s="639"/>
      <c r="K487" s="639"/>
      <c r="L487" s="639"/>
      <c r="M487" s="639"/>
      <c r="N487" s="639"/>
      <c r="O487" s="639"/>
      <c r="P487" s="639"/>
      <c r="Q487" s="639"/>
      <c r="R487" s="639"/>
      <c r="S487" s="639"/>
      <c r="T487" s="639"/>
      <c r="U487" s="639"/>
      <c r="V487" s="639"/>
      <c r="W487" s="639"/>
      <c r="X487" s="639"/>
      <c r="Y487" s="639"/>
      <c r="Z487" s="639"/>
      <c r="AA487" s="639"/>
      <c r="AB487" s="639"/>
    </row>
    <row r="488" spans="1:28">
      <c r="A488" s="639"/>
      <c r="B488" s="639"/>
      <c r="C488" s="639"/>
      <c r="D488" s="639"/>
      <c r="E488" s="639"/>
      <c r="F488" s="639"/>
      <c r="G488" s="639"/>
      <c r="H488" s="639"/>
      <c r="I488" s="639"/>
      <c r="J488" s="639"/>
      <c r="K488" s="639"/>
      <c r="L488" s="639"/>
      <c r="M488" s="639"/>
      <c r="N488" s="639"/>
      <c r="O488" s="639"/>
      <c r="P488" s="639"/>
      <c r="Q488" s="639"/>
      <c r="R488" s="639"/>
      <c r="S488" s="639"/>
      <c r="T488" s="639"/>
      <c r="U488" s="639"/>
      <c r="V488" s="639"/>
      <c r="W488" s="639"/>
      <c r="X488" s="639"/>
      <c r="Y488" s="639"/>
      <c r="Z488" s="639"/>
      <c r="AA488" s="639"/>
      <c r="AB488" s="639"/>
    </row>
    <row r="489" spans="1:28">
      <c r="A489" s="639"/>
      <c r="B489" s="639"/>
      <c r="C489" s="639"/>
      <c r="D489" s="639"/>
      <c r="E489" s="639"/>
      <c r="F489" s="639"/>
      <c r="G489" s="639"/>
      <c r="H489" s="639"/>
      <c r="I489" s="639"/>
      <c r="J489" s="639"/>
      <c r="K489" s="639"/>
      <c r="L489" s="639"/>
      <c r="M489" s="639"/>
      <c r="N489" s="639"/>
      <c r="O489" s="639"/>
      <c r="P489" s="639"/>
      <c r="Q489" s="639"/>
      <c r="R489" s="639"/>
      <c r="S489" s="639"/>
      <c r="T489" s="639"/>
      <c r="U489" s="639"/>
      <c r="V489" s="639"/>
      <c r="W489" s="639"/>
      <c r="X489" s="639"/>
      <c r="Y489" s="639"/>
      <c r="Z489" s="639"/>
      <c r="AA489" s="639"/>
      <c r="AB489" s="639"/>
    </row>
    <row r="490" spans="1:28">
      <c r="A490" s="639"/>
      <c r="B490" s="639"/>
      <c r="C490" s="639"/>
      <c r="D490" s="639"/>
      <c r="E490" s="639"/>
      <c r="F490" s="639"/>
      <c r="G490" s="639"/>
      <c r="H490" s="639"/>
      <c r="I490" s="639"/>
      <c r="J490" s="639"/>
      <c r="K490" s="639"/>
      <c r="L490" s="639"/>
      <c r="M490" s="639"/>
      <c r="N490" s="639"/>
      <c r="O490" s="639"/>
      <c r="P490" s="639"/>
      <c r="Q490" s="639"/>
      <c r="R490" s="639"/>
      <c r="S490" s="639"/>
      <c r="T490" s="639"/>
      <c r="U490" s="639"/>
      <c r="V490" s="639"/>
      <c r="W490" s="639"/>
      <c r="X490" s="639"/>
      <c r="Y490" s="639"/>
      <c r="Z490" s="639"/>
      <c r="AA490" s="639"/>
      <c r="AB490" s="639"/>
    </row>
    <row r="491" spans="1:28">
      <c r="A491" s="639"/>
      <c r="B491" s="639"/>
      <c r="C491" s="639"/>
      <c r="D491" s="639"/>
      <c r="E491" s="639"/>
      <c r="F491" s="639"/>
      <c r="G491" s="639"/>
      <c r="H491" s="639"/>
      <c r="I491" s="639"/>
      <c r="J491" s="639"/>
      <c r="K491" s="639"/>
      <c r="L491" s="639"/>
      <c r="M491" s="639"/>
      <c r="N491" s="639"/>
      <c r="O491" s="639"/>
      <c r="P491" s="639"/>
      <c r="Q491" s="639"/>
      <c r="R491" s="639"/>
      <c r="S491" s="639"/>
      <c r="T491" s="639"/>
      <c r="U491" s="639"/>
      <c r="V491" s="639"/>
      <c r="W491" s="639"/>
      <c r="X491" s="639"/>
      <c r="Y491" s="639"/>
      <c r="Z491" s="639"/>
      <c r="AA491" s="639"/>
      <c r="AB491" s="639"/>
    </row>
    <row r="492" spans="1:28">
      <c r="A492" s="639"/>
      <c r="B492" s="639"/>
      <c r="C492" s="639"/>
      <c r="D492" s="639"/>
      <c r="E492" s="639"/>
      <c r="F492" s="639"/>
      <c r="G492" s="639"/>
      <c r="H492" s="639"/>
      <c r="I492" s="639"/>
      <c r="J492" s="639"/>
      <c r="K492" s="639"/>
      <c r="L492" s="639"/>
      <c r="M492" s="639"/>
      <c r="N492" s="639"/>
      <c r="O492" s="639"/>
      <c r="P492" s="639"/>
      <c r="Q492" s="639"/>
      <c r="R492" s="639"/>
      <c r="S492" s="639"/>
      <c r="T492" s="639"/>
      <c r="U492" s="639"/>
      <c r="V492" s="639"/>
      <c r="W492" s="639"/>
      <c r="X492" s="639"/>
      <c r="Y492" s="639"/>
      <c r="Z492" s="639"/>
      <c r="AA492" s="639"/>
      <c r="AB492" s="639"/>
    </row>
    <row r="493" spans="1:28">
      <c r="A493" s="639"/>
      <c r="B493" s="639"/>
      <c r="C493" s="639"/>
      <c r="D493" s="639"/>
      <c r="E493" s="639"/>
      <c r="F493" s="639"/>
      <c r="G493" s="639"/>
      <c r="H493" s="639"/>
      <c r="I493" s="639"/>
      <c r="J493" s="639"/>
      <c r="K493" s="639"/>
      <c r="L493" s="639"/>
      <c r="M493" s="639"/>
      <c r="N493" s="639"/>
      <c r="O493" s="639"/>
      <c r="P493" s="639"/>
      <c r="Q493" s="639"/>
      <c r="R493" s="639"/>
      <c r="S493" s="639"/>
      <c r="T493" s="639"/>
      <c r="U493" s="639"/>
      <c r="V493" s="639"/>
      <c r="W493" s="639"/>
      <c r="X493" s="639"/>
      <c r="Y493" s="639"/>
      <c r="Z493" s="639"/>
      <c r="AA493" s="639"/>
      <c r="AB493" s="639"/>
    </row>
    <row r="494" spans="1:28">
      <c r="A494" s="639"/>
      <c r="B494" s="639"/>
      <c r="C494" s="639"/>
      <c r="D494" s="639"/>
      <c r="E494" s="639"/>
      <c r="F494" s="639"/>
      <c r="G494" s="639"/>
      <c r="H494" s="639"/>
      <c r="I494" s="639"/>
      <c r="J494" s="639"/>
      <c r="K494" s="639"/>
      <c r="L494" s="639"/>
      <c r="M494" s="639"/>
      <c r="N494" s="639"/>
      <c r="O494" s="639"/>
      <c r="P494" s="639"/>
      <c r="Q494" s="639"/>
      <c r="R494" s="639"/>
      <c r="S494" s="639"/>
      <c r="T494" s="639"/>
      <c r="U494" s="639"/>
      <c r="V494" s="639"/>
      <c r="W494" s="639"/>
      <c r="X494" s="639"/>
      <c r="Y494" s="639"/>
      <c r="Z494" s="639"/>
      <c r="AA494" s="639"/>
      <c r="AB494" s="639"/>
    </row>
    <row r="495" spans="1:28">
      <c r="A495" s="639"/>
      <c r="B495" s="639"/>
      <c r="C495" s="639"/>
      <c r="D495" s="639"/>
      <c r="E495" s="639"/>
      <c r="F495" s="639"/>
      <c r="G495" s="639"/>
      <c r="H495" s="639"/>
      <c r="I495" s="639"/>
      <c r="J495" s="639"/>
      <c r="K495" s="639"/>
      <c r="L495" s="639"/>
      <c r="M495" s="639"/>
      <c r="N495" s="639"/>
      <c r="O495" s="639"/>
      <c r="P495" s="639"/>
      <c r="Q495" s="639"/>
      <c r="R495" s="639"/>
      <c r="S495" s="639"/>
      <c r="T495" s="639"/>
      <c r="U495" s="639"/>
      <c r="V495" s="639"/>
      <c r="W495" s="639"/>
      <c r="X495" s="639"/>
      <c r="Y495" s="639"/>
      <c r="Z495" s="639"/>
      <c r="AA495" s="639"/>
      <c r="AB495" s="639"/>
    </row>
    <row r="496" spans="1:28">
      <c r="A496" s="639"/>
      <c r="B496" s="639"/>
      <c r="C496" s="639"/>
      <c r="D496" s="639"/>
      <c r="E496" s="639"/>
      <c r="F496" s="639"/>
      <c r="G496" s="639"/>
      <c r="H496" s="639"/>
      <c r="I496" s="639"/>
      <c r="J496" s="639"/>
      <c r="K496" s="639"/>
      <c r="L496" s="639"/>
      <c r="M496" s="639"/>
      <c r="N496" s="639"/>
      <c r="O496" s="639"/>
      <c r="P496" s="639"/>
      <c r="Q496" s="639"/>
      <c r="R496" s="639"/>
      <c r="S496" s="639"/>
      <c r="T496" s="639"/>
      <c r="U496" s="639"/>
      <c r="V496" s="639"/>
      <c r="W496" s="639"/>
      <c r="X496" s="639"/>
      <c r="Y496" s="639"/>
      <c r="Z496" s="639"/>
      <c r="AA496" s="639"/>
      <c r="AB496" s="639"/>
    </row>
    <row r="497" spans="1:28">
      <c r="A497" s="639"/>
      <c r="B497" s="639"/>
      <c r="C497" s="639"/>
      <c r="D497" s="639"/>
      <c r="E497" s="639"/>
      <c r="F497" s="639"/>
      <c r="G497" s="639"/>
      <c r="H497" s="639"/>
      <c r="I497" s="639"/>
      <c r="J497" s="639"/>
      <c r="K497" s="639"/>
      <c r="L497" s="639"/>
      <c r="M497" s="639"/>
      <c r="N497" s="639"/>
      <c r="O497" s="639"/>
      <c r="P497" s="639"/>
      <c r="Q497" s="639"/>
      <c r="R497" s="639"/>
      <c r="S497" s="639"/>
      <c r="T497" s="639"/>
      <c r="U497" s="639"/>
      <c r="V497" s="639"/>
      <c r="W497" s="639"/>
      <c r="X497" s="639"/>
      <c r="Y497" s="639"/>
      <c r="Z497" s="639"/>
      <c r="AA497" s="639"/>
      <c r="AB497" s="639"/>
    </row>
    <row r="498" spans="1:28">
      <c r="A498" s="639"/>
      <c r="B498" s="639"/>
      <c r="C498" s="639"/>
      <c r="D498" s="639"/>
      <c r="E498" s="639"/>
      <c r="F498" s="639"/>
      <c r="G498" s="639"/>
      <c r="H498" s="639"/>
      <c r="I498" s="639"/>
      <c r="J498" s="639"/>
      <c r="K498" s="639"/>
      <c r="L498" s="639"/>
      <c r="M498" s="639"/>
      <c r="N498" s="639"/>
      <c r="O498" s="639"/>
      <c r="P498" s="639"/>
      <c r="Q498" s="639"/>
      <c r="R498" s="639"/>
      <c r="S498" s="639"/>
      <c r="T498" s="639"/>
      <c r="U498" s="639"/>
      <c r="V498" s="639"/>
      <c r="W498" s="639"/>
      <c r="X498" s="639"/>
      <c r="Y498" s="639"/>
      <c r="Z498" s="639"/>
      <c r="AA498" s="639"/>
      <c r="AB498" s="639"/>
    </row>
    <row r="499" spans="1:28">
      <c r="A499" s="639"/>
      <c r="B499" s="639"/>
      <c r="C499" s="639"/>
      <c r="D499" s="639"/>
      <c r="E499" s="639"/>
      <c r="F499" s="639"/>
      <c r="G499" s="639"/>
      <c r="H499" s="639"/>
      <c r="I499" s="639"/>
      <c r="J499" s="639"/>
      <c r="K499" s="639"/>
      <c r="L499" s="639"/>
      <c r="M499" s="639"/>
      <c r="N499" s="639"/>
      <c r="O499" s="639"/>
      <c r="P499" s="639"/>
      <c r="Q499" s="639"/>
      <c r="R499" s="639"/>
      <c r="S499" s="639"/>
      <c r="T499" s="639"/>
      <c r="U499" s="639"/>
      <c r="V499" s="639"/>
      <c r="W499" s="639"/>
      <c r="X499" s="639"/>
      <c r="Y499" s="639"/>
      <c r="Z499" s="639"/>
      <c r="AA499" s="639"/>
      <c r="AB499" s="639"/>
    </row>
    <row r="500" spans="1:28">
      <c r="A500" s="639"/>
      <c r="B500" s="639"/>
      <c r="C500" s="639"/>
      <c r="D500" s="639"/>
      <c r="E500" s="639"/>
      <c r="F500" s="639"/>
      <c r="G500" s="639"/>
      <c r="H500" s="639"/>
      <c r="I500" s="639"/>
      <c r="J500" s="639"/>
      <c r="K500" s="639"/>
      <c r="L500" s="639"/>
      <c r="M500" s="639"/>
      <c r="N500" s="639"/>
      <c r="O500" s="639"/>
      <c r="P500" s="639"/>
      <c r="Q500" s="639"/>
      <c r="R500" s="639"/>
      <c r="S500" s="639"/>
      <c r="T500" s="639"/>
      <c r="U500" s="639"/>
      <c r="V500" s="639"/>
      <c r="W500" s="639"/>
      <c r="X500" s="639"/>
      <c r="Y500" s="639"/>
      <c r="Z500" s="639"/>
      <c r="AA500" s="639"/>
      <c r="AB500" s="639"/>
    </row>
    <row r="501" spans="1:28">
      <c r="A501" s="639"/>
      <c r="B501" s="639"/>
      <c r="C501" s="639"/>
      <c r="D501" s="639"/>
      <c r="E501" s="639"/>
      <c r="F501" s="639"/>
      <c r="G501" s="639"/>
      <c r="H501" s="639"/>
      <c r="I501" s="639"/>
      <c r="J501" s="639"/>
      <c r="K501" s="639"/>
      <c r="L501" s="639"/>
      <c r="M501" s="639"/>
      <c r="N501" s="639"/>
      <c r="O501" s="639"/>
      <c r="P501" s="639"/>
      <c r="Q501" s="639"/>
      <c r="R501" s="639"/>
      <c r="S501" s="639"/>
      <c r="T501" s="639"/>
      <c r="U501" s="639"/>
      <c r="V501" s="639"/>
      <c r="W501" s="639"/>
      <c r="X501" s="639"/>
      <c r="Y501" s="639"/>
      <c r="Z501" s="639"/>
      <c r="AA501" s="639"/>
      <c r="AB501" s="639"/>
    </row>
    <row r="502" spans="1:28">
      <c r="A502" s="639"/>
      <c r="B502" s="639"/>
      <c r="C502" s="639"/>
      <c r="D502" s="639"/>
      <c r="E502" s="639"/>
      <c r="F502" s="639"/>
      <c r="G502" s="639"/>
      <c r="H502" s="639"/>
      <c r="I502" s="639"/>
      <c r="J502" s="639"/>
      <c r="K502" s="639"/>
      <c r="L502" s="639"/>
      <c r="M502" s="639"/>
      <c r="N502" s="639"/>
      <c r="O502" s="639"/>
      <c r="P502" s="639"/>
      <c r="Q502" s="639"/>
      <c r="R502" s="639"/>
      <c r="S502" s="639"/>
      <c r="T502" s="639"/>
      <c r="U502" s="639"/>
      <c r="V502" s="639"/>
      <c r="W502" s="639"/>
      <c r="X502" s="639"/>
      <c r="Y502" s="639"/>
      <c r="Z502" s="639"/>
      <c r="AA502" s="639"/>
      <c r="AB502" s="639"/>
    </row>
    <row r="503" spans="1:28">
      <c r="A503" s="639"/>
      <c r="B503" s="639"/>
      <c r="C503" s="639"/>
      <c r="D503" s="639"/>
      <c r="E503" s="639"/>
      <c r="F503" s="639"/>
      <c r="G503" s="639"/>
      <c r="H503" s="639"/>
      <c r="I503" s="639"/>
      <c r="J503" s="639"/>
      <c r="K503" s="639"/>
      <c r="L503" s="639"/>
      <c r="M503" s="639"/>
      <c r="N503" s="639"/>
      <c r="O503" s="639"/>
      <c r="P503" s="639"/>
      <c r="Q503" s="639"/>
      <c r="R503" s="639"/>
      <c r="S503" s="639"/>
      <c r="T503" s="639"/>
      <c r="U503" s="639"/>
      <c r="V503" s="639"/>
      <c r="W503" s="639"/>
      <c r="X503" s="639"/>
      <c r="Y503" s="639"/>
      <c r="Z503" s="639"/>
      <c r="AA503" s="639"/>
      <c r="AB503" s="639"/>
    </row>
    <row r="504" spans="1:28">
      <c r="A504" s="639"/>
      <c r="B504" s="639"/>
      <c r="C504" s="639"/>
      <c r="D504" s="639"/>
      <c r="E504" s="639"/>
      <c r="F504" s="639"/>
      <c r="G504" s="639"/>
      <c r="H504" s="639"/>
      <c r="I504" s="639"/>
      <c r="J504" s="639"/>
      <c r="K504" s="639"/>
      <c r="L504" s="639"/>
      <c r="M504" s="639"/>
      <c r="N504" s="639"/>
      <c r="O504" s="639"/>
      <c r="P504" s="639"/>
      <c r="Q504" s="639"/>
      <c r="R504" s="639"/>
      <c r="S504" s="639"/>
      <c r="T504" s="639"/>
      <c r="U504" s="639"/>
      <c r="V504" s="639"/>
      <c r="W504" s="639"/>
      <c r="X504" s="639"/>
      <c r="Y504" s="639"/>
      <c r="Z504" s="639"/>
      <c r="AA504" s="639"/>
      <c r="AB504" s="639"/>
    </row>
    <row r="505" spans="1:28">
      <c r="A505" s="639"/>
      <c r="B505" s="639"/>
      <c r="C505" s="639"/>
      <c r="D505" s="639"/>
      <c r="E505" s="639"/>
      <c r="F505" s="639"/>
      <c r="G505" s="639"/>
      <c r="H505" s="639"/>
      <c r="I505" s="639"/>
      <c r="J505" s="639"/>
      <c r="K505" s="639"/>
      <c r="L505" s="639"/>
      <c r="M505" s="639"/>
      <c r="N505" s="639"/>
      <c r="O505" s="639"/>
      <c r="P505" s="639"/>
      <c r="Q505" s="639"/>
      <c r="R505" s="639"/>
      <c r="S505" s="639"/>
      <c r="T505" s="639"/>
      <c r="U505" s="639"/>
      <c r="V505" s="639"/>
      <c r="W505" s="639"/>
      <c r="X505" s="639"/>
      <c r="Y505" s="639"/>
      <c r="Z505" s="639"/>
      <c r="AA505" s="639"/>
      <c r="AB505" s="639"/>
    </row>
    <row r="506" spans="1:28">
      <c r="A506" s="639"/>
      <c r="B506" s="639"/>
      <c r="C506" s="639"/>
      <c r="D506" s="639"/>
      <c r="E506" s="639"/>
      <c r="F506" s="639"/>
      <c r="G506" s="639"/>
      <c r="H506" s="639"/>
      <c r="I506" s="639"/>
      <c r="J506" s="639"/>
      <c r="K506" s="639"/>
      <c r="L506" s="639"/>
      <c r="M506" s="639"/>
      <c r="N506" s="639"/>
      <c r="O506" s="639"/>
      <c r="P506" s="639"/>
      <c r="Q506" s="639"/>
      <c r="R506" s="639"/>
      <c r="S506" s="639"/>
      <c r="T506" s="639"/>
      <c r="U506" s="639"/>
      <c r="V506" s="639"/>
      <c r="W506" s="639"/>
      <c r="X506" s="639"/>
      <c r="Y506" s="639"/>
      <c r="Z506" s="639"/>
      <c r="AA506" s="639"/>
      <c r="AB506" s="639"/>
    </row>
    <row r="507" spans="1:28">
      <c r="A507" s="639"/>
      <c r="B507" s="639"/>
      <c r="C507" s="639"/>
      <c r="D507" s="639"/>
      <c r="E507" s="639"/>
      <c r="F507" s="639"/>
      <c r="G507" s="639"/>
      <c r="H507" s="639"/>
      <c r="I507" s="639"/>
      <c r="J507" s="639"/>
      <c r="K507" s="639"/>
      <c r="L507" s="639"/>
      <c r="M507" s="639"/>
      <c r="N507" s="639"/>
      <c r="O507" s="639"/>
      <c r="P507" s="639"/>
      <c r="Q507" s="639"/>
      <c r="R507" s="639"/>
      <c r="S507" s="639"/>
      <c r="T507" s="639"/>
      <c r="U507" s="639"/>
      <c r="V507" s="639"/>
      <c r="W507" s="639"/>
      <c r="X507" s="639"/>
      <c r="Y507" s="639"/>
      <c r="Z507" s="639"/>
      <c r="AA507" s="639"/>
      <c r="AB507" s="639"/>
    </row>
    <row r="508" spans="1:28">
      <c r="A508" s="639"/>
      <c r="B508" s="639"/>
      <c r="C508" s="639"/>
      <c r="D508" s="639"/>
      <c r="E508" s="639"/>
      <c r="F508" s="639"/>
      <c r="G508" s="639"/>
      <c r="H508" s="639"/>
      <c r="I508" s="639"/>
      <c r="J508" s="639"/>
      <c r="K508" s="639"/>
      <c r="L508" s="639"/>
      <c r="M508" s="639"/>
      <c r="N508" s="639"/>
      <c r="O508" s="639"/>
      <c r="P508" s="639"/>
      <c r="Q508" s="639"/>
      <c r="R508" s="639"/>
      <c r="S508" s="639"/>
      <c r="T508" s="639"/>
      <c r="U508" s="639"/>
      <c r="V508" s="639"/>
      <c r="W508" s="639"/>
      <c r="X508" s="639"/>
      <c r="Y508" s="639"/>
      <c r="Z508" s="639"/>
      <c r="AA508" s="639"/>
      <c r="AB508" s="639"/>
    </row>
    <row r="509" spans="1:28">
      <c r="A509" s="639"/>
      <c r="B509" s="639"/>
      <c r="C509" s="639"/>
      <c r="D509" s="639"/>
      <c r="E509" s="639"/>
      <c r="F509" s="639"/>
      <c r="G509" s="639"/>
      <c r="H509" s="639"/>
      <c r="I509" s="639"/>
      <c r="J509" s="639"/>
      <c r="K509" s="639"/>
      <c r="L509" s="639"/>
      <c r="M509" s="639"/>
      <c r="N509" s="639"/>
      <c r="O509" s="639"/>
      <c r="P509" s="639"/>
      <c r="Q509" s="639"/>
      <c r="R509" s="639"/>
      <c r="S509" s="639"/>
      <c r="T509" s="639"/>
      <c r="U509" s="639"/>
      <c r="V509" s="639"/>
      <c r="W509" s="639"/>
      <c r="X509" s="639"/>
      <c r="Y509" s="639"/>
      <c r="Z509" s="639"/>
      <c r="AA509" s="639"/>
      <c r="AB509" s="639"/>
    </row>
    <row r="510" spans="1:28">
      <c r="A510" s="639"/>
      <c r="B510" s="639"/>
      <c r="C510" s="639"/>
      <c r="D510" s="639"/>
      <c r="E510" s="639"/>
      <c r="F510" s="639"/>
      <c r="G510" s="639"/>
      <c r="H510" s="639"/>
      <c r="I510" s="639"/>
      <c r="J510" s="639"/>
      <c r="K510" s="639"/>
      <c r="L510" s="639"/>
      <c r="M510" s="639"/>
      <c r="N510" s="639"/>
      <c r="O510" s="639"/>
      <c r="P510" s="639"/>
      <c r="Q510" s="639"/>
      <c r="R510" s="639"/>
      <c r="S510" s="639"/>
      <c r="T510" s="639"/>
      <c r="U510" s="639"/>
      <c r="V510" s="639"/>
      <c r="W510" s="639"/>
      <c r="X510" s="639"/>
      <c r="Y510" s="639"/>
      <c r="Z510" s="639"/>
      <c r="AA510" s="639"/>
      <c r="AB510" s="639"/>
    </row>
    <row r="511" spans="1:28">
      <c r="A511" s="639"/>
      <c r="B511" s="639"/>
      <c r="C511" s="639"/>
      <c r="D511" s="639"/>
      <c r="E511" s="639"/>
      <c r="F511" s="639"/>
      <c r="G511" s="639"/>
      <c r="H511" s="639"/>
      <c r="I511" s="639"/>
      <c r="J511" s="639"/>
      <c r="K511" s="639"/>
      <c r="L511" s="639"/>
      <c r="M511" s="639"/>
      <c r="N511" s="639"/>
      <c r="O511" s="639"/>
      <c r="P511" s="639"/>
      <c r="Q511" s="639"/>
      <c r="R511" s="639"/>
      <c r="S511" s="639"/>
      <c r="T511" s="639"/>
      <c r="U511" s="639"/>
      <c r="V511" s="639"/>
      <c r="W511" s="639"/>
      <c r="X511" s="639"/>
      <c r="Y511" s="639"/>
      <c r="Z511" s="639"/>
      <c r="AA511" s="639"/>
      <c r="AB511" s="639"/>
    </row>
    <row r="512" spans="1:28">
      <c r="A512" s="639"/>
      <c r="B512" s="639"/>
      <c r="C512" s="639"/>
      <c r="D512" s="639"/>
      <c r="E512" s="639"/>
      <c r="F512" s="639"/>
      <c r="G512" s="639"/>
      <c r="H512" s="639"/>
      <c r="I512" s="639"/>
      <c r="J512" s="639"/>
      <c r="K512" s="639"/>
      <c r="L512" s="639"/>
      <c r="M512" s="639"/>
      <c r="N512" s="639"/>
      <c r="O512" s="639"/>
      <c r="P512" s="639"/>
      <c r="Q512" s="639"/>
      <c r="R512" s="639"/>
      <c r="S512" s="639"/>
      <c r="T512" s="639"/>
      <c r="U512" s="639"/>
      <c r="V512" s="639"/>
      <c r="W512" s="639"/>
      <c r="X512" s="639"/>
      <c r="Y512" s="639"/>
      <c r="Z512" s="639"/>
      <c r="AA512" s="639"/>
      <c r="AB512" s="639"/>
    </row>
    <row r="513" spans="1:28">
      <c r="A513" s="639"/>
      <c r="B513" s="639"/>
      <c r="C513" s="639"/>
      <c r="D513" s="639"/>
      <c r="E513" s="639"/>
      <c r="F513" s="639"/>
      <c r="G513" s="639"/>
      <c r="H513" s="639"/>
      <c r="I513" s="639"/>
      <c r="J513" s="639"/>
      <c r="K513" s="639"/>
      <c r="L513" s="639"/>
      <c r="M513" s="639"/>
      <c r="N513" s="639"/>
      <c r="O513" s="639"/>
      <c r="P513" s="639"/>
      <c r="Q513" s="639"/>
      <c r="R513" s="639"/>
      <c r="S513" s="639"/>
      <c r="T513" s="639"/>
      <c r="U513" s="639"/>
      <c r="V513" s="639"/>
      <c r="W513" s="639"/>
      <c r="X513" s="639"/>
      <c r="Y513" s="639"/>
      <c r="Z513" s="639"/>
      <c r="AA513" s="639"/>
      <c r="AB513" s="639"/>
    </row>
    <row r="514" spans="1:28">
      <c r="A514" s="639"/>
      <c r="B514" s="639"/>
      <c r="C514" s="639"/>
      <c r="D514" s="639"/>
      <c r="E514" s="639"/>
      <c r="F514" s="639"/>
      <c r="G514" s="639"/>
      <c r="H514" s="639"/>
      <c r="I514" s="639"/>
      <c r="J514" s="639"/>
      <c r="K514" s="639"/>
      <c r="L514" s="639"/>
      <c r="M514" s="639"/>
      <c r="N514" s="639"/>
      <c r="O514" s="639"/>
      <c r="P514" s="639"/>
      <c r="Q514" s="639"/>
      <c r="R514" s="639"/>
      <c r="S514" s="639"/>
      <c r="T514" s="639"/>
      <c r="U514" s="639"/>
      <c r="V514" s="639"/>
      <c r="W514" s="639"/>
      <c r="X514" s="639"/>
      <c r="Y514" s="639"/>
      <c r="Z514" s="639"/>
      <c r="AA514" s="639"/>
      <c r="AB514" s="639"/>
    </row>
    <row r="515" spans="1:28">
      <c r="A515" s="639"/>
      <c r="B515" s="639"/>
      <c r="C515" s="639"/>
      <c r="D515" s="639"/>
      <c r="E515" s="639"/>
      <c r="F515" s="639"/>
      <c r="G515" s="639"/>
      <c r="H515" s="639"/>
      <c r="I515" s="639"/>
      <c r="J515" s="639"/>
      <c r="K515" s="639"/>
      <c r="L515" s="639"/>
      <c r="M515" s="639"/>
      <c r="N515" s="639"/>
      <c r="O515" s="639"/>
      <c r="P515" s="639"/>
      <c r="Q515" s="639"/>
      <c r="R515" s="639"/>
      <c r="S515" s="639"/>
      <c r="T515" s="639"/>
      <c r="U515" s="639"/>
      <c r="V515" s="639"/>
      <c r="W515" s="639"/>
      <c r="X515" s="639"/>
      <c r="Y515" s="639"/>
      <c r="Z515" s="639"/>
      <c r="AA515" s="639"/>
      <c r="AB515" s="639"/>
    </row>
    <row r="516" spans="1:28">
      <c r="A516" s="639"/>
      <c r="B516" s="639"/>
      <c r="C516" s="639"/>
      <c r="D516" s="639"/>
      <c r="E516" s="639"/>
      <c r="F516" s="639"/>
      <c r="G516" s="639"/>
      <c r="H516" s="639"/>
      <c r="I516" s="639"/>
      <c r="J516" s="639"/>
      <c r="K516" s="639"/>
      <c r="L516" s="639"/>
      <c r="M516" s="639"/>
      <c r="N516" s="639"/>
      <c r="O516" s="639"/>
      <c r="P516" s="639"/>
      <c r="Q516" s="639"/>
      <c r="R516" s="639"/>
      <c r="S516" s="639"/>
      <c r="T516" s="639"/>
      <c r="U516" s="639"/>
      <c r="V516" s="639"/>
      <c r="W516" s="639"/>
      <c r="X516" s="639"/>
      <c r="Y516" s="639"/>
      <c r="Z516" s="639"/>
      <c r="AA516" s="639"/>
      <c r="AB516" s="639"/>
    </row>
    <row r="517" spans="1:28">
      <c r="A517" s="639"/>
      <c r="B517" s="639"/>
      <c r="C517" s="639"/>
      <c r="D517" s="639"/>
      <c r="E517" s="639"/>
      <c r="F517" s="639"/>
      <c r="G517" s="639"/>
      <c r="H517" s="639"/>
      <c r="I517" s="639"/>
      <c r="J517" s="639"/>
      <c r="K517" s="639"/>
      <c r="L517" s="639"/>
      <c r="M517" s="639"/>
      <c r="N517" s="639"/>
      <c r="O517" s="639"/>
      <c r="P517" s="639"/>
      <c r="Q517" s="639"/>
      <c r="R517" s="639"/>
      <c r="S517" s="639"/>
      <c r="T517" s="639"/>
      <c r="U517" s="639"/>
      <c r="V517" s="639"/>
      <c r="W517" s="639"/>
      <c r="X517" s="639"/>
      <c r="Y517" s="639"/>
      <c r="Z517" s="639"/>
      <c r="AA517" s="639"/>
      <c r="AB517" s="639"/>
    </row>
    <row r="518" spans="1:28">
      <c r="A518" s="639"/>
      <c r="B518" s="639"/>
      <c r="C518" s="639"/>
      <c r="D518" s="639"/>
      <c r="E518" s="639"/>
      <c r="F518" s="639"/>
      <c r="G518" s="639"/>
      <c r="H518" s="639"/>
      <c r="I518" s="639"/>
      <c r="J518" s="639"/>
      <c r="K518" s="639"/>
      <c r="L518" s="639"/>
      <c r="M518" s="639"/>
      <c r="N518" s="639"/>
      <c r="O518" s="639"/>
      <c r="P518" s="639"/>
      <c r="Q518" s="639"/>
      <c r="R518" s="639"/>
      <c r="S518" s="639"/>
      <c r="T518" s="639"/>
      <c r="U518" s="639"/>
      <c r="V518" s="639"/>
      <c r="W518" s="639"/>
      <c r="X518" s="639"/>
      <c r="Y518" s="639"/>
      <c r="Z518" s="639"/>
      <c r="AA518" s="639"/>
      <c r="AB518" s="639"/>
    </row>
    <row r="519" spans="1:28">
      <c r="A519" s="639"/>
      <c r="B519" s="639"/>
      <c r="C519" s="639"/>
      <c r="D519" s="639"/>
      <c r="E519" s="639"/>
      <c r="F519" s="639"/>
      <c r="G519" s="639"/>
      <c r="H519" s="639"/>
      <c r="I519" s="639"/>
      <c r="J519" s="639"/>
      <c r="K519" s="639"/>
      <c r="L519" s="639"/>
      <c r="M519" s="639"/>
      <c r="N519" s="639"/>
      <c r="O519" s="639"/>
      <c r="P519" s="639"/>
      <c r="Q519" s="639"/>
      <c r="R519" s="639"/>
      <c r="S519" s="639"/>
      <c r="T519" s="639"/>
      <c r="U519" s="639"/>
      <c r="V519" s="639"/>
      <c r="W519" s="639"/>
      <c r="X519" s="639"/>
      <c r="Y519" s="639"/>
      <c r="Z519" s="639"/>
      <c r="AA519" s="639"/>
      <c r="AB519" s="639"/>
    </row>
    <row r="520" spans="1:28">
      <c r="A520" s="639"/>
      <c r="B520" s="639"/>
      <c r="C520" s="639"/>
      <c r="D520" s="639"/>
      <c r="E520" s="639"/>
      <c r="F520" s="639"/>
      <c r="G520" s="639"/>
      <c r="H520" s="639"/>
      <c r="I520" s="639"/>
      <c r="J520" s="639"/>
      <c r="K520" s="639"/>
      <c r="L520" s="639"/>
      <c r="M520" s="639"/>
      <c r="N520" s="639"/>
      <c r="O520" s="639"/>
      <c r="P520" s="639"/>
      <c r="Q520" s="639"/>
      <c r="R520" s="639"/>
      <c r="S520" s="639"/>
      <c r="T520" s="639"/>
      <c r="U520" s="639"/>
      <c r="V520" s="639"/>
      <c r="W520" s="639"/>
      <c r="X520" s="639"/>
      <c r="Y520" s="639"/>
      <c r="Z520" s="639"/>
      <c r="AA520" s="639"/>
      <c r="AB520" s="639"/>
    </row>
    <row r="521" spans="1:28">
      <c r="A521" s="639"/>
      <c r="B521" s="639"/>
      <c r="C521" s="639"/>
      <c r="D521" s="639"/>
      <c r="E521" s="639"/>
      <c r="F521" s="639"/>
      <c r="G521" s="639"/>
      <c r="H521" s="639"/>
      <c r="I521" s="639"/>
      <c r="J521" s="639"/>
      <c r="K521" s="639"/>
      <c r="L521" s="639"/>
      <c r="M521" s="639"/>
      <c r="N521" s="639"/>
      <c r="O521" s="639"/>
      <c r="P521" s="639"/>
      <c r="Q521" s="639"/>
      <c r="R521" s="639"/>
      <c r="S521" s="639"/>
      <c r="T521" s="639"/>
      <c r="U521" s="639"/>
      <c r="V521" s="639"/>
      <c r="W521" s="639"/>
      <c r="X521" s="639"/>
      <c r="Y521" s="639"/>
      <c r="Z521" s="639"/>
      <c r="AA521" s="639"/>
      <c r="AB521" s="639"/>
    </row>
    <row r="522" spans="1:28">
      <c r="A522" s="639"/>
      <c r="B522" s="639"/>
      <c r="C522" s="639"/>
      <c r="D522" s="639"/>
      <c r="E522" s="639"/>
      <c r="F522" s="639"/>
      <c r="G522" s="639"/>
      <c r="H522" s="639"/>
      <c r="I522" s="639"/>
      <c r="J522" s="639"/>
      <c r="K522" s="639"/>
      <c r="L522" s="639"/>
      <c r="M522" s="639"/>
      <c r="N522" s="639"/>
      <c r="O522" s="639"/>
      <c r="P522" s="639"/>
      <c r="Q522" s="639"/>
      <c r="R522" s="639"/>
      <c r="S522" s="639"/>
      <c r="T522" s="639"/>
      <c r="U522" s="639"/>
      <c r="V522" s="639"/>
      <c r="W522" s="639"/>
      <c r="X522" s="639"/>
      <c r="Y522" s="639"/>
      <c r="Z522" s="639"/>
      <c r="AA522" s="639"/>
      <c r="AB522" s="639"/>
    </row>
    <row r="523" spans="1:28">
      <c r="A523" s="639"/>
      <c r="B523" s="639"/>
      <c r="C523" s="639"/>
      <c r="D523" s="639"/>
      <c r="E523" s="639"/>
      <c r="F523" s="639"/>
      <c r="G523" s="639"/>
      <c r="H523" s="639"/>
      <c r="I523" s="639"/>
      <c r="J523" s="639"/>
      <c r="K523" s="639"/>
      <c r="L523" s="639"/>
      <c r="M523" s="639"/>
      <c r="N523" s="639"/>
      <c r="O523" s="639"/>
      <c r="P523" s="639"/>
      <c r="Q523" s="639"/>
      <c r="R523" s="639"/>
      <c r="S523" s="639"/>
      <c r="T523" s="639"/>
      <c r="U523" s="639"/>
      <c r="V523" s="639"/>
      <c r="W523" s="639"/>
      <c r="X523" s="639"/>
      <c r="Y523" s="639"/>
      <c r="Z523" s="639"/>
      <c r="AA523" s="639"/>
      <c r="AB523" s="639"/>
    </row>
    <row r="524" spans="1:28">
      <c r="A524" s="639"/>
      <c r="B524" s="639"/>
      <c r="C524" s="639"/>
      <c r="D524" s="639"/>
      <c r="E524" s="639"/>
      <c r="F524" s="639"/>
      <c r="G524" s="639"/>
      <c r="H524" s="639"/>
      <c r="I524" s="639"/>
      <c r="J524" s="639"/>
      <c r="K524" s="639"/>
      <c r="L524" s="639"/>
      <c r="M524" s="639"/>
      <c r="N524" s="639"/>
      <c r="O524" s="639"/>
      <c r="P524" s="639"/>
      <c r="Q524" s="639"/>
      <c r="R524" s="639"/>
      <c r="S524" s="639"/>
      <c r="T524" s="639"/>
      <c r="U524" s="639"/>
      <c r="V524" s="639"/>
      <c r="W524" s="639"/>
      <c r="X524" s="639"/>
      <c r="Y524" s="639"/>
      <c r="Z524" s="639"/>
      <c r="AA524" s="639"/>
      <c r="AB524" s="639"/>
    </row>
    <row r="525" spans="1:28">
      <c r="A525" s="639"/>
      <c r="B525" s="639"/>
      <c r="C525" s="639"/>
      <c r="D525" s="639"/>
      <c r="E525" s="639"/>
      <c r="F525" s="639"/>
      <c r="G525" s="639"/>
      <c r="H525" s="639"/>
      <c r="I525" s="639"/>
      <c r="J525" s="639"/>
      <c r="K525" s="639"/>
      <c r="L525" s="639"/>
      <c r="M525" s="639"/>
      <c r="N525" s="639"/>
      <c r="O525" s="639"/>
      <c r="P525" s="639"/>
      <c r="Q525" s="639"/>
      <c r="R525" s="639"/>
      <c r="S525" s="639"/>
      <c r="T525" s="639"/>
      <c r="U525" s="639"/>
      <c r="V525" s="639"/>
      <c r="W525" s="639"/>
      <c r="X525" s="639"/>
      <c r="Y525" s="639"/>
      <c r="Z525" s="639"/>
      <c r="AA525" s="639"/>
      <c r="AB525" s="639"/>
    </row>
    <row r="526" spans="1:28">
      <c r="A526" s="639"/>
      <c r="B526" s="639"/>
      <c r="C526" s="639"/>
      <c r="D526" s="639"/>
      <c r="E526" s="639"/>
      <c r="F526" s="639"/>
      <c r="G526" s="639"/>
      <c r="H526" s="639"/>
      <c r="I526" s="639"/>
      <c r="J526" s="639"/>
      <c r="K526" s="639"/>
      <c r="L526" s="639"/>
      <c r="M526" s="639"/>
      <c r="N526" s="639"/>
      <c r="O526" s="639"/>
      <c r="P526" s="639"/>
      <c r="Q526" s="639"/>
      <c r="R526" s="639"/>
      <c r="S526" s="639"/>
      <c r="T526" s="639"/>
      <c r="U526" s="639"/>
      <c r="V526" s="639"/>
      <c r="W526" s="639"/>
      <c r="X526" s="639"/>
      <c r="Y526" s="639"/>
      <c r="Z526" s="639"/>
      <c r="AA526" s="639"/>
      <c r="AB526" s="639"/>
    </row>
    <row r="527" spans="1:28">
      <c r="A527" s="639"/>
      <c r="B527" s="639"/>
      <c r="C527" s="639"/>
      <c r="D527" s="639"/>
      <c r="E527" s="639"/>
      <c r="F527" s="639"/>
      <c r="G527" s="639"/>
      <c r="H527" s="639"/>
      <c r="I527" s="639"/>
      <c r="J527" s="639"/>
      <c r="K527" s="639"/>
      <c r="L527" s="639"/>
      <c r="M527" s="639"/>
      <c r="N527" s="639"/>
      <c r="O527" s="639"/>
      <c r="P527" s="639"/>
      <c r="Q527" s="639"/>
      <c r="R527" s="639"/>
      <c r="S527" s="639"/>
      <c r="T527" s="639"/>
      <c r="U527" s="639"/>
      <c r="V527" s="639"/>
      <c r="W527" s="639"/>
      <c r="X527" s="639"/>
      <c r="Y527" s="639"/>
      <c r="Z527" s="639"/>
      <c r="AA527" s="639"/>
      <c r="AB527" s="639"/>
    </row>
    <row r="528" spans="1:28">
      <c r="A528" s="639"/>
      <c r="B528" s="639"/>
      <c r="C528" s="639"/>
      <c r="D528" s="639"/>
      <c r="E528" s="639"/>
      <c r="F528" s="639"/>
      <c r="G528" s="639"/>
      <c r="H528" s="639"/>
      <c r="I528" s="639"/>
      <c r="J528" s="639"/>
      <c r="K528" s="639"/>
      <c r="L528" s="639"/>
      <c r="M528" s="639"/>
      <c r="N528" s="639"/>
      <c r="O528" s="639"/>
      <c r="P528" s="639"/>
      <c r="Q528" s="639"/>
      <c r="R528" s="639"/>
      <c r="S528" s="639"/>
      <c r="T528" s="639"/>
      <c r="U528" s="639"/>
      <c r="V528" s="639"/>
      <c r="W528" s="639"/>
      <c r="X528" s="639"/>
      <c r="Y528" s="639"/>
      <c r="Z528" s="639"/>
      <c r="AA528" s="639"/>
      <c r="AB528" s="639"/>
    </row>
    <row r="529" spans="1:28">
      <c r="A529" s="639"/>
      <c r="B529" s="639"/>
      <c r="C529" s="639"/>
      <c r="D529" s="639"/>
      <c r="E529" s="639"/>
      <c r="F529" s="639"/>
      <c r="G529" s="639"/>
      <c r="H529" s="639"/>
      <c r="I529" s="639"/>
      <c r="J529" s="639"/>
      <c r="K529" s="639"/>
      <c r="L529" s="639"/>
      <c r="M529" s="639"/>
      <c r="N529" s="639"/>
      <c r="O529" s="639"/>
      <c r="P529" s="639"/>
      <c r="Q529" s="639"/>
      <c r="R529" s="639"/>
      <c r="S529" s="639"/>
      <c r="T529" s="639"/>
      <c r="U529" s="639"/>
      <c r="V529" s="639"/>
      <c r="W529" s="639"/>
      <c r="X529" s="639"/>
      <c r="Y529" s="639"/>
      <c r="Z529" s="639"/>
      <c r="AA529" s="639"/>
      <c r="AB529" s="639"/>
    </row>
    <row r="530" spans="1:28">
      <c r="A530" s="639"/>
      <c r="B530" s="639"/>
      <c r="C530" s="639"/>
      <c r="D530" s="639"/>
      <c r="E530" s="639"/>
      <c r="F530" s="639"/>
      <c r="G530" s="639"/>
      <c r="H530" s="639"/>
      <c r="I530" s="639"/>
      <c r="J530" s="639"/>
      <c r="K530" s="639"/>
      <c r="L530" s="639"/>
      <c r="M530" s="639"/>
      <c r="N530" s="639"/>
      <c r="O530" s="639"/>
      <c r="P530" s="639"/>
      <c r="Q530" s="639"/>
      <c r="R530" s="639"/>
      <c r="S530" s="639"/>
      <c r="T530" s="639"/>
      <c r="U530" s="639"/>
      <c r="V530" s="639"/>
      <c r="W530" s="639"/>
      <c r="X530" s="639"/>
      <c r="Y530" s="639"/>
      <c r="Z530" s="639"/>
      <c r="AA530" s="639"/>
      <c r="AB530" s="639"/>
    </row>
    <row r="531" spans="1:28">
      <c r="A531" s="639"/>
      <c r="B531" s="639"/>
      <c r="C531" s="639"/>
      <c r="D531" s="639"/>
      <c r="E531" s="639"/>
      <c r="F531" s="639"/>
      <c r="G531" s="639"/>
      <c r="H531" s="639"/>
      <c r="I531" s="639"/>
      <c r="J531" s="639"/>
      <c r="K531" s="639"/>
      <c r="L531" s="639"/>
      <c r="M531" s="639"/>
      <c r="N531" s="639"/>
      <c r="O531" s="639"/>
      <c r="P531" s="639"/>
      <c r="Q531" s="639"/>
      <c r="R531" s="639"/>
      <c r="S531" s="639"/>
      <c r="T531" s="639"/>
      <c r="U531" s="639"/>
      <c r="V531" s="639"/>
      <c r="W531" s="639"/>
      <c r="X531" s="639"/>
      <c r="Y531" s="639"/>
      <c r="Z531" s="639"/>
      <c r="AA531" s="639"/>
      <c r="AB531" s="639"/>
    </row>
    <row r="532" spans="1:28">
      <c r="A532" s="639"/>
      <c r="B532" s="639"/>
      <c r="C532" s="639"/>
      <c r="D532" s="639"/>
      <c r="E532" s="639"/>
      <c r="F532" s="639"/>
      <c r="G532" s="639"/>
      <c r="H532" s="639"/>
      <c r="I532" s="639"/>
      <c r="J532" s="639"/>
      <c r="K532" s="639"/>
      <c r="L532" s="639"/>
      <c r="M532" s="639"/>
      <c r="N532" s="639"/>
      <c r="O532" s="639"/>
      <c r="P532" s="639"/>
      <c r="Q532" s="639"/>
      <c r="R532" s="639"/>
      <c r="S532" s="639"/>
      <c r="T532" s="639"/>
      <c r="U532" s="639"/>
      <c r="V532" s="639"/>
      <c r="W532" s="639"/>
      <c r="X532" s="639"/>
      <c r="Y532" s="639"/>
      <c r="Z532" s="639"/>
      <c r="AA532" s="639"/>
      <c r="AB532" s="639"/>
    </row>
    <row r="533" spans="1:28">
      <c r="A533" s="639"/>
      <c r="B533" s="639"/>
      <c r="C533" s="639"/>
      <c r="D533" s="639"/>
      <c r="E533" s="639"/>
      <c r="F533" s="639"/>
      <c r="G533" s="639"/>
      <c r="H533" s="639"/>
      <c r="I533" s="639"/>
      <c r="J533" s="639"/>
      <c r="K533" s="639"/>
      <c r="L533" s="639"/>
      <c r="M533" s="639"/>
      <c r="N533" s="639"/>
      <c r="O533" s="639"/>
      <c r="P533" s="639"/>
      <c r="Q533" s="639"/>
      <c r="R533" s="639"/>
      <c r="S533" s="639"/>
      <c r="T533" s="639"/>
      <c r="U533" s="639"/>
      <c r="V533" s="639"/>
      <c r="W533" s="639"/>
      <c r="X533" s="639"/>
      <c r="Y533" s="639"/>
      <c r="Z533" s="639"/>
      <c r="AA533" s="639"/>
      <c r="AB533" s="639"/>
    </row>
    <row r="534" spans="1:28">
      <c r="A534" s="639"/>
      <c r="B534" s="639"/>
      <c r="C534" s="639"/>
      <c r="D534" s="639"/>
      <c r="E534" s="639"/>
      <c r="F534" s="639"/>
      <c r="G534" s="639"/>
      <c r="H534" s="639"/>
      <c r="I534" s="639"/>
      <c r="J534" s="639"/>
      <c r="K534" s="639"/>
      <c r="L534" s="639"/>
      <c r="M534" s="639"/>
      <c r="N534" s="639"/>
      <c r="O534" s="639"/>
      <c r="P534" s="639"/>
      <c r="Q534" s="639"/>
      <c r="R534" s="639"/>
      <c r="S534" s="639"/>
      <c r="T534" s="639"/>
      <c r="U534" s="639"/>
      <c r="V534" s="639"/>
      <c r="W534" s="639"/>
      <c r="X534" s="639"/>
      <c r="Y534" s="639"/>
      <c r="Z534" s="639"/>
      <c r="AA534" s="639"/>
      <c r="AB534" s="639"/>
    </row>
    <row r="535" spans="1:28">
      <c r="A535" s="639"/>
      <c r="B535" s="639"/>
      <c r="C535" s="639"/>
      <c r="D535" s="639"/>
      <c r="E535" s="639"/>
      <c r="F535" s="639"/>
      <c r="G535" s="639"/>
      <c r="H535" s="639"/>
      <c r="I535" s="639"/>
      <c r="J535" s="639"/>
      <c r="K535" s="639"/>
      <c r="L535" s="639"/>
      <c r="M535" s="639"/>
      <c r="N535" s="639"/>
      <c r="O535" s="639"/>
      <c r="P535" s="639"/>
      <c r="Q535" s="639"/>
      <c r="R535" s="639"/>
      <c r="S535" s="639"/>
      <c r="T535" s="639"/>
      <c r="U535" s="639"/>
      <c r="V535" s="639"/>
      <c r="W535" s="639"/>
      <c r="X535" s="639"/>
      <c r="Y535" s="639"/>
      <c r="Z535" s="639"/>
      <c r="AA535" s="639"/>
      <c r="AB535" s="639"/>
    </row>
    <row r="536" spans="1:28">
      <c r="A536" s="639"/>
      <c r="B536" s="639"/>
      <c r="C536" s="639"/>
      <c r="D536" s="639"/>
      <c r="E536" s="639"/>
      <c r="F536" s="639"/>
      <c r="G536" s="639"/>
      <c r="H536" s="639"/>
      <c r="I536" s="639"/>
      <c r="J536" s="639"/>
      <c r="K536" s="639"/>
      <c r="L536" s="639"/>
      <c r="M536" s="639"/>
      <c r="N536" s="639"/>
      <c r="O536" s="639"/>
      <c r="P536" s="639"/>
      <c r="Q536" s="639"/>
      <c r="R536" s="639"/>
      <c r="S536" s="639"/>
      <c r="T536" s="639"/>
      <c r="U536" s="639"/>
      <c r="V536" s="639"/>
      <c r="W536" s="639"/>
      <c r="X536" s="639"/>
      <c r="Y536" s="639"/>
      <c r="Z536" s="639"/>
      <c r="AA536" s="639"/>
      <c r="AB536" s="639"/>
    </row>
    <row r="537" spans="1:28">
      <c r="A537" s="639"/>
      <c r="B537" s="639"/>
      <c r="C537" s="639"/>
      <c r="D537" s="639"/>
      <c r="E537" s="639"/>
      <c r="F537" s="639"/>
      <c r="G537" s="639"/>
      <c r="H537" s="639"/>
      <c r="I537" s="639"/>
      <c r="J537" s="639"/>
      <c r="K537" s="639"/>
      <c r="L537" s="639"/>
      <c r="M537" s="639"/>
      <c r="N537" s="639"/>
      <c r="O537" s="639"/>
      <c r="P537" s="639"/>
      <c r="Q537" s="639"/>
      <c r="R537" s="639"/>
      <c r="S537" s="639"/>
      <c r="T537" s="639"/>
      <c r="U537" s="639"/>
      <c r="V537" s="639"/>
      <c r="W537" s="639"/>
      <c r="X537" s="639"/>
      <c r="Y537" s="639"/>
      <c r="Z537" s="639"/>
      <c r="AA537" s="639"/>
      <c r="AB537" s="639"/>
    </row>
    <row r="538" spans="1:28">
      <c r="A538" s="639"/>
      <c r="B538" s="639"/>
      <c r="C538" s="639"/>
      <c r="D538" s="639"/>
      <c r="E538" s="639"/>
      <c r="F538" s="639"/>
      <c r="G538" s="639"/>
      <c r="H538" s="639"/>
      <c r="I538" s="639"/>
      <c r="J538" s="639"/>
      <c r="K538" s="639"/>
      <c r="L538" s="639"/>
      <c r="M538" s="639"/>
      <c r="N538" s="639"/>
      <c r="O538" s="639"/>
      <c r="P538" s="639"/>
      <c r="Q538" s="639"/>
      <c r="R538" s="639"/>
      <c r="S538" s="639"/>
      <c r="T538" s="639"/>
      <c r="U538" s="639"/>
      <c r="V538" s="639"/>
      <c r="W538" s="639"/>
      <c r="X538" s="639"/>
      <c r="Y538" s="639"/>
      <c r="Z538" s="639"/>
      <c r="AA538" s="639"/>
      <c r="AB538" s="639"/>
    </row>
    <row r="539" spans="1:28">
      <c r="A539" s="639"/>
      <c r="B539" s="639"/>
      <c r="C539" s="639"/>
      <c r="D539" s="639"/>
      <c r="E539" s="639"/>
      <c r="F539" s="639"/>
      <c r="G539" s="639"/>
      <c r="H539" s="639"/>
      <c r="I539" s="639"/>
      <c r="J539" s="639"/>
      <c r="K539" s="639"/>
      <c r="L539" s="639"/>
      <c r="M539" s="639"/>
      <c r="N539" s="639"/>
      <c r="O539" s="639"/>
      <c r="P539" s="639"/>
      <c r="Q539" s="639"/>
      <c r="R539" s="639"/>
      <c r="S539" s="639"/>
      <c r="T539" s="639"/>
      <c r="U539" s="639"/>
      <c r="V539" s="639"/>
      <c r="W539" s="639"/>
      <c r="X539" s="639"/>
      <c r="Y539" s="639"/>
      <c r="Z539" s="639"/>
      <c r="AA539" s="639"/>
      <c r="AB539" s="639"/>
    </row>
    <row r="540" spans="1:28">
      <c r="A540" s="639"/>
      <c r="B540" s="639"/>
      <c r="C540" s="639"/>
      <c r="D540" s="639"/>
      <c r="E540" s="639"/>
      <c r="F540" s="639"/>
      <c r="G540" s="639"/>
      <c r="H540" s="639"/>
      <c r="I540" s="639"/>
      <c r="J540" s="639"/>
      <c r="K540" s="639"/>
      <c r="L540" s="639"/>
      <c r="M540" s="639"/>
      <c r="N540" s="639"/>
      <c r="O540" s="639"/>
      <c r="P540" s="639"/>
      <c r="Q540" s="639"/>
      <c r="R540" s="639"/>
      <c r="S540" s="639"/>
      <c r="T540" s="639"/>
      <c r="U540" s="639"/>
      <c r="V540" s="639"/>
      <c r="W540" s="639"/>
      <c r="X540" s="639"/>
      <c r="Y540" s="639"/>
      <c r="Z540" s="639"/>
      <c r="AA540" s="639"/>
      <c r="AB540" s="639"/>
    </row>
    <row r="541" spans="1:28">
      <c r="A541" s="639"/>
      <c r="B541" s="639"/>
      <c r="C541" s="639"/>
      <c r="D541" s="639"/>
      <c r="E541" s="639"/>
      <c r="F541" s="639"/>
      <c r="G541" s="639"/>
      <c r="H541" s="639"/>
      <c r="I541" s="639"/>
      <c r="J541" s="639"/>
      <c r="K541" s="639"/>
      <c r="L541" s="639"/>
      <c r="M541" s="639"/>
      <c r="N541" s="639"/>
      <c r="O541" s="639"/>
      <c r="P541" s="639"/>
      <c r="Q541" s="639"/>
      <c r="R541" s="639"/>
      <c r="S541" s="639"/>
      <c r="T541" s="639"/>
      <c r="U541" s="639"/>
      <c r="V541" s="639"/>
      <c r="W541" s="639"/>
      <c r="X541" s="639"/>
      <c r="Y541" s="639"/>
      <c r="Z541" s="639"/>
      <c r="AA541" s="639"/>
      <c r="AB541" s="639"/>
    </row>
    <row r="542" spans="1:28">
      <c r="A542" s="639"/>
      <c r="B542" s="639"/>
      <c r="C542" s="639"/>
      <c r="D542" s="639"/>
      <c r="E542" s="639"/>
      <c r="F542" s="639"/>
      <c r="G542" s="639"/>
      <c r="H542" s="639"/>
      <c r="I542" s="639"/>
      <c r="J542" s="639"/>
      <c r="K542" s="639"/>
      <c r="L542" s="639"/>
      <c r="M542" s="639"/>
      <c r="N542" s="639"/>
      <c r="O542" s="639"/>
      <c r="P542" s="639"/>
      <c r="Q542" s="639"/>
      <c r="R542" s="639"/>
      <c r="S542" s="639"/>
      <c r="T542" s="639"/>
      <c r="U542" s="639"/>
      <c r="V542" s="639"/>
      <c r="W542" s="639"/>
      <c r="X542" s="639"/>
      <c r="Y542" s="639"/>
      <c r="Z542" s="639"/>
      <c r="AA542" s="639"/>
      <c r="AB542" s="639"/>
    </row>
    <row r="543" spans="1:28">
      <c r="A543" s="639"/>
      <c r="B543" s="639"/>
      <c r="C543" s="639"/>
      <c r="D543" s="639"/>
      <c r="E543" s="639"/>
      <c r="F543" s="639"/>
      <c r="G543" s="639"/>
      <c r="H543" s="639"/>
      <c r="I543" s="639"/>
      <c r="J543" s="639"/>
      <c r="K543" s="639"/>
      <c r="L543" s="639"/>
      <c r="M543" s="639"/>
      <c r="N543" s="639"/>
      <c r="O543" s="639"/>
      <c r="P543" s="639"/>
      <c r="Q543" s="639"/>
      <c r="R543" s="639"/>
      <c r="S543" s="639"/>
      <c r="T543" s="639"/>
      <c r="U543" s="639"/>
      <c r="V543" s="639"/>
      <c r="W543" s="639"/>
      <c r="X543" s="639"/>
      <c r="Y543" s="639"/>
      <c r="Z543" s="639"/>
      <c r="AA543" s="639"/>
      <c r="AB543" s="639"/>
    </row>
    <row r="544" spans="1:28">
      <c r="A544" s="639"/>
      <c r="B544" s="639"/>
      <c r="C544" s="639"/>
      <c r="D544" s="639"/>
      <c r="E544" s="639"/>
      <c r="F544" s="639"/>
      <c r="G544" s="639"/>
      <c r="H544" s="639"/>
      <c r="I544" s="639"/>
      <c r="J544" s="639"/>
      <c r="K544" s="639"/>
      <c r="L544" s="639"/>
      <c r="M544" s="639"/>
      <c r="N544" s="639"/>
      <c r="O544" s="639"/>
      <c r="P544" s="639"/>
      <c r="Q544" s="639"/>
      <c r="R544" s="639"/>
      <c r="S544" s="639"/>
      <c r="T544" s="639"/>
      <c r="U544" s="639"/>
      <c r="V544" s="639"/>
      <c r="W544" s="639"/>
      <c r="X544" s="639"/>
      <c r="Y544" s="639"/>
      <c r="Z544" s="639"/>
      <c r="AA544" s="639"/>
      <c r="AB544" s="639"/>
    </row>
    <row r="545" spans="1:28">
      <c r="A545" s="639"/>
      <c r="B545" s="639"/>
      <c r="C545" s="639"/>
      <c r="D545" s="639"/>
      <c r="E545" s="639"/>
      <c r="F545" s="639"/>
      <c r="G545" s="639"/>
      <c r="H545" s="639"/>
      <c r="I545" s="639"/>
      <c r="J545" s="639"/>
      <c r="K545" s="639"/>
      <c r="L545" s="639"/>
      <c r="M545" s="639"/>
      <c r="N545" s="639"/>
      <c r="O545" s="639"/>
      <c r="P545" s="639"/>
      <c r="Q545" s="639"/>
      <c r="R545" s="639"/>
      <c r="S545" s="639"/>
      <c r="T545" s="639"/>
      <c r="U545" s="639"/>
      <c r="V545" s="639"/>
      <c r="W545" s="639"/>
      <c r="X545" s="639"/>
      <c r="Y545" s="639"/>
      <c r="Z545" s="639"/>
      <c r="AA545" s="639"/>
      <c r="AB545" s="639"/>
    </row>
    <row r="546" spans="1:28">
      <c r="A546" s="639"/>
      <c r="B546" s="639"/>
      <c r="C546" s="639"/>
      <c r="D546" s="639"/>
      <c r="E546" s="639"/>
      <c r="F546" s="639"/>
      <c r="G546" s="639"/>
      <c r="H546" s="639"/>
      <c r="I546" s="639"/>
      <c r="J546" s="639"/>
      <c r="K546" s="639"/>
      <c r="L546" s="639"/>
      <c r="M546" s="639"/>
      <c r="N546" s="639"/>
      <c r="O546" s="639"/>
      <c r="P546" s="639"/>
      <c r="Q546" s="639"/>
      <c r="R546" s="639"/>
      <c r="S546" s="639"/>
      <c r="T546" s="639"/>
      <c r="U546" s="639"/>
      <c r="V546" s="639"/>
      <c r="W546" s="639"/>
      <c r="X546" s="639"/>
      <c r="Y546" s="639"/>
      <c r="Z546" s="639"/>
      <c r="AA546" s="639"/>
      <c r="AB546" s="639"/>
    </row>
    <row r="547" spans="1:28">
      <c r="A547" s="639"/>
      <c r="B547" s="639"/>
      <c r="C547" s="639"/>
      <c r="D547" s="639"/>
      <c r="E547" s="639"/>
      <c r="F547" s="639"/>
      <c r="G547" s="639"/>
      <c r="H547" s="639"/>
      <c r="I547" s="639"/>
      <c r="J547" s="639"/>
      <c r="K547" s="639"/>
      <c r="L547" s="639"/>
      <c r="M547" s="639"/>
      <c r="N547" s="639"/>
      <c r="O547" s="639"/>
      <c r="P547" s="639"/>
      <c r="Q547" s="639"/>
      <c r="R547" s="639"/>
      <c r="S547" s="639"/>
      <c r="T547" s="639"/>
      <c r="U547" s="639"/>
      <c r="V547" s="639"/>
      <c r="W547" s="639"/>
      <c r="X547" s="639"/>
      <c r="Y547" s="639"/>
      <c r="Z547" s="639"/>
      <c r="AA547" s="639"/>
      <c r="AB547" s="639"/>
    </row>
    <row r="548" spans="1:28">
      <c r="A548" s="639"/>
      <c r="B548" s="639"/>
      <c r="C548" s="639"/>
      <c r="D548" s="639"/>
      <c r="E548" s="639"/>
      <c r="F548" s="639"/>
      <c r="G548" s="639"/>
      <c r="H548" s="639"/>
      <c r="I548" s="639"/>
      <c r="J548" s="639"/>
      <c r="K548" s="639"/>
      <c r="L548" s="639"/>
      <c r="M548" s="639"/>
      <c r="N548" s="639"/>
      <c r="O548" s="639"/>
      <c r="P548" s="639"/>
      <c r="Q548" s="639"/>
      <c r="R548" s="639"/>
      <c r="S548" s="639"/>
      <c r="T548" s="639"/>
      <c r="U548" s="639"/>
      <c r="V548" s="639"/>
      <c r="W548" s="639"/>
      <c r="X548" s="639"/>
      <c r="Y548" s="639"/>
      <c r="Z548" s="639"/>
      <c r="AA548" s="639"/>
      <c r="AB548" s="639"/>
    </row>
    <row r="549" spans="1:28">
      <c r="A549" s="639"/>
      <c r="B549" s="639"/>
      <c r="C549" s="639"/>
      <c r="D549" s="639"/>
      <c r="E549" s="639"/>
      <c r="F549" s="639"/>
      <c r="G549" s="639"/>
      <c r="H549" s="639"/>
      <c r="I549" s="639"/>
      <c r="J549" s="639"/>
      <c r="K549" s="639"/>
      <c r="L549" s="639"/>
      <c r="M549" s="639"/>
      <c r="N549" s="639"/>
      <c r="O549" s="639"/>
      <c r="P549" s="639"/>
      <c r="Q549" s="639"/>
      <c r="R549" s="639"/>
      <c r="S549" s="639"/>
      <c r="T549" s="639"/>
      <c r="U549" s="639"/>
      <c r="V549" s="639"/>
      <c r="W549" s="639"/>
      <c r="X549" s="639"/>
      <c r="Y549" s="639"/>
      <c r="Z549" s="639"/>
      <c r="AA549" s="639"/>
      <c r="AB549" s="639"/>
    </row>
    <row r="550" spans="1:28">
      <c r="A550" s="639"/>
      <c r="B550" s="639"/>
      <c r="C550" s="639"/>
      <c r="D550" s="639"/>
      <c r="E550" s="639"/>
      <c r="F550" s="639"/>
      <c r="G550" s="639"/>
      <c r="H550" s="639"/>
      <c r="I550" s="639"/>
      <c r="J550" s="639"/>
      <c r="K550" s="639"/>
      <c r="L550" s="639"/>
      <c r="M550" s="639"/>
      <c r="N550" s="639"/>
      <c r="O550" s="639"/>
      <c r="P550" s="639"/>
      <c r="Q550" s="639"/>
      <c r="R550" s="639"/>
      <c r="S550" s="639"/>
      <c r="T550" s="639"/>
      <c r="U550" s="639"/>
      <c r="V550" s="639"/>
      <c r="W550" s="639"/>
      <c r="X550" s="639"/>
      <c r="Y550" s="639"/>
      <c r="Z550" s="639"/>
      <c r="AA550" s="639"/>
      <c r="AB550" s="639"/>
    </row>
    <row r="551" spans="1:28">
      <c r="A551" s="639"/>
      <c r="B551" s="639"/>
      <c r="C551" s="639"/>
      <c r="D551" s="639"/>
      <c r="E551" s="639"/>
      <c r="F551" s="639"/>
      <c r="G551" s="639"/>
      <c r="H551" s="639"/>
      <c r="I551" s="639"/>
      <c r="J551" s="639"/>
      <c r="K551" s="639"/>
      <c r="L551" s="639"/>
      <c r="M551" s="639"/>
      <c r="N551" s="639"/>
      <c r="O551" s="639"/>
      <c r="P551" s="639"/>
      <c r="Q551" s="639"/>
      <c r="R551" s="639"/>
      <c r="S551" s="639"/>
      <c r="T551" s="639"/>
      <c r="U551" s="639"/>
      <c r="V551" s="639"/>
      <c r="W551" s="639"/>
      <c r="X551" s="639"/>
      <c r="Y551" s="639"/>
      <c r="Z551" s="639"/>
      <c r="AA551" s="639"/>
      <c r="AB551" s="639"/>
    </row>
    <row r="552" spans="1:28">
      <c r="A552" s="639"/>
      <c r="B552" s="639"/>
      <c r="C552" s="639"/>
      <c r="D552" s="639"/>
      <c r="E552" s="639"/>
      <c r="F552" s="639"/>
      <c r="G552" s="639"/>
      <c r="H552" s="639"/>
      <c r="I552" s="639"/>
      <c r="J552" s="639"/>
      <c r="K552" s="639"/>
      <c r="L552" s="639"/>
      <c r="M552" s="639"/>
      <c r="N552" s="639"/>
      <c r="O552" s="639"/>
      <c r="P552" s="639"/>
      <c r="Q552" s="639"/>
      <c r="R552" s="639"/>
      <c r="S552" s="639"/>
      <c r="T552" s="639"/>
      <c r="U552" s="639"/>
      <c r="V552" s="639"/>
      <c r="W552" s="639"/>
      <c r="X552" s="639"/>
      <c r="Y552" s="639"/>
      <c r="Z552" s="639"/>
      <c r="AA552" s="639"/>
      <c r="AB552" s="639"/>
    </row>
    <row r="553" spans="1:28">
      <c r="A553" s="639"/>
      <c r="B553" s="639"/>
      <c r="C553" s="639"/>
      <c r="D553" s="639"/>
      <c r="E553" s="639"/>
      <c r="F553" s="639"/>
      <c r="G553" s="639"/>
      <c r="H553" s="639"/>
      <c r="I553" s="639"/>
      <c r="J553" s="639"/>
      <c r="K553" s="639"/>
      <c r="L553" s="639"/>
      <c r="M553" s="639"/>
      <c r="N553" s="639"/>
      <c r="O553" s="639"/>
      <c r="P553" s="639"/>
      <c r="Q553" s="639"/>
      <c r="R553" s="639"/>
      <c r="S553" s="639"/>
      <c r="T553" s="639"/>
      <c r="U553" s="639"/>
      <c r="V553" s="639"/>
      <c r="W553" s="639"/>
      <c r="X553" s="639"/>
      <c r="Y553" s="639"/>
      <c r="Z553" s="639"/>
      <c r="AA553" s="639"/>
      <c r="AB553" s="639"/>
    </row>
    <row r="554" spans="1:28">
      <c r="A554" s="639"/>
      <c r="B554" s="639"/>
      <c r="C554" s="639"/>
      <c r="D554" s="639"/>
      <c r="E554" s="639"/>
      <c r="F554" s="639"/>
      <c r="G554" s="639"/>
      <c r="H554" s="639"/>
      <c r="I554" s="639"/>
      <c r="J554" s="639"/>
      <c r="K554" s="639"/>
      <c r="L554" s="639"/>
      <c r="M554" s="639"/>
      <c r="N554" s="639"/>
      <c r="O554" s="639"/>
      <c r="P554" s="639"/>
      <c r="Q554" s="639"/>
      <c r="R554" s="639"/>
      <c r="S554" s="639"/>
      <c r="T554" s="639"/>
      <c r="U554" s="639"/>
      <c r="V554" s="639"/>
      <c r="W554" s="639"/>
      <c r="X554" s="639"/>
      <c r="Y554" s="639"/>
      <c r="Z554" s="639"/>
      <c r="AA554" s="639"/>
      <c r="AB554" s="639"/>
    </row>
    <row r="555" spans="1:28">
      <c r="A555" s="639"/>
      <c r="B555" s="639"/>
      <c r="C555" s="639"/>
      <c r="D555" s="639"/>
      <c r="E555" s="639"/>
      <c r="F555" s="639"/>
      <c r="G555" s="639"/>
      <c r="H555" s="639"/>
      <c r="I555" s="639"/>
      <c r="J555" s="639"/>
      <c r="K555" s="639"/>
      <c r="L555" s="639"/>
      <c r="M555" s="639"/>
      <c r="N555" s="639"/>
      <c r="O555" s="639"/>
      <c r="P555" s="639"/>
      <c r="Q555" s="639"/>
      <c r="R555" s="639"/>
      <c r="S555" s="639"/>
      <c r="T555" s="639"/>
      <c r="U555" s="639"/>
      <c r="V555" s="639"/>
      <c r="W555" s="639"/>
      <c r="X555" s="639"/>
      <c r="Y555" s="639"/>
      <c r="Z555" s="639"/>
      <c r="AA555" s="639"/>
      <c r="AB555" s="639"/>
    </row>
    <row r="556" spans="1:28">
      <c r="A556" s="639"/>
      <c r="B556" s="639"/>
      <c r="C556" s="639"/>
      <c r="D556" s="639"/>
      <c r="E556" s="639"/>
      <c r="F556" s="639"/>
      <c r="G556" s="639"/>
      <c r="H556" s="639"/>
      <c r="I556" s="639"/>
      <c r="J556" s="639"/>
      <c r="K556" s="639"/>
      <c r="L556" s="639"/>
      <c r="M556" s="639"/>
      <c r="N556" s="639"/>
      <c r="O556" s="639"/>
      <c r="P556" s="639"/>
      <c r="Q556" s="639"/>
      <c r="R556" s="639"/>
      <c r="S556" s="639"/>
      <c r="T556" s="639"/>
      <c r="U556" s="639"/>
      <c r="V556" s="639"/>
      <c r="W556" s="639"/>
      <c r="X556" s="639"/>
      <c r="Y556" s="639"/>
      <c r="Z556" s="639"/>
      <c r="AA556" s="639"/>
      <c r="AB556" s="639"/>
    </row>
    <row r="557" spans="1:28">
      <c r="A557" s="639"/>
      <c r="B557" s="639"/>
      <c r="C557" s="639"/>
      <c r="D557" s="639"/>
      <c r="E557" s="639"/>
      <c r="F557" s="639"/>
      <c r="G557" s="639"/>
      <c r="H557" s="639"/>
      <c r="I557" s="639"/>
      <c r="J557" s="639"/>
      <c r="K557" s="639"/>
      <c r="L557" s="639"/>
      <c r="M557" s="639"/>
      <c r="N557" s="639"/>
      <c r="O557" s="639"/>
      <c r="P557" s="639"/>
      <c r="Q557" s="639"/>
      <c r="R557" s="639"/>
      <c r="S557" s="639"/>
      <c r="T557" s="639"/>
      <c r="U557" s="639"/>
      <c r="V557" s="639"/>
      <c r="W557" s="639"/>
      <c r="X557" s="639"/>
      <c r="Y557" s="639"/>
      <c r="Z557" s="639"/>
      <c r="AA557" s="639"/>
      <c r="AB557" s="639"/>
    </row>
    <row r="558" spans="1:28">
      <c r="A558" s="639"/>
      <c r="B558" s="639"/>
      <c r="C558" s="639"/>
      <c r="D558" s="639"/>
      <c r="E558" s="639"/>
      <c r="F558" s="639"/>
      <c r="G558" s="639"/>
      <c r="H558" s="639"/>
      <c r="I558" s="639"/>
      <c r="J558" s="639"/>
      <c r="K558" s="639"/>
      <c r="L558" s="639"/>
      <c r="M558" s="639"/>
      <c r="N558" s="639"/>
      <c r="O558" s="639"/>
      <c r="P558" s="639"/>
      <c r="Q558" s="639"/>
      <c r="R558" s="639"/>
      <c r="S558" s="639"/>
      <c r="T558" s="639"/>
      <c r="U558" s="639"/>
      <c r="V558" s="639"/>
      <c r="W558" s="639"/>
      <c r="X558" s="639"/>
      <c r="Y558" s="639"/>
      <c r="Z558" s="639"/>
      <c r="AA558" s="639"/>
      <c r="AB558" s="639"/>
    </row>
    <row r="559" spans="1:28">
      <c r="A559" s="639"/>
      <c r="B559" s="639"/>
      <c r="C559" s="639"/>
      <c r="D559" s="639"/>
      <c r="E559" s="639"/>
      <c r="F559" s="639"/>
      <c r="G559" s="639"/>
      <c r="H559" s="639"/>
      <c r="I559" s="639"/>
      <c r="J559" s="639"/>
      <c r="K559" s="639"/>
      <c r="L559" s="639"/>
      <c r="M559" s="639"/>
      <c r="N559" s="639"/>
      <c r="O559" s="639"/>
      <c r="P559" s="639"/>
      <c r="Q559" s="639"/>
      <c r="R559" s="639"/>
      <c r="S559" s="639"/>
      <c r="T559" s="639"/>
      <c r="U559" s="639"/>
      <c r="V559" s="639"/>
      <c r="W559" s="639"/>
      <c r="X559" s="639"/>
      <c r="Y559" s="639"/>
      <c r="Z559" s="639"/>
      <c r="AA559" s="639"/>
      <c r="AB559" s="639"/>
    </row>
    <row r="560" spans="1:28">
      <c r="A560" s="639"/>
      <c r="B560" s="639"/>
      <c r="C560" s="639"/>
      <c r="D560" s="639"/>
      <c r="E560" s="639"/>
      <c r="F560" s="639"/>
      <c r="G560" s="639"/>
      <c r="H560" s="639"/>
      <c r="I560" s="639"/>
      <c r="J560" s="639"/>
      <c r="K560" s="639"/>
      <c r="L560" s="639"/>
      <c r="M560" s="639"/>
      <c r="N560" s="639"/>
      <c r="O560" s="639"/>
      <c r="P560" s="639"/>
      <c r="Q560" s="639"/>
      <c r="R560" s="639"/>
      <c r="S560" s="639"/>
      <c r="T560" s="639"/>
      <c r="U560" s="639"/>
      <c r="V560" s="639"/>
      <c r="W560" s="639"/>
      <c r="X560" s="639"/>
      <c r="Y560" s="639"/>
      <c r="Z560" s="639"/>
      <c r="AA560" s="639"/>
      <c r="AB560" s="639"/>
    </row>
    <row r="561" spans="1:28">
      <c r="A561" s="639"/>
      <c r="B561" s="639"/>
      <c r="C561" s="639"/>
      <c r="D561" s="639"/>
      <c r="E561" s="639"/>
      <c r="F561" s="639"/>
      <c r="G561" s="639"/>
      <c r="H561" s="639"/>
      <c r="I561" s="639"/>
      <c r="J561" s="639"/>
      <c r="K561" s="639"/>
      <c r="L561" s="639"/>
      <c r="M561" s="639"/>
      <c r="N561" s="639"/>
      <c r="O561" s="639"/>
      <c r="P561" s="639"/>
      <c r="Q561" s="639"/>
      <c r="R561" s="639"/>
      <c r="S561" s="639"/>
      <c r="T561" s="639"/>
      <c r="U561" s="639"/>
      <c r="V561" s="639"/>
      <c r="W561" s="639"/>
      <c r="X561" s="639"/>
      <c r="Y561" s="639"/>
      <c r="Z561" s="639"/>
      <c r="AA561" s="639"/>
      <c r="AB561" s="639"/>
    </row>
    <row r="562" spans="1:28">
      <c r="A562" s="639"/>
      <c r="B562" s="639"/>
      <c r="C562" s="639"/>
      <c r="D562" s="639"/>
      <c r="E562" s="639"/>
      <c r="F562" s="639"/>
      <c r="G562" s="639"/>
      <c r="H562" s="639"/>
      <c r="I562" s="639"/>
      <c r="J562" s="639"/>
      <c r="K562" s="639"/>
      <c r="L562" s="639"/>
      <c r="M562" s="639"/>
      <c r="N562" s="639"/>
      <c r="O562" s="639"/>
      <c r="P562" s="639"/>
      <c r="Q562" s="639"/>
      <c r="R562" s="639"/>
      <c r="S562" s="639"/>
      <c r="T562" s="639"/>
      <c r="U562" s="639"/>
      <c r="V562" s="639"/>
      <c r="W562" s="639"/>
      <c r="X562" s="639"/>
      <c r="Y562" s="639"/>
      <c r="Z562" s="639"/>
      <c r="AA562" s="639"/>
      <c r="AB562" s="639"/>
    </row>
    <row r="563" spans="1:28">
      <c r="A563" s="639"/>
      <c r="B563" s="639"/>
      <c r="C563" s="639"/>
      <c r="D563" s="639"/>
      <c r="E563" s="639"/>
      <c r="F563" s="639"/>
      <c r="G563" s="639"/>
      <c r="H563" s="639"/>
      <c r="I563" s="639"/>
      <c r="J563" s="639"/>
      <c r="K563" s="639"/>
      <c r="L563" s="639"/>
      <c r="M563" s="639"/>
      <c r="N563" s="639"/>
      <c r="O563" s="639"/>
      <c r="P563" s="639"/>
      <c r="Q563" s="639"/>
      <c r="R563" s="639"/>
      <c r="S563" s="639"/>
      <c r="T563" s="639"/>
      <c r="U563" s="639"/>
      <c r="V563" s="639"/>
      <c r="W563" s="639"/>
      <c r="X563" s="639"/>
      <c r="Y563" s="639"/>
      <c r="Z563" s="639"/>
      <c r="AA563" s="639"/>
      <c r="AB563" s="639"/>
    </row>
    <row r="564" spans="1:28">
      <c r="A564" s="639"/>
      <c r="B564" s="639"/>
      <c r="C564" s="639"/>
      <c r="D564" s="639"/>
      <c r="E564" s="639"/>
      <c r="F564" s="639"/>
      <c r="G564" s="639"/>
      <c r="H564" s="639"/>
      <c r="I564" s="639"/>
      <c r="J564" s="639"/>
      <c r="K564" s="639"/>
      <c r="L564" s="639"/>
      <c r="M564" s="639"/>
      <c r="N564" s="639"/>
      <c r="O564" s="639"/>
      <c r="P564" s="639"/>
      <c r="Q564" s="639"/>
      <c r="R564" s="639"/>
      <c r="S564" s="639"/>
      <c r="T564" s="639"/>
      <c r="U564" s="639"/>
      <c r="V564" s="639"/>
      <c r="W564" s="639"/>
      <c r="X564" s="639"/>
      <c r="Y564" s="639"/>
      <c r="Z564" s="639"/>
      <c r="AA564" s="639"/>
      <c r="AB564" s="639"/>
    </row>
    <row r="565" spans="1:28">
      <c r="A565" s="639"/>
      <c r="B565" s="639"/>
      <c r="C565" s="639"/>
      <c r="D565" s="639"/>
      <c r="E565" s="639"/>
      <c r="F565" s="639"/>
      <c r="G565" s="639"/>
      <c r="H565" s="639"/>
      <c r="I565" s="639"/>
      <c r="J565" s="639"/>
      <c r="K565" s="639"/>
      <c r="L565" s="639"/>
      <c r="M565" s="639"/>
      <c r="N565" s="639"/>
      <c r="O565" s="639"/>
      <c r="P565" s="639"/>
      <c r="Q565" s="639"/>
      <c r="R565" s="639"/>
      <c r="S565" s="639"/>
      <c r="T565" s="639"/>
      <c r="U565" s="639"/>
      <c r="V565" s="639"/>
      <c r="W565" s="639"/>
      <c r="X565" s="639"/>
      <c r="Y565" s="639"/>
      <c r="Z565" s="639"/>
      <c r="AA565" s="639"/>
      <c r="AB565" s="639"/>
    </row>
    <row r="566" spans="1:28">
      <c r="A566" s="639"/>
      <c r="B566" s="639"/>
      <c r="C566" s="639"/>
      <c r="D566" s="639"/>
      <c r="E566" s="639"/>
      <c r="F566" s="639"/>
      <c r="G566" s="639"/>
      <c r="H566" s="639"/>
      <c r="I566" s="639"/>
      <c r="J566" s="639"/>
      <c r="K566" s="639"/>
      <c r="L566" s="639"/>
      <c r="M566" s="639"/>
      <c r="N566" s="639"/>
      <c r="O566" s="639"/>
      <c r="P566" s="639"/>
      <c r="Q566" s="639"/>
      <c r="R566" s="639"/>
      <c r="S566" s="639"/>
      <c r="T566" s="639"/>
      <c r="U566" s="639"/>
      <c r="V566" s="639"/>
      <c r="W566" s="639"/>
      <c r="X566" s="639"/>
      <c r="Y566" s="639"/>
      <c r="Z566" s="639"/>
      <c r="AA566" s="639"/>
      <c r="AB566" s="639"/>
    </row>
    <row r="567" spans="1:28">
      <c r="A567" s="639"/>
      <c r="B567" s="639"/>
      <c r="C567" s="639"/>
      <c r="D567" s="639"/>
      <c r="E567" s="639"/>
      <c r="F567" s="639"/>
      <c r="G567" s="639"/>
      <c r="H567" s="639"/>
      <c r="I567" s="639"/>
      <c r="J567" s="639"/>
      <c r="K567" s="639"/>
      <c r="L567" s="639"/>
      <c r="M567" s="639"/>
      <c r="N567" s="639"/>
      <c r="O567" s="639"/>
      <c r="P567" s="639"/>
      <c r="Q567" s="639"/>
      <c r="R567" s="639"/>
      <c r="S567" s="639"/>
      <c r="T567" s="639"/>
      <c r="U567" s="639"/>
      <c r="V567" s="639"/>
      <c r="W567" s="639"/>
      <c r="X567" s="639"/>
      <c r="Y567" s="639"/>
      <c r="Z567" s="639"/>
      <c r="AA567" s="639"/>
      <c r="AB567" s="639"/>
    </row>
    <row r="568" spans="1:28">
      <c r="A568" s="639"/>
      <c r="B568" s="639"/>
      <c r="C568" s="639"/>
      <c r="D568" s="639"/>
      <c r="E568" s="639"/>
      <c r="F568" s="639"/>
      <c r="G568" s="639"/>
      <c r="H568" s="639"/>
      <c r="I568" s="639"/>
      <c r="J568" s="639"/>
      <c r="K568" s="639"/>
      <c r="L568" s="639"/>
      <c r="M568" s="639"/>
      <c r="N568" s="639"/>
      <c r="O568" s="639"/>
      <c r="P568" s="639"/>
      <c r="Q568" s="639"/>
      <c r="R568" s="639"/>
      <c r="S568" s="639"/>
      <c r="T568" s="639"/>
      <c r="U568" s="639"/>
      <c r="V568" s="639"/>
      <c r="W568" s="639"/>
      <c r="X568" s="639"/>
      <c r="Y568" s="639"/>
      <c r="Z568" s="639"/>
      <c r="AA568" s="639"/>
      <c r="AB568" s="639"/>
    </row>
    <row r="569" spans="1:28">
      <c r="A569" s="639"/>
      <c r="B569" s="639"/>
      <c r="C569" s="639"/>
      <c r="D569" s="639"/>
      <c r="E569" s="639"/>
      <c r="F569" s="639"/>
      <c r="G569" s="639"/>
      <c r="H569" s="639"/>
      <c r="I569" s="639"/>
      <c r="J569" s="639"/>
      <c r="K569" s="639"/>
      <c r="L569" s="639"/>
      <c r="M569" s="639"/>
      <c r="N569" s="639"/>
      <c r="O569" s="639"/>
      <c r="P569" s="639"/>
      <c r="Q569" s="639"/>
      <c r="R569" s="639"/>
      <c r="S569" s="639"/>
      <c r="T569" s="639"/>
      <c r="U569" s="639"/>
      <c r="V569" s="639"/>
      <c r="W569" s="639"/>
      <c r="X569" s="639"/>
      <c r="Y569" s="639"/>
      <c r="Z569" s="639"/>
      <c r="AA569" s="639"/>
      <c r="AB569" s="639"/>
    </row>
    <row r="570" spans="1:28">
      <c r="A570" s="639"/>
      <c r="B570" s="639"/>
      <c r="C570" s="639"/>
      <c r="D570" s="639"/>
      <c r="E570" s="639"/>
      <c r="F570" s="639"/>
      <c r="G570" s="639"/>
      <c r="H570" s="639"/>
      <c r="I570" s="639"/>
      <c r="J570" s="639"/>
      <c r="K570" s="639"/>
      <c r="L570" s="639"/>
      <c r="M570" s="639"/>
      <c r="N570" s="639"/>
      <c r="O570" s="639"/>
      <c r="P570" s="639"/>
      <c r="Q570" s="639"/>
      <c r="R570" s="639"/>
      <c r="S570" s="639"/>
      <c r="T570" s="639"/>
      <c r="U570" s="639"/>
      <c r="V570" s="639"/>
      <c r="W570" s="639"/>
      <c r="X570" s="639"/>
      <c r="Y570" s="639"/>
      <c r="Z570" s="639"/>
      <c r="AA570" s="639"/>
      <c r="AB570" s="639"/>
    </row>
    <row r="571" spans="1:28">
      <c r="A571" s="639"/>
      <c r="B571" s="639"/>
      <c r="C571" s="639"/>
      <c r="D571" s="639"/>
      <c r="E571" s="639"/>
      <c r="F571" s="639"/>
      <c r="G571" s="639"/>
      <c r="H571" s="639"/>
      <c r="I571" s="639"/>
      <c r="J571" s="639"/>
      <c r="K571" s="639"/>
      <c r="L571" s="639"/>
      <c r="M571" s="639"/>
      <c r="N571" s="639"/>
      <c r="O571" s="639"/>
      <c r="P571" s="639"/>
      <c r="Q571" s="639"/>
      <c r="R571" s="639"/>
      <c r="S571" s="639"/>
      <c r="T571" s="639"/>
      <c r="U571" s="639"/>
      <c r="V571" s="639"/>
      <c r="W571" s="639"/>
      <c r="X571" s="639"/>
      <c r="Y571" s="639"/>
      <c r="Z571" s="639"/>
      <c r="AA571" s="639"/>
      <c r="AB571" s="639"/>
    </row>
    <row r="572" spans="1:28">
      <c r="A572" s="639"/>
      <c r="B572" s="639"/>
      <c r="C572" s="639"/>
      <c r="D572" s="639"/>
      <c r="E572" s="639"/>
      <c r="F572" s="639"/>
      <c r="G572" s="639"/>
      <c r="H572" s="639"/>
      <c r="I572" s="639"/>
      <c r="J572" s="639"/>
      <c r="K572" s="639"/>
      <c r="L572" s="639"/>
      <c r="M572" s="639"/>
      <c r="N572" s="639"/>
      <c r="O572" s="639"/>
      <c r="P572" s="639"/>
      <c r="Q572" s="639"/>
      <c r="R572" s="639"/>
      <c r="S572" s="639"/>
      <c r="T572" s="639"/>
      <c r="U572" s="639"/>
      <c r="V572" s="639"/>
      <c r="W572" s="639"/>
      <c r="X572" s="639"/>
      <c r="Y572" s="639"/>
      <c r="Z572" s="639"/>
      <c r="AA572" s="639"/>
      <c r="AB572" s="639"/>
    </row>
    <row r="573" spans="1:28">
      <c r="A573" s="639"/>
      <c r="B573" s="639"/>
      <c r="C573" s="639"/>
      <c r="D573" s="639"/>
      <c r="E573" s="639"/>
      <c r="F573" s="639"/>
      <c r="G573" s="639"/>
      <c r="H573" s="639"/>
      <c r="I573" s="639"/>
      <c r="J573" s="639"/>
      <c r="K573" s="639"/>
      <c r="L573" s="639"/>
      <c r="M573" s="639"/>
      <c r="N573" s="639"/>
      <c r="O573" s="639"/>
      <c r="P573" s="639"/>
      <c r="Q573" s="639"/>
      <c r="R573" s="639"/>
      <c r="S573" s="639"/>
      <c r="T573" s="639"/>
      <c r="U573" s="639"/>
      <c r="V573" s="639"/>
      <c r="W573" s="639"/>
      <c r="X573" s="639"/>
      <c r="Y573" s="639"/>
      <c r="Z573" s="639"/>
      <c r="AA573" s="639"/>
      <c r="AB573" s="639"/>
    </row>
    <row r="574" spans="1:28">
      <c r="A574" s="639"/>
      <c r="B574" s="639"/>
      <c r="C574" s="639"/>
      <c r="D574" s="639"/>
      <c r="E574" s="639"/>
      <c r="F574" s="639"/>
      <c r="G574" s="639"/>
      <c r="H574" s="639"/>
      <c r="I574" s="639"/>
      <c r="J574" s="639"/>
      <c r="K574" s="639"/>
      <c r="L574" s="639"/>
      <c r="M574" s="639"/>
      <c r="N574" s="639"/>
      <c r="O574" s="639"/>
      <c r="P574" s="639"/>
      <c r="Q574" s="639"/>
      <c r="R574" s="639"/>
      <c r="S574" s="639"/>
      <c r="T574" s="639"/>
      <c r="U574" s="639"/>
      <c r="V574" s="639"/>
      <c r="W574" s="639"/>
      <c r="X574" s="639"/>
      <c r="Y574" s="639"/>
      <c r="Z574" s="639"/>
      <c r="AA574" s="639"/>
      <c r="AB574" s="639"/>
    </row>
    <row r="575" spans="1:28">
      <c r="A575" s="639"/>
      <c r="B575" s="639"/>
      <c r="C575" s="639"/>
      <c r="D575" s="639"/>
      <c r="E575" s="639"/>
      <c r="F575" s="639"/>
      <c r="G575" s="639"/>
      <c r="H575" s="639"/>
      <c r="I575" s="639"/>
      <c r="J575" s="639"/>
      <c r="K575" s="639"/>
      <c r="L575" s="639"/>
      <c r="M575" s="639"/>
      <c r="N575" s="639"/>
      <c r="O575" s="639"/>
      <c r="P575" s="639"/>
      <c r="Q575" s="639"/>
      <c r="R575" s="639"/>
      <c r="S575" s="639"/>
      <c r="T575" s="639"/>
      <c r="U575" s="639"/>
      <c r="V575" s="639"/>
      <c r="W575" s="639"/>
      <c r="X575" s="639"/>
      <c r="Y575" s="639"/>
      <c r="Z575" s="639"/>
      <c r="AA575" s="639"/>
      <c r="AB575" s="639"/>
    </row>
    <row r="576" spans="1:28">
      <c r="A576" s="639"/>
      <c r="B576" s="639"/>
      <c r="C576" s="639"/>
      <c r="D576" s="639"/>
      <c r="E576" s="639"/>
      <c r="F576" s="639"/>
      <c r="G576" s="639"/>
      <c r="H576" s="639"/>
      <c r="I576" s="639"/>
      <c r="J576" s="639"/>
      <c r="K576" s="639"/>
      <c r="L576" s="639"/>
      <c r="M576" s="639"/>
      <c r="N576" s="639"/>
      <c r="O576" s="639"/>
      <c r="P576" s="639"/>
      <c r="Q576" s="639"/>
      <c r="R576" s="639"/>
      <c r="S576" s="639"/>
      <c r="T576" s="639"/>
      <c r="U576" s="639"/>
      <c r="V576" s="639"/>
      <c r="W576" s="639"/>
      <c r="X576" s="639"/>
      <c r="Y576" s="639"/>
      <c r="Z576" s="639"/>
      <c r="AA576" s="639"/>
      <c r="AB576" s="639"/>
    </row>
    <row r="577" spans="1:28">
      <c r="A577" s="639"/>
      <c r="B577" s="639"/>
      <c r="C577" s="639"/>
      <c r="D577" s="639"/>
      <c r="E577" s="639"/>
      <c r="F577" s="639"/>
      <c r="G577" s="639"/>
      <c r="H577" s="639"/>
      <c r="I577" s="639"/>
      <c r="J577" s="639"/>
      <c r="K577" s="639"/>
      <c r="L577" s="639"/>
      <c r="M577" s="639"/>
      <c r="N577" s="639"/>
      <c r="O577" s="639"/>
      <c r="P577" s="639"/>
      <c r="Q577" s="639"/>
      <c r="R577" s="639"/>
      <c r="S577" s="639"/>
      <c r="T577" s="639"/>
      <c r="U577" s="639"/>
      <c r="V577" s="639"/>
      <c r="W577" s="639"/>
      <c r="X577" s="639"/>
      <c r="Y577" s="639"/>
      <c r="Z577" s="639"/>
      <c r="AA577" s="639"/>
      <c r="AB577" s="639"/>
    </row>
    <row r="578" spans="1:28">
      <c r="A578" s="639"/>
      <c r="B578" s="639"/>
      <c r="C578" s="639"/>
      <c r="D578" s="639"/>
      <c r="E578" s="639"/>
      <c r="F578" s="639"/>
      <c r="G578" s="639"/>
      <c r="H578" s="639"/>
      <c r="I578" s="639"/>
      <c r="J578" s="639"/>
      <c r="K578" s="639"/>
      <c r="L578" s="639"/>
      <c r="M578" s="639"/>
      <c r="N578" s="639"/>
      <c r="O578" s="639"/>
      <c r="P578" s="639"/>
      <c r="Q578" s="639"/>
      <c r="R578" s="639"/>
      <c r="S578" s="639"/>
      <c r="T578" s="639"/>
      <c r="U578" s="639"/>
      <c r="V578" s="639"/>
      <c r="W578" s="639"/>
      <c r="X578" s="639"/>
      <c r="Y578" s="639"/>
      <c r="Z578" s="639"/>
      <c r="AA578" s="639"/>
      <c r="AB578" s="639"/>
    </row>
    <row r="579" spans="1:28">
      <c r="A579" s="639"/>
      <c r="B579" s="639"/>
      <c r="C579" s="639"/>
      <c r="D579" s="639"/>
      <c r="E579" s="639"/>
      <c r="F579" s="639"/>
      <c r="G579" s="639"/>
      <c r="H579" s="639"/>
      <c r="I579" s="639"/>
      <c r="J579" s="639"/>
      <c r="K579" s="639"/>
      <c r="L579" s="639"/>
      <c r="M579" s="639"/>
      <c r="N579" s="639"/>
      <c r="O579" s="639"/>
      <c r="P579" s="639"/>
      <c r="Q579" s="639"/>
      <c r="R579" s="639"/>
      <c r="S579" s="639"/>
      <c r="T579" s="639"/>
      <c r="U579" s="639"/>
      <c r="V579" s="639"/>
      <c r="W579" s="639"/>
      <c r="X579" s="639"/>
      <c r="Y579" s="639"/>
      <c r="Z579" s="639"/>
      <c r="AA579" s="639"/>
      <c r="AB579" s="639"/>
    </row>
    <row r="580" spans="1:28">
      <c r="A580" s="639"/>
      <c r="B580" s="639"/>
      <c r="C580" s="639"/>
      <c r="D580" s="639"/>
      <c r="E580" s="639"/>
      <c r="F580" s="639"/>
      <c r="G580" s="639"/>
      <c r="H580" s="639"/>
      <c r="I580" s="639"/>
      <c r="J580" s="639"/>
      <c r="K580" s="639"/>
      <c r="L580" s="639"/>
      <c r="M580" s="639"/>
      <c r="N580" s="639"/>
      <c r="O580" s="639"/>
      <c r="P580" s="639"/>
      <c r="Q580" s="639"/>
      <c r="R580" s="639"/>
      <c r="S580" s="639"/>
      <c r="T580" s="639"/>
      <c r="U580" s="639"/>
      <c r="V580" s="639"/>
      <c r="W580" s="639"/>
      <c r="X580" s="639"/>
      <c r="Y580" s="639"/>
      <c r="Z580" s="639"/>
      <c r="AA580" s="639"/>
      <c r="AB580" s="639"/>
    </row>
    <row r="581" spans="1:28">
      <c r="A581" s="639"/>
      <c r="B581" s="639"/>
      <c r="C581" s="639"/>
      <c r="D581" s="639"/>
      <c r="E581" s="639"/>
      <c r="F581" s="639"/>
      <c r="G581" s="639"/>
      <c r="H581" s="639"/>
      <c r="I581" s="639"/>
      <c r="J581" s="639"/>
      <c r="K581" s="639"/>
      <c r="L581" s="639"/>
      <c r="M581" s="639"/>
      <c r="N581" s="639"/>
      <c r="O581" s="639"/>
      <c r="P581" s="639"/>
      <c r="Q581" s="639"/>
      <c r="R581" s="639"/>
      <c r="S581" s="639"/>
      <c r="T581" s="639"/>
      <c r="U581" s="639"/>
      <c r="V581" s="639"/>
      <c r="W581" s="639"/>
      <c r="X581" s="639"/>
      <c r="Y581" s="639"/>
      <c r="Z581" s="639"/>
      <c r="AA581" s="639"/>
      <c r="AB581" s="639"/>
    </row>
    <row r="582" spans="1:28">
      <c r="A582" s="639"/>
      <c r="B582" s="639"/>
      <c r="C582" s="639"/>
      <c r="D582" s="639"/>
      <c r="E582" s="639"/>
      <c r="F582" s="639"/>
      <c r="G582" s="639"/>
      <c r="H582" s="639"/>
      <c r="I582" s="639"/>
      <c r="J582" s="639"/>
      <c r="K582" s="639"/>
      <c r="L582" s="639"/>
      <c r="M582" s="639"/>
      <c r="N582" s="639"/>
      <c r="O582" s="639"/>
      <c r="P582" s="639"/>
      <c r="Q582" s="639"/>
      <c r="R582" s="639"/>
      <c r="S582" s="639"/>
      <c r="T582" s="639"/>
      <c r="U582" s="639"/>
      <c r="V582" s="639"/>
      <c r="W582" s="639"/>
      <c r="X582" s="639"/>
      <c r="Y582" s="639"/>
      <c r="Z582" s="639"/>
      <c r="AA582" s="639"/>
      <c r="AB582" s="639"/>
    </row>
    <row r="583" spans="1:28">
      <c r="A583" s="639"/>
      <c r="B583" s="639"/>
      <c r="C583" s="639"/>
      <c r="D583" s="639"/>
      <c r="E583" s="639"/>
      <c r="F583" s="639"/>
      <c r="G583" s="639"/>
      <c r="H583" s="639"/>
      <c r="I583" s="639"/>
      <c r="J583" s="639"/>
      <c r="K583" s="639"/>
      <c r="L583" s="639"/>
      <c r="M583" s="639"/>
      <c r="N583" s="639"/>
      <c r="O583" s="639"/>
      <c r="P583" s="639"/>
      <c r="Q583" s="639"/>
      <c r="R583" s="639"/>
      <c r="S583" s="639"/>
      <c r="T583" s="639"/>
      <c r="U583" s="639"/>
      <c r="V583" s="639"/>
      <c r="W583" s="639"/>
      <c r="X583" s="639"/>
      <c r="Y583" s="639"/>
      <c r="Z583" s="639"/>
      <c r="AA583" s="639"/>
      <c r="AB583" s="639"/>
    </row>
    <row r="584" spans="1:28">
      <c r="A584" s="639"/>
      <c r="B584" s="639"/>
      <c r="C584" s="639"/>
      <c r="D584" s="639"/>
      <c r="E584" s="639"/>
      <c r="F584" s="639"/>
      <c r="G584" s="639"/>
      <c r="H584" s="639"/>
      <c r="I584" s="639"/>
      <c r="J584" s="639"/>
      <c r="K584" s="639"/>
      <c r="L584" s="639"/>
      <c r="M584" s="639"/>
      <c r="N584" s="639"/>
      <c r="O584" s="639"/>
      <c r="P584" s="639"/>
      <c r="Q584" s="639"/>
      <c r="R584" s="639"/>
      <c r="S584" s="639"/>
      <c r="T584" s="639"/>
      <c r="U584" s="639"/>
      <c r="V584" s="639"/>
      <c r="W584" s="639"/>
      <c r="X584" s="639"/>
      <c r="Y584" s="639"/>
      <c r="Z584" s="639"/>
      <c r="AA584" s="639"/>
      <c r="AB584" s="639"/>
    </row>
    <row r="585" spans="1:28">
      <c r="A585" s="639"/>
      <c r="B585" s="639"/>
      <c r="C585" s="639"/>
      <c r="D585" s="639"/>
      <c r="E585" s="639"/>
      <c r="F585" s="639"/>
      <c r="G585" s="639"/>
      <c r="H585" s="639"/>
      <c r="I585" s="639"/>
      <c r="J585" s="639"/>
      <c r="K585" s="639"/>
      <c r="L585" s="639"/>
      <c r="M585" s="639"/>
      <c r="N585" s="639"/>
      <c r="O585" s="639"/>
      <c r="P585" s="639"/>
      <c r="Q585" s="639"/>
      <c r="R585" s="639"/>
      <c r="S585" s="639"/>
      <c r="T585" s="639"/>
      <c r="U585" s="639"/>
      <c r="V585" s="639"/>
      <c r="W585" s="639"/>
      <c r="X585" s="639"/>
      <c r="Y585" s="639"/>
      <c r="Z585" s="639"/>
      <c r="AA585" s="639"/>
      <c r="AB585" s="639"/>
    </row>
    <row r="586" spans="1:28">
      <c r="A586" s="639"/>
      <c r="B586" s="639"/>
      <c r="C586" s="639"/>
      <c r="D586" s="639"/>
      <c r="E586" s="639"/>
      <c r="F586" s="639"/>
      <c r="G586" s="639"/>
      <c r="H586" s="639"/>
      <c r="I586" s="639"/>
      <c r="J586" s="639"/>
      <c r="K586" s="639"/>
      <c r="L586" s="639"/>
      <c r="M586" s="639"/>
      <c r="N586" s="639"/>
      <c r="O586" s="639"/>
      <c r="P586" s="639"/>
      <c r="Q586" s="639"/>
      <c r="R586" s="639"/>
      <c r="S586" s="639"/>
      <c r="T586" s="639"/>
      <c r="U586" s="639"/>
      <c r="V586" s="639"/>
      <c r="W586" s="639"/>
      <c r="X586" s="639"/>
      <c r="Y586" s="639"/>
      <c r="Z586" s="639"/>
      <c r="AA586" s="639"/>
      <c r="AB586" s="639"/>
    </row>
    <row r="587" spans="1:28">
      <c r="A587" s="639"/>
      <c r="B587" s="639"/>
      <c r="C587" s="639"/>
      <c r="D587" s="639"/>
      <c r="E587" s="639"/>
      <c r="F587" s="639"/>
      <c r="G587" s="639"/>
      <c r="H587" s="639"/>
      <c r="I587" s="639"/>
      <c r="J587" s="639"/>
      <c r="K587" s="639"/>
      <c r="L587" s="639"/>
      <c r="M587" s="639"/>
      <c r="N587" s="639"/>
      <c r="O587" s="639"/>
      <c r="P587" s="639"/>
      <c r="Q587" s="639"/>
      <c r="R587" s="639"/>
      <c r="S587" s="639"/>
      <c r="T587" s="639"/>
      <c r="U587" s="639"/>
      <c r="V587" s="639"/>
      <c r="W587" s="639"/>
      <c r="X587" s="639"/>
      <c r="Y587" s="639"/>
      <c r="Z587" s="639"/>
      <c r="AA587" s="639"/>
      <c r="AB587" s="639"/>
    </row>
    <row r="588" spans="1:28">
      <c r="A588" s="639"/>
      <c r="B588" s="639"/>
      <c r="C588" s="639"/>
      <c r="D588" s="639"/>
      <c r="E588" s="639"/>
      <c r="F588" s="639"/>
      <c r="G588" s="639"/>
      <c r="H588" s="639"/>
      <c r="I588" s="639"/>
      <c r="J588" s="639"/>
      <c r="K588" s="639"/>
      <c r="L588" s="639"/>
      <c r="M588" s="639"/>
      <c r="N588" s="639"/>
      <c r="O588" s="639"/>
      <c r="P588" s="639"/>
      <c r="Q588" s="639"/>
      <c r="R588" s="639"/>
      <c r="S588" s="639"/>
      <c r="T588" s="639"/>
      <c r="U588" s="639"/>
      <c r="V588" s="639"/>
      <c r="W588" s="639"/>
      <c r="X588" s="639"/>
      <c r="Y588" s="639"/>
      <c r="Z588" s="639"/>
      <c r="AA588" s="639"/>
      <c r="AB588" s="639"/>
    </row>
    <row r="589" spans="1:28">
      <c r="A589" s="639"/>
      <c r="B589" s="639"/>
      <c r="C589" s="639"/>
      <c r="D589" s="639"/>
      <c r="E589" s="639"/>
      <c r="F589" s="639"/>
      <c r="G589" s="639"/>
      <c r="H589" s="639"/>
      <c r="I589" s="639"/>
      <c r="J589" s="639"/>
      <c r="K589" s="639"/>
      <c r="L589" s="639"/>
      <c r="M589" s="639"/>
      <c r="N589" s="639"/>
      <c r="O589" s="639"/>
      <c r="P589" s="639"/>
      <c r="Q589" s="639"/>
      <c r="R589" s="639"/>
      <c r="S589" s="639"/>
      <c r="T589" s="639"/>
      <c r="U589" s="639"/>
      <c r="V589" s="639"/>
      <c r="W589" s="639"/>
      <c r="X589" s="639"/>
      <c r="Y589" s="639"/>
      <c r="Z589" s="639"/>
      <c r="AA589" s="639"/>
      <c r="AB589" s="639"/>
    </row>
    <row r="590" spans="1:28">
      <c r="A590" s="639"/>
      <c r="B590" s="639"/>
      <c r="C590" s="639"/>
      <c r="D590" s="639"/>
      <c r="E590" s="639"/>
      <c r="F590" s="639"/>
      <c r="G590" s="639"/>
      <c r="H590" s="639"/>
      <c r="I590" s="639"/>
      <c r="J590" s="639"/>
      <c r="K590" s="639"/>
      <c r="L590" s="639"/>
      <c r="M590" s="639"/>
      <c r="N590" s="639"/>
      <c r="O590" s="639"/>
      <c r="P590" s="639"/>
      <c r="Q590" s="639"/>
      <c r="R590" s="639"/>
      <c r="S590" s="639"/>
      <c r="T590" s="639"/>
      <c r="U590" s="639"/>
      <c r="V590" s="639"/>
      <c r="W590" s="639"/>
      <c r="X590" s="639"/>
      <c r="Y590" s="639"/>
      <c r="Z590" s="639"/>
      <c r="AA590" s="639"/>
      <c r="AB590" s="639"/>
    </row>
    <row r="591" spans="1:28">
      <c r="A591" s="639"/>
      <c r="B591" s="639"/>
      <c r="C591" s="639"/>
      <c r="D591" s="639"/>
      <c r="E591" s="639"/>
      <c r="F591" s="639"/>
      <c r="G591" s="639"/>
      <c r="H591" s="639"/>
      <c r="I591" s="639"/>
      <c r="J591" s="639"/>
      <c r="K591" s="639"/>
      <c r="L591" s="639"/>
      <c r="M591" s="639"/>
      <c r="N591" s="639"/>
      <c r="O591" s="639"/>
      <c r="P591" s="639"/>
      <c r="Q591" s="639"/>
      <c r="R591" s="639"/>
      <c r="S591" s="639"/>
      <c r="T591" s="639"/>
      <c r="U591" s="639"/>
      <c r="V591" s="639"/>
      <c r="W591" s="639"/>
      <c r="X591" s="639"/>
      <c r="Y591" s="639"/>
      <c r="Z591" s="639"/>
      <c r="AA591" s="639"/>
      <c r="AB591" s="639"/>
    </row>
    <row r="592" spans="1:28">
      <c r="A592" s="639"/>
      <c r="B592" s="639"/>
      <c r="C592" s="639"/>
      <c r="D592" s="639"/>
      <c r="E592" s="639"/>
      <c r="F592" s="639"/>
      <c r="G592" s="639"/>
      <c r="H592" s="639"/>
      <c r="I592" s="639"/>
      <c r="J592" s="639"/>
      <c r="K592" s="639"/>
      <c r="L592" s="639"/>
      <c r="M592" s="639"/>
      <c r="N592" s="639"/>
      <c r="O592" s="639"/>
      <c r="P592" s="639"/>
      <c r="Q592" s="639"/>
      <c r="R592" s="639"/>
      <c r="S592" s="639"/>
      <c r="T592" s="639"/>
      <c r="U592" s="639"/>
      <c r="V592" s="639"/>
      <c r="W592" s="639"/>
      <c r="X592" s="639"/>
      <c r="Y592" s="639"/>
      <c r="Z592" s="639"/>
      <c r="AA592" s="639"/>
      <c r="AB592" s="639"/>
    </row>
    <row r="593" spans="1:28">
      <c r="A593" s="639"/>
      <c r="B593" s="639"/>
      <c r="C593" s="639"/>
      <c r="D593" s="639"/>
      <c r="E593" s="639"/>
      <c r="F593" s="639"/>
      <c r="G593" s="639"/>
      <c r="H593" s="639"/>
      <c r="I593" s="639"/>
      <c r="J593" s="639"/>
      <c r="K593" s="639"/>
      <c r="L593" s="639"/>
      <c r="M593" s="639"/>
      <c r="N593" s="639"/>
      <c r="O593" s="639"/>
      <c r="P593" s="639"/>
      <c r="Q593" s="639"/>
      <c r="R593" s="639"/>
      <c r="S593" s="639"/>
      <c r="T593" s="639"/>
      <c r="U593" s="639"/>
      <c r="V593" s="639"/>
      <c r="W593" s="639"/>
      <c r="X593" s="639"/>
      <c r="Y593" s="639"/>
      <c r="Z593" s="639"/>
      <c r="AA593" s="639"/>
      <c r="AB593" s="639"/>
    </row>
    <row r="594" spans="1:28">
      <c r="A594" s="639"/>
      <c r="B594" s="639"/>
      <c r="C594" s="639"/>
      <c r="D594" s="639"/>
      <c r="E594" s="639"/>
      <c r="F594" s="639"/>
      <c r="G594" s="639"/>
      <c r="H594" s="639"/>
      <c r="I594" s="639"/>
      <c r="J594" s="639"/>
      <c r="K594" s="639"/>
      <c r="L594" s="639"/>
      <c r="M594" s="639"/>
      <c r="N594" s="639"/>
      <c r="O594" s="639"/>
      <c r="P594" s="639"/>
      <c r="Q594" s="639"/>
      <c r="R594" s="639"/>
      <c r="S594" s="639"/>
      <c r="T594" s="639"/>
      <c r="U594" s="639"/>
      <c r="V594" s="639"/>
      <c r="W594" s="639"/>
      <c r="X594" s="639"/>
      <c r="Y594" s="639"/>
      <c r="Z594" s="639"/>
      <c r="AA594" s="639"/>
      <c r="AB594" s="639"/>
    </row>
    <row r="595" spans="1:28">
      <c r="A595" s="639"/>
      <c r="B595" s="639"/>
      <c r="C595" s="639"/>
      <c r="D595" s="639"/>
      <c r="E595" s="639"/>
      <c r="F595" s="639"/>
      <c r="G595" s="639"/>
      <c r="H595" s="639"/>
      <c r="I595" s="639"/>
      <c r="J595" s="639"/>
      <c r="K595" s="639"/>
      <c r="L595" s="639"/>
      <c r="M595" s="639"/>
      <c r="N595" s="639"/>
      <c r="O595" s="639"/>
      <c r="P595" s="639"/>
      <c r="Q595" s="639"/>
      <c r="R595" s="639"/>
      <c r="S595" s="639"/>
      <c r="T595" s="639"/>
      <c r="U595" s="639"/>
      <c r="V595" s="639"/>
      <c r="W595" s="639"/>
      <c r="X595" s="639"/>
      <c r="Y595" s="639"/>
      <c r="Z595" s="639"/>
      <c r="AA595" s="639"/>
      <c r="AB595" s="639"/>
    </row>
    <row r="596" spans="1:28">
      <c r="A596" s="639"/>
      <c r="B596" s="639"/>
      <c r="C596" s="639"/>
      <c r="D596" s="639"/>
      <c r="E596" s="639"/>
      <c r="F596" s="639"/>
      <c r="G596" s="639"/>
      <c r="H596" s="639"/>
      <c r="I596" s="639"/>
      <c r="J596" s="639"/>
      <c r="K596" s="639"/>
      <c r="L596" s="639"/>
      <c r="M596" s="639"/>
      <c r="N596" s="639"/>
      <c r="O596" s="639"/>
      <c r="P596" s="639"/>
      <c r="Q596" s="639"/>
      <c r="R596" s="639"/>
      <c r="S596" s="639"/>
      <c r="T596" s="639"/>
      <c r="U596" s="639"/>
      <c r="V596" s="639"/>
      <c r="W596" s="639"/>
      <c r="X596" s="639"/>
      <c r="Y596" s="639"/>
      <c r="Z596" s="639"/>
      <c r="AA596" s="639"/>
      <c r="AB596" s="639"/>
    </row>
    <row r="597" spans="1:28">
      <c r="A597" s="639"/>
      <c r="B597" s="639"/>
      <c r="C597" s="639"/>
      <c r="D597" s="639"/>
      <c r="E597" s="639"/>
      <c r="F597" s="639"/>
      <c r="G597" s="639"/>
      <c r="H597" s="639"/>
      <c r="I597" s="639"/>
      <c r="J597" s="639"/>
      <c r="K597" s="639"/>
      <c r="L597" s="639"/>
      <c r="M597" s="639"/>
      <c r="N597" s="639"/>
      <c r="O597" s="639"/>
      <c r="P597" s="639"/>
      <c r="Q597" s="639"/>
      <c r="R597" s="639"/>
      <c r="S597" s="639"/>
      <c r="T597" s="639"/>
      <c r="U597" s="639"/>
      <c r="V597" s="639"/>
      <c r="W597" s="639"/>
      <c r="X597" s="639"/>
      <c r="Y597" s="639"/>
      <c r="Z597" s="639"/>
      <c r="AA597" s="639"/>
      <c r="AB597" s="639"/>
    </row>
    <row r="598" spans="1:28">
      <c r="A598" s="639"/>
      <c r="B598" s="639"/>
      <c r="C598" s="639"/>
      <c r="D598" s="639"/>
      <c r="E598" s="639"/>
      <c r="F598" s="639"/>
      <c r="G598" s="639"/>
      <c r="H598" s="639"/>
      <c r="I598" s="639"/>
      <c r="J598" s="639"/>
      <c r="K598" s="639"/>
      <c r="L598" s="639"/>
      <c r="M598" s="639"/>
      <c r="N598" s="639"/>
      <c r="O598" s="639"/>
      <c r="P598" s="639"/>
      <c r="Q598" s="639"/>
      <c r="R598" s="639"/>
      <c r="S598" s="639"/>
      <c r="T598" s="639"/>
      <c r="U598" s="639"/>
      <c r="V598" s="639"/>
      <c r="W598" s="639"/>
      <c r="X598" s="639"/>
      <c r="Y598" s="639"/>
      <c r="Z598" s="639"/>
      <c r="AA598" s="639"/>
      <c r="AB598" s="639"/>
    </row>
    <row r="599" spans="1:28">
      <c r="A599" s="639"/>
      <c r="B599" s="639"/>
      <c r="C599" s="639"/>
      <c r="D599" s="639"/>
      <c r="E599" s="639"/>
      <c r="F599" s="639"/>
      <c r="G599" s="639"/>
      <c r="H599" s="639"/>
      <c r="I599" s="639"/>
      <c r="J599" s="639"/>
      <c r="K599" s="639"/>
      <c r="L599" s="639"/>
      <c r="M599" s="639"/>
      <c r="N599" s="639"/>
      <c r="O599" s="639"/>
      <c r="P599" s="639"/>
      <c r="Q599" s="639"/>
      <c r="R599" s="639"/>
      <c r="S599" s="639"/>
      <c r="T599" s="639"/>
      <c r="U599" s="639"/>
      <c r="V599" s="639"/>
      <c r="W599" s="639"/>
      <c r="X599" s="639"/>
      <c r="Y599" s="639"/>
      <c r="Z599" s="639"/>
      <c r="AA599" s="639"/>
      <c r="AB599" s="639"/>
    </row>
    <row r="600" spans="1:28">
      <c r="A600" s="639"/>
      <c r="B600" s="639"/>
      <c r="C600" s="639"/>
      <c r="D600" s="639"/>
      <c r="E600" s="639"/>
      <c r="F600" s="639"/>
      <c r="G600" s="639"/>
      <c r="H600" s="639"/>
      <c r="I600" s="639"/>
      <c r="J600" s="639"/>
      <c r="K600" s="639"/>
      <c r="L600" s="639"/>
      <c r="M600" s="639"/>
      <c r="N600" s="639"/>
      <c r="O600" s="639"/>
      <c r="P600" s="639"/>
      <c r="Q600" s="639"/>
      <c r="R600" s="639"/>
      <c r="S600" s="639"/>
      <c r="T600" s="639"/>
      <c r="U600" s="639"/>
      <c r="V600" s="639"/>
      <c r="W600" s="639"/>
      <c r="X600" s="639"/>
      <c r="Y600" s="639"/>
      <c r="Z600" s="639"/>
      <c r="AA600" s="639"/>
      <c r="AB600" s="639"/>
    </row>
    <row r="601" spans="1:28">
      <c r="A601" s="639"/>
      <c r="B601" s="639"/>
      <c r="C601" s="639"/>
      <c r="D601" s="639"/>
      <c r="E601" s="639"/>
      <c r="F601" s="639"/>
      <c r="G601" s="639"/>
      <c r="H601" s="639"/>
      <c r="I601" s="639"/>
      <c r="J601" s="639"/>
      <c r="K601" s="639"/>
      <c r="L601" s="639"/>
      <c r="M601" s="639"/>
      <c r="N601" s="639"/>
      <c r="O601" s="639"/>
      <c r="P601" s="639"/>
      <c r="Q601" s="639"/>
      <c r="R601" s="639"/>
      <c r="S601" s="639"/>
      <c r="T601" s="639"/>
      <c r="U601" s="639"/>
      <c r="V601" s="639"/>
      <c r="W601" s="639"/>
      <c r="X601" s="639"/>
      <c r="Y601" s="639"/>
      <c r="Z601" s="639"/>
      <c r="AA601" s="639"/>
      <c r="AB601" s="639"/>
    </row>
    <row r="602" spans="1:28">
      <c r="A602" s="639"/>
      <c r="B602" s="639"/>
      <c r="C602" s="639"/>
      <c r="D602" s="639"/>
      <c r="E602" s="639"/>
      <c r="F602" s="639"/>
      <c r="G602" s="639"/>
      <c r="H602" s="639"/>
      <c r="I602" s="639"/>
      <c r="J602" s="639"/>
      <c r="K602" s="639"/>
      <c r="L602" s="639"/>
      <c r="M602" s="639"/>
      <c r="N602" s="639"/>
      <c r="O602" s="639"/>
      <c r="P602" s="639"/>
      <c r="Q602" s="639"/>
      <c r="R602" s="639"/>
      <c r="S602" s="639"/>
      <c r="T602" s="639"/>
      <c r="U602" s="639"/>
      <c r="V602" s="639"/>
      <c r="W602" s="639"/>
      <c r="X602" s="639"/>
      <c r="Y602" s="639"/>
      <c r="Z602" s="639"/>
      <c r="AA602" s="639"/>
      <c r="AB602" s="639"/>
    </row>
    <row r="603" spans="1:28">
      <c r="A603" s="639"/>
      <c r="B603" s="639"/>
      <c r="C603" s="639"/>
      <c r="D603" s="639"/>
      <c r="E603" s="639"/>
      <c r="F603" s="639"/>
      <c r="G603" s="639"/>
      <c r="H603" s="639"/>
      <c r="I603" s="639"/>
      <c r="J603" s="639"/>
      <c r="K603" s="639"/>
      <c r="L603" s="639"/>
      <c r="M603" s="639"/>
      <c r="N603" s="639"/>
      <c r="O603" s="639"/>
      <c r="P603" s="639"/>
      <c r="Q603" s="639"/>
      <c r="R603" s="639"/>
      <c r="S603" s="639"/>
      <c r="T603" s="639"/>
      <c r="U603" s="639"/>
      <c r="V603" s="639"/>
      <c r="W603" s="639"/>
      <c r="X603" s="639"/>
      <c r="Y603" s="639"/>
      <c r="Z603" s="639"/>
      <c r="AA603" s="639"/>
      <c r="AB603" s="639"/>
    </row>
    <row r="604" spans="1:28">
      <c r="A604" s="639"/>
      <c r="B604" s="639"/>
      <c r="C604" s="639"/>
      <c r="D604" s="639"/>
      <c r="E604" s="639"/>
      <c r="F604" s="639"/>
      <c r="G604" s="639"/>
      <c r="H604" s="639"/>
      <c r="I604" s="639"/>
      <c r="J604" s="639"/>
      <c r="K604" s="639"/>
      <c r="L604" s="639"/>
      <c r="M604" s="639"/>
      <c r="N604" s="639"/>
      <c r="O604" s="639"/>
      <c r="P604" s="639"/>
      <c r="Q604" s="639"/>
      <c r="R604" s="639"/>
      <c r="S604" s="639"/>
      <c r="T604" s="639"/>
      <c r="U604" s="639"/>
      <c r="V604" s="639"/>
      <c r="W604" s="639"/>
      <c r="X604" s="639"/>
      <c r="Y604" s="639"/>
      <c r="Z604" s="639"/>
      <c r="AA604" s="639"/>
      <c r="AB604" s="639"/>
    </row>
    <row r="605" spans="1:28">
      <c r="A605" s="639"/>
      <c r="B605" s="639"/>
      <c r="C605" s="639"/>
      <c r="D605" s="639"/>
      <c r="E605" s="639"/>
      <c r="F605" s="639"/>
      <c r="G605" s="639"/>
      <c r="H605" s="639"/>
      <c r="I605" s="639"/>
      <c r="J605" s="639"/>
      <c r="K605" s="639"/>
      <c r="L605" s="639"/>
      <c r="M605" s="639"/>
      <c r="N605" s="639"/>
      <c r="O605" s="639"/>
      <c r="P605" s="639"/>
      <c r="Q605" s="639"/>
      <c r="R605" s="639"/>
      <c r="S605" s="639"/>
      <c r="T605" s="639"/>
      <c r="U605" s="639"/>
      <c r="V605" s="639"/>
      <c r="W605" s="639"/>
      <c r="X605" s="639"/>
      <c r="Y605" s="639"/>
      <c r="Z605" s="639"/>
      <c r="AA605" s="639"/>
      <c r="AB605" s="639"/>
    </row>
    <row r="606" spans="1:28">
      <c r="A606" s="639"/>
      <c r="B606" s="639"/>
      <c r="C606" s="639"/>
      <c r="D606" s="639"/>
      <c r="E606" s="639"/>
      <c r="F606" s="639"/>
      <c r="G606" s="639"/>
      <c r="H606" s="639"/>
      <c r="I606" s="639"/>
      <c r="J606" s="639"/>
      <c r="K606" s="639"/>
      <c r="L606" s="639"/>
      <c r="M606" s="639"/>
      <c r="N606" s="639"/>
      <c r="O606" s="639"/>
      <c r="P606" s="639"/>
      <c r="Q606" s="639"/>
      <c r="R606" s="639"/>
      <c r="S606" s="639"/>
      <c r="T606" s="639"/>
      <c r="U606" s="639"/>
      <c r="V606" s="639"/>
      <c r="W606" s="639"/>
      <c r="X606" s="639"/>
      <c r="Y606" s="639"/>
      <c r="Z606" s="639"/>
      <c r="AA606" s="639"/>
      <c r="AB606" s="639"/>
    </row>
    <row r="607" spans="1:28">
      <c r="A607" s="639"/>
      <c r="B607" s="639"/>
      <c r="C607" s="639"/>
      <c r="D607" s="639"/>
      <c r="E607" s="639"/>
      <c r="F607" s="639"/>
      <c r="G607" s="639"/>
      <c r="H607" s="639"/>
      <c r="I607" s="639"/>
      <c r="J607" s="639"/>
      <c r="K607" s="639"/>
      <c r="L607" s="639"/>
      <c r="M607" s="639"/>
      <c r="N607" s="639"/>
      <c r="O607" s="639"/>
      <c r="P607" s="639"/>
      <c r="Q607" s="639"/>
      <c r="R607" s="639"/>
      <c r="S607" s="639"/>
      <c r="T607" s="639"/>
      <c r="U607" s="639"/>
      <c r="V607" s="639"/>
      <c r="W607" s="639"/>
      <c r="X607" s="639"/>
      <c r="Y607" s="639"/>
      <c r="Z607" s="639"/>
      <c r="AA607" s="639"/>
      <c r="AB607" s="639"/>
    </row>
    <row r="608" spans="1:28">
      <c r="A608" s="639"/>
      <c r="B608" s="639"/>
      <c r="C608" s="639"/>
      <c r="D608" s="639"/>
      <c r="E608" s="639"/>
      <c r="F608" s="639"/>
      <c r="G608" s="639"/>
      <c r="H608" s="639"/>
      <c r="I608" s="639"/>
      <c r="J608" s="639"/>
      <c r="K608" s="639"/>
      <c r="L608" s="639"/>
      <c r="M608" s="639"/>
      <c r="N608" s="639"/>
      <c r="O608" s="639"/>
      <c r="P608" s="639"/>
      <c r="Q608" s="639"/>
      <c r="R608" s="639"/>
      <c r="S608" s="639"/>
      <c r="T608" s="639"/>
      <c r="U608" s="639"/>
      <c r="V608" s="639"/>
      <c r="W608" s="639"/>
      <c r="X608" s="639"/>
      <c r="Y608" s="639"/>
      <c r="Z608" s="639"/>
      <c r="AA608" s="639"/>
      <c r="AB608" s="639"/>
    </row>
    <row r="609" spans="1:28">
      <c r="A609" s="639"/>
      <c r="B609" s="639"/>
      <c r="C609" s="639"/>
      <c r="D609" s="639"/>
      <c r="E609" s="639"/>
      <c r="F609" s="639"/>
      <c r="G609" s="639"/>
      <c r="H609" s="639"/>
      <c r="I609" s="639"/>
      <c r="J609" s="639"/>
      <c r="K609" s="639"/>
      <c r="L609" s="639"/>
      <c r="M609" s="639"/>
      <c r="N609" s="639"/>
      <c r="O609" s="639"/>
      <c r="P609" s="639"/>
      <c r="Q609" s="639"/>
      <c r="R609" s="639"/>
      <c r="S609" s="639"/>
      <c r="T609" s="639"/>
      <c r="U609" s="639"/>
      <c r="V609" s="639"/>
      <c r="W609" s="639"/>
      <c r="X609" s="639"/>
      <c r="Y609" s="639"/>
      <c r="Z609" s="639"/>
      <c r="AA609" s="639"/>
      <c r="AB609" s="639"/>
    </row>
    <row r="610" spans="1:28">
      <c r="A610" s="639"/>
      <c r="B610" s="639"/>
      <c r="C610" s="639"/>
      <c r="D610" s="639"/>
      <c r="E610" s="639"/>
      <c r="F610" s="639"/>
      <c r="G610" s="639"/>
      <c r="H610" s="639"/>
      <c r="I610" s="639"/>
      <c r="J610" s="639"/>
      <c r="K610" s="639"/>
      <c r="L610" s="639"/>
      <c r="M610" s="639"/>
      <c r="N610" s="639"/>
      <c r="O610" s="639"/>
      <c r="P610" s="639"/>
      <c r="Q610" s="639"/>
      <c r="R610" s="639"/>
      <c r="S610" s="639"/>
      <c r="T610" s="639"/>
      <c r="U610" s="639"/>
      <c r="V610" s="639"/>
      <c r="W610" s="639"/>
      <c r="X610" s="639"/>
      <c r="Y610" s="639"/>
      <c r="Z610" s="639"/>
      <c r="AA610" s="639"/>
      <c r="AB610" s="639"/>
    </row>
    <row r="611" spans="1:28">
      <c r="A611" s="639"/>
      <c r="B611" s="639"/>
      <c r="C611" s="639"/>
      <c r="D611" s="639"/>
      <c r="E611" s="639"/>
      <c r="F611" s="639"/>
      <c r="G611" s="639"/>
      <c r="H611" s="639"/>
      <c r="I611" s="639"/>
      <c r="J611" s="639"/>
      <c r="K611" s="639"/>
      <c r="L611" s="639"/>
      <c r="M611" s="639"/>
      <c r="N611" s="639"/>
      <c r="O611" s="639"/>
      <c r="P611" s="639"/>
      <c r="Q611" s="639"/>
      <c r="R611" s="639"/>
      <c r="S611" s="639"/>
      <c r="T611" s="639"/>
      <c r="U611" s="639"/>
      <c r="V611" s="639"/>
      <c r="W611" s="639"/>
      <c r="X611" s="639"/>
      <c r="Y611" s="639"/>
      <c r="Z611" s="639"/>
      <c r="AA611" s="639"/>
      <c r="AB611" s="639"/>
    </row>
    <row r="612" spans="1:28">
      <c r="A612" s="639"/>
      <c r="B612" s="639"/>
      <c r="C612" s="639"/>
      <c r="D612" s="639"/>
      <c r="E612" s="639"/>
      <c r="F612" s="639"/>
      <c r="G612" s="639"/>
      <c r="H612" s="639"/>
      <c r="I612" s="639"/>
      <c r="J612" s="639"/>
      <c r="K612" s="639"/>
      <c r="L612" s="639"/>
      <c r="M612" s="639"/>
      <c r="N612" s="639"/>
      <c r="O612" s="639"/>
      <c r="P612" s="639"/>
      <c r="Q612" s="639"/>
      <c r="R612" s="639"/>
      <c r="S612" s="639"/>
      <c r="T612" s="639"/>
      <c r="U612" s="639"/>
      <c r="V612" s="639"/>
      <c r="W612" s="639"/>
      <c r="X612" s="639"/>
      <c r="Y612" s="639"/>
      <c r="Z612" s="639"/>
      <c r="AA612" s="639"/>
      <c r="AB612" s="639"/>
    </row>
    <row r="613" spans="1:28">
      <c r="A613" s="639"/>
      <c r="B613" s="639"/>
      <c r="C613" s="639"/>
      <c r="D613" s="639"/>
      <c r="E613" s="639"/>
      <c r="F613" s="639"/>
      <c r="G613" s="639"/>
      <c r="H613" s="639"/>
      <c r="I613" s="639"/>
      <c r="J613" s="639"/>
      <c r="K613" s="639"/>
      <c r="L613" s="639"/>
      <c r="M613" s="639"/>
      <c r="N613" s="639"/>
      <c r="O613" s="639"/>
      <c r="P613" s="639"/>
      <c r="Q613" s="639"/>
      <c r="R613" s="639"/>
      <c r="S613" s="639"/>
      <c r="T613" s="639"/>
      <c r="U613" s="639"/>
      <c r="V613" s="639"/>
      <c r="W613" s="639"/>
      <c r="X613" s="639"/>
      <c r="Y613" s="639"/>
      <c r="Z613" s="639"/>
      <c r="AA613" s="639"/>
      <c r="AB613" s="639"/>
    </row>
    <row r="614" spans="1:28">
      <c r="A614" s="639"/>
      <c r="B614" s="639"/>
      <c r="C614" s="639"/>
      <c r="D614" s="639"/>
      <c r="E614" s="639"/>
      <c r="F614" s="639"/>
      <c r="G614" s="639"/>
      <c r="H614" s="639"/>
      <c r="I614" s="639"/>
      <c r="J614" s="639"/>
      <c r="K614" s="639"/>
      <c r="L614" s="639"/>
      <c r="M614" s="639"/>
      <c r="N614" s="639"/>
      <c r="O614" s="639"/>
      <c r="P614" s="639"/>
      <c r="Q614" s="639"/>
      <c r="R614" s="639"/>
      <c r="S614" s="639"/>
      <c r="T614" s="639"/>
      <c r="U614" s="639"/>
      <c r="V614" s="639"/>
      <c r="W614" s="639"/>
      <c r="X614" s="639"/>
      <c r="Y614" s="639"/>
      <c r="Z614" s="639"/>
      <c r="AA614" s="639"/>
      <c r="AB614" s="639"/>
    </row>
    <row r="615" spans="1:28">
      <c r="A615" s="639"/>
      <c r="B615" s="639"/>
      <c r="C615" s="639"/>
      <c r="D615" s="639"/>
      <c r="E615" s="639"/>
      <c r="F615" s="639"/>
      <c r="G615" s="639"/>
      <c r="H615" s="639"/>
      <c r="I615" s="639"/>
      <c r="J615" s="639"/>
      <c r="K615" s="639"/>
      <c r="L615" s="639"/>
      <c r="M615" s="639"/>
      <c r="N615" s="639"/>
      <c r="O615" s="639"/>
      <c r="P615" s="639"/>
      <c r="Q615" s="639"/>
      <c r="R615" s="639"/>
      <c r="S615" s="639"/>
      <c r="T615" s="639"/>
      <c r="U615" s="639"/>
      <c r="V615" s="639"/>
      <c r="W615" s="639"/>
      <c r="X615" s="639"/>
      <c r="Y615" s="639"/>
      <c r="Z615" s="639"/>
      <c r="AA615" s="639"/>
      <c r="AB615" s="639"/>
    </row>
    <row r="616" spans="1:28">
      <c r="A616" s="639"/>
      <c r="B616" s="639"/>
      <c r="C616" s="639"/>
      <c r="D616" s="639"/>
      <c r="E616" s="639"/>
      <c r="F616" s="639"/>
      <c r="G616" s="639"/>
      <c r="H616" s="639"/>
      <c r="I616" s="639"/>
      <c r="J616" s="639"/>
      <c r="K616" s="639"/>
      <c r="L616" s="639"/>
      <c r="M616" s="639"/>
      <c r="N616" s="639"/>
      <c r="O616" s="639"/>
      <c r="P616" s="639"/>
      <c r="Q616" s="639"/>
      <c r="R616" s="639"/>
      <c r="S616" s="639"/>
      <c r="T616" s="639"/>
      <c r="U616" s="639"/>
      <c r="V616" s="639"/>
      <c r="W616" s="639"/>
      <c r="X616" s="639"/>
      <c r="Y616" s="639"/>
      <c r="Z616" s="639"/>
      <c r="AA616" s="639"/>
      <c r="AB616" s="639"/>
    </row>
    <row r="617" spans="1:28">
      <c r="A617" s="639"/>
      <c r="B617" s="639"/>
      <c r="C617" s="639"/>
      <c r="D617" s="639"/>
      <c r="E617" s="639"/>
      <c r="F617" s="639"/>
      <c r="G617" s="639"/>
      <c r="H617" s="639"/>
      <c r="I617" s="639"/>
      <c r="J617" s="639"/>
      <c r="K617" s="639"/>
      <c r="L617" s="639"/>
      <c r="M617" s="639"/>
      <c r="N617" s="639"/>
      <c r="O617" s="639"/>
      <c r="P617" s="639"/>
      <c r="Q617" s="639"/>
      <c r="R617" s="639"/>
      <c r="S617" s="639"/>
      <c r="T617" s="639"/>
      <c r="U617" s="639"/>
      <c r="V617" s="639"/>
      <c r="W617" s="639"/>
      <c r="X617" s="639"/>
      <c r="Y617" s="639"/>
      <c r="Z617" s="639"/>
      <c r="AA617" s="639"/>
      <c r="AB617" s="639"/>
    </row>
    <row r="618" spans="1:28">
      <c r="A618" s="639"/>
      <c r="B618" s="639"/>
      <c r="C618" s="639"/>
      <c r="D618" s="639"/>
      <c r="E618" s="639"/>
      <c r="F618" s="639"/>
      <c r="G618" s="639"/>
      <c r="H618" s="639"/>
      <c r="I618" s="639"/>
      <c r="J618" s="639"/>
      <c r="K618" s="639"/>
      <c r="L618" s="639"/>
      <c r="M618" s="639"/>
      <c r="N618" s="639"/>
      <c r="O618" s="639"/>
      <c r="P618" s="639"/>
      <c r="Q618" s="639"/>
      <c r="R618" s="639"/>
      <c r="S618" s="639"/>
      <c r="T618" s="639"/>
      <c r="U618" s="639"/>
      <c r="V618" s="639"/>
      <c r="W618" s="639"/>
      <c r="X618" s="639"/>
      <c r="Y618" s="639"/>
      <c r="Z618" s="639"/>
      <c r="AA618" s="639"/>
      <c r="AB618" s="639"/>
    </row>
    <row r="619" spans="1:28">
      <c r="A619" s="639"/>
      <c r="B619" s="639"/>
      <c r="C619" s="639"/>
      <c r="D619" s="639"/>
      <c r="E619" s="639"/>
      <c r="F619" s="639"/>
      <c r="G619" s="639"/>
      <c r="H619" s="639"/>
      <c r="I619" s="639"/>
      <c r="J619" s="639"/>
      <c r="K619" s="639"/>
      <c r="L619" s="639"/>
      <c r="M619" s="639"/>
      <c r="N619" s="639"/>
      <c r="O619" s="639"/>
      <c r="P619" s="639"/>
      <c r="Q619" s="639"/>
      <c r="R619" s="639"/>
      <c r="S619" s="639"/>
      <c r="T619" s="639"/>
      <c r="U619" s="639"/>
      <c r="V619" s="639"/>
      <c r="W619" s="639"/>
      <c r="X619" s="639"/>
      <c r="Y619" s="639"/>
      <c r="Z619" s="639"/>
      <c r="AA619" s="639"/>
      <c r="AB619" s="639"/>
    </row>
    <row r="620" spans="1:28">
      <c r="A620" s="639"/>
      <c r="B620" s="639"/>
      <c r="C620" s="639"/>
      <c r="D620" s="639"/>
      <c r="E620" s="639"/>
      <c r="F620" s="639"/>
      <c r="G620" s="639"/>
      <c r="H620" s="639"/>
      <c r="I620" s="639"/>
      <c r="J620" s="639"/>
      <c r="K620" s="639"/>
      <c r="L620" s="639"/>
      <c r="M620" s="639"/>
      <c r="N620" s="639"/>
      <c r="O620" s="639"/>
      <c r="P620" s="639"/>
      <c r="Q620" s="639"/>
      <c r="R620" s="639"/>
      <c r="S620" s="639"/>
      <c r="T620" s="639"/>
      <c r="U620" s="639"/>
      <c r="V620" s="639"/>
      <c r="W620" s="639"/>
      <c r="X620" s="639"/>
      <c r="Y620" s="639"/>
      <c r="Z620" s="639"/>
      <c r="AA620" s="639"/>
      <c r="AB620" s="639"/>
    </row>
    <row r="621" spans="1:28">
      <c r="A621" s="639"/>
      <c r="B621" s="639"/>
      <c r="C621" s="639"/>
      <c r="D621" s="639"/>
      <c r="E621" s="639"/>
      <c r="F621" s="639"/>
      <c r="G621" s="639"/>
      <c r="H621" s="639"/>
      <c r="I621" s="639"/>
      <c r="J621" s="639"/>
      <c r="K621" s="639"/>
      <c r="L621" s="639"/>
      <c r="M621" s="639"/>
      <c r="N621" s="639"/>
      <c r="O621" s="639"/>
      <c r="P621" s="639"/>
      <c r="Q621" s="639"/>
      <c r="R621" s="639"/>
      <c r="S621" s="639"/>
      <c r="T621" s="639"/>
      <c r="U621" s="639"/>
      <c r="V621" s="639"/>
      <c r="W621" s="639"/>
      <c r="X621" s="639"/>
      <c r="Y621" s="639"/>
      <c r="Z621" s="639"/>
      <c r="AA621" s="639"/>
      <c r="AB621" s="639"/>
    </row>
    <row r="622" spans="1:28">
      <c r="A622" s="639"/>
      <c r="B622" s="639"/>
      <c r="C622" s="639"/>
      <c r="D622" s="639"/>
      <c r="E622" s="639"/>
      <c r="F622" s="639"/>
      <c r="G622" s="639"/>
      <c r="H622" s="639"/>
      <c r="I622" s="639"/>
      <c r="J622" s="639"/>
      <c r="K622" s="639"/>
      <c r="L622" s="639"/>
      <c r="M622" s="639"/>
      <c r="N622" s="639"/>
      <c r="O622" s="639"/>
      <c r="P622" s="639"/>
      <c r="Q622" s="639"/>
      <c r="R622" s="639"/>
      <c r="S622" s="639"/>
      <c r="T622" s="639"/>
      <c r="U622" s="639"/>
      <c r="V622" s="639"/>
      <c r="W622" s="639"/>
      <c r="X622" s="639"/>
      <c r="Y622" s="639"/>
      <c r="Z622" s="639"/>
      <c r="AA622" s="639"/>
      <c r="AB622" s="639"/>
    </row>
    <row r="623" spans="1:28">
      <c r="A623" s="639"/>
      <c r="B623" s="639"/>
      <c r="C623" s="639"/>
      <c r="D623" s="639"/>
      <c r="E623" s="639"/>
      <c r="F623" s="639"/>
      <c r="G623" s="639"/>
      <c r="H623" s="639"/>
      <c r="I623" s="639"/>
      <c r="J623" s="639"/>
      <c r="K623" s="639"/>
      <c r="L623" s="639"/>
      <c r="M623" s="639"/>
      <c r="N623" s="639"/>
      <c r="O623" s="639"/>
      <c r="P623" s="639"/>
      <c r="Q623" s="639"/>
      <c r="R623" s="639"/>
      <c r="S623" s="639"/>
      <c r="T623" s="639"/>
      <c r="U623" s="639"/>
      <c r="V623" s="639"/>
      <c r="W623" s="639"/>
      <c r="X623" s="639"/>
      <c r="Y623" s="639"/>
      <c r="Z623" s="639"/>
      <c r="AA623" s="639"/>
      <c r="AB623" s="639"/>
    </row>
    <row r="624" spans="1:28">
      <c r="A624" s="639"/>
      <c r="B624" s="639"/>
      <c r="C624" s="639"/>
      <c r="D624" s="639"/>
      <c r="E624" s="639"/>
      <c r="F624" s="639"/>
      <c r="G624" s="639"/>
      <c r="H624" s="639"/>
      <c r="I624" s="639"/>
      <c r="J624" s="639"/>
      <c r="K624" s="639"/>
      <c r="L624" s="639"/>
      <c r="M624" s="639"/>
      <c r="N624" s="639"/>
      <c r="O624" s="639"/>
      <c r="P624" s="639"/>
      <c r="Q624" s="639"/>
      <c r="R624" s="639"/>
      <c r="S624" s="639"/>
      <c r="T624" s="639"/>
      <c r="U624" s="639"/>
      <c r="V624" s="639"/>
      <c r="W624" s="639"/>
      <c r="X624" s="639"/>
      <c r="Y624" s="639"/>
      <c r="Z624" s="639"/>
      <c r="AA624" s="639"/>
      <c r="AB624" s="639"/>
    </row>
    <row r="625" spans="1:28">
      <c r="A625" s="639"/>
      <c r="B625" s="639"/>
      <c r="C625" s="639"/>
      <c r="D625" s="639"/>
      <c r="E625" s="639"/>
      <c r="F625" s="639"/>
      <c r="G625" s="639"/>
      <c r="H625" s="639"/>
      <c r="I625" s="639"/>
      <c r="J625" s="639"/>
      <c r="K625" s="639"/>
      <c r="L625" s="639"/>
      <c r="M625" s="639"/>
      <c r="N625" s="639"/>
      <c r="O625" s="639"/>
      <c r="P625" s="639"/>
      <c r="Q625" s="639"/>
      <c r="R625" s="639"/>
      <c r="S625" s="639"/>
      <c r="T625" s="639"/>
      <c r="U625" s="639"/>
      <c r="V625" s="639"/>
      <c r="W625" s="639"/>
      <c r="X625" s="639"/>
      <c r="Y625" s="639"/>
      <c r="Z625" s="639"/>
      <c r="AA625" s="639"/>
      <c r="AB625" s="639"/>
    </row>
    <row r="626" spans="1:28">
      <c r="A626" s="639"/>
      <c r="B626" s="639"/>
      <c r="C626" s="639"/>
      <c r="D626" s="639"/>
      <c r="E626" s="639"/>
      <c r="F626" s="639"/>
      <c r="G626" s="639"/>
      <c r="H626" s="639"/>
      <c r="I626" s="639"/>
      <c r="J626" s="639"/>
      <c r="K626" s="639"/>
      <c r="L626" s="639"/>
      <c r="M626" s="639"/>
      <c r="N626" s="639"/>
      <c r="O626" s="639"/>
      <c r="P626" s="639"/>
      <c r="Q626" s="639"/>
      <c r="R626" s="639"/>
      <c r="S626" s="639"/>
      <c r="T626" s="639"/>
      <c r="U626" s="639"/>
      <c r="V626" s="639"/>
      <c r="W626" s="639"/>
      <c r="X626" s="639"/>
      <c r="Y626" s="639"/>
      <c r="Z626" s="639"/>
      <c r="AA626" s="639"/>
      <c r="AB626" s="639"/>
    </row>
    <row r="627" spans="1:28">
      <c r="A627" s="639"/>
      <c r="B627" s="639"/>
      <c r="C627" s="639"/>
      <c r="D627" s="639"/>
      <c r="E627" s="639"/>
      <c r="F627" s="639"/>
      <c r="G627" s="639"/>
      <c r="H627" s="639"/>
      <c r="I627" s="639"/>
      <c r="J627" s="639"/>
      <c r="K627" s="639"/>
      <c r="L627" s="639"/>
      <c r="M627" s="639"/>
      <c r="N627" s="639"/>
      <c r="O627" s="639"/>
      <c r="P627" s="639"/>
      <c r="Q627" s="639"/>
      <c r="R627" s="639"/>
      <c r="S627" s="639"/>
      <c r="T627" s="639"/>
      <c r="U627" s="639"/>
      <c r="V627" s="639"/>
      <c r="W627" s="639"/>
      <c r="X627" s="639"/>
      <c r="Y627" s="639"/>
      <c r="Z627" s="639"/>
      <c r="AA627" s="639"/>
      <c r="AB627" s="639"/>
    </row>
    <row r="628" spans="1:28">
      <c r="A628" s="639"/>
      <c r="B628" s="639"/>
      <c r="C628" s="639"/>
      <c r="D628" s="639"/>
      <c r="E628" s="639"/>
      <c r="F628" s="639"/>
      <c r="G628" s="639"/>
      <c r="H628" s="639"/>
      <c r="I628" s="639"/>
      <c r="J628" s="639"/>
      <c r="K628" s="639"/>
      <c r="L628" s="639"/>
      <c r="M628" s="639"/>
      <c r="N628" s="639"/>
      <c r="O628" s="639"/>
      <c r="P628" s="639"/>
      <c r="Q628" s="639"/>
      <c r="R628" s="639"/>
      <c r="S628" s="639"/>
      <c r="T628" s="639"/>
      <c r="U628" s="639"/>
      <c r="V628" s="639"/>
      <c r="W628" s="639"/>
      <c r="X628" s="639"/>
      <c r="Y628" s="639"/>
      <c r="Z628" s="639"/>
      <c r="AA628" s="639"/>
      <c r="AB628" s="639"/>
    </row>
    <row r="629" spans="1:28">
      <c r="A629" s="639"/>
      <c r="B629" s="639"/>
      <c r="C629" s="639"/>
      <c r="D629" s="639"/>
      <c r="E629" s="639"/>
      <c r="F629" s="639"/>
      <c r="G629" s="639"/>
      <c r="H629" s="639"/>
      <c r="I629" s="639"/>
      <c r="J629" s="639"/>
      <c r="K629" s="639"/>
      <c r="L629" s="639"/>
      <c r="M629" s="639"/>
      <c r="N629" s="639"/>
      <c r="O629" s="639"/>
      <c r="P629" s="639"/>
      <c r="Q629" s="639"/>
      <c r="R629" s="639"/>
      <c r="S629" s="639"/>
      <c r="T629" s="639"/>
      <c r="U629" s="639"/>
      <c r="V629" s="639"/>
      <c r="W629" s="639"/>
      <c r="X629" s="639"/>
      <c r="Y629" s="639"/>
      <c r="Z629" s="639"/>
      <c r="AA629" s="639"/>
      <c r="AB629" s="639"/>
    </row>
    <row r="630" spans="1:28">
      <c r="A630" s="639"/>
      <c r="B630" s="639"/>
      <c r="C630" s="639"/>
      <c r="D630" s="639"/>
      <c r="E630" s="639"/>
      <c r="F630" s="639"/>
      <c r="G630" s="639"/>
      <c r="H630" s="639"/>
      <c r="I630" s="639"/>
      <c r="J630" s="639"/>
      <c r="K630" s="639"/>
      <c r="L630" s="639"/>
      <c r="M630" s="639"/>
      <c r="N630" s="639"/>
      <c r="O630" s="639"/>
      <c r="P630" s="639"/>
      <c r="Q630" s="639"/>
      <c r="R630" s="639"/>
      <c r="S630" s="639"/>
      <c r="T630" s="639"/>
      <c r="U630" s="639"/>
      <c r="V630" s="639"/>
      <c r="W630" s="639"/>
      <c r="X630" s="639"/>
      <c r="Y630" s="639"/>
      <c r="Z630" s="639"/>
      <c r="AA630" s="639"/>
      <c r="AB630" s="639"/>
    </row>
    <row r="631" spans="1:28">
      <c r="A631" s="639"/>
      <c r="B631" s="639"/>
      <c r="C631" s="639"/>
      <c r="D631" s="639"/>
      <c r="E631" s="639"/>
      <c r="F631" s="639"/>
      <c r="G631" s="639"/>
      <c r="H631" s="639"/>
      <c r="I631" s="639"/>
      <c r="J631" s="639"/>
      <c r="K631" s="639"/>
      <c r="L631" s="639"/>
      <c r="M631" s="639"/>
      <c r="N631" s="639"/>
      <c r="O631" s="639"/>
      <c r="P631" s="639"/>
      <c r="Q631" s="639"/>
      <c r="R631" s="639"/>
      <c r="S631" s="639"/>
      <c r="T631" s="639"/>
      <c r="U631" s="639"/>
      <c r="V631" s="639"/>
      <c r="W631" s="639"/>
      <c r="X631" s="639"/>
      <c r="Y631" s="639"/>
      <c r="Z631" s="639"/>
      <c r="AA631" s="639"/>
      <c r="AB631" s="639"/>
    </row>
    <row r="632" spans="1:28">
      <c r="A632" s="639"/>
      <c r="B632" s="639"/>
      <c r="C632" s="639"/>
      <c r="D632" s="639"/>
      <c r="E632" s="639"/>
      <c r="F632" s="639"/>
      <c r="G632" s="639"/>
      <c r="H632" s="639"/>
      <c r="I632" s="639"/>
      <c r="J632" s="639"/>
      <c r="K632" s="639"/>
      <c r="L632" s="639"/>
      <c r="M632" s="639"/>
      <c r="N632" s="639"/>
      <c r="O632" s="639"/>
      <c r="P632" s="639"/>
      <c r="Q632" s="639"/>
      <c r="R632" s="639"/>
      <c r="S632" s="639"/>
      <c r="T632" s="639"/>
      <c r="U632" s="639"/>
      <c r="V632" s="639"/>
      <c r="W632" s="639"/>
      <c r="X632" s="639"/>
      <c r="Y632" s="639"/>
      <c r="Z632" s="639"/>
      <c r="AA632" s="639"/>
      <c r="AB632" s="639"/>
    </row>
    <row r="633" spans="1:28">
      <c r="A633" s="639"/>
      <c r="B633" s="639"/>
      <c r="C633" s="639"/>
      <c r="D633" s="639"/>
      <c r="E633" s="639"/>
      <c r="F633" s="639"/>
      <c r="G633" s="639"/>
      <c r="H633" s="639"/>
      <c r="I633" s="639"/>
      <c r="J633" s="639"/>
      <c r="K633" s="639"/>
      <c r="L633" s="639"/>
      <c r="M633" s="639"/>
      <c r="N633" s="639"/>
      <c r="O633" s="639"/>
      <c r="P633" s="639"/>
      <c r="Q633" s="639"/>
      <c r="R633" s="639"/>
      <c r="S633" s="639"/>
      <c r="T633" s="639"/>
      <c r="U633" s="639"/>
      <c r="V633" s="639"/>
      <c r="W633" s="639"/>
      <c r="X633" s="639"/>
      <c r="Y633" s="639"/>
      <c r="Z633" s="639"/>
      <c r="AA633" s="639"/>
      <c r="AB633" s="639"/>
    </row>
    <row r="634" spans="1:28">
      <c r="A634" s="639"/>
      <c r="B634" s="639"/>
      <c r="C634" s="639"/>
      <c r="D634" s="639"/>
      <c r="E634" s="639"/>
      <c r="F634" s="639"/>
      <c r="G634" s="639"/>
      <c r="H634" s="639"/>
      <c r="I634" s="639"/>
      <c r="J634" s="639"/>
      <c r="K634" s="639"/>
      <c r="L634" s="639"/>
      <c r="M634" s="639"/>
      <c r="N634" s="639"/>
      <c r="O634" s="639"/>
      <c r="P634" s="639"/>
      <c r="Q634" s="639"/>
      <c r="R634" s="639"/>
      <c r="S634" s="639"/>
      <c r="T634" s="639"/>
      <c r="U634" s="639"/>
      <c r="V634" s="639"/>
      <c r="W634" s="639"/>
      <c r="X634" s="639"/>
      <c r="Y634" s="639"/>
      <c r="Z634" s="639"/>
      <c r="AA634" s="639"/>
      <c r="AB634" s="639"/>
    </row>
    <row r="635" spans="1:28">
      <c r="A635" s="639"/>
      <c r="B635" s="639"/>
      <c r="C635" s="639"/>
      <c r="D635" s="639"/>
      <c r="E635" s="639"/>
      <c r="F635" s="639"/>
      <c r="G635" s="639"/>
      <c r="H635" s="639"/>
      <c r="I635" s="639"/>
      <c r="J635" s="639"/>
      <c r="K635" s="639"/>
      <c r="L635" s="639"/>
      <c r="M635" s="639"/>
      <c r="N635" s="639"/>
      <c r="O635" s="639"/>
      <c r="P635" s="639"/>
      <c r="Q635" s="639"/>
      <c r="R635" s="639"/>
      <c r="S635" s="639"/>
      <c r="T635" s="639"/>
      <c r="U635" s="639"/>
      <c r="V635" s="639"/>
      <c r="W635" s="639"/>
      <c r="X635" s="639"/>
      <c r="Y635" s="639"/>
      <c r="Z635" s="639"/>
      <c r="AA635" s="639"/>
      <c r="AB635" s="639"/>
    </row>
    <row r="636" spans="1:28">
      <c r="A636" s="639"/>
      <c r="B636" s="639"/>
      <c r="C636" s="639"/>
      <c r="D636" s="639"/>
      <c r="E636" s="639"/>
      <c r="F636" s="639"/>
      <c r="G636" s="639"/>
      <c r="H636" s="639"/>
      <c r="I636" s="639"/>
      <c r="J636" s="639"/>
      <c r="K636" s="639"/>
      <c r="L636" s="639"/>
      <c r="M636" s="639"/>
      <c r="N636" s="639"/>
      <c r="O636" s="639"/>
      <c r="P636" s="639"/>
      <c r="Q636" s="639"/>
      <c r="R636" s="639"/>
      <c r="S636" s="639"/>
      <c r="T636" s="639"/>
      <c r="U636" s="639"/>
      <c r="V636" s="639"/>
      <c r="W636" s="639"/>
      <c r="X636" s="639"/>
      <c r="Y636" s="639"/>
      <c r="Z636" s="639"/>
      <c r="AA636" s="639"/>
      <c r="AB636" s="639"/>
    </row>
    <row r="637" spans="1:28">
      <c r="A637" s="639"/>
      <c r="B637" s="639"/>
      <c r="C637" s="639"/>
      <c r="D637" s="639"/>
      <c r="E637" s="639"/>
      <c r="F637" s="639"/>
      <c r="G637" s="639"/>
      <c r="H637" s="639"/>
      <c r="I637" s="639"/>
      <c r="J637" s="639"/>
      <c r="K637" s="639"/>
      <c r="L637" s="639"/>
      <c r="M637" s="639"/>
      <c r="N637" s="639"/>
      <c r="O637" s="639"/>
      <c r="P637" s="639"/>
      <c r="Q637" s="639"/>
      <c r="R637" s="639"/>
      <c r="S637" s="639"/>
      <c r="T637" s="639"/>
      <c r="U637" s="639"/>
      <c r="V637" s="639"/>
      <c r="W637" s="639"/>
      <c r="X637" s="639"/>
      <c r="Y637" s="639"/>
      <c r="Z637" s="639"/>
      <c r="AA637" s="639"/>
      <c r="AB637" s="639"/>
    </row>
    <row r="638" spans="1:28">
      <c r="A638" s="639"/>
      <c r="B638" s="639"/>
      <c r="C638" s="639"/>
      <c r="D638" s="639"/>
      <c r="E638" s="639"/>
      <c r="F638" s="639"/>
      <c r="G638" s="639"/>
      <c r="H638" s="639"/>
      <c r="I638" s="639"/>
      <c r="J638" s="639"/>
      <c r="K638" s="639"/>
      <c r="L638" s="639"/>
      <c r="M638" s="639"/>
      <c r="N638" s="639"/>
      <c r="O638" s="639"/>
      <c r="P638" s="639"/>
      <c r="Q638" s="639"/>
      <c r="R638" s="639"/>
      <c r="S638" s="639"/>
      <c r="T638" s="639"/>
      <c r="U638" s="639"/>
      <c r="V638" s="639"/>
      <c r="W638" s="639"/>
      <c r="X638" s="639"/>
      <c r="Y638" s="639"/>
      <c r="Z638" s="639"/>
      <c r="AA638" s="639"/>
      <c r="AB638" s="639"/>
    </row>
    <row r="639" spans="1:28">
      <c r="A639" s="639"/>
      <c r="B639" s="639"/>
      <c r="C639" s="639"/>
      <c r="D639" s="639"/>
      <c r="E639" s="639"/>
      <c r="F639" s="639"/>
      <c r="G639" s="639"/>
      <c r="H639" s="639"/>
      <c r="I639" s="639"/>
      <c r="J639" s="639"/>
      <c r="K639" s="639"/>
      <c r="L639" s="639"/>
      <c r="M639" s="639"/>
      <c r="N639" s="639"/>
      <c r="O639" s="639"/>
      <c r="P639" s="639"/>
      <c r="Q639" s="639"/>
      <c r="R639" s="639"/>
      <c r="S639" s="639"/>
      <c r="T639" s="639"/>
      <c r="U639" s="639"/>
      <c r="V639" s="639"/>
      <c r="W639" s="639"/>
      <c r="X639" s="639"/>
      <c r="Y639" s="639"/>
      <c r="Z639" s="639"/>
      <c r="AA639" s="639"/>
      <c r="AB639" s="639"/>
    </row>
    <row r="640" spans="1:28">
      <c r="A640" s="639"/>
      <c r="B640" s="639"/>
      <c r="C640" s="639"/>
      <c r="D640" s="639"/>
      <c r="E640" s="639"/>
      <c r="F640" s="639"/>
      <c r="G640" s="639"/>
      <c r="H640" s="639"/>
      <c r="I640" s="639"/>
      <c r="J640" s="639"/>
      <c r="K640" s="639"/>
      <c r="L640" s="639"/>
      <c r="M640" s="639"/>
      <c r="N640" s="639"/>
      <c r="O640" s="639"/>
      <c r="P640" s="639"/>
      <c r="Q640" s="639"/>
      <c r="R640" s="639"/>
      <c r="S640" s="639"/>
      <c r="T640" s="639"/>
      <c r="U640" s="639"/>
      <c r="V640" s="639"/>
      <c r="W640" s="639"/>
      <c r="X640" s="639"/>
      <c r="Y640" s="639"/>
      <c r="Z640" s="639"/>
      <c r="AA640" s="639"/>
      <c r="AB640" s="639"/>
    </row>
    <row r="641" spans="1:28">
      <c r="A641" s="639"/>
      <c r="B641" s="639"/>
      <c r="C641" s="639"/>
      <c r="D641" s="639"/>
      <c r="E641" s="639"/>
      <c r="F641" s="639"/>
      <c r="G641" s="639"/>
      <c r="H641" s="639"/>
      <c r="I641" s="639"/>
      <c r="J641" s="639"/>
      <c r="K641" s="639"/>
      <c r="L641" s="639"/>
      <c r="M641" s="639"/>
      <c r="N641" s="639"/>
      <c r="O641" s="639"/>
      <c r="P641" s="639"/>
      <c r="Q641" s="639"/>
      <c r="R641" s="639"/>
      <c r="S641" s="639"/>
      <c r="T641" s="639"/>
      <c r="U641" s="639"/>
      <c r="V641" s="639"/>
      <c r="W641" s="639"/>
      <c r="X641" s="639"/>
      <c r="Y641" s="639"/>
      <c r="Z641" s="639"/>
      <c r="AA641" s="639"/>
      <c r="AB641" s="639"/>
    </row>
    <row r="642" spans="1:28">
      <c r="A642" s="639"/>
      <c r="B642" s="639"/>
      <c r="C642" s="639"/>
      <c r="D642" s="639"/>
      <c r="E642" s="639"/>
      <c r="F642" s="639"/>
      <c r="G642" s="639"/>
      <c r="H642" s="639"/>
      <c r="I642" s="639"/>
      <c r="J642" s="639"/>
      <c r="K642" s="639"/>
      <c r="L642" s="639"/>
      <c r="M642" s="639"/>
      <c r="N642" s="639"/>
      <c r="O642" s="639"/>
      <c r="P642" s="639"/>
      <c r="Q642" s="639"/>
      <c r="R642" s="639"/>
      <c r="S642" s="639"/>
      <c r="T642" s="639"/>
      <c r="U642" s="639"/>
      <c r="V642" s="639"/>
      <c r="W642" s="639"/>
      <c r="X642" s="639"/>
      <c r="Y642" s="639"/>
      <c r="Z642" s="639"/>
      <c r="AA642" s="639"/>
      <c r="AB642" s="639"/>
    </row>
    <row r="643" spans="1:28">
      <c r="A643" s="639"/>
      <c r="B643" s="639"/>
      <c r="C643" s="639"/>
      <c r="D643" s="639"/>
      <c r="E643" s="639"/>
      <c r="F643" s="639"/>
      <c r="G643" s="639"/>
      <c r="H643" s="639"/>
      <c r="I643" s="639"/>
      <c r="J643" s="639"/>
      <c r="K643" s="639"/>
      <c r="L643" s="639"/>
      <c r="M643" s="639"/>
      <c r="N643" s="639"/>
      <c r="O643" s="639"/>
      <c r="P643" s="639"/>
      <c r="Q643" s="639"/>
      <c r="R643" s="639"/>
      <c r="S643" s="639"/>
      <c r="T643" s="639"/>
      <c r="U643" s="639"/>
      <c r="V643" s="639"/>
      <c r="W643" s="639"/>
      <c r="X643" s="639"/>
      <c r="Y643" s="639"/>
      <c r="Z643" s="639"/>
      <c r="AA643" s="639"/>
      <c r="AB643" s="639"/>
    </row>
    <row r="644" spans="1:28">
      <c r="A644" s="639"/>
      <c r="B644" s="639"/>
      <c r="C644" s="639"/>
      <c r="D644" s="639"/>
      <c r="E644" s="639"/>
      <c r="F644" s="639"/>
      <c r="G644" s="639"/>
      <c r="H644" s="639"/>
      <c r="I644" s="639"/>
      <c r="J644" s="639"/>
      <c r="K644" s="639"/>
      <c r="L644" s="639"/>
      <c r="M644" s="639"/>
      <c r="N644" s="639"/>
      <c r="O644" s="639"/>
      <c r="P644" s="639"/>
      <c r="Q644" s="639"/>
      <c r="R644" s="639"/>
      <c r="S644" s="639"/>
      <c r="T644" s="639"/>
      <c r="U644" s="639"/>
      <c r="V644" s="639"/>
      <c r="W644" s="639"/>
      <c r="X644" s="639"/>
      <c r="Y644" s="639"/>
      <c r="Z644" s="639"/>
      <c r="AA644" s="639"/>
      <c r="AB644" s="639"/>
    </row>
    <row r="645" spans="1:28">
      <c r="A645" s="639"/>
      <c r="B645" s="639"/>
      <c r="C645" s="639"/>
      <c r="D645" s="639"/>
      <c r="E645" s="639"/>
      <c r="F645" s="639"/>
      <c r="G645" s="639"/>
      <c r="H645" s="639"/>
      <c r="I645" s="639"/>
      <c r="J645" s="639"/>
      <c r="K645" s="639"/>
      <c r="L645" s="639"/>
      <c r="M645" s="639"/>
      <c r="N645" s="639"/>
      <c r="O645" s="639"/>
      <c r="P645" s="639"/>
      <c r="Q645" s="639"/>
      <c r="R645" s="639"/>
      <c r="S645" s="639"/>
      <c r="T645" s="639"/>
      <c r="U645" s="639"/>
      <c r="V645" s="639"/>
      <c r="W645" s="639"/>
      <c r="X645" s="639"/>
      <c r="Y645" s="639"/>
      <c r="Z645" s="639"/>
      <c r="AA645" s="639"/>
      <c r="AB645" s="639"/>
    </row>
    <row r="646" spans="1:28">
      <c r="A646" s="639"/>
      <c r="B646" s="639"/>
      <c r="C646" s="639"/>
      <c r="D646" s="639"/>
      <c r="E646" s="639"/>
      <c r="F646" s="639"/>
      <c r="G646" s="639"/>
      <c r="H646" s="639"/>
      <c r="I646" s="639"/>
      <c r="J646" s="639"/>
      <c r="K646" s="639"/>
      <c r="L646" s="639"/>
      <c r="M646" s="639"/>
      <c r="N646" s="639"/>
      <c r="O646" s="639"/>
      <c r="P646" s="639"/>
      <c r="Q646" s="639"/>
      <c r="R646" s="639"/>
      <c r="S646" s="639"/>
      <c r="T646" s="639"/>
      <c r="U646" s="639"/>
      <c r="V646" s="639"/>
      <c r="W646" s="639"/>
      <c r="X646" s="639"/>
      <c r="Y646" s="639"/>
      <c r="Z646" s="639"/>
      <c r="AA646" s="639"/>
      <c r="AB646" s="639"/>
    </row>
    <row r="647" spans="1:28">
      <c r="A647" s="639"/>
      <c r="B647" s="639"/>
      <c r="C647" s="639"/>
      <c r="D647" s="639"/>
      <c r="E647" s="639"/>
      <c r="F647" s="639"/>
      <c r="G647" s="639"/>
      <c r="H647" s="639"/>
      <c r="I647" s="639"/>
      <c r="J647" s="639"/>
      <c r="K647" s="639"/>
      <c r="L647" s="639"/>
      <c r="M647" s="639"/>
      <c r="N647" s="639"/>
      <c r="O647" s="639"/>
      <c r="P647" s="639"/>
      <c r="Q647" s="639"/>
      <c r="R647" s="639"/>
      <c r="S647" s="639"/>
      <c r="T647" s="639"/>
      <c r="U647" s="639"/>
      <c r="V647" s="639"/>
      <c r="W647" s="639"/>
      <c r="X647" s="639"/>
      <c r="Y647" s="639"/>
      <c r="Z647" s="639"/>
      <c r="AA647" s="639"/>
      <c r="AB647" s="639"/>
    </row>
    <row r="648" spans="1:28">
      <c r="A648" s="639"/>
      <c r="B648" s="639"/>
      <c r="C648" s="639"/>
      <c r="D648" s="639"/>
      <c r="E648" s="639"/>
      <c r="F648" s="639"/>
      <c r="G648" s="639"/>
      <c r="H648" s="639"/>
      <c r="I648" s="639"/>
      <c r="J648" s="639"/>
      <c r="K648" s="639"/>
      <c r="L648" s="639"/>
      <c r="M648" s="639"/>
      <c r="N648" s="639"/>
      <c r="O648" s="639"/>
      <c r="P648" s="639"/>
      <c r="Q648" s="639"/>
      <c r="R648" s="639"/>
      <c r="S648" s="639"/>
      <c r="T648" s="639"/>
      <c r="U648" s="639"/>
      <c r="V648" s="639"/>
      <c r="W648" s="639"/>
      <c r="X648" s="639"/>
      <c r="Y648" s="639"/>
      <c r="Z648" s="639"/>
      <c r="AA648" s="639"/>
      <c r="AB648" s="639"/>
    </row>
    <row r="649" spans="1:28">
      <c r="A649" s="639"/>
      <c r="B649" s="639"/>
      <c r="C649" s="639"/>
      <c r="D649" s="639"/>
      <c r="E649" s="639"/>
      <c r="F649" s="639"/>
      <c r="G649" s="639"/>
      <c r="H649" s="639"/>
      <c r="I649" s="639"/>
      <c r="J649" s="639"/>
      <c r="K649" s="639"/>
      <c r="L649" s="639"/>
      <c r="M649" s="639"/>
      <c r="N649" s="639"/>
      <c r="O649" s="639"/>
      <c r="P649" s="639"/>
      <c r="Q649" s="639"/>
      <c r="R649" s="639"/>
      <c r="S649" s="639"/>
      <c r="T649" s="639"/>
      <c r="U649" s="639"/>
      <c r="V649" s="639"/>
      <c r="W649" s="639"/>
      <c r="X649" s="639"/>
      <c r="Y649" s="639"/>
      <c r="Z649" s="639"/>
      <c r="AA649" s="639"/>
      <c r="AB649" s="639"/>
    </row>
    <row r="650" spans="1:28">
      <c r="A650" s="639"/>
      <c r="B650" s="639"/>
      <c r="C650" s="639"/>
      <c r="D650" s="639"/>
      <c r="E650" s="639"/>
      <c r="F650" s="639"/>
      <c r="G650" s="639"/>
      <c r="H650" s="639"/>
      <c r="I650" s="639"/>
      <c r="J650" s="639"/>
      <c r="K650" s="639"/>
      <c r="L650" s="639"/>
      <c r="M650" s="639"/>
      <c r="N650" s="639"/>
      <c r="O650" s="639"/>
      <c r="P650" s="639"/>
      <c r="Q650" s="639"/>
      <c r="R650" s="639"/>
      <c r="S650" s="639"/>
      <c r="T650" s="639"/>
      <c r="U650" s="639"/>
      <c r="V650" s="639"/>
      <c r="W650" s="639"/>
      <c r="X650" s="639"/>
      <c r="Y650" s="639"/>
      <c r="Z650" s="639"/>
      <c r="AA650" s="639"/>
      <c r="AB650" s="639"/>
    </row>
    <row r="651" spans="1:28">
      <c r="A651" s="639"/>
      <c r="B651" s="639"/>
      <c r="C651" s="639"/>
      <c r="D651" s="639"/>
      <c r="E651" s="639"/>
      <c r="F651" s="639"/>
      <c r="G651" s="639"/>
      <c r="H651" s="639"/>
      <c r="I651" s="639"/>
      <c r="J651" s="639"/>
      <c r="K651" s="639"/>
      <c r="L651" s="639"/>
      <c r="M651" s="639"/>
      <c r="N651" s="639"/>
      <c r="O651" s="639"/>
      <c r="P651" s="639"/>
      <c r="Q651" s="639"/>
      <c r="R651" s="639"/>
      <c r="S651" s="639"/>
      <c r="T651" s="639"/>
      <c r="U651" s="639"/>
      <c r="V651" s="639"/>
      <c r="W651" s="639"/>
      <c r="X651" s="639"/>
      <c r="Y651" s="639"/>
      <c r="Z651" s="639"/>
      <c r="AA651" s="639"/>
      <c r="AB651" s="639"/>
    </row>
    <row r="652" spans="1:28">
      <c r="A652" s="639"/>
      <c r="B652" s="639"/>
      <c r="C652" s="639"/>
      <c r="D652" s="639"/>
      <c r="E652" s="639"/>
      <c r="F652" s="639"/>
      <c r="G652" s="639"/>
      <c r="H652" s="639"/>
      <c r="I652" s="639"/>
      <c r="J652" s="639"/>
      <c r="K652" s="639"/>
      <c r="L652" s="639"/>
      <c r="M652" s="639"/>
      <c r="N652" s="639"/>
      <c r="O652" s="639"/>
      <c r="P652" s="639"/>
      <c r="Q652" s="639"/>
      <c r="R652" s="639"/>
      <c r="S652" s="639"/>
      <c r="T652" s="639"/>
      <c r="U652" s="639"/>
      <c r="V652" s="639"/>
      <c r="W652" s="639"/>
      <c r="X652" s="639"/>
      <c r="Y652" s="639"/>
      <c r="Z652" s="639"/>
      <c r="AA652" s="639"/>
      <c r="AB652" s="639"/>
    </row>
    <row r="653" spans="1:28">
      <c r="A653" s="639"/>
      <c r="B653" s="639"/>
      <c r="C653" s="639"/>
      <c r="D653" s="639"/>
      <c r="E653" s="639"/>
      <c r="F653" s="639"/>
      <c r="G653" s="639"/>
      <c r="H653" s="639"/>
      <c r="I653" s="639"/>
      <c r="J653" s="639"/>
      <c r="K653" s="639"/>
      <c r="L653" s="639"/>
      <c r="M653" s="639"/>
      <c r="N653" s="639"/>
      <c r="O653" s="639"/>
      <c r="P653" s="639"/>
      <c r="Q653" s="639"/>
      <c r="R653" s="639"/>
      <c r="S653" s="639"/>
      <c r="T653" s="639"/>
      <c r="U653" s="639"/>
      <c r="V653" s="639"/>
      <c r="W653" s="639"/>
      <c r="X653" s="639"/>
      <c r="Y653" s="639"/>
      <c r="Z653" s="639"/>
      <c r="AA653" s="639"/>
      <c r="AB653" s="639"/>
    </row>
    <row r="654" spans="1:28">
      <c r="A654" s="639"/>
      <c r="B654" s="639"/>
      <c r="C654" s="639"/>
      <c r="D654" s="639"/>
      <c r="E654" s="639"/>
      <c r="F654" s="639"/>
      <c r="G654" s="639"/>
      <c r="H654" s="639"/>
      <c r="I654" s="639"/>
      <c r="J654" s="639"/>
      <c r="K654" s="639"/>
      <c r="L654" s="639"/>
      <c r="M654" s="639"/>
      <c r="N654" s="639"/>
      <c r="O654" s="639"/>
      <c r="P654" s="639"/>
      <c r="Q654" s="639"/>
      <c r="R654" s="639"/>
      <c r="S654" s="639"/>
      <c r="T654" s="639"/>
      <c r="U654" s="639"/>
      <c r="V654" s="639"/>
      <c r="W654" s="639"/>
      <c r="X654" s="639"/>
      <c r="Y654" s="639"/>
      <c r="Z654" s="639"/>
      <c r="AA654" s="639"/>
      <c r="AB654" s="639"/>
    </row>
    <row r="655" spans="1:28">
      <c r="A655" s="639"/>
      <c r="B655" s="639"/>
      <c r="C655" s="639"/>
      <c r="D655" s="639"/>
      <c r="E655" s="639"/>
      <c r="F655" s="639"/>
      <c r="G655" s="639"/>
      <c r="H655" s="639"/>
      <c r="I655" s="639"/>
      <c r="J655" s="639"/>
      <c r="K655" s="639"/>
      <c r="L655" s="639"/>
      <c r="M655" s="639"/>
      <c r="N655" s="639"/>
      <c r="O655" s="639"/>
      <c r="P655" s="639"/>
      <c r="Q655" s="639"/>
      <c r="R655" s="639"/>
      <c r="S655" s="639"/>
      <c r="T655" s="639"/>
      <c r="U655" s="639"/>
      <c r="V655" s="639"/>
      <c r="W655" s="639"/>
      <c r="X655" s="639"/>
      <c r="Y655" s="639"/>
      <c r="Z655" s="639"/>
      <c r="AA655" s="639"/>
      <c r="AB655" s="639"/>
    </row>
    <row r="656" spans="1:28">
      <c r="A656" s="639"/>
      <c r="B656" s="639"/>
      <c r="C656" s="639"/>
      <c r="D656" s="639"/>
      <c r="E656" s="639"/>
      <c r="F656" s="639"/>
      <c r="G656" s="639"/>
      <c r="H656" s="639"/>
      <c r="I656" s="639"/>
      <c r="J656" s="639"/>
      <c r="K656" s="639"/>
      <c r="L656" s="639"/>
      <c r="M656" s="639"/>
      <c r="N656" s="639"/>
      <c r="O656" s="639"/>
      <c r="P656" s="639"/>
      <c r="Q656" s="639"/>
      <c r="R656" s="639"/>
      <c r="S656" s="639"/>
      <c r="T656" s="639"/>
      <c r="U656" s="639"/>
      <c r="V656" s="639"/>
      <c r="W656" s="639"/>
      <c r="X656" s="639"/>
      <c r="Y656" s="639"/>
      <c r="Z656" s="639"/>
      <c r="AA656" s="639"/>
      <c r="AB656" s="639"/>
    </row>
    <row r="657" spans="1:28">
      <c r="A657" s="639"/>
      <c r="B657" s="639"/>
      <c r="C657" s="639"/>
      <c r="D657" s="639"/>
      <c r="E657" s="639"/>
      <c r="F657" s="639"/>
      <c r="G657" s="639"/>
      <c r="H657" s="639"/>
      <c r="I657" s="639"/>
      <c r="J657" s="639"/>
      <c r="K657" s="639"/>
      <c r="L657" s="639"/>
      <c r="M657" s="639"/>
      <c r="N657" s="639"/>
      <c r="O657" s="639"/>
      <c r="P657" s="639"/>
      <c r="Q657" s="639"/>
      <c r="R657" s="639"/>
      <c r="S657" s="639"/>
      <c r="T657" s="639"/>
      <c r="U657" s="639"/>
      <c r="V657" s="639"/>
      <c r="W657" s="639"/>
      <c r="X657" s="639"/>
      <c r="Y657" s="639"/>
      <c r="Z657" s="639"/>
      <c r="AA657" s="639"/>
      <c r="AB657" s="639"/>
    </row>
    <row r="658" spans="1:28">
      <c r="A658" s="639"/>
      <c r="B658" s="639"/>
      <c r="C658" s="639"/>
      <c r="D658" s="639"/>
      <c r="E658" s="639"/>
      <c r="F658" s="639"/>
      <c r="G658" s="639"/>
      <c r="H658" s="639"/>
      <c r="I658" s="639"/>
      <c r="J658" s="639"/>
      <c r="K658" s="639"/>
      <c r="L658" s="639"/>
      <c r="M658" s="639"/>
      <c r="N658" s="639"/>
      <c r="O658" s="639"/>
      <c r="P658" s="639"/>
      <c r="Q658" s="639"/>
      <c r="R658" s="639"/>
      <c r="S658" s="639"/>
      <c r="T658" s="639"/>
      <c r="U658" s="639"/>
      <c r="V658" s="639"/>
      <c r="W658" s="639"/>
      <c r="X658" s="639"/>
      <c r="Y658" s="639"/>
      <c r="Z658" s="639"/>
      <c r="AA658" s="639"/>
      <c r="AB658" s="639"/>
    </row>
    <row r="659" spans="1:28">
      <c r="A659" s="639"/>
      <c r="B659" s="639"/>
      <c r="C659" s="639"/>
      <c r="D659" s="639"/>
      <c r="E659" s="639"/>
      <c r="F659" s="639"/>
      <c r="G659" s="639"/>
      <c r="H659" s="639"/>
      <c r="I659" s="639"/>
      <c r="J659" s="639"/>
      <c r="K659" s="639"/>
      <c r="L659" s="639"/>
      <c r="M659" s="639"/>
      <c r="N659" s="639"/>
      <c r="O659" s="639"/>
      <c r="P659" s="639"/>
      <c r="Q659" s="639"/>
      <c r="R659" s="639"/>
      <c r="S659" s="639"/>
      <c r="T659" s="639"/>
      <c r="U659" s="639"/>
      <c r="V659" s="639"/>
      <c r="W659" s="639"/>
      <c r="X659" s="639"/>
      <c r="Y659" s="639"/>
      <c r="Z659" s="639"/>
      <c r="AA659" s="639"/>
      <c r="AB659" s="639"/>
    </row>
    <row r="660" spans="1:28">
      <c r="A660" s="639"/>
      <c r="B660" s="639"/>
      <c r="C660" s="639"/>
      <c r="D660" s="639"/>
      <c r="E660" s="639"/>
      <c r="F660" s="639"/>
      <c r="G660" s="639"/>
      <c r="H660" s="639"/>
      <c r="I660" s="639"/>
      <c r="J660" s="639"/>
      <c r="K660" s="639"/>
      <c r="L660" s="639"/>
      <c r="M660" s="639"/>
      <c r="N660" s="639"/>
      <c r="O660" s="639"/>
      <c r="P660" s="639"/>
      <c r="Q660" s="639"/>
      <c r="R660" s="639"/>
      <c r="S660" s="639"/>
      <c r="T660" s="639"/>
      <c r="U660" s="639"/>
      <c r="V660" s="639"/>
      <c r="W660" s="639"/>
      <c r="X660" s="639"/>
      <c r="Y660" s="639"/>
      <c r="Z660" s="639"/>
      <c r="AA660" s="639"/>
      <c r="AB660" s="639"/>
    </row>
    <row r="661" spans="1:28">
      <c r="A661" s="639"/>
      <c r="B661" s="639"/>
      <c r="C661" s="639"/>
      <c r="D661" s="639"/>
      <c r="E661" s="639"/>
      <c r="F661" s="639"/>
      <c r="G661" s="639"/>
      <c r="H661" s="639"/>
      <c r="I661" s="639"/>
      <c r="J661" s="639"/>
      <c r="K661" s="639"/>
      <c r="L661" s="639"/>
      <c r="M661" s="639"/>
      <c r="N661" s="639"/>
      <c r="O661" s="639"/>
      <c r="P661" s="639"/>
      <c r="Q661" s="639"/>
      <c r="R661" s="639"/>
      <c r="S661" s="639"/>
      <c r="T661" s="639"/>
      <c r="U661" s="639"/>
      <c r="V661" s="639"/>
      <c r="W661" s="639"/>
      <c r="X661" s="639"/>
      <c r="Y661" s="639"/>
      <c r="Z661" s="639"/>
      <c r="AA661" s="639"/>
      <c r="AB661" s="639"/>
    </row>
    <row r="662" spans="1:28">
      <c r="A662" s="639"/>
      <c r="B662" s="639"/>
      <c r="C662" s="639"/>
      <c r="D662" s="639"/>
      <c r="E662" s="639"/>
      <c r="F662" s="639"/>
      <c r="G662" s="639"/>
      <c r="H662" s="639"/>
      <c r="I662" s="639"/>
      <c r="J662" s="639"/>
      <c r="K662" s="639"/>
      <c r="L662" s="639"/>
      <c r="M662" s="639"/>
      <c r="N662" s="639"/>
      <c r="O662" s="639"/>
      <c r="P662" s="639"/>
      <c r="Q662" s="639"/>
      <c r="R662" s="639"/>
      <c r="S662" s="639"/>
      <c r="T662" s="639"/>
      <c r="U662" s="639"/>
      <c r="V662" s="639"/>
      <c r="W662" s="639"/>
      <c r="X662" s="639"/>
      <c r="Y662" s="639"/>
      <c r="Z662" s="639"/>
      <c r="AA662" s="639"/>
      <c r="AB662" s="639"/>
    </row>
    <row r="663" spans="1:28">
      <c r="A663" s="639"/>
      <c r="B663" s="639"/>
      <c r="C663" s="639"/>
      <c r="D663" s="639"/>
      <c r="E663" s="639"/>
      <c r="F663" s="639"/>
      <c r="G663" s="639"/>
      <c r="H663" s="639"/>
      <c r="I663" s="639"/>
      <c r="J663" s="639"/>
      <c r="K663" s="639"/>
      <c r="L663" s="639"/>
      <c r="M663" s="639"/>
      <c r="N663" s="639"/>
      <c r="O663" s="639"/>
      <c r="P663" s="639"/>
      <c r="Q663" s="639"/>
      <c r="R663" s="639"/>
      <c r="S663" s="639"/>
      <c r="T663" s="639"/>
      <c r="U663" s="639"/>
      <c r="V663" s="639"/>
      <c r="W663" s="639"/>
      <c r="X663" s="639"/>
      <c r="Y663" s="639"/>
      <c r="Z663" s="639"/>
      <c r="AA663" s="639"/>
      <c r="AB663" s="639"/>
    </row>
    <row r="664" spans="1:28">
      <c r="A664" s="639"/>
      <c r="B664" s="639"/>
      <c r="C664" s="639"/>
      <c r="D664" s="639"/>
      <c r="E664" s="639"/>
      <c r="F664" s="639"/>
      <c r="G664" s="639"/>
      <c r="H664" s="639"/>
      <c r="I664" s="639"/>
      <c r="J664" s="639"/>
      <c r="K664" s="639"/>
      <c r="L664" s="639"/>
      <c r="M664" s="639"/>
      <c r="N664" s="639"/>
      <c r="O664" s="639"/>
      <c r="P664" s="639"/>
      <c r="Q664" s="639"/>
      <c r="R664" s="639"/>
      <c r="S664" s="639"/>
      <c r="T664" s="639"/>
      <c r="U664" s="639"/>
      <c r="V664" s="639"/>
      <c r="W664" s="639"/>
      <c r="X664" s="639"/>
      <c r="Y664" s="639"/>
      <c r="Z664" s="639"/>
      <c r="AA664" s="639"/>
      <c r="AB664" s="639"/>
    </row>
    <row r="665" spans="1:28">
      <c r="A665" s="639"/>
      <c r="B665" s="639"/>
      <c r="C665" s="639"/>
      <c r="D665" s="639"/>
      <c r="E665" s="639"/>
      <c r="F665" s="639"/>
      <c r="G665" s="639"/>
      <c r="H665" s="639"/>
      <c r="I665" s="639"/>
      <c r="J665" s="639"/>
      <c r="K665" s="639"/>
      <c r="L665" s="639"/>
      <c r="M665" s="639"/>
      <c r="N665" s="639"/>
      <c r="O665" s="639"/>
      <c r="P665" s="639"/>
      <c r="Q665" s="639"/>
      <c r="R665" s="639"/>
      <c r="S665" s="639"/>
      <c r="T665" s="639"/>
      <c r="U665" s="639"/>
      <c r="V665" s="639"/>
      <c r="W665" s="639"/>
      <c r="X665" s="639"/>
      <c r="Y665" s="639"/>
      <c r="Z665" s="639"/>
      <c r="AA665" s="639"/>
      <c r="AB665" s="639"/>
    </row>
    <row r="666" spans="1:28">
      <c r="A666" s="639"/>
      <c r="B666" s="639"/>
      <c r="C666" s="639"/>
      <c r="D666" s="639"/>
      <c r="E666" s="639"/>
      <c r="F666" s="639"/>
      <c r="G666" s="639"/>
      <c r="H666" s="639"/>
      <c r="I666" s="639"/>
      <c r="J666" s="639"/>
      <c r="K666" s="639"/>
      <c r="L666" s="639"/>
      <c r="M666" s="639"/>
      <c r="N666" s="639"/>
      <c r="O666" s="639"/>
      <c r="P666" s="639"/>
      <c r="Q666" s="639"/>
      <c r="R666" s="639"/>
      <c r="S666" s="639"/>
      <c r="T666" s="639"/>
      <c r="U666" s="639"/>
      <c r="V666" s="639"/>
      <c r="W666" s="639"/>
      <c r="X666" s="639"/>
      <c r="Y666" s="639"/>
      <c r="Z666" s="639"/>
      <c r="AA666" s="639"/>
      <c r="AB666" s="639"/>
    </row>
    <row r="667" spans="1:28">
      <c r="A667" s="639"/>
      <c r="B667" s="639"/>
      <c r="C667" s="639"/>
      <c r="D667" s="639"/>
      <c r="E667" s="639"/>
      <c r="F667" s="639"/>
      <c r="G667" s="639"/>
      <c r="H667" s="639"/>
      <c r="I667" s="639"/>
      <c r="J667" s="639"/>
      <c r="K667" s="639"/>
      <c r="L667" s="639"/>
      <c r="M667" s="639"/>
      <c r="N667" s="639"/>
      <c r="O667" s="639"/>
      <c r="P667" s="639"/>
      <c r="Q667" s="639"/>
      <c r="R667" s="639"/>
      <c r="S667" s="639"/>
      <c r="T667" s="639"/>
      <c r="U667" s="639"/>
      <c r="V667" s="639"/>
      <c r="W667" s="639"/>
      <c r="X667" s="639"/>
      <c r="Y667" s="639"/>
      <c r="Z667" s="639"/>
      <c r="AA667" s="639"/>
      <c r="AB667" s="639"/>
    </row>
    <row r="668" spans="1:28">
      <c r="A668" s="639"/>
      <c r="B668" s="639"/>
      <c r="C668" s="639"/>
      <c r="D668" s="639"/>
      <c r="E668" s="639"/>
      <c r="F668" s="639"/>
      <c r="G668" s="639"/>
      <c r="H668" s="639"/>
      <c r="I668" s="639"/>
      <c r="J668" s="639"/>
      <c r="K668" s="639"/>
      <c r="L668" s="639"/>
      <c r="M668" s="639"/>
      <c r="N668" s="639"/>
      <c r="O668" s="639"/>
      <c r="P668" s="639"/>
      <c r="Q668" s="639"/>
      <c r="R668" s="639"/>
      <c r="S668" s="639"/>
      <c r="T668" s="639"/>
      <c r="U668" s="639"/>
      <c r="V668" s="639"/>
      <c r="W668" s="639"/>
      <c r="X668" s="639"/>
      <c r="Y668" s="639"/>
      <c r="Z668" s="639"/>
      <c r="AA668" s="639"/>
      <c r="AB668" s="639"/>
    </row>
    <row r="669" spans="1:28">
      <c r="A669" s="639"/>
      <c r="B669" s="639"/>
      <c r="C669" s="639"/>
      <c r="D669" s="639"/>
      <c r="E669" s="639"/>
      <c r="F669" s="639"/>
      <c r="G669" s="639"/>
      <c r="H669" s="639"/>
      <c r="I669" s="639"/>
      <c r="J669" s="639"/>
      <c r="K669" s="639"/>
      <c r="L669" s="639"/>
      <c r="M669" s="639"/>
      <c r="N669" s="639"/>
      <c r="O669" s="639"/>
      <c r="P669" s="639"/>
      <c r="Q669" s="639"/>
      <c r="R669" s="639"/>
      <c r="S669" s="639"/>
      <c r="T669" s="639"/>
      <c r="U669" s="639"/>
      <c r="V669" s="639"/>
      <c r="W669" s="639"/>
      <c r="X669" s="639"/>
      <c r="Y669" s="639"/>
      <c r="Z669" s="639"/>
      <c r="AA669" s="639"/>
      <c r="AB669" s="639"/>
    </row>
    <row r="670" spans="1:28">
      <c r="A670" s="639"/>
      <c r="B670" s="639"/>
      <c r="C670" s="639"/>
      <c r="D670" s="639"/>
      <c r="E670" s="639"/>
      <c r="F670" s="639"/>
      <c r="G670" s="639"/>
      <c r="H670" s="639"/>
      <c r="I670" s="639"/>
      <c r="J670" s="639"/>
      <c r="K670" s="639"/>
      <c r="L670" s="639"/>
      <c r="M670" s="639"/>
      <c r="N670" s="639"/>
      <c r="O670" s="639"/>
      <c r="P670" s="639"/>
      <c r="Q670" s="639"/>
      <c r="R670" s="639"/>
      <c r="S670" s="639"/>
      <c r="T670" s="639"/>
      <c r="U670" s="639"/>
      <c r="V670" s="639"/>
      <c r="W670" s="639"/>
      <c r="X670" s="639"/>
      <c r="Y670" s="639"/>
      <c r="Z670" s="639"/>
      <c r="AA670" s="639"/>
      <c r="AB670" s="639"/>
    </row>
    <row r="671" spans="1:28">
      <c r="A671" s="639"/>
      <c r="B671" s="639"/>
      <c r="C671" s="639"/>
      <c r="D671" s="639"/>
      <c r="E671" s="639"/>
      <c r="F671" s="639"/>
      <c r="G671" s="639"/>
      <c r="H671" s="639"/>
      <c r="I671" s="639"/>
      <c r="J671" s="639"/>
      <c r="K671" s="639"/>
      <c r="L671" s="639"/>
      <c r="M671" s="639"/>
      <c r="N671" s="639"/>
      <c r="O671" s="639"/>
      <c r="P671" s="639"/>
      <c r="Q671" s="639"/>
      <c r="R671" s="639"/>
      <c r="S671" s="639"/>
      <c r="T671" s="639"/>
      <c r="U671" s="639"/>
      <c r="V671" s="639"/>
      <c r="W671" s="639"/>
      <c r="X671" s="639"/>
      <c r="Y671" s="639"/>
      <c r="Z671" s="639"/>
      <c r="AA671" s="639"/>
      <c r="AB671" s="639"/>
    </row>
    <row r="672" spans="1:28">
      <c r="A672" s="639"/>
      <c r="B672" s="639"/>
      <c r="C672" s="639"/>
      <c r="D672" s="639"/>
      <c r="E672" s="639"/>
      <c r="F672" s="639"/>
      <c r="G672" s="639"/>
      <c r="H672" s="639"/>
      <c r="I672" s="639"/>
      <c r="J672" s="639"/>
      <c r="K672" s="639"/>
      <c r="L672" s="639"/>
      <c r="M672" s="639"/>
      <c r="N672" s="639"/>
      <c r="O672" s="639"/>
      <c r="P672" s="639"/>
      <c r="Q672" s="639"/>
      <c r="R672" s="639"/>
      <c r="S672" s="639"/>
      <c r="T672" s="639"/>
      <c r="U672" s="639"/>
      <c r="V672" s="639"/>
      <c r="W672" s="639"/>
      <c r="X672" s="639"/>
      <c r="Y672" s="639"/>
      <c r="Z672" s="639"/>
      <c r="AA672" s="639"/>
      <c r="AB672" s="639"/>
    </row>
    <row r="673" spans="1:28">
      <c r="A673" s="639"/>
      <c r="B673" s="639"/>
      <c r="C673" s="639"/>
      <c r="D673" s="639"/>
      <c r="E673" s="639"/>
      <c r="F673" s="639"/>
      <c r="G673" s="639"/>
      <c r="H673" s="639"/>
      <c r="I673" s="639"/>
      <c r="J673" s="639"/>
      <c r="K673" s="639"/>
      <c r="L673" s="639"/>
      <c r="M673" s="639"/>
      <c r="N673" s="639"/>
      <c r="O673" s="639"/>
      <c r="P673" s="639"/>
      <c r="Q673" s="639"/>
      <c r="R673" s="639"/>
      <c r="S673" s="639"/>
      <c r="T673" s="639"/>
      <c r="U673" s="639"/>
      <c r="V673" s="639"/>
      <c r="W673" s="639"/>
      <c r="X673" s="639"/>
      <c r="Y673" s="639"/>
      <c r="Z673" s="639"/>
      <c r="AA673" s="639"/>
      <c r="AB673" s="639"/>
    </row>
    <row r="674" spans="1:28">
      <c r="A674" s="639"/>
      <c r="B674" s="639"/>
      <c r="C674" s="639"/>
      <c r="D674" s="639"/>
      <c r="E674" s="639"/>
      <c r="F674" s="639"/>
      <c r="G674" s="639"/>
      <c r="H674" s="639"/>
      <c r="I674" s="639"/>
      <c r="J674" s="639"/>
      <c r="K674" s="639"/>
      <c r="L674" s="639"/>
      <c r="M674" s="639"/>
      <c r="N674" s="639"/>
      <c r="O674" s="639"/>
      <c r="P674" s="639"/>
      <c r="Q674" s="639"/>
      <c r="R674" s="639"/>
      <c r="S674" s="639"/>
      <c r="T674" s="639"/>
      <c r="U674" s="639"/>
      <c r="V674" s="639"/>
      <c r="W674" s="639"/>
      <c r="X674" s="639"/>
      <c r="Y674" s="639"/>
      <c r="Z674" s="639"/>
      <c r="AA674" s="639"/>
      <c r="AB674" s="639"/>
    </row>
    <row r="675" spans="1:28">
      <c r="A675" s="639"/>
      <c r="B675" s="639"/>
      <c r="C675" s="639"/>
      <c r="D675" s="639"/>
      <c r="E675" s="639"/>
      <c r="F675" s="639"/>
      <c r="G675" s="639"/>
      <c r="H675" s="639"/>
      <c r="I675" s="639"/>
      <c r="J675" s="639"/>
      <c r="K675" s="639"/>
      <c r="L675" s="639"/>
      <c r="M675" s="639"/>
      <c r="N675" s="639"/>
      <c r="O675" s="639"/>
      <c r="P675" s="639"/>
      <c r="Q675" s="639"/>
      <c r="R675" s="639"/>
      <c r="S675" s="639"/>
      <c r="T675" s="639"/>
      <c r="U675" s="639"/>
      <c r="V675" s="639"/>
      <c r="W675" s="639"/>
      <c r="X675" s="639"/>
      <c r="Y675" s="639"/>
      <c r="Z675" s="639"/>
      <c r="AA675" s="639"/>
      <c r="AB675" s="639"/>
    </row>
    <row r="676" spans="1:28">
      <c r="A676" s="639"/>
      <c r="B676" s="639"/>
      <c r="C676" s="639"/>
      <c r="D676" s="639"/>
      <c r="E676" s="639"/>
      <c r="F676" s="639"/>
      <c r="G676" s="639"/>
      <c r="H676" s="639"/>
      <c r="I676" s="639"/>
      <c r="J676" s="639"/>
      <c r="K676" s="639"/>
      <c r="L676" s="639"/>
      <c r="M676" s="639"/>
      <c r="N676" s="639"/>
      <c r="O676" s="639"/>
      <c r="P676" s="639"/>
      <c r="Q676" s="639"/>
      <c r="R676" s="639"/>
      <c r="S676" s="639"/>
      <c r="T676" s="639"/>
      <c r="U676" s="639"/>
      <c r="V676" s="639"/>
      <c r="W676" s="639"/>
      <c r="X676" s="639"/>
      <c r="Y676" s="639"/>
      <c r="Z676" s="639"/>
      <c r="AA676" s="639"/>
      <c r="AB676" s="639"/>
    </row>
    <row r="677" spans="1:28">
      <c r="A677" s="639"/>
      <c r="B677" s="639"/>
      <c r="C677" s="639"/>
      <c r="D677" s="639"/>
      <c r="E677" s="639"/>
      <c r="F677" s="639"/>
      <c r="G677" s="639"/>
      <c r="H677" s="639"/>
      <c r="I677" s="639"/>
      <c r="J677" s="639"/>
      <c r="K677" s="639"/>
      <c r="L677" s="639"/>
      <c r="M677" s="639"/>
      <c r="N677" s="639"/>
      <c r="O677" s="639"/>
      <c r="P677" s="639"/>
      <c r="Q677" s="639"/>
      <c r="R677" s="639"/>
      <c r="S677" s="639"/>
      <c r="T677" s="639"/>
      <c r="U677" s="639"/>
      <c r="V677" s="639"/>
      <c r="W677" s="639"/>
      <c r="X677" s="639"/>
      <c r="Y677" s="639"/>
      <c r="Z677" s="639"/>
      <c r="AA677" s="639"/>
      <c r="AB677" s="639"/>
    </row>
    <row r="678" spans="1:28">
      <c r="A678" s="639"/>
      <c r="B678" s="639"/>
      <c r="C678" s="639"/>
      <c r="D678" s="639"/>
      <c r="E678" s="639"/>
      <c r="F678" s="639"/>
      <c r="G678" s="639"/>
      <c r="H678" s="639"/>
      <c r="I678" s="639"/>
      <c r="J678" s="639"/>
      <c r="K678" s="639"/>
      <c r="L678" s="639"/>
      <c r="M678" s="639"/>
      <c r="N678" s="639"/>
      <c r="O678" s="639"/>
      <c r="P678" s="639"/>
      <c r="Q678" s="639"/>
      <c r="R678" s="639"/>
      <c r="S678" s="639"/>
      <c r="T678" s="639"/>
      <c r="U678" s="639"/>
      <c r="V678" s="639"/>
      <c r="W678" s="639"/>
      <c r="X678" s="639"/>
      <c r="Y678" s="639"/>
      <c r="Z678" s="639"/>
      <c r="AA678" s="639"/>
      <c r="AB678" s="639"/>
    </row>
    <row r="679" spans="1:28">
      <c r="A679" s="639"/>
      <c r="B679" s="639"/>
      <c r="C679" s="639"/>
      <c r="D679" s="639"/>
      <c r="E679" s="639"/>
      <c r="F679" s="639"/>
      <c r="G679" s="639"/>
      <c r="H679" s="639"/>
      <c r="I679" s="639"/>
      <c r="J679" s="639"/>
      <c r="K679" s="639"/>
      <c r="L679" s="639"/>
      <c r="M679" s="639"/>
      <c r="N679" s="639"/>
      <c r="O679" s="639"/>
      <c r="P679" s="639"/>
      <c r="Q679" s="639"/>
      <c r="R679" s="639"/>
      <c r="S679" s="639"/>
      <c r="T679" s="639"/>
      <c r="U679" s="639"/>
      <c r="V679" s="639"/>
      <c r="W679" s="639"/>
      <c r="X679" s="639"/>
      <c r="Y679" s="639"/>
      <c r="Z679" s="639"/>
      <c r="AA679" s="639"/>
      <c r="AB679" s="639"/>
    </row>
    <row r="680" spans="1:28">
      <c r="A680" s="639"/>
      <c r="B680" s="639"/>
      <c r="C680" s="639"/>
      <c r="D680" s="639"/>
      <c r="E680" s="639"/>
      <c r="F680" s="639"/>
      <c r="G680" s="639"/>
      <c r="H680" s="639"/>
      <c r="I680" s="639"/>
      <c r="J680" s="639"/>
      <c r="K680" s="639"/>
      <c r="L680" s="639"/>
      <c r="M680" s="639"/>
      <c r="N680" s="639"/>
      <c r="O680" s="639"/>
      <c r="P680" s="639"/>
      <c r="Q680" s="639"/>
      <c r="R680" s="639"/>
      <c r="S680" s="639"/>
      <c r="T680" s="639"/>
      <c r="U680" s="639"/>
      <c r="V680" s="639"/>
      <c r="W680" s="639"/>
      <c r="X680" s="639"/>
      <c r="Y680" s="639"/>
      <c r="Z680" s="639"/>
      <c r="AA680" s="639"/>
      <c r="AB680" s="639"/>
    </row>
    <row r="681" spans="1:28">
      <c r="A681" s="639"/>
      <c r="B681" s="639"/>
      <c r="C681" s="639"/>
      <c r="D681" s="639"/>
      <c r="E681" s="639"/>
      <c r="F681" s="639"/>
      <c r="G681" s="639"/>
      <c r="H681" s="639"/>
      <c r="I681" s="639"/>
      <c r="J681" s="639"/>
      <c r="K681" s="639"/>
      <c r="L681" s="639"/>
      <c r="M681" s="639"/>
      <c r="N681" s="639"/>
      <c r="O681" s="639"/>
      <c r="P681" s="639"/>
      <c r="Q681" s="639"/>
      <c r="R681" s="639"/>
      <c r="S681" s="639"/>
      <c r="T681" s="639"/>
      <c r="U681" s="639"/>
      <c r="V681" s="639"/>
      <c r="W681" s="639"/>
      <c r="X681" s="639"/>
      <c r="Y681" s="639"/>
      <c r="Z681" s="639"/>
      <c r="AA681" s="639"/>
      <c r="AB681" s="639"/>
    </row>
    <row r="682" spans="1:28">
      <c r="A682" s="639"/>
      <c r="B682" s="639"/>
      <c r="C682" s="639"/>
      <c r="D682" s="639"/>
      <c r="E682" s="639"/>
      <c r="F682" s="639"/>
      <c r="G682" s="639"/>
      <c r="H682" s="639"/>
      <c r="I682" s="639"/>
      <c r="J682" s="639"/>
      <c r="K682" s="639"/>
      <c r="L682" s="639"/>
      <c r="M682" s="639"/>
      <c r="N682" s="639"/>
      <c r="O682" s="639"/>
      <c r="P682" s="639"/>
      <c r="Q682" s="639"/>
      <c r="R682" s="639"/>
      <c r="S682" s="639"/>
      <c r="T682" s="639"/>
      <c r="U682" s="639"/>
      <c r="V682" s="639"/>
      <c r="W682" s="639"/>
      <c r="X682" s="639"/>
      <c r="Y682" s="639"/>
      <c r="Z682" s="639"/>
      <c r="AA682" s="639"/>
      <c r="AB682" s="639"/>
    </row>
    <row r="683" spans="1:28">
      <c r="A683" s="639"/>
      <c r="B683" s="639"/>
      <c r="C683" s="639"/>
      <c r="D683" s="639"/>
      <c r="E683" s="639"/>
      <c r="F683" s="639"/>
      <c r="G683" s="639"/>
      <c r="H683" s="639"/>
      <c r="I683" s="639"/>
      <c r="J683" s="639"/>
      <c r="K683" s="639"/>
      <c r="L683" s="639"/>
      <c r="M683" s="639"/>
      <c r="N683" s="639"/>
      <c r="O683" s="639"/>
      <c r="P683" s="639"/>
      <c r="Q683" s="639"/>
      <c r="R683" s="639"/>
      <c r="S683" s="639"/>
      <c r="T683" s="639"/>
      <c r="U683" s="639"/>
      <c r="V683" s="639"/>
      <c r="W683" s="639"/>
      <c r="X683" s="639"/>
      <c r="Y683" s="639"/>
      <c r="Z683" s="639"/>
      <c r="AA683" s="639"/>
      <c r="AB683" s="639"/>
    </row>
    <row r="684" spans="1:28">
      <c r="A684" s="639"/>
      <c r="B684" s="639"/>
      <c r="C684" s="639"/>
      <c r="D684" s="639"/>
      <c r="E684" s="639"/>
      <c r="F684" s="639"/>
      <c r="G684" s="639"/>
      <c r="H684" s="639"/>
      <c r="I684" s="639"/>
      <c r="J684" s="639"/>
      <c r="K684" s="639"/>
      <c r="L684" s="639"/>
      <c r="M684" s="639"/>
      <c r="N684" s="639"/>
      <c r="O684" s="639"/>
      <c r="P684" s="639"/>
      <c r="Q684" s="639"/>
      <c r="R684" s="639"/>
      <c r="S684" s="639"/>
      <c r="T684" s="639"/>
      <c r="U684" s="639"/>
      <c r="V684" s="639"/>
      <c r="W684" s="639"/>
      <c r="X684" s="639"/>
      <c r="Y684" s="639"/>
      <c r="Z684" s="639"/>
      <c r="AA684" s="639"/>
      <c r="AB684" s="639"/>
    </row>
    <row r="685" spans="1:28">
      <c r="A685" s="639"/>
      <c r="B685" s="639"/>
      <c r="C685" s="639"/>
      <c r="D685" s="639"/>
      <c r="E685" s="639"/>
      <c r="F685" s="639"/>
      <c r="G685" s="639"/>
      <c r="H685" s="639"/>
      <c r="I685" s="639"/>
      <c r="J685" s="639"/>
      <c r="K685" s="639"/>
      <c r="L685" s="639"/>
      <c r="M685" s="639"/>
      <c r="N685" s="639"/>
      <c r="O685" s="639"/>
      <c r="P685" s="639"/>
      <c r="Q685" s="639"/>
      <c r="R685" s="639"/>
      <c r="S685" s="639"/>
      <c r="T685" s="639"/>
      <c r="U685" s="639"/>
      <c r="V685" s="639"/>
      <c r="W685" s="639"/>
      <c r="X685" s="639"/>
      <c r="Y685" s="639"/>
      <c r="Z685" s="639"/>
      <c r="AA685" s="639"/>
      <c r="AB685" s="639"/>
    </row>
    <row r="686" spans="1:28">
      <c r="A686" s="639"/>
      <c r="B686" s="639"/>
      <c r="C686" s="639"/>
      <c r="D686" s="639"/>
      <c r="E686" s="639"/>
      <c r="F686" s="639"/>
      <c r="G686" s="639"/>
      <c r="H686" s="639"/>
      <c r="I686" s="639"/>
      <c r="J686" s="639"/>
      <c r="K686" s="639"/>
      <c r="L686" s="639"/>
      <c r="M686" s="639"/>
      <c r="N686" s="639"/>
      <c r="O686" s="639"/>
      <c r="P686" s="639"/>
      <c r="Q686" s="639"/>
      <c r="R686" s="639"/>
      <c r="S686" s="639"/>
      <c r="T686" s="639"/>
      <c r="U686" s="639"/>
      <c r="V686" s="639"/>
      <c r="W686" s="639"/>
      <c r="X686" s="639"/>
      <c r="Y686" s="639"/>
      <c r="Z686" s="639"/>
      <c r="AA686" s="639"/>
      <c r="AB686" s="639"/>
    </row>
    <row r="687" spans="1:28">
      <c r="A687" s="639"/>
      <c r="B687" s="639"/>
      <c r="C687" s="639"/>
      <c r="D687" s="639"/>
      <c r="E687" s="639"/>
      <c r="F687" s="639"/>
      <c r="G687" s="639"/>
      <c r="H687" s="639"/>
      <c r="I687" s="639"/>
      <c r="J687" s="639"/>
      <c r="K687" s="639"/>
      <c r="L687" s="639"/>
      <c r="M687" s="639"/>
      <c r="N687" s="639"/>
      <c r="O687" s="639"/>
      <c r="P687" s="639"/>
      <c r="Q687" s="639"/>
      <c r="R687" s="639"/>
      <c r="S687" s="639"/>
      <c r="T687" s="639"/>
      <c r="U687" s="639"/>
      <c r="V687" s="639"/>
      <c r="W687" s="639"/>
      <c r="X687" s="639"/>
      <c r="Y687" s="639"/>
      <c r="Z687" s="639"/>
      <c r="AA687" s="639"/>
      <c r="AB687" s="639"/>
    </row>
    <row r="688" spans="1:28">
      <c r="A688" s="639"/>
      <c r="B688" s="639"/>
      <c r="C688" s="639"/>
      <c r="D688" s="639"/>
      <c r="E688" s="639"/>
      <c r="F688" s="639"/>
      <c r="G688" s="639"/>
      <c r="H688" s="639"/>
      <c r="I688" s="639"/>
      <c r="J688" s="639"/>
      <c r="K688" s="639"/>
      <c r="L688" s="639"/>
      <c r="M688" s="639"/>
      <c r="N688" s="639"/>
      <c r="O688" s="639"/>
      <c r="P688" s="639"/>
      <c r="Q688" s="639"/>
      <c r="R688" s="639"/>
      <c r="S688" s="639"/>
      <c r="T688" s="639"/>
      <c r="U688" s="639"/>
      <c r="V688" s="639"/>
      <c r="W688" s="639"/>
      <c r="X688" s="639"/>
      <c r="Y688" s="639"/>
      <c r="Z688" s="639"/>
      <c r="AA688" s="639"/>
      <c r="AB688" s="639"/>
    </row>
    <row r="689" spans="1:28">
      <c r="A689" s="639"/>
      <c r="B689" s="639"/>
      <c r="C689" s="639"/>
      <c r="D689" s="639"/>
      <c r="E689" s="639"/>
      <c r="F689" s="639"/>
      <c r="G689" s="639"/>
      <c r="H689" s="639"/>
      <c r="I689" s="639"/>
      <c r="J689" s="639"/>
      <c r="K689" s="639"/>
      <c r="L689" s="639"/>
      <c r="M689" s="639"/>
      <c r="N689" s="639"/>
      <c r="O689" s="639"/>
      <c r="P689" s="639"/>
      <c r="Q689" s="639"/>
      <c r="R689" s="639"/>
      <c r="S689" s="639"/>
      <c r="T689" s="639"/>
      <c r="U689" s="639"/>
      <c r="V689" s="639"/>
      <c r="W689" s="639"/>
      <c r="X689" s="639"/>
      <c r="Y689" s="639"/>
      <c r="Z689" s="639"/>
      <c r="AA689" s="639"/>
      <c r="AB689" s="639"/>
    </row>
    <row r="690" spans="1:28">
      <c r="A690" s="639"/>
      <c r="B690" s="639"/>
      <c r="C690" s="639"/>
      <c r="D690" s="639"/>
      <c r="E690" s="639"/>
      <c r="F690" s="639"/>
      <c r="G690" s="639"/>
      <c r="H690" s="639"/>
      <c r="I690" s="639"/>
      <c r="J690" s="639"/>
      <c r="K690" s="639"/>
      <c r="L690" s="639"/>
      <c r="M690" s="639"/>
      <c r="N690" s="639"/>
      <c r="O690" s="639"/>
      <c r="P690" s="639"/>
      <c r="Q690" s="639"/>
      <c r="R690" s="639"/>
      <c r="S690" s="639"/>
      <c r="T690" s="639"/>
      <c r="U690" s="639"/>
      <c r="V690" s="639"/>
      <c r="W690" s="639"/>
      <c r="X690" s="639"/>
      <c r="Y690" s="639"/>
      <c r="Z690" s="639"/>
      <c r="AA690" s="639"/>
      <c r="AB690" s="639"/>
    </row>
    <row r="691" spans="1:28">
      <c r="A691" s="639"/>
      <c r="B691" s="639"/>
      <c r="C691" s="639"/>
      <c r="D691" s="639"/>
      <c r="E691" s="639"/>
      <c r="F691" s="639"/>
      <c r="G691" s="639"/>
      <c r="H691" s="639"/>
      <c r="I691" s="639"/>
      <c r="J691" s="639"/>
      <c r="K691" s="639"/>
      <c r="L691" s="639"/>
      <c r="M691" s="639"/>
      <c r="N691" s="639"/>
      <c r="O691" s="639"/>
      <c r="P691" s="639"/>
      <c r="Q691" s="639"/>
      <c r="R691" s="639"/>
      <c r="S691" s="639"/>
      <c r="T691" s="639"/>
      <c r="U691" s="639"/>
      <c r="V691" s="639"/>
      <c r="W691" s="639"/>
      <c r="X691" s="639"/>
      <c r="Y691" s="639"/>
      <c r="Z691" s="639"/>
      <c r="AA691" s="639"/>
      <c r="AB691" s="639"/>
    </row>
    <row r="692" spans="1:28">
      <c r="A692" s="639"/>
      <c r="B692" s="639"/>
      <c r="C692" s="639"/>
      <c r="D692" s="639"/>
      <c r="E692" s="639"/>
      <c r="F692" s="639"/>
      <c r="G692" s="639"/>
      <c r="H692" s="639"/>
      <c r="I692" s="639"/>
      <c r="J692" s="639"/>
      <c r="K692" s="639"/>
      <c r="L692" s="639"/>
      <c r="M692" s="639"/>
      <c r="N692" s="639"/>
      <c r="O692" s="639"/>
      <c r="P692" s="639"/>
      <c r="Q692" s="639"/>
      <c r="R692" s="639"/>
      <c r="S692" s="639"/>
      <c r="T692" s="639"/>
      <c r="U692" s="639"/>
      <c r="V692" s="639"/>
      <c r="W692" s="639"/>
      <c r="X692" s="639"/>
      <c r="Y692" s="639"/>
      <c r="Z692" s="639"/>
      <c r="AA692" s="639"/>
      <c r="AB692" s="639"/>
    </row>
    <row r="693" spans="1:28">
      <c r="A693" s="639"/>
      <c r="B693" s="639"/>
      <c r="C693" s="639"/>
      <c r="D693" s="639"/>
      <c r="E693" s="639"/>
      <c r="F693" s="639"/>
      <c r="G693" s="639"/>
      <c r="H693" s="639"/>
      <c r="I693" s="639"/>
      <c r="J693" s="639"/>
      <c r="K693" s="639"/>
      <c r="L693" s="639"/>
      <c r="M693" s="639"/>
      <c r="N693" s="639"/>
      <c r="O693" s="639"/>
      <c r="P693" s="639"/>
      <c r="Q693" s="639"/>
      <c r="R693" s="639"/>
      <c r="S693" s="639"/>
      <c r="T693" s="639"/>
      <c r="U693" s="639"/>
      <c r="V693" s="639"/>
      <c r="W693" s="639"/>
      <c r="X693" s="639"/>
      <c r="Y693" s="639"/>
      <c r="Z693" s="639"/>
      <c r="AA693" s="639"/>
      <c r="AB693" s="639"/>
    </row>
    <row r="694" spans="1:28">
      <c r="A694" s="639"/>
      <c r="B694" s="639"/>
      <c r="C694" s="639"/>
      <c r="D694" s="639"/>
      <c r="E694" s="639"/>
      <c r="F694" s="639"/>
      <c r="G694" s="639"/>
      <c r="H694" s="639"/>
      <c r="I694" s="639"/>
      <c r="J694" s="639"/>
      <c r="K694" s="639"/>
      <c r="L694" s="639"/>
      <c r="M694" s="639"/>
      <c r="N694" s="639"/>
      <c r="O694" s="639"/>
      <c r="P694" s="639"/>
      <c r="Q694" s="639"/>
      <c r="R694" s="639"/>
      <c r="S694" s="639"/>
      <c r="T694" s="639"/>
      <c r="U694" s="639"/>
      <c r="V694" s="639"/>
      <c r="W694" s="639"/>
      <c r="X694" s="639"/>
      <c r="Y694" s="639"/>
      <c r="Z694" s="639"/>
      <c r="AA694" s="639"/>
      <c r="AB694" s="639"/>
    </row>
    <row r="695" spans="1:28">
      <c r="A695" s="639"/>
      <c r="B695" s="639"/>
      <c r="C695" s="639"/>
      <c r="D695" s="639"/>
      <c r="E695" s="639"/>
      <c r="F695" s="639"/>
      <c r="G695" s="639"/>
      <c r="H695" s="639"/>
      <c r="I695" s="639"/>
      <c r="J695" s="639"/>
      <c r="K695" s="639"/>
      <c r="L695" s="639"/>
      <c r="M695" s="639"/>
      <c r="N695" s="639"/>
      <c r="O695" s="639"/>
      <c r="P695" s="639"/>
      <c r="Q695" s="639"/>
      <c r="R695" s="639"/>
      <c r="S695" s="639"/>
      <c r="T695" s="639"/>
      <c r="U695" s="639"/>
      <c r="V695" s="639"/>
      <c r="W695" s="639"/>
      <c r="X695" s="639"/>
      <c r="Y695" s="639"/>
      <c r="Z695" s="639"/>
      <c r="AA695" s="639"/>
      <c r="AB695" s="639"/>
    </row>
    <row r="696" spans="1:28">
      <c r="A696" s="639"/>
      <c r="B696" s="639"/>
      <c r="C696" s="639"/>
      <c r="D696" s="639"/>
      <c r="E696" s="639"/>
      <c r="F696" s="639"/>
      <c r="G696" s="639"/>
      <c r="H696" s="639"/>
      <c r="I696" s="639"/>
      <c r="J696" s="639"/>
      <c r="K696" s="639"/>
      <c r="L696" s="639"/>
      <c r="M696" s="639"/>
      <c r="N696" s="639"/>
      <c r="O696" s="639"/>
      <c r="P696" s="639"/>
      <c r="Q696" s="639"/>
      <c r="R696" s="639"/>
      <c r="S696" s="639"/>
      <c r="T696" s="639"/>
      <c r="U696" s="639"/>
      <c r="V696" s="639"/>
      <c r="W696" s="639"/>
      <c r="X696" s="639"/>
      <c r="Y696" s="639"/>
      <c r="Z696" s="639"/>
      <c r="AA696" s="639"/>
      <c r="AB696" s="639"/>
    </row>
    <row r="697" spans="1:28">
      <c r="A697" s="639"/>
      <c r="B697" s="639"/>
      <c r="C697" s="639"/>
      <c r="D697" s="639"/>
      <c r="E697" s="639"/>
      <c r="F697" s="639"/>
      <c r="G697" s="639"/>
      <c r="H697" s="639"/>
      <c r="I697" s="639"/>
      <c r="J697" s="639"/>
      <c r="K697" s="639"/>
      <c r="L697" s="639"/>
      <c r="M697" s="639"/>
      <c r="N697" s="639"/>
      <c r="O697" s="639"/>
      <c r="P697" s="639"/>
      <c r="Q697" s="639"/>
      <c r="R697" s="639"/>
      <c r="S697" s="639"/>
      <c r="T697" s="639"/>
      <c r="U697" s="639"/>
      <c r="V697" s="639"/>
      <c r="W697" s="639"/>
      <c r="X697" s="639"/>
      <c r="Y697" s="639"/>
      <c r="Z697" s="639"/>
      <c r="AA697" s="639"/>
      <c r="AB697" s="639"/>
    </row>
    <row r="698" spans="1:28">
      <c r="A698" s="639"/>
      <c r="B698" s="639"/>
      <c r="C698" s="639"/>
      <c r="D698" s="639"/>
      <c r="E698" s="639"/>
      <c r="F698" s="639"/>
      <c r="G698" s="639"/>
      <c r="H698" s="639"/>
      <c r="I698" s="639"/>
      <c r="J698" s="639"/>
      <c r="K698" s="639"/>
      <c r="L698" s="639"/>
      <c r="M698" s="639"/>
      <c r="N698" s="639"/>
      <c r="O698" s="639"/>
      <c r="P698" s="639"/>
      <c r="Q698" s="639"/>
      <c r="R698" s="639"/>
      <c r="S698" s="639"/>
      <c r="T698" s="639"/>
      <c r="U698" s="639"/>
      <c r="V698" s="639"/>
      <c r="W698" s="639"/>
      <c r="X698" s="639"/>
      <c r="Y698" s="639"/>
      <c r="Z698" s="639"/>
      <c r="AA698" s="639"/>
      <c r="AB698" s="639"/>
    </row>
    <row r="699" spans="1:28">
      <c r="A699" s="639"/>
      <c r="B699" s="639"/>
      <c r="C699" s="639"/>
      <c r="D699" s="639"/>
      <c r="E699" s="639"/>
      <c r="F699" s="639"/>
      <c r="G699" s="639"/>
      <c r="H699" s="639"/>
      <c r="I699" s="639"/>
      <c r="J699" s="639"/>
      <c r="K699" s="639"/>
      <c r="L699" s="639"/>
      <c r="M699" s="639"/>
      <c r="N699" s="639"/>
      <c r="O699" s="639"/>
      <c r="P699" s="639"/>
      <c r="Q699" s="639"/>
      <c r="R699" s="639"/>
      <c r="S699" s="639"/>
      <c r="T699" s="639"/>
      <c r="U699" s="639"/>
      <c r="V699" s="639"/>
      <c r="W699" s="639"/>
      <c r="X699" s="639"/>
      <c r="Y699" s="639"/>
      <c r="Z699" s="639"/>
      <c r="AA699" s="639"/>
      <c r="AB699" s="639"/>
    </row>
    <row r="700" spans="1:28">
      <c r="A700" s="639"/>
      <c r="B700" s="639"/>
      <c r="C700" s="639"/>
      <c r="D700" s="639"/>
      <c r="E700" s="639"/>
      <c r="F700" s="639"/>
      <c r="G700" s="639"/>
      <c r="H700" s="639"/>
      <c r="I700" s="639"/>
      <c r="J700" s="639"/>
      <c r="K700" s="639"/>
      <c r="L700" s="639"/>
      <c r="M700" s="639"/>
      <c r="N700" s="639"/>
      <c r="O700" s="639"/>
      <c r="P700" s="639"/>
      <c r="Q700" s="639"/>
      <c r="R700" s="639"/>
      <c r="S700" s="639"/>
      <c r="T700" s="639"/>
      <c r="U700" s="639"/>
      <c r="V700" s="639"/>
      <c r="W700" s="639"/>
      <c r="X700" s="639"/>
      <c r="Y700" s="639"/>
      <c r="Z700" s="639"/>
      <c r="AA700" s="639"/>
      <c r="AB700" s="639"/>
    </row>
    <row r="701" spans="1:28">
      <c r="A701" s="639"/>
      <c r="B701" s="639"/>
      <c r="C701" s="639"/>
      <c r="D701" s="639"/>
      <c r="E701" s="639"/>
      <c r="F701" s="639"/>
      <c r="G701" s="639"/>
      <c r="H701" s="639"/>
      <c r="I701" s="639"/>
      <c r="J701" s="639"/>
      <c r="K701" s="639"/>
      <c r="L701" s="639"/>
      <c r="M701" s="639"/>
      <c r="N701" s="639"/>
      <c r="O701" s="639"/>
      <c r="P701" s="639"/>
      <c r="Q701" s="639"/>
      <c r="R701" s="639"/>
      <c r="S701" s="639"/>
      <c r="T701" s="639"/>
      <c r="U701" s="639"/>
      <c r="V701" s="639"/>
      <c r="W701" s="639"/>
      <c r="X701" s="639"/>
      <c r="Y701" s="639"/>
      <c r="Z701" s="639"/>
      <c r="AA701" s="639"/>
      <c r="AB701" s="639"/>
    </row>
    <row r="702" spans="1:28">
      <c r="A702" s="639"/>
      <c r="B702" s="639"/>
      <c r="C702" s="639"/>
      <c r="D702" s="639"/>
      <c r="E702" s="639"/>
      <c r="F702" s="639"/>
      <c r="G702" s="639"/>
      <c r="H702" s="639"/>
      <c r="I702" s="639"/>
      <c r="J702" s="639"/>
      <c r="K702" s="639"/>
      <c r="L702" s="639"/>
      <c r="M702" s="639"/>
      <c r="N702" s="639"/>
      <c r="O702" s="639"/>
      <c r="P702" s="639"/>
      <c r="Q702" s="639"/>
      <c r="R702" s="639"/>
      <c r="S702" s="639"/>
      <c r="T702" s="639"/>
      <c r="U702" s="639"/>
      <c r="V702" s="639"/>
      <c r="W702" s="639"/>
      <c r="X702" s="639"/>
      <c r="Y702" s="639"/>
      <c r="Z702" s="639"/>
      <c r="AA702" s="639"/>
      <c r="AB702" s="639"/>
    </row>
    <row r="703" spans="1:28">
      <c r="A703" s="639"/>
      <c r="B703" s="639"/>
      <c r="C703" s="639"/>
      <c r="D703" s="639"/>
      <c r="E703" s="639"/>
      <c r="F703" s="639"/>
      <c r="G703" s="639"/>
      <c r="H703" s="639"/>
      <c r="I703" s="639"/>
      <c r="J703" s="639"/>
      <c r="K703" s="639"/>
      <c r="L703" s="639"/>
      <c r="M703" s="639"/>
      <c r="N703" s="639"/>
      <c r="O703" s="639"/>
      <c r="P703" s="639"/>
      <c r="Q703" s="639"/>
      <c r="R703" s="639"/>
      <c r="S703" s="639"/>
      <c r="T703" s="639"/>
      <c r="U703" s="639"/>
      <c r="V703" s="639"/>
      <c r="W703" s="639"/>
      <c r="X703" s="639"/>
      <c r="Y703" s="639"/>
      <c r="Z703" s="639"/>
      <c r="AA703" s="639"/>
      <c r="AB703" s="639"/>
    </row>
    <row r="704" spans="1:28">
      <c r="A704" s="639"/>
      <c r="B704" s="639"/>
      <c r="C704" s="639"/>
      <c r="D704" s="639"/>
      <c r="E704" s="639"/>
      <c r="F704" s="639"/>
      <c r="G704" s="639"/>
      <c r="H704" s="639"/>
      <c r="I704" s="639"/>
      <c r="J704" s="639"/>
      <c r="K704" s="639"/>
      <c r="L704" s="639"/>
      <c r="M704" s="639"/>
      <c r="N704" s="639"/>
      <c r="O704" s="639"/>
      <c r="P704" s="639"/>
      <c r="Q704" s="639"/>
      <c r="R704" s="639"/>
      <c r="S704" s="639"/>
      <c r="T704" s="639"/>
      <c r="U704" s="639"/>
      <c r="V704" s="639"/>
      <c r="W704" s="639"/>
      <c r="X704" s="639"/>
      <c r="Y704" s="639"/>
      <c r="Z704" s="639"/>
      <c r="AA704" s="639"/>
      <c r="AB704" s="639"/>
    </row>
    <row r="705" spans="1:28">
      <c r="A705" s="639"/>
      <c r="B705" s="639"/>
      <c r="C705" s="639"/>
      <c r="D705" s="639"/>
      <c r="E705" s="639"/>
      <c r="F705" s="639"/>
      <c r="G705" s="639"/>
      <c r="H705" s="639"/>
      <c r="I705" s="639"/>
      <c r="J705" s="639"/>
      <c r="K705" s="639"/>
      <c r="L705" s="639"/>
      <c r="M705" s="639"/>
      <c r="N705" s="639"/>
      <c r="O705" s="639"/>
      <c r="P705" s="639"/>
      <c r="Q705" s="639"/>
      <c r="R705" s="639"/>
      <c r="S705" s="639"/>
      <c r="T705" s="639"/>
      <c r="U705" s="639"/>
      <c r="V705" s="639"/>
      <c r="W705" s="639"/>
      <c r="X705" s="639"/>
      <c r="Y705" s="639"/>
      <c r="Z705" s="639"/>
      <c r="AA705" s="639"/>
      <c r="AB705" s="639"/>
    </row>
    <row r="706" spans="1:28">
      <c r="A706" s="639"/>
      <c r="B706" s="639"/>
      <c r="C706" s="639"/>
      <c r="D706" s="639"/>
      <c r="E706" s="639"/>
      <c r="F706" s="639"/>
      <c r="G706" s="639"/>
      <c r="H706" s="639"/>
      <c r="I706" s="639"/>
      <c r="J706" s="639"/>
      <c r="K706" s="639"/>
      <c r="L706" s="639"/>
      <c r="M706" s="639"/>
      <c r="N706" s="639"/>
      <c r="O706" s="639"/>
      <c r="P706" s="639"/>
      <c r="Q706" s="639"/>
      <c r="R706" s="639"/>
      <c r="S706" s="639"/>
      <c r="T706" s="639"/>
      <c r="U706" s="639"/>
      <c r="V706" s="639"/>
      <c r="W706" s="639"/>
      <c r="X706" s="639"/>
      <c r="Y706" s="639"/>
      <c r="Z706" s="639"/>
      <c r="AA706" s="639"/>
      <c r="AB706" s="639"/>
    </row>
    <row r="707" spans="1:28">
      <c r="A707" s="639"/>
      <c r="B707" s="639"/>
      <c r="C707" s="639"/>
      <c r="D707" s="639"/>
      <c r="E707" s="639"/>
      <c r="F707" s="639"/>
      <c r="G707" s="639"/>
      <c r="H707" s="639"/>
      <c r="I707" s="639"/>
      <c r="J707" s="639"/>
      <c r="K707" s="639"/>
      <c r="L707" s="639"/>
      <c r="M707" s="639"/>
      <c r="N707" s="639"/>
      <c r="O707" s="639"/>
      <c r="P707" s="639"/>
      <c r="Q707" s="639"/>
      <c r="R707" s="639"/>
      <c r="S707" s="639"/>
      <c r="T707" s="639"/>
      <c r="U707" s="639"/>
      <c r="V707" s="639"/>
      <c r="W707" s="639"/>
      <c r="X707" s="639"/>
      <c r="Y707" s="639"/>
      <c r="Z707" s="639"/>
      <c r="AA707" s="639"/>
      <c r="AB707" s="639"/>
    </row>
    <row r="708" spans="1:28">
      <c r="A708" s="639"/>
      <c r="B708" s="639"/>
      <c r="C708" s="639"/>
      <c r="D708" s="639"/>
      <c r="E708" s="639"/>
      <c r="F708" s="639"/>
      <c r="G708" s="639"/>
      <c r="H708" s="639"/>
      <c r="I708" s="639"/>
      <c r="J708" s="639"/>
      <c r="K708" s="639"/>
      <c r="L708" s="639"/>
      <c r="M708" s="639"/>
      <c r="N708" s="639"/>
      <c r="O708" s="639"/>
      <c r="P708" s="639"/>
      <c r="Q708" s="639"/>
      <c r="R708" s="639"/>
      <c r="S708" s="639"/>
      <c r="T708" s="639"/>
      <c r="U708" s="639"/>
      <c r="V708" s="639"/>
      <c r="W708" s="639"/>
      <c r="X708" s="639"/>
      <c r="Y708" s="639"/>
      <c r="Z708" s="639"/>
      <c r="AA708" s="639"/>
      <c r="AB708" s="639"/>
    </row>
    <row r="709" spans="1:28">
      <c r="A709" s="639"/>
      <c r="B709" s="639"/>
      <c r="C709" s="639"/>
      <c r="D709" s="639"/>
      <c r="E709" s="639"/>
      <c r="F709" s="639"/>
      <c r="G709" s="639"/>
      <c r="H709" s="639"/>
      <c r="I709" s="639"/>
      <c r="J709" s="639"/>
      <c r="K709" s="639"/>
      <c r="L709" s="639"/>
      <c r="M709" s="639"/>
      <c r="N709" s="639"/>
      <c r="O709" s="639"/>
      <c r="P709" s="639"/>
      <c r="Q709" s="639"/>
      <c r="R709" s="639"/>
      <c r="S709" s="639"/>
      <c r="T709" s="639"/>
      <c r="U709" s="639"/>
      <c r="V709" s="639"/>
      <c r="W709" s="639"/>
      <c r="X709" s="639"/>
      <c r="Y709" s="639"/>
      <c r="Z709" s="639"/>
      <c r="AA709" s="639"/>
      <c r="AB709" s="639"/>
    </row>
    <row r="710" spans="1:28">
      <c r="A710" s="639"/>
      <c r="B710" s="639"/>
      <c r="C710" s="639"/>
      <c r="D710" s="639"/>
      <c r="E710" s="639"/>
      <c r="F710" s="639"/>
      <c r="G710" s="639"/>
      <c r="H710" s="639"/>
      <c r="I710" s="639"/>
      <c r="J710" s="639"/>
      <c r="K710" s="639"/>
      <c r="L710" s="639"/>
      <c r="M710" s="639"/>
      <c r="N710" s="639"/>
      <c r="O710" s="639"/>
      <c r="P710" s="639"/>
      <c r="Q710" s="639"/>
      <c r="R710" s="639"/>
      <c r="S710" s="639"/>
      <c r="T710" s="639"/>
      <c r="U710" s="639"/>
      <c r="V710" s="639"/>
      <c r="W710" s="639"/>
      <c r="X710" s="639"/>
      <c r="Y710" s="639"/>
      <c r="Z710" s="639"/>
      <c r="AA710" s="639"/>
      <c r="AB710" s="639"/>
    </row>
    <row r="711" spans="1:28">
      <c r="A711" s="639"/>
      <c r="B711" s="639"/>
      <c r="C711" s="639"/>
      <c r="D711" s="639"/>
      <c r="E711" s="639"/>
      <c r="F711" s="639"/>
      <c r="G711" s="639"/>
      <c r="H711" s="639"/>
      <c r="I711" s="639"/>
      <c r="J711" s="639"/>
      <c r="K711" s="639"/>
      <c r="L711" s="639"/>
      <c r="M711" s="639"/>
      <c r="N711" s="639"/>
      <c r="O711" s="639"/>
      <c r="P711" s="639"/>
      <c r="Q711" s="639"/>
      <c r="R711" s="639"/>
      <c r="S711" s="639"/>
      <c r="T711" s="639"/>
      <c r="U711" s="639"/>
      <c r="V711" s="639"/>
      <c r="W711" s="639"/>
      <c r="X711" s="639"/>
      <c r="Y711" s="639"/>
      <c r="Z711" s="639"/>
      <c r="AA711" s="639"/>
      <c r="AB711" s="639"/>
    </row>
    <row r="712" spans="1:28">
      <c r="A712" s="639"/>
      <c r="B712" s="639"/>
      <c r="C712" s="639"/>
      <c r="D712" s="639"/>
      <c r="E712" s="639"/>
      <c r="F712" s="639"/>
      <c r="G712" s="639"/>
      <c r="H712" s="639"/>
      <c r="I712" s="639"/>
      <c r="J712" s="639"/>
      <c r="K712" s="639"/>
      <c r="L712" s="639"/>
      <c r="M712" s="639"/>
      <c r="N712" s="639"/>
      <c r="O712" s="639"/>
      <c r="P712" s="639"/>
      <c r="Q712" s="639"/>
      <c r="R712" s="639"/>
      <c r="S712" s="639"/>
      <c r="T712" s="639"/>
      <c r="U712" s="639"/>
      <c r="V712" s="639"/>
      <c r="W712" s="639"/>
      <c r="X712" s="639"/>
      <c r="Y712" s="639"/>
      <c r="Z712" s="639"/>
      <c r="AA712" s="639"/>
      <c r="AB712" s="639"/>
    </row>
    <row r="713" spans="1:28">
      <c r="A713" s="639"/>
      <c r="B713" s="639"/>
      <c r="C713" s="639"/>
      <c r="D713" s="639"/>
      <c r="E713" s="639"/>
      <c r="F713" s="639"/>
      <c r="G713" s="639"/>
      <c r="H713" s="639"/>
      <c r="I713" s="639"/>
      <c r="J713" s="639"/>
      <c r="K713" s="639"/>
      <c r="L713" s="639"/>
      <c r="M713" s="639"/>
      <c r="N713" s="639"/>
      <c r="O713" s="639"/>
      <c r="P713" s="639"/>
      <c r="Q713" s="639"/>
      <c r="R713" s="639"/>
      <c r="S713" s="639"/>
      <c r="T713" s="639"/>
      <c r="U713" s="639"/>
      <c r="V713" s="639"/>
      <c r="W713" s="639"/>
      <c r="X713" s="639"/>
      <c r="Y713" s="639"/>
      <c r="Z713" s="639"/>
      <c r="AA713" s="639"/>
      <c r="AB713" s="639"/>
    </row>
    <row r="714" spans="1:28">
      <c r="A714" s="639"/>
      <c r="B714" s="639"/>
      <c r="C714" s="639"/>
      <c r="D714" s="639"/>
      <c r="E714" s="639"/>
      <c r="F714" s="639"/>
      <c r="G714" s="639"/>
      <c r="H714" s="639"/>
      <c r="I714" s="639"/>
      <c r="J714" s="639"/>
      <c r="K714" s="639"/>
      <c r="L714" s="639"/>
      <c r="M714" s="639"/>
      <c r="N714" s="639"/>
      <c r="O714" s="639"/>
      <c r="P714" s="639"/>
      <c r="Q714" s="639"/>
      <c r="R714" s="639"/>
      <c r="S714" s="639"/>
      <c r="T714" s="639"/>
      <c r="U714" s="639"/>
      <c r="V714" s="639"/>
      <c r="W714" s="639"/>
      <c r="X714" s="639"/>
      <c r="Y714" s="639"/>
      <c r="Z714" s="639"/>
      <c r="AA714" s="639"/>
      <c r="AB714" s="639"/>
    </row>
    <row r="715" spans="1:28">
      <c r="A715" s="639"/>
      <c r="B715" s="639"/>
      <c r="C715" s="639"/>
      <c r="D715" s="639"/>
      <c r="E715" s="639"/>
      <c r="F715" s="639"/>
      <c r="G715" s="639"/>
      <c r="H715" s="639"/>
      <c r="I715" s="639"/>
      <c r="J715" s="639"/>
      <c r="K715" s="639"/>
      <c r="L715" s="639"/>
      <c r="M715" s="639"/>
      <c r="N715" s="639"/>
      <c r="O715" s="639"/>
      <c r="P715" s="639"/>
      <c r="Q715" s="639"/>
      <c r="R715" s="639"/>
      <c r="S715" s="639"/>
      <c r="T715" s="639"/>
      <c r="U715" s="639"/>
      <c r="V715" s="639"/>
      <c r="W715" s="639"/>
      <c r="X715" s="639"/>
      <c r="Y715" s="639"/>
      <c r="Z715" s="639"/>
      <c r="AA715" s="639"/>
      <c r="AB715" s="639"/>
    </row>
    <row r="716" spans="1:28">
      <c r="A716" s="639"/>
      <c r="B716" s="639"/>
      <c r="C716" s="639"/>
      <c r="D716" s="639"/>
      <c r="E716" s="639"/>
      <c r="F716" s="639"/>
      <c r="G716" s="639"/>
      <c r="H716" s="639"/>
      <c r="I716" s="639"/>
      <c r="J716" s="639"/>
      <c r="K716" s="639"/>
      <c r="L716" s="639"/>
      <c r="M716" s="639"/>
      <c r="N716" s="639"/>
      <c r="O716" s="639"/>
      <c r="P716" s="639"/>
      <c r="Q716" s="639"/>
      <c r="R716" s="639"/>
      <c r="S716" s="639"/>
      <c r="T716" s="639"/>
      <c r="U716" s="639"/>
      <c r="V716" s="639"/>
      <c r="W716" s="639"/>
      <c r="X716" s="639"/>
      <c r="Y716" s="639"/>
      <c r="Z716" s="639"/>
      <c r="AA716" s="639"/>
      <c r="AB716" s="639"/>
    </row>
    <row r="717" spans="1:28">
      <c r="A717" s="639"/>
      <c r="B717" s="639"/>
      <c r="C717" s="639"/>
      <c r="D717" s="639"/>
      <c r="E717" s="639"/>
      <c r="F717" s="639"/>
      <c r="G717" s="639"/>
      <c r="H717" s="639"/>
      <c r="I717" s="639"/>
      <c r="J717" s="639"/>
      <c r="K717" s="639"/>
      <c r="L717" s="639"/>
      <c r="M717" s="639"/>
      <c r="N717" s="639"/>
      <c r="O717" s="639"/>
      <c r="P717" s="639"/>
      <c r="Q717" s="639"/>
      <c r="R717" s="639"/>
      <c r="S717" s="639"/>
      <c r="T717" s="639"/>
      <c r="U717" s="639"/>
      <c r="V717" s="639"/>
      <c r="W717" s="639"/>
      <c r="X717" s="639"/>
      <c r="Y717" s="639"/>
      <c r="Z717" s="639"/>
      <c r="AA717" s="639"/>
      <c r="AB717" s="639"/>
    </row>
    <row r="718" spans="1:28">
      <c r="A718" s="639"/>
      <c r="B718" s="639"/>
      <c r="C718" s="639"/>
      <c r="D718" s="639"/>
      <c r="E718" s="639"/>
      <c r="F718" s="639"/>
      <c r="G718" s="639"/>
      <c r="H718" s="639"/>
      <c r="I718" s="639"/>
      <c r="J718" s="639"/>
      <c r="K718" s="639"/>
      <c r="L718" s="639"/>
      <c r="M718" s="639"/>
      <c r="N718" s="639"/>
      <c r="O718" s="639"/>
      <c r="P718" s="639"/>
      <c r="Q718" s="639"/>
      <c r="R718" s="639"/>
      <c r="S718" s="639"/>
      <c r="T718" s="639"/>
      <c r="U718" s="639"/>
      <c r="V718" s="639"/>
      <c r="W718" s="639"/>
      <c r="X718" s="639"/>
      <c r="Y718" s="639"/>
      <c r="Z718" s="639"/>
      <c r="AA718" s="639"/>
      <c r="AB718" s="639"/>
    </row>
    <row r="719" spans="1:28">
      <c r="A719" s="639"/>
      <c r="B719" s="639"/>
      <c r="C719" s="639"/>
      <c r="D719" s="639"/>
      <c r="E719" s="639"/>
      <c r="F719" s="639"/>
      <c r="G719" s="639"/>
      <c r="H719" s="639"/>
      <c r="I719" s="639"/>
      <c r="J719" s="639"/>
      <c r="K719" s="639"/>
      <c r="L719" s="639"/>
      <c r="M719" s="639"/>
      <c r="N719" s="639"/>
      <c r="O719" s="639"/>
      <c r="P719" s="639"/>
      <c r="Q719" s="639"/>
      <c r="R719" s="639"/>
      <c r="S719" s="639"/>
      <c r="T719" s="639"/>
      <c r="U719" s="639"/>
      <c r="V719" s="639"/>
      <c r="W719" s="639"/>
      <c r="X719" s="639"/>
      <c r="Y719" s="639"/>
      <c r="Z719" s="639"/>
      <c r="AA719" s="639"/>
      <c r="AB719" s="639"/>
    </row>
    <row r="720" spans="1:28">
      <c r="A720" s="639"/>
      <c r="B720" s="639"/>
      <c r="C720" s="639"/>
      <c r="D720" s="639"/>
      <c r="E720" s="639"/>
      <c r="F720" s="639"/>
      <c r="G720" s="639"/>
      <c r="H720" s="639"/>
      <c r="I720" s="639"/>
      <c r="J720" s="639"/>
      <c r="K720" s="639"/>
      <c r="L720" s="639"/>
      <c r="M720" s="639"/>
      <c r="N720" s="639"/>
      <c r="O720" s="639"/>
      <c r="P720" s="639"/>
      <c r="Q720" s="639"/>
      <c r="R720" s="639"/>
      <c r="S720" s="639"/>
      <c r="T720" s="639"/>
      <c r="U720" s="639"/>
      <c r="V720" s="639"/>
      <c r="W720" s="639"/>
      <c r="X720" s="639"/>
      <c r="Y720" s="639"/>
      <c r="Z720" s="639"/>
      <c r="AA720" s="639"/>
      <c r="AB720" s="639"/>
    </row>
    <row r="721" spans="1:28">
      <c r="A721" s="639"/>
      <c r="B721" s="639"/>
      <c r="C721" s="639"/>
      <c r="D721" s="639"/>
      <c r="E721" s="639"/>
      <c r="F721" s="639"/>
      <c r="G721" s="639"/>
      <c r="H721" s="639"/>
      <c r="I721" s="639"/>
      <c r="J721" s="639"/>
      <c r="K721" s="639"/>
      <c r="L721" s="639"/>
      <c r="M721" s="639"/>
      <c r="N721" s="639"/>
      <c r="O721" s="639"/>
      <c r="P721" s="639"/>
      <c r="Q721" s="639"/>
      <c r="R721" s="639"/>
      <c r="S721" s="639"/>
      <c r="T721" s="639"/>
      <c r="U721" s="639"/>
      <c r="V721" s="639"/>
      <c r="W721" s="639"/>
      <c r="X721" s="639"/>
      <c r="Y721" s="639"/>
      <c r="Z721" s="639"/>
      <c r="AA721" s="639"/>
      <c r="AB721" s="639"/>
    </row>
    <row r="722" spans="1:28">
      <c r="A722" s="639"/>
      <c r="B722" s="639"/>
      <c r="C722" s="639"/>
      <c r="D722" s="639"/>
      <c r="E722" s="639"/>
      <c r="F722" s="639"/>
      <c r="G722" s="639"/>
      <c r="H722" s="639"/>
      <c r="I722" s="639"/>
      <c r="J722" s="639"/>
      <c r="K722" s="639"/>
      <c r="L722" s="639"/>
      <c r="M722" s="639"/>
      <c r="N722" s="639"/>
      <c r="O722" s="639"/>
      <c r="P722" s="639"/>
      <c r="Q722" s="639"/>
      <c r="R722" s="639"/>
      <c r="S722" s="639"/>
      <c r="T722" s="639"/>
      <c r="U722" s="639"/>
      <c r="V722" s="639"/>
      <c r="W722" s="639"/>
      <c r="X722" s="639"/>
      <c r="Y722" s="639"/>
      <c r="Z722" s="639"/>
      <c r="AA722" s="639"/>
      <c r="AB722" s="639"/>
    </row>
    <row r="723" spans="1:28">
      <c r="A723" s="639"/>
      <c r="B723" s="639"/>
      <c r="C723" s="639"/>
      <c r="D723" s="639"/>
      <c r="E723" s="639"/>
      <c r="F723" s="639"/>
      <c r="G723" s="639"/>
      <c r="H723" s="639"/>
      <c r="I723" s="639"/>
      <c r="J723" s="639"/>
      <c r="K723" s="639"/>
      <c r="L723" s="639"/>
      <c r="M723" s="639"/>
      <c r="N723" s="639"/>
      <c r="O723" s="639"/>
      <c r="P723" s="639"/>
      <c r="Q723" s="639"/>
      <c r="R723" s="639"/>
      <c r="S723" s="639"/>
      <c r="T723" s="639"/>
      <c r="U723" s="639"/>
      <c r="V723" s="639"/>
      <c r="W723" s="639"/>
      <c r="X723" s="639"/>
      <c r="Y723" s="639"/>
      <c r="Z723" s="639"/>
      <c r="AA723" s="639"/>
      <c r="AB723" s="639"/>
    </row>
    <row r="724" spans="1:28">
      <c r="A724" s="639"/>
      <c r="B724" s="639"/>
      <c r="C724" s="639"/>
      <c r="D724" s="639"/>
      <c r="E724" s="639"/>
      <c r="F724" s="639"/>
      <c r="G724" s="639"/>
      <c r="H724" s="639"/>
      <c r="I724" s="639"/>
      <c r="J724" s="639"/>
      <c r="K724" s="639"/>
      <c r="L724" s="639"/>
      <c r="M724" s="639"/>
      <c r="N724" s="639"/>
      <c r="O724" s="639"/>
      <c r="P724" s="639"/>
      <c r="Q724" s="639"/>
      <c r="R724" s="639"/>
      <c r="S724" s="639"/>
      <c r="T724" s="639"/>
      <c r="U724" s="639"/>
      <c r="V724" s="639"/>
      <c r="W724" s="639"/>
      <c r="X724" s="639"/>
      <c r="Y724" s="639"/>
      <c r="Z724" s="639"/>
      <c r="AA724" s="639"/>
      <c r="AB724" s="639"/>
    </row>
    <row r="725" spans="1:28">
      <c r="A725" s="639"/>
      <c r="B725" s="639"/>
      <c r="C725" s="639"/>
      <c r="D725" s="639"/>
      <c r="E725" s="639"/>
      <c r="F725" s="639"/>
      <c r="G725" s="639"/>
      <c r="H725" s="639"/>
      <c r="I725" s="639"/>
      <c r="J725" s="639"/>
      <c r="K725" s="639"/>
      <c r="L725" s="639"/>
      <c r="M725" s="639"/>
      <c r="N725" s="639"/>
      <c r="O725" s="639"/>
      <c r="P725" s="639"/>
      <c r="Q725" s="639"/>
      <c r="R725" s="639"/>
      <c r="S725" s="639"/>
      <c r="T725" s="639"/>
      <c r="U725" s="639"/>
      <c r="V725" s="639"/>
      <c r="W725" s="639"/>
      <c r="X725" s="639"/>
      <c r="Y725" s="639"/>
      <c r="Z725" s="639"/>
      <c r="AA725" s="639"/>
      <c r="AB725" s="639"/>
    </row>
    <row r="726" spans="1:28">
      <c r="A726" s="639"/>
      <c r="B726" s="639"/>
      <c r="C726" s="639"/>
      <c r="D726" s="639"/>
      <c r="E726" s="639"/>
      <c r="F726" s="639"/>
      <c r="G726" s="639"/>
      <c r="H726" s="639"/>
      <c r="I726" s="639"/>
      <c r="J726" s="639"/>
      <c r="K726" s="639"/>
      <c r="L726" s="639"/>
      <c r="M726" s="639"/>
      <c r="N726" s="639"/>
      <c r="O726" s="639"/>
      <c r="P726" s="639"/>
      <c r="Q726" s="639"/>
      <c r="R726" s="639"/>
      <c r="S726" s="639"/>
      <c r="T726" s="639"/>
      <c r="U726" s="639"/>
      <c r="V726" s="639"/>
      <c r="W726" s="639"/>
      <c r="X726" s="639"/>
      <c r="Y726" s="639"/>
      <c r="Z726" s="639"/>
      <c r="AA726" s="639"/>
      <c r="AB726" s="639"/>
    </row>
    <row r="727" spans="1:28">
      <c r="A727" s="639"/>
      <c r="B727" s="639"/>
      <c r="C727" s="639"/>
      <c r="D727" s="639"/>
      <c r="E727" s="639"/>
      <c r="F727" s="639"/>
      <c r="G727" s="639"/>
      <c r="H727" s="639"/>
      <c r="I727" s="639"/>
      <c r="J727" s="639"/>
      <c r="K727" s="639"/>
      <c r="L727" s="639"/>
      <c r="M727" s="639"/>
      <c r="N727" s="639"/>
      <c r="O727" s="639"/>
      <c r="P727" s="639"/>
      <c r="Q727" s="639"/>
      <c r="R727" s="639"/>
      <c r="S727" s="639"/>
      <c r="T727" s="639"/>
      <c r="U727" s="639"/>
      <c r="V727" s="639"/>
      <c r="W727" s="639"/>
      <c r="X727" s="639"/>
      <c r="Y727" s="639"/>
      <c r="Z727" s="639"/>
      <c r="AA727" s="639"/>
      <c r="AB727" s="639"/>
    </row>
    <row r="728" spans="1:28">
      <c r="A728" s="639"/>
      <c r="B728" s="639"/>
      <c r="C728" s="639"/>
      <c r="D728" s="639"/>
      <c r="E728" s="639"/>
      <c r="F728" s="639"/>
      <c r="G728" s="639"/>
      <c r="H728" s="639"/>
      <c r="I728" s="639"/>
      <c r="J728" s="639"/>
      <c r="K728" s="639"/>
      <c r="L728" s="639"/>
      <c r="M728" s="639"/>
      <c r="N728" s="639"/>
      <c r="O728" s="639"/>
      <c r="P728" s="639"/>
      <c r="Q728" s="639"/>
      <c r="R728" s="639"/>
      <c r="S728" s="639"/>
      <c r="T728" s="639"/>
      <c r="U728" s="639"/>
      <c r="V728" s="639"/>
      <c r="W728" s="639"/>
      <c r="X728" s="639"/>
      <c r="Y728" s="639"/>
      <c r="Z728" s="639"/>
      <c r="AA728" s="639"/>
      <c r="AB728" s="639"/>
    </row>
    <row r="729" spans="1:28">
      <c r="A729" s="639"/>
      <c r="B729" s="639"/>
      <c r="C729" s="639"/>
      <c r="D729" s="639"/>
      <c r="E729" s="639"/>
      <c r="F729" s="639"/>
      <c r="G729" s="639"/>
      <c r="H729" s="639"/>
      <c r="I729" s="639"/>
      <c r="J729" s="639"/>
      <c r="K729" s="639"/>
      <c r="L729" s="639"/>
      <c r="M729" s="639"/>
      <c r="N729" s="639"/>
      <c r="O729" s="639"/>
      <c r="P729" s="639"/>
      <c r="Q729" s="639"/>
      <c r="R729" s="639"/>
      <c r="S729" s="639"/>
      <c r="T729" s="639"/>
      <c r="U729" s="639"/>
      <c r="V729" s="639"/>
      <c r="W729" s="639"/>
      <c r="X729" s="639"/>
      <c r="Y729" s="639"/>
      <c r="Z729" s="639"/>
      <c r="AA729" s="639"/>
      <c r="AB729" s="639"/>
    </row>
    <row r="730" spans="1:28">
      <c r="A730" s="639"/>
      <c r="B730" s="639"/>
      <c r="C730" s="639"/>
      <c r="D730" s="639"/>
      <c r="E730" s="639"/>
      <c r="F730" s="639"/>
      <c r="G730" s="639"/>
      <c r="H730" s="639"/>
      <c r="I730" s="639"/>
      <c r="J730" s="639"/>
      <c r="K730" s="639"/>
      <c r="L730" s="639"/>
      <c r="M730" s="639"/>
      <c r="N730" s="639"/>
      <c r="O730" s="639"/>
      <c r="P730" s="639"/>
      <c r="Q730" s="639"/>
      <c r="R730" s="639"/>
      <c r="S730" s="639"/>
      <c r="T730" s="639"/>
      <c r="U730" s="639"/>
      <c r="V730" s="639"/>
      <c r="W730" s="639"/>
      <c r="X730" s="639"/>
      <c r="Y730" s="639"/>
      <c r="Z730" s="639"/>
      <c r="AA730" s="639"/>
      <c r="AB730" s="639"/>
    </row>
    <row r="731" spans="1:28">
      <c r="A731" s="639"/>
      <c r="B731" s="639"/>
      <c r="C731" s="639"/>
      <c r="D731" s="639"/>
      <c r="E731" s="639"/>
      <c r="F731" s="639"/>
      <c r="G731" s="639"/>
      <c r="H731" s="639"/>
      <c r="I731" s="639"/>
      <c r="J731" s="639"/>
      <c r="K731" s="639"/>
      <c r="L731" s="639"/>
      <c r="M731" s="639"/>
      <c r="N731" s="639"/>
      <c r="O731" s="639"/>
      <c r="P731" s="639"/>
      <c r="Q731" s="639"/>
      <c r="R731" s="639"/>
      <c r="S731" s="639"/>
      <c r="T731" s="639"/>
      <c r="U731" s="639"/>
      <c r="V731" s="639"/>
      <c r="W731" s="639"/>
      <c r="X731" s="639"/>
      <c r="Y731" s="639"/>
      <c r="Z731" s="639"/>
      <c r="AA731" s="639"/>
      <c r="AB731" s="639"/>
    </row>
    <row r="732" spans="1:28">
      <c r="A732" s="639"/>
      <c r="B732" s="639"/>
      <c r="C732" s="639"/>
      <c r="D732" s="639"/>
      <c r="E732" s="639"/>
      <c r="F732" s="639"/>
      <c r="G732" s="639"/>
      <c r="H732" s="639"/>
      <c r="I732" s="639"/>
      <c r="J732" s="639"/>
      <c r="K732" s="639"/>
      <c r="L732" s="639"/>
      <c r="M732" s="639"/>
      <c r="N732" s="639"/>
      <c r="O732" s="639"/>
      <c r="P732" s="639"/>
      <c r="Q732" s="639"/>
      <c r="R732" s="639"/>
      <c r="S732" s="639"/>
      <c r="T732" s="639"/>
      <c r="U732" s="639"/>
      <c r="V732" s="639"/>
      <c r="W732" s="639"/>
      <c r="X732" s="639"/>
      <c r="Y732" s="639"/>
      <c r="Z732" s="639"/>
      <c r="AA732" s="639"/>
      <c r="AB732" s="639"/>
    </row>
    <row r="733" spans="1:28">
      <c r="A733" s="639"/>
      <c r="B733" s="639"/>
      <c r="C733" s="639"/>
      <c r="D733" s="639"/>
      <c r="E733" s="639"/>
      <c r="F733" s="639"/>
      <c r="G733" s="639"/>
      <c r="H733" s="639"/>
      <c r="I733" s="639"/>
      <c r="J733" s="639"/>
      <c r="K733" s="639"/>
      <c r="L733" s="639"/>
      <c r="M733" s="639"/>
      <c r="N733" s="639"/>
      <c r="O733" s="639"/>
      <c r="P733" s="639"/>
      <c r="Q733" s="639"/>
      <c r="R733" s="639"/>
      <c r="S733" s="639"/>
      <c r="T733" s="639"/>
      <c r="U733" s="639"/>
      <c r="V733" s="639"/>
      <c r="W733" s="639"/>
      <c r="X733" s="639"/>
      <c r="Y733" s="639"/>
      <c r="Z733" s="639"/>
      <c r="AA733" s="639"/>
      <c r="AB733" s="639"/>
    </row>
    <row r="734" spans="1:28">
      <c r="A734" s="639"/>
      <c r="B734" s="639"/>
      <c r="C734" s="639"/>
      <c r="D734" s="639"/>
      <c r="E734" s="639"/>
      <c r="F734" s="639"/>
      <c r="G734" s="639"/>
      <c r="H734" s="639"/>
      <c r="I734" s="639"/>
      <c r="J734" s="639"/>
      <c r="K734" s="639"/>
      <c r="L734" s="639"/>
      <c r="M734" s="639"/>
      <c r="N734" s="639"/>
      <c r="O734" s="639"/>
      <c r="P734" s="639"/>
      <c r="Q734" s="639"/>
      <c r="R734" s="639"/>
      <c r="S734" s="639"/>
      <c r="T734" s="639"/>
      <c r="U734" s="639"/>
      <c r="V734" s="639"/>
      <c r="W734" s="639"/>
      <c r="X734" s="639"/>
      <c r="Y734" s="639"/>
      <c r="Z734" s="639"/>
      <c r="AA734" s="639"/>
      <c r="AB734" s="639"/>
    </row>
    <row r="735" spans="1:28">
      <c r="A735" s="639"/>
      <c r="B735" s="639"/>
      <c r="C735" s="639"/>
      <c r="D735" s="639"/>
      <c r="E735" s="639"/>
      <c r="F735" s="639"/>
      <c r="G735" s="639"/>
      <c r="H735" s="639"/>
      <c r="I735" s="639"/>
      <c r="J735" s="639"/>
      <c r="K735" s="639"/>
      <c r="L735" s="639"/>
      <c r="M735" s="639"/>
      <c r="N735" s="639"/>
      <c r="O735" s="639"/>
      <c r="P735" s="639"/>
      <c r="Q735" s="639"/>
      <c r="R735" s="639"/>
      <c r="S735" s="639"/>
      <c r="T735" s="639"/>
      <c r="U735" s="639"/>
      <c r="V735" s="639"/>
      <c r="W735" s="639"/>
      <c r="X735" s="639"/>
      <c r="Y735" s="639"/>
      <c r="Z735" s="639"/>
      <c r="AA735" s="639"/>
      <c r="AB735" s="639"/>
    </row>
    <row r="736" spans="1:28">
      <c r="A736" s="639"/>
      <c r="B736" s="639"/>
      <c r="C736" s="639"/>
      <c r="D736" s="639"/>
      <c r="E736" s="639"/>
      <c r="F736" s="639"/>
      <c r="G736" s="639"/>
      <c r="H736" s="639"/>
      <c r="I736" s="639"/>
      <c r="J736" s="639"/>
      <c r="K736" s="639"/>
      <c r="L736" s="639"/>
      <c r="M736" s="639"/>
      <c r="N736" s="639"/>
      <c r="O736" s="639"/>
      <c r="P736" s="639"/>
      <c r="Q736" s="639"/>
      <c r="R736" s="639"/>
      <c r="S736" s="639"/>
      <c r="T736" s="639"/>
      <c r="U736" s="639"/>
      <c r="V736" s="639"/>
      <c r="W736" s="639"/>
      <c r="X736" s="639"/>
      <c r="Y736" s="639"/>
      <c r="Z736" s="639"/>
      <c r="AA736" s="639"/>
      <c r="AB736" s="639"/>
    </row>
    <row r="737" spans="1:28">
      <c r="A737" s="639"/>
      <c r="B737" s="639"/>
      <c r="C737" s="639"/>
      <c r="D737" s="639"/>
      <c r="E737" s="639"/>
      <c r="F737" s="639"/>
      <c r="G737" s="639"/>
      <c r="H737" s="639"/>
      <c r="I737" s="639"/>
      <c r="J737" s="639"/>
      <c r="K737" s="639"/>
      <c r="L737" s="639"/>
      <c r="M737" s="639"/>
      <c r="N737" s="639"/>
      <c r="O737" s="639"/>
      <c r="P737" s="639"/>
      <c r="Q737" s="639"/>
      <c r="R737" s="639"/>
      <c r="S737" s="639"/>
      <c r="T737" s="639"/>
      <c r="U737" s="639"/>
      <c r="V737" s="639"/>
      <c r="W737" s="639"/>
      <c r="X737" s="639"/>
      <c r="Y737" s="639"/>
      <c r="Z737" s="639"/>
      <c r="AA737" s="639"/>
      <c r="AB737" s="639"/>
    </row>
    <row r="738" spans="1:28">
      <c r="A738" s="639"/>
      <c r="B738" s="639"/>
      <c r="C738" s="639"/>
      <c r="D738" s="639"/>
      <c r="E738" s="639"/>
      <c r="F738" s="639"/>
      <c r="G738" s="639"/>
      <c r="H738" s="639"/>
      <c r="I738" s="639"/>
      <c r="J738" s="639"/>
      <c r="K738" s="639"/>
      <c r="L738" s="639"/>
      <c r="M738" s="639"/>
      <c r="N738" s="639"/>
      <c r="O738" s="639"/>
      <c r="P738" s="639"/>
      <c r="Q738" s="639"/>
      <c r="R738" s="639"/>
      <c r="S738" s="639"/>
      <c r="T738" s="639"/>
      <c r="U738" s="639"/>
      <c r="V738" s="639"/>
      <c r="W738" s="639"/>
      <c r="X738" s="639"/>
      <c r="Y738" s="639"/>
      <c r="Z738" s="639"/>
      <c r="AA738" s="639"/>
      <c r="AB738" s="639"/>
    </row>
    <row r="739" spans="1:28">
      <c r="A739" s="639"/>
      <c r="B739" s="639"/>
      <c r="C739" s="639"/>
      <c r="D739" s="639"/>
      <c r="E739" s="639"/>
      <c r="F739" s="639"/>
      <c r="G739" s="639"/>
      <c r="H739" s="639"/>
      <c r="I739" s="639"/>
      <c r="J739" s="639"/>
      <c r="K739" s="639"/>
      <c r="L739" s="639"/>
      <c r="M739" s="639"/>
      <c r="N739" s="639"/>
      <c r="O739" s="639"/>
      <c r="P739" s="639"/>
      <c r="Q739" s="639"/>
      <c r="R739" s="639"/>
      <c r="S739" s="639"/>
      <c r="T739" s="639"/>
      <c r="U739" s="639"/>
      <c r="V739" s="639"/>
      <c r="W739" s="639"/>
      <c r="X739" s="639"/>
      <c r="Y739" s="639"/>
      <c r="Z739" s="639"/>
      <c r="AA739" s="639"/>
      <c r="AB739" s="639"/>
    </row>
    <row r="740" spans="1:28">
      <c r="A740" s="639"/>
      <c r="B740" s="639"/>
      <c r="C740" s="639"/>
      <c r="D740" s="639"/>
      <c r="E740" s="639"/>
      <c r="F740" s="639"/>
      <c r="G740" s="639"/>
      <c r="H740" s="639"/>
      <c r="I740" s="639"/>
      <c r="J740" s="639"/>
      <c r="K740" s="639"/>
      <c r="L740" s="639"/>
      <c r="M740" s="639"/>
      <c r="N740" s="639"/>
      <c r="O740" s="639"/>
      <c r="P740" s="639"/>
      <c r="Q740" s="639"/>
      <c r="R740" s="639"/>
      <c r="S740" s="639"/>
      <c r="T740" s="639"/>
      <c r="U740" s="639"/>
      <c r="V740" s="639"/>
      <c r="W740" s="639"/>
      <c r="X740" s="639"/>
      <c r="Y740" s="639"/>
      <c r="Z740" s="639"/>
      <c r="AA740" s="639"/>
      <c r="AB740" s="639"/>
    </row>
    <row r="741" spans="1:28">
      <c r="A741" s="639"/>
      <c r="B741" s="639"/>
      <c r="C741" s="639"/>
      <c r="D741" s="639"/>
      <c r="E741" s="639"/>
      <c r="F741" s="639"/>
      <c r="G741" s="639"/>
      <c r="H741" s="639"/>
      <c r="I741" s="639"/>
      <c r="J741" s="639"/>
      <c r="K741" s="639"/>
      <c r="L741" s="639"/>
      <c r="M741" s="639"/>
      <c r="N741" s="639"/>
      <c r="O741" s="639"/>
      <c r="P741" s="639"/>
      <c r="Q741" s="639"/>
      <c r="R741" s="639"/>
      <c r="S741" s="639"/>
      <c r="T741" s="639"/>
      <c r="U741" s="639"/>
      <c r="V741" s="639"/>
      <c r="W741" s="639"/>
      <c r="X741" s="639"/>
      <c r="Y741" s="639"/>
      <c r="Z741" s="639"/>
      <c r="AA741" s="639"/>
      <c r="AB741" s="639"/>
    </row>
    <row r="742" spans="1:28">
      <c r="A742" s="639"/>
      <c r="B742" s="639"/>
      <c r="C742" s="639"/>
      <c r="D742" s="639"/>
      <c r="E742" s="639"/>
      <c r="F742" s="639"/>
      <c r="G742" s="639"/>
      <c r="H742" s="639"/>
      <c r="I742" s="639"/>
      <c r="J742" s="639"/>
      <c r="K742" s="639"/>
      <c r="L742" s="639"/>
      <c r="M742" s="639"/>
      <c r="N742" s="639"/>
      <c r="O742" s="639"/>
      <c r="P742" s="639"/>
      <c r="Q742" s="639"/>
      <c r="R742" s="639"/>
      <c r="S742" s="639"/>
      <c r="T742" s="639"/>
      <c r="U742" s="639"/>
      <c r="V742" s="639"/>
      <c r="W742" s="639"/>
      <c r="X742" s="639"/>
      <c r="Y742" s="639"/>
      <c r="Z742" s="639"/>
      <c r="AA742" s="639"/>
      <c r="AB742" s="639"/>
    </row>
    <row r="743" spans="1:28">
      <c r="A743" s="639"/>
      <c r="B743" s="639"/>
      <c r="C743" s="639"/>
      <c r="D743" s="639"/>
      <c r="E743" s="639"/>
      <c r="F743" s="639"/>
      <c r="G743" s="639"/>
      <c r="H743" s="639"/>
      <c r="I743" s="639"/>
      <c r="J743" s="639"/>
      <c r="K743" s="639"/>
      <c r="L743" s="639"/>
      <c r="M743" s="639"/>
      <c r="N743" s="639"/>
      <c r="O743" s="639"/>
      <c r="P743" s="639"/>
      <c r="Q743" s="639"/>
      <c r="R743" s="639"/>
      <c r="S743" s="639"/>
      <c r="T743" s="639"/>
      <c r="U743" s="639"/>
      <c r="V743" s="639"/>
      <c r="W743" s="639"/>
      <c r="X743" s="639"/>
      <c r="Y743" s="639"/>
      <c r="Z743" s="639"/>
      <c r="AA743" s="639"/>
      <c r="AB743" s="639"/>
    </row>
    <row r="744" spans="1:28">
      <c r="A744" s="639"/>
      <c r="B744" s="639"/>
      <c r="C744" s="639"/>
      <c r="D744" s="639"/>
      <c r="E744" s="639"/>
      <c r="F744" s="639"/>
      <c r="G744" s="639"/>
      <c r="H744" s="639"/>
      <c r="I744" s="639"/>
      <c r="J744" s="639"/>
      <c r="K744" s="639"/>
      <c r="L744" s="639"/>
      <c r="M744" s="639"/>
      <c r="N744" s="639"/>
      <c r="O744" s="639"/>
      <c r="P744" s="639"/>
      <c r="Q744" s="639"/>
      <c r="R744" s="639"/>
      <c r="S744" s="639"/>
      <c r="T744" s="639"/>
      <c r="U744" s="639"/>
      <c r="V744" s="639"/>
      <c r="W744" s="639"/>
      <c r="X744" s="639"/>
      <c r="Y744" s="639"/>
      <c r="Z744" s="639"/>
      <c r="AA744" s="639"/>
      <c r="AB744" s="639"/>
    </row>
    <row r="745" spans="1:28">
      <c r="A745" s="639"/>
      <c r="B745" s="639"/>
      <c r="C745" s="639"/>
      <c r="D745" s="639"/>
      <c r="E745" s="639"/>
      <c r="F745" s="639"/>
      <c r="G745" s="639"/>
      <c r="H745" s="639"/>
      <c r="I745" s="639"/>
      <c r="J745" s="639"/>
      <c r="K745" s="639"/>
      <c r="L745" s="639"/>
      <c r="M745" s="639"/>
      <c r="N745" s="639"/>
      <c r="O745" s="639"/>
      <c r="P745" s="639"/>
      <c r="Q745" s="639"/>
      <c r="R745" s="639"/>
      <c r="S745" s="639"/>
      <c r="T745" s="639"/>
      <c r="U745" s="639"/>
      <c r="V745" s="639"/>
      <c r="W745" s="639"/>
      <c r="X745" s="639"/>
      <c r="Y745" s="639"/>
      <c r="Z745" s="639"/>
      <c r="AA745" s="639"/>
      <c r="AB745" s="639"/>
    </row>
    <row r="746" spans="1:28">
      <c r="A746" s="639"/>
      <c r="B746" s="639"/>
      <c r="C746" s="639"/>
      <c r="D746" s="639"/>
      <c r="E746" s="639"/>
      <c r="F746" s="639"/>
      <c r="G746" s="639"/>
      <c r="H746" s="639"/>
      <c r="I746" s="639"/>
      <c r="J746" s="639"/>
      <c r="K746" s="639"/>
      <c r="L746" s="639"/>
      <c r="M746" s="639"/>
      <c r="N746" s="639"/>
      <c r="O746" s="639"/>
      <c r="P746" s="639"/>
      <c r="Q746" s="639"/>
      <c r="R746" s="639"/>
      <c r="S746" s="639"/>
      <c r="T746" s="639"/>
      <c r="U746" s="639"/>
      <c r="V746" s="639"/>
      <c r="W746" s="639"/>
      <c r="X746" s="639"/>
      <c r="Y746" s="639"/>
      <c r="Z746" s="639"/>
      <c r="AA746" s="639"/>
      <c r="AB746" s="639"/>
    </row>
    <row r="747" spans="1:28">
      <c r="A747" s="639"/>
      <c r="B747" s="639"/>
      <c r="C747" s="639"/>
      <c r="D747" s="639"/>
      <c r="E747" s="639"/>
      <c r="F747" s="639"/>
      <c r="G747" s="639"/>
      <c r="H747" s="639"/>
      <c r="I747" s="639"/>
      <c r="J747" s="639"/>
      <c r="K747" s="639"/>
      <c r="L747" s="639"/>
      <c r="M747" s="639"/>
      <c r="N747" s="639"/>
      <c r="O747" s="639"/>
      <c r="P747" s="639"/>
      <c r="Q747" s="639"/>
      <c r="R747" s="639"/>
      <c r="S747" s="639"/>
      <c r="T747" s="639"/>
      <c r="U747" s="639"/>
      <c r="V747" s="639"/>
      <c r="W747" s="639"/>
      <c r="X747" s="639"/>
      <c r="Y747" s="639"/>
      <c r="Z747" s="639"/>
      <c r="AA747" s="639"/>
      <c r="AB747" s="639"/>
    </row>
    <row r="748" spans="1:28">
      <c r="A748" s="639"/>
      <c r="B748" s="639"/>
      <c r="C748" s="639"/>
      <c r="D748" s="639"/>
      <c r="E748" s="639"/>
      <c r="F748" s="639"/>
      <c r="G748" s="639"/>
      <c r="H748" s="639"/>
      <c r="I748" s="639"/>
      <c r="J748" s="639"/>
      <c r="K748" s="639"/>
      <c r="L748" s="639"/>
      <c r="M748" s="639"/>
      <c r="N748" s="639"/>
      <c r="O748" s="639"/>
      <c r="P748" s="639"/>
      <c r="Q748" s="639"/>
      <c r="R748" s="639"/>
      <c r="S748" s="639"/>
      <c r="T748" s="639"/>
      <c r="U748" s="639"/>
      <c r="V748" s="639"/>
      <c r="W748" s="639"/>
      <c r="X748" s="639"/>
      <c r="Y748" s="639"/>
      <c r="Z748" s="639"/>
      <c r="AA748" s="639"/>
      <c r="AB748" s="639"/>
    </row>
    <row r="749" spans="1:28">
      <c r="A749" s="639"/>
      <c r="B749" s="639"/>
      <c r="C749" s="639"/>
      <c r="D749" s="639"/>
      <c r="E749" s="639"/>
      <c r="F749" s="639"/>
      <c r="G749" s="639"/>
      <c r="H749" s="639"/>
      <c r="I749" s="639"/>
      <c r="J749" s="639"/>
      <c r="K749" s="639"/>
      <c r="L749" s="639"/>
      <c r="M749" s="639"/>
      <c r="N749" s="639"/>
      <c r="O749" s="639"/>
      <c r="P749" s="639"/>
      <c r="Q749" s="639"/>
      <c r="R749" s="639"/>
      <c r="S749" s="639"/>
      <c r="T749" s="639"/>
      <c r="U749" s="639"/>
      <c r="V749" s="639"/>
      <c r="W749" s="639"/>
      <c r="X749" s="639"/>
      <c r="Y749" s="639"/>
      <c r="Z749" s="639"/>
      <c r="AA749" s="639"/>
      <c r="AB749" s="639"/>
    </row>
    <row r="750" spans="1:28">
      <c r="A750" s="639"/>
      <c r="B750" s="639"/>
      <c r="C750" s="639"/>
      <c r="D750" s="639"/>
      <c r="E750" s="639"/>
      <c r="F750" s="639"/>
      <c r="G750" s="639"/>
      <c r="H750" s="639"/>
      <c r="I750" s="639"/>
      <c r="J750" s="639"/>
      <c r="K750" s="639"/>
      <c r="L750" s="639"/>
      <c r="M750" s="639"/>
      <c r="N750" s="639"/>
      <c r="O750" s="639"/>
      <c r="P750" s="639"/>
      <c r="Q750" s="639"/>
      <c r="R750" s="639"/>
      <c r="S750" s="639"/>
      <c r="T750" s="639"/>
      <c r="U750" s="639"/>
      <c r="V750" s="639"/>
      <c r="W750" s="639"/>
      <c r="X750" s="639"/>
      <c r="Y750" s="639"/>
      <c r="Z750" s="639"/>
      <c r="AA750" s="639"/>
      <c r="AB750" s="639"/>
    </row>
    <row r="751" spans="1:28">
      <c r="A751" s="639"/>
      <c r="B751" s="639"/>
      <c r="C751" s="639"/>
      <c r="D751" s="639"/>
      <c r="E751" s="639"/>
      <c r="F751" s="639"/>
      <c r="G751" s="639"/>
      <c r="H751" s="639"/>
      <c r="I751" s="639"/>
      <c r="J751" s="639"/>
      <c r="K751" s="639"/>
      <c r="L751" s="639"/>
      <c r="M751" s="639"/>
      <c r="N751" s="639"/>
      <c r="O751" s="639"/>
      <c r="P751" s="639"/>
      <c r="Q751" s="639"/>
      <c r="R751" s="639"/>
      <c r="S751" s="639"/>
      <c r="T751" s="639"/>
      <c r="U751" s="639"/>
      <c r="V751" s="639"/>
      <c r="W751" s="639"/>
      <c r="X751" s="639"/>
      <c r="Y751" s="639"/>
      <c r="Z751" s="639"/>
      <c r="AA751" s="639"/>
      <c r="AB751" s="639"/>
    </row>
    <row r="752" spans="1:28">
      <c r="A752" s="639"/>
      <c r="B752" s="639"/>
      <c r="C752" s="639"/>
      <c r="D752" s="639"/>
      <c r="E752" s="639"/>
      <c r="F752" s="639"/>
      <c r="G752" s="639"/>
      <c r="H752" s="639"/>
      <c r="I752" s="639"/>
      <c r="J752" s="639"/>
      <c r="K752" s="639"/>
      <c r="L752" s="639"/>
      <c r="M752" s="639"/>
      <c r="N752" s="639"/>
      <c r="O752" s="639"/>
      <c r="P752" s="639"/>
      <c r="Q752" s="639"/>
      <c r="R752" s="639"/>
      <c r="S752" s="639"/>
      <c r="T752" s="639"/>
      <c r="U752" s="639"/>
      <c r="V752" s="639"/>
      <c r="W752" s="639"/>
      <c r="X752" s="639"/>
      <c r="Y752" s="639"/>
      <c r="Z752" s="639"/>
      <c r="AA752" s="639"/>
      <c r="AB752" s="639"/>
    </row>
    <row r="753" spans="1:28">
      <c r="A753" s="639"/>
      <c r="B753" s="639"/>
      <c r="C753" s="639"/>
      <c r="D753" s="639"/>
      <c r="E753" s="639"/>
      <c r="F753" s="639"/>
      <c r="G753" s="639"/>
      <c r="H753" s="639"/>
      <c r="I753" s="639"/>
      <c r="J753" s="639"/>
      <c r="K753" s="639"/>
      <c r="L753" s="639"/>
      <c r="M753" s="639"/>
      <c r="N753" s="639"/>
      <c r="O753" s="639"/>
      <c r="P753" s="639"/>
      <c r="Q753" s="639"/>
      <c r="R753" s="639"/>
      <c r="S753" s="639"/>
      <c r="T753" s="639"/>
      <c r="U753" s="639"/>
      <c r="V753" s="639"/>
      <c r="W753" s="639"/>
      <c r="X753" s="639"/>
      <c r="Y753" s="639"/>
      <c r="Z753" s="639"/>
      <c r="AA753" s="639"/>
      <c r="AB753" s="639"/>
    </row>
    <row r="754" spans="1:28">
      <c r="A754" s="639"/>
      <c r="B754" s="639"/>
      <c r="C754" s="639"/>
      <c r="D754" s="639"/>
      <c r="E754" s="639"/>
      <c r="F754" s="639"/>
      <c r="G754" s="639"/>
      <c r="H754" s="639"/>
      <c r="I754" s="639"/>
      <c r="J754" s="639"/>
      <c r="K754" s="639"/>
      <c r="L754" s="639"/>
      <c r="M754" s="639"/>
      <c r="N754" s="639"/>
      <c r="O754" s="639"/>
      <c r="P754" s="639"/>
      <c r="Q754" s="639"/>
      <c r="R754" s="639"/>
      <c r="S754" s="639"/>
      <c r="T754" s="639"/>
      <c r="U754" s="639"/>
      <c r="V754" s="639"/>
      <c r="W754" s="639"/>
      <c r="X754" s="639"/>
      <c r="Y754" s="639"/>
      <c r="Z754" s="639"/>
      <c r="AA754" s="639"/>
      <c r="AB754" s="639"/>
    </row>
    <row r="755" spans="1:28">
      <c r="A755" s="639"/>
      <c r="B755" s="639"/>
      <c r="C755" s="639"/>
      <c r="D755" s="639"/>
      <c r="E755" s="639"/>
      <c r="F755" s="639"/>
      <c r="G755" s="639"/>
      <c r="H755" s="639"/>
      <c r="I755" s="639"/>
      <c r="J755" s="639"/>
      <c r="K755" s="639"/>
      <c r="L755" s="639"/>
      <c r="M755" s="639"/>
      <c r="N755" s="639"/>
      <c r="O755" s="639"/>
      <c r="P755" s="639"/>
      <c r="Q755" s="639"/>
      <c r="R755" s="639"/>
      <c r="S755" s="639"/>
      <c r="T755" s="639"/>
      <c r="U755" s="639"/>
      <c r="V755" s="639"/>
      <c r="W755" s="639"/>
      <c r="X755" s="639"/>
      <c r="Y755" s="639"/>
      <c r="Z755" s="639"/>
      <c r="AA755" s="639"/>
      <c r="AB755" s="639"/>
    </row>
    <row r="756" spans="1:28">
      <c r="A756" s="639"/>
      <c r="B756" s="639"/>
      <c r="C756" s="639"/>
      <c r="D756" s="639"/>
      <c r="E756" s="639"/>
      <c r="F756" s="639"/>
      <c r="G756" s="639"/>
      <c r="H756" s="639"/>
      <c r="I756" s="639"/>
      <c r="J756" s="639"/>
      <c r="K756" s="639"/>
      <c r="L756" s="639"/>
      <c r="M756" s="639"/>
      <c r="N756" s="639"/>
      <c r="O756" s="639"/>
      <c r="P756" s="639"/>
      <c r="Q756" s="639"/>
      <c r="R756" s="639"/>
      <c r="S756" s="639"/>
      <c r="T756" s="639"/>
      <c r="U756" s="639"/>
      <c r="V756" s="639"/>
      <c r="W756" s="639"/>
      <c r="X756" s="639"/>
      <c r="Y756" s="639"/>
      <c r="Z756" s="639"/>
      <c r="AA756" s="639"/>
      <c r="AB756" s="639"/>
    </row>
    <row r="757" spans="1:28">
      <c r="A757" s="639"/>
      <c r="B757" s="639"/>
      <c r="C757" s="639"/>
      <c r="D757" s="639"/>
      <c r="E757" s="639"/>
      <c r="F757" s="639"/>
      <c r="G757" s="639"/>
      <c r="H757" s="639"/>
      <c r="I757" s="639"/>
      <c r="J757" s="639"/>
      <c r="K757" s="639"/>
      <c r="L757" s="639"/>
      <c r="M757" s="639"/>
      <c r="N757" s="639"/>
      <c r="O757" s="639"/>
      <c r="P757" s="639"/>
      <c r="Q757" s="639"/>
      <c r="R757" s="639"/>
      <c r="S757" s="639"/>
      <c r="T757" s="639"/>
      <c r="U757" s="639"/>
      <c r="V757" s="639"/>
      <c r="W757" s="639"/>
      <c r="X757" s="639"/>
      <c r="Y757" s="639"/>
      <c r="Z757" s="639"/>
      <c r="AA757" s="639"/>
      <c r="AB757" s="639"/>
    </row>
    <row r="758" spans="1:28">
      <c r="A758" s="639"/>
      <c r="B758" s="639"/>
      <c r="C758" s="639"/>
      <c r="D758" s="639"/>
      <c r="E758" s="639"/>
      <c r="F758" s="639"/>
      <c r="G758" s="639"/>
      <c r="H758" s="639"/>
      <c r="I758" s="639"/>
      <c r="J758" s="639"/>
      <c r="K758" s="639"/>
      <c r="L758" s="639"/>
      <c r="M758" s="639"/>
      <c r="N758" s="639"/>
      <c r="O758" s="639"/>
      <c r="P758" s="639"/>
      <c r="Q758" s="639"/>
      <c r="R758" s="639"/>
      <c r="S758" s="639"/>
      <c r="T758" s="639"/>
      <c r="U758" s="639"/>
      <c r="V758" s="639"/>
      <c r="W758" s="639"/>
      <c r="X758" s="639"/>
      <c r="Y758" s="639"/>
      <c r="Z758" s="639"/>
      <c r="AA758" s="639"/>
      <c r="AB758" s="639"/>
    </row>
    <row r="759" spans="1:28">
      <c r="A759" s="639"/>
      <c r="B759" s="639"/>
      <c r="C759" s="639"/>
      <c r="D759" s="639"/>
      <c r="E759" s="639"/>
      <c r="F759" s="639"/>
      <c r="G759" s="639"/>
      <c r="H759" s="639"/>
      <c r="I759" s="639"/>
      <c r="J759" s="639"/>
      <c r="K759" s="639"/>
      <c r="L759" s="639"/>
      <c r="M759" s="639"/>
      <c r="N759" s="639"/>
      <c r="O759" s="639"/>
      <c r="P759" s="639"/>
      <c r="Q759" s="639"/>
      <c r="R759" s="639"/>
      <c r="S759" s="639"/>
      <c r="T759" s="639"/>
      <c r="U759" s="639"/>
      <c r="V759" s="639"/>
      <c r="W759" s="639"/>
      <c r="X759" s="639"/>
      <c r="Y759" s="639"/>
      <c r="Z759" s="639"/>
      <c r="AA759" s="639"/>
      <c r="AB759" s="639"/>
    </row>
    <row r="760" spans="1:28">
      <c r="A760" s="639"/>
      <c r="B760" s="639"/>
      <c r="C760" s="639"/>
      <c r="D760" s="639"/>
      <c r="E760" s="639"/>
      <c r="F760" s="639"/>
      <c r="G760" s="639"/>
      <c r="H760" s="639"/>
      <c r="I760" s="639"/>
      <c r="J760" s="639"/>
      <c r="K760" s="639"/>
      <c r="L760" s="639"/>
      <c r="M760" s="639"/>
      <c r="N760" s="639"/>
      <c r="O760" s="639"/>
      <c r="P760" s="639"/>
      <c r="Q760" s="639"/>
      <c r="R760" s="639"/>
      <c r="S760" s="639"/>
      <c r="T760" s="639"/>
      <c r="U760" s="639"/>
      <c r="V760" s="639"/>
      <c r="W760" s="639"/>
      <c r="X760" s="639"/>
      <c r="Y760" s="639"/>
      <c r="Z760" s="639"/>
      <c r="AA760" s="639"/>
      <c r="AB760" s="639"/>
    </row>
    <row r="761" spans="1:28">
      <c r="A761" s="639"/>
      <c r="B761" s="639"/>
      <c r="C761" s="639"/>
      <c r="D761" s="639"/>
      <c r="E761" s="639"/>
      <c r="F761" s="639"/>
      <c r="G761" s="639"/>
      <c r="H761" s="639"/>
      <c r="I761" s="639"/>
      <c r="J761" s="639"/>
      <c r="K761" s="639"/>
      <c r="L761" s="639"/>
      <c r="M761" s="639"/>
      <c r="N761" s="639"/>
      <c r="O761" s="639"/>
      <c r="P761" s="639"/>
      <c r="Q761" s="639"/>
      <c r="R761" s="639"/>
      <c r="S761" s="639"/>
      <c r="T761" s="639"/>
      <c r="U761" s="639"/>
      <c r="V761" s="639"/>
      <c r="W761" s="639"/>
      <c r="X761" s="639"/>
      <c r="Y761" s="639"/>
      <c r="Z761" s="639"/>
      <c r="AA761" s="639"/>
      <c r="AB761" s="639"/>
    </row>
    <row r="762" spans="1:28">
      <c r="A762" s="639"/>
      <c r="B762" s="639"/>
      <c r="C762" s="639"/>
      <c r="D762" s="639"/>
      <c r="E762" s="639"/>
      <c r="F762" s="639"/>
      <c r="G762" s="639"/>
      <c r="H762" s="639"/>
      <c r="I762" s="639"/>
      <c r="J762" s="639"/>
      <c r="K762" s="639"/>
      <c r="L762" s="639"/>
      <c r="M762" s="639"/>
      <c r="N762" s="639"/>
      <c r="O762" s="639"/>
      <c r="P762" s="639"/>
      <c r="Q762" s="639"/>
      <c r="R762" s="639"/>
      <c r="S762" s="639"/>
      <c r="T762" s="639"/>
      <c r="U762" s="639"/>
      <c r="V762" s="639"/>
      <c r="W762" s="639"/>
      <c r="X762" s="639"/>
      <c r="Y762" s="639"/>
      <c r="Z762" s="639"/>
      <c r="AA762" s="639"/>
      <c r="AB762" s="639"/>
    </row>
    <row r="763" spans="1:28">
      <c r="A763" s="639"/>
      <c r="B763" s="639"/>
      <c r="C763" s="639"/>
      <c r="D763" s="639"/>
      <c r="E763" s="639"/>
      <c r="F763" s="639"/>
      <c r="G763" s="639"/>
      <c r="H763" s="639"/>
      <c r="I763" s="639"/>
      <c r="J763" s="639"/>
      <c r="K763" s="639"/>
      <c r="L763" s="639"/>
      <c r="M763" s="639"/>
      <c r="N763" s="639"/>
      <c r="O763" s="639"/>
      <c r="P763" s="639"/>
      <c r="Q763" s="639"/>
      <c r="R763" s="639"/>
      <c r="S763" s="639"/>
      <c r="T763" s="639"/>
      <c r="U763" s="639"/>
      <c r="V763" s="639"/>
      <c r="W763" s="639"/>
      <c r="X763" s="639"/>
      <c r="Y763" s="639"/>
      <c r="Z763" s="639"/>
      <c r="AA763" s="639"/>
      <c r="AB763" s="639"/>
    </row>
    <row r="764" spans="1:28">
      <c r="A764" s="639"/>
      <c r="B764" s="639"/>
      <c r="C764" s="639"/>
      <c r="D764" s="639"/>
      <c r="E764" s="639"/>
      <c r="F764" s="639"/>
      <c r="G764" s="639"/>
      <c r="H764" s="639"/>
      <c r="I764" s="639"/>
      <c r="J764" s="639"/>
      <c r="K764" s="639"/>
      <c r="L764" s="639"/>
      <c r="M764" s="639"/>
      <c r="N764" s="639"/>
      <c r="O764" s="639"/>
      <c r="P764" s="639"/>
      <c r="Q764" s="639"/>
      <c r="R764" s="639"/>
      <c r="S764" s="639"/>
      <c r="T764" s="639"/>
      <c r="U764" s="639"/>
      <c r="V764" s="639"/>
      <c r="W764" s="639"/>
      <c r="X764" s="639"/>
      <c r="Y764" s="639"/>
      <c r="Z764" s="639"/>
      <c r="AA764" s="639"/>
      <c r="AB764" s="639"/>
    </row>
    <row r="765" spans="1:28">
      <c r="A765" s="639"/>
      <c r="B765" s="639"/>
      <c r="C765" s="639"/>
      <c r="D765" s="639"/>
      <c r="E765" s="639"/>
      <c r="F765" s="639"/>
      <c r="G765" s="639"/>
      <c r="H765" s="639"/>
      <c r="I765" s="639"/>
      <c r="J765" s="639"/>
      <c r="K765" s="639"/>
      <c r="L765" s="639"/>
      <c r="M765" s="639"/>
      <c r="N765" s="639"/>
      <c r="O765" s="639"/>
      <c r="P765" s="639"/>
      <c r="Q765" s="639"/>
      <c r="R765" s="639"/>
      <c r="S765" s="639"/>
      <c r="T765" s="639"/>
      <c r="U765" s="639"/>
      <c r="V765" s="639"/>
      <c r="W765" s="639"/>
      <c r="X765" s="639"/>
      <c r="Y765" s="639"/>
      <c r="Z765" s="639"/>
      <c r="AA765" s="639"/>
      <c r="AB765" s="639"/>
    </row>
    <row r="766" spans="1:28">
      <c r="A766" s="639"/>
      <c r="B766" s="639"/>
      <c r="C766" s="639"/>
      <c r="D766" s="639"/>
      <c r="E766" s="639"/>
      <c r="F766" s="639"/>
      <c r="G766" s="639"/>
      <c r="H766" s="639"/>
      <c r="I766" s="639"/>
      <c r="J766" s="639"/>
      <c r="K766" s="639"/>
      <c r="L766" s="639"/>
      <c r="M766" s="639"/>
      <c r="N766" s="639"/>
      <c r="O766" s="639"/>
      <c r="P766" s="639"/>
      <c r="Q766" s="639"/>
      <c r="R766" s="639"/>
      <c r="S766" s="639"/>
      <c r="T766" s="639"/>
      <c r="U766" s="639"/>
      <c r="V766" s="639"/>
      <c r="W766" s="639"/>
      <c r="X766" s="639"/>
      <c r="Y766" s="639"/>
      <c r="Z766" s="639"/>
      <c r="AA766" s="639"/>
      <c r="AB766" s="639"/>
    </row>
    <row r="767" spans="1:28">
      <c r="A767" s="639"/>
      <c r="B767" s="639"/>
      <c r="C767" s="639"/>
      <c r="D767" s="639"/>
      <c r="E767" s="639"/>
      <c r="F767" s="639"/>
      <c r="G767" s="639"/>
      <c r="H767" s="639"/>
      <c r="I767" s="639"/>
      <c r="J767" s="639"/>
      <c r="K767" s="639"/>
      <c r="L767" s="639"/>
      <c r="M767" s="639"/>
      <c r="N767" s="639"/>
      <c r="O767" s="639"/>
      <c r="P767" s="639"/>
      <c r="Q767" s="639"/>
      <c r="R767" s="639"/>
      <c r="S767" s="639"/>
      <c r="T767" s="639"/>
      <c r="U767" s="639"/>
      <c r="V767" s="639"/>
      <c r="W767" s="639"/>
      <c r="X767" s="639"/>
      <c r="Y767" s="639"/>
      <c r="Z767" s="639"/>
      <c r="AA767" s="639"/>
      <c r="AB767" s="639"/>
    </row>
    <row r="768" spans="1:28">
      <c r="A768" s="639"/>
      <c r="B768" s="639"/>
      <c r="C768" s="639"/>
      <c r="D768" s="639"/>
      <c r="E768" s="639"/>
      <c r="F768" s="639"/>
      <c r="G768" s="639"/>
      <c r="H768" s="639"/>
      <c r="I768" s="639"/>
      <c r="J768" s="639"/>
      <c r="K768" s="639"/>
      <c r="L768" s="639"/>
      <c r="M768" s="639"/>
      <c r="N768" s="639"/>
      <c r="O768" s="639"/>
      <c r="P768" s="639"/>
      <c r="Q768" s="639"/>
      <c r="R768" s="639"/>
      <c r="S768" s="639"/>
      <c r="T768" s="639"/>
      <c r="U768" s="639"/>
      <c r="V768" s="639"/>
      <c r="W768" s="639"/>
      <c r="X768" s="639"/>
      <c r="Y768" s="639"/>
      <c r="Z768" s="639"/>
      <c r="AA768" s="639"/>
      <c r="AB768" s="639"/>
    </row>
    <row r="769" spans="1:28">
      <c r="A769" s="639"/>
      <c r="B769" s="639"/>
      <c r="C769" s="639"/>
      <c r="D769" s="639"/>
      <c r="E769" s="639"/>
      <c r="F769" s="639"/>
      <c r="G769" s="639"/>
      <c r="H769" s="639"/>
      <c r="I769" s="639"/>
      <c r="J769" s="639"/>
      <c r="K769" s="639"/>
      <c r="L769" s="639"/>
      <c r="M769" s="639"/>
      <c r="N769" s="639"/>
      <c r="O769" s="639"/>
      <c r="P769" s="639"/>
      <c r="Q769" s="639"/>
      <c r="R769" s="639"/>
      <c r="S769" s="639"/>
      <c r="T769" s="639"/>
      <c r="U769" s="639"/>
      <c r="V769" s="639"/>
      <c r="W769" s="639"/>
      <c r="X769" s="639"/>
      <c r="Y769" s="639"/>
      <c r="Z769" s="639"/>
      <c r="AA769" s="639"/>
      <c r="AB769" s="639"/>
    </row>
    <row r="770" spans="1:28">
      <c r="A770" s="639"/>
      <c r="B770" s="639"/>
      <c r="C770" s="639"/>
      <c r="D770" s="639"/>
      <c r="E770" s="639"/>
      <c r="F770" s="639"/>
      <c r="G770" s="639"/>
      <c r="H770" s="639"/>
      <c r="I770" s="639"/>
      <c r="J770" s="639"/>
      <c r="K770" s="639"/>
      <c r="L770" s="639"/>
      <c r="M770" s="639"/>
      <c r="N770" s="639"/>
      <c r="O770" s="639"/>
      <c r="P770" s="639"/>
      <c r="Q770" s="639"/>
      <c r="R770" s="639"/>
      <c r="S770" s="639"/>
      <c r="T770" s="639"/>
      <c r="U770" s="639"/>
      <c r="V770" s="639"/>
      <c r="W770" s="639"/>
      <c r="X770" s="639"/>
      <c r="Y770" s="639"/>
      <c r="Z770" s="639"/>
      <c r="AA770" s="639"/>
      <c r="AB770" s="639"/>
    </row>
    <row r="771" spans="1:28">
      <c r="A771" s="639"/>
      <c r="B771" s="639"/>
      <c r="C771" s="639"/>
      <c r="D771" s="639"/>
      <c r="E771" s="639"/>
      <c r="F771" s="639"/>
      <c r="G771" s="639"/>
      <c r="H771" s="639"/>
      <c r="I771" s="639"/>
      <c r="J771" s="639"/>
      <c r="K771" s="639"/>
      <c r="L771" s="639"/>
      <c r="M771" s="639"/>
      <c r="N771" s="639"/>
      <c r="O771" s="639"/>
      <c r="P771" s="639"/>
      <c r="Q771" s="639"/>
      <c r="R771" s="639"/>
      <c r="S771" s="639"/>
      <c r="T771" s="639"/>
      <c r="U771" s="639"/>
      <c r="V771" s="639"/>
      <c r="W771" s="639"/>
      <c r="X771" s="639"/>
      <c r="Y771" s="639"/>
      <c r="Z771" s="639"/>
      <c r="AA771" s="639"/>
      <c r="AB771" s="639"/>
    </row>
    <row r="772" spans="1:28">
      <c r="A772" s="639"/>
      <c r="B772" s="639"/>
      <c r="C772" s="639"/>
      <c r="D772" s="639"/>
      <c r="E772" s="639"/>
      <c r="F772" s="639"/>
      <c r="G772" s="639"/>
      <c r="H772" s="639"/>
      <c r="I772" s="639"/>
      <c r="J772" s="639"/>
      <c r="K772" s="639"/>
      <c r="L772" s="639"/>
      <c r="M772" s="639"/>
      <c r="N772" s="639"/>
      <c r="O772" s="639"/>
      <c r="P772" s="639"/>
      <c r="Q772" s="639"/>
      <c r="R772" s="639"/>
      <c r="S772" s="639"/>
      <c r="T772" s="639"/>
      <c r="U772" s="639"/>
      <c r="V772" s="639"/>
      <c r="W772" s="639"/>
      <c r="X772" s="639"/>
      <c r="Y772" s="639"/>
      <c r="Z772" s="639"/>
      <c r="AA772" s="639"/>
      <c r="AB772" s="639"/>
    </row>
    <row r="773" spans="1:28">
      <c r="A773" s="639"/>
      <c r="B773" s="639"/>
      <c r="C773" s="639"/>
      <c r="D773" s="639"/>
      <c r="E773" s="639"/>
      <c r="F773" s="639"/>
      <c r="G773" s="639"/>
      <c r="H773" s="639"/>
      <c r="I773" s="639"/>
      <c r="J773" s="639"/>
      <c r="K773" s="639"/>
      <c r="L773" s="639"/>
      <c r="M773" s="639"/>
      <c r="N773" s="639"/>
      <c r="O773" s="639"/>
      <c r="P773" s="639"/>
      <c r="Q773" s="639"/>
      <c r="R773" s="639"/>
      <c r="S773" s="639"/>
      <c r="T773" s="639"/>
      <c r="U773" s="639"/>
      <c r="V773" s="639"/>
      <c r="W773" s="639"/>
      <c r="X773" s="639"/>
      <c r="Y773" s="639"/>
      <c r="Z773" s="639"/>
      <c r="AA773" s="639"/>
      <c r="AB773" s="639"/>
    </row>
    <row r="774" spans="1:28">
      <c r="A774" s="639"/>
      <c r="B774" s="639"/>
      <c r="C774" s="639"/>
      <c r="D774" s="639"/>
      <c r="E774" s="639"/>
      <c r="F774" s="639"/>
      <c r="G774" s="639"/>
      <c r="H774" s="639"/>
      <c r="I774" s="639"/>
      <c r="J774" s="639"/>
      <c r="K774" s="639"/>
      <c r="L774" s="639"/>
      <c r="M774" s="639"/>
      <c r="N774" s="639"/>
      <c r="O774" s="639"/>
      <c r="P774" s="639"/>
      <c r="Q774" s="639"/>
      <c r="R774" s="639"/>
      <c r="S774" s="639"/>
      <c r="T774" s="639"/>
      <c r="U774" s="639"/>
      <c r="V774" s="639"/>
      <c r="W774" s="639"/>
      <c r="X774" s="639"/>
      <c r="Y774" s="639"/>
      <c r="Z774" s="639"/>
      <c r="AA774" s="639"/>
      <c r="AB774" s="639"/>
    </row>
    <row r="775" spans="1:28">
      <c r="A775" s="639"/>
      <c r="B775" s="639"/>
      <c r="C775" s="639"/>
      <c r="D775" s="639"/>
      <c r="E775" s="639"/>
      <c r="F775" s="639"/>
      <c r="G775" s="639"/>
      <c r="H775" s="639"/>
      <c r="I775" s="639"/>
      <c r="J775" s="639"/>
      <c r="K775" s="639"/>
      <c r="L775" s="639"/>
      <c r="M775" s="639"/>
      <c r="N775" s="639"/>
      <c r="O775" s="639"/>
      <c r="P775" s="639"/>
      <c r="Q775" s="639"/>
      <c r="R775" s="639"/>
      <c r="S775" s="639"/>
      <c r="T775" s="639"/>
      <c r="U775" s="639"/>
      <c r="V775" s="639"/>
      <c r="W775" s="639"/>
      <c r="X775" s="639"/>
      <c r="Y775" s="639"/>
      <c r="Z775" s="639"/>
      <c r="AA775" s="639"/>
      <c r="AB775" s="639"/>
    </row>
    <row r="776" spans="1:28">
      <c r="A776" s="639"/>
      <c r="B776" s="639"/>
      <c r="C776" s="639"/>
      <c r="D776" s="639"/>
      <c r="E776" s="639"/>
      <c r="F776" s="639"/>
      <c r="G776" s="639"/>
      <c r="H776" s="639"/>
      <c r="I776" s="639"/>
      <c r="J776" s="639"/>
      <c r="K776" s="639"/>
      <c r="L776" s="639"/>
      <c r="M776" s="639"/>
      <c r="N776" s="639"/>
      <c r="O776" s="639"/>
      <c r="P776" s="639"/>
      <c r="Q776" s="639"/>
      <c r="R776" s="639"/>
      <c r="S776" s="639"/>
      <c r="T776" s="639"/>
      <c r="U776" s="639"/>
      <c r="V776" s="639"/>
      <c r="W776" s="639"/>
      <c r="X776" s="639"/>
      <c r="Y776" s="639"/>
      <c r="Z776" s="639"/>
      <c r="AA776" s="639"/>
      <c r="AB776" s="639"/>
    </row>
    <row r="777" spans="1:28">
      <c r="A777" s="639"/>
      <c r="B777" s="639"/>
      <c r="C777" s="639"/>
      <c r="D777" s="639"/>
      <c r="E777" s="639"/>
      <c r="F777" s="639"/>
      <c r="G777" s="639"/>
      <c r="H777" s="639"/>
      <c r="I777" s="639"/>
      <c r="J777" s="639"/>
      <c r="K777" s="639"/>
      <c r="L777" s="639"/>
      <c r="M777" s="639"/>
      <c r="N777" s="639"/>
      <c r="O777" s="639"/>
      <c r="P777" s="639"/>
      <c r="Q777" s="639"/>
      <c r="R777" s="639"/>
      <c r="S777" s="639"/>
      <c r="T777" s="639"/>
      <c r="U777" s="639"/>
      <c r="V777" s="639"/>
      <c r="W777" s="639"/>
      <c r="X777" s="639"/>
      <c r="Y777" s="639"/>
      <c r="Z777" s="639"/>
      <c r="AA777" s="639"/>
      <c r="AB777" s="639"/>
    </row>
    <row r="778" spans="1:28">
      <c r="A778" s="639"/>
      <c r="B778" s="639"/>
      <c r="C778" s="639"/>
      <c r="D778" s="639"/>
      <c r="E778" s="639"/>
      <c r="F778" s="639"/>
      <c r="G778" s="639"/>
      <c r="H778" s="639"/>
      <c r="I778" s="639"/>
      <c r="J778" s="639"/>
      <c r="K778" s="639"/>
      <c r="L778" s="639"/>
      <c r="M778" s="639"/>
      <c r="N778" s="639"/>
      <c r="O778" s="639"/>
      <c r="P778" s="639"/>
      <c r="Q778" s="639"/>
      <c r="R778" s="639"/>
      <c r="S778" s="639"/>
      <c r="T778" s="639"/>
      <c r="U778" s="639"/>
      <c r="V778" s="639"/>
      <c r="W778" s="639"/>
      <c r="X778" s="639"/>
      <c r="Y778" s="639"/>
      <c r="Z778" s="639"/>
      <c r="AA778" s="639"/>
      <c r="AB778" s="639"/>
    </row>
    <row r="779" spans="1:28">
      <c r="A779" s="639"/>
      <c r="B779" s="639"/>
      <c r="C779" s="639"/>
      <c r="D779" s="639"/>
      <c r="E779" s="639"/>
      <c r="F779" s="639"/>
      <c r="G779" s="639"/>
      <c r="H779" s="639"/>
      <c r="I779" s="639"/>
      <c r="J779" s="639"/>
      <c r="K779" s="639"/>
      <c r="L779" s="639"/>
      <c r="M779" s="639"/>
      <c r="N779" s="639"/>
      <c r="O779" s="639"/>
      <c r="P779" s="639"/>
      <c r="Q779" s="639"/>
      <c r="R779" s="639"/>
      <c r="S779" s="639"/>
      <c r="T779" s="639"/>
      <c r="U779" s="639"/>
      <c r="V779" s="639"/>
      <c r="W779" s="639"/>
      <c r="X779" s="639"/>
      <c r="Y779" s="639"/>
      <c r="Z779" s="639"/>
      <c r="AA779" s="639"/>
      <c r="AB779" s="639"/>
    </row>
    <row r="780" spans="1:28">
      <c r="A780" s="639"/>
      <c r="B780" s="639"/>
      <c r="C780" s="639"/>
      <c r="D780" s="639"/>
      <c r="E780" s="639"/>
      <c r="F780" s="639"/>
      <c r="G780" s="639"/>
      <c r="H780" s="639"/>
      <c r="I780" s="639"/>
      <c r="J780" s="639"/>
      <c r="K780" s="639"/>
      <c r="L780" s="639"/>
      <c r="M780" s="639"/>
      <c r="N780" s="639"/>
      <c r="O780" s="639"/>
      <c r="P780" s="639"/>
      <c r="Q780" s="639"/>
      <c r="R780" s="639"/>
      <c r="S780" s="639"/>
      <c r="T780" s="639"/>
      <c r="U780" s="639"/>
      <c r="V780" s="639"/>
      <c r="W780" s="639"/>
      <c r="X780" s="639"/>
      <c r="Y780" s="639"/>
      <c r="Z780" s="639"/>
      <c r="AA780" s="639"/>
      <c r="AB780" s="639"/>
    </row>
    <row r="781" spans="1:28">
      <c r="A781" s="639"/>
      <c r="B781" s="639"/>
      <c r="C781" s="639"/>
      <c r="D781" s="639"/>
      <c r="E781" s="639"/>
      <c r="F781" s="639"/>
      <c r="G781" s="639"/>
      <c r="H781" s="639"/>
      <c r="I781" s="639"/>
      <c r="J781" s="639"/>
      <c r="K781" s="639"/>
      <c r="L781" s="639"/>
      <c r="M781" s="639"/>
      <c r="N781" s="639"/>
      <c r="O781" s="639"/>
      <c r="P781" s="639"/>
      <c r="Q781" s="639"/>
      <c r="R781" s="639"/>
      <c r="S781" s="639"/>
      <c r="T781" s="639"/>
      <c r="U781" s="639"/>
      <c r="V781" s="639"/>
      <c r="W781" s="639"/>
      <c r="X781" s="639"/>
      <c r="Y781" s="639"/>
      <c r="Z781" s="639"/>
      <c r="AA781" s="639"/>
      <c r="AB781" s="639"/>
    </row>
    <row r="782" spans="1:28">
      <c r="A782" s="639"/>
      <c r="B782" s="639"/>
      <c r="C782" s="639"/>
      <c r="D782" s="639"/>
      <c r="E782" s="639"/>
      <c r="F782" s="639"/>
      <c r="G782" s="639"/>
      <c r="H782" s="639"/>
      <c r="I782" s="639"/>
      <c r="J782" s="639"/>
      <c r="K782" s="639"/>
      <c r="L782" s="639"/>
      <c r="M782" s="639"/>
      <c r="N782" s="639"/>
      <c r="O782" s="639"/>
      <c r="P782" s="639"/>
      <c r="Q782" s="639"/>
      <c r="R782" s="639"/>
      <c r="S782" s="639"/>
      <c r="T782" s="639"/>
      <c r="U782" s="639"/>
      <c r="V782" s="639"/>
      <c r="W782" s="639"/>
      <c r="X782" s="639"/>
      <c r="Y782" s="639"/>
      <c r="Z782" s="639"/>
      <c r="AA782" s="639"/>
      <c r="AB782" s="639"/>
    </row>
    <row r="783" spans="1:28">
      <c r="A783" s="639"/>
      <c r="B783" s="639"/>
      <c r="C783" s="639"/>
      <c r="D783" s="639"/>
      <c r="E783" s="639"/>
      <c r="F783" s="639"/>
      <c r="G783" s="639"/>
      <c r="H783" s="639"/>
      <c r="I783" s="639"/>
      <c r="J783" s="639"/>
      <c r="K783" s="639"/>
      <c r="L783" s="639"/>
      <c r="M783" s="639"/>
      <c r="N783" s="639"/>
      <c r="O783" s="639"/>
      <c r="P783" s="639"/>
      <c r="Q783" s="639"/>
      <c r="R783" s="639"/>
      <c r="S783" s="639"/>
      <c r="T783" s="639"/>
      <c r="U783" s="639"/>
      <c r="V783" s="639"/>
      <c r="W783" s="639"/>
      <c r="X783" s="639"/>
      <c r="Y783" s="639"/>
      <c r="Z783" s="639"/>
      <c r="AA783" s="639"/>
      <c r="AB783" s="639"/>
    </row>
    <row r="784" spans="1:28">
      <c r="A784" s="639"/>
      <c r="B784" s="639"/>
      <c r="C784" s="639"/>
      <c r="D784" s="639"/>
      <c r="E784" s="639"/>
      <c r="F784" s="639"/>
      <c r="G784" s="639"/>
      <c r="H784" s="639"/>
      <c r="I784" s="639"/>
      <c r="J784" s="639"/>
      <c r="K784" s="639"/>
      <c r="L784" s="639"/>
      <c r="M784" s="639"/>
      <c r="N784" s="639"/>
      <c r="O784" s="639"/>
      <c r="P784" s="639"/>
      <c r="Q784" s="639"/>
      <c r="R784" s="639"/>
      <c r="S784" s="639"/>
      <c r="T784" s="639"/>
      <c r="U784" s="639"/>
      <c r="V784" s="639"/>
      <c r="W784" s="639"/>
      <c r="X784" s="639"/>
      <c r="Y784" s="639"/>
      <c r="Z784" s="639"/>
      <c r="AA784" s="639"/>
      <c r="AB784" s="639"/>
    </row>
    <row r="785" spans="1:28">
      <c r="A785" s="639"/>
      <c r="B785" s="639"/>
      <c r="C785" s="639"/>
      <c r="D785" s="639"/>
      <c r="E785" s="639"/>
      <c r="F785" s="639"/>
      <c r="G785" s="639"/>
      <c r="H785" s="639"/>
      <c r="I785" s="639"/>
      <c r="J785" s="639"/>
      <c r="K785" s="639"/>
      <c r="L785" s="639"/>
      <c r="M785" s="639"/>
      <c r="N785" s="639"/>
      <c r="O785" s="639"/>
      <c r="P785" s="639"/>
      <c r="Q785" s="639"/>
      <c r="R785" s="639"/>
      <c r="S785" s="639"/>
      <c r="T785" s="639"/>
      <c r="U785" s="639"/>
      <c r="V785" s="639"/>
      <c r="W785" s="639"/>
      <c r="X785" s="639"/>
      <c r="Y785" s="639"/>
      <c r="Z785" s="639"/>
      <c r="AA785" s="639"/>
      <c r="AB785" s="639"/>
    </row>
    <row r="786" spans="1:28">
      <c r="A786" s="639"/>
      <c r="B786" s="639"/>
      <c r="C786" s="639"/>
      <c r="D786" s="639"/>
      <c r="E786" s="639"/>
      <c r="F786" s="639"/>
      <c r="G786" s="639"/>
      <c r="H786" s="639"/>
      <c r="I786" s="639"/>
      <c r="J786" s="639"/>
      <c r="K786" s="639"/>
      <c r="L786" s="639"/>
      <c r="M786" s="639"/>
      <c r="N786" s="639"/>
      <c r="O786" s="639"/>
      <c r="P786" s="639"/>
      <c r="Q786" s="639"/>
      <c r="R786" s="639"/>
      <c r="S786" s="639"/>
      <c r="T786" s="639"/>
      <c r="U786" s="639"/>
      <c r="V786" s="639"/>
      <c r="W786" s="639"/>
      <c r="X786" s="639"/>
      <c r="Y786" s="639"/>
      <c r="Z786" s="639"/>
      <c r="AA786" s="639"/>
      <c r="AB786" s="639"/>
    </row>
    <row r="787" spans="1:28">
      <c r="A787" s="639"/>
      <c r="B787" s="639"/>
      <c r="C787" s="639"/>
      <c r="D787" s="639"/>
      <c r="E787" s="639"/>
      <c r="F787" s="639"/>
      <c r="G787" s="639"/>
      <c r="H787" s="639"/>
      <c r="I787" s="639"/>
      <c r="J787" s="639"/>
      <c r="K787" s="639"/>
      <c r="L787" s="639"/>
      <c r="M787" s="639"/>
      <c r="N787" s="639"/>
      <c r="O787" s="639"/>
      <c r="P787" s="639"/>
      <c r="Q787" s="639"/>
      <c r="R787" s="639"/>
      <c r="S787" s="639"/>
      <c r="T787" s="639"/>
      <c r="U787" s="639"/>
      <c r="V787" s="639"/>
      <c r="W787" s="639"/>
      <c r="X787" s="639"/>
      <c r="Y787" s="639"/>
      <c r="Z787" s="639"/>
      <c r="AA787" s="639"/>
      <c r="AB787" s="639"/>
    </row>
    <row r="788" spans="1:28">
      <c r="A788" s="639"/>
      <c r="B788" s="639"/>
      <c r="C788" s="639"/>
      <c r="D788" s="639"/>
      <c r="E788" s="639"/>
      <c r="F788" s="639"/>
      <c r="G788" s="639"/>
      <c r="H788" s="639"/>
      <c r="I788" s="639"/>
      <c r="J788" s="639"/>
      <c r="K788" s="639"/>
      <c r="L788" s="639"/>
      <c r="M788" s="639"/>
      <c r="N788" s="639"/>
      <c r="O788" s="639"/>
      <c r="P788" s="639"/>
      <c r="Q788" s="639"/>
      <c r="R788" s="639"/>
      <c r="S788" s="639"/>
      <c r="T788" s="639"/>
      <c r="U788" s="639"/>
      <c r="V788" s="639"/>
      <c r="W788" s="639"/>
      <c r="X788" s="639"/>
      <c r="Y788" s="639"/>
      <c r="Z788" s="639"/>
      <c r="AA788" s="639"/>
      <c r="AB788" s="639"/>
    </row>
    <row r="789" spans="1:28">
      <c r="A789" s="639"/>
      <c r="B789" s="639"/>
      <c r="C789" s="639"/>
      <c r="D789" s="639"/>
      <c r="E789" s="639"/>
      <c r="F789" s="639"/>
      <c r="G789" s="639"/>
      <c r="H789" s="639"/>
      <c r="I789" s="639"/>
      <c r="J789" s="639"/>
      <c r="K789" s="639"/>
      <c r="L789" s="639"/>
      <c r="M789" s="639"/>
      <c r="N789" s="639"/>
      <c r="O789" s="639"/>
      <c r="P789" s="639"/>
      <c r="Q789" s="639"/>
      <c r="R789" s="639"/>
      <c r="S789" s="639"/>
      <c r="T789" s="639"/>
      <c r="U789" s="639"/>
      <c r="V789" s="639"/>
      <c r="W789" s="639"/>
      <c r="X789" s="639"/>
      <c r="Y789" s="639"/>
      <c r="Z789" s="639"/>
      <c r="AA789" s="639"/>
      <c r="AB789" s="639"/>
    </row>
    <row r="790" spans="1:28">
      <c r="A790" s="639"/>
      <c r="B790" s="639"/>
      <c r="C790" s="639"/>
      <c r="D790" s="639"/>
      <c r="E790" s="639"/>
      <c r="F790" s="639"/>
      <c r="G790" s="639"/>
      <c r="H790" s="639"/>
      <c r="I790" s="639"/>
      <c r="J790" s="639"/>
      <c r="K790" s="639"/>
      <c r="L790" s="639"/>
      <c r="M790" s="639"/>
      <c r="N790" s="639"/>
      <c r="O790" s="639"/>
      <c r="P790" s="639"/>
      <c r="Q790" s="639"/>
      <c r="R790" s="639"/>
      <c r="S790" s="639"/>
      <c r="T790" s="639"/>
      <c r="U790" s="639"/>
      <c r="V790" s="639"/>
      <c r="W790" s="639"/>
      <c r="X790" s="639"/>
      <c r="Y790" s="639"/>
      <c r="Z790" s="639"/>
      <c r="AA790" s="639"/>
      <c r="AB790" s="639"/>
    </row>
    <row r="791" spans="1:28">
      <c r="A791" s="639"/>
      <c r="B791" s="639"/>
      <c r="C791" s="639"/>
      <c r="D791" s="639"/>
      <c r="E791" s="639"/>
      <c r="F791" s="639"/>
      <c r="G791" s="639"/>
      <c r="H791" s="639"/>
      <c r="I791" s="639"/>
      <c r="J791" s="639"/>
      <c r="K791" s="639"/>
      <c r="L791" s="639"/>
      <c r="M791" s="639"/>
      <c r="N791" s="639"/>
      <c r="O791" s="639"/>
      <c r="P791" s="639"/>
      <c r="Q791" s="639"/>
      <c r="R791" s="639"/>
      <c r="S791" s="639"/>
      <c r="T791" s="639"/>
      <c r="U791" s="639"/>
      <c r="V791" s="639"/>
      <c r="W791" s="639"/>
      <c r="X791" s="639"/>
      <c r="Y791" s="639"/>
      <c r="Z791" s="639"/>
      <c r="AA791" s="639"/>
      <c r="AB791" s="639"/>
    </row>
    <row r="792" spans="1:28">
      <c r="A792" s="639"/>
      <c r="B792" s="639"/>
      <c r="C792" s="639"/>
      <c r="D792" s="639"/>
      <c r="E792" s="639"/>
      <c r="F792" s="639"/>
      <c r="G792" s="639"/>
      <c r="H792" s="639"/>
      <c r="I792" s="639"/>
      <c r="J792" s="639"/>
      <c r="K792" s="639"/>
      <c r="L792" s="639"/>
      <c r="M792" s="639"/>
      <c r="N792" s="639"/>
      <c r="O792" s="639"/>
      <c r="P792" s="639"/>
      <c r="Q792" s="639"/>
      <c r="R792" s="639"/>
      <c r="S792" s="639"/>
      <c r="T792" s="639"/>
      <c r="U792" s="639"/>
      <c r="V792" s="639"/>
      <c r="W792" s="639"/>
      <c r="X792" s="639"/>
      <c r="Y792" s="639"/>
      <c r="Z792" s="639"/>
      <c r="AA792" s="639"/>
      <c r="AB792" s="639"/>
    </row>
    <row r="793" spans="1:28">
      <c r="A793" s="639"/>
      <c r="B793" s="639"/>
      <c r="C793" s="639"/>
      <c r="D793" s="639"/>
      <c r="E793" s="639"/>
      <c r="F793" s="639"/>
      <c r="G793" s="639"/>
      <c r="H793" s="639"/>
      <c r="I793" s="639"/>
      <c r="J793" s="639"/>
      <c r="K793" s="639"/>
      <c r="L793" s="639"/>
      <c r="M793" s="639"/>
      <c r="N793" s="639"/>
      <c r="O793" s="639"/>
      <c r="P793" s="639"/>
      <c r="Q793" s="639"/>
      <c r="R793" s="639"/>
      <c r="S793" s="639"/>
      <c r="T793" s="639"/>
      <c r="U793" s="639"/>
      <c r="V793" s="639"/>
      <c r="W793" s="639"/>
      <c r="X793" s="639"/>
      <c r="Y793" s="639"/>
      <c r="Z793" s="639"/>
      <c r="AA793" s="639"/>
      <c r="AB793" s="639"/>
    </row>
    <row r="794" spans="1:28">
      <c r="A794" s="639"/>
      <c r="B794" s="639"/>
      <c r="C794" s="639"/>
      <c r="D794" s="639"/>
      <c r="E794" s="639"/>
      <c r="F794" s="639"/>
      <c r="G794" s="639"/>
      <c r="H794" s="639"/>
      <c r="I794" s="639"/>
      <c r="J794" s="639"/>
      <c r="K794" s="639"/>
      <c r="L794" s="639"/>
      <c r="M794" s="639"/>
      <c r="N794" s="639"/>
      <c r="O794" s="639"/>
      <c r="P794" s="639"/>
      <c r="Q794" s="639"/>
      <c r="R794" s="639"/>
      <c r="S794" s="639"/>
      <c r="T794" s="639"/>
      <c r="U794" s="639"/>
      <c r="V794" s="639"/>
      <c r="W794" s="639"/>
      <c r="X794" s="639"/>
      <c r="Y794" s="639"/>
      <c r="Z794" s="639"/>
      <c r="AA794" s="639"/>
      <c r="AB794" s="639"/>
    </row>
    <row r="795" spans="1:28">
      <c r="A795" s="639"/>
      <c r="B795" s="639"/>
      <c r="C795" s="639"/>
      <c r="D795" s="639"/>
      <c r="E795" s="639"/>
      <c r="F795" s="639"/>
      <c r="G795" s="639"/>
      <c r="H795" s="639"/>
      <c r="I795" s="639"/>
      <c r="J795" s="639"/>
      <c r="K795" s="639"/>
      <c r="L795" s="639"/>
      <c r="M795" s="639"/>
      <c r="N795" s="639"/>
      <c r="O795" s="639"/>
      <c r="P795" s="639"/>
      <c r="Q795" s="639"/>
      <c r="R795" s="639"/>
      <c r="S795" s="639"/>
      <c r="T795" s="639"/>
      <c r="U795" s="639"/>
      <c r="V795" s="639"/>
      <c r="W795" s="639"/>
      <c r="X795" s="639"/>
      <c r="Y795" s="639"/>
      <c r="Z795" s="639"/>
      <c r="AA795" s="639"/>
      <c r="AB795" s="639"/>
    </row>
    <row r="796" spans="1:28">
      <c r="A796" s="639"/>
      <c r="B796" s="639"/>
      <c r="C796" s="639"/>
      <c r="D796" s="639"/>
      <c r="E796" s="639"/>
      <c r="F796" s="639"/>
      <c r="G796" s="639"/>
      <c r="H796" s="639"/>
      <c r="I796" s="639"/>
      <c r="J796" s="639"/>
      <c r="K796" s="639"/>
      <c r="L796" s="639"/>
      <c r="M796" s="639"/>
      <c r="N796" s="639"/>
      <c r="O796" s="639"/>
      <c r="P796" s="639"/>
      <c r="Q796" s="639"/>
      <c r="R796" s="639"/>
      <c r="S796" s="639"/>
      <c r="T796" s="639"/>
      <c r="U796" s="639"/>
      <c r="V796" s="639"/>
      <c r="W796" s="639"/>
      <c r="X796" s="639"/>
      <c r="Y796" s="639"/>
      <c r="Z796" s="639"/>
      <c r="AA796" s="639"/>
      <c r="AB796" s="639"/>
    </row>
    <row r="797" spans="1:28">
      <c r="A797" s="639"/>
      <c r="B797" s="639"/>
      <c r="C797" s="639"/>
      <c r="D797" s="639"/>
      <c r="E797" s="639"/>
      <c r="F797" s="639"/>
      <c r="G797" s="639"/>
      <c r="H797" s="639"/>
      <c r="I797" s="639"/>
      <c r="J797" s="639"/>
      <c r="K797" s="639"/>
      <c r="L797" s="639"/>
      <c r="M797" s="639"/>
      <c r="N797" s="639"/>
      <c r="O797" s="639"/>
      <c r="P797" s="639"/>
      <c r="Q797" s="639"/>
      <c r="R797" s="639"/>
      <c r="S797" s="639"/>
      <c r="T797" s="639"/>
      <c r="U797" s="639"/>
      <c r="V797" s="639"/>
      <c r="W797" s="639"/>
      <c r="X797" s="639"/>
      <c r="Y797" s="639"/>
      <c r="Z797" s="639"/>
      <c r="AA797" s="639"/>
      <c r="AB797" s="639"/>
    </row>
    <row r="798" spans="1:28">
      <c r="A798" s="639"/>
      <c r="B798" s="639"/>
      <c r="C798" s="639"/>
      <c r="D798" s="639"/>
      <c r="E798" s="639"/>
      <c r="F798" s="639"/>
      <c r="G798" s="639"/>
      <c r="H798" s="639"/>
      <c r="I798" s="639"/>
      <c r="J798" s="639"/>
      <c r="K798" s="639"/>
      <c r="L798" s="639"/>
      <c r="M798" s="639"/>
      <c r="N798" s="639"/>
      <c r="O798" s="639"/>
      <c r="P798" s="639"/>
      <c r="Q798" s="639"/>
      <c r="R798" s="639"/>
      <c r="S798" s="639"/>
      <c r="T798" s="639"/>
      <c r="U798" s="639"/>
      <c r="V798" s="639"/>
      <c r="W798" s="639"/>
      <c r="X798" s="639"/>
      <c r="Y798" s="639"/>
      <c r="Z798" s="639"/>
      <c r="AA798" s="639"/>
      <c r="AB798" s="639"/>
    </row>
    <row r="799" spans="1:28">
      <c r="A799" s="639"/>
      <c r="B799" s="639"/>
      <c r="C799" s="639"/>
      <c r="D799" s="639"/>
      <c r="E799" s="639"/>
      <c r="F799" s="639"/>
      <c r="G799" s="639"/>
      <c r="H799" s="639"/>
      <c r="I799" s="639"/>
      <c r="J799" s="639"/>
      <c r="K799" s="639"/>
      <c r="L799" s="639"/>
      <c r="M799" s="639"/>
      <c r="N799" s="639"/>
      <c r="O799" s="639"/>
      <c r="P799" s="639"/>
      <c r="Q799" s="639"/>
      <c r="R799" s="639"/>
      <c r="S799" s="639"/>
      <c r="T799" s="639"/>
      <c r="U799" s="639"/>
      <c r="V799" s="639"/>
      <c r="W799" s="639"/>
      <c r="X799" s="639"/>
      <c r="Y799" s="639"/>
      <c r="Z799" s="639"/>
      <c r="AA799" s="639"/>
      <c r="AB799" s="639"/>
    </row>
    <row r="800" spans="1:28">
      <c r="A800" s="639"/>
      <c r="B800" s="639"/>
      <c r="C800" s="639"/>
      <c r="D800" s="639"/>
      <c r="E800" s="639"/>
      <c r="F800" s="639"/>
      <c r="G800" s="639"/>
      <c r="H800" s="639"/>
      <c r="I800" s="639"/>
      <c r="J800" s="639"/>
      <c r="K800" s="639"/>
      <c r="L800" s="639"/>
      <c r="M800" s="639"/>
      <c r="N800" s="639"/>
      <c r="O800" s="639"/>
      <c r="P800" s="639"/>
      <c r="Q800" s="639"/>
      <c r="R800" s="639"/>
      <c r="S800" s="639"/>
      <c r="T800" s="639"/>
      <c r="U800" s="639"/>
      <c r="V800" s="639"/>
      <c r="W800" s="639"/>
      <c r="X800" s="639"/>
      <c r="Y800" s="639"/>
      <c r="Z800" s="639"/>
      <c r="AA800" s="639"/>
      <c r="AB800" s="639"/>
    </row>
    <row r="801" spans="1:28">
      <c r="A801" s="639"/>
      <c r="B801" s="639"/>
      <c r="C801" s="639"/>
      <c r="D801" s="639"/>
      <c r="E801" s="639"/>
      <c r="F801" s="639"/>
      <c r="G801" s="639"/>
      <c r="H801" s="639"/>
      <c r="I801" s="639"/>
      <c r="J801" s="639"/>
      <c r="K801" s="639"/>
      <c r="L801" s="639"/>
      <c r="M801" s="639"/>
      <c r="N801" s="639"/>
      <c r="O801" s="639"/>
      <c r="P801" s="639"/>
      <c r="Q801" s="639"/>
      <c r="R801" s="639"/>
      <c r="S801" s="639"/>
      <c r="T801" s="639"/>
      <c r="U801" s="639"/>
      <c r="V801" s="639"/>
      <c r="W801" s="639"/>
      <c r="X801" s="639"/>
      <c r="Y801" s="639"/>
      <c r="Z801" s="639"/>
      <c r="AA801" s="639"/>
      <c r="AB801" s="639"/>
    </row>
    <row r="802" spans="1:28">
      <c r="A802" s="639"/>
      <c r="B802" s="639"/>
      <c r="C802" s="639"/>
      <c r="D802" s="639"/>
      <c r="E802" s="639"/>
      <c r="F802" s="639"/>
      <c r="G802" s="639"/>
      <c r="H802" s="639"/>
      <c r="I802" s="639"/>
      <c r="J802" s="639"/>
      <c r="K802" s="639"/>
      <c r="L802" s="639"/>
      <c r="M802" s="639"/>
      <c r="N802" s="639"/>
      <c r="O802" s="639"/>
      <c r="P802" s="639"/>
      <c r="Q802" s="639"/>
      <c r="R802" s="639"/>
      <c r="S802" s="639"/>
      <c r="T802" s="639"/>
      <c r="U802" s="639"/>
      <c r="V802" s="639"/>
      <c r="W802" s="639"/>
      <c r="X802" s="639"/>
      <c r="Y802" s="639"/>
      <c r="Z802" s="639"/>
      <c r="AA802" s="639"/>
      <c r="AB802" s="639"/>
    </row>
    <row r="803" spans="1:28">
      <c r="A803" s="639"/>
      <c r="B803" s="639"/>
      <c r="C803" s="639"/>
      <c r="D803" s="639"/>
      <c r="E803" s="639"/>
      <c r="F803" s="639"/>
      <c r="G803" s="639"/>
      <c r="H803" s="639"/>
      <c r="I803" s="639"/>
      <c r="J803" s="639"/>
      <c r="K803" s="639"/>
      <c r="L803" s="639"/>
      <c r="M803" s="639"/>
      <c r="N803" s="639"/>
      <c r="O803" s="639"/>
      <c r="P803" s="639"/>
      <c r="Q803" s="639"/>
      <c r="R803" s="639"/>
      <c r="S803" s="639"/>
      <c r="T803" s="639"/>
      <c r="U803" s="639"/>
      <c r="V803" s="639"/>
      <c r="W803" s="639"/>
      <c r="X803" s="639"/>
      <c r="Y803" s="639"/>
      <c r="Z803" s="639"/>
      <c r="AA803" s="639"/>
      <c r="AB803" s="639"/>
    </row>
    <row r="804" spans="1:28">
      <c r="A804" s="639"/>
      <c r="B804" s="639"/>
      <c r="C804" s="639"/>
      <c r="D804" s="639"/>
      <c r="E804" s="639"/>
      <c r="F804" s="639"/>
      <c r="G804" s="639"/>
      <c r="H804" s="639"/>
      <c r="I804" s="639"/>
      <c r="J804" s="639"/>
      <c r="K804" s="639"/>
      <c r="L804" s="639"/>
      <c r="M804" s="639"/>
      <c r="N804" s="639"/>
      <c r="O804" s="639"/>
      <c r="P804" s="639"/>
      <c r="Q804" s="639"/>
      <c r="R804" s="639"/>
      <c r="S804" s="639"/>
      <c r="T804" s="639"/>
      <c r="U804" s="639"/>
      <c r="V804" s="639"/>
      <c r="W804" s="639"/>
      <c r="X804" s="639"/>
      <c r="Y804" s="639"/>
      <c r="Z804" s="639"/>
      <c r="AA804" s="639"/>
      <c r="AB804" s="639"/>
    </row>
    <row r="805" spans="1:28">
      <c r="A805" s="639"/>
      <c r="B805" s="639"/>
      <c r="C805" s="639"/>
      <c r="D805" s="639"/>
      <c r="E805" s="639"/>
      <c r="F805" s="639"/>
      <c r="G805" s="639"/>
      <c r="H805" s="639"/>
      <c r="I805" s="639"/>
      <c r="J805" s="639"/>
      <c r="K805" s="639"/>
      <c r="L805" s="639"/>
      <c r="M805" s="639"/>
      <c r="N805" s="639"/>
      <c r="O805" s="639"/>
      <c r="P805" s="639"/>
      <c r="Q805" s="639"/>
      <c r="R805" s="639"/>
      <c r="S805" s="639"/>
      <c r="T805" s="639"/>
      <c r="U805" s="639"/>
      <c r="V805" s="639"/>
      <c r="W805" s="639"/>
      <c r="X805" s="639"/>
      <c r="Y805" s="639"/>
      <c r="Z805" s="639"/>
      <c r="AA805" s="639"/>
      <c r="AB805" s="639"/>
    </row>
    <row r="806" spans="1:28">
      <c r="A806" s="639"/>
      <c r="B806" s="639"/>
      <c r="C806" s="639"/>
      <c r="D806" s="639"/>
      <c r="E806" s="639"/>
      <c r="F806" s="639"/>
      <c r="G806" s="639"/>
      <c r="H806" s="639"/>
      <c r="I806" s="639"/>
      <c r="J806" s="639"/>
      <c r="K806" s="639"/>
      <c r="L806" s="639"/>
      <c r="M806" s="639"/>
      <c r="N806" s="639"/>
      <c r="O806" s="639"/>
      <c r="P806" s="639"/>
      <c r="Q806" s="639"/>
      <c r="R806" s="639"/>
      <c r="S806" s="639"/>
      <c r="T806" s="639"/>
      <c r="U806" s="639"/>
      <c r="V806" s="639"/>
      <c r="W806" s="639"/>
      <c r="X806" s="639"/>
      <c r="Y806" s="639"/>
      <c r="Z806" s="639"/>
      <c r="AA806" s="639"/>
      <c r="AB806" s="639"/>
    </row>
    <row r="807" spans="1:28">
      <c r="A807" s="639"/>
      <c r="B807" s="639"/>
      <c r="C807" s="639"/>
      <c r="D807" s="639"/>
      <c r="E807" s="639"/>
      <c r="F807" s="639"/>
      <c r="G807" s="639"/>
      <c r="H807" s="639"/>
      <c r="I807" s="639"/>
      <c r="J807" s="639"/>
      <c r="K807" s="639"/>
      <c r="L807" s="639"/>
      <c r="M807" s="639"/>
      <c r="N807" s="639"/>
      <c r="O807" s="639"/>
      <c r="P807" s="639"/>
      <c r="Q807" s="639"/>
      <c r="R807" s="639"/>
      <c r="S807" s="639"/>
      <c r="T807" s="639"/>
      <c r="U807" s="639"/>
      <c r="V807" s="639"/>
      <c r="W807" s="639"/>
      <c r="X807" s="639"/>
      <c r="Y807" s="639"/>
      <c r="Z807" s="639"/>
      <c r="AA807" s="639"/>
      <c r="AB807" s="639"/>
    </row>
    <row r="808" spans="1:28">
      <c r="A808" s="639"/>
      <c r="B808" s="639"/>
      <c r="C808" s="639"/>
      <c r="D808" s="639"/>
      <c r="E808" s="639"/>
      <c r="F808" s="639"/>
      <c r="G808" s="639"/>
      <c r="H808" s="639"/>
      <c r="I808" s="639"/>
      <c r="J808" s="639"/>
      <c r="K808" s="639"/>
      <c r="L808" s="639"/>
      <c r="M808" s="639"/>
      <c r="N808" s="639"/>
      <c r="O808" s="639"/>
      <c r="P808" s="639"/>
      <c r="Q808" s="639"/>
      <c r="R808" s="639"/>
      <c r="S808" s="639"/>
      <c r="T808" s="639"/>
      <c r="U808" s="639"/>
      <c r="V808" s="639"/>
      <c r="W808" s="639"/>
      <c r="X808" s="639"/>
      <c r="Y808" s="639"/>
      <c r="Z808" s="639"/>
      <c r="AA808" s="639"/>
      <c r="AB808" s="639"/>
    </row>
    <row r="809" spans="1:28">
      <c r="A809" s="639"/>
      <c r="B809" s="639"/>
      <c r="C809" s="639"/>
      <c r="D809" s="639"/>
      <c r="E809" s="639"/>
      <c r="F809" s="639"/>
      <c r="G809" s="639"/>
      <c r="H809" s="639"/>
      <c r="I809" s="639"/>
      <c r="J809" s="639"/>
      <c r="K809" s="639"/>
      <c r="L809" s="639"/>
      <c r="M809" s="639"/>
      <c r="N809" s="639"/>
      <c r="O809" s="639"/>
      <c r="P809" s="639"/>
      <c r="Q809" s="639"/>
      <c r="R809" s="639"/>
      <c r="S809" s="639"/>
      <c r="T809" s="639"/>
      <c r="U809" s="639"/>
      <c r="V809" s="639"/>
      <c r="W809" s="639"/>
      <c r="X809" s="639"/>
      <c r="Y809" s="639"/>
      <c r="Z809" s="639"/>
      <c r="AA809" s="639"/>
      <c r="AB809" s="639"/>
    </row>
    <row r="810" spans="1:28">
      <c r="A810" s="639"/>
      <c r="B810" s="639"/>
      <c r="C810" s="639"/>
      <c r="D810" s="639"/>
      <c r="E810" s="639"/>
      <c r="F810" s="639"/>
      <c r="G810" s="639"/>
      <c r="H810" s="639"/>
      <c r="I810" s="639"/>
      <c r="J810" s="639"/>
      <c r="K810" s="639"/>
      <c r="L810" s="639"/>
      <c r="M810" s="639"/>
      <c r="N810" s="639"/>
      <c r="O810" s="639"/>
      <c r="P810" s="639"/>
      <c r="Q810" s="639"/>
      <c r="R810" s="639"/>
      <c r="S810" s="639"/>
      <c r="T810" s="639"/>
      <c r="U810" s="639"/>
      <c r="V810" s="639"/>
      <c r="W810" s="639"/>
      <c r="X810" s="639"/>
      <c r="Y810" s="639"/>
      <c r="Z810" s="639"/>
      <c r="AA810" s="639"/>
      <c r="AB810" s="639"/>
    </row>
    <row r="811" spans="1:28">
      <c r="A811" s="639"/>
      <c r="B811" s="639"/>
      <c r="C811" s="639"/>
      <c r="D811" s="639"/>
      <c r="E811" s="639"/>
      <c r="F811" s="639"/>
      <c r="G811" s="639"/>
      <c r="H811" s="639"/>
      <c r="I811" s="639"/>
      <c r="J811" s="639"/>
      <c r="K811" s="639"/>
      <c r="L811" s="639"/>
      <c r="M811" s="639"/>
      <c r="N811" s="639"/>
      <c r="O811" s="639"/>
      <c r="P811" s="639"/>
      <c r="Q811" s="639"/>
      <c r="R811" s="639"/>
      <c r="S811" s="639"/>
      <c r="T811" s="639"/>
      <c r="U811" s="639"/>
      <c r="V811" s="639"/>
      <c r="W811" s="639"/>
      <c r="X811" s="639"/>
      <c r="Y811" s="639"/>
      <c r="Z811" s="639"/>
      <c r="AA811" s="639"/>
      <c r="AB811" s="639"/>
    </row>
    <row r="812" spans="1:28">
      <c r="A812" s="639"/>
      <c r="B812" s="639"/>
      <c r="C812" s="639"/>
      <c r="D812" s="639"/>
      <c r="E812" s="639"/>
      <c r="F812" s="639"/>
      <c r="G812" s="639"/>
      <c r="H812" s="639"/>
      <c r="I812" s="639"/>
      <c r="J812" s="639"/>
      <c r="K812" s="639"/>
      <c r="L812" s="639"/>
      <c r="M812" s="639"/>
      <c r="N812" s="639"/>
      <c r="O812" s="639"/>
      <c r="P812" s="639"/>
      <c r="Q812" s="639"/>
      <c r="R812" s="639"/>
      <c r="S812" s="639"/>
      <c r="T812" s="639"/>
      <c r="U812" s="639"/>
      <c r="V812" s="639"/>
      <c r="W812" s="639"/>
      <c r="X812" s="639"/>
      <c r="Y812" s="639"/>
      <c r="Z812" s="639"/>
      <c r="AA812" s="639"/>
      <c r="AB812" s="639"/>
    </row>
    <row r="813" spans="1:28">
      <c r="A813" s="639"/>
      <c r="B813" s="639"/>
      <c r="C813" s="639"/>
      <c r="D813" s="639"/>
      <c r="E813" s="639"/>
      <c r="F813" s="639"/>
      <c r="G813" s="639"/>
      <c r="H813" s="639"/>
      <c r="I813" s="639"/>
      <c r="J813" s="639"/>
      <c r="K813" s="639"/>
      <c r="L813" s="639"/>
      <c r="M813" s="639"/>
      <c r="N813" s="639"/>
      <c r="O813" s="639"/>
      <c r="P813" s="639"/>
      <c r="Q813" s="639"/>
      <c r="R813" s="639"/>
      <c r="S813" s="639"/>
      <c r="T813" s="639"/>
      <c r="U813" s="639"/>
      <c r="V813" s="639"/>
      <c r="W813" s="639"/>
      <c r="X813" s="639"/>
      <c r="Y813" s="639"/>
      <c r="Z813" s="639"/>
      <c r="AA813" s="639"/>
      <c r="AB813" s="639"/>
    </row>
    <row r="814" spans="1:28">
      <c r="A814" s="639"/>
      <c r="B814" s="639"/>
      <c r="C814" s="639"/>
      <c r="D814" s="639"/>
      <c r="E814" s="639"/>
      <c r="F814" s="639"/>
      <c r="G814" s="639"/>
      <c r="H814" s="639"/>
      <c r="I814" s="639"/>
      <c r="J814" s="639"/>
      <c r="K814" s="639"/>
      <c r="L814" s="639"/>
      <c r="M814" s="639"/>
      <c r="N814" s="639"/>
      <c r="O814" s="639"/>
      <c r="P814" s="639"/>
      <c r="Q814" s="639"/>
      <c r="R814" s="639"/>
      <c r="S814" s="639"/>
      <c r="T814" s="639"/>
      <c r="U814" s="639"/>
      <c r="V814" s="639"/>
      <c r="W814" s="639"/>
      <c r="X814" s="639"/>
      <c r="Y814" s="639"/>
      <c r="Z814" s="639"/>
      <c r="AA814" s="639"/>
      <c r="AB814" s="639"/>
    </row>
    <row r="815" spans="1:28">
      <c r="A815" s="639"/>
      <c r="B815" s="639"/>
      <c r="C815" s="639"/>
      <c r="D815" s="639"/>
      <c r="E815" s="639"/>
      <c r="F815" s="639"/>
      <c r="G815" s="639"/>
      <c r="H815" s="639"/>
      <c r="I815" s="639"/>
      <c r="J815" s="639"/>
      <c r="K815" s="639"/>
      <c r="L815" s="639"/>
      <c r="M815" s="639"/>
      <c r="N815" s="639"/>
      <c r="O815" s="639"/>
      <c r="P815" s="639"/>
      <c r="Q815" s="639"/>
      <c r="R815" s="639"/>
      <c r="S815" s="639"/>
      <c r="T815" s="639"/>
      <c r="U815" s="639"/>
      <c r="V815" s="639"/>
      <c r="W815" s="639"/>
      <c r="X815" s="639"/>
      <c r="Y815" s="639"/>
      <c r="Z815" s="639"/>
      <c r="AA815" s="639"/>
      <c r="AB815" s="639"/>
    </row>
    <row r="816" spans="1:28">
      <c r="A816" s="639"/>
      <c r="B816" s="639"/>
      <c r="C816" s="639"/>
      <c r="D816" s="639"/>
      <c r="E816" s="639"/>
      <c r="F816" s="639"/>
      <c r="G816" s="639"/>
      <c r="H816" s="639"/>
      <c r="I816" s="639"/>
      <c r="J816" s="639"/>
      <c r="K816" s="639"/>
      <c r="L816" s="639"/>
      <c r="M816" s="639"/>
      <c r="N816" s="639"/>
      <c r="O816" s="639"/>
      <c r="P816" s="639"/>
      <c r="Q816" s="639"/>
      <c r="R816" s="639"/>
      <c r="S816" s="639"/>
      <c r="T816" s="639"/>
      <c r="U816" s="639"/>
      <c r="V816" s="639"/>
      <c r="W816" s="639"/>
      <c r="X816" s="639"/>
      <c r="Y816" s="639"/>
      <c r="Z816" s="639"/>
      <c r="AA816" s="639"/>
      <c r="AB816" s="639"/>
    </row>
    <row r="817" spans="1:28">
      <c r="A817" s="639"/>
      <c r="B817" s="639"/>
      <c r="C817" s="639"/>
      <c r="D817" s="639"/>
      <c r="E817" s="639"/>
      <c r="F817" s="639"/>
      <c r="G817" s="639"/>
      <c r="H817" s="639"/>
      <c r="I817" s="639"/>
      <c r="J817" s="639"/>
      <c r="K817" s="639"/>
      <c r="L817" s="639"/>
      <c r="M817" s="639"/>
      <c r="N817" s="639"/>
      <c r="O817" s="639"/>
      <c r="P817" s="639"/>
      <c r="Q817" s="639"/>
      <c r="R817" s="639"/>
      <c r="S817" s="639"/>
      <c r="T817" s="639"/>
      <c r="U817" s="639"/>
      <c r="V817" s="639"/>
      <c r="W817" s="639"/>
      <c r="X817" s="639"/>
      <c r="Y817" s="639"/>
      <c r="Z817" s="639"/>
      <c r="AA817" s="639"/>
      <c r="AB817" s="639"/>
    </row>
    <row r="818" spans="1:28">
      <c r="A818" s="639"/>
      <c r="B818" s="639"/>
      <c r="C818" s="639"/>
      <c r="D818" s="639"/>
      <c r="E818" s="639"/>
      <c r="F818" s="639"/>
      <c r="G818" s="639"/>
      <c r="H818" s="639"/>
      <c r="I818" s="639"/>
      <c r="J818" s="639"/>
      <c r="K818" s="639"/>
      <c r="L818" s="639"/>
      <c r="M818" s="639"/>
      <c r="N818" s="639"/>
      <c r="O818" s="639"/>
      <c r="P818" s="639"/>
      <c r="Q818" s="639"/>
      <c r="R818" s="639"/>
      <c r="S818" s="639"/>
      <c r="T818" s="639"/>
      <c r="U818" s="639"/>
      <c r="V818" s="639"/>
      <c r="W818" s="639"/>
      <c r="X818" s="639"/>
      <c r="Y818" s="639"/>
      <c r="Z818" s="639"/>
      <c r="AA818" s="639"/>
      <c r="AB818" s="639"/>
    </row>
    <row r="819" spans="1:28">
      <c r="A819" s="639"/>
      <c r="B819" s="639"/>
      <c r="C819" s="639"/>
      <c r="D819" s="639"/>
      <c r="E819" s="639"/>
      <c r="F819" s="639"/>
      <c r="G819" s="639"/>
      <c r="H819" s="639"/>
      <c r="I819" s="639"/>
      <c r="J819" s="639"/>
      <c r="K819" s="639"/>
      <c r="L819" s="639"/>
      <c r="M819" s="639"/>
      <c r="N819" s="639"/>
      <c r="O819" s="639"/>
      <c r="P819" s="639"/>
      <c r="Q819" s="639"/>
      <c r="R819" s="639"/>
      <c r="S819" s="639"/>
      <c r="T819" s="639"/>
      <c r="U819" s="639"/>
      <c r="V819" s="639"/>
      <c r="W819" s="639"/>
      <c r="X819" s="639"/>
      <c r="Y819" s="639"/>
      <c r="Z819" s="639"/>
      <c r="AA819" s="639"/>
      <c r="AB819" s="639"/>
    </row>
    <row r="820" spans="1:28">
      <c r="A820" s="639"/>
      <c r="B820" s="639"/>
      <c r="C820" s="639"/>
      <c r="D820" s="639"/>
      <c r="E820" s="639"/>
      <c r="F820" s="639"/>
      <c r="G820" s="639"/>
      <c r="H820" s="639"/>
      <c r="I820" s="639"/>
      <c r="J820" s="639"/>
      <c r="K820" s="639"/>
      <c r="L820" s="639"/>
      <c r="M820" s="639"/>
      <c r="N820" s="639"/>
      <c r="O820" s="639"/>
      <c r="P820" s="639"/>
      <c r="Q820" s="639"/>
      <c r="R820" s="639"/>
      <c r="S820" s="639"/>
      <c r="T820" s="639"/>
      <c r="U820" s="639"/>
      <c r="V820" s="639"/>
      <c r="W820" s="639"/>
      <c r="X820" s="639"/>
      <c r="Y820" s="639"/>
      <c r="Z820" s="639"/>
      <c r="AA820" s="639"/>
      <c r="AB820" s="639"/>
    </row>
    <row r="821" spans="1:28">
      <c r="A821" s="639"/>
      <c r="B821" s="639"/>
      <c r="C821" s="639"/>
      <c r="D821" s="639"/>
      <c r="E821" s="639"/>
      <c r="F821" s="639"/>
      <c r="G821" s="639"/>
      <c r="H821" s="639"/>
      <c r="I821" s="639"/>
      <c r="J821" s="639"/>
      <c r="K821" s="639"/>
      <c r="L821" s="639"/>
      <c r="M821" s="639"/>
      <c r="N821" s="639"/>
      <c r="O821" s="639"/>
      <c r="P821" s="639"/>
      <c r="Q821" s="639"/>
      <c r="R821" s="639"/>
      <c r="S821" s="639"/>
      <c r="T821" s="639"/>
      <c r="U821" s="639"/>
      <c r="V821" s="639"/>
      <c r="W821" s="639"/>
      <c r="X821" s="639"/>
      <c r="Y821" s="639"/>
      <c r="Z821" s="639"/>
      <c r="AA821" s="639"/>
      <c r="AB821" s="639"/>
    </row>
    <row r="822" spans="1:28">
      <c r="A822" s="639"/>
      <c r="B822" s="639"/>
      <c r="C822" s="639"/>
      <c r="D822" s="639"/>
      <c r="E822" s="639"/>
      <c r="F822" s="639"/>
      <c r="G822" s="639"/>
      <c r="H822" s="639"/>
      <c r="I822" s="639"/>
      <c r="J822" s="639"/>
      <c r="K822" s="639"/>
      <c r="L822" s="639"/>
      <c r="M822" s="639"/>
      <c r="N822" s="639"/>
      <c r="O822" s="639"/>
      <c r="P822" s="639"/>
      <c r="Q822" s="639"/>
      <c r="R822" s="639"/>
      <c r="S822" s="639"/>
      <c r="T822" s="639"/>
      <c r="U822" s="639"/>
      <c r="V822" s="639"/>
      <c r="W822" s="639"/>
      <c r="X822" s="639"/>
      <c r="Y822" s="639"/>
      <c r="Z822" s="639"/>
      <c r="AA822" s="639"/>
      <c r="AB822" s="639"/>
    </row>
    <row r="823" spans="1:28">
      <c r="A823" s="639"/>
      <c r="B823" s="639"/>
      <c r="C823" s="639"/>
      <c r="D823" s="639"/>
      <c r="E823" s="639"/>
      <c r="F823" s="639"/>
      <c r="G823" s="639"/>
      <c r="H823" s="639"/>
      <c r="I823" s="639"/>
      <c r="J823" s="639"/>
      <c r="K823" s="639"/>
      <c r="L823" s="639"/>
      <c r="M823" s="639"/>
      <c r="N823" s="639"/>
      <c r="O823" s="639"/>
      <c r="P823" s="639"/>
      <c r="Q823" s="639"/>
      <c r="R823" s="639"/>
      <c r="S823" s="639"/>
      <c r="T823" s="639"/>
      <c r="U823" s="639"/>
      <c r="V823" s="639"/>
      <c r="W823" s="639"/>
      <c r="X823" s="639"/>
      <c r="Y823" s="639"/>
      <c r="Z823" s="639"/>
      <c r="AA823" s="639"/>
      <c r="AB823" s="639"/>
    </row>
    <row r="824" spans="1:28">
      <c r="A824" s="639"/>
      <c r="B824" s="639"/>
      <c r="C824" s="639"/>
      <c r="D824" s="639"/>
      <c r="E824" s="639"/>
      <c r="F824" s="639"/>
      <c r="G824" s="639"/>
      <c r="H824" s="639"/>
      <c r="I824" s="639"/>
      <c r="J824" s="639"/>
      <c r="K824" s="639"/>
      <c r="L824" s="639"/>
      <c r="M824" s="639"/>
      <c r="N824" s="639"/>
      <c r="O824" s="639"/>
      <c r="P824" s="639"/>
      <c r="Q824" s="639"/>
      <c r="R824" s="639"/>
      <c r="S824" s="639"/>
      <c r="T824" s="639"/>
      <c r="U824" s="639"/>
      <c r="V824" s="639"/>
      <c r="W824" s="639"/>
      <c r="X824" s="639"/>
      <c r="Y824" s="639"/>
      <c r="Z824" s="639"/>
      <c r="AA824" s="639"/>
      <c r="AB824" s="639"/>
    </row>
    <row r="825" spans="1:28">
      <c r="A825" s="639"/>
      <c r="B825" s="639"/>
      <c r="C825" s="639"/>
      <c r="D825" s="639"/>
      <c r="E825" s="639"/>
      <c r="F825" s="639"/>
      <c r="G825" s="639"/>
      <c r="H825" s="639"/>
      <c r="I825" s="639"/>
      <c r="J825" s="639"/>
      <c r="K825" s="639"/>
      <c r="L825" s="639"/>
      <c r="M825" s="639"/>
      <c r="N825" s="639"/>
      <c r="O825" s="639"/>
      <c r="P825" s="639"/>
      <c r="Q825" s="639"/>
      <c r="R825" s="639"/>
      <c r="S825" s="639"/>
      <c r="T825" s="639"/>
      <c r="U825" s="639"/>
      <c r="V825" s="639"/>
      <c r="W825" s="639"/>
      <c r="X825" s="639"/>
      <c r="Y825" s="639"/>
      <c r="Z825" s="639"/>
      <c r="AA825" s="639"/>
      <c r="AB825" s="639"/>
    </row>
    <row r="826" spans="1:28">
      <c r="A826" s="639"/>
      <c r="B826" s="639"/>
      <c r="C826" s="639"/>
      <c r="D826" s="639"/>
      <c r="E826" s="639"/>
      <c r="F826" s="639"/>
      <c r="G826" s="639"/>
      <c r="H826" s="639"/>
      <c r="I826" s="639"/>
      <c r="J826" s="639"/>
      <c r="K826" s="639"/>
      <c r="L826" s="639"/>
      <c r="M826" s="639"/>
      <c r="N826" s="639"/>
      <c r="O826" s="639"/>
      <c r="P826" s="639"/>
      <c r="Q826" s="639"/>
      <c r="R826" s="639"/>
      <c r="S826" s="639"/>
      <c r="T826" s="639"/>
      <c r="U826" s="639"/>
      <c r="V826" s="639"/>
      <c r="W826" s="639"/>
      <c r="X826" s="639"/>
      <c r="Y826" s="639"/>
      <c r="Z826" s="639"/>
      <c r="AA826" s="639"/>
      <c r="AB826" s="639"/>
    </row>
    <row r="827" spans="1:28">
      <c r="A827" s="639"/>
      <c r="B827" s="639"/>
      <c r="C827" s="639"/>
      <c r="D827" s="639"/>
      <c r="E827" s="639"/>
      <c r="F827" s="639"/>
      <c r="G827" s="639"/>
      <c r="H827" s="639"/>
      <c r="I827" s="639"/>
      <c r="J827" s="639"/>
      <c r="K827" s="639"/>
      <c r="L827" s="639"/>
      <c r="M827" s="639"/>
      <c r="N827" s="639"/>
      <c r="O827" s="639"/>
      <c r="P827" s="639"/>
      <c r="Q827" s="639"/>
      <c r="R827" s="639"/>
      <c r="S827" s="639"/>
      <c r="T827" s="639"/>
      <c r="U827" s="639"/>
      <c r="V827" s="639"/>
      <c r="W827" s="639"/>
      <c r="X827" s="639"/>
      <c r="Y827" s="639"/>
      <c r="Z827" s="639"/>
      <c r="AA827" s="639"/>
      <c r="AB827" s="639"/>
    </row>
    <row r="828" spans="1:28">
      <c r="A828" s="639"/>
      <c r="B828" s="639"/>
      <c r="C828" s="639"/>
      <c r="D828" s="639"/>
      <c r="E828" s="639"/>
      <c r="F828" s="639"/>
      <c r="G828" s="639"/>
      <c r="H828" s="639"/>
      <c r="I828" s="639"/>
      <c r="J828" s="639"/>
      <c r="K828" s="639"/>
      <c r="L828" s="639"/>
      <c r="M828" s="639"/>
      <c r="N828" s="639"/>
      <c r="O828" s="639"/>
      <c r="P828" s="639"/>
      <c r="Q828" s="639"/>
      <c r="R828" s="639"/>
      <c r="S828" s="639"/>
      <c r="T828" s="639"/>
      <c r="U828" s="639"/>
      <c r="V828" s="639"/>
      <c r="W828" s="639"/>
      <c r="X828" s="639"/>
      <c r="Y828" s="639"/>
      <c r="Z828" s="639"/>
      <c r="AA828" s="639"/>
      <c r="AB828" s="639"/>
    </row>
    <row r="829" spans="1:28">
      <c r="A829" s="639"/>
      <c r="B829" s="639"/>
      <c r="C829" s="639"/>
      <c r="D829" s="639"/>
      <c r="E829" s="639"/>
      <c r="F829" s="639"/>
      <c r="G829" s="639"/>
      <c r="H829" s="639"/>
      <c r="I829" s="639"/>
      <c r="J829" s="639"/>
      <c r="K829" s="639"/>
      <c r="L829" s="639"/>
      <c r="M829" s="639"/>
      <c r="N829" s="639"/>
      <c r="O829" s="639"/>
      <c r="P829" s="639"/>
      <c r="Q829" s="639"/>
      <c r="R829" s="639"/>
      <c r="S829" s="639"/>
      <c r="T829" s="639"/>
      <c r="U829" s="639"/>
      <c r="V829" s="639"/>
      <c r="W829" s="639"/>
      <c r="X829" s="639"/>
      <c r="Y829" s="639"/>
      <c r="Z829" s="639"/>
      <c r="AA829" s="639"/>
      <c r="AB829" s="639"/>
    </row>
    <row r="830" spans="1:28">
      <c r="A830" s="639"/>
      <c r="B830" s="639"/>
      <c r="C830" s="639"/>
      <c r="D830" s="639"/>
      <c r="E830" s="639"/>
      <c r="F830" s="639"/>
      <c r="G830" s="639"/>
      <c r="H830" s="639"/>
      <c r="I830" s="639"/>
      <c r="J830" s="639"/>
      <c r="K830" s="639"/>
      <c r="L830" s="639"/>
      <c r="M830" s="639"/>
      <c r="N830" s="639"/>
      <c r="O830" s="639"/>
      <c r="P830" s="639"/>
      <c r="Q830" s="639"/>
      <c r="R830" s="639"/>
      <c r="S830" s="639"/>
      <c r="T830" s="639"/>
      <c r="U830" s="639"/>
      <c r="V830" s="639"/>
      <c r="W830" s="639"/>
      <c r="X830" s="639"/>
      <c r="Y830" s="639"/>
      <c r="Z830" s="639"/>
      <c r="AA830" s="639"/>
      <c r="AB830" s="639"/>
    </row>
    <row r="831" spans="1:28">
      <c r="A831" s="639"/>
      <c r="B831" s="639"/>
      <c r="C831" s="639"/>
      <c r="D831" s="639"/>
      <c r="E831" s="639"/>
      <c r="F831" s="639"/>
      <c r="G831" s="639"/>
      <c r="H831" s="639"/>
      <c r="I831" s="639"/>
      <c r="J831" s="639"/>
      <c r="K831" s="639"/>
      <c r="L831" s="639"/>
      <c r="M831" s="639"/>
      <c r="N831" s="639"/>
      <c r="O831" s="639"/>
      <c r="P831" s="639"/>
      <c r="Q831" s="639"/>
      <c r="R831" s="639"/>
      <c r="S831" s="639"/>
      <c r="T831" s="639"/>
      <c r="U831" s="639"/>
      <c r="V831" s="639"/>
      <c r="W831" s="639"/>
      <c r="X831" s="639"/>
      <c r="Y831" s="639"/>
      <c r="Z831" s="639"/>
      <c r="AA831" s="639"/>
      <c r="AB831" s="639"/>
    </row>
    <row r="832" spans="1:28">
      <c r="A832" s="639"/>
      <c r="B832" s="639"/>
      <c r="C832" s="639"/>
      <c r="D832" s="639"/>
      <c r="E832" s="639"/>
      <c r="F832" s="639"/>
      <c r="G832" s="639"/>
      <c r="H832" s="639"/>
      <c r="I832" s="639"/>
      <c r="J832" s="639"/>
      <c r="K832" s="639"/>
      <c r="L832" s="639"/>
      <c r="M832" s="639"/>
      <c r="N832" s="639"/>
      <c r="O832" s="639"/>
      <c r="P832" s="639"/>
      <c r="Q832" s="639"/>
      <c r="R832" s="639"/>
      <c r="S832" s="639"/>
      <c r="T832" s="639"/>
      <c r="U832" s="639"/>
      <c r="V832" s="639"/>
      <c r="W832" s="639"/>
      <c r="X832" s="639"/>
      <c r="Y832" s="639"/>
      <c r="Z832" s="639"/>
      <c r="AA832" s="639"/>
      <c r="AB832" s="639"/>
    </row>
    <row r="833" spans="1:28">
      <c r="A833" s="639"/>
      <c r="B833" s="639"/>
      <c r="C833" s="639"/>
      <c r="D833" s="639"/>
      <c r="E833" s="639"/>
      <c r="F833" s="639"/>
      <c r="G833" s="639"/>
      <c r="H833" s="639"/>
      <c r="I833" s="639"/>
      <c r="J833" s="639"/>
      <c r="K833" s="639"/>
      <c r="L833" s="639"/>
      <c r="M833" s="639"/>
      <c r="N833" s="639"/>
      <c r="O833" s="639"/>
      <c r="P833" s="639"/>
      <c r="Q833" s="639"/>
      <c r="R833" s="639"/>
      <c r="S833" s="639"/>
      <c r="T833" s="639"/>
      <c r="U833" s="639"/>
      <c r="V833" s="639"/>
      <c r="W833" s="639"/>
      <c r="X833" s="639"/>
      <c r="Y833" s="639"/>
      <c r="Z833" s="639"/>
      <c r="AA833" s="639"/>
      <c r="AB833" s="639"/>
    </row>
    <row r="834" spans="1:28">
      <c r="A834" s="639"/>
      <c r="B834" s="639"/>
      <c r="C834" s="639"/>
      <c r="D834" s="639"/>
      <c r="E834" s="639"/>
      <c r="F834" s="639"/>
      <c r="G834" s="639"/>
      <c r="H834" s="639"/>
      <c r="I834" s="639"/>
      <c r="J834" s="639"/>
      <c r="K834" s="639"/>
      <c r="L834" s="639"/>
      <c r="M834" s="639"/>
      <c r="N834" s="639"/>
      <c r="O834" s="639"/>
      <c r="P834" s="639"/>
      <c r="Q834" s="639"/>
      <c r="R834" s="639"/>
      <c r="S834" s="639"/>
      <c r="T834" s="639"/>
      <c r="U834" s="639"/>
      <c r="V834" s="639"/>
      <c r="W834" s="639"/>
      <c r="X834" s="639"/>
      <c r="Y834" s="639"/>
      <c r="Z834" s="639"/>
      <c r="AA834" s="639"/>
      <c r="AB834" s="639"/>
    </row>
    <row r="835" spans="1:28">
      <c r="A835" s="639"/>
      <c r="B835" s="639"/>
      <c r="C835" s="639"/>
      <c r="D835" s="639"/>
      <c r="E835" s="639"/>
      <c r="F835" s="639"/>
      <c r="G835" s="639"/>
      <c r="H835" s="639"/>
      <c r="I835" s="639"/>
      <c r="J835" s="639"/>
      <c r="K835" s="639"/>
      <c r="L835" s="639"/>
      <c r="M835" s="639"/>
      <c r="N835" s="639"/>
      <c r="O835" s="639"/>
      <c r="P835" s="639"/>
      <c r="Q835" s="639"/>
      <c r="R835" s="639"/>
      <c r="S835" s="639"/>
      <c r="T835" s="639"/>
      <c r="U835" s="639"/>
      <c r="V835" s="639"/>
      <c r="W835" s="639"/>
      <c r="X835" s="639"/>
      <c r="Y835" s="639"/>
      <c r="Z835" s="639"/>
      <c r="AA835" s="639"/>
      <c r="AB835" s="639"/>
    </row>
    <row r="836" spans="1:28">
      <c r="A836" s="639"/>
      <c r="B836" s="639"/>
      <c r="C836" s="639"/>
      <c r="D836" s="639"/>
      <c r="E836" s="639"/>
      <c r="F836" s="639"/>
      <c r="G836" s="639"/>
      <c r="H836" s="639"/>
      <c r="I836" s="639"/>
      <c r="J836" s="639"/>
      <c r="K836" s="639"/>
      <c r="L836" s="639"/>
      <c r="M836" s="639"/>
      <c r="N836" s="639"/>
      <c r="O836" s="639"/>
      <c r="P836" s="639"/>
      <c r="Q836" s="639"/>
      <c r="R836" s="639"/>
      <c r="S836" s="639"/>
      <c r="T836" s="639"/>
      <c r="U836" s="639"/>
      <c r="V836" s="639"/>
      <c r="W836" s="639"/>
      <c r="X836" s="639"/>
      <c r="Y836" s="639"/>
      <c r="Z836" s="639"/>
      <c r="AA836" s="639"/>
      <c r="AB836" s="639"/>
    </row>
    <row r="837" spans="1:28">
      <c r="A837" s="639"/>
      <c r="B837" s="639"/>
      <c r="C837" s="639"/>
      <c r="D837" s="639"/>
      <c r="E837" s="639"/>
      <c r="F837" s="639"/>
      <c r="G837" s="639"/>
      <c r="H837" s="639"/>
      <c r="I837" s="639"/>
      <c r="J837" s="639"/>
      <c r="K837" s="639"/>
      <c r="L837" s="639"/>
      <c r="M837" s="639"/>
      <c r="N837" s="639"/>
      <c r="O837" s="639"/>
      <c r="P837" s="639"/>
      <c r="Q837" s="639"/>
      <c r="R837" s="639"/>
      <c r="S837" s="639"/>
      <c r="T837" s="639"/>
      <c r="U837" s="639"/>
      <c r="V837" s="639"/>
      <c r="W837" s="639"/>
      <c r="X837" s="639"/>
      <c r="Y837" s="639"/>
      <c r="Z837" s="639"/>
      <c r="AA837" s="639"/>
      <c r="AB837" s="639"/>
    </row>
    <row r="838" spans="1:28">
      <c r="A838" s="639"/>
      <c r="B838" s="639"/>
      <c r="C838" s="639"/>
      <c r="D838" s="639"/>
      <c r="E838" s="639"/>
      <c r="F838" s="639"/>
      <c r="G838" s="639"/>
      <c r="H838" s="639"/>
      <c r="I838" s="639"/>
      <c r="J838" s="639"/>
      <c r="K838" s="639"/>
      <c r="L838" s="639"/>
      <c r="M838" s="639"/>
      <c r="N838" s="639"/>
      <c r="O838" s="639"/>
      <c r="P838" s="639"/>
      <c r="Q838" s="639"/>
      <c r="R838" s="639"/>
      <c r="S838" s="639"/>
      <c r="T838" s="639"/>
      <c r="U838" s="639"/>
      <c r="V838" s="639"/>
      <c r="W838" s="639"/>
      <c r="X838" s="639"/>
      <c r="Y838" s="639"/>
      <c r="Z838" s="639"/>
      <c r="AA838" s="639"/>
      <c r="AB838" s="639"/>
    </row>
    <row r="839" spans="1:28">
      <c r="A839" s="639"/>
      <c r="B839" s="639"/>
      <c r="C839" s="639"/>
      <c r="D839" s="639"/>
      <c r="E839" s="639"/>
      <c r="F839" s="639"/>
      <c r="G839" s="639"/>
      <c r="H839" s="639"/>
      <c r="I839" s="639"/>
      <c r="J839" s="639"/>
      <c r="K839" s="639"/>
      <c r="L839" s="639"/>
      <c r="M839" s="639"/>
      <c r="N839" s="639"/>
      <c r="O839" s="639"/>
      <c r="P839" s="639"/>
      <c r="Q839" s="639"/>
      <c r="R839" s="639"/>
      <c r="S839" s="639"/>
      <c r="T839" s="639"/>
      <c r="U839" s="639"/>
      <c r="V839" s="639"/>
      <c r="W839" s="639"/>
      <c r="X839" s="639"/>
      <c r="Y839" s="639"/>
      <c r="Z839" s="639"/>
      <c r="AA839" s="639"/>
      <c r="AB839" s="639"/>
    </row>
    <row r="840" spans="1:28">
      <c r="A840" s="639"/>
      <c r="B840" s="639"/>
      <c r="C840" s="639"/>
      <c r="D840" s="639"/>
      <c r="E840" s="639"/>
      <c r="F840" s="639"/>
      <c r="G840" s="639"/>
      <c r="H840" s="639"/>
      <c r="I840" s="639"/>
      <c r="J840" s="639"/>
      <c r="K840" s="639"/>
      <c r="L840" s="639"/>
      <c r="M840" s="639"/>
      <c r="N840" s="639"/>
      <c r="O840" s="639"/>
      <c r="P840" s="639"/>
      <c r="Q840" s="639"/>
      <c r="R840" s="639"/>
      <c r="S840" s="639"/>
      <c r="T840" s="639"/>
      <c r="U840" s="639"/>
      <c r="V840" s="639"/>
      <c r="W840" s="639"/>
      <c r="X840" s="639"/>
      <c r="Y840" s="639"/>
      <c r="Z840" s="639"/>
      <c r="AA840" s="639"/>
      <c r="AB840" s="639"/>
    </row>
    <row r="841" spans="1:28">
      <c r="A841" s="639"/>
      <c r="B841" s="639"/>
      <c r="C841" s="639"/>
      <c r="D841" s="639"/>
      <c r="E841" s="639"/>
      <c r="F841" s="639"/>
      <c r="G841" s="639"/>
      <c r="H841" s="639"/>
      <c r="I841" s="639"/>
      <c r="J841" s="639"/>
      <c r="K841" s="639"/>
      <c r="L841" s="639"/>
      <c r="M841" s="639"/>
      <c r="N841" s="639"/>
      <c r="O841" s="639"/>
      <c r="P841" s="639"/>
      <c r="Q841" s="639"/>
      <c r="R841" s="639"/>
      <c r="S841" s="639"/>
      <c r="T841" s="639"/>
      <c r="U841" s="639"/>
      <c r="V841" s="639"/>
      <c r="W841" s="639"/>
      <c r="X841" s="639"/>
      <c r="Y841" s="639"/>
      <c r="Z841" s="639"/>
      <c r="AA841" s="639"/>
      <c r="AB841" s="639"/>
    </row>
    <row r="842" spans="1:28">
      <c r="A842" s="639"/>
      <c r="B842" s="639"/>
      <c r="C842" s="639"/>
      <c r="D842" s="639"/>
      <c r="E842" s="639"/>
      <c r="F842" s="639"/>
      <c r="G842" s="639"/>
      <c r="H842" s="639"/>
      <c r="I842" s="639"/>
      <c r="J842" s="639"/>
      <c r="K842" s="639"/>
      <c r="L842" s="639"/>
      <c r="M842" s="639"/>
      <c r="N842" s="639"/>
      <c r="O842" s="639"/>
      <c r="P842" s="639"/>
      <c r="Q842" s="639"/>
      <c r="R842" s="639"/>
      <c r="S842" s="639"/>
      <c r="T842" s="639"/>
      <c r="U842" s="639"/>
      <c r="V842" s="639"/>
      <c r="W842" s="639"/>
      <c r="X842" s="639"/>
      <c r="Y842" s="639"/>
      <c r="Z842" s="639"/>
      <c r="AA842" s="639"/>
      <c r="AB842" s="639"/>
    </row>
    <row r="843" spans="1:28">
      <c r="A843" s="639"/>
      <c r="B843" s="639"/>
      <c r="C843" s="639"/>
      <c r="D843" s="639"/>
      <c r="E843" s="639"/>
      <c r="F843" s="639"/>
      <c r="G843" s="639"/>
      <c r="H843" s="639"/>
      <c r="I843" s="639"/>
      <c r="J843" s="639"/>
      <c r="K843" s="639"/>
      <c r="L843" s="639"/>
      <c r="M843" s="639"/>
      <c r="N843" s="639"/>
      <c r="O843" s="639"/>
      <c r="P843" s="639"/>
      <c r="Q843" s="639"/>
      <c r="R843" s="639"/>
      <c r="S843" s="639"/>
      <c r="T843" s="639"/>
      <c r="U843" s="639"/>
      <c r="V843" s="639"/>
      <c r="W843" s="639"/>
      <c r="X843" s="639"/>
      <c r="Y843" s="639"/>
      <c r="Z843" s="639"/>
      <c r="AA843" s="639"/>
      <c r="AB843" s="639"/>
    </row>
    <row r="844" spans="1:28">
      <c r="A844" s="639"/>
      <c r="B844" s="639"/>
      <c r="C844" s="639"/>
      <c r="D844" s="639"/>
      <c r="E844" s="639"/>
      <c r="F844" s="639"/>
      <c r="G844" s="639"/>
      <c r="H844" s="639"/>
      <c r="I844" s="639"/>
      <c r="J844" s="639"/>
      <c r="K844" s="639"/>
      <c r="L844" s="639"/>
      <c r="M844" s="639"/>
      <c r="N844" s="639"/>
      <c r="O844" s="639"/>
      <c r="P844" s="639"/>
      <c r="Q844" s="639"/>
      <c r="R844" s="639"/>
      <c r="S844" s="639"/>
      <c r="T844" s="639"/>
      <c r="U844" s="639"/>
      <c r="V844" s="639"/>
      <c r="W844" s="639"/>
      <c r="X844" s="639"/>
      <c r="Y844" s="639"/>
      <c r="Z844" s="639"/>
      <c r="AA844" s="639"/>
      <c r="AB844" s="639"/>
    </row>
    <row r="845" spans="1:28">
      <c r="A845" s="639"/>
      <c r="B845" s="639"/>
      <c r="C845" s="639"/>
      <c r="D845" s="639"/>
      <c r="E845" s="639"/>
      <c r="F845" s="639"/>
      <c r="G845" s="639"/>
      <c r="H845" s="639"/>
      <c r="I845" s="639"/>
      <c r="J845" s="639"/>
      <c r="K845" s="639"/>
      <c r="L845" s="639"/>
      <c r="M845" s="639"/>
      <c r="N845" s="639"/>
      <c r="O845" s="639"/>
      <c r="P845" s="639"/>
      <c r="Q845" s="639"/>
      <c r="R845" s="639"/>
      <c r="S845" s="639"/>
      <c r="T845" s="639"/>
      <c r="U845" s="639"/>
      <c r="V845" s="639"/>
      <c r="W845" s="639"/>
      <c r="X845" s="639"/>
      <c r="Y845" s="639"/>
      <c r="Z845" s="639"/>
      <c r="AA845" s="639"/>
      <c r="AB845" s="639"/>
    </row>
    <row r="846" spans="1:28">
      <c r="A846" s="639"/>
      <c r="B846" s="639"/>
      <c r="C846" s="639"/>
      <c r="D846" s="639"/>
      <c r="E846" s="639"/>
      <c r="F846" s="639"/>
      <c r="G846" s="639"/>
      <c r="H846" s="639"/>
      <c r="I846" s="639"/>
      <c r="J846" s="639"/>
      <c r="K846" s="639"/>
      <c r="L846" s="639"/>
      <c r="M846" s="639"/>
      <c r="N846" s="639"/>
      <c r="O846" s="639"/>
      <c r="P846" s="639"/>
      <c r="Q846" s="639"/>
      <c r="R846" s="639"/>
      <c r="S846" s="639"/>
      <c r="T846" s="639"/>
      <c r="U846" s="639"/>
      <c r="V846" s="639"/>
      <c r="W846" s="639"/>
      <c r="X846" s="639"/>
      <c r="Y846" s="639"/>
      <c r="Z846" s="639"/>
      <c r="AA846" s="639"/>
      <c r="AB846" s="639"/>
    </row>
    <row r="847" spans="1:28">
      <c r="A847" s="639"/>
      <c r="B847" s="639"/>
      <c r="C847" s="639"/>
      <c r="D847" s="639"/>
      <c r="E847" s="639"/>
      <c r="F847" s="639"/>
      <c r="G847" s="639"/>
      <c r="H847" s="639"/>
      <c r="I847" s="639"/>
      <c r="J847" s="639"/>
      <c r="K847" s="639"/>
      <c r="L847" s="639"/>
      <c r="M847" s="639"/>
      <c r="N847" s="639"/>
      <c r="O847" s="639"/>
      <c r="P847" s="639"/>
      <c r="Q847" s="639"/>
      <c r="R847" s="639"/>
      <c r="S847" s="639"/>
      <c r="T847" s="639"/>
      <c r="U847" s="639"/>
      <c r="V847" s="639"/>
      <c r="W847" s="639"/>
      <c r="X847" s="639"/>
      <c r="Y847" s="639"/>
      <c r="Z847" s="639"/>
      <c r="AA847" s="639"/>
      <c r="AB847" s="639"/>
    </row>
    <row r="848" spans="1:28">
      <c r="A848" s="639"/>
      <c r="B848" s="639"/>
      <c r="C848" s="639"/>
      <c r="D848" s="639"/>
      <c r="E848" s="639"/>
      <c r="F848" s="639"/>
      <c r="G848" s="639"/>
      <c r="H848" s="639"/>
      <c r="I848" s="639"/>
      <c r="J848" s="639"/>
      <c r="K848" s="639"/>
      <c r="L848" s="639"/>
      <c r="M848" s="639"/>
      <c r="N848" s="639"/>
      <c r="O848" s="639"/>
      <c r="P848" s="639"/>
      <c r="Q848" s="639"/>
      <c r="R848" s="639"/>
      <c r="S848" s="639"/>
      <c r="T848" s="639"/>
      <c r="U848" s="639"/>
      <c r="V848" s="639"/>
      <c r="W848" s="639"/>
      <c r="X848" s="639"/>
      <c r="Y848" s="639"/>
      <c r="Z848" s="639"/>
      <c r="AA848" s="639"/>
      <c r="AB848" s="639"/>
    </row>
    <row r="849" spans="1:28">
      <c r="A849" s="639"/>
      <c r="B849" s="639"/>
      <c r="C849" s="639"/>
      <c r="D849" s="639"/>
      <c r="E849" s="639"/>
      <c r="F849" s="639"/>
      <c r="G849" s="639"/>
      <c r="H849" s="639"/>
      <c r="I849" s="639"/>
      <c r="J849" s="639"/>
      <c r="K849" s="639"/>
      <c r="L849" s="639"/>
      <c r="M849" s="639"/>
      <c r="N849" s="639"/>
      <c r="O849" s="639"/>
      <c r="P849" s="639"/>
      <c r="Q849" s="639"/>
      <c r="R849" s="639"/>
      <c r="S849" s="639"/>
      <c r="T849" s="639"/>
      <c r="U849" s="639"/>
      <c r="V849" s="639"/>
      <c r="W849" s="639"/>
      <c r="X849" s="639"/>
      <c r="Y849" s="639"/>
      <c r="Z849" s="639"/>
      <c r="AA849" s="639"/>
      <c r="AB849" s="639"/>
    </row>
    <row r="850" spans="1:28">
      <c r="A850" s="639"/>
      <c r="B850" s="639"/>
      <c r="C850" s="639"/>
      <c r="D850" s="639"/>
      <c r="E850" s="639"/>
      <c r="F850" s="639"/>
      <c r="G850" s="639"/>
      <c r="H850" s="639"/>
      <c r="I850" s="639"/>
      <c r="J850" s="639"/>
      <c r="K850" s="639"/>
      <c r="L850" s="639"/>
      <c r="M850" s="639"/>
      <c r="N850" s="639"/>
      <c r="O850" s="639"/>
      <c r="P850" s="639"/>
      <c r="Q850" s="639"/>
      <c r="R850" s="639"/>
      <c r="S850" s="639"/>
      <c r="T850" s="639"/>
      <c r="U850" s="639"/>
      <c r="V850" s="639"/>
      <c r="W850" s="639"/>
      <c r="X850" s="639"/>
      <c r="Y850" s="639"/>
      <c r="Z850" s="639"/>
      <c r="AA850" s="639"/>
      <c r="AB850" s="639"/>
    </row>
    <row r="851" spans="1:28">
      <c r="A851" s="639"/>
      <c r="B851" s="639"/>
      <c r="C851" s="639"/>
      <c r="D851" s="639"/>
      <c r="E851" s="639"/>
      <c r="F851" s="639"/>
      <c r="G851" s="639"/>
      <c r="H851" s="639"/>
      <c r="I851" s="639"/>
      <c r="J851" s="639"/>
      <c r="K851" s="639"/>
      <c r="L851" s="639"/>
      <c r="M851" s="639"/>
      <c r="N851" s="639"/>
      <c r="O851" s="639"/>
      <c r="P851" s="639"/>
      <c r="Q851" s="639"/>
      <c r="R851" s="639"/>
      <c r="S851" s="639"/>
      <c r="T851" s="639"/>
      <c r="U851" s="639"/>
      <c r="V851" s="639"/>
      <c r="W851" s="639"/>
      <c r="X851" s="639"/>
      <c r="Y851" s="639"/>
      <c r="Z851" s="639"/>
      <c r="AA851" s="639"/>
      <c r="AB851" s="639"/>
    </row>
    <row r="852" spans="1:28">
      <c r="A852" s="639"/>
      <c r="B852" s="639"/>
      <c r="C852" s="639"/>
      <c r="D852" s="639"/>
      <c r="E852" s="639"/>
      <c r="F852" s="639"/>
      <c r="G852" s="639"/>
      <c r="H852" s="639"/>
      <c r="I852" s="639"/>
      <c r="J852" s="639"/>
      <c r="K852" s="639"/>
      <c r="L852" s="639"/>
      <c r="M852" s="639"/>
      <c r="N852" s="639"/>
      <c r="O852" s="639"/>
      <c r="P852" s="639"/>
      <c r="Q852" s="639"/>
      <c r="R852" s="639"/>
      <c r="S852" s="639"/>
      <c r="T852" s="639"/>
      <c r="U852" s="639"/>
      <c r="V852" s="639"/>
      <c r="W852" s="639"/>
      <c r="X852" s="639"/>
      <c r="Y852" s="639"/>
      <c r="Z852" s="639"/>
      <c r="AA852" s="639"/>
      <c r="AB852" s="639"/>
    </row>
    <row r="853" spans="1:28">
      <c r="A853" s="639"/>
      <c r="B853" s="639"/>
      <c r="C853" s="639"/>
      <c r="D853" s="639"/>
      <c r="E853" s="639"/>
      <c r="F853" s="639"/>
      <c r="G853" s="639"/>
      <c r="H853" s="639"/>
      <c r="I853" s="639"/>
      <c r="J853" s="639"/>
      <c r="K853" s="639"/>
      <c r="L853" s="639"/>
      <c r="M853" s="639"/>
      <c r="N853" s="639"/>
      <c r="O853" s="639"/>
      <c r="P853" s="639"/>
      <c r="Q853" s="639"/>
      <c r="R853" s="639"/>
      <c r="S853" s="639"/>
      <c r="T853" s="639"/>
      <c r="U853" s="639"/>
      <c r="V853" s="639"/>
      <c r="W853" s="639"/>
      <c r="X853" s="639"/>
      <c r="Y853" s="639"/>
      <c r="Z853" s="639"/>
      <c r="AA853" s="639"/>
      <c r="AB853" s="639"/>
    </row>
    <row r="854" spans="1:28">
      <c r="A854" s="639"/>
      <c r="B854" s="639"/>
      <c r="C854" s="639"/>
      <c r="D854" s="639"/>
      <c r="E854" s="639"/>
      <c r="F854" s="639"/>
      <c r="G854" s="639"/>
      <c r="H854" s="639"/>
      <c r="I854" s="639"/>
      <c r="J854" s="639"/>
      <c r="K854" s="639"/>
      <c r="L854" s="639"/>
      <c r="M854" s="639"/>
      <c r="N854" s="639"/>
      <c r="O854" s="639"/>
      <c r="P854" s="639"/>
      <c r="Q854" s="639"/>
      <c r="R854" s="639"/>
      <c r="S854" s="639"/>
      <c r="T854" s="639"/>
      <c r="U854" s="639"/>
      <c r="V854" s="639"/>
      <c r="W854" s="639"/>
      <c r="X854" s="639"/>
      <c r="Y854" s="639"/>
      <c r="Z854" s="639"/>
      <c r="AA854" s="639"/>
      <c r="AB854" s="639"/>
    </row>
    <row r="855" spans="1:28">
      <c r="A855" s="639"/>
      <c r="B855" s="639"/>
      <c r="C855" s="639"/>
      <c r="D855" s="639"/>
      <c r="E855" s="639"/>
      <c r="F855" s="639"/>
      <c r="G855" s="639"/>
      <c r="H855" s="639"/>
      <c r="I855" s="639"/>
      <c r="J855" s="639"/>
      <c r="K855" s="639"/>
      <c r="L855" s="639"/>
      <c r="M855" s="639"/>
      <c r="N855" s="639"/>
      <c r="O855" s="639"/>
      <c r="P855" s="639"/>
      <c r="Q855" s="639"/>
      <c r="R855" s="639"/>
      <c r="S855" s="639"/>
      <c r="T855" s="639"/>
      <c r="U855" s="639"/>
      <c r="V855" s="639"/>
      <c r="W855" s="639"/>
      <c r="X855" s="639"/>
      <c r="Y855" s="639"/>
      <c r="Z855" s="639"/>
      <c r="AA855" s="639"/>
      <c r="AB855" s="639"/>
    </row>
    <row r="856" spans="1:28">
      <c r="A856" s="639"/>
      <c r="B856" s="639"/>
      <c r="C856" s="639"/>
      <c r="D856" s="639"/>
      <c r="E856" s="639"/>
      <c r="F856" s="639"/>
      <c r="G856" s="639"/>
      <c r="H856" s="639"/>
      <c r="I856" s="639"/>
      <c r="J856" s="639"/>
      <c r="K856" s="639"/>
      <c r="L856" s="639"/>
      <c r="M856" s="639"/>
      <c r="N856" s="639"/>
      <c r="O856" s="639"/>
      <c r="P856" s="639"/>
      <c r="Q856" s="639"/>
      <c r="R856" s="639"/>
      <c r="S856" s="639"/>
      <c r="T856" s="639"/>
      <c r="U856" s="639"/>
      <c r="V856" s="639"/>
      <c r="W856" s="639"/>
      <c r="X856" s="639"/>
      <c r="Y856" s="639"/>
      <c r="Z856" s="639"/>
      <c r="AA856" s="639"/>
      <c r="AB856" s="639"/>
    </row>
    <row r="857" spans="1:28">
      <c r="A857" s="639"/>
      <c r="B857" s="639"/>
      <c r="C857" s="639"/>
      <c r="D857" s="639"/>
      <c r="E857" s="639"/>
      <c r="F857" s="639"/>
      <c r="G857" s="639"/>
      <c r="H857" s="639"/>
      <c r="I857" s="639"/>
      <c r="J857" s="639"/>
      <c r="K857" s="639"/>
      <c r="L857" s="639"/>
      <c r="M857" s="639"/>
      <c r="N857" s="639"/>
      <c r="O857" s="639"/>
      <c r="P857" s="639"/>
      <c r="Q857" s="639"/>
      <c r="R857" s="639"/>
      <c r="S857" s="639"/>
      <c r="T857" s="639"/>
      <c r="U857" s="639"/>
      <c r="V857" s="639"/>
      <c r="W857" s="639"/>
      <c r="X857" s="639"/>
      <c r="Y857" s="639"/>
      <c r="Z857" s="639"/>
      <c r="AA857" s="639"/>
      <c r="AB857" s="639"/>
    </row>
    <row r="858" spans="1:28">
      <c r="A858" s="639"/>
      <c r="B858" s="639"/>
      <c r="C858" s="639"/>
      <c r="D858" s="639"/>
      <c r="E858" s="639"/>
      <c r="F858" s="639"/>
      <c r="G858" s="639"/>
      <c r="H858" s="639"/>
      <c r="I858" s="639"/>
      <c r="J858" s="639"/>
      <c r="K858" s="639"/>
      <c r="L858" s="639"/>
      <c r="M858" s="639"/>
      <c r="N858" s="639"/>
      <c r="O858" s="639"/>
      <c r="P858" s="639"/>
      <c r="Q858" s="639"/>
      <c r="R858" s="639"/>
      <c r="S858" s="639"/>
      <c r="T858" s="639"/>
      <c r="U858" s="639"/>
      <c r="V858" s="639"/>
      <c r="W858" s="639"/>
      <c r="X858" s="639"/>
      <c r="Y858" s="639"/>
      <c r="Z858" s="639"/>
      <c r="AA858" s="639"/>
      <c r="AB858" s="639"/>
    </row>
    <row r="859" spans="1:28">
      <c r="A859" s="639"/>
      <c r="B859" s="639"/>
      <c r="C859" s="639"/>
      <c r="D859" s="639"/>
      <c r="E859" s="639"/>
      <c r="F859" s="639"/>
      <c r="G859" s="639"/>
      <c r="H859" s="639"/>
      <c r="I859" s="639"/>
      <c r="J859" s="639"/>
      <c r="K859" s="639"/>
      <c r="L859" s="639"/>
      <c r="M859" s="639"/>
      <c r="N859" s="639"/>
      <c r="O859" s="639"/>
      <c r="P859" s="639"/>
      <c r="Q859" s="639"/>
      <c r="R859" s="639"/>
      <c r="S859" s="639"/>
      <c r="T859" s="639"/>
      <c r="U859" s="639"/>
      <c r="V859" s="639"/>
      <c r="W859" s="639"/>
      <c r="X859" s="639"/>
      <c r="Y859" s="639"/>
      <c r="Z859" s="639"/>
      <c r="AA859" s="639"/>
      <c r="AB859" s="639"/>
    </row>
    <row r="860" spans="1:28">
      <c r="A860" s="639"/>
      <c r="B860" s="639"/>
      <c r="C860" s="639"/>
      <c r="D860" s="639"/>
      <c r="E860" s="639"/>
      <c r="F860" s="639"/>
      <c r="G860" s="639"/>
      <c r="H860" s="639"/>
      <c r="I860" s="639"/>
      <c r="J860" s="639"/>
      <c r="K860" s="639"/>
      <c r="L860" s="639"/>
      <c r="M860" s="639"/>
      <c r="N860" s="639"/>
      <c r="O860" s="639"/>
      <c r="P860" s="639"/>
      <c r="Q860" s="639"/>
      <c r="R860" s="639"/>
      <c r="S860" s="639"/>
      <c r="T860" s="639"/>
      <c r="U860" s="639"/>
      <c r="V860" s="639"/>
      <c r="W860" s="639"/>
      <c r="X860" s="639"/>
      <c r="Y860" s="639"/>
      <c r="Z860" s="639"/>
      <c r="AA860" s="639"/>
      <c r="AB860" s="639"/>
    </row>
    <row r="861" spans="1:28">
      <c r="A861" s="639"/>
      <c r="B861" s="639"/>
      <c r="C861" s="639"/>
      <c r="D861" s="639"/>
      <c r="E861" s="639"/>
      <c r="F861" s="639"/>
      <c r="G861" s="639"/>
      <c r="H861" s="639"/>
      <c r="I861" s="639"/>
      <c r="J861" s="639"/>
      <c r="K861" s="639"/>
      <c r="L861" s="639"/>
      <c r="M861" s="639"/>
      <c r="N861" s="639"/>
      <c r="O861" s="639"/>
      <c r="P861" s="639"/>
      <c r="Q861" s="639"/>
      <c r="R861" s="639"/>
      <c r="S861" s="639"/>
      <c r="T861" s="639"/>
      <c r="U861" s="639"/>
      <c r="V861" s="639"/>
      <c r="W861" s="639"/>
      <c r="X861" s="639"/>
      <c r="Y861" s="639"/>
      <c r="Z861" s="639"/>
      <c r="AA861" s="639"/>
      <c r="AB861" s="639"/>
    </row>
    <row r="862" spans="1:28">
      <c r="A862" s="639"/>
      <c r="B862" s="639"/>
      <c r="C862" s="639"/>
      <c r="D862" s="639"/>
      <c r="E862" s="639"/>
      <c r="F862" s="639"/>
      <c r="G862" s="639"/>
      <c r="H862" s="639"/>
      <c r="I862" s="639"/>
      <c r="J862" s="639"/>
      <c r="K862" s="639"/>
      <c r="L862" s="639"/>
      <c r="M862" s="639"/>
      <c r="N862" s="639"/>
      <c r="O862" s="639"/>
      <c r="P862" s="639"/>
      <c r="Q862" s="639"/>
      <c r="R862" s="639"/>
      <c r="S862" s="639"/>
      <c r="T862" s="639"/>
      <c r="U862" s="639"/>
      <c r="V862" s="639"/>
      <c r="W862" s="639"/>
      <c r="X862" s="639"/>
      <c r="Y862" s="639"/>
      <c r="Z862" s="639"/>
      <c r="AA862" s="639"/>
      <c r="AB862" s="639"/>
    </row>
    <row r="863" spans="1:28">
      <c r="A863" s="639"/>
      <c r="B863" s="639"/>
      <c r="C863" s="639"/>
      <c r="D863" s="639"/>
      <c r="E863" s="639"/>
      <c r="F863" s="639"/>
      <c r="G863" s="639"/>
      <c r="H863" s="639"/>
      <c r="I863" s="639"/>
      <c r="J863" s="639"/>
      <c r="K863" s="639"/>
      <c r="L863" s="639"/>
      <c r="M863" s="639"/>
      <c r="N863" s="639"/>
      <c r="O863" s="639"/>
      <c r="P863" s="639"/>
      <c r="Q863" s="639"/>
      <c r="R863" s="639"/>
      <c r="S863" s="639"/>
      <c r="T863" s="639"/>
      <c r="U863" s="639"/>
      <c r="V863" s="639"/>
      <c r="W863" s="639"/>
      <c r="X863" s="639"/>
      <c r="Y863" s="639"/>
      <c r="Z863" s="639"/>
      <c r="AA863" s="639"/>
      <c r="AB863" s="639"/>
    </row>
    <row r="864" spans="1:28">
      <c r="A864" s="639"/>
      <c r="B864" s="639"/>
      <c r="C864" s="639"/>
      <c r="D864" s="639"/>
      <c r="E864" s="639"/>
      <c r="F864" s="639"/>
      <c r="G864" s="639"/>
      <c r="H864" s="639"/>
      <c r="I864" s="639"/>
      <c r="J864" s="639"/>
      <c r="K864" s="639"/>
      <c r="L864" s="639"/>
      <c r="M864" s="639"/>
      <c r="N864" s="639"/>
      <c r="O864" s="639"/>
      <c r="P864" s="639"/>
      <c r="Q864" s="639"/>
      <c r="R864" s="639"/>
      <c r="S864" s="639"/>
      <c r="T864" s="639"/>
      <c r="U864" s="639"/>
      <c r="V864" s="639"/>
      <c r="W864" s="639"/>
      <c r="X864" s="639"/>
      <c r="Y864" s="639"/>
      <c r="Z864" s="639"/>
      <c r="AA864" s="639"/>
      <c r="AB864" s="639"/>
    </row>
    <row r="865" spans="1:28">
      <c r="A865" s="639"/>
      <c r="B865" s="639"/>
      <c r="C865" s="639"/>
      <c r="D865" s="639"/>
      <c r="E865" s="639"/>
      <c r="F865" s="639"/>
      <c r="G865" s="639"/>
      <c r="H865" s="639"/>
      <c r="I865" s="639"/>
      <c r="J865" s="639"/>
      <c r="K865" s="639"/>
      <c r="L865" s="639"/>
      <c r="M865" s="639"/>
      <c r="N865" s="639"/>
      <c r="O865" s="639"/>
      <c r="P865" s="639"/>
      <c r="Q865" s="639"/>
      <c r="R865" s="639"/>
      <c r="S865" s="639"/>
      <c r="T865" s="639"/>
      <c r="U865" s="639"/>
      <c r="V865" s="639"/>
      <c r="W865" s="639"/>
      <c r="X865" s="639"/>
      <c r="Y865" s="639"/>
      <c r="Z865" s="639"/>
      <c r="AA865" s="639"/>
      <c r="AB865" s="639"/>
    </row>
    <row r="866" spans="1:28">
      <c r="A866" s="639"/>
      <c r="B866" s="639"/>
      <c r="C866" s="639"/>
      <c r="D866" s="639"/>
      <c r="E866" s="639"/>
      <c r="F866" s="639"/>
      <c r="G866" s="639"/>
      <c r="H866" s="639"/>
      <c r="I866" s="639"/>
      <c r="J866" s="639"/>
      <c r="K866" s="639"/>
      <c r="L866" s="639"/>
      <c r="M866" s="639"/>
      <c r="N866" s="639"/>
      <c r="O866" s="639"/>
      <c r="P866" s="639"/>
      <c r="Q866" s="639"/>
      <c r="R866" s="639"/>
      <c r="S866" s="639"/>
      <c r="T866" s="639"/>
      <c r="U866" s="639"/>
      <c r="V866" s="639"/>
      <c r="W866" s="639"/>
      <c r="X866" s="639"/>
      <c r="Y866" s="639"/>
      <c r="Z866" s="639"/>
      <c r="AA866" s="639"/>
      <c r="AB866" s="639"/>
    </row>
    <row r="867" spans="1:28">
      <c r="A867" s="639"/>
      <c r="B867" s="639"/>
      <c r="C867" s="639"/>
      <c r="D867" s="639"/>
      <c r="E867" s="639"/>
      <c r="F867" s="639"/>
      <c r="G867" s="639"/>
      <c r="H867" s="639"/>
      <c r="I867" s="639"/>
      <c r="J867" s="639"/>
      <c r="K867" s="639"/>
      <c r="L867" s="639"/>
      <c r="M867" s="639"/>
      <c r="N867" s="639"/>
      <c r="O867" s="639"/>
      <c r="P867" s="639"/>
      <c r="Q867" s="639"/>
      <c r="R867" s="639"/>
      <c r="S867" s="639"/>
      <c r="T867" s="639"/>
      <c r="U867" s="639"/>
      <c r="V867" s="639"/>
      <c r="W867" s="639"/>
      <c r="X867" s="639"/>
      <c r="Y867" s="639"/>
      <c r="Z867" s="639"/>
      <c r="AA867" s="639"/>
      <c r="AB867" s="639"/>
    </row>
    <row r="868" spans="1:28">
      <c r="A868" s="639"/>
      <c r="B868" s="639"/>
      <c r="C868" s="639"/>
      <c r="D868" s="639"/>
      <c r="E868" s="639"/>
      <c r="F868" s="639"/>
      <c r="G868" s="639"/>
      <c r="H868" s="639"/>
      <c r="I868" s="639"/>
      <c r="J868" s="639"/>
      <c r="K868" s="639"/>
      <c r="L868" s="639"/>
      <c r="M868" s="639"/>
      <c r="N868" s="639"/>
      <c r="O868" s="639"/>
      <c r="P868" s="639"/>
      <c r="Q868" s="639"/>
      <c r="R868" s="639"/>
      <c r="S868" s="639"/>
      <c r="T868" s="639"/>
      <c r="U868" s="639"/>
      <c r="V868" s="639"/>
      <c r="W868" s="639"/>
      <c r="X868" s="639"/>
      <c r="Y868" s="639"/>
      <c r="Z868" s="639"/>
      <c r="AA868" s="639"/>
      <c r="AB868" s="639"/>
    </row>
    <row r="869" spans="1:28">
      <c r="A869" s="639"/>
      <c r="B869" s="639"/>
      <c r="C869" s="639"/>
      <c r="D869" s="639"/>
      <c r="E869" s="639"/>
      <c r="F869" s="639"/>
      <c r="G869" s="639"/>
      <c r="H869" s="639"/>
      <c r="I869" s="639"/>
      <c r="J869" s="639"/>
      <c r="K869" s="639"/>
      <c r="L869" s="639"/>
      <c r="M869" s="639"/>
      <c r="N869" s="639"/>
      <c r="O869" s="639"/>
      <c r="P869" s="639"/>
      <c r="Q869" s="639"/>
      <c r="R869" s="639"/>
      <c r="S869" s="639"/>
      <c r="T869" s="639"/>
      <c r="U869" s="639"/>
      <c r="V869" s="639"/>
      <c r="W869" s="639"/>
      <c r="X869" s="639"/>
      <c r="Y869" s="639"/>
      <c r="Z869" s="639"/>
      <c r="AA869" s="639"/>
      <c r="AB869" s="639"/>
    </row>
    <row r="870" spans="1:28">
      <c r="A870" s="639"/>
      <c r="B870" s="639"/>
      <c r="C870" s="639"/>
      <c r="D870" s="639"/>
      <c r="E870" s="639"/>
      <c r="F870" s="639"/>
      <c r="G870" s="639"/>
      <c r="H870" s="639"/>
      <c r="I870" s="639"/>
      <c r="J870" s="639"/>
      <c r="K870" s="639"/>
      <c r="L870" s="639"/>
      <c r="M870" s="639"/>
      <c r="N870" s="639"/>
      <c r="O870" s="639"/>
      <c r="P870" s="639"/>
      <c r="Q870" s="639"/>
      <c r="R870" s="639"/>
      <c r="S870" s="639"/>
      <c r="T870" s="639"/>
      <c r="U870" s="639"/>
      <c r="V870" s="639"/>
      <c r="W870" s="639"/>
      <c r="X870" s="639"/>
      <c r="Y870" s="639"/>
      <c r="Z870" s="639"/>
      <c r="AA870" s="639"/>
      <c r="AB870" s="639"/>
    </row>
    <row r="871" spans="1:28">
      <c r="A871" s="639"/>
      <c r="B871" s="639"/>
      <c r="C871" s="639"/>
      <c r="D871" s="639"/>
      <c r="E871" s="639"/>
      <c r="F871" s="639"/>
      <c r="G871" s="639"/>
      <c r="H871" s="639"/>
      <c r="I871" s="639"/>
      <c r="J871" s="639"/>
      <c r="K871" s="639"/>
      <c r="L871" s="639"/>
      <c r="M871" s="639"/>
      <c r="N871" s="639"/>
      <c r="O871" s="639"/>
      <c r="P871" s="639"/>
      <c r="Q871" s="639"/>
      <c r="R871" s="639"/>
      <c r="S871" s="639"/>
      <c r="T871" s="639"/>
      <c r="U871" s="639"/>
      <c r="V871" s="639"/>
      <c r="W871" s="639"/>
      <c r="X871" s="639"/>
      <c r="Y871" s="639"/>
      <c r="Z871" s="639"/>
      <c r="AA871" s="639"/>
      <c r="AB871" s="639"/>
    </row>
    <row r="872" spans="1:28">
      <c r="A872" s="639"/>
      <c r="B872" s="639"/>
      <c r="C872" s="639"/>
      <c r="D872" s="639"/>
      <c r="E872" s="639"/>
      <c r="F872" s="639"/>
      <c r="G872" s="639"/>
      <c r="H872" s="639"/>
      <c r="I872" s="639"/>
      <c r="J872" s="639"/>
      <c r="K872" s="639"/>
      <c r="L872" s="639"/>
      <c r="M872" s="639"/>
      <c r="N872" s="639"/>
      <c r="O872" s="639"/>
      <c r="P872" s="639"/>
      <c r="Q872" s="639"/>
      <c r="R872" s="639"/>
      <c r="S872" s="639"/>
      <c r="T872" s="639"/>
      <c r="U872" s="639"/>
      <c r="V872" s="639"/>
      <c r="W872" s="639"/>
      <c r="X872" s="639"/>
      <c r="Y872" s="639"/>
      <c r="Z872" s="639"/>
      <c r="AA872" s="639"/>
      <c r="AB872" s="639"/>
    </row>
    <row r="873" spans="1:28">
      <c r="A873" s="639"/>
      <c r="B873" s="639"/>
      <c r="C873" s="639"/>
      <c r="D873" s="639"/>
      <c r="E873" s="639"/>
      <c r="F873" s="639"/>
      <c r="G873" s="639"/>
      <c r="H873" s="639"/>
      <c r="I873" s="639"/>
      <c r="J873" s="639"/>
      <c r="K873" s="639"/>
      <c r="L873" s="639"/>
      <c r="M873" s="639"/>
      <c r="N873" s="639"/>
      <c r="O873" s="639"/>
      <c r="P873" s="639"/>
      <c r="Q873" s="639"/>
      <c r="R873" s="639"/>
      <c r="S873" s="639"/>
      <c r="T873" s="639"/>
      <c r="U873" s="639"/>
      <c r="V873" s="639"/>
      <c r="W873" s="639"/>
      <c r="X873" s="639"/>
      <c r="Y873" s="639"/>
      <c r="Z873" s="639"/>
      <c r="AA873" s="639"/>
      <c r="AB873" s="639"/>
    </row>
    <row r="874" spans="1:28">
      <c r="A874" s="639"/>
      <c r="B874" s="639"/>
      <c r="C874" s="639"/>
      <c r="D874" s="639"/>
      <c r="E874" s="639"/>
      <c r="F874" s="639"/>
      <c r="G874" s="639"/>
      <c r="H874" s="639"/>
      <c r="I874" s="639"/>
      <c r="J874" s="639"/>
      <c r="K874" s="639"/>
      <c r="L874" s="639"/>
      <c r="M874" s="639"/>
      <c r="N874" s="639"/>
      <c r="O874" s="639"/>
      <c r="P874" s="639"/>
      <c r="Q874" s="639"/>
      <c r="R874" s="639"/>
      <c r="S874" s="639"/>
      <c r="T874" s="639"/>
      <c r="U874" s="639"/>
      <c r="V874" s="639"/>
      <c r="W874" s="639"/>
      <c r="X874" s="639"/>
      <c r="Y874" s="639"/>
      <c r="Z874" s="639"/>
      <c r="AA874" s="639"/>
      <c r="AB874" s="639"/>
    </row>
    <row r="875" spans="1:28">
      <c r="A875" s="639"/>
      <c r="B875" s="639"/>
      <c r="C875" s="639"/>
      <c r="D875" s="639"/>
      <c r="E875" s="639"/>
      <c r="F875" s="639"/>
      <c r="G875" s="639"/>
      <c r="H875" s="639"/>
      <c r="I875" s="639"/>
      <c r="J875" s="639"/>
      <c r="K875" s="639"/>
      <c r="L875" s="639"/>
      <c r="M875" s="639"/>
      <c r="N875" s="639"/>
      <c r="O875" s="639"/>
      <c r="P875" s="639"/>
      <c r="Q875" s="639"/>
      <c r="R875" s="639"/>
      <c r="S875" s="639"/>
      <c r="T875" s="639"/>
      <c r="U875" s="639"/>
      <c r="V875" s="639"/>
      <c r="W875" s="639"/>
      <c r="X875" s="639"/>
      <c r="Y875" s="639"/>
      <c r="Z875" s="639"/>
      <c r="AA875" s="639"/>
      <c r="AB875" s="639"/>
    </row>
    <row r="876" spans="1:28">
      <c r="A876" s="639"/>
      <c r="B876" s="639"/>
      <c r="C876" s="639"/>
      <c r="D876" s="639"/>
      <c r="E876" s="639"/>
      <c r="F876" s="639"/>
      <c r="G876" s="639"/>
      <c r="H876" s="639"/>
      <c r="I876" s="639"/>
      <c r="J876" s="639"/>
      <c r="K876" s="639"/>
      <c r="L876" s="639"/>
      <c r="M876" s="639"/>
      <c r="N876" s="639"/>
      <c r="O876" s="639"/>
      <c r="P876" s="639"/>
      <c r="Q876" s="639"/>
      <c r="R876" s="639"/>
      <c r="S876" s="639"/>
      <c r="T876" s="639"/>
      <c r="U876" s="639"/>
      <c r="V876" s="639"/>
      <c r="W876" s="639"/>
      <c r="X876" s="639"/>
      <c r="Y876" s="639"/>
      <c r="Z876" s="639"/>
      <c r="AA876" s="639"/>
      <c r="AB876" s="639"/>
    </row>
    <row r="877" spans="1:28">
      <c r="A877" s="639"/>
      <c r="B877" s="639"/>
      <c r="C877" s="639"/>
      <c r="D877" s="639"/>
      <c r="E877" s="639"/>
      <c r="F877" s="639"/>
      <c r="G877" s="639"/>
      <c r="H877" s="639"/>
      <c r="I877" s="639"/>
      <c r="J877" s="639"/>
      <c r="K877" s="639"/>
      <c r="L877" s="639"/>
      <c r="M877" s="639"/>
      <c r="N877" s="639"/>
      <c r="O877" s="639"/>
      <c r="P877" s="639"/>
      <c r="Q877" s="639"/>
      <c r="R877" s="639"/>
      <c r="S877" s="639"/>
      <c r="T877" s="639"/>
      <c r="U877" s="639"/>
      <c r="V877" s="639"/>
      <c r="W877" s="639"/>
      <c r="X877" s="639"/>
      <c r="Y877" s="639"/>
      <c r="Z877" s="639"/>
      <c r="AA877" s="639"/>
      <c r="AB877" s="639"/>
    </row>
    <row r="878" spans="1:28">
      <c r="A878" s="639"/>
      <c r="B878" s="639"/>
      <c r="C878" s="639"/>
      <c r="D878" s="639"/>
      <c r="E878" s="639"/>
      <c r="F878" s="639"/>
      <c r="G878" s="639"/>
      <c r="H878" s="639"/>
      <c r="I878" s="639"/>
      <c r="J878" s="639"/>
      <c r="K878" s="639"/>
      <c r="L878" s="639"/>
      <c r="M878" s="639"/>
      <c r="N878" s="639"/>
      <c r="O878" s="639"/>
      <c r="P878" s="639"/>
      <c r="Q878" s="639"/>
      <c r="R878" s="639"/>
      <c r="S878" s="639"/>
      <c r="T878" s="639"/>
      <c r="U878" s="639"/>
      <c r="V878" s="639"/>
      <c r="W878" s="639"/>
      <c r="X878" s="639"/>
      <c r="Y878" s="639"/>
      <c r="Z878" s="639"/>
      <c r="AA878" s="639"/>
      <c r="AB878" s="639"/>
    </row>
    <row r="879" spans="1:28">
      <c r="A879" s="639"/>
      <c r="B879" s="639"/>
      <c r="C879" s="639"/>
      <c r="D879" s="639"/>
      <c r="E879" s="639"/>
      <c r="F879" s="639"/>
      <c r="G879" s="639"/>
      <c r="H879" s="639"/>
      <c r="I879" s="639"/>
      <c r="J879" s="639"/>
      <c r="K879" s="639"/>
      <c r="L879" s="639"/>
      <c r="M879" s="639"/>
      <c r="N879" s="639"/>
      <c r="O879" s="639"/>
      <c r="P879" s="639"/>
      <c r="Q879" s="639"/>
      <c r="R879" s="639"/>
      <c r="S879" s="639"/>
      <c r="T879" s="639"/>
      <c r="U879" s="639"/>
      <c r="V879" s="639"/>
      <c r="W879" s="639"/>
      <c r="X879" s="639"/>
      <c r="Y879" s="639"/>
      <c r="Z879" s="639"/>
      <c r="AA879" s="639"/>
      <c r="AB879" s="639"/>
    </row>
    <row r="880" spans="1:28">
      <c r="A880" s="639"/>
      <c r="B880" s="639"/>
      <c r="C880" s="639"/>
      <c r="D880" s="639"/>
      <c r="E880" s="639"/>
      <c r="F880" s="639"/>
      <c r="G880" s="639"/>
      <c r="H880" s="639"/>
      <c r="I880" s="639"/>
      <c r="J880" s="639"/>
      <c r="K880" s="639"/>
      <c r="L880" s="639"/>
      <c r="M880" s="639"/>
      <c r="N880" s="639"/>
      <c r="O880" s="639"/>
      <c r="P880" s="639"/>
      <c r="Q880" s="639"/>
      <c r="R880" s="639"/>
      <c r="S880" s="639"/>
      <c r="T880" s="639"/>
      <c r="U880" s="639"/>
      <c r="V880" s="639"/>
      <c r="W880" s="639"/>
      <c r="X880" s="639"/>
      <c r="Y880" s="639"/>
      <c r="Z880" s="639"/>
      <c r="AA880" s="639"/>
      <c r="AB880" s="639"/>
    </row>
    <row r="881" spans="1:28">
      <c r="A881" s="639"/>
      <c r="B881" s="639"/>
      <c r="C881" s="639"/>
      <c r="D881" s="639"/>
      <c r="E881" s="639"/>
      <c r="F881" s="639"/>
      <c r="G881" s="639"/>
      <c r="H881" s="639"/>
      <c r="I881" s="639"/>
      <c r="J881" s="639"/>
      <c r="K881" s="639"/>
      <c r="L881" s="639"/>
      <c r="M881" s="639"/>
      <c r="N881" s="639"/>
      <c r="O881" s="639"/>
      <c r="P881" s="639"/>
      <c r="Q881" s="639"/>
      <c r="R881" s="639"/>
      <c r="S881" s="639"/>
      <c r="T881" s="639"/>
      <c r="U881" s="639"/>
      <c r="V881" s="639"/>
      <c r="W881" s="639"/>
      <c r="X881" s="639"/>
      <c r="Y881" s="639"/>
      <c r="Z881" s="639"/>
      <c r="AA881" s="639"/>
      <c r="AB881" s="639"/>
    </row>
    <row r="882" spans="1:28">
      <c r="A882" s="639"/>
      <c r="B882" s="639"/>
      <c r="C882" s="639"/>
      <c r="D882" s="639"/>
      <c r="E882" s="639"/>
      <c r="F882" s="639"/>
      <c r="G882" s="639"/>
      <c r="H882" s="639"/>
      <c r="I882" s="639"/>
      <c r="J882" s="639"/>
      <c r="K882" s="639"/>
      <c r="L882" s="639"/>
      <c r="M882" s="639"/>
      <c r="N882" s="639"/>
      <c r="O882" s="639"/>
      <c r="P882" s="639"/>
      <c r="Q882" s="639"/>
      <c r="R882" s="639"/>
      <c r="S882" s="639"/>
      <c r="T882" s="639"/>
      <c r="U882" s="639"/>
      <c r="V882" s="639"/>
      <c r="W882" s="639"/>
      <c r="X882" s="639"/>
      <c r="Y882" s="639"/>
      <c r="Z882" s="639"/>
      <c r="AA882" s="639"/>
      <c r="AB882" s="639"/>
    </row>
    <row r="883" spans="1:28">
      <c r="A883" s="639"/>
      <c r="B883" s="639"/>
      <c r="C883" s="639"/>
      <c r="D883" s="639"/>
      <c r="E883" s="639"/>
      <c r="F883" s="639"/>
      <c r="G883" s="639"/>
      <c r="H883" s="639"/>
      <c r="I883" s="639"/>
      <c r="J883" s="639"/>
      <c r="K883" s="639"/>
      <c r="L883" s="639"/>
      <c r="M883" s="639"/>
      <c r="N883" s="639"/>
      <c r="O883" s="639"/>
      <c r="P883" s="639"/>
      <c r="Q883" s="639"/>
      <c r="R883" s="639"/>
      <c r="S883" s="639"/>
      <c r="T883" s="639"/>
      <c r="U883" s="639"/>
      <c r="V883" s="639"/>
      <c r="W883" s="639"/>
      <c r="X883" s="639"/>
      <c r="Y883" s="639"/>
      <c r="Z883" s="639"/>
      <c r="AA883" s="639"/>
      <c r="AB883" s="639"/>
    </row>
    <row r="884" spans="1:28">
      <c r="A884" s="639"/>
      <c r="B884" s="639"/>
      <c r="C884" s="639"/>
      <c r="D884" s="639"/>
      <c r="E884" s="639"/>
      <c r="F884" s="639"/>
      <c r="G884" s="639"/>
      <c r="H884" s="639"/>
      <c r="I884" s="639"/>
      <c r="J884" s="639"/>
      <c r="K884" s="639"/>
      <c r="L884" s="639"/>
      <c r="M884" s="639"/>
      <c r="N884" s="639"/>
      <c r="O884" s="639"/>
      <c r="P884" s="639"/>
      <c r="Q884" s="639"/>
      <c r="R884" s="639"/>
      <c r="S884" s="639"/>
      <c r="T884" s="639"/>
      <c r="U884" s="639"/>
      <c r="V884" s="639"/>
      <c r="W884" s="639"/>
      <c r="X884" s="639"/>
      <c r="Y884" s="639"/>
      <c r="Z884" s="639"/>
      <c r="AA884" s="639"/>
      <c r="AB884" s="639"/>
    </row>
    <row r="885" spans="1:28">
      <c r="A885" s="639"/>
      <c r="B885" s="639"/>
      <c r="C885" s="639"/>
      <c r="D885" s="639"/>
      <c r="E885" s="639"/>
      <c r="F885" s="639"/>
      <c r="G885" s="639"/>
      <c r="H885" s="639"/>
      <c r="I885" s="639"/>
      <c r="J885" s="639"/>
      <c r="K885" s="639"/>
      <c r="L885" s="639"/>
      <c r="M885" s="639"/>
      <c r="N885" s="639"/>
      <c r="O885" s="639"/>
      <c r="P885" s="639"/>
      <c r="Q885" s="639"/>
      <c r="R885" s="639"/>
      <c r="S885" s="639"/>
      <c r="T885" s="639"/>
      <c r="U885" s="639"/>
      <c r="V885" s="639"/>
      <c r="W885" s="639"/>
      <c r="X885" s="639"/>
      <c r="Y885" s="639"/>
      <c r="Z885" s="639"/>
      <c r="AA885" s="639"/>
      <c r="AB885" s="639"/>
    </row>
    <row r="886" spans="1:28">
      <c r="A886" s="639"/>
      <c r="B886" s="639"/>
      <c r="C886" s="639"/>
      <c r="D886" s="639"/>
      <c r="E886" s="639"/>
      <c r="F886" s="639"/>
      <c r="G886" s="639"/>
      <c r="H886" s="639"/>
      <c r="I886" s="639"/>
      <c r="J886" s="639"/>
      <c r="K886" s="639"/>
      <c r="L886" s="639"/>
      <c r="M886" s="639"/>
      <c r="N886" s="639"/>
      <c r="O886" s="639"/>
      <c r="P886" s="639"/>
      <c r="Q886" s="639"/>
      <c r="R886" s="639"/>
      <c r="S886" s="639"/>
      <c r="T886" s="639"/>
      <c r="U886" s="639"/>
      <c r="V886" s="639"/>
      <c r="W886" s="639"/>
      <c r="X886" s="639"/>
      <c r="Y886" s="639"/>
      <c r="Z886" s="639"/>
      <c r="AA886" s="639"/>
      <c r="AB886" s="639"/>
    </row>
    <row r="887" spans="1:28">
      <c r="A887" s="639"/>
      <c r="B887" s="639"/>
      <c r="C887" s="639"/>
      <c r="D887" s="639"/>
      <c r="E887" s="639"/>
      <c r="F887" s="639"/>
      <c r="G887" s="639"/>
      <c r="H887" s="639"/>
      <c r="I887" s="639"/>
      <c r="J887" s="639"/>
      <c r="K887" s="639"/>
      <c r="L887" s="639"/>
      <c r="M887" s="639"/>
      <c r="N887" s="639"/>
      <c r="O887" s="639"/>
      <c r="P887" s="639"/>
      <c r="Q887" s="639"/>
      <c r="R887" s="639"/>
      <c r="S887" s="639"/>
      <c r="T887" s="639"/>
      <c r="U887" s="639"/>
      <c r="V887" s="639"/>
      <c r="W887" s="639"/>
      <c r="X887" s="639"/>
      <c r="Y887" s="639"/>
      <c r="Z887" s="639"/>
      <c r="AA887" s="639"/>
      <c r="AB887" s="639"/>
    </row>
    <row r="888" spans="1:28">
      <c r="A888" s="639"/>
      <c r="B888" s="639"/>
      <c r="C888" s="639"/>
      <c r="D888" s="639"/>
      <c r="E888" s="639"/>
      <c r="F888" s="639"/>
      <c r="G888" s="639"/>
      <c r="H888" s="639"/>
      <c r="I888" s="639"/>
      <c r="J888" s="639"/>
      <c r="K888" s="639"/>
      <c r="L888" s="639"/>
      <c r="M888" s="639"/>
      <c r="N888" s="639"/>
      <c r="O888" s="639"/>
      <c r="P888" s="639"/>
      <c r="Q888" s="639"/>
      <c r="R888" s="639"/>
      <c r="S888" s="639"/>
      <c r="T888" s="639"/>
      <c r="U888" s="639"/>
      <c r="V888" s="639"/>
      <c r="W888" s="639"/>
      <c r="X888" s="639"/>
      <c r="Y888" s="639"/>
      <c r="Z888" s="639"/>
      <c r="AA888" s="639"/>
      <c r="AB888" s="639"/>
    </row>
    <row r="889" spans="1:28">
      <c r="A889" s="639"/>
      <c r="B889" s="639"/>
      <c r="C889" s="639"/>
      <c r="D889" s="639"/>
      <c r="E889" s="639"/>
      <c r="F889" s="639"/>
      <c r="G889" s="639"/>
      <c r="H889" s="639"/>
      <c r="I889" s="639"/>
      <c r="J889" s="639"/>
      <c r="K889" s="639"/>
      <c r="L889" s="639"/>
      <c r="M889" s="639"/>
      <c r="N889" s="639"/>
      <c r="O889" s="639"/>
      <c r="P889" s="639"/>
      <c r="Q889" s="639"/>
      <c r="R889" s="639"/>
      <c r="S889" s="639"/>
      <c r="T889" s="639"/>
      <c r="U889" s="639"/>
      <c r="V889" s="639"/>
      <c r="W889" s="639"/>
      <c r="X889" s="639"/>
      <c r="Y889" s="639"/>
      <c r="Z889" s="639"/>
      <c r="AA889" s="639"/>
      <c r="AB889" s="639"/>
    </row>
    <row r="890" spans="1:28">
      <c r="A890" s="639"/>
      <c r="B890" s="639"/>
      <c r="C890" s="639"/>
      <c r="D890" s="639"/>
      <c r="E890" s="639"/>
      <c r="F890" s="639"/>
      <c r="G890" s="639"/>
      <c r="H890" s="639"/>
      <c r="I890" s="639"/>
      <c r="J890" s="639"/>
      <c r="K890" s="639"/>
      <c r="L890" s="639"/>
      <c r="M890" s="639"/>
      <c r="N890" s="639"/>
      <c r="O890" s="639"/>
      <c r="P890" s="639"/>
      <c r="Q890" s="639"/>
      <c r="R890" s="639"/>
      <c r="S890" s="639"/>
      <c r="T890" s="639"/>
      <c r="U890" s="639"/>
      <c r="V890" s="639"/>
      <c r="W890" s="639"/>
      <c r="X890" s="639"/>
      <c r="Y890" s="639"/>
      <c r="Z890" s="639"/>
      <c r="AA890" s="639"/>
      <c r="AB890" s="639"/>
    </row>
    <row r="891" spans="1:28">
      <c r="A891" s="639"/>
      <c r="B891" s="639"/>
      <c r="C891" s="639"/>
      <c r="D891" s="639"/>
      <c r="E891" s="639"/>
      <c r="F891" s="639"/>
      <c r="G891" s="639"/>
      <c r="H891" s="639"/>
      <c r="I891" s="639"/>
      <c r="J891" s="639"/>
      <c r="K891" s="639"/>
      <c r="L891" s="639"/>
      <c r="M891" s="639"/>
      <c r="N891" s="639"/>
      <c r="O891" s="639"/>
      <c r="P891" s="639"/>
      <c r="Q891" s="639"/>
      <c r="R891" s="639"/>
      <c r="S891" s="639"/>
      <c r="T891" s="639"/>
      <c r="U891" s="639"/>
      <c r="V891" s="639"/>
      <c r="W891" s="639"/>
      <c r="X891" s="639"/>
      <c r="Y891" s="639"/>
      <c r="Z891" s="639"/>
      <c r="AA891" s="639"/>
      <c r="AB891" s="639"/>
    </row>
    <row r="892" spans="1:28">
      <c r="A892" s="639"/>
      <c r="B892" s="639"/>
      <c r="C892" s="639"/>
      <c r="D892" s="639"/>
      <c r="E892" s="639"/>
      <c r="F892" s="639"/>
      <c r="G892" s="639"/>
      <c r="H892" s="639"/>
      <c r="I892" s="639"/>
      <c r="J892" s="639"/>
      <c r="K892" s="639"/>
      <c r="L892" s="639"/>
      <c r="M892" s="639"/>
      <c r="N892" s="639"/>
      <c r="O892" s="639"/>
      <c r="P892" s="639"/>
      <c r="Q892" s="639"/>
      <c r="R892" s="639"/>
      <c r="S892" s="639"/>
      <c r="T892" s="639"/>
      <c r="U892" s="639"/>
      <c r="V892" s="639"/>
      <c r="W892" s="639"/>
      <c r="X892" s="639"/>
      <c r="Y892" s="639"/>
      <c r="Z892" s="639"/>
      <c r="AA892" s="639"/>
      <c r="AB892" s="639"/>
    </row>
    <row r="893" spans="1:28">
      <c r="A893" s="639"/>
      <c r="B893" s="639"/>
      <c r="C893" s="639"/>
      <c r="D893" s="639"/>
      <c r="E893" s="639"/>
      <c r="F893" s="639"/>
      <c r="G893" s="639"/>
      <c r="H893" s="639"/>
      <c r="I893" s="639"/>
      <c r="J893" s="639"/>
      <c r="K893" s="639"/>
      <c r="L893" s="639"/>
      <c r="M893" s="639"/>
      <c r="N893" s="639"/>
      <c r="O893" s="639"/>
      <c r="P893" s="639"/>
      <c r="Q893" s="639"/>
      <c r="R893" s="639"/>
      <c r="S893" s="639"/>
      <c r="T893" s="639"/>
      <c r="U893" s="639"/>
      <c r="V893" s="639"/>
      <c r="W893" s="639"/>
      <c r="X893" s="639"/>
      <c r="Y893" s="639"/>
      <c r="Z893" s="639"/>
      <c r="AA893" s="639"/>
      <c r="AB893" s="639"/>
    </row>
    <row r="894" spans="1:28">
      <c r="A894" s="639"/>
      <c r="B894" s="639"/>
      <c r="C894" s="639"/>
      <c r="D894" s="639"/>
      <c r="E894" s="639"/>
      <c r="F894" s="639"/>
      <c r="G894" s="639"/>
      <c r="H894" s="639"/>
      <c r="I894" s="639"/>
      <c r="J894" s="639"/>
      <c r="K894" s="639"/>
      <c r="L894" s="639"/>
      <c r="M894" s="639"/>
      <c r="N894" s="639"/>
      <c r="O894" s="639"/>
      <c r="P894" s="639"/>
      <c r="Q894" s="639"/>
      <c r="R894" s="639"/>
      <c r="S894" s="639"/>
      <c r="T894" s="639"/>
      <c r="U894" s="639"/>
      <c r="V894" s="639"/>
      <c r="W894" s="639"/>
      <c r="X894" s="639"/>
      <c r="Y894" s="639"/>
      <c r="Z894" s="639"/>
      <c r="AA894" s="639"/>
      <c r="AB894" s="639"/>
    </row>
    <row r="895" spans="1:28">
      <c r="A895" s="639"/>
      <c r="B895" s="639"/>
      <c r="C895" s="639"/>
      <c r="D895" s="639"/>
      <c r="E895" s="639"/>
      <c r="F895" s="639"/>
      <c r="G895" s="639"/>
      <c r="H895" s="639"/>
      <c r="I895" s="639"/>
      <c r="J895" s="639"/>
      <c r="K895" s="639"/>
      <c r="L895" s="639"/>
      <c r="M895" s="639"/>
      <c r="N895" s="639"/>
      <c r="O895" s="639"/>
      <c r="P895" s="639"/>
      <c r="Q895" s="639"/>
      <c r="R895" s="639"/>
      <c r="S895" s="639"/>
      <c r="T895" s="639"/>
      <c r="U895" s="639"/>
      <c r="V895" s="639"/>
      <c r="W895" s="639"/>
      <c r="X895" s="639"/>
      <c r="Y895" s="639"/>
      <c r="Z895" s="639"/>
      <c r="AA895" s="639"/>
      <c r="AB895" s="639"/>
    </row>
    <row r="896" spans="1:28">
      <c r="A896" s="639"/>
      <c r="B896" s="639"/>
      <c r="C896" s="639"/>
      <c r="D896" s="639"/>
      <c r="E896" s="639"/>
      <c r="F896" s="639"/>
      <c r="G896" s="639"/>
      <c r="H896" s="639"/>
      <c r="I896" s="639"/>
      <c r="J896" s="639"/>
      <c r="K896" s="639"/>
      <c r="L896" s="639"/>
      <c r="M896" s="639"/>
      <c r="N896" s="639"/>
      <c r="O896" s="639"/>
      <c r="P896" s="639"/>
      <c r="Q896" s="639"/>
      <c r="R896" s="639"/>
      <c r="S896" s="639"/>
      <c r="T896" s="639"/>
      <c r="U896" s="639"/>
      <c r="V896" s="639"/>
      <c r="W896" s="639"/>
      <c r="X896" s="639"/>
      <c r="Y896" s="639"/>
      <c r="Z896" s="639"/>
      <c r="AA896" s="639"/>
      <c r="AB896" s="639"/>
    </row>
    <row r="897" spans="1:28">
      <c r="A897" s="639"/>
      <c r="B897" s="639"/>
      <c r="C897" s="639"/>
      <c r="D897" s="639"/>
      <c r="E897" s="639"/>
      <c r="F897" s="639"/>
      <c r="G897" s="639"/>
      <c r="H897" s="639"/>
      <c r="I897" s="639"/>
      <c r="J897" s="639"/>
      <c r="K897" s="639"/>
      <c r="L897" s="639"/>
      <c r="M897" s="639"/>
      <c r="N897" s="639"/>
      <c r="O897" s="639"/>
      <c r="P897" s="639"/>
      <c r="Q897" s="639"/>
      <c r="R897" s="639"/>
      <c r="S897" s="639"/>
      <c r="T897" s="639"/>
      <c r="U897" s="639"/>
      <c r="V897" s="639"/>
      <c r="W897" s="639"/>
      <c r="X897" s="639"/>
      <c r="Y897" s="639"/>
      <c r="Z897" s="639"/>
      <c r="AA897" s="639"/>
      <c r="AB897" s="639"/>
    </row>
    <row r="898" spans="1:28">
      <c r="A898" s="639"/>
      <c r="B898" s="639"/>
      <c r="C898" s="639"/>
      <c r="D898" s="639"/>
      <c r="E898" s="639"/>
      <c r="F898" s="639"/>
      <c r="G898" s="639"/>
      <c r="H898" s="639"/>
      <c r="I898" s="639"/>
      <c r="J898" s="639"/>
      <c r="K898" s="639"/>
      <c r="L898" s="639"/>
      <c r="M898" s="639"/>
      <c r="N898" s="639"/>
      <c r="O898" s="639"/>
      <c r="P898" s="639"/>
      <c r="Q898" s="639"/>
      <c r="R898" s="639"/>
      <c r="S898" s="639"/>
      <c r="T898" s="639"/>
      <c r="U898" s="639"/>
      <c r="V898" s="639"/>
      <c r="W898" s="639"/>
      <c r="X898" s="639"/>
      <c r="Y898" s="639"/>
      <c r="Z898" s="639"/>
      <c r="AA898" s="639"/>
      <c r="AB898" s="639"/>
    </row>
    <row r="899" spans="1:28">
      <c r="A899" s="639"/>
      <c r="B899" s="639"/>
      <c r="C899" s="639"/>
      <c r="D899" s="639"/>
      <c r="E899" s="639"/>
      <c r="F899" s="639"/>
      <c r="G899" s="639"/>
      <c r="H899" s="639"/>
      <c r="I899" s="639"/>
      <c r="J899" s="639"/>
      <c r="K899" s="639"/>
      <c r="L899" s="639"/>
      <c r="M899" s="639"/>
      <c r="N899" s="639"/>
      <c r="O899" s="639"/>
      <c r="P899" s="639"/>
      <c r="Q899" s="639"/>
      <c r="R899" s="639"/>
      <c r="S899" s="639"/>
      <c r="T899" s="639"/>
      <c r="U899" s="639"/>
      <c r="V899" s="639"/>
      <c r="W899" s="639"/>
      <c r="X899" s="639"/>
      <c r="Y899" s="639"/>
      <c r="Z899" s="639"/>
      <c r="AA899" s="639"/>
      <c r="AB899" s="639"/>
    </row>
    <row r="900" spans="1:28">
      <c r="A900" s="639"/>
      <c r="B900" s="639"/>
      <c r="C900" s="639"/>
      <c r="D900" s="639"/>
      <c r="E900" s="639"/>
      <c r="F900" s="639"/>
      <c r="G900" s="639"/>
      <c r="H900" s="639"/>
      <c r="I900" s="639"/>
      <c r="J900" s="639"/>
      <c r="K900" s="639"/>
      <c r="L900" s="639"/>
      <c r="M900" s="639"/>
      <c r="N900" s="639"/>
      <c r="O900" s="639"/>
      <c r="P900" s="639"/>
      <c r="Q900" s="639"/>
      <c r="R900" s="639"/>
      <c r="S900" s="639"/>
      <c r="T900" s="639"/>
      <c r="U900" s="639"/>
      <c r="V900" s="639"/>
      <c r="W900" s="639"/>
      <c r="X900" s="639"/>
      <c r="Y900" s="639"/>
      <c r="Z900" s="639"/>
      <c r="AA900" s="639"/>
      <c r="AB900" s="639"/>
    </row>
    <row r="901" spans="1:28">
      <c r="A901" s="639"/>
      <c r="B901" s="639"/>
      <c r="C901" s="639"/>
      <c r="D901" s="639"/>
      <c r="E901" s="639"/>
      <c r="F901" s="639"/>
      <c r="G901" s="639"/>
      <c r="H901" s="639"/>
      <c r="I901" s="639"/>
      <c r="J901" s="639"/>
      <c r="K901" s="639"/>
      <c r="L901" s="639"/>
      <c r="M901" s="639"/>
      <c r="N901" s="639"/>
      <c r="O901" s="639"/>
      <c r="P901" s="639"/>
      <c r="Q901" s="639"/>
      <c r="R901" s="639"/>
      <c r="S901" s="639"/>
      <c r="T901" s="639"/>
      <c r="U901" s="639"/>
      <c r="V901" s="639"/>
      <c r="W901" s="639"/>
      <c r="X901" s="639"/>
      <c r="Y901" s="639"/>
      <c r="Z901" s="639"/>
      <c r="AA901" s="639"/>
      <c r="AB901" s="639"/>
    </row>
    <row r="902" spans="1:28">
      <c r="A902" s="639"/>
      <c r="B902" s="639"/>
      <c r="C902" s="639"/>
      <c r="D902" s="639"/>
      <c r="E902" s="639"/>
      <c r="F902" s="639"/>
      <c r="G902" s="639"/>
      <c r="H902" s="639"/>
      <c r="I902" s="639"/>
      <c r="J902" s="639"/>
      <c r="K902" s="639"/>
      <c r="L902" s="639"/>
      <c r="M902" s="639"/>
      <c r="N902" s="639"/>
      <c r="O902" s="639"/>
      <c r="P902" s="639"/>
      <c r="Q902" s="639"/>
      <c r="R902" s="639"/>
      <c r="S902" s="639"/>
      <c r="T902" s="639"/>
      <c r="U902" s="639"/>
      <c r="V902" s="639"/>
      <c r="W902" s="639"/>
      <c r="X902" s="639"/>
      <c r="Y902" s="639"/>
      <c r="Z902" s="639"/>
      <c r="AA902" s="639"/>
      <c r="AB902" s="639"/>
    </row>
    <row r="903" spans="1:28">
      <c r="A903" s="639"/>
      <c r="B903" s="639"/>
      <c r="C903" s="639"/>
      <c r="D903" s="639"/>
      <c r="E903" s="639"/>
      <c r="F903" s="639"/>
      <c r="G903" s="639"/>
      <c r="H903" s="639"/>
      <c r="I903" s="639"/>
      <c r="J903" s="639"/>
      <c r="K903" s="639"/>
      <c r="L903" s="639"/>
      <c r="M903" s="639"/>
      <c r="N903" s="639"/>
      <c r="O903" s="639"/>
      <c r="P903" s="639"/>
      <c r="Q903" s="639"/>
      <c r="R903" s="639"/>
      <c r="S903" s="639"/>
      <c r="T903" s="639"/>
      <c r="U903" s="639"/>
      <c r="V903" s="639"/>
      <c r="W903" s="639"/>
      <c r="X903" s="639"/>
      <c r="Y903" s="639"/>
      <c r="Z903" s="639"/>
      <c r="AA903" s="639"/>
      <c r="AB903" s="639"/>
    </row>
    <row r="904" spans="1:28">
      <c r="A904" s="639"/>
      <c r="B904" s="639"/>
      <c r="C904" s="639"/>
      <c r="D904" s="639"/>
      <c r="E904" s="639"/>
      <c r="F904" s="639"/>
      <c r="G904" s="639"/>
      <c r="H904" s="639"/>
      <c r="I904" s="639"/>
      <c r="J904" s="639"/>
      <c r="K904" s="639"/>
      <c r="L904" s="639"/>
      <c r="M904" s="639"/>
      <c r="N904" s="639"/>
      <c r="O904" s="639"/>
      <c r="P904" s="639"/>
      <c r="Q904" s="639"/>
      <c r="R904" s="639"/>
      <c r="S904" s="639"/>
      <c r="T904" s="639"/>
      <c r="U904" s="639"/>
      <c r="V904" s="639"/>
      <c r="W904" s="639"/>
      <c r="X904" s="639"/>
      <c r="Y904" s="639"/>
      <c r="Z904" s="639"/>
      <c r="AA904" s="639"/>
      <c r="AB904" s="639"/>
    </row>
    <row r="905" spans="1:28">
      <c r="A905" s="639"/>
      <c r="B905" s="639"/>
      <c r="C905" s="639"/>
      <c r="D905" s="639"/>
      <c r="E905" s="639"/>
      <c r="F905" s="639"/>
      <c r="G905" s="639"/>
      <c r="H905" s="639"/>
      <c r="I905" s="639"/>
      <c r="J905" s="639"/>
      <c r="K905" s="639"/>
      <c r="L905" s="639"/>
      <c r="M905" s="639"/>
      <c r="N905" s="639"/>
      <c r="O905" s="639"/>
      <c r="P905" s="639"/>
      <c r="Q905" s="639"/>
      <c r="R905" s="639"/>
      <c r="S905" s="639"/>
      <c r="T905" s="639"/>
      <c r="U905" s="639"/>
      <c r="V905" s="639"/>
      <c r="W905" s="639"/>
      <c r="X905" s="639"/>
      <c r="Y905" s="639"/>
      <c r="Z905" s="639"/>
      <c r="AA905" s="639"/>
      <c r="AB905" s="639"/>
    </row>
    <row r="906" spans="1:28">
      <c r="A906" s="639"/>
      <c r="B906" s="639"/>
      <c r="C906" s="639"/>
      <c r="D906" s="639"/>
      <c r="E906" s="639"/>
      <c r="F906" s="639"/>
      <c r="G906" s="639"/>
      <c r="H906" s="639"/>
      <c r="I906" s="639"/>
      <c r="J906" s="639"/>
      <c r="K906" s="639"/>
      <c r="L906" s="639"/>
      <c r="M906" s="639"/>
      <c r="N906" s="639"/>
      <c r="O906" s="639"/>
      <c r="P906" s="639"/>
      <c r="Q906" s="639"/>
      <c r="R906" s="639"/>
      <c r="S906" s="639"/>
      <c r="T906" s="639"/>
      <c r="U906" s="639"/>
      <c r="V906" s="639"/>
      <c r="W906" s="639"/>
      <c r="X906" s="639"/>
      <c r="Y906" s="639"/>
      <c r="Z906" s="639"/>
      <c r="AA906" s="639"/>
      <c r="AB906" s="639"/>
    </row>
    <row r="907" spans="1:28">
      <c r="A907" s="639"/>
      <c r="B907" s="639"/>
      <c r="C907" s="639"/>
      <c r="D907" s="639"/>
      <c r="E907" s="639"/>
      <c r="F907" s="639"/>
      <c r="G907" s="639"/>
      <c r="H907" s="639"/>
      <c r="I907" s="639"/>
      <c r="J907" s="639"/>
      <c r="K907" s="639"/>
      <c r="L907" s="639"/>
      <c r="M907" s="639"/>
      <c r="N907" s="639"/>
      <c r="O907" s="639"/>
      <c r="P907" s="639"/>
      <c r="Q907" s="639"/>
      <c r="R907" s="639"/>
      <c r="S907" s="639"/>
      <c r="T907" s="639"/>
      <c r="U907" s="639"/>
      <c r="V907" s="639"/>
      <c r="W907" s="639"/>
      <c r="X907" s="639"/>
      <c r="Y907" s="639"/>
      <c r="Z907" s="639"/>
      <c r="AA907" s="639"/>
      <c r="AB907" s="639"/>
    </row>
    <row r="908" spans="1:28">
      <c r="A908" s="639"/>
      <c r="B908" s="639"/>
      <c r="C908" s="639"/>
      <c r="D908" s="639"/>
      <c r="E908" s="639"/>
      <c r="F908" s="639"/>
      <c r="G908" s="639"/>
      <c r="H908" s="639"/>
      <c r="I908" s="639"/>
      <c r="J908" s="639"/>
      <c r="K908" s="639"/>
      <c r="L908" s="639"/>
      <c r="M908" s="639"/>
      <c r="N908" s="639"/>
      <c r="O908" s="639"/>
      <c r="P908" s="639"/>
      <c r="Q908" s="639"/>
      <c r="R908" s="639"/>
      <c r="S908" s="639"/>
      <c r="T908" s="639"/>
      <c r="U908" s="639"/>
      <c r="V908" s="639"/>
      <c r="W908" s="639"/>
      <c r="X908" s="639"/>
      <c r="Y908" s="639"/>
      <c r="Z908" s="639"/>
      <c r="AA908" s="639"/>
      <c r="AB908" s="639"/>
    </row>
    <row r="909" spans="1:28">
      <c r="A909" s="639"/>
      <c r="B909" s="639"/>
      <c r="C909" s="639"/>
      <c r="D909" s="639"/>
      <c r="E909" s="639"/>
      <c r="F909" s="639"/>
      <c r="G909" s="639"/>
      <c r="H909" s="639"/>
      <c r="I909" s="639"/>
      <c r="J909" s="639"/>
      <c r="K909" s="639"/>
      <c r="L909" s="639"/>
      <c r="M909" s="639"/>
      <c r="N909" s="639"/>
      <c r="O909" s="639"/>
      <c r="P909" s="639"/>
      <c r="Q909" s="639"/>
      <c r="R909" s="639"/>
      <c r="S909" s="639"/>
      <c r="T909" s="639"/>
      <c r="U909" s="639"/>
      <c r="V909" s="639"/>
      <c r="W909" s="639"/>
      <c r="X909" s="639"/>
      <c r="Y909" s="639"/>
      <c r="Z909" s="639"/>
      <c r="AA909" s="639"/>
      <c r="AB909" s="639"/>
    </row>
    <row r="910" spans="1:28">
      <c r="A910" s="639"/>
      <c r="B910" s="639"/>
      <c r="C910" s="639"/>
      <c r="D910" s="639"/>
      <c r="E910" s="639"/>
      <c r="F910" s="639"/>
      <c r="G910" s="639"/>
      <c r="H910" s="639"/>
      <c r="I910" s="639"/>
      <c r="J910" s="639"/>
      <c r="K910" s="639"/>
      <c r="L910" s="639"/>
      <c r="M910" s="639"/>
      <c r="N910" s="639"/>
      <c r="O910" s="639"/>
      <c r="P910" s="639"/>
      <c r="Q910" s="639"/>
      <c r="R910" s="639"/>
      <c r="S910" s="639"/>
      <c r="T910" s="639"/>
      <c r="U910" s="639"/>
      <c r="V910" s="639"/>
      <c r="W910" s="639"/>
      <c r="X910" s="639"/>
      <c r="Y910" s="639"/>
      <c r="Z910" s="639"/>
      <c r="AA910" s="639"/>
      <c r="AB910" s="639"/>
    </row>
    <row r="911" spans="1:28">
      <c r="A911" s="639"/>
      <c r="B911" s="639"/>
      <c r="C911" s="639"/>
      <c r="D911" s="639"/>
      <c r="E911" s="639"/>
      <c r="F911" s="639"/>
      <c r="G911" s="639"/>
      <c r="H911" s="639"/>
      <c r="I911" s="639"/>
      <c r="J911" s="639"/>
      <c r="K911" s="639"/>
      <c r="L911" s="639"/>
      <c r="M911" s="639"/>
      <c r="N911" s="639"/>
      <c r="O911" s="639"/>
      <c r="P911" s="639"/>
      <c r="Q911" s="639"/>
      <c r="R911" s="639"/>
      <c r="S911" s="639"/>
      <c r="T911" s="639"/>
      <c r="U911" s="639"/>
      <c r="V911" s="639"/>
      <c r="W911" s="639"/>
      <c r="X911" s="639"/>
      <c r="Y911" s="639"/>
      <c r="Z911" s="639"/>
      <c r="AA911" s="639"/>
      <c r="AB911" s="639"/>
    </row>
    <row r="912" spans="1:28">
      <c r="A912" s="639"/>
      <c r="B912" s="639"/>
      <c r="C912" s="639"/>
      <c r="D912" s="639"/>
      <c r="E912" s="639"/>
      <c r="F912" s="639"/>
      <c r="G912" s="639"/>
      <c r="H912" s="639"/>
      <c r="I912" s="639"/>
      <c r="J912" s="639"/>
      <c r="K912" s="639"/>
      <c r="L912" s="639"/>
      <c r="M912" s="639"/>
      <c r="N912" s="639"/>
      <c r="O912" s="639"/>
      <c r="P912" s="639"/>
      <c r="Q912" s="639"/>
      <c r="R912" s="639"/>
      <c r="S912" s="639"/>
      <c r="T912" s="639"/>
      <c r="U912" s="639"/>
      <c r="V912" s="639"/>
      <c r="W912" s="639"/>
      <c r="X912" s="639"/>
      <c r="Y912" s="639"/>
      <c r="Z912" s="639"/>
      <c r="AA912" s="639"/>
      <c r="AB912" s="639"/>
    </row>
    <row r="913" spans="1:28">
      <c r="A913" s="639"/>
      <c r="B913" s="639"/>
      <c r="C913" s="639"/>
      <c r="D913" s="639"/>
      <c r="E913" s="639"/>
      <c r="F913" s="639"/>
      <c r="G913" s="639"/>
      <c r="H913" s="639"/>
      <c r="I913" s="639"/>
      <c r="J913" s="639"/>
      <c r="K913" s="639"/>
      <c r="L913" s="639"/>
      <c r="M913" s="639"/>
      <c r="N913" s="639"/>
      <c r="O913" s="639"/>
      <c r="P913" s="639"/>
      <c r="Q913" s="639"/>
      <c r="R913" s="639"/>
      <c r="S913" s="639"/>
      <c r="T913" s="639"/>
      <c r="U913" s="639"/>
      <c r="V913" s="639"/>
      <c r="W913" s="639"/>
      <c r="X913" s="639"/>
      <c r="Y913" s="639"/>
      <c r="Z913" s="639"/>
      <c r="AA913" s="639"/>
      <c r="AB913" s="639"/>
    </row>
    <row r="914" spans="1:28">
      <c r="A914" s="639"/>
      <c r="B914" s="639"/>
      <c r="C914" s="639"/>
      <c r="D914" s="639"/>
      <c r="E914" s="639"/>
      <c r="F914" s="639"/>
      <c r="G914" s="639"/>
      <c r="H914" s="639"/>
      <c r="I914" s="639"/>
      <c r="J914" s="639"/>
      <c r="K914" s="639"/>
      <c r="L914" s="639"/>
      <c r="M914" s="639"/>
      <c r="N914" s="639"/>
      <c r="O914" s="639"/>
      <c r="P914" s="639"/>
      <c r="Q914" s="639"/>
      <c r="R914" s="639"/>
      <c r="S914" s="639"/>
      <c r="T914" s="639"/>
      <c r="U914" s="639"/>
      <c r="V914" s="639"/>
      <c r="W914" s="639"/>
      <c r="X914" s="639"/>
      <c r="Y914" s="639"/>
      <c r="Z914" s="639"/>
      <c r="AA914" s="639"/>
      <c r="AB914" s="639"/>
    </row>
    <row r="915" spans="1:28">
      <c r="A915" s="639"/>
      <c r="B915" s="639"/>
      <c r="C915" s="639"/>
      <c r="D915" s="639"/>
      <c r="E915" s="639"/>
      <c r="F915" s="639"/>
      <c r="G915" s="639"/>
      <c r="H915" s="639"/>
      <c r="I915" s="639"/>
      <c r="J915" s="639"/>
      <c r="K915" s="639"/>
      <c r="L915" s="639"/>
      <c r="M915" s="639"/>
      <c r="N915" s="639"/>
      <c r="O915" s="639"/>
      <c r="P915" s="639"/>
      <c r="Q915" s="639"/>
      <c r="R915" s="639"/>
      <c r="S915" s="639"/>
      <c r="T915" s="639"/>
      <c r="U915" s="639"/>
      <c r="V915" s="639"/>
      <c r="W915" s="639"/>
      <c r="X915" s="639"/>
      <c r="Y915" s="639"/>
      <c r="Z915" s="639"/>
      <c r="AA915" s="639"/>
      <c r="AB915" s="639"/>
    </row>
    <row r="916" spans="1:28">
      <c r="A916" s="639"/>
      <c r="B916" s="639"/>
      <c r="C916" s="639"/>
      <c r="D916" s="639"/>
      <c r="E916" s="639"/>
      <c r="F916" s="639"/>
      <c r="G916" s="639"/>
      <c r="H916" s="639"/>
      <c r="I916" s="639"/>
      <c r="J916" s="639"/>
      <c r="K916" s="639"/>
      <c r="L916" s="639"/>
      <c r="M916" s="639"/>
      <c r="N916" s="639"/>
      <c r="O916" s="639"/>
      <c r="P916" s="639"/>
      <c r="Q916" s="639"/>
      <c r="R916" s="639"/>
      <c r="S916" s="639"/>
      <c r="T916" s="639"/>
      <c r="U916" s="639"/>
      <c r="V916" s="639"/>
      <c r="W916" s="639"/>
      <c r="X916" s="639"/>
      <c r="Y916" s="639"/>
      <c r="Z916" s="639"/>
      <c r="AA916" s="639"/>
      <c r="AB916" s="639"/>
    </row>
    <row r="917" spans="1:28">
      <c r="A917" s="639"/>
      <c r="B917" s="639"/>
      <c r="C917" s="639"/>
      <c r="D917" s="639"/>
      <c r="E917" s="639"/>
      <c r="F917" s="639"/>
      <c r="G917" s="639"/>
      <c r="H917" s="639"/>
      <c r="I917" s="639"/>
      <c r="J917" s="639"/>
      <c r="K917" s="639"/>
      <c r="L917" s="639"/>
      <c r="M917" s="639"/>
      <c r="N917" s="639"/>
      <c r="O917" s="639"/>
      <c r="P917" s="639"/>
      <c r="Q917" s="639"/>
      <c r="R917" s="639"/>
      <c r="S917" s="639"/>
      <c r="T917" s="639"/>
      <c r="U917" s="639"/>
      <c r="V917" s="639"/>
      <c r="W917" s="639"/>
      <c r="X917" s="639"/>
      <c r="Y917" s="639"/>
      <c r="Z917" s="639"/>
      <c r="AA917" s="639"/>
      <c r="AB917" s="639"/>
    </row>
    <row r="918" spans="1:28">
      <c r="A918" s="639"/>
      <c r="B918" s="639"/>
      <c r="C918" s="639"/>
      <c r="D918" s="639"/>
      <c r="E918" s="639"/>
      <c r="F918" s="639"/>
      <c r="G918" s="639"/>
      <c r="H918" s="639"/>
      <c r="I918" s="639"/>
      <c r="J918" s="639"/>
      <c r="K918" s="639"/>
      <c r="L918" s="639"/>
      <c r="M918" s="639"/>
      <c r="N918" s="639"/>
      <c r="O918" s="639"/>
      <c r="P918" s="639"/>
      <c r="Q918" s="639"/>
      <c r="R918" s="639"/>
      <c r="S918" s="639"/>
      <c r="T918" s="639"/>
      <c r="U918" s="639"/>
      <c r="V918" s="639"/>
      <c r="W918" s="639"/>
      <c r="X918" s="639"/>
      <c r="Y918" s="639"/>
      <c r="Z918" s="639"/>
      <c r="AA918" s="639"/>
      <c r="AB918" s="639"/>
    </row>
    <row r="919" spans="1:28">
      <c r="A919" s="639"/>
      <c r="B919" s="639"/>
      <c r="C919" s="639"/>
      <c r="D919" s="639"/>
      <c r="E919" s="639"/>
      <c r="F919" s="639"/>
      <c r="G919" s="639"/>
      <c r="H919" s="639"/>
      <c r="I919" s="639"/>
      <c r="J919" s="639"/>
      <c r="K919" s="639"/>
      <c r="L919" s="639"/>
      <c r="M919" s="639"/>
      <c r="N919" s="639"/>
      <c r="O919" s="639"/>
      <c r="P919" s="639"/>
      <c r="Q919" s="639"/>
      <c r="R919" s="639"/>
      <c r="S919" s="639"/>
      <c r="T919" s="639"/>
      <c r="U919" s="639"/>
      <c r="V919" s="639"/>
      <c r="W919" s="639"/>
      <c r="X919" s="639"/>
      <c r="Y919" s="639"/>
      <c r="Z919" s="639"/>
      <c r="AA919" s="639"/>
      <c r="AB919" s="639"/>
    </row>
    <row r="920" spans="1:28">
      <c r="A920" s="639"/>
      <c r="B920" s="639"/>
      <c r="C920" s="639"/>
      <c r="D920" s="639"/>
      <c r="E920" s="639"/>
      <c r="F920" s="639"/>
      <c r="G920" s="639"/>
      <c r="H920" s="639"/>
      <c r="I920" s="639"/>
      <c r="J920" s="639"/>
      <c r="K920" s="639"/>
      <c r="L920" s="639"/>
      <c r="M920" s="639"/>
      <c r="N920" s="639"/>
      <c r="O920" s="639"/>
      <c r="P920" s="639"/>
      <c r="Q920" s="639"/>
      <c r="R920" s="639"/>
      <c r="S920" s="639"/>
      <c r="T920" s="639"/>
      <c r="U920" s="639"/>
      <c r="V920" s="639"/>
      <c r="W920" s="639"/>
      <c r="X920" s="639"/>
      <c r="Y920" s="639"/>
      <c r="Z920" s="639"/>
      <c r="AA920" s="639"/>
      <c r="AB920" s="639"/>
    </row>
    <row r="921" spans="1:28">
      <c r="A921" s="639"/>
      <c r="B921" s="639"/>
      <c r="C921" s="639"/>
      <c r="D921" s="639"/>
      <c r="E921" s="639"/>
      <c r="F921" s="639"/>
      <c r="G921" s="639"/>
      <c r="H921" s="639"/>
      <c r="I921" s="639"/>
      <c r="J921" s="639"/>
      <c r="K921" s="639"/>
      <c r="L921" s="639"/>
      <c r="M921" s="639"/>
      <c r="N921" s="639"/>
      <c r="O921" s="639"/>
      <c r="P921" s="639"/>
      <c r="Q921" s="639"/>
      <c r="R921" s="639"/>
      <c r="S921" s="639"/>
      <c r="T921" s="639"/>
      <c r="U921" s="639"/>
      <c r="V921" s="639"/>
      <c r="W921" s="639"/>
      <c r="X921" s="639"/>
      <c r="Y921" s="639"/>
      <c r="Z921" s="639"/>
      <c r="AA921" s="639"/>
      <c r="AB921" s="639"/>
    </row>
    <row r="922" spans="1:28">
      <c r="A922" s="639"/>
      <c r="B922" s="639"/>
      <c r="C922" s="639"/>
      <c r="D922" s="639"/>
      <c r="E922" s="639"/>
      <c r="F922" s="639"/>
      <c r="G922" s="639"/>
      <c r="H922" s="639"/>
      <c r="I922" s="639"/>
      <c r="J922" s="639"/>
      <c r="K922" s="639"/>
      <c r="L922" s="639"/>
      <c r="M922" s="639"/>
      <c r="N922" s="639"/>
      <c r="O922" s="639"/>
      <c r="P922" s="639"/>
      <c r="Q922" s="639"/>
      <c r="R922" s="639"/>
      <c r="S922" s="639"/>
      <c r="T922" s="639"/>
      <c r="U922" s="639"/>
      <c r="V922" s="639"/>
      <c r="W922" s="639"/>
      <c r="X922" s="639"/>
      <c r="Y922" s="639"/>
      <c r="Z922" s="639"/>
      <c r="AA922" s="639"/>
      <c r="AB922" s="639"/>
    </row>
    <row r="923" spans="1:28">
      <c r="A923" s="639"/>
      <c r="B923" s="639"/>
      <c r="C923" s="639"/>
      <c r="D923" s="639"/>
      <c r="E923" s="639"/>
      <c r="F923" s="639"/>
      <c r="G923" s="639"/>
      <c r="H923" s="639"/>
      <c r="I923" s="639"/>
      <c r="J923" s="639"/>
      <c r="K923" s="639"/>
      <c r="L923" s="639"/>
      <c r="M923" s="639"/>
      <c r="N923" s="639"/>
      <c r="O923" s="639"/>
      <c r="P923" s="639"/>
      <c r="Q923" s="639"/>
      <c r="R923" s="639"/>
      <c r="S923" s="639"/>
      <c r="T923" s="639"/>
      <c r="U923" s="639"/>
      <c r="V923" s="639"/>
      <c r="W923" s="639"/>
      <c r="X923" s="639"/>
      <c r="Y923" s="639"/>
      <c r="Z923" s="639"/>
      <c r="AA923" s="639"/>
      <c r="AB923" s="639"/>
    </row>
    <row r="924" spans="1:28">
      <c r="A924" s="639"/>
      <c r="B924" s="639"/>
      <c r="C924" s="639"/>
      <c r="D924" s="639"/>
      <c r="E924" s="639"/>
      <c r="F924" s="639"/>
      <c r="G924" s="639"/>
      <c r="H924" s="639"/>
      <c r="I924" s="639"/>
      <c r="J924" s="639"/>
      <c r="K924" s="639"/>
      <c r="L924" s="639"/>
      <c r="M924" s="639"/>
      <c r="N924" s="639"/>
      <c r="O924" s="639"/>
      <c r="P924" s="639"/>
      <c r="Q924" s="639"/>
      <c r="R924" s="639"/>
      <c r="S924" s="639"/>
      <c r="T924" s="639"/>
      <c r="U924" s="639"/>
      <c r="V924" s="639"/>
      <c r="W924" s="639"/>
      <c r="X924" s="639"/>
      <c r="Y924" s="639"/>
      <c r="Z924" s="639"/>
      <c r="AA924" s="639"/>
      <c r="AB924" s="639"/>
    </row>
    <row r="925" spans="1:28">
      <c r="A925" s="639"/>
      <c r="B925" s="639"/>
      <c r="C925" s="639"/>
      <c r="D925" s="639"/>
      <c r="E925" s="639"/>
      <c r="F925" s="639"/>
      <c r="G925" s="639"/>
      <c r="H925" s="639"/>
      <c r="I925" s="639"/>
      <c r="J925" s="639"/>
      <c r="K925" s="639"/>
      <c r="L925" s="639"/>
      <c r="M925" s="639"/>
      <c r="N925" s="639"/>
      <c r="O925" s="639"/>
      <c r="P925" s="639"/>
      <c r="Q925" s="639"/>
      <c r="R925" s="639"/>
      <c r="S925" s="639"/>
      <c r="T925" s="639"/>
      <c r="U925" s="639"/>
      <c r="V925" s="639"/>
      <c r="W925" s="639"/>
      <c r="X925" s="639"/>
      <c r="Y925" s="639"/>
      <c r="Z925" s="639"/>
      <c r="AA925" s="639"/>
      <c r="AB925" s="639"/>
    </row>
    <row r="926" spans="1:28">
      <c r="A926" s="639"/>
      <c r="B926" s="639"/>
      <c r="C926" s="639"/>
      <c r="D926" s="639"/>
      <c r="E926" s="639"/>
      <c r="F926" s="639"/>
      <c r="G926" s="639"/>
      <c r="H926" s="639"/>
      <c r="I926" s="639"/>
      <c r="J926" s="639"/>
      <c r="K926" s="639"/>
      <c r="L926" s="639"/>
      <c r="M926" s="639"/>
      <c r="N926" s="639"/>
      <c r="O926" s="639"/>
      <c r="P926" s="639"/>
      <c r="Q926" s="639"/>
      <c r="R926" s="639"/>
      <c r="S926" s="639"/>
      <c r="T926" s="639"/>
      <c r="U926" s="639"/>
      <c r="V926" s="639"/>
      <c r="W926" s="639"/>
      <c r="X926" s="639"/>
      <c r="Y926" s="639"/>
      <c r="Z926" s="639"/>
      <c r="AA926" s="639"/>
      <c r="AB926" s="639"/>
    </row>
    <row r="927" spans="1:28">
      <c r="A927" s="639"/>
      <c r="B927" s="639"/>
      <c r="C927" s="639"/>
      <c r="D927" s="639"/>
      <c r="E927" s="639"/>
      <c r="F927" s="639"/>
      <c r="G927" s="639"/>
      <c r="H927" s="639"/>
      <c r="I927" s="639"/>
      <c r="J927" s="639"/>
      <c r="K927" s="639"/>
      <c r="L927" s="639"/>
      <c r="M927" s="639"/>
      <c r="N927" s="639"/>
      <c r="O927" s="639"/>
      <c r="P927" s="639"/>
      <c r="Q927" s="639"/>
      <c r="R927" s="639"/>
      <c r="S927" s="639"/>
      <c r="T927" s="639"/>
      <c r="U927" s="639"/>
      <c r="V927" s="639"/>
      <c r="W927" s="639"/>
      <c r="X927" s="639"/>
      <c r="Y927" s="639"/>
      <c r="Z927" s="639"/>
      <c r="AA927" s="639"/>
      <c r="AB927" s="639"/>
    </row>
    <row r="928" spans="1:28">
      <c r="A928" s="639"/>
      <c r="B928" s="639"/>
      <c r="C928" s="639"/>
      <c r="D928" s="639"/>
      <c r="E928" s="639"/>
      <c r="F928" s="639"/>
      <c r="G928" s="639"/>
      <c r="H928" s="639"/>
      <c r="I928" s="639"/>
      <c r="J928" s="639"/>
      <c r="K928" s="639"/>
      <c r="L928" s="639"/>
      <c r="M928" s="639"/>
      <c r="N928" s="639"/>
      <c r="O928" s="639"/>
      <c r="P928" s="639"/>
      <c r="Q928" s="639"/>
      <c r="R928" s="639"/>
      <c r="S928" s="639"/>
      <c r="T928" s="639"/>
      <c r="U928" s="639"/>
      <c r="V928" s="639"/>
      <c r="W928" s="639"/>
      <c r="X928" s="639"/>
      <c r="Y928" s="639"/>
      <c r="Z928" s="639"/>
      <c r="AA928" s="639"/>
      <c r="AB928" s="639"/>
    </row>
    <row r="929" spans="1:28">
      <c r="A929" s="639"/>
      <c r="B929" s="639"/>
      <c r="C929" s="639"/>
      <c r="D929" s="639"/>
      <c r="E929" s="639"/>
      <c r="F929" s="639"/>
      <c r="G929" s="639"/>
      <c r="H929" s="639"/>
      <c r="I929" s="639"/>
      <c r="J929" s="639"/>
      <c r="K929" s="639"/>
      <c r="L929" s="639"/>
      <c r="M929" s="639"/>
      <c r="N929" s="639"/>
      <c r="O929" s="639"/>
      <c r="P929" s="639"/>
      <c r="Q929" s="639"/>
      <c r="R929" s="639"/>
      <c r="S929" s="639"/>
      <c r="T929" s="639"/>
      <c r="U929" s="639"/>
      <c r="V929" s="639"/>
      <c r="W929" s="639"/>
      <c r="X929" s="639"/>
      <c r="Y929" s="639"/>
      <c r="Z929" s="639"/>
      <c r="AA929" s="639"/>
      <c r="AB929" s="639"/>
    </row>
    <row r="930" spans="1:28">
      <c r="A930" s="639"/>
      <c r="B930" s="639"/>
      <c r="C930" s="639"/>
      <c r="D930" s="639"/>
      <c r="E930" s="639"/>
      <c r="F930" s="639"/>
      <c r="G930" s="639"/>
      <c r="H930" s="639"/>
      <c r="I930" s="639"/>
      <c r="J930" s="639"/>
      <c r="K930" s="639"/>
      <c r="L930" s="639"/>
      <c r="M930" s="639"/>
      <c r="N930" s="639"/>
      <c r="O930" s="639"/>
      <c r="P930" s="639"/>
      <c r="Q930" s="639"/>
      <c r="R930" s="639"/>
      <c r="S930" s="639"/>
      <c r="T930" s="639"/>
      <c r="U930" s="639"/>
      <c r="V930" s="639"/>
      <c r="W930" s="639"/>
      <c r="X930" s="639"/>
      <c r="Y930" s="639"/>
      <c r="Z930" s="639"/>
      <c r="AA930" s="639"/>
      <c r="AB930" s="639"/>
    </row>
    <row r="931" spans="1:28">
      <c r="A931" s="639"/>
      <c r="B931" s="639"/>
      <c r="C931" s="639"/>
      <c r="D931" s="639"/>
      <c r="E931" s="639"/>
      <c r="F931" s="639"/>
      <c r="G931" s="639"/>
      <c r="H931" s="639"/>
      <c r="I931" s="639"/>
      <c r="J931" s="639"/>
      <c r="K931" s="639"/>
      <c r="L931" s="639"/>
      <c r="M931" s="639"/>
      <c r="N931" s="639"/>
      <c r="O931" s="639"/>
      <c r="P931" s="639"/>
      <c r="Q931" s="639"/>
      <c r="R931" s="639"/>
      <c r="S931" s="639"/>
      <c r="T931" s="639"/>
      <c r="U931" s="639"/>
      <c r="V931" s="639"/>
      <c r="W931" s="639"/>
      <c r="X931" s="639"/>
      <c r="Y931" s="639"/>
      <c r="Z931" s="639"/>
      <c r="AA931" s="639"/>
      <c r="AB931" s="639"/>
    </row>
    <row r="932" spans="1:28">
      <c r="A932" s="639"/>
      <c r="B932" s="639"/>
      <c r="C932" s="639"/>
      <c r="D932" s="639"/>
      <c r="E932" s="639"/>
      <c r="F932" s="639"/>
      <c r="G932" s="639"/>
      <c r="H932" s="639"/>
      <c r="I932" s="639"/>
      <c r="J932" s="639"/>
      <c r="K932" s="639"/>
      <c r="L932" s="639"/>
      <c r="M932" s="639"/>
      <c r="N932" s="639"/>
      <c r="O932" s="639"/>
      <c r="P932" s="639"/>
      <c r="Q932" s="639"/>
      <c r="R932" s="639"/>
      <c r="S932" s="639"/>
      <c r="T932" s="639"/>
      <c r="U932" s="639"/>
      <c r="V932" s="639"/>
      <c r="W932" s="639"/>
      <c r="X932" s="639"/>
      <c r="Y932" s="639"/>
      <c r="Z932" s="639"/>
      <c r="AA932" s="639"/>
      <c r="AB932" s="639"/>
    </row>
    <row r="933" spans="1:28">
      <c r="A933" s="639"/>
      <c r="B933" s="639"/>
      <c r="C933" s="639"/>
      <c r="D933" s="639"/>
      <c r="E933" s="639"/>
      <c r="F933" s="639"/>
      <c r="G933" s="639"/>
      <c r="H933" s="639"/>
      <c r="I933" s="639"/>
      <c r="J933" s="639"/>
      <c r="K933" s="639"/>
      <c r="L933" s="639"/>
      <c r="M933" s="639"/>
      <c r="N933" s="639"/>
      <c r="O933" s="639"/>
      <c r="P933" s="639"/>
      <c r="Q933" s="639"/>
      <c r="R933" s="639"/>
      <c r="S933" s="639"/>
      <c r="T933" s="639"/>
      <c r="U933" s="639"/>
      <c r="V933" s="639"/>
      <c r="W933" s="639"/>
      <c r="X933" s="639"/>
      <c r="Y933" s="639"/>
      <c r="Z933" s="639"/>
      <c r="AA933" s="639"/>
      <c r="AB933" s="639"/>
    </row>
    <row r="934" spans="1:28">
      <c r="A934" s="639"/>
      <c r="B934" s="639"/>
      <c r="C934" s="639"/>
      <c r="D934" s="639"/>
      <c r="E934" s="639"/>
      <c r="F934" s="639"/>
      <c r="G934" s="639"/>
      <c r="H934" s="639"/>
      <c r="I934" s="639"/>
      <c r="J934" s="639"/>
      <c r="K934" s="639"/>
      <c r="L934" s="639"/>
      <c r="M934" s="639"/>
      <c r="N934" s="639"/>
      <c r="O934" s="639"/>
      <c r="P934" s="639"/>
      <c r="Q934" s="639"/>
      <c r="R934" s="639"/>
      <c r="S934" s="639"/>
      <c r="T934" s="639"/>
      <c r="U934" s="639"/>
      <c r="V934" s="639"/>
      <c r="W934" s="639"/>
      <c r="X934" s="639"/>
      <c r="Y934" s="639"/>
      <c r="Z934" s="639"/>
      <c r="AA934" s="639"/>
      <c r="AB934" s="639"/>
    </row>
    <row r="935" spans="1:28">
      <c r="A935" s="639"/>
      <c r="B935" s="639"/>
      <c r="C935" s="639"/>
      <c r="D935" s="639"/>
      <c r="E935" s="639"/>
      <c r="F935" s="639"/>
      <c r="G935" s="639"/>
      <c r="H935" s="639"/>
      <c r="I935" s="639"/>
      <c r="J935" s="639"/>
      <c r="K935" s="639"/>
      <c r="L935" s="639"/>
      <c r="M935" s="639"/>
      <c r="N935" s="639"/>
      <c r="O935" s="639"/>
      <c r="P935" s="639"/>
      <c r="Q935" s="639"/>
      <c r="R935" s="639"/>
      <c r="S935" s="639"/>
      <c r="T935" s="639"/>
      <c r="U935" s="639"/>
      <c r="V935" s="639"/>
      <c r="W935" s="639"/>
      <c r="X935" s="639"/>
      <c r="Y935" s="639"/>
      <c r="Z935" s="639"/>
      <c r="AA935" s="639"/>
      <c r="AB935" s="639"/>
    </row>
    <row r="936" spans="1:28">
      <c r="A936" s="639"/>
      <c r="B936" s="639"/>
      <c r="C936" s="639"/>
      <c r="D936" s="639"/>
      <c r="E936" s="639"/>
      <c r="F936" s="639"/>
      <c r="G936" s="639"/>
      <c r="H936" s="639"/>
      <c r="I936" s="639"/>
      <c r="J936" s="639"/>
      <c r="K936" s="639"/>
      <c r="L936" s="639"/>
      <c r="M936" s="639"/>
      <c r="N936" s="639"/>
      <c r="O936" s="639"/>
      <c r="P936" s="639"/>
      <c r="Q936" s="639"/>
      <c r="R936" s="639"/>
      <c r="S936" s="639"/>
      <c r="T936" s="639"/>
      <c r="U936" s="639"/>
      <c r="V936" s="639"/>
      <c r="W936" s="639"/>
      <c r="X936" s="639"/>
      <c r="Y936" s="639"/>
      <c r="Z936" s="639"/>
      <c r="AA936" s="639"/>
      <c r="AB936" s="639"/>
    </row>
    <row r="937" spans="1:28">
      <c r="A937" s="639"/>
      <c r="B937" s="639"/>
      <c r="C937" s="639"/>
      <c r="D937" s="639"/>
      <c r="E937" s="639"/>
      <c r="F937" s="639"/>
      <c r="G937" s="639"/>
      <c r="H937" s="639"/>
      <c r="I937" s="639"/>
      <c r="J937" s="639"/>
      <c r="K937" s="639"/>
      <c r="L937" s="639"/>
      <c r="M937" s="639"/>
      <c r="N937" s="639"/>
      <c r="O937" s="639"/>
      <c r="P937" s="639"/>
      <c r="Q937" s="639"/>
      <c r="R937" s="639"/>
      <c r="S937" s="639"/>
      <c r="T937" s="639"/>
      <c r="U937" s="639"/>
      <c r="V937" s="639"/>
      <c r="W937" s="639"/>
      <c r="X937" s="639"/>
      <c r="Y937" s="639"/>
      <c r="Z937" s="639"/>
      <c r="AA937" s="639"/>
      <c r="AB937" s="639"/>
    </row>
    <row r="938" spans="1:28">
      <c r="A938" s="639"/>
      <c r="B938" s="639"/>
      <c r="C938" s="639"/>
      <c r="D938" s="639"/>
      <c r="E938" s="639"/>
      <c r="F938" s="639"/>
      <c r="G938" s="639"/>
      <c r="H938" s="639"/>
      <c r="I938" s="639"/>
      <c r="J938" s="639"/>
      <c r="K938" s="639"/>
      <c r="L938" s="639"/>
      <c r="M938" s="639"/>
      <c r="N938" s="639"/>
      <c r="O938" s="639"/>
      <c r="P938" s="639"/>
      <c r="Q938" s="639"/>
      <c r="R938" s="639"/>
      <c r="S938" s="639"/>
      <c r="T938" s="639"/>
      <c r="U938" s="639"/>
      <c r="V938" s="639"/>
      <c r="W938" s="639"/>
      <c r="X938" s="639"/>
      <c r="Y938" s="639"/>
      <c r="Z938" s="639"/>
      <c r="AA938" s="639"/>
      <c r="AB938" s="639"/>
    </row>
    <row r="939" spans="1:28">
      <c r="A939" s="639"/>
      <c r="B939" s="639"/>
      <c r="C939" s="639"/>
      <c r="D939" s="639"/>
      <c r="E939" s="639"/>
      <c r="F939" s="639"/>
      <c r="G939" s="639"/>
      <c r="H939" s="639"/>
      <c r="I939" s="639"/>
      <c r="J939" s="639"/>
      <c r="K939" s="639"/>
      <c r="L939" s="639"/>
      <c r="M939" s="639"/>
      <c r="N939" s="639"/>
      <c r="O939" s="639"/>
      <c r="P939" s="639"/>
      <c r="Q939" s="639"/>
      <c r="R939" s="639"/>
      <c r="S939" s="639"/>
      <c r="T939" s="639"/>
      <c r="U939" s="639"/>
      <c r="V939" s="639"/>
      <c r="W939" s="639"/>
      <c r="X939" s="639"/>
      <c r="Y939" s="639"/>
      <c r="Z939" s="639"/>
      <c r="AA939" s="639"/>
      <c r="AB939" s="639"/>
    </row>
    <row r="940" spans="1:28">
      <c r="A940" s="639"/>
      <c r="B940" s="639"/>
      <c r="C940" s="639"/>
      <c r="D940" s="639"/>
      <c r="E940" s="639"/>
      <c r="F940" s="639"/>
      <c r="G940" s="639"/>
      <c r="H940" s="639"/>
      <c r="I940" s="639"/>
      <c r="J940" s="639"/>
      <c r="K940" s="639"/>
      <c r="L940" s="639"/>
      <c r="M940" s="639"/>
      <c r="N940" s="639"/>
      <c r="O940" s="639"/>
      <c r="P940" s="639"/>
      <c r="Q940" s="639"/>
      <c r="R940" s="639"/>
      <c r="S940" s="639"/>
      <c r="T940" s="639"/>
      <c r="U940" s="639"/>
      <c r="V940" s="639"/>
      <c r="W940" s="639"/>
      <c r="X940" s="639"/>
      <c r="Y940" s="639"/>
      <c r="Z940" s="639"/>
      <c r="AA940" s="639"/>
      <c r="AB940" s="639"/>
    </row>
    <row r="941" spans="1:28">
      <c r="A941" s="639"/>
      <c r="B941" s="639"/>
      <c r="C941" s="639"/>
      <c r="D941" s="639"/>
      <c r="E941" s="639"/>
      <c r="F941" s="639"/>
      <c r="G941" s="639"/>
      <c r="H941" s="639"/>
      <c r="I941" s="639"/>
      <c r="J941" s="639"/>
      <c r="K941" s="639"/>
      <c r="L941" s="639"/>
      <c r="M941" s="639"/>
      <c r="N941" s="639"/>
      <c r="O941" s="639"/>
      <c r="P941" s="639"/>
      <c r="Q941" s="639"/>
      <c r="R941" s="639"/>
      <c r="S941" s="639"/>
      <c r="T941" s="639"/>
      <c r="U941" s="639"/>
      <c r="V941" s="639"/>
      <c r="W941" s="639"/>
      <c r="X941" s="639"/>
      <c r="Y941" s="639"/>
      <c r="Z941" s="639"/>
      <c r="AA941" s="639"/>
      <c r="AB941" s="639"/>
    </row>
    <row r="942" spans="1:28">
      <c r="A942" s="639"/>
      <c r="B942" s="639"/>
      <c r="C942" s="639"/>
      <c r="D942" s="639"/>
      <c r="E942" s="639"/>
      <c r="F942" s="639"/>
      <c r="G942" s="639"/>
      <c r="H942" s="639"/>
      <c r="I942" s="639"/>
      <c r="J942" s="639"/>
      <c r="K942" s="639"/>
      <c r="L942" s="639"/>
      <c r="M942" s="639"/>
      <c r="N942" s="639"/>
      <c r="O942" s="639"/>
      <c r="P942" s="639"/>
      <c r="Q942" s="639"/>
      <c r="R942" s="639"/>
      <c r="S942" s="639"/>
      <c r="T942" s="639"/>
      <c r="U942" s="639"/>
      <c r="V942" s="639"/>
      <c r="W942" s="639"/>
      <c r="X942" s="639"/>
      <c r="Y942" s="639"/>
      <c r="Z942" s="639"/>
      <c r="AA942" s="639"/>
      <c r="AB942" s="639"/>
    </row>
    <row r="943" spans="1:28">
      <c r="A943" s="639"/>
      <c r="B943" s="639"/>
      <c r="C943" s="639"/>
      <c r="D943" s="639"/>
      <c r="E943" s="639"/>
      <c r="F943" s="639"/>
      <c r="G943" s="639"/>
      <c r="H943" s="639"/>
      <c r="I943" s="639"/>
      <c r="J943" s="639"/>
      <c r="K943" s="639"/>
      <c r="L943" s="639"/>
      <c r="M943" s="639"/>
      <c r="N943" s="639"/>
      <c r="O943" s="639"/>
      <c r="P943" s="639"/>
      <c r="Q943" s="639"/>
      <c r="R943" s="639"/>
      <c r="S943" s="639"/>
      <c r="T943" s="639"/>
      <c r="U943" s="639"/>
      <c r="V943" s="639"/>
      <c r="W943" s="639"/>
      <c r="X943" s="639"/>
      <c r="Y943" s="639"/>
      <c r="Z943" s="639"/>
      <c r="AA943" s="639"/>
      <c r="AB943" s="639"/>
    </row>
    <row r="944" spans="1:28">
      <c r="A944" s="639"/>
      <c r="B944" s="639"/>
      <c r="C944" s="639"/>
      <c r="D944" s="639"/>
      <c r="E944" s="639"/>
      <c r="F944" s="639"/>
      <c r="G944" s="639"/>
      <c r="H944" s="639"/>
      <c r="I944" s="639"/>
      <c r="J944" s="639"/>
      <c r="K944" s="639"/>
      <c r="L944" s="639"/>
      <c r="M944" s="639"/>
      <c r="N944" s="639"/>
      <c r="O944" s="639"/>
      <c r="P944" s="639"/>
      <c r="Q944" s="639"/>
      <c r="R944" s="639"/>
      <c r="S944" s="639"/>
      <c r="T944" s="639"/>
      <c r="U944" s="639"/>
      <c r="V944" s="639"/>
      <c r="W944" s="639"/>
      <c r="X944" s="639"/>
      <c r="Y944" s="639"/>
      <c r="Z944" s="639"/>
      <c r="AA944" s="639"/>
      <c r="AB944" s="639"/>
    </row>
    <row r="945" spans="1:28">
      <c r="A945" s="639"/>
      <c r="B945" s="639"/>
      <c r="C945" s="639"/>
      <c r="D945" s="639"/>
      <c r="E945" s="639"/>
      <c r="F945" s="639"/>
      <c r="G945" s="639"/>
      <c r="H945" s="639"/>
      <c r="I945" s="639"/>
      <c r="J945" s="639"/>
      <c r="K945" s="639"/>
      <c r="L945" s="639"/>
      <c r="M945" s="639"/>
      <c r="N945" s="639"/>
      <c r="O945" s="639"/>
      <c r="P945" s="639"/>
      <c r="Q945" s="639"/>
      <c r="R945" s="639"/>
      <c r="S945" s="639"/>
      <c r="T945" s="639"/>
      <c r="U945" s="639"/>
      <c r="V945" s="639"/>
      <c r="W945" s="639"/>
      <c r="X945" s="639"/>
      <c r="Y945" s="639"/>
      <c r="Z945" s="639"/>
      <c r="AA945" s="639"/>
      <c r="AB945" s="639"/>
    </row>
    <row r="946" spans="1:28">
      <c r="A946" s="639"/>
      <c r="B946" s="639"/>
      <c r="C946" s="639"/>
      <c r="D946" s="639"/>
      <c r="E946" s="639"/>
      <c r="F946" s="639"/>
      <c r="G946" s="639"/>
      <c r="H946" s="639"/>
      <c r="I946" s="639"/>
      <c r="J946" s="639"/>
      <c r="K946" s="639"/>
      <c r="L946" s="639"/>
      <c r="M946" s="639"/>
      <c r="N946" s="639"/>
      <c r="O946" s="639"/>
      <c r="P946" s="639"/>
      <c r="Q946" s="639"/>
      <c r="R946" s="639"/>
      <c r="S946" s="639"/>
      <c r="T946" s="639"/>
      <c r="U946" s="639"/>
      <c r="V946" s="639"/>
      <c r="W946" s="639"/>
      <c r="X946" s="639"/>
      <c r="Y946" s="639"/>
      <c r="Z946" s="639"/>
      <c r="AA946" s="639"/>
      <c r="AB946" s="639"/>
    </row>
    <row r="947" spans="1:28">
      <c r="A947" s="639"/>
      <c r="B947" s="639"/>
      <c r="C947" s="639"/>
      <c r="D947" s="639"/>
      <c r="E947" s="639"/>
      <c r="F947" s="639"/>
      <c r="G947" s="639"/>
      <c r="H947" s="639"/>
      <c r="I947" s="639"/>
      <c r="J947" s="639"/>
      <c r="K947" s="639"/>
      <c r="L947" s="639"/>
      <c r="M947" s="639"/>
      <c r="N947" s="639"/>
      <c r="O947" s="639"/>
      <c r="P947" s="639"/>
      <c r="Q947" s="639"/>
      <c r="R947" s="639"/>
      <c r="S947" s="639"/>
      <c r="T947" s="639"/>
      <c r="U947" s="639"/>
      <c r="V947" s="639"/>
      <c r="W947" s="639"/>
      <c r="X947" s="639"/>
      <c r="Y947" s="639"/>
      <c r="Z947" s="639"/>
      <c r="AA947" s="639"/>
      <c r="AB947" s="639"/>
    </row>
    <row r="948" spans="1:28">
      <c r="A948" s="639"/>
      <c r="B948" s="639"/>
      <c r="C948" s="639"/>
      <c r="D948" s="639"/>
      <c r="E948" s="639"/>
      <c r="F948" s="639"/>
      <c r="G948" s="639"/>
      <c r="H948" s="639"/>
      <c r="I948" s="639"/>
      <c r="J948" s="639"/>
      <c r="K948" s="639"/>
      <c r="L948" s="639"/>
      <c r="M948" s="639"/>
      <c r="N948" s="639"/>
      <c r="O948" s="639"/>
      <c r="P948" s="639"/>
      <c r="Q948" s="639"/>
      <c r="R948" s="639"/>
      <c r="S948" s="639"/>
      <c r="T948" s="639"/>
      <c r="U948" s="639"/>
      <c r="V948" s="639"/>
      <c r="W948" s="639"/>
      <c r="X948" s="639"/>
      <c r="Y948" s="639"/>
      <c r="Z948" s="639"/>
      <c r="AA948" s="639"/>
      <c r="AB948" s="639"/>
    </row>
    <row r="949" spans="1:28">
      <c r="A949" s="639"/>
      <c r="B949" s="639"/>
      <c r="C949" s="639"/>
      <c r="D949" s="639"/>
      <c r="E949" s="639"/>
      <c r="F949" s="639"/>
      <c r="G949" s="639"/>
      <c r="H949" s="639"/>
      <c r="I949" s="639"/>
      <c r="J949" s="639"/>
      <c r="K949" s="639"/>
      <c r="L949" s="639"/>
      <c r="M949" s="639"/>
      <c r="N949" s="639"/>
      <c r="O949" s="639"/>
      <c r="P949" s="639"/>
      <c r="Q949" s="639"/>
      <c r="R949" s="639"/>
      <c r="S949" s="639"/>
      <c r="T949" s="639"/>
      <c r="U949" s="639"/>
      <c r="V949" s="639"/>
      <c r="W949" s="639"/>
      <c r="X949" s="639"/>
      <c r="Y949" s="639"/>
      <c r="Z949" s="639"/>
      <c r="AA949" s="639"/>
      <c r="AB949" s="639"/>
    </row>
    <row r="950" spans="1:28">
      <c r="A950" s="639"/>
      <c r="B950" s="639"/>
      <c r="C950" s="639"/>
      <c r="D950" s="639"/>
      <c r="E950" s="639"/>
      <c r="F950" s="639"/>
      <c r="G950" s="639"/>
      <c r="H950" s="639"/>
      <c r="I950" s="639"/>
      <c r="J950" s="639"/>
      <c r="K950" s="639"/>
      <c r="L950" s="639"/>
      <c r="M950" s="639"/>
      <c r="N950" s="639"/>
      <c r="O950" s="639"/>
      <c r="P950" s="639"/>
      <c r="Q950" s="639"/>
      <c r="R950" s="639"/>
      <c r="S950" s="639"/>
      <c r="T950" s="639"/>
      <c r="U950" s="639"/>
      <c r="V950" s="639"/>
      <c r="W950" s="639"/>
      <c r="X950" s="639"/>
      <c r="Y950" s="639"/>
      <c r="Z950" s="639"/>
      <c r="AA950" s="639"/>
      <c r="AB950" s="639"/>
    </row>
    <row r="951" spans="1:28">
      <c r="A951" s="639"/>
      <c r="B951" s="639"/>
      <c r="C951" s="639"/>
      <c r="D951" s="639"/>
      <c r="E951" s="639"/>
      <c r="F951" s="639"/>
      <c r="G951" s="639"/>
      <c r="H951" s="639"/>
      <c r="I951" s="639"/>
      <c r="J951" s="639"/>
      <c r="K951" s="639"/>
      <c r="L951" s="639"/>
      <c r="M951" s="639"/>
      <c r="N951" s="639"/>
      <c r="O951" s="639"/>
      <c r="P951" s="639"/>
      <c r="Q951" s="639"/>
      <c r="R951" s="639"/>
      <c r="S951" s="639"/>
      <c r="T951" s="639"/>
      <c r="U951" s="639"/>
      <c r="V951" s="639"/>
      <c r="W951" s="639"/>
      <c r="X951" s="639"/>
      <c r="Y951" s="639"/>
      <c r="Z951" s="639"/>
      <c r="AA951" s="639"/>
      <c r="AB951" s="639"/>
    </row>
    <row r="952" spans="1:28">
      <c r="A952" s="639"/>
      <c r="B952" s="639"/>
      <c r="C952" s="639"/>
      <c r="D952" s="639"/>
      <c r="E952" s="639"/>
      <c r="F952" s="639"/>
      <c r="G952" s="639"/>
      <c r="H952" s="639"/>
      <c r="I952" s="639"/>
      <c r="J952" s="639"/>
      <c r="K952" s="639"/>
      <c r="L952" s="639"/>
      <c r="M952" s="639"/>
      <c r="N952" s="639"/>
      <c r="O952" s="639"/>
      <c r="P952" s="639"/>
      <c r="Q952" s="639"/>
      <c r="R952" s="639"/>
      <c r="S952" s="639"/>
      <c r="T952" s="639"/>
      <c r="U952" s="639"/>
      <c r="V952" s="639"/>
      <c r="W952" s="639"/>
      <c r="X952" s="639"/>
      <c r="Y952" s="639"/>
      <c r="Z952" s="639"/>
      <c r="AA952" s="639"/>
      <c r="AB952" s="639"/>
    </row>
    <row r="953" spans="1:28">
      <c r="A953" s="639"/>
      <c r="B953" s="639"/>
      <c r="C953" s="639"/>
      <c r="D953" s="639"/>
      <c r="E953" s="639"/>
      <c r="F953" s="639"/>
      <c r="G953" s="639"/>
      <c r="H953" s="639"/>
      <c r="I953" s="639"/>
      <c r="J953" s="639"/>
      <c r="K953" s="639"/>
      <c r="L953" s="639"/>
      <c r="M953" s="639"/>
      <c r="N953" s="639"/>
      <c r="O953" s="639"/>
      <c r="P953" s="639"/>
      <c r="Q953" s="639"/>
      <c r="R953" s="639"/>
      <c r="S953" s="639"/>
      <c r="T953" s="639"/>
      <c r="U953" s="639"/>
      <c r="V953" s="639"/>
      <c r="W953" s="639"/>
      <c r="X953" s="639"/>
      <c r="Y953" s="639"/>
      <c r="Z953" s="639"/>
      <c r="AA953" s="639"/>
      <c r="AB953" s="639"/>
    </row>
    <row r="954" spans="1:28">
      <c r="A954" s="639"/>
      <c r="B954" s="639"/>
      <c r="C954" s="639"/>
      <c r="D954" s="639"/>
      <c r="E954" s="639"/>
      <c r="F954" s="639"/>
      <c r="G954" s="639"/>
      <c r="H954" s="639"/>
      <c r="I954" s="639"/>
      <c r="J954" s="639"/>
      <c r="K954" s="639"/>
      <c r="L954" s="639"/>
      <c r="M954" s="639"/>
      <c r="N954" s="639"/>
      <c r="O954" s="639"/>
      <c r="P954" s="639"/>
      <c r="Q954" s="639"/>
      <c r="R954" s="639"/>
      <c r="S954" s="639"/>
      <c r="T954" s="639"/>
      <c r="U954" s="639"/>
      <c r="V954" s="639"/>
      <c r="W954" s="639"/>
      <c r="X954" s="639"/>
      <c r="Y954" s="639"/>
      <c r="Z954" s="639"/>
      <c r="AA954" s="639"/>
      <c r="AB954" s="639"/>
    </row>
    <row r="955" spans="1:28">
      <c r="A955" s="639"/>
      <c r="B955" s="639"/>
      <c r="C955" s="639"/>
      <c r="D955" s="639"/>
      <c r="E955" s="639"/>
      <c r="F955" s="639"/>
      <c r="G955" s="639"/>
      <c r="H955" s="639"/>
      <c r="I955" s="639"/>
      <c r="J955" s="639"/>
      <c r="K955" s="639"/>
      <c r="L955" s="639"/>
      <c r="M955" s="639"/>
      <c r="N955" s="639"/>
      <c r="O955" s="639"/>
      <c r="P955" s="639"/>
      <c r="Q955" s="639"/>
      <c r="R955" s="639"/>
      <c r="S955" s="639"/>
      <c r="T955" s="639"/>
      <c r="U955" s="639"/>
      <c r="V955" s="639"/>
      <c r="W955" s="639"/>
      <c r="X955" s="639"/>
      <c r="Y955" s="639"/>
      <c r="Z955" s="639"/>
      <c r="AA955" s="639"/>
      <c r="AB955" s="639"/>
    </row>
    <row r="956" spans="1:28">
      <c r="A956" s="639"/>
      <c r="B956" s="639"/>
      <c r="C956" s="639"/>
      <c r="D956" s="639"/>
      <c r="E956" s="639"/>
      <c r="F956" s="639"/>
      <c r="G956" s="639"/>
      <c r="H956" s="639"/>
      <c r="I956" s="639"/>
      <c r="J956" s="639"/>
      <c r="K956" s="639"/>
      <c r="L956" s="639"/>
      <c r="M956" s="639"/>
      <c r="N956" s="639"/>
      <c r="O956" s="639"/>
      <c r="P956" s="639"/>
      <c r="Q956" s="639"/>
      <c r="R956" s="639"/>
      <c r="S956" s="639"/>
      <c r="T956" s="639"/>
      <c r="U956" s="639"/>
      <c r="V956" s="639"/>
      <c r="W956" s="639"/>
      <c r="X956" s="639"/>
      <c r="Y956" s="639"/>
      <c r="Z956" s="639"/>
      <c r="AA956" s="639"/>
      <c r="AB956" s="639"/>
    </row>
    <row r="957" spans="1:28">
      <c r="A957" s="639"/>
      <c r="B957" s="639"/>
      <c r="C957" s="639"/>
      <c r="D957" s="639"/>
      <c r="E957" s="639"/>
      <c r="F957" s="639"/>
      <c r="G957" s="639"/>
      <c r="H957" s="639"/>
      <c r="I957" s="639"/>
      <c r="J957" s="639"/>
      <c r="K957" s="639"/>
      <c r="L957" s="639"/>
      <c r="M957" s="639"/>
      <c r="N957" s="639"/>
      <c r="O957" s="639"/>
      <c r="P957" s="639"/>
      <c r="Q957" s="639"/>
      <c r="R957" s="639"/>
      <c r="S957" s="639"/>
      <c r="T957" s="639"/>
      <c r="U957" s="639"/>
      <c r="V957" s="639"/>
      <c r="W957" s="639"/>
      <c r="X957" s="639"/>
      <c r="Y957" s="639"/>
      <c r="Z957" s="639"/>
      <c r="AA957" s="639"/>
      <c r="AB957" s="639"/>
    </row>
    <row r="958" spans="1:28">
      <c r="A958" s="639"/>
      <c r="B958" s="639"/>
      <c r="C958" s="639"/>
      <c r="D958" s="639"/>
      <c r="E958" s="639"/>
      <c r="F958" s="639"/>
      <c r="G958" s="639"/>
      <c r="H958" s="639"/>
      <c r="I958" s="639"/>
      <c r="J958" s="639"/>
      <c r="K958" s="639"/>
      <c r="L958" s="639"/>
      <c r="M958" s="639"/>
      <c r="N958" s="639"/>
      <c r="O958" s="639"/>
      <c r="P958" s="639"/>
      <c r="Q958" s="639"/>
      <c r="R958" s="639"/>
      <c r="S958" s="639"/>
      <c r="T958" s="639"/>
      <c r="U958" s="639"/>
      <c r="V958" s="639"/>
      <c r="W958" s="639"/>
      <c r="X958" s="639"/>
      <c r="Y958" s="639"/>
      <c r="Z958" s="639"/>
      <c r="AA958" s="639"/>
      <c r="AB958" s="639"/>
    </row>
    <row r="959" spans="1:28">
      <c r="A959" s="639"/>
      <c r="B959" s="639"/>
      <c r="C959" s="639"/>
      <c r="D959" s="639"/>
      <c r="E959" s="639"/>
      <c r="F959" s="639"/>
      <c r="G959" s="639"/>
      <c r="H959" s="639"/>
      <c r="I959" s="639"/>
      <c r="J959" s="639"/>
      <c r="K959" s="639"/>
      <c r="L959" s="639"/>
      <c r="M959" s="639"/>
      <c r="N959" s="639"/>
      <c r="O959" s="639"/>
      <c r="P959" s="639"/>
      <c r="Q959" s="639"/>
      <c r="R959" s="639"/>
      <c r="S959" s="639"/>
      <c r="T959" s="639"/>
      <c r="U959" s="639"/>
      <c r="V959" s="639"/>
      <c r="W959" s="639"/>
      <c r="X959" s="639"/>
      <c r="Y959" s="639"/>
      <c r="Z959" s="639"/>
      <c r="AA959" s="639"/>
      <c r="AB959" s="639"/>
    </row>
    <row r="960" spans="1:28">
      <c r="A960" s="639"/>
      <c r="B960" s="639"/>
      <c r="C960" s="639"/>
      <c r="D960" s="639"/>
      <c r="E960" s="639"/>
      <c r="F960" s="639"/>
      <c r="G960" s="639"/>
      <c r="H960" s="639"/>
      <c r="I960" s="639"/>
      <c r="J960" s="639"/>
      <c r="K960" s="639"/>
      <c r="L960" s="639"/>
      <c r="M960" s="639"/>
      <c r="N960" s="639"/>
      <c r="O960" s="639"/>
      <c r="P960" s="639"/>
      <c r="Q960" s="639"/>
      <c r="R960" s="639"/>
      <c r="S960" s="639"/>
      <c r="T960" s="639"/>
      <c r="U960" s="639"/>
      <c r="V960" s="639"/>
      <c r="W960" s="639"/>
      <c r="X960" s="639"/>
      <c r="Y960" s="639"/>
      <c r="Z960" s="639"/>
      <c r="AA960" s="639"/>
      <c r="AB960" s="639"/>
    </row>
    <row r="961" spans="1:28">
      <c r="A961" s="639"/>
      <c r="B961" s="639"/>
      <c r="C961" s="639"/>
      <c r="D961" s="639"/>
      <c r="E961" s="639"/>
      <c r="F961" s="639"/>
      <c r="G961" s="639"/>
      <c r="H961" s="639"/>
      <c r="I961" s="639"/>
      <c r="J961" s="639"/>
      <c r="K961" s="639"/>
      <c r="L961" s="639"/>
      <c r="M961" s="639"/>
      <c r="N961" s="639"/>
      <c r="O961" s="639"/>
      <c r="P961" s="639"/>
      <c r="Q961" s="639"/>
      <c r="R961" s="639"/>
      <c r="S961" s="639"/>
      <c r="T961" s="639"/>
      <c r="U961" s="639"/>
      <c r="V961" s="639"/>
      <c r="W961" s="639"/>
      <c r="X961" s="639"/>
      <c r="Y961" s="639"/>
      <c r="Z961" s="639"/>
      <c r="AA961" s="639"/>
      <c r="AB961" s="639"/>
    </row>
    <row r="962" spans="1:28">
      <c r="A962" s="639"/>
      <c r="B962" s="639"/>
      <c r="C962" s="639"/>
      <c r="D962" s="639"/>
      <c r="E962" s="639"/>
      <c r="F962" s="639"/>
      <c r="G962" s="639"/>
      <c r="H962" s="639"/>
      <c r="I962" s="639"/>
      <c r="J962" s="639"/>
      <c r="K962" s="639"/>
      <c r="L962" s="639"/>
      <c r="M962" s="639"/>
      <c r="N962" s="639"/>
      <c r="O962" s="639"/>
      <c r="P962" s="639"/>
      <c r="Q962" s="639"/>
      <c r="R962" s="639"/>
      <c r="S962" s="639"/>
      <c r="T962" s="639"/>
      <c r="U962" s="639"/>
      <c r="V962" s="639"/>
      <c r="W962" s="639"/>
      <c r="X962" s="639"/>
      <c r="Y962" s="639"/>
      <c r="Z962" s="639"/>
      <c r="AA962" s="639"/>
      <c r="AB962" s="639"/>
    </row>
    <row r="963" spans="1:28">
      <c r="A963" s="639"/>
      <c r="B963" s="639"/>
      <c r="C963" s="639"/>
      <c r="D963" s="639"/>
      <c r="E963" s="639"/>
      <c r="F963" s="639"/>
      <c r="G963" s="639"/>
      <c r="H963" s="639"/>
      <c r="I963" s="639"/>
      <c r="J963" s="639"/>
      <c r="K963" s="639"/>
      <c r="L963" s="639"/>
      <c r="M963" s="639"/>
      <c r="N963" s="639"/>
      <c r="O963" s="639"/>
      <c r="P963" s="639"/>
      <c r="Q963" s="639"/>
      <c r="R963" s="639"/>
      <c r="S963" s="639"/>
      <c r="T963" s="639"/>
      <c r="U963" s="639"/>
      <c r="V963" s="639"/>
      <c r="W963" s="639"/>
      <c r="X963" s="639"/>
      <c r="Y963" s="639"/>
      <c r="Z963" s="639"/>
      <c r="AA963" s="639"/>
      <c r="AB963" s="639"/>
    </row>
    <row r="964" spans="1:28">
      <c r="A964" s="639"/>
      <c r="B964" s="639"/>
      <c r="C964" s="639"/>
      <c r="D964" s="639"/>
      <c r="E964" s="639"/>
      <c r="F964" s="639"/>
      <c r="G964" s="639"/>
      <c r="H964" s="639"/>
      <c r="I964" s="639"/>
      <c r="J964" s="639"/>
      <c r="K964" s="639"/>
      <c r="L964" s="639"/>
      <c r="M964" s="639"/>
      <c r="N964" s="639"/>
      <c r="O964" s="639"/>
      <c r="P964" s="639"/>
      <c r="Q964" s="639"/>
      <c r="R964" s="639"/>
      <c r="S964" s="639"/>
      <c r="T964" s="639"/>
      <c r="U964" s="639"/>
      <c r="V964" s="639"/>
      <c r="W964" s="639"/>
      <c r="X964" s="639"/>
      <c r="Y964" s="639"/>
      <c r="Z964" s="639"/>
      <c r="AA964" s="639"/>
      <c r="AB964" s="639"/>
    </row>
    <row r="965" spans="1:28">
      <c r="A965" s="639"/>
      <c r="B965" s="639"/>
      <c r="C965" s="639"/>
      <c r="D965" s="639"/>
      <c r="E965" s="639"/>
      <c r="F965" s="639"/>
      <c r="G965" s="639"/>
      <c r="H965" s="639"/>
      <c r="I965" s="639"/>
      <c r="J965" s="639"/>
      <c r="K965" s="639"/>
      <c r="L965" s="639"/>
      <c r="M965" s="639"/>
      <c r="N965" s="639"/>
      <c r="O965" s="639"/>
      <c r="P965" s="639"/>
      <c r="Q965" s="639"/>
      <c r="R965" s="639"/>
      <c r="S965" s="639"/>
      <c r="T965" s="639"/>
      <c r="U965" s="639"/>
      <c r="V965" s="639"/>
      <c r="W965" s="639"/>
      <c r="X965" s="639"/>
      <c r="Y965" s="639"/>
      <c r="Z965" s="639"/>
      <c r="AA965" s="639"/>
      <c r="AB965" s="639"/>
    </row>
    <row r="966" spans="1:28">
      <c r="A966" s="639"/>
      <c r="B966" s="639"/>
      <c r="C966" s="639"/>
      <c r="D966" s="639"/>
      <c r="E966" s="639"/>
      <c r="F966" s="639"/>
      <c r="G966" s="639"/>
      <c r="H966" s="639"/>
      <c r="I966" s="639"/>
      <c r="J966" s="639"/>
      <c r="K966" s="639"/>
      <c r="L966" s="639"/>
      <c r="M966" s="639"/>
      <c r="N966" s="639"/>
      <c r="O966" s="639"/>
      <c r="P966" s="639"/>
      <c r="Q966" s="639"/>
      <c r="R966" s="639"/>
      <c r="S966" s="639"/>
      <c r="T966" s="639"/>
      <c r="U966" s="639"/>
      <c r="V966" s="639"/>
      <c r="W966" s="639"/>
      <c r="X966" s="639"/>
      <c r="Y966" s="639"/>
      <c r="Z966" s="639"/>
      <c r="AA966" s="639"/>
      <c r="AB966" s="639"/>
    </row>
    <row r="967" spans="1:28">
      <c r="A967" s="639"/>
      <c r="B967" s="639"/>
      <c r="C967" s="639"/>
      <c r="D967" s="639"/>
      <c r="E967" s="639"/>
      <c r="F967" s="639"/>
      <c r="G967" s="639"/>
      <c r="H967" s="639"/>
      <c r="I967" s="639"/>
      <c r="J967" s="639"/>
      <c r="K967" s="639"/>
      <c r="L967" s="639"/>
      <c r="M967" s="639"/>
      <c r="N967" s="639"/>
      <c r="O967" s="639"/>
      <c r="P967" s="639"/>
      <c r="Q967" s="639"/>
      <c r="R967" s="639"/>
      <c r="S967" s="639"/>
      <c r="T967" s="639"/>
      <c r="U967" s="639"/>
      <c r="V967" s="639"/>
      <c r="W967" s="639"/>
      <c r="X967" s="639"/>
      <c r="Y967" s="639"/>
      <c r="Z967" s="639"/>
      <c r="AA967" s="639"/>
      <c r="AB967" s="639"/>
    </row>
    <row r="968" spans="1:28">
      <c r="A968" s="639"/>
      <c r="B968" s="639"/>
      <c r="C968" s="639"/>
      <c r="D968" s="639"/>
      <c r="E968" s="639"/>
      <c r="F968" s="639"/>
      <c r="G968" s="639"/>
      <c r="H968" s="639"/>
      <c r="I968" s="639"/>
      <c r="J968" s="639"/>
      <c r="K968" s="639"/>
      <c r="L968" s="639"/>
      <c r="M968" s="639"/>
      <c r="N968" s="639"/>
      <c r="O968" s="639"/>
      <c r="P968" s="639"/>
      <c r="Q968" s="639"/>
      <c r="R968" s="639"/>
      <c r="S968" s="639"/>
      <c r="T968" s="639"/>
      <c r="U968" s="639"/>
      <c r="V968" s="639"/>
      <c r="W968" s="639"/>
      <c r="X968" s="639"/>
      <c r="Y968" s="639"/>
      <c r="Z968" s="639"/>
      <c r="AA968" s="639"/>
      <c r="AB968" s="639"/>
    </row>
    <row r="969" spans="1:28">
      <c r="A969" s="639"/>
      <c r="B969" s="639"/>
      <c r="C969" s="639"/>
      <c r="D969" s="639"/>
      <c r="E969" s="639"/>
      <c r="F969" s="639"/>
      <c r="G969" s="639"/>
      <c r="H969" s="639"/>
      <c r="I969" s="639"/>
      <c r="J969" s="639"/>
      <c r="K969" s="639"/>
      <c r="L969" s="639"/>
      <c r="M969" s="639"/>
      <c r="N969" s="639"/>
      <c r="O969" s="639"/>
      <c r="P969" s="639"/>
      <c r="Q969" s="639"/>
      <c r="R969" s="639"/>
      <c r="S969" s="639"/>
      <c r="T969" s="639"/>
      <c r="U969" s="639"/>
      <c r="V969" s="639"/>
      <c r="W969" s="639"/>
      <c r="X969" s="639"/>
      <c r="Y969" s="639"/>
      <c r="Z969" s="639"/>
      <c r="AA969" s="639"/>
      <c r="AB969" s="639"/>
    </row>
    <row r="970" spans="1:28">
      <c r="A970" s="639"/>
      <c r="B970" s="639"/>
      <c r="C970" s="639"/>
      <c r="D970" s="639"/>
      <c r="E970" s="639"/>
      <c r="F970" s="639"/>
      <c r="G970" s="639"/>
      <c r="H970" s="639"/>
      <c r="I970" s="639"/>
      <c r="J970" s="639"/>
      <c r="K970" s="639"/>
      <c r="L970" s="639"/>
      <c r="M970" s="639"/>
      <c r="N970" s="639"/>
      <c r="O970" s="639"/>
      <c r="P970" s="639"/>
      <c r="Q970" s="639"/>
      <c r="R970" s="639"/>
      <c r="S970" s="639"/>
      <c r="T970" s="639"/>
      <c r="U970" s="639"/>
      <c r="V970" s="639"/>
      <c r="W970" s="639"/>
      <c r="X970" s="639"/>
      <c r="Y970" s="639"/>
      <c r="Z970" s="639"/>
      <c r="AA970" s="639"/>
      <c r="AB970" s="639"/>
    </row>
    <row r="971" spans="1:28">
      <c r="A971" s="639"/>
      <c r="B971" s="639"/>
      <c r="C971" s="639"/>
      <c r="D971" s="639"/>
      <c r="E971" s="639"/>
      <c r="F971" s="639"/>
      <c r="G971" s="639"/>
      <c r="H971" s="639"/>
      <c r="I971" s="639"/>
      <c r="J971" s="639"/>
      <c r="K971" s="639"/>
      <c r="L971" s="639"/>
      <c r="M971" s="639"/>
      <c r="N971" s="639"/>
      <c r="O971" s="639"/>
      <c r="P971" s="639"/>
      <c r="Q971" s="639"/>
      <c r="R971" s="639"/>
      <c r="S971" s="639"/>
      <c r="T971" s="639"/>
      <c r="U971" s="639"/>
      <c r="V971" s="639"/>
      <c r="W971" s="639"/>
      <c r="X971" s="639"/>
      <c r="Y971" s="639"/>
      <c r="Z971" s="639"/>
      <c r="AA971" s="639"/>
      <c r="AB971" s="639"/>
    </row>
    <row r="972" spans="1:28">
      <c r="A972" s="639"/>
      <c r="B972" s="639"/>
      <c r="C972" s="639"/>
      <c r="D972" s="639"/>
      <c r="E972" s="639"/>
      <c r="F972" s="639"/>
      <c r="G972" s="639"/>
      <c r="H972" s="639"/>
      <c r="I972" s="639"/>
      <c r="J972" s="639"/>
      <c r="K972" s="639"/>
      <c r="L972" s="639"/>
      <c r="M972" s="639"/>
      <c r="N972" s="639"/>
      <c r="O972" s="639"/>
      <c r="P972" s="639"/>
      <c r="Q972" s="639"/>
      <c r="R972" s="639"/>
      <c r="S972" s="639"/>
      <c r="T972" s="639"/>
      <c r="U972" s="639"/>
      <c r="V972" s="639"/>
      <c r="W972" s="639"/>
      <c r="X972" s="639"/>
      <c r="Y972" s="639"/>
      <c r="Z972" s="639"/>
      <c r="AA972" s="639"/>
      <c r="AB972" s="639"/>
    </row>
    <row r="973" spans="1:28">
      <c r="A973" s="639"/>
      <c r="B973" s="639"/>
      <c r="C973" s="639"/>
      <c r="D973" s="639"/>
      <c r="E973" s="639"/>
      <c r="F973" s="639"/>
      <c r="G973" s="639"/>
      <c r="H973" s="639"/>
      <c r="I973" s="639"/>
      <c r="J973" s="639"/>
      <c r="K973" s="639"/>
      <c r="L973" s="639"/>
      <c r="M973" s="639"/>
      <c r="N973" s="639"/>
      <c r="O973" s="639"/>
      <c r="P973" s="639"/>
      <c r="Q973" s="639"/>
      <c r="R973" s="639"/>
      <c r="S973" s="639"/>
      <c r="T973" s="639"/>
      <c r="U973" s="639"/>
      <c r="V973" s="639"/>
      <c r="W973" s="639"/>
      <c r="X973" s="639"/>
      <c r="Y973" s="639"/>
      <c r="Z973" s="639"/>
      <c r="AA973" s="639"/>
      <c r="AB973" s="639"/>
    </row>
    <row r="974" spans="1:28">
      <c r="A974" s="639"/>
      <c r="B974" s="639"/>
      <c r="C974" s="639"/>
      <c r="D974" s="639"/>
      <c r="E974" s="639"/>
      <c r="F974" s="639"/>
      <c r="G974" s="639"/>
      <c r="H974" s="639"/>
      <c r="I974" s="639"/>
      <c r="J974" s="639"/>
      <c r="K974" s="639"/>
      <c r="L974" s="639"/>
      <c r="M974" s="639"/>
      <c r="N974" s="639"/>
      <c r="O974" s="639"/>
      <c r="P974" s="639"/>
      <c r="Q974" s="639"/>
      <c r="R974" s="639"/>
      <c r="S974" s="639"/>
      <c r="T974" s="639"/>
      <c r="U974" s="639"/>
      <c r="V974" s="639"/>
      <c r="W974" s="639"/>
      <c r="X974" s="639"/>
      <c r="Y974" s="639"/>
      <c r="Z974" s="639"/>
      <c r="AA974" s="639"/>
      <c r="AB974" s="639"/>
    </row>
    <row r="975" spans="1:28">
      <c r="A975" s="639"/>
      <c r="B975" s="639"/>
      <c r="C975" s="639"/>
      <c r="D975" s="639"/>
      <c r="E975" s="639"/>
      <c r="F975" s="639"/>
      <c r="G975" s="639"/>
      <c r="H975" s="639"/>
      <c r="I975" s="639"/>
      <c r="J975" s="639"/>
      <c r="K975" s="639"/>
      <c r="L975" s="639"/>
      <c r="M975" s="639"/>
      <c r="N975" s="639"/>
      <c r="O975" s="639"/>
      <c r="P975" s="639"/>
      <c r="Q975" s="639"/>
      <c r="R975" s="639"/>
      <c r="S975" s="639"/>
      <c r="T975" s="639"/>
      <c r="U975" s="639"/>
      <c r="V975" s="639"/>
      <c r="W975" s="639"/>
      <c r="X975" s="639"/>
      <c r="Y975" s="639"/>
      <c r="Z975" s="639"/>
      <c r="AA975" s="639"/>
      <c r="AB975" s="639"/>
    </row>
    <row r="976" spans="1:28">
      <c r="A976" s="639"/>
      <c r="B976" s="639"/>
      <c r="C976" s="639"/>
      <c r="D976" s="639"/>
      <c r="E976" s="639"/>
      <c r="F976" s="639"/>
      <c r="G976" s="639"/>
      <c r="H976" s="639"/>
      <c r="I976" s="639"/>
      <c r="J976" s="639"/>
      <c r="K976" s="639"/>
      <c r="L976" s="639"/>
      <c r="M976" s="639"/>
      <c r="N976" s="639"/>
      <c r="O976" s="639"/>
      <c r="P976" s="639"/>
      <c r="Q976" s="639"/>
      <c r="R976" s="639"/>
      <c r="S976" s="639"/>
      <c r="T976" s="639"/>
      <c r="U976" s="639"/>
      <c r="V976" s="639"/>
      <c r="W976" s="639"/>
      <c r="X976" s="639"/>
      <c r="Y976" s="639"/>
      <c r="Z976" s="639"/>
      <c r="AA976" s="639"/>
      <c r="AB976" s="639"/>
    </row>
    <row r="977" spans="1:28">
      <c r="A977" s="639"/>
      <c r="B977" s="639"/>
      <c r="C977" s="639"/>
      <c r="D977" s="639"/>
      <c r="E977" s="639"/>
      <c r="F977" s="639"/>
      <c r="G977" s="639"/>
      <c r="H977" s="639"/>
      <c r="I977" s="639"/>
      <c r="J977" s="639"/>
      <c r="K977" s="639"/>
      <c r="L977" s="639"/>
      <c r="M977" s="639"/>
      <c r="N977" s="639"/>
      <c r="O977" s="639"/>
      <c r="P977" s="639"/>
      <c r="Q977" s="639"/>
      <c r="R977" s="639"/>
      <c r="S977" s="639"/>
      <c r="T977" s="639"/>
      <c r="U977" s="639"/>
      <c r="V977" s="639"/>
      <c r="W977" s="639"/>
      <c r="X977" s="639"/>
      <c r="Y977" s="639"/>
      <c r="Z977" s="639"/>
      <c r="AA977" s="639"/>
      <c r="AB977" s="639"/>
    </row>
    <row r="978" spans="1:28">
      <c r="A978" s="639"/>
      <c r="B978" s="639"/>
      <c r="C978" s="639"/>
      <c r="D978" s="639"/>
      <c r="E978" s="639"/>
      <c r="F978" s="639"/>
      <c r="G978" s="639"/>
      <c r="H978" s="639"/>
      <c r="I978" s="639"/>
      <c r="J978" s="639"/>
      <c r="K978" s="639"/>
      <c r="L978" s="639"/>
      <c r="M978" s="639"/>
      <c r="N978" s="639"/>
      <c r="O978" s="639"/>
      <c r="P978" s="639"/>
      <c r="Q978" s="639"/>
      <c r="R978" s="639"/>
      <c r="S978" s="639"/>
      <c r="T978" s="639"/>
      <c r="U978" s="639"/>
      <c r="V978" s="639"/>
      <c r="W978" s="639"/>
      <c r="X978" s="639"/>
      <c r="Y978" s="639"/>
      <c r="Z978" s="639"/>
      <c r="AA978" s="639"/>
      <c r="AB978" s="639"/>
    </row>
    <row r="979" spans="1:28">
      <c r="A979" s="639"/>
      <c r="B979" s="639"/>
      <c r="C979" s="639"/>
      <c r="D979" s="639"/>
      <c r="E979" s="639"/>
      <c r="F979" s="639"/>
      <c r="G979" s="639"/>
      <c r="H979" s="639"/>
      <c r="I979" s="639"/>
      <c r="J979" s="639"/>
      <c r="K979" s="639"/>
      <c r="L979" s="639"/>
      <c r="M979" s="639"/>
      <c r="N979" s="639"/>
      <c r="O979" s="639"/>
      <c r="P979" s="639"/>
      <c r="Q979" s="639"/>
      <c r="R979" s="639"/>
      <c r="S979" s="639"/>
      <c r="T979" s="639"/>
      <c r="U979" s="639"/>
      <c r="V979" s="639"/>
      <c r="W979" s="639"/>
      <c r="X979" s="639"/>
      <c r="Y979" s="639"/>
      <c r="Z979" s="639"/>
      <c r="AA979" s="639"/>
      <c r="AB979" s="639"/>
    </row>
    <row r="980" spans="1:28">
      <c r="A980" s="639"/>
      <c r="B980" s="639"/>
      <c r="C980" s="639"/>
      <c r="D980" s="639"/>
      <c r="E980" s="639"/>
      <c r="F980" s="639"/>
      <c r="G980" s="639"/>
      <c r="H980" s="639"/>
      <c r="I980" s="639"/>
      <c r="J980" s="639"/>
      <c r="K980" s="639"/>
      <c r="L980" s="639"/>
      <c r="M980" s="639"/>
      <c r="N980" s="639"/>
      <c r="O980" s="639"/>
      <c r="P980" s="639"/>
      <c r="Q980" s="639"/>
      <c r="R980" s="639"/>
      <c r="S980" s="639"/>
      <c r="T980" s="639"/>
      <c r="U980" s="639"/>
      <c r="V980" s="639"/>
      <c r="W980" s="639"/>
      <c r="X980" s="639"/>
      <c r="Y980" s="639"/>
      <c r="Z980" s="639"/>
      <c r="AA980" s="639"/>
      <c r="AB980" s="639"/>
    </row>
    <row r="981" spans="1:28">
      <c r="A981" s="639"/>
      <c r="B981" s="639"/>
      <c r="C981" s="639"/>
      <c r="D981" s="639"/>
      <c r="E981" s="639"/>
      <c r="F981" s="639"/>
      <c r="G981" s="639"/>
      <c r="H981" s="639"/>
      <c r="I981" s="639"/>
      <c r="J981" s="639"/>
      <c r="K981" s="639"/>
      <c r="L981" s="639"/>
      <c r="M981" s="639"/>
      <c r="N981" s="639"/>
      <c r="O981" s="639"/>
      <c r="P981" s="639"/>
      <c r="Q981" s="639"/>
      <c r="R981" s="639"/>
      <c r="S981" s="639"/>
      <c r="T981" s="639"/>
      <c r="U981" s="639"/>
      <c r="V981" s="639"/>
      <c r="W981" s="639"/>
      <c r="X981" s="639"/>
      <c r="Y981" s="639"/>
      <c r="Z981" s="639"/>
      <c r="AA981" s="639"/>
      <c r="AB981" s="639"/>
    </row>
    <row r="982" spans="1:28">
      <c r="A982" s="639"/>
      <c r="B982" s="639"/>
      <c r="C982" s="639"/>
      <c r="D982" s="639"/>
      <c r="E982" s="639"/>
      <c r="F982" s="639"/>
      <c r="G982" s="639"/>
      <c r="H982" s="639"/>
      <c r="I982" s="639"/>
      <c r="J982" s="639"/>
      <c r="K982" s="639"/>
      <c r="L982" s="639"/>
      <c r="M982" s="639"/>
      <c r="N982" s="639"/>
      <c r="O982" s="639"/>
      <c r="P982" s="639"/>
      <c r="Q982" s="639"/>
      <c r="R982" s="639"/>
      <c r="S982" s="639"/>
      <c r="T982" s="639"/>
      <c r="U982" s="639"/>
      <c r="V982" s="639"/>
      <c r="W982" s="639"/>
      <c r="X982" s="639"/>
      <c r="Y982" s="639"/>
      <c r="Z982" s="639"/>
      <c r="AA982" s="639"/>
      <c r="AB982" s="639"/>
    </row>
    <row r="983" spans="1:28">
      <c r="A983" s="639"/>
      <c r="B983" s="639"/>
      <c r="C983" s="639"/>
      <c r="D983" s="639"/>
      <c r="E983" s="639"/>
      <c r="F983" s="639"/>
      <c r="G983" s="639"/>
      <c r="H983" s="639"/>
      <c r="I983" s="639"/>
      <c r="J983" s="639"/>
      <c r="K983" s="639"/>
      <c r="L983" s="639"/>
      <c r="M983" s="639"/>
      <c r="N983" s="639"/>
      <c r="O983" s="639"/>
      <c r="P983" s="639"/>
      <c r="Q983" s="639"/>
      <c r="R983" s="639"/>
      <c r="S983" s="639"/>
      <c r="T983" s="639"/>
      <c r="U983" s="639"/>
      <c r="V983" s="639"/>
      <c r="W983" s="639"/>
      <c r="X983" s="639"/>
      <c r="Y983" s="639"/>
      <c r="Z983" s="639"/>
      <c r="AA983" s="639"/>
      <c r="AB983" s="639"/>
    </row>
    <row r="984" spans="1:28">
      <c r="A984" s="639"/>
      <c r="B984" s="639"/>
      <c r="C984" s="639"/>
      <c r="D984" s="639"/>
      <c r="E984" s="639"/>
      <c r="F984" s="639"/>
      <c r="G984" s="639"/>
      <c r="H984" s="639"/>
      <c r="I984" s="639"/>
      <c r="J984" s="639"/>
      <c r="K984" s="639"/>
      <c r="L984" s="639"/>
      <c r="M984" s="639"/>
      <c r="N984" s="639"/>
      <c r="O984" s="639"/>
      <c r="P984" s="639"/>
      <c r="Q984" s="639"/>
      <c r="R984" s="639"/>
      <c r="S984" s="639"/>
      <c r="T984" s="639"/>
      <c r="U984" s="639"/>
      <c r="V984" s="639"/>
      <c r="W984" s="639"/>
      <c r="X984" s="639"/>
      <c r="Y984" s="639"/>
      <c r="Z984" s="639"/>
      <c r="AA984" s="639"/>
      <c r="AB984" s="639"/>
    </row>
    <row r="985" spans="1:28">
      <c r="A985" s="639"/>
      <c r="B985" s="639"/>
      <c r="C985" s="639"/>
      <c r="D985" s="639"/>
      <c r="E985" s="639"/>
      <c r="F985" s="639"/>
      <c r="G985" s="639"/>
      <c r="H985" s="639"/>
      <c r="I985" s="639"/>
      <c r="J985" s="639"/>
      <c r="K985" s="639"/>
      <c r="L985" s="639"/>
      <c r="M985" s="639"/>
      <c r="N985" s="639"/>
      <c r="O985" s="639"/>
      <c r="P985" s="639"/>
      <c r="Q985" s="639"/>
      <c r="R985" s="639"/>
      <c r="S985" s="639"/>
      <c r="T985" s="639"/>
      <c r="U985" s="639"/>
      <c r="V985" s="639"/>
      <c r="W985" s="639"/>
      <c r="X985" s="639"/>
      <c r="Y985" s="639"/>
      <c r="Z985" s="639"/>
      <c r="AA985" s="639"/>
      <c r="AB985" s="639"/>
    </row>
    <row r="986" spans="1:28">
      <c r="A986" s="639"/>
      <c r="B986" s="639"/>
      <c r="C986" s="639"/>
      <c r="D986" s="639"/>
      <c r="E986" s="639"/>
      <c r="F986" s="639"/>
      <c r="G986" s="639"/>
      <c r="H986" s="639"/>
      <c r="I986" s="639"/>
      <c r="J986" s="639"/>
      <c r="K986" s="639"/>
      <c r="L986" s="639"/>
      <c r="M986" s="639"/>
      <c r="N986" s="639"/>
      <c r="O986" s="639"/>
      <c r="P986" s="639"/>
      <c r="Q986" s="639"/>
      <c r="R986" s="639"/>
      <c r="S986" s="639"/>
      <c r="T986" s="639"/>
      <c r="U986" s="639"/>
      <c r="V986" s="639"/>
      <c r="W986" s="639"/>
      <c r="X986" s="639"/>
      <c r="Y986" s="639"/>
      <c r="Z986" s="639"/>
      <c r="AA986" s="639"/>
      <c r="AB986" s="639"/>
    </row>
    <row r="987" spans="1:28">
      <c r="A987" s="639"/>
      <c r="B987" s="639"/>
      <c r="C987" s="639"/>
      <c r="D987" s="639"/>
      <c r="E987" s="639"/>
      <c r="F987" s="639"/>
      <c r="G987" s="639"/>
      <c r="H987" s="639"/>
      <c r="I987" s="639"/>
      <c r="J987" s="639"/>
      <c r="K987" s="639"/>
      <c r="L987" s="639"/>
      <c r="M987" s="639"/>
      <c r="N987" s="639"/>
      <c r="O987" s="639"/>
      <c r="P987" s="639"/>
      <c r="Q987" s="639"/>
      <c r="R987" s="639"/>
      <c r="S987" s="639"/>
      <c r="T987" s="639"/>
      <c r="U987" s="639"/>
      <c r="V987" s="639"/>
      <c r="W987" s="639"/>
      <c r="X987" s="639"/>
      <c r="Y987" s="639"/>
      <c r="Z987" s="639"/>
      <c r="AA987" s="639"/>
      <c r="AB987" s="639"/>
    </row>
    <row r="988" spans="1:28">
      <c r="A988" s="639"/>
      <c r="B988" s="639"/>
      <c r="C988" s="639"/>
      <c r="D988" s="639"/>
      <c r="E988" s="639"/>
      <c r="F988" s="639"/>
      <c r="G988" s="639"/>
      <c r="H988" s="639"/>
      <c r="I988" s="639"/>
      <c r="J988" s="639"/>
      <c r="K988" s="639"/>
      <c r="L988" s="639"/>
      <c r="M988" s="639"/>
      <c r="N988" s="639"/>
      <c r="O988" s="639"/>
      <c r="P988" s="639"/>
      <c r="Q988" s="639"/>
      <c r="R988" s="639"/>
      <c r="S988" s="639"/>
      <c r="T988" s="639"/>
      <c r="U988" s="639"/>
      <c r="V988" s="639"/>
      <c r="W988" s="639"/>
      <c r="X988" s="639"/>
      <c r="Y988" s="639"/>
      <c r="Z988" s="639"/>
      <c r="AA988" s="639"/>
      <c r="AB988" s="639"/>
    </row>
    <row r="989" spans="1:28">
      <c r="A989" s="639"/>
      <c r="B989" s="639"/>
      <c r="C989" s="639"/>
      <c r="D989" s="639"/>
      <c r="E989" s="639"/>
      <c r="F989" s="639"/>
      <c r="G989" s="639"/>
      <c r="H989" s="639"/>
      <c r="I989" s="639"/>
      <c r="J989" s="639"/>
      <c r="K989" s="639"/>
      <c r="L989" s="639"/>
      <c r="M989" s="639"/>
      <c r="N989" s="639"/>
      <c r="O989" s="639"/>
      <c r="P989" s="639"/>
      <c r="Q989" s="639"/>
      <c r="R989" s="639"/>
      <c r="S989" s="639"/>
      <c r="T989" s="639"/>
      <c r="U989" s="639"/>
      <c r="V989" s="639"/>
      <c r="W989" s="639"/>
      <c r="X989" s="639"/>
      <c r="Y989" s="639"/>
      <c r="Z989" s="639"/>
      <c r="AA989" s="639"/>
      <c r="AB989" s="639"/>
    </row>
    <row r="990" spans="1:28">
      <c r="A990" s="639"/>
      <c r="B990" s="639"/>
      <c r="C990" s="639"/>
      <c r="D990" s="639"/>
      <c r="E990" s="639"/>
      <c r="F990" s="639"/>
      <c r="G990" s="639"/>
      <c r="H990" s="639"/>
      <c r="I990" s="639"/>
      <c r="J990" s="639"/>
      <c r="K990" s="639"/>
      <c r="L990" s="639"/>
      <c r="M990" s="639"/>
      <c r="N990" s="639"/>
      <c r="O990" s="639"/>
      <c r="P990" s="639"/>
      <c r="Q990" s="639"/>
      <c r="R990" s="639"/>
      <c r="S990" s="639"/>
      <c r="T990" s="639"/>
      <c r="U990" s="639"/>
      <c r="V990" s="639"/>
      <c r="W990" s="639"/>
      <c r="X990" s="639"/>
      <c r="Y990" s="639"/>
      <c r="Z990" s="639"/>
      <c r="AA990" s="639"/>
      <c r="AB990" s="639"/>
    </row>
    <row r="991" spans="1:28">
      <c r="A991" s="639"/>
      <c r="B991" s="639"/>
      <c r="C991" s="639"/>
      <c r="D991" s="639"/>
      <c r="E991" s="639"/>
      <c r="F991" s="639"/>
      <c r="G991" s="639"/>
      <c r="H991" s="639"/>
      <c r="I991" s="639"/>
      <c r="J991" s="639"/>
      <c r="K991" s="639"/>
      <c r="L991" s="639"/>
      <c r="M991" s="639"/>
      <c r="N991" s="639"/>
      <c r="O991" s="639"/>
      <c r="P991" s="639"/>
      <c r="Q991" s="639"/>
      <c r="R991" s="639"/>
      <c r="S991" s="639"/>
      <c r="T991" s="639"/>
      <c r="U991" s="639"/>
      <c r="V991" s="639"/>
      <c r="W991" s="639"/>
      <c r="X991" s="639"/>
      <c r="Y991" s="639"/>
      <c r="Z991" s="639"/>
      <c r="AA991" s="639"/>
      <c r="AB991" s="639"/>
    </row>
    <row r="992" spans="1:28">
      <c r="A992" s="639"/>
      <c r="B992" s="639"/>
      <c r="C992" s="639"/>
      <c r="D992" s="639"/>
      <c r="E992" s="639"/>
      <c r="F992" s="639"/>
      <c r="G992" s="639"/>
      <c r="H992" s="639"/>
      <c r="I992" s="639"/>
      <c r="J992" s="639"/>
      <c r="K992" s="639"/>
      <c r="L992" s="639"/>
      <c r="M992" s="639"/>
      <c r="N992" s="639"/>
      <c r="O992" s="639"/>
      <c r="P992" s="639"/>
      <c r="Q992" s="639"/>
      <c r="R992" s="639"/>
      <c r="S992" s="639"/>
      <c r="T992" s="639"/>
      <c r="U992" s="639"/>
      <c r="V992" s="639"/>
      <c r="W992" s="639"/>
      <c r="X992" s="639"/>
      <c r="Y992" s="639"/>
      <c r="Z992" s="639"/>
      <c r="AA992" s="639"/>
      <c r="AB992" s="639"/>
    </row>
    <row r="993" spans="1:28">
      <c r="A993" s="639"/>
      <c r="B993" s="639"/>
      <c r="C993" s="639"/>
      <c r="D993" s="639"/>
      <c r="E993" s="639"/>
      <c r="F993" s="639"/>
      <c r="G993" s="639"/>
      <c r="H993" s="639"/>
      <c r="I993" s="639"/>
      <c r="J993" s="639"/>
      <c r="K993" s="639"/>
      <c r="L993" s="639"/>
      <c r="M993" s="639"/>
      <c r="N993" s="639"/>
      <c r="O993" s="639"/>
      <c r="P993" s="639"/>
      <c r="Q993" s="639"/>
      <c r="R993" s="639"/>
      <c r="S993" s="639"/>
      <c r="T993" s="639"/>
      <c r="U993" s="639"/>
      <c r="V993" s="639"/>
      <c r="W993" s="639"/>
      <c r="X993" s="639"/>
      <c r="Y993" s="639"/>
      <c r="Z993" s="639"/>
      <c r="AA993" s="639"/>
      <c r="AB993" s="639"/>
    </row>
    <row r="994" spans="1:28">
      <c r="A994" s="639"/>
      <c r="B994" s="639"/>
      <c r="C994" s="639"/>
      <c r="D994" s="639"/>
      <c r="E994" s="639"/>
      <c r="F994" s="639"/>
      <c r="G994" s="639"/>
      <c r="H994" s="639"/>
      <c r="I994" s="639"/>
      <c r="J994" s="639"/>
      <c r="K994" s="639"/>
      <c r="L994" s="639"/>
      <c r="M994" s="639"/>
      <c r="N994" s="639"/>
      <c r="O994" s="639"/>
      <c r="P994" s="639"/>
      <c r="Q994" s="639"/>
      <c r="R994" s="639"/>
      <c r="S994" s="639"/>
      <c r="T994" s="639"/>
      <c r="U994" s="639"/>
      <c r="V994" s="639"/>
      <c r="W994" s="639"/>
      <c r="X994" s="639"/>
      <c r="Y994" s="639"/>
      <c r="Z994" s="639"/>
      <c r="AA994" s="639"/>
      <c r="AB994" s="639"/>
    </row>
    <row r="995" spans="1:28">
      <c r="A995" s="639"/>
      <c r="B995" s="639"/>
      <c r="C995" s="639"/>
      <c r="D995" s="639"/>
      <c r="E995" s="639"/>
      <c r="F995" s="639"/>
      <c r="G995" s="639"/>
      <c r="H995" s="639"/>
      <c r="I995" s="639"/>
      <c r="J995" s="639"/>
      <c r="K995" s="639"/>
      <c r="L995" s="639"/>
      <c r="M995" s="639"/>
      <c r="N995" s="639"/>
      <c r="O995" s="639"/>
      <c r="P995" s="639"/>
      <c r="Q995" s="639"/>
      <c r="R995" s="639"/>
      <c r="S995" s="639"/>
      <c r="T995" s="639"/>
      <c r="U995" s="639"/>
      <c r="V995" s="639"/>
      <c r="W995" s="639"/>
      <c r="X995" s="639"/>
      <c r="Y995" s="639"/>
      <c r="Z995" s="639"/>
      <c r="AA995" s="639"/>
      <c r="AB995" s="639"/>
    </row>
    <row r="996" spans="1:28">
      <c r="A996" s="639"/>
      <c r="B996" s="639"/>
      <c r="C996" s="639"/>
      <c r="D996" s="639"/>
      <c r="E996" s="639"/>
      <c r="F996" s="639"/>
      <c r="G996" s="639"/>
      <c r="H996" s="639"/>
      <c r="I996" s="639"/>
      <c r="J996" s="639"/>
      <c r="K996" s="639"/>
      <c r="L996" s="639"/>
      <c r="M996" s="639"/>
      <c r="N996" s="639"/>
      <c r="O996" s="639"/>
      <c r="P996" s="639"/>
      <c r="Q996" s="639"/>
      <c r="R996" s="639"/>
      <c r="S996" s="639"/>
      <c r="T996" s="639"/>
      <c r="U996" s="639"/>
      <c r="V996" s="639"/>
      <c r="W996" s="639"/>
      <c r="X996" s="639"/>
      <c r="Y996" s="639"/>
      <c r="Z996" s="639"/>
      <c r="AA996" s="639"/>
      <c r="AB996" s="639"/>
    </row>
    <row r="997" spans="1:28">
      <c r="A997" s="639"/>
      <c r="B997" s="639"/>
      <c r="C997" s="639"/>
      <c r="D997" s="639"/>
      <c r="E997" s="639"/>
      <c r="F997" s="639"/>
      <c r="G997" s="639"/>
      <c r="H997" s="639"/>
      <c r="I997" s="639"/>
      <c r="J997" s="639"/>
      <c r="K997" s="639"/>
      <c r="L997" s="639"/>
      <c r="M997" s="639"/>
      <c r="N997" s="639"/>
      <c r="O997" s="639"/>
      <c r="P997" s="639"/>
      <c r="Q997" s="639"/>
      <c r="R997" s="639"/>
      <c r="S997" s="639"/>
      <c r="T997" s="639"/>
      <c r="U997" s="639"/>
      <c r="V997" s="639"/>
      <c r="W997" s="639"/>
      <c r="X997" s="639"/>
      <c r="Y997" s="639"/>
      <c r="Z997" s="639"/>
      <c r="AA997" s="639"/>
      <c r="AB997" s="639"/>
    </row>
    <row r="998" spans="1:28">
      <c r="A998" s="639"/>
      <c r="B998" s="639"/>
      <c r="C998" s="639"/>
      <c r="D998" s="639"/>
      <c r="E998" s="639"/>
      <c r="F998" s="639"/>
      <c r="G998" s="639"/>
      <c r="H998" s="639"/>
      <c r="I998" s="639"/>
      <c r="J998" s="639"/>
      <c r="K998" s="639"/>
      <c r="L998" s="639"/>
      <c r="M998" s="639"/>
      <c r="N998" s="639"/>
      <c r="O998" s="639"/>
      <c r="P998" s="639"/>
      <c r="Q998" s="639"/>
      <c r="R998" s="639"/>
      <c r="S998" s="639"/>
      <c r="T998" s="639"/>
      <c r="U998" s="639"/>
      <c r="V998" s="639"/>
      <c r="W998" s="639"/>
      <c r="X998" s="639"/>
      <c r="Y998" s="639"/>
      <c r="Z998" s="639"/>
      <c r="AA998" s="639"/>
      <c r="AB998" s="639"/>
    </row>
    <row r="999" spans="1:28">
      <c r="A999" s="639"/>
      <c r="B999" s="639"/>
      <c r="C999" s="639"/>
      <c r="D999" s="639"/>
      <c r="E999" s="639"/>
      <c r="F999" s="639"/>
      <c r="G999" s="639"/>
      <c r="H999" s="639"/>
      <c r="I999" s="639"/>
      <c r="J999" s="639"/>
      <c r="K999" s="639"/>
      <c r="L999" s="639"/>
      <c r="M999" s="639"/>
      <c r="N999" s="639"/>
      <c r="O999" s="639"/>
      <c r="P999" s="639"/>
      <c r="Q999" s="639"/>
      <c r="R999" s="639"/>
      <c r="S999" s="639"/>
      <c r="T999" s="639"/>
      <c r="U999" s="639"/>
      <c r="V999" s="639"/>
      <c r="W999" s="639"/>
      <c r="X999" s="639"/>
      <c r="Y999" s="639"/>
      <c r="Z999" s="639"/>
      <c r="AA999" s="639"/>
      <c r="AB999" s="639"/>
    </row>
    <row r="1000" spans="1:28">
      <c r="A1000" s="639"/>
      <c r="B1000" s="639"/>
      <c r="C1000" s="639"/>
      <c r="D1000" s="639"/>
      <c r="E1000" s="639"/>
      <c r="F1000" s="639"/>
      <c r="G1000" s="639"/>
      <c r="H1000" s="639"/>
      <c r="I1000" s="639"/>
      <c r="J1000" s="639"/>
      <c r="K1000" s="639"/>
      <c r="L1000" s="639"/>
      <c r="M1000" s="639"/>
      <c r="N1000" s="639"/>
      <c r="O1000" s="639"/>
      <c r="P1000" s="639"/>
      <c r="Q1000" s="639"/>
      <c r="R1000" s="639"/>
      <c r="S1000" s="639"/>
      <c r="T1000" s="639"/>
      <c r="U1000" s="639"/>
      <c r="V1000" s="639"/>
      <c r="W1000" s="639"/>
      <c r="X1000" s="639"/>
      <c r="Y1000" s="639"/>
      <c r="Z1000" s="639"/>
      <c r="AA1000" s="639"/>
      <c r="AB1000" s="639"/>
    </row>
  </sheetData>
  <autoFilter ref="A4:AD38" xr:uid="{DAB85DE5-9FC2-43C2-924C-0EF801B120D6}">
    <filterColumn colId="6">
      <filters>
        <filter val="Y"/>
      </filters>
    </filterColumn>
  </autoFilter>
  <mergeCells count="4">
    <mergeCell ref="B1:H1"/>
    <mergeCell ref="C3:F3"/>
    <mergeCell ref="G3:N3"/>
    <mergeCell ref="B2:H2"/>
  </mergeCells>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B3FC75-0215-400C-A1E6-DDCC3A3D475E}">
  <dimension ref="A1:H99"/>
  <sheetViews>
    <sheetView topLeftCell="F4" workbookViewId="0">
      <selection activeCell="H24" sqref="H24"/>
    </sheetView>
  </sheetViews>
  <sheetFormatPr defaultRowHeight="12.5"/>
  <cols>
    <col min="1" max="1" width="17.54296875" customWidth="1"/>
    <col min="6" max="6" width="36.1796875" bestFit="1" customWidth="1"/>
    <col min="7" max="7" width="45.81640625" customWidth="1"/>
    <col min="8" max="8" width="28.7265625" customWidth="1"/>
  </cols>
  <sheetData>
    <row r="1" spans="1:8">
      <c r="A1" t="str" cm="1">
        <f t="array" aca="1" ref="A1" ca="1">IFERROR(INDEX(MID(wsNames,FIND("]",wsNames)+1,255),ROWS(A$1:A1)),"")</f>
        <v/>
      </c>
      <c r="F1" t="str" cm="1">
        <f t="array" aca="1" ref="F1" ca="1">IFERROR(INDEX(MID(wsNames,FIND("]",wsNames)+1,255),ROWS(A$1:A1)),"")</f>
        <v/>
      </c>
      <c r="G1" t="s">
        <v>5877</v>
      </c>
    </row>
    <row r="2" spans="1:8">
      <c r="A2" t="str" cm="1">
        <f t="array" aca="1" ref="A2" ca="1">IFERROR(INDEX(MID(wsNames,FIND("]",wsNames)+1,255),ROWS(A$1:A2)),"")</f>
        <v/>
      </c>
      <c r="F2" t="str" cm="1">
        <f t="array" aca="1" ref="F2" ca="1">IFERROR(INDEX(MID(wsNames,FIND("]",wsNames)+1,255),ROWS(A$1:A2)),"")</f>
        <v/>
      </c>
      <c r="G2" t="s">
        <v>5878</v>
      </c>
    </row>
    <row r="3" spans="1:8">
      <c r="A3" t="str" cm="1">
        <f t="array" aca="1" ref="A3" ca="1">IFERROR(INDEX(MID(wsNames,FIND("]",wsNames)+1,255),ROWS(A$1:A3)),"")</f>
        <v/>
      </c>
      <c r="F3" t="str" cm="1">
        <f t="array" aca="1" ref="F3" ca="1">IFERROR(INDEX(MID(wsNames,FIND("]",wsNames)+1,255),ROWS(A$1:A3)),"")</f>
        <v/>
      </c>
      <c r="G3" t="s">
        <v>45</v>
      </c>
    </row>
    <row r="4" spans="1:8">
      <c r="A4" t="str" cm="1">
        <f t="array" aca="1" ref="A4" ca="1">IFERROR(INDEX(MID(wsNames,FIND("]",wsNames)+1,255),ROWS(A$1:A4)),"")</f>
        <v/>
      </c>
      <c r="F4" t="str" cm="1">
        <f t="array" aca="1" ref="F4" ca="1">IFERROR(INDEX(MID(wsNames,FIND("]",wsNames)+1,255),ROWS(A$1:A4)),"")</f>
        <v/>
      </c>
      <c r="G4" t="s">
        <v>2963</v>
      </c>
    </row>
    <row r="5" spans="1:8">
      <c r="A5" t="str" cm="1">
        <f t="array" aca="1" ref="A5" ca="1">IFERROR(INDEX(MID(wsNames,FIND("]",wsNames)+1,255),ROWS(A$1:A5)),"")</f>
        <v/>
      </c>
      <c r="F5" t="str" cm="1">
        <f t="array" aca="1" ref="F5" ca="1">IFERROR(INDEX(MID(wsNames,FIND("]",wsNames)+1,255),ROWS(A$1:A5)),"")</f>
        <v/>
      </c>
      <c r="G5" t="s">
        <v>5879</v>
      </c>
    </row>
    <row r="6" spans="1:8">
      <c r="A6" t="str" cm="1">
        <f t="array" aca="1" ref="A6" ca="1">IFERROR(INDEX(MID(wsNames,FIND("]",wsNames)+1,255),ROWS(A$1:A6)),"")</f>
        <v/>
      </c>
      <c r="F6" t="str" cm="1">
        <f t="array" aca="1" ref="F6" ca="1">IFERROR(INDEX(MID(wsNames,FIND("]",wsNames)+1,255),ROWS(A$1:A6)),"")</f>
        <v/>
      </c>
      <c r="G6" t="s">
        <v>5880</v>
      </c>
    </row>
    <row r="7" spans="1:8">
      <c r="A7" t="str" cm="1">
        <f t="array" aca="1" ref="A7" ca="1">IFERROR(INDEX(MID(wsNames,FIND("]",wsNames)+1,255),ROWS(A$1:A7)),"")</f>
        <v/>
      </c>
      <c r="F7" t="str" cm="1">
        <f t="array" aca="1" ref="F7" ca="1">IFERROR(INDEX(MID(wsNames,FIND("]",wsNames)+1,255),ROWS(A$1:A7)),"")</f>
        <v/>
      </c>
      <c r="G7" t="s">
        <v>5881</v>
      </c>
    </row>
    <row r="8" spans="1:8">
      <c r="A8" t="str" cm="1">
        <f t="array" aca="1" ref="A8" ca="1">IFERROR(INDEX(MID(wsNames,FIND("]",wsNames)+1,255),ROWS(A$1:A8)),"")</f>
        <v/>
      </c>
      <c r="F8" t="str" cm="1">
        <f t="array" aca="1" ref="F8" ca="1">IFERROR(INDEX(MID(wsNames,FIND("]",wsNames)+1,255),ROWS(A$1:A8)),"")</f>
        <v/>
      </c>
      <c r="G8" t="s">
        <v>5882</v>
      </c>
    </row>
    <row r="9" spans="1:8">
      <c r="A9" t="str" cm="1">
        <f t="array" aca="1" ref="A9" ca="1">IFERROR(INDEX(MID(wsNames,FIND("]",wsNames)+1,255),ROWS(A$1:A9)),"")</f>
        <v/>
      </c>
      <c r="F9" t="str" cm="1">
        <f t="array" aca="1" ref="F9" ca="1">IFERROR(INDEX(MID(wsNames,FIND("]",wsNames)+1,255),ROWS(A$1:A9)),"")</f>
        <v/>
      </c>
      <c r="G9" t="s">
        <v>5883</v>
      </c>
    </row>
    <row r="10" spans="1:8">
      <c r="A10" t="str" cm="1">
        <f t="array" aca="1" ref="A10" ca="1">IFERROR(INDEX(MID(wsNames,FIND("]",wsNames)+1,255),ROWS(A$1:A10)),"")</f>
        <v/>
      </c>
      <c r="F10" t="str" cm="1">
        <f t="array" aca="1" ref="F10" ca="1">IFERROR(INDEX(MID(wsNames,FIND("]",wsNames)+1,255),ROWS(A$1:A10)),"")</f>
        <v/>
      </c>
      <c r="G10" t="s">
        <v>114</v>
      </c>
      <c r="H10" s="116" t="s">
        <v>2718</v>
      </c>
    </row>
    <row r="11" spans="1:8">
      <c r="A11" t="str" cm="1">
        <f t="array" aca="1" ref="A11" ca="1">IFERROR(INDEX(MID(wsNames,FIND("]",wsNames)+1,255),ROWS(A$1:A11)),"")</f>
        <v/>
      </c>
      <c r="F11" t="str" cm="1">
        <f t="array" aca="1" ref="F11" ca="1">IFERROR(INDEX(MID(wsNames,FIND("]",wsNames)+1,255),ROWS(A$1:A11)),"")</f>
        <v/>
      </c>
      <c r="G11" t="s">
        <v>5884</v>
      </c>
      <c r="H11" s="116" t="s">
        <v>5885</v>
      </c>
    </row>
    <row r="12" spans="1:8" ht="25">
      <c r="A12" t="str" cm="1">
        <f t="array" aca="1" ref="A12" ca="1">IFERROR(INDEX(MID(wsNames,FIND("]",wsNames)+1,255),ROWS(A$1:A12)),"")</f>
        <v/>
      </c>
      <c r="F12" t="str" cm="1">
        <f t="array" aca="1" ref="F12" ca="1">IFERROR(INDEX(MID(wsNames,FIND("]",wsNames)+1,255),ROWS(A$1:A12)),"")</f>
        <v/>
      </c>
      <c r="G12" t="s">
        <v>5886</v>
      </c>
      <c r="H12" s="116" t="s">
        <v>5887</v>
      </c>
    </row>
    <row r="13" spans="1:8">
      <c r="A13" t="str" cm="1">
        <f t="array" aca="1" ref="A13" ca="1">IFERROR(INDEX(MID(wsNames,FIND("]",wsNames)+1,255),ROWS(A$1:A13)),"")</f>
        <v/>
      </c>
      <c r="F13" t="str" cm="1">
        <f t="array" aca="1" ref="F13" ca="1">IFERROR(INDEX(MID(wsNames,FIND("]",wsNames)+1,255),ROWS(A$1:A13)),"")</f>
        <v/>
      </c>
      <c r="G13" t="s">
        <v>5888</v>
      </c>
      <c r="H13" s="116" t="s">
        <v>5889</v>
      </c>
    </row>
    <row r="14" spans="1:8">
      <c r="A14" t="str" cm="1">
        <f t="array" aca="1" ref="A14" ca="1">IFERROR(INDEX(MID(wsNames,FIND("]",wsNames)+1,255),ROWS(A$1:A14)),"")</f>
        <v/>
      </c>
      <c r="F14" t="str" cm="1">
        <f t="array" aca="1" ref="F14" ca="1">IFERROR(INDEX(MID(wsNames,FIND("]",wsNames)+1,255),ROWS(A$1:A14)),"")</f>
        <v/>
      </c>
      <c r="G14" t="s">
        <v>5890</v>
      </c>
      <c r="H14" s="116" t="s">
        <v>5891</v>
      </c>
    </row>
    <row r="15" spans="1:8">
      <c r="A15" t="str" cm="1">
        <f t="array" aca="1" ref="A15" ca="1">IFERROR(INDEX(MID(wsNames,FIND("]",wsNames)+1,255),ROWS(A$1:A15)),"")</f>
        <v/>
      </c>
      <c r="F15" t="str" cm="1">
        <f t="array" aca="1" ref="F15" ca="1">IFERROR(INDEX(MID(wsNames,FIND("]",wsNames)+1,255),ROWS(A$1:A15)),"")</f>
        <v/>
      </c>
      <c r="G15" t="s">
        <v>130</v>
      </c>
      <c r="H15" s="116" t="s">
        <v>5892</v>
      </c>
    </row>
    <row r="16" spans="1:8">
      <c r="A16" t="str" cm="1">
        <f t="array" aca="1" ref="A16" ca="1">IFERROR(INDEX(MID(wsNames,FIND("]",wsNames)+1,255),ROWS(A$1:A16)),"")</f>
        <v/>
      </c>
      <c r="F16" t="str" cm="1">
        <f t="array" aca="1" ref="F16" ca="1">IFERROR(INDEX(MID(wsNames,FIND("]",wsNames)+1,255),ROWS(A$1:A16)),"")</f>
        <v/>
      </c>
      <c r="G16" t="s">
        <v>5893</v>
      </c>
      <c r="H16" s="116" t="s">
        <v>5894</v>
      </c>
    </row>
    <row r="17" spans="1:8">
      <c r="A17" t="str" cm="1">
        <f t="array" aca="1" ref="A17" ca="1">IFERROR(INDEX(MID(wsNames,FIND("]",wsNames)+1,255),ROWS(A$1:A17)),"")</f>
        <v/>
      </c>
      <c r="F17" t="str" cm="1">
        <f t="array" aca="1" ref="F17" ca="1">IFERROR(INDEX(MID(wsNames,FIND("]",wsNames)+1,255),ROWS(A$1:A17)),"")</f>
        <v/>
      </c>
      <c r="G17" t="s">
        <v>154</v>
      </c>
      <c r="H17" s="116" t="s">
        <v>5895</v>
      </c>
    </row>
    <row r="18" spans="1:8">
      <c r="A18" t="str" cm="1">
        <f t="array" aca="1" ref="A18" ca="1">IFERROR(INDEX(MID(wsNames,FIND("]",wsNames)+1,255),ROWS(A$1:A18)),"")</f>
        <v/>
      </c>
      <c r="F18" t="str" cm="1">
        <f t="array" aca="1" ref="F18" ca="1">IFERROR(INDEX(MID(wsNames,FIND("]",wsNames)+1,255),ROWS(A$1:A18)),"")</f>
        <v/>
      </c>
      <c r="G18" t="s">
        <v>5896</v>
      </c>
      <c r="H18" s="116" t="s">
        <v>5897</v>
      </c>
    </row>
    <row r="19" spans="1:8">
      <c r="A19" t="str" cm="1">
        <f t="array" aca="1" ref="A19" ca="1">IFERROR(INDEX(MID(wsNames,FIND("]",wsNames)+1,255),ROWS(A$1:A19)),"")</f>
        <v/>
      </c>
      <c r="F19" t="str" cm="1">
        <f t="array" aca="1" ref="F19" ca="1">IFERROR(INDEX(MID(wsNames,FIND("]",wsNames)+1,255),ROWS(A$1:A19)),"")</f>
        <v/>
      </c>
      <c r="G19" t="s">
        <v>5898</v>
      </c>
      <c r="H19" s="116" t="s">
        <v>5899</v>
      </c>
    </row>
    <row r="20" spans="1:8" ht="25">
      <c r="A20" t="str" cm="1">
        <f t="array" aca="1" ref="A20" ca="1">IFERROR(INDEX(MID(wsNames,FIND("]",wsNames)+1,255),ROWS(A$1:A20)),"")</f>
        <v/>
      </c>
      <c r="F20" t="str" cm="1">
        <f t="array" aca="1" ref="F20" ca="1">IFERROR(INDEX(MID(wsNames,FIND("]",wsNames)+1,255),ROWS(A$1:A20)),"")</f>
        <v/>
      </c>
      <c r="G20" t="s">
        <v>5900</v>
      </c>
      <c r="H20" s="116" t="s">
        <v>5901</v>
      </c>
    </row>
    <row r="21" spans="1:8">
      <c r="A21" t="str" cm="1">
        <f t="array" aca="1" ref="A21" ca="1">IFERROR(INDEX(MID(wsNames,FIND("]",wsNames)+1,255),ROWS(A$1:A21)),"")</f>
        <v/>
      </c>
      <c r="F21" t="str" cm="1">
        <f t="array" aca="1" ref="F21" ca="1">IFERROR(INDEX(MID(wsNames,FIND("]",wsNames)+1,255),ROWS(A$1:A21)),"")</f>
        <v/>
      </c>
      <c r="G21" t="s">
        <v>5902</v>
      </c>
      <c r="H21" s="116" t="s">
        <v>5903</v>
      </c>
    </row>
    <row r="22" spans="1:8">
      <c r="A22" t="str" cm="1">
        <f t="array" aca="1" ref="A22" ca="1">IFERROR(INDEX(MID(wsNames,FIND("]",wsNames)+1,255),ROWS(A$1:A22)),"")</f>
        <v/>
      </c>
      <c r="F22" t="str" cm="1">
        <f t="array" aca="1" ref="F22" ca="1">IFERROR(INDEX(MID(wsNames,FIND("]",wsNames)+1,255),ROWS(A$1:A22)),"")</f>
        <v/>
      </c>
      <c r="G22" t="s">
        <v>5904</v>
      </c>
      <c r="H22" s="116" t="s">
        <v>5905</v>
      </c>
    </row>
    <row r="23" spans="1:8">
      <c r="A23" t="str" cm="1">
        <f t="array" aca="1" ref="A23" ca="1">IFERROR(INDEX(MID(wsNames,FIND("]",wsNames)+1,255),ROWS(A$1:A23)),"")</f>
        <v/>
      </c>
      <c r="F23" t="str" cm="1">
        <f t="array" aca="1" ref="F23" ca="1">IFERROR(INDEX(MID(wsNames,FIND("]",wsNames)+1,255),ROWS(A$1:A23)),"")</f>
        <v/>
      </c>
      <c r="G23" t="s">
        <v>5906</v>
      </c>
      <c r="H23" s="116" t="s">
        <v>5907</v>
      </c>
    </row>
    <row r="24" spans="1:8" ht="25">
      <c r="A24" t="str" cm="1">
        <f t="array" aca="1" ref="A24" ca="1">IFERROR(INDEX(MID(wsNames,FIND("]",wsNames)+1,255),ROWS(A$1:A24)),"")</f>
        <v/>
      </c>
      <c r="F24" t="str" cm="1">
        <f t="array" aca="1" ref="F24" ca="1">IFERROR(INDEX(MID(wsNames,FIND("]",wsNames)+1,255),ROWS(A$1:A24)),"")</f>
        <v/>
      </c>
      <c r="G24" t="s">
        <v>5908</v>
      </c>
      <c r="H24" s="116" t="s">
        <v>5909</v>
      </c>
    </row>
    <row r="25" spans="1:8">
      <c r="A25" t="str" cm="1">
        <f t="array" aca="1" ref="A25" ca="1">IFERROR(INDEX(MID(wsNames,FIND("]",wsNames)+1,255),ROWS(A$1:A25)),"")</f>
        <v/>
      </c>
      <c r="F25" t="str" cm="1">
        <f t="array" aca="1" ref="F25" ca="1">IFERROR(INDEX(MID(wsNames,FIND("]",wsNames)+1,255),ROWS(A$1:A25)),"")</f>
        <v/>
      </c>
      <c r="G25" t="s">
        <v>5910</v>
      </c>
      <c r="H25" s="116" t="s">
        <v>5911</v>
      </c>
    </row>
    <row r="26" spans="1:8">
      <c r="A26" t="str" cm="1">
        <f t="array" aca="1" ref="A26" ca="1">IFERROR(INDEX(MID(wsNames,FIND("]",wsNames)+1,255),ROWS(A$1:A26)),"")</f>
        <v/>
      </c>
      <c r="F26" t="str" cm="1">
        <f t="array" aca="1" ref="F26" ca="1">IFERROR(INDEX(MID(wsNames,FIND("]",wsNames)+1,255),ROWS(A$1:A26)),"")</f>
        <v/>
      </c>
      <c r="G26" t="s">
        <v>159</v>
      </c>
      <c r="H26" s="116" t="s">
        <v>5912</v>
      </c>
    </row>
    <row r="27" spans="1:8">
      <c r="A27" t="str" cm="1">
        <f t="array" aca="1" ref="A27" ca="1">IFERROR(INDEX(MID(wsNames,FIND("]",wsNames)+1,255),ROWS(A$1:A27)),"")</f>
        <v/>
      </c>
      <c r="F27" t="str" cm="1">
        <f t="array" aca="1" ref="F27" ca="1">IFERROR(INDEX(MID(wsNames,FIND("]",wsNames)+1,255),ROWS(A$1:A27)),"")</f>
        <v/>
      </c>
      <c r="G27" t="s">
        <v>5913</v>
      </c>
      <c r="H27" s="116" t="s">
        <v>5914</v>
      </c>
    </row>
    <row r="28" spans="1:8">
      <c r="A28" t="str" cm="1">
        <f t="array" aca="1" ref="A28" ca="1">IFERROR(INDEX(MID(wsNames,FIND("]",wsNames)+1,255),ROWS(A$1:A28)),"")</f>
        <v/>
      </c>
      <c r="F28" t="str" cm="1">
        <f t="array" aca="1" ref="F28" ca="1">IFERROR(INDEX(MID(wsNames,FIND("]",wsNames)+1,255),ROWS(A$1:A28)),"")</f>
        <v/>
      </c>
      <c r="G28" t="s">
        <v>5915</v>
      </c>
      <c r="H28" s="116" t="s">
        <v>5916</v>
      </c>
    </row>
    <row r="29" spans="1:8">
      <c r="A29" t="str" cm="1">
        <f t="array" aca="1" ref="A29" ca="1">IFERROR(INDEX(MID(wsNames,FIND("]",wsNames)+1,255),ROWS(A$1:A29)),"")</f>
        <v/>
      </c>
      <c r="F29" t="str" cm="1">
        <f t="array" aca="1" ref="F29" ca="1">IFERROR(INDEX(MID(wsNames,FIND("]",wsNames)+1,255),ROWS(A$1:A29)),"")</f>
        <v/>
      </c>
      <c r="G29" t="s">
        <v>5917</v>
      </c>
      <c r="H29" s="116" t="s">
        <v>5918</v>
      </c>
    </row>
    <row r="30" spans="1:8">
      <c r="A30" t="str" cm="1">
        <f t="array" aca="1" ref="A30" ca="1">IFERROR(INDEX(MID(wsNames,FIND("]",wsNames)+1,255),ROWS(A$1:A30)),"")</f>
        <v/>
      </c>
      <c r="F30" t="str" cm="1">
        <f t="array" aca="1" ref="F30" ca="1">IFERROR(INDEX(MID(wsNames,FIND("]",wsNames)+1,255),ROWS(A$1:A30)),"")</f>
        <v/>
      </c>
      <c r="G30" t="s">
        <v>5919</v>
      </c>
      <c r="H30" s="116" t="s">
        <v>5920</v>
      </c>
    </row>
    <row r="31" spans="1:8">
      <c r="A31" t="str" cm="1">
        <f t="array" aca="1" ref="A31" ca="1">IFERROR(INDEX(MID(wsNames,FIND("]",wsNames)+1,255),ROWS(A$1:A31)),"")</f>
        <v/>
      </c>
      <c r="F31" t="str" cm="1">
        <f t="array" aca="1" ref="F31" ca="1">IFERROR(INDEX(MID(wsNames,FIND("]",wsNames)+1,255),ROWS(A$1:A31)),"")</f>
        <v/>
      </c>
      <c r="G31" t="s">
        <v>5921</v>
      </c>
      <c r="H31" s="116" t="s">
        <v>5922</v>
      </c>
    </row>
    <row r="32" spans="1:8">
      <c r="A32" t="str" cm="1">
        <f t="array" aca="1" ref="A32" ca="1">IFERROR(INDEX(MID(wsNames,FIND("]",wsNames)+1,255),ROWS(A$1:A32)),"")</f>
        <v/>
      </c>
      <c r="F32" t="str" cm="1">
        <f t="array" aca="1" ref="F32" ca="1">IFERROR(INDEX(MID(wsNames,FIND("]",wsNames)+1,255),ROWS(A$1:A32)),"")</f>
        <v/>
      </c>
      <c r="G32" t="s">
        <v>5923</v>
      </c>
      <c r="H32" s="116" t="s">
        <v>5924</v>
      </c>
    </row>
    <row r="33" spans="1:8">
      <c r="A33" t="str" cm="1">
        <f t="array" aca="1" ref="A33" ca="1">IFERROR(INDEX(MID(wsNames,FIND("]",wsNames)+1,255),ROWS(A$1:A33)),"")</f>
        <v/>
      </c>
      <c r="F33" t="str" cm="1">
        <f t="array" aca="1" ref="F33" ca="1">IFERROR(INDEX(MID(wsNames,FIND("]",wsNames)+1,255),ROWS(A$1:A33)),"")</f>
        <v/>
      </c>
      <c r="G33" t="s">
        <v>5925</v>
      </c>
      <c r="H33" s="116" t="s">
        <v>5926</v>
      </c>
    </row>
    <row r="34" spans="1:8">
      <c r="A34" t="str" cm="1">
        <f t="array" aca="1" ref="A34" ca="1">IFERROR(INDEX(MID(wsNames,FIND("]",wsNames)+1,255),ROWS(A$1:A34)),"")</f>
        <v/>
      </c>
      <c r="F34" t="str" cm="1">
        <f t="array" aca="1" ref="F34" ca="1">IFERROR(INDEX(MID(wsNames,FIND("]",wsNames)+1,255),ROWS(A$1:A34)),"")</f>
        <v/>
      </c>
      <c r="G34" t="s">
        <v>5927</v>
      </c>
      <c r="H34" s="116" t="s">
        <v>5927</v>
      </c>
    </row>
    <row r="35" spans="1:8" ht="25">
      <c r="A35" t="str" cm="1">
        <f t="array" aca="1" ref="A35" ca="1">IFERROR(INDEX(MID(wsNames,FIND("]",wsNames)+1,255),ROWS(A$1:A35)),"")</f>
        <v/>
      </c>
      <c r="F35" t="str" cm="1">
        <f t="array" aca="1" ref="F35" ca="1">IFERROR(INDEX(MID(wsNames,FIND("]",wsNames)+1,255),ROWS(A$1:A35)),"")</f>
        <v/>
      </c>
      <c r="G35" t="s">
        <v>5928</v>
      </c>
      <c r="H35" s="116" t="s">
        <v>5928</v>
      </c>
    </row>
    <row r="36" spans="1:8">
      <c r="A36" t="str" cm="1">
        <f t="array" aca="1" ref="A36" ca="1">IFERROR(INDEX(MID(wsNames,FIND("]",wsNames)+1,255),ROWS(A$1:A36)),"")</f>
        <v/>
      </c>
      <c r="F36" t="str" cm="1">
        <f t="array" aca="1" ref="F36" ca="1">IFERROR(INDEX(MID(wsNames,FIND("]",wsNames)+1,255),ROWS(A$1:A36)),"")</f>
        <v/>
      </c>
      <c r="G36" t="s">
        <v>166</v>
      </c>
      <c r="H36" s="116" t="s">
        <v>172</v>
      </c>
    </row>
    <row r="37" spans="1:8">
      <c r="A37" t="str" cm="1">
        <f t="array" aca="1" ref="A37" ca="1">IFERROR(INDEX(MID(wsNames,FIND("]",wsNames)+1,255),ROWS(A$1:A37)),"")</f>
        <v/>
      </c>
      <c r="F37" t="str" cm="1">
        <f t="array" aca="1" ref="F37" ca="1">IFERROR(INDEX(MID(wsNames,FIND("]",wsNames)+1,255),ROWS(A$1:A37)),"")</f>
        <v/>
      </c>
      <c r="G37" t="s">
        <v>171</v>
      </c>
      <c r="H37" s="116" t="s">
        <v>5929</v>
      </c>
    </row>
    <row r="38" spans="1:8">
      <c r="A38" t="str" cm="1">
        <f t="array" aca="1" ref="A38" ca="1">IFERROR(INDEX(MID(wsNames,FIND("]",wsNames)+1,255),ROWS(A$1:A38)),"")</f>
        <v/>
      </c>
      <c r="F38" t="str" cm="1">
        <f t="array" aca="1" ref="F38" ca="1">IFERROR(INDEX(MID(wsNames,FIND("]",wsNames)+1,255),ROWS(A$1:A38)),"")</f>
        <v/>
      </c>
      <c r="G38" t="s">
        <v>960</v>
      </c>
      <c r="H38" s="116" t="s">
        <v>5930</v>
      </c>
    </row>
    <row r="39" spans="1:8">
      <c r="A39" t="str" cm="1">
        <f t="array" aca="1" ref="A39" ca="1">IFERROR(INDEX(MID(wsNames,FIND("]",wsNames)+1,255),ROWS(A$1:A39)),"")</f>
        <v/>
      </c>
      <c r="F39" t="str" cm="1">
        <f t="array" aca="1" ref="F39" ca="1">IFERROR(INDEX(MID(wsNames,FIND("]",wsNames)+1,255),ROWS(A$1:A39)),"")</f>
        <v/>
      </c>
      <c r="G39" t="s">
        <v>962</v>
      </c>
      <c r="H39" s="116" t="s">
        <v>5931</v>
      </c>
    </row>
    <row r="40" spans="1:8">
      <c r="A40" t="str" cm="1">
        <f t="array" aca="1" ref="A40" ca="1">IFERROR(INDEX(MID(wsNames,FIND("]",wsNames)+1,255),ROWS(A$1:A40)),"")</f>
        <v/>
      </c>
      <c r="F40" t="str" cm="1">
        <f t="array" aca="1" ref="F40" ca="1">IFERROR(INDEX(MID(wsNames,FIND("]",wsNames)+1,255),ROWS(A$1:A40)),"")</f>
        <v/>
      </c>
      <c r="G40" t="s">
        <v>5932</v>
      </c>
      <c r="H40" s="116" t="s">
        <v>5933</v>
      </c>
    </row>
    <row r="41" spans="1:8">
      <c r="A41" t="str" cm="1">
        <f t="array" aca="1" ref="A41" ca="1">IFERROR(INDEX(MID(wsNames,FIND("]",wsNames)+1,255),ROWS(A$1:A41)),"")</f>
        <v/>
      </c>
      <c r="F41" t="str" cm="1">
        <f t="array" aca="1" ref="F41" ca="1">IFERROR(INDEX(MID(wsNames,FIND("]",wsNames)+1,255),ROWS(A$1:A41)),"")</f>
        <v/>
      </c>
      <c r="G41" t="s">
        <v>1009</v>
      </c>
      <c r="H41" s="116" t="s">
        <v>5934</v>
      </c>
    </row>
    <row r="42" spans="1:8">
      <c r="A42" t="str" cm="1">
        <f t="array" aca="1" ref="A42" ca="1">IFERROR(INDEX(MID(wsNames,FIND("]",wsNames)+1,255),ROWS(A$1:A42)),"")</f>
        <v/>
      </c>
      <c r="F42" t="str" cm="1">
        <f t="array" aca="1" ref="F42" ca="1">IFERROR(INDEX(MID(wsNames,FIND("]",wsNames)+1,255),ROWS(A$1:A42)),"")</f>
        <v/>
      </c>
      <c r="G42" t="s">
        <v>5935</v>
      </c>
      <c r="H42" s="116" t="s">
        <v>5936</v>
      </c>
    </row>
    <row r="43" spans="1:8">
      <c r="A43" t="str" cm="1">
        <f t="array" aca="1" ref="A43" ca="1">IFERROR(INDEX(MID(wsNames,FIND("]",wsNames)+1,255),ROWS(A$1:A43)),"")</f>
        <v/>
      </c>
      <c r="F43" t="str" cm="1">
        <f t="array" aca="1" ref="F43" ca="1">IFERROR(INDEX(MID(wsNames,FIND("]",wsNames)+1,255),ROWS(A$1:A43)),"")</f>
        <v/>
      </c>
      <c r="G43" t="s">
        <v>5937</v>
      </c>
      <c r="H43" s="116" t="s">
        <v>5938</v>
      </c>
    </row>
    <row r="44" spans="1:8">
      <c r="A44" t="str" cm="1">
        <f t="array" aca="1" ref="A44" ca="1">IFERROR(INDEX(MID(wsNames,FIND("]",wsNames)+1,255),ROWS(A$1:A44)),"")</f>
        <v/>
      </c>
      <c r="F44" t="str" cm="1">
        <f t="array" aca="1" ref="F44" ca="1">IFERROR(INDEX(MID(wsNames,FIND("]",wsNames)+1,255),ROWS(A$1:A44)),"")</f>
        <v/>
      </c>
      <c r="G44" t="s">
        <v>5939</v>
      </c>
      <c r="H44" s="116" t="s">
        <v>5940</v>
      </c>
    </row>
    <row r="45" spans="1:8">
      <c r="A45" t="str" cm="1">
        <f t="array" aca="1" ref="A45" ca="1">IFERROR(INDEX(MID(wsNames,FIND("]",wsNames)+1,255),ROWS(A$1:A45)),"")</f>
        <v/>
      </c>
      <c r="F45" t="str" cm="1">
        <f t="array" aca="1" ref="F45" ca="1">IFERROR(INDEX(MID(wsNames,FIND("]",wsNames)+1,255),ROWS(A$1:A45)),"")</f>
        <v/>
      </c>
      <c r="G45" t="s">
        <v>5941</v>
      </c>
      <c r="H45" s="116" t="s">
        <v>5942</v>
      </c>
    </row>
    <row r="46" spans="1:8">
      <c r="A46" t="str" cm="1">
        <f t="array" aca="1" ref="A46" ca="1">IFERROR(INDEX(MID(wsNames,FIND("]",wsNames)+1,255),ROWS(A$1:A46)),"")</f>
        <v/>
      </c>
      <c r="F46" t="str" cm="1">
        <f t="array" aca="1" ref="F46" ca="1">IFERROR(INDEX(MID(wsNames,FIND("]",wsNames)+1,255),ROWS(A$1:A46)),"")</f>
        <v/>
      </c>
      <c r="G46" t="s">
        <v>5943</v>
      </c>
      <c r="H46" s="116" t="s">
        <v>5944</v>
      </c>
    </row>
    <row r="47" spans="1:8">
      <c r="F47" t="str" cm="1">
        <f t="array" aca="1" ref="F47" ca="1">IFERROR(INDEX(MID(wsNames,FIND("]",wsNames)+1,255),ROWS(A$1:A47)),"")</f>
        <v/>
      </c>
      <c r="G47" t="s">
        <v>5945</v>
      </c>
      <c r="H47" s="116" t="s">
        <v>5946</v>
      </c>
    </row>
    <row r="48" spans="1:8">
      <c r="F48" t="str" cm="1">
        <f t="array" aca="1" ref="F48" ca="1">IFERROR(INDEX(MID(wsNames,FIND("]",wsNames)+1,255),ROWS(A$1:A48)),"")</f>
        <v/>
      </c>
      <c r="G48" t="s">
        <v>5947</v>
      </c>
      <c r="H48" s="116" t="s">
        <v>5948</v>
      </c>
    </row>
    <row r="49" spans="6:8">
      <c r="F49" t="str" cm="1">
        <f t="array" aca="1" ref="F49" ca="1">IFERROR(INDEX(MID(wsNames,FIND("]",wsNames)+1,255),ROWS(A$1:A49)),"")</f>
        <v/>
      </c>
      <c r="G49" t="s">
        <v>5949</v>
      </c>
      <c r="H49" s="116" t="s">
        <v>5950</v>
      </c>
    </row>
    <row r="50" spans="6:8">
      <c r="H50" s="116"/>
    </row>
    <row r="51" spans="6:8">
      <c r="F51" t="str" cm="1">
        <f t="array" aca="1" ref="F51" ca="1">IFERROR(INDEX(MID(wsNames,FIND("]",wsNames)+1,255),ROWS(A$1:A51)),"")</f>
        <v/>
      </c>
      <c r="G51" t="s">
        <v>5951</v>
      </c>
      <c r="H51" s="116" t="s">
        <v>5952</v>
      </c>
    </row>
    <row r="52" spans="6:8">
      <c r="F52" t="str" cm="1">
        <f t="array" aca="1" ref="F52" ca="1">IFERROR(INDEX(MID(wsNames,FIND("]",wsNames)+1,255),ROWS(A$1:A52)),"")</f>
        <v/>
      </c>
      <c r="G52" t="s">
        <v>5953</v>
      </c>
      <c r="H52" s="116" t="s">
        <v>5954</v>
      </c>
    </row>
    <row r="53" spans="6:8">
      <c r="F53" t="str" cm="1">
        <f t="array" aca="1" ref="F53" ca="1">IFERROR(INDEX(MID(wsNames,FIND("]",wsNames)+1,255),ROWS(A$1:A53)),"")</f>
        <v/>
      </c>
      <c r="G53" t="s">
        <v>5955</v>
      </c>
      <c r="H53" s="116" t="s">
        <v>5956</v>
      </c>
    </row>
    <row r="54" spans="6:8">
      <c r="F54" t="str" cm="1">
        <f t="array" aca="1" ref="F54" ca="1">IFERROR(INDEX(MID(wsNames,FIND("]",wsNames)+1,255),ROWS(A$1:A54)),"")</f>
        <v/>
      </c>
      <c r="G54" t="s">
        <v>5957</v>
      </c>
      <c r="H54" s="116" t="s">
        <v>5957</v>
      </c>
    </row>
    <row r="55" spans="6:8">
      <c r="F55" t="str" cm="1">
        <f t="array" aca="1" ref="F55" ca="1">IFERROR(INDEX(MID(wsNames,FIND("]",wsNames)+1,255),ROWS(A$1:A55)),"")</f>
        <v/>
      </c>
      <c r="G55" t="s">
        <v>5958</v>
      </c>
      <c r="H55" s="116" t="s">
        <v>5958</v>
      </c>
    </row>
    <row r="56" spans="6:8">
      <c r="F56" t="str" cm="1">
        <f t="array" aca="1" ref="F56" ca="1">IFERROR(INDEX(MID(wsNames,FIND("]",wsNames)+1,255),ROWS(A$1:A56)),"")</f>
        <v/>
      </c>
      <c r="G56" t="s">
        <v>5959</v>
      </c>
      <c r="H56" s="116" t="s">
        <v>5959</v>
      </c>
    </row>
    <row r="57" spans="6:8" ht="25">
      <c r="F57" t="str" cm="1">
        <f t="array" aca="1" ref="F57" ca="1">IFERROR(INDEX(MID(wsNames,FIND("]",wsNames)+1,255),ROWS(A$1:A57)),"")</f>
        <v/>
      </c>
      <c r="G57" t="s">
        <v>5960</v>
      </c>
      <c r="H57" s="116" t="s">
        <v>5960</v>
      </c>
    </row>
    <row r="58" spans="6:8">
      <c r="F58" t="str" cm="1">
        <f t="array" aca="1" ref="F58" ca="1">IFERROR(INDEX(MID(wsNames,FIND("]",wsNames)+1,255),ROWS(A$1:A58)),"")</f>
        <v/>
      </c>
      <c r="G58" t="s">
        <v>5961</v>
      </c>
      <c r="H58" s="116" t="s">
        <v>5962</v>
      </c>
    </row>
    <row r="59" spans="6:8">
      <c r="F59" t="str" cm="1">
        <f t="array" aca="1" ref="F59" ca="1">IFERROR(INDEX(MID(wsNames,FIND("]",wsNames)+1,255),ROWS(A$1:A59)),"")</f>
        <v/>
      </c>
      <c r="G59" t="s">
        <v>127</v>
      </c>
      <c r="H59" s="116" t="s">
        <v>5963</v>
      </c>
    </row>
    <row r="60" spans="6:8">
      <c r="F60" t="str" cm="1">
        <f t="array" aca="1" ref="F60" ca="1">IFERROR(INDEX(MID(wsNames,FIND("]",wsNames)+1,255),ROWS(A$1:A60)),"")</f>
        <v/>
      </c>
      <c r="G60" t="s">
        <v>5964</v>
      </c>
      <c r="H60" s="116" t="s">
        <v>5965</v>
      </c>
    </row>
    <row r="61" spans="6:8">
      <c r="F61" t="str" cm="1">
        <f t="array" aca="1" ref="F61" ca="1">IFERROR(INDEX(MID(wsNames,FIND("]",wsNames)+1,255),ROWS(A$1:A61)),"")</f>
        <v/>
      </c>
      <c r="G61" t="s">
        <v>5966</v>
      </c>
      <c r="H61" s="116" t="s">
        <v>5967</v>
      </c>
    </row>
    <row r="62" spans="6:8">
      <c r="F62" t="str" cm="1">
        <f t="array" aca="1" ref="F62" ca="1">IFERROR(INDEX(MID(wsNames,FIND("]",wsNames)+1,255),ROWS(A$1:A62)),"")</f>
        <v/>
      </c>
      <c r="G62" t="s">
        <v>5968</v>
      </c>
      <c r="H62" s="116" t="s">
        <v>5969</v>
      </c>
    </row>
    <row r="63" spans="6:8">
      <c r="F63" t="str" cm="1">
        <f t="array" aca="1" ref="F63" ca="1">IFERROR(INDEX(MID(wsNames,FIND("]",wsNames)+1,255),ROWS(A$1:A63)),"")</f>
        <v/>
      </c>
      <c r="G63" t="s">
        <v>5970</v>
      </c>
      <c r="H63" s="116" t="s">
        <v>5971</v>
      </c>
    </row>
    <row r="64" spans="6:8">
      <c r="F64" t="str" cm="1">
        <f t="array" aca="1" ref="F64" ca="1">IFERROR(INDEX(MID(wsNames,FIND("]",wsNames)+1,255),ROWS(A$1:A64)),"")</f>
        <v/>
      </c>
      <c r="G64" t="s">
        <v>5972</v>
      </c>
      <c r="H64" s="116" t="s">
        <v>5973</v>
      </c>
    </row>
    <row r="65" spans="6:8">
      <c r="F65" t="str" cm="1">
        <f t="array" aca="1" ref="F65" ca="1">IFERROR(INDEX(MID(wsNames,FIND("]",wsNames)+1,255),ROWS(A$1:A65)),"")</f>
        <v/>
      </c>
      <c r="G65" t="s">
        <v>5974</v>
      </c>
      <c r="H65" s="116" t="s">
        <v>5975</v>
      </c>
    </row>
    <row r="66" spans="6:8">
      <c r="F66" t="str" cm="1">
        <f t="array" aca="1" ref="F66" ca="1">IFERROR(INDEX(MID(wsNames,FIND("]",wsNames)+1,255),ROWS(A$1:A66)),"")</f>
        <v/>
      </c>
      <c r="G66" t="s">
        <v>5976</v>
      </c>
      <c r="H66" s="116" t="s">
        <v>5977</v>
      </c>
    </row>
    <row r="67" spans="6:8">
      <c r="F67" t="str" cm="1">
        <f t="array" aca="1" ref="F67" ca="1">IFERROR(INDEX(MID(wsNames,FIND("]",wsNames)+1,255),ROWS(A$1:A67)),"")</f>
        <v/>
      </c>
      <c r="G67" t="s">
        <v>5978</v>
      </c>
      <c r="H67" s="116" t="s">
        <v>5979</v>
      </c>
    </row>
    <row r="68" spans="6:8">
      <c r="F68" t="str" cm="1">
        <f t="array" aca="1" ref="F68" ca="1">IFERROR(INDEX(MID(wsNames,FIND("]",wsNames)+1,255),ROWS(A$1:A68)),"")</f>
        <v/>
      </c>
      <c r="G68" t="s">
        <v>5980</v>
      </c>
      <c r="H68" s="116" t="s">
        <v>5981</v>
      </c>
    </row>
    <row r="69" spans="6:8">
      <c r="F69" t="str" cm="1">
        <f t="array" aca="1" ref="F69" ca="1">IFERROR(INDEX(MID(wsNames,FIND("]",wsNames)+1,255),ROWS(A$1:A69)),"")</f>
        <v/>
      </c>
      <c r="G69" t="s">
        <v>5982</v>
      </c>
      <c r="H69" s="116" t="s">
        <v>5983</v>
      </c>
    </row>
    <row r="70" spans="6:8">
      <c r="F70" t="str" cm="1">
        <f t="array" aca="1" ref="F70" ca="1">IFERROR(INDEX(MID(wsNames,FIND("]",wsNames)+1,255),ROWS(A$1:A70)),"")</f>
        <v/>
      </c>
      <c r="G70" t="s">
        <v>5984</v>
      </c>
      <c r="H70" s="116" t="s">
        <v>5985</v>
      </c>
    </row>
    <row r="71" spans="6:8">
      <c r="F71" t="str" cm="1">
        <f t="array" aca="1" ref="F71" ca="1">IFERROR(INDEX(MID(wsNames,FIND("]",wsNames)+1,255),ROWS(A$1:A71)),"")</f>
        <v/>
      </c>
      <c r="G71" t="s">
        <v>5986</v>
      </c>
      <c r="H71" s="116" t="s">
        <v>5080</v>
      </c>
    </row>
    <row r="72" spans="6:8">
      <c r="F72" t="str" cm="1">
        <f t="array" aca="1" ref="F72" ca="1">IFERROR(INDEX(MID(wsNames,FIND("]",wsNames)+1,255),ROWS(A$1:A72)),"")</f>
        <v/>
      </c>
      <c r="G72" t="s">
        <v>5987</v>
      </c>
      <c r="H72" s="116" t="s">
        <v>5988</v>
      </c>
    </row>
    <row r="73" spans="6:8">
      <c r="F73" t="str" cm="1">
        <f t="array" aca="1" ref="F73" ca="1">IFERROR(INDEX(MID(wsNames,FIND("]",wsNames)+1,255),ROWS(A$1:A73)),"")</f>
        <v/>
      </c>
      <c r="G73" t="s">
        <v>5989</v>
      </c>
      <c r="H73" s="116" t="s">
        <v>5990</v>
      </c>
    </row>
    <row r="74" spans="6:8">
      <c r="F74" t="str" cm="1">
        <f t="array" aca="1" ref="F74" ca="1">IFERROR(INDEX(MID(wsNames,FIND("]",wsNames)+1,255),ROWS(A$1:A74)),"")</f>
        <v/>
      </c>
      <c r="G74" t="s">
        <v>5991</v>
      </c>
      <c r="H74" s="116" t="s">
        <v>5141</v>
      </c>
    </row>
    <row r="75" spans="6:8">
      <c r="F75" t="str" cm="1">
        <f t="array" aca="1" ref="F75" ca="1">IFERROR(INDEX(MID(wsNames,FIND("]",wsNames)+1,255),ROWS(A$1:A75)),"")</f>
        <v/>
      </c>
      <c r="G75" t="s">
        <v>5992</v>
      </c>
      <c r="H75" s="116" t="s">
        <v>5993</v>
      </c>
    </row>
    <row r="76" spans="6:8">
      <c r="F76" t="str" cm="1">
        <f t="array" aca="1" ref="F76" ca="1">IFERROR(INDEX(MID(wsNames,FIND("]",wsNames)+1,255),ROWS(A$1:A76)),"")</f>
        <v/>
      </c>
      <c r="G76" t="s">
        <v>5994</v>
      </c>
      <c r="H76" s="116" t="s">
        <v>5995</v>
      </c>
    </row>
    <row r="77" spans="6:8">
      <c r="F77" t="str" cm="1">
        <f t="array" aca="1" ref="F77" ca="1">IFERROR(INDEX(MID(wsNames,FIND("]",wsNames)+1,255),ROWS(A$1:A77)),"")</f>
        <v/>
      </c>
      <c r="G77" t="s">
        <v>5996</v>
      </c>
      <c r="H77" s="116" t="s">
        <v>5997</v>
      </c>
    </row>
    <row r="78" spans="6:8">
      <c r="F78" t="str" cm="1">
        <f t="array" aca="1" ref="F78" ca="1">IFERROR(INDEX(MID(wsNames,FIND("]",wsNames)+1,255),ROWS(A$1:A78)),"")</f>
        <v/>
      </c>
      <c r="G78" t="s">
        <v>5998</v>
      </c>
      <c r="H78" s="116" t="s">
        <v>5999</v>
      </c>
    </row>
    <row r="79" spans="6:8">
      <c r="F79" t="str" cm="1">
        <f t="array" aca="1" ref="F79" ca="1">IFERROR(INDEX(MID(wsNames,FIND("]",wsNames)+1,255),ROWS(A$1:A79)),"")</f>
        <v/>
      </c>
      <c r="G79" t="s">
        <v>6000</v>
      </c>
      <c r="H79" s="116" t="s">
        <v>6001</v>
      </c>
    </row>
    <row r="80" spans="6:8">
      <c r="F80" t="str" cm="1">
        <f t="array" aca="1" ref="F80" ca="1">IFERROR(INDEX(MID(wsNames,FIND("]",wsNames)+1,255),ROWS(A$1:A80)),"")</f>
        <v/>
      </c>
      <c r="G80" t="s">
        <v>6002</v>
      </c>
      <c r="H80" s="116" t="s">
        <v>6003</v>
      </c>
    </row>
    <row r="81" spans="6:8">
      <c r="F81" t="str" cm="1">
        <f t="array" aca="1" ref="F81" ca="1">IFERROR(INDEX(MID(wsNames,FIND("]",wsNames)+1,255),ROWS(A$1:A81)),"")</f>
        <v/>
      </c>
      <c r="G81" t="s">
        <v>6004</v>
      </c>
      <c r="H81" s="116" t="s">
        <v>5766</v>
      </c>
    </row>
    <row r="82" spans="6:8">
      <c r="F82" t="str" cm="1">
        <f t="array" aca="1" ref="F82" ca="1">IFERROR(INDEX(MID(wsNames,FIND("]",wsNames)+1,255),ROWS(A$1:A82)),"")</f>
        <v/>
      </c>
      <c r="G82" t="s">
        <v>6005</v>
      </c>
      <c r="H82" s="116" t="s">
        <v>5827</v>
      </c>
    </row>
    <row r="83" spans="6:8">
      <c r="F83" t="str" cm="1">
        <f t="array" aca="1" ref="F83" ca="1">IFERROR(INDEX(MID(wsNames,FIND("]",wsNames)+1,255),ROWS(A$1:A83)),"")</f>
        <v/>
      </c>
      <c r="G83" t="s">
        <v>6006</v>
      </c>
      <c r="H83" s="116" t="s">
        <v>5292</v>
      </c>
    </row>
    <row r="84" spans="6:8">
      <c r="F84" t="str" cm="1">
        <f t="array" aca="1" ref="F84" ca="1">IFERROR(INDEX(MID(wsNames,FIND("]",wsNames)+1,255),ROWS(A$1:A84)),"")</f>
        <v/>
      </c>
      <c r="G84" t="s">
        <v>6007</v>
      </c>
      <c r="H84" s="116" t="s">
        <v>6008</v>
      </c>
    </row>
    <row r="85" spans="6:8">
      <c r="F85" t="str" cm="1">
        <f t="array" aca="1" ref="F85" ca="1">IFERROR(INDEX(MID(wsNames,FIND("]",wsNames)+1,255),ROWS(A$1:A85)),"")</f>
        <v/>
      </c>
      <c r="G85" t="s">
        <v>6009</v>
      </c>
      <c r="H85" s="116" t="s">
        <v>6010</v>
      </c>
    </row>
    <row r="86" spans="6:8">
      <c r="F86" t="str" cm="1">
        <f t="array" aca="1" ref="F86" ca="1">IFERROR(INDEX(MID(wsNames,FIND("]",wsNames)+1,255),ROWS(A$1:A86)),"")</f>
        <v/>
      </c>
      <c r="G86" t="s">
        <v>6011</v>
      </c>
      <c r="H86" s="116" t="s">
        <v>6012</v>
      </c>
    </row>
    <row r="87" spans="6:8">
      <c r="F87" t="str" cm="1">
        <f t="array" aca="1" ref="F87" ca="1">IFERROR(INDEX(MID(wsNames,FIND("]",wsNames)+1,255),ROWS(A$1:A87)),"")</f>
        <v/>
      </c>
      <c r="G87" t="s">
        <v>6013</v>
      </c>
      <c r="H87" s="116" t="s">
        <v>6014</v>
      </c>
    </row>
    <row r="88" spans="6:8">
      <c r="F88" t="str" cm="1">
        <f t="array" aca="1" ref="F88" ca="1">IFERROR(INDEX(MID(wsNames,FIND("]",wsNames)+1,255),ROWS(A$1:A88)),"")</f>
        <v/>
      </c>
      <c r="G88" t="s">
        <v>6015</v>
      </c>
      <c r="H88" s="116" t="s">
        <v>5636</v>
      </c>
    </row>
    <row r="89" spans="6:8">
      <c r="F89" t="str" cm="1">
        <f t="array" aca="1" ref="F89" ca="1">IFERROR(INDEX(MID(wsNames,FIND("]",wsNames)+1,255),ROWS(A$1:A89)),"")</f>
        <v/>
      </c>
      <c r="G89" t="s">
        <v>6016</v>
      </c>
      <c r="H89" s="116" t="s">
        <v>6017</v>
      </c>
    </row>
    <row r="90" spans="6:8">
      <c r="F90" t="str" cm="1">
        <f t="array" aca="1" ref="F90" ca="1">IFERROR(INDEX(MID(wsNames,FIND("]",wsNames)+1,255),ROWS(A$1:A90)),"")</f>
        <v/>
      </c>
      <c r="G90" t="s">
        <v>6018</v>
      </c>
      <c r="H90" s="116" t="s">
        <v>6019</v>
      </c>
    </row>
    <row r="91" spans="6:8">
      <c r="F91" t="str" cm="1">
        <f t="array" aca="1" ref="F91" ca="1">IFERROR(INDEX(MID(wsNames,FIND("]",wsNames)+1,255),ROWS(A$1:A91)),"")</f>
        <v/>
      </c>
      <c r="G91" t="s">
        <v>6020</v>
      </c>
      <c r="H91" s="116" t="s">
        <v>6020</v>
      </c>
    </row>
    <row r="92" spans="6:8">
      <c r="F92" t="str" cm="1">
        <f t="array" aca="1" ref="F92" ca="1">IFERROR(INDEX(MID(wsNames,FIND("]",wsNames)+1,255),ROWS(A$1:A92)),"")</f>
        <v/>
      </c>
      <c r="G92" t="s">
        <v>6021</v>
      </c>
      <c r="H92" s="116" t="s">
        <v>5766</v>
      </c>
    </row>
    <row r="93" spans="6:8">
      <c r="F93" t="str" cm="1">
        <f t="array" aca="1" ref="F93" ca="1">IFERROR(INDEX(MID(wsNames,FIND("]",wsNames)+1,255),ROWS(A$1:A93)),"")</f>
        <v/>
      </c>
      <c r="G93" t="s">
        <v>6022</v>
      </c>
      <c r="H93" s="116" t="s">
        <v>5827</v>
      </c>
    </row>
    <row r="95" spans="6:8">
      <c r="F95" t="str" cm="1">
        <f t="array" aca="1" ref="F95" ca="1">IFERROR(INDEX(MID(wsNames,FIND("]",wsNames)+1,255),ROWS(A$1:A95)),"")</f>
        <v/>
      </c>
    </row>
    <row r="96" spans="6:8">
      <c r="F96" t="str" cm="1">
        <f t="array" aca="1" ref="F96" ca="1">IFERROR(INDEX(MID(wsNames,FIND("]",wsNames)+1,255),ROWS(A$1:A96)),"")</f>
        <v/>
      </c>
    </row>
    <row r="97" spans="6:6">
      <c r="F97" t="str" cm="1">
        <f t="array" aca="1" ref="F97" ca="1">IFERROR(INDEX(MID(wsNames,FIND("]",wsNames)+1,255),ROWS(A$1:A97)),"")</f>
        <v/>
      </c>
    </row>
    <row r="98" spans="6:6">
      <c r="F98" t="str" cm="1">
        <f t="array" aca="1" ref="F98" ca="1">IFERROR(INDEX(MID(wsNames,FIND("]",wsNames)+1,255),ROWS(A$1:A98)),"")</f>
        <v/>
      </c>
    </row>
    <row r="99" spans="6:6">
      <c r="F99" t="str" cm="1">
        <f t="array" aca="1" ref="F99" ca="1">IFERROR(INDEX(MID(wsNames,FIND("]",wsNames)+1,255),ROWS(A$1:A99)),"")</f>
        <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1b5d2149-feca-48c3-90a4-9f9d5f746744">
      <Terms xmlns="http://schemas.microsoft.com/office/infopath/2007/PartnerControls"/>
    </lcf76f155ced4ddcb4097134ff3c332f>
    <TaxCatchAll xmlns="b82f1189-64d0-4da8-a3e0-1814b4a6b8e2" xsi:nil="true"/>
    <_ip_UnifiedCompliancePolicyUIAction xmlns="http://schemas.microsoft.com/sharepoint/v3" xsi:nil="true"/>
    <_ip_UnifiedCompliancePolicyProperties xmlns="http://schemas.microsoft.com/sharepoint/v3"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1688EF933E3CEE4E89CC912B52A00051" ma:contentTypeVersion="14" ma:contentTypeDescription="Create a new document." ma:contentTypeScope="" ma:versionID="846cda7f7c0cc057b4440eb9346b4768">
  <xsd:schema xmlns:xsd="http://www.w3.org/2001/XMLSchema" xmlns:xs="http://www.w3.org/2001/XMLSchema" xmlns:p="http://schemas.microsoft.com/office/2006/metadata/properties" xmlns:ns1="http://schemas.microsoft.com/sharepoint/v3" xmlns:ns2="1b5d2149-feca-48c3-90a4-9f9d5f746744" xmlns:ns3="b82f1189-64d0-4da8-a3e0-1814b4a6b8e2" targetNamespace="http://schemas.microsoft.com/office/2006/metadata/properties" ma:root="true" ma:fieldsID="d0f85f115fe68103e4f6791819f4fe22" ns1:_="" ns2:_="" ns3:_="">
    <xsd:import namespace="http://schemas.microsoft.com/sharepoint/v3"/>
    <xsd:import namespace="1b5d2149-feca-48c3-90a4-9f9d5f746744"/>
    <xsd:import namespace="b82f1189-64d0-4da8-a3e0-1814b4a6b8e2"/>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lcf76f155ced4ddcb4097134ff3c332f" minOccurs="0"/>
                <xsd:element ref="ns3:TaxCatchAll" minOccurs="0"/>
                <xsd:element ref="ns2:MediaServiceDateTaken" minOccurs="0"/>
                <xsd:element ref="ns2:MediaServiceOCR" minOccurs="0"/>
                <xsd:element ref="ns2:MediaServiceGenerationTime" minOccurs="0"/>
                <xsd:element ref="ns2:MediaServiceEventHashCode" minOccurs="0"/>
                <xsd:element ref="ns2:MediaLengthInSeconds" minOccurs="0"/>
                <xsd:element ref="ns1:_ip_UnifiedCompliancePolicyProperties" minOccurs="0"/>
                <xsd:element ref="ns1:_ip_UnifiedCompliancePolicyUIAc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0" nillable="true" ma:displayName="Unified Compliance Policy Properties" ma:hidden="true" ma:internalName="_ip_UnifiedCompliancePolicyProperties">
      <xsd:simpleType>
        <xsd:restriction base="dms:Note"/>
      </xsd:simpleType>
    </xsd:element>
    <xsd:element name="_ip_UnifiedCompliancePolicyUIAction" ma:index="21"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1b5d2149-feca-48c3-90a4-9f9d5f74674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8017ea5f-0513-4259-8ddd-76a3395dd521" ma:termSetId="09814cd3-568e-fe90-9814-8d621ff8fb84" ma:anchorId="fba54fb3-c3e1-fe81-a776-ca4b69148c4d" ma:open="true" ma:isKeyword="false">
      <xsd:complexType>
        <xsd:sequence>
          <xsd:element ref="pc:Terms" minOccurs="0" maxOccurs="1"/>
        </xsd:sequence>
      </xsd:complexType>
    </xsd:element>
    <xsd:element name="MediaServiceDateTaken" ma:index="15" nillable="true" ma:displayName="MediaServiceDateTaken" ma:hidden="true" ma:indexed="true" ma:internalName="MediaServiceDateTake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2f1189-64d0-4da8-a3e0-1814b4a6b8e2"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6bccda28-6c82-4bed-b9d7-1d1ec835d6d2}" ma:internalName="TaxCatchAll" ma:showField="CatchAllData" ma:web="b82f1189-64d0-4da8-a3e0-1814b4a6b8e2">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3CF8F2D-660A-445A-A831-BA9432CFE133}">
  <ds:schemaRefs>
    <ds:schemaRef ds:uri="http://www.w3.org/XML/1998/namespace"/>
    <ds:schemaRef ds:uri="1b5d2149-feca-48c3-90a4-9f9d5f746744"/>
    <ds:schemaRef ds:uri="http://purl.org/dc/dcmitype/"/>
    <ds:schemaRef ds:uri="http://purl.org/dc/terms/"/>
    <ds:schemaRef ds:uri="http://schemas.microsoft.com/office/infopath/2007/PartnerControls"/>
    <ds:schemaRef ds:uri="http://schemas.microsoft.com/office/2006/documentManagement/types"/>
    <ds:schemaRef ds:uri="http://schemas.microsoft.com/sharepoint/v3"/>
    <ds:schemaRef ds:uri="http://schemas.openxmlformats.org/package/2006/metadata/core-properties"/>
    <ds:schemaRef ds:uri="b82f1189-64d0-4da8-a3e0-1814b4a6b8e2"/>
    <ds:schemaRef ds:uri="http://schemas.microsoft.com/office/2006/metadata/properties"/>
    <ds:schemaRef ds:uri="http://purl.org/dc/elements/1.1/"/>
  </ds:schemaRefs>
</ds:datastoreItem>
</file>

<file path=customXml/itemProps2.xml><?xml version="1.0" encoding="utf-8"?>
<ds:datastoreItem xmlns:ds="http://schemas.openxmlformats.org/officeDocument/2006/customXml" ds:itemID="{D5226B36-355C-472A-9628-569E2A54FCC4}">
  <ds:schemaRefs>
    <ds:schemaRef ds:uri="http://schemas.microsoft.com/sharepoint/v3/contenttype/forms"/>
  </ds:schemaRefs>
</ds:datastoreItem>
</file>

<file path=customXml/itemProps3.xml><?xml version="1.0" encoding="utf-8"?>
<ds:datastoreItem xmlns:ds="http://schemas.openxmlformats.org/officeDocument/2006/customXml" ds:itemID="{2E2CB3D3-B5C5-44EA-98D0-30FAFAE4A9B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1b5d2149-feca-48c3-90a4-9f9d5f746744"/>
    <ds:schemaRef ds:uri="b82f1189-64d0-4da8-a3e0-1814b4a6b8e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94</vt:i4>
      </vt:variant>
      <vt:variant>
        <vt:lpstr>Named Ranges</vt:lpstr>
      </vt:variant>
      <vt:variant>
        <vt:i4>2</vt:i4>
      </vt:variant>
    </vt:vector>
  </HeadingPairs>
  <TitlesOfParts>
    <vt:vector size="96" baseType="lpstr">
      <vt:lpstr>Change Control Summary</vt:lpstr>
      <vt:lpstr>Instructions</vt:lpstr>
      <vt:lpstr>Open Items</vt:lpstr>
      <vt:lpstr>Notes</vt:lpstr>
      <vt:lpstr>SourceFields</vt:lpstr>
      <vt:lpstr>KeyReviewSheet</vt:lpstr>
      <vt:lpstr>SourceFieldDetails</vt:lpstr>
      <vt:lpstr>MasterFieldCIMappingsheet</vt:lpstr>
      <vt:lpstr>UserToAgsPermission ETL</vt:lpstr>
      <vt:lpstr>1. ACCOUNT</vt:lpstr>
      <vt:lpstr>2a. PROFITLOSSLITE - PLL</vt:lpstr>
      <vt:lpstr>13. ACCOUNTGROUPSECURE</vt:lpstr>
      <vt:lpstr>12.FAMILY To ACCOUNTGROUPSECURE</vt:lpstr>
      <vt:lpstr>2b. PROFITLOSSLITE-PLLTAXM</vt:lpstr>
      <vt:lpstr>4. TRANSACTIONS</vt:lpstr>
      <vt:lpstr>4.1.TRANS (Projected Income)</vt:lpstr>
      <vt:lpstr>5. SMCOMMON</vt:lpstr>
      <vt:lpstr>5a. SMCOMMON (Index Bench)</vt:lpstr>
      <vt:lpstr>6a USERGROUP</vt:lpstr>
      <vt:lpstr>6b USERGROUP_BEAMUSER - NEW</vt:lpstr>
      <vt:lpstr>6b USERGROUP_BEAMUSER</vt:lpstr>
      <vt:lpstr>6c USERGROUP_ACL - NEW</vt:lpstr>
      <vt:lpstr>6c USERGROUP_ACL</vt:lpstr>
      <vt:lpstr>6d USERGROUPUSERROLES - NEW</vt:lpstr>
      <vt:lpstr>6d USERGROUPUSERROLES</vt:lpstr>
      <vt:lpstr>7a. PERFSUMMARY</vt:lpstr>
      <vt:lpstr>7b. PERFSUMMARY-Characteristics</vt:lpstr>
      <vt:lpstr>8a. BenchmarkDaily</vt:lpstr>
      <vt:lpstr>8b. BENCHMARK-Jupiter only Mark</vt:lpstr>
      <vt:lpstr>8b1. BENCHMARK-Jupiter only Mar</vt:lpstr>
      <vt:lpstr>8c. BenchmarkObjectAssociation</vt:lpstr>
      <vt:lpstr>8d. RESET_BenchmarkObjectAssoc</vt:lpstr>
      <vt:lpstr>8e. TEMP_BenchmarkObjectAssoc</vt:lpstr>
      <vt:lpstr>SNAPSHOT INVALIDATION</vt:lpstr>
      <vt:lpstr>SNAPSHOTACCTGRPSEC INVALIDATION</vt:lpstr>
      <vt:lpstr>9. FAMILY</vt:lpstr>
      <vt:lpstr>10. FAMILYMEMBER</vt:lpstr>
      <vt:lpstr>11. FAMILYMEMBER to ACCOUNT</vt:lpstr>
      <vt:lpstr>17. USERS</vt:lpstr>
      <vt:lpstr>17a. USERDATA</vt:lpstr>
      <vt:lpstr>18. USER to ACCOUNT </vt:lpstr>
      <vt:lpstr>20. USER to SECROLE</vt:lpstr>
      <vt:lpstr>51. SecUserMayBecome</vt:lpstr>
      <vt:lpstr>23. PARTYOFINTEREST (Internal)</vt:lpstr>
      <vt:lpstr>24. POI to ACCOUNT (Internal)</vt:lpstr>
      <vt:lpstr>23b. PARTYOFINTEREST (External)</vt:lpstr>
      <vt:lpstr>24b. POI to ACCOUNT (External)</vt:lpstr>
      <vt:lpstr>25a. POI_ACCOUNTROLES(External)</vt:lpstr>
      <vt:lpstr>(DISABLED) 23a.RELMGR(INTERNAL)</vt:lpstr>
      <vt:lpstr>(DISABLED)24a.RM_ACCT(INTERNAL)</vt:lpstr>
      <vt:lpstr>23d. RELMGR (Team)</vt:lpstr>
      <vt:lpstr>24c. POI to ACCOUNT (Team)</vt:lpstr>
      <vt:lpstr>25b. POI_ACCOUNT ROLES (Team)</vt:lpstr>
      <vt:lpstr>TRANSACTIONS (TRX NB only)</vt:lpstr>
      <vt:lpstr>USERS (Ext NB Only)</vt:lpstr>
      <vt:lpstr>USER to ACCOUNT (Ext NB Only)</vt:lpstr>
      <vt:lpstr>USERtoCLIENT ROLE (Ext NB Only)</vt:lpstr>
      <vt:lpstr>26. AGGREGATETRANSACTION</vt:lpstr>
      <vt:lpstr>3. PROFITLOSS</vt:lpstr>
      <vt:lpstr>6a. SMFIXEDINCOME</vt:lpstr>
      <vt:lpstr>6b. SMFUND</vt:lpstr>
      <vt:lpstr>7b. PERFORMANCEDAILY</vt:lpstr>
      <vt:lpstr>8c. INDUSTRY</vt:lpstr>
      <vt:lpstr>11. FAMILY to USER</vt:lpstr>
      <vt:lpstr>15. FIRM</vt:lpstr>
      <vt:lpstr>16. FUND</vt:lpstr>
      <vt:lpstr>19. USER to ACCOUNTGROUP</vt:lpstr>
      <vt:lpstr>21.SECURITYDECOMPOSITION</vt:lpstr>
      <vt:lpstr>22.MARKETDATAHISTORY</vt:lpstr>
      <vt:lpstr>25. POI to FAMILY </vt:lpstr>
      <vt:lpstr>27. DAILY</vt:lpstr>
      <vt:lpstr>28. CODESETSECURE</vt:lpstr>
      <vt:lpstr>29. INCOMETAX</vt:lpstr>
      <vt:lpstr>30. WIREINSTRUCTIONS</vt:lpstr>
      <vt:lpstr>31. CURRENTPRICE</vt:lpstr>
      <vt:lpstr>32. HOLIDAYCALENDARDATE</vt:lpstr>
      <vt:lpstr>33. FEERESULTS</vt:lpstr>
      <vt:lpstr>34. NCABALANCE</vt:lpstr>
      <vt:lpstr>35. PIPES</vt:lpstr>
      <vt:lpstr>36. SECURITIESOFINTEREST</vt:lpstr>
      <vt:lpstr>39. MODELPORTFOLIO</vt:lpstr>
      <vt:lpstr>40. MODELPORTFOLIOHOLDING</vt:lpstr>
      <vt:lpstr>41. ADDRESS</vt:lpstr>
      <vt:lpstr>42. COMMENTABLE</vt:lpstr>
      <vt:lpstr>50. BENEFICIARYBANK</vt:lpstr>
      <vt:lpstr>52. PARTYOFINTERESTCODE</vt:lpstr>
      <vt:lpstr>53. AccountCode</vt:lpstr>
      <vt:lpstr>54. BeamAccountOverride</vt:lpstr>
      <vt:lpstr>55. USERVIEW</vt:lpstr>
      <vt:lpstr>56. USERVIEWPREFERENCE</vt:lpstr>
      <vt:lpstr>PROFITLOSSLITE (ALT NB only)</vt:lpstr>
      <vt:lpstr>57. MODELPORTFOLIO</vt:lpstr>
      <vt:lpstr>58. MODELPORTFOLIOHOLDING</vt:lpstr>
      <vt:lpstr>Sheet1</vt:lpstr>
      <vt:lpstr>ReqFieldDef</vt:lpstr>
      <vt:lpstr>SMCOMMONLOOKUP</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Riquelme, Jennifer</dc:creator>
  <cp:keywords/>
  <dc:description/>
  <cp:lastModifiedBy>Cici Tang</cp:lastModifiedBy>
  <cp:revision/>
  <dcterms:created xsi:type="dcterms:W3CDTF">2019-01-08T05:19:09Z</dcterms:created>
  <dcterms:modified xsi:type="dcterms:W3CDTF">2025-07-08T06:45:50Z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0x0101001688EF933E3CEE4E89CC912B52A00051</vt:lpwstr>
  </property>
  <property fmtid="{D5CDD505-2E9C-101B-9397-08002B2CF9AE}" pid="3" name="MediaServiceImageTags">
    <vt:lpwstr/>
  </property>
  <property fmtid="{D5CDD505-2E9C-101B-9397-08002B2CF9AE}" pid="4" name="MSIP_Label_4501a2c2-7ef1-4786-bfb6-7de822992e59_Enabled">
    <vt:lpwstr>true</vt:lpwstr>
  </property>
  <property fmtid="{D5CDD505-2E9C-101B-9397-08002B2CF9AE}" pid="5" name="MSIP_Label_4501a2c2-7ef1-4786-bfb6-7de822992e59_SetDate">
    <vt:lpwstr>2025-07-08T06:45:26Z</vt:lpwstr>
  </property>
  <property fmtid="{D5CDD505-2E9C-101B-9397-08002B2CF9AE}" pid="6" name="MSIP_Label_4501a2c2-7ef1-4786-bfb6-7de822992e59_Method">
    <vt:lpwstr>Privileged</vt:lpwstr>
  </property>
  <property fmtid="{D5CDD505-2E9C-101B-9397-08002B2CF9AE}" pid="7" name="MSIP_Label_4501a2c2-7ef1-4786-bfb6-7de822992e59_Name">
    <vt:lpwstr>defa4170-0d19-0005-0003-bc88714345d2</vt:lpwstr>
  </property>
  <property fmtid="{D5CDD505-2E9C-101B-9397-08002B2CF9AE}" pid="8" name="MSIP_Label_4501a2c2-7ef1-4786-bfb6-7de822992e59_SiteId">
    <vt:lpwstr>134fa738-eba8-4721-a959-151561c6c68e</vt:lpwstr>
  </property>
  <property fmtid="{D5CDD505-2E9C-101B-9397-08002B2CF9AE}" pid="9" name="MSIP_Label_4501a2c2-7ef1-4786-bfb6-7de822992e59_ActionId">
    <vt:lpwstr>e9e69dae-f021-4a1b-ad43-ece27151acea</vt:lpwstr>
  </property>
  <property fmtid="{D5CDD505-2E9C-101B-9397-08002B2CF9AE}" pid="10" name="MSIP_Label_4501a2c2-7ef1-4786-bfb6-7de822992e59_ContentBits">
    <vt:lpwstr>0</vt:lpwstr>
  </property>
  <property fmtid="{D5CDD505-2E9C-101B-9397-08002B2CF9AE}" pid="11" name="MSIP_Label_4501a2c2-7ef1-4786-bfb6-7de822992e59_Tag">
    <vt:lpwstr>10, 0, 1, 1</vt:lpwstr>
  </property>
</Properties>
</file>